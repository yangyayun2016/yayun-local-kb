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6ade8e10d5403b" /></Relationships>
</file>

<file path=xl/workbook.xml><?xml version="1.0" encoding="utf-8"?>
<x:workbook xmlns:x="http://schemas.openxmlformats.org/spreadsheetml/2006/main">
  <x:sheets>
    <x:sheet xmlns:r="http://schemas.openxmlformats.org/officeDocument/2006/relationships" name="选品结论" sheetId="1" r:id="Rfafc40f332d84961"/>
    <x:sheet xmlns:r="http://schemas.openxmlformats.org/officeDocument/2006/relationships" name="利润门槛" sheetId="2" r:id="R2a2cdfd847864133"/>
    <x:sheet xmlns:r="http://schemas.openxmlformats.org/officeDocument/2006/relationships" name="需求筛选" sheetId="3" r:id="R51fcc95f760c4bf0"/>
    <x:sheet xmlns:r="http://schemas.openxmlformats.org/officeDocument/2006/relationships" name="原始数据" sheetId="4" r:id="R1d2f501b4d7f4597"/>
    <x:sheet xmlns:r="http://schemas.openxmlformats.org/officeDocument/2006/relationships" name="核验与方法" sheetId="5" r:id="Ra6c3675236b94d0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quot;$&quot;#,##0.00;(&quot;$&quot;#,##0.00);&quot;$&quot;0.00"/>
  </x:numFmts>
  <x:fonts count="7">
    <x:font>
      <x:sz val="11"/>
      <x:name val="Carlito"/>
    </x:font>
    <x:font>
      <x:sz val="11"/>
      <x:color rgb="FF17263B"/>
      <x:name val="Noto Sans CJK SC"/>
    </x:font>
    <x:font>
      <x:b/>
      <x:sz val="16"/>
      <x:color rgb="FF243F62"/>
      <x:name val="Noto Sans CJK SC"/>
    </x:font>
    <x:font>
      <x:i/>
      <x:sz val="11"/>
      <x:color rgb="FF607084"/>
      <x:name val="Noto Sans CJK SC"/>
    </x:font>
    <x:font>
      <x:b/>
      <x:sz val="11"/>
      <x:color rgb="FFFFFFFF"/>
      <x:name val="Noto Sans CJK SC"/>
    </x:font>
    <x:font>
      <x:sz val="11"/>
      <x:color rgb="FF185ABD"/>
      <x:name val="Noto Sans CJK SC"/>
    </x:font>
    <x:font>
      <x:sz val="11"/>
      <x:color rgb="FF187348"/>
      <x:name val="Noto Sans CJK SC"/>
    </x:font>
  </x:fonts>
  <x:fills count="4">
    <x:fill>
      <x:patternFill patternType="none"/>
    </x:fill>
    <x:fill>
      <x:patternFill patternType="gray125"/>
    </x:fill>
    <x:fill>
      <x:patternFill patternType="solid">
        <x:fgColor rgb="FF243F62"/>
      </x:patternFill>
    </x:fill>
    <x:fill>
      <x:patternFill patternType="solid">
        <x:fgColor rgb="FFFFF2CC"/>
      </x:patternFill>
    </x:fill>
  </x:fills>
  <x:borders count="1">
    <x:border>
      <x:left/>
      <x:right/>
      <x:top/>
      <x:bottom/>
      <x:diagonal/>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1"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201" fontId="5" fillId="3" borderId="0" xfId="0" applyNumberFormat="1" applyFont="1" applyFill="1" applyBorder="1" applyAlignment="1">
      <x:alignment vertical="center"/>
    </x:xf>
    <x:xf numFmtId="200" fontId="5" fillId="3"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x:xf>
    <x:xf numFmtId="202"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2" fontId="1" fillId="3" borderId="0" xfId="0" applyNumberFormat="1" applyFont="1" applyFill="1" applyBorder="1" applyAlignment="1">
      <x:alignment vertical="center"/>
    </x:xf>
    <x:xf numFmtId="202" fontId="5" fillId="3" borderId="0" xfId="0" applyNumberFormat="1" applyFont="1" applyFill="1" applyBorder="1" applyAlignment="1">
      <x:alignment vertical="center"/>
    </x:xf>
    <x:xf numFmtId="202" fontId="6" fillId="0" borderId="0" xfId="0" applyNumberFormat="1" applyFont="1" applyFill="1" applyBorder="1" applyAlignment="1">
      <x:alignment vertical="center"/>
    </x:xf>
    <x:xf numFmtId="202" fontId="1" fillId="0"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cellXfs>
  <x:cellStyles count="1">
    <x:cellStyle name="Normal" xfId="0"/>
  </x:cellStyles>
  <x:dxfs count="3">
    <x:dxf>
      <x:font>
        <x:color rgb="FF17263B"/>
      </x:font>
    </x:dxf>
    <x:dxf>
      <x:font>
        <x:color rgb="FFB42318"/>
      </x:font>
      <x:fill>
        <x:patternFill patternType="solid">
          <x:bgColor rgb="FFFCE4E4"/>
        </x:patternFill>
      </x:fill>
    </x:dxf>
    <x:dxf>
      <x:font>
        <x:color rgb="FFB42318"/>
      </x:font>
      <x:fill>
        <x:patternFill patternType="solid">
          <x:bgColor rgb="FFFCE4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7b2b70bac2e499a" /><Relationship Type="http://schemas.openxmlformats.org/officeDocument/2006/relationships/theme" Target="/xl/theme/theme1.xml" Id="R5b9279315a1a463b" /><Relationship Type="http://schemas.openxmlformats.org/officeDocument/2006/relationships/sharedStrings" Target="/xl/sharedStrings.xml" Id="Rcb3f76358fd2435d" /><Relationship Type="http://schemas.openxmlformats.org/officeDocument/2006/relationships/worksheet" Target="/xl/worksheets/sheet1.xml" Id="Rfafc40f332d84961" /><Relationship Type="http://schemas.openxmlformats.org/officeDocument/2006/relationships/worksheet" Target="/xl/worksheets/sheet2.xml" Id="R2a2cdfd847864133" /><Relationship Type="http://schemas.openxmlformats.org/officeDocument/2006/relationships/worksheet" Target="/xl/worksheets/sheet3.xml" Id="R51fcc95f760c4bf0" /><Relationship Type="http://schemas.openxmlformats.org/officeDocument/2006/relationships/worksheet" Target="/xl/worksheets/sheet4.xml" Id="R1d2f501b4d7f4597" /><Relationship Type="http://schemas.openxmlformats.org/officeDocument/2006/relationships/worksheet" Target="/xl/worksheets/sheet5.xml" Id="Ra6c3675236b94d0b" /></Relationships>
</file>

<file path=xl/drawings/_rels/drawing1.xml.rels>&#65279;<?xml version="1.0" encoding="utf-8"?><Relationships xmlns="http://schemas.openxmlformats.org/package/2006/relationships"><Relationship Type="http://schemas.openxmlformats.org/officeDocument/2006/relationships/chart" Target="/xl/drawings/charts/chart1.xml" Id="R04020c2975b74bb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Noto Sans CJK SC"/>
                <a:ea typeface="Noto Sans CJK SC"/>
                <a:cs typeface="Noto Sans CJK SC"/>
              </a:rPr>
              <a:t>厨房工具搜索点击购买信号</a:t>
            </a:r>
          </a:p>
        </c:rich>
      </c:tx>
      <c:overlay val="0"/>
      <c:txPr>
        <a:bodyPr xmlns:a="http://schemas.openxmlformats.org/drawingml/2006/main" anchorCtr="1"/>
        <a:lstStyle xmlns:a="http://schemas.openxmlformats.org/drawingml/2006/main"/>
        <a:p xmlns:a="http://schemas.openxmlformats.org/drawingml/2006/main">
          <a:pPr>
            <a:defRPr sz="975">
              <a:latin typeface="Noto Sans CJK SC"/>
              <a:ea typeface="Noto Sans CJK SC"/>
              <a:cs typeface="Noto Sans CJK SC"/>
            </a:defRPr>
          </a:pPr>
        </a:p>
      </c:txPr>
    </c:title>
    <c:plotArea>
      <c:barChart>
        <c:barDir val="col"/>
        <c:varyColors val="0"/>
        <c:ser>
          <c:idx val="0"/>
          <c:order val="0"/>
          <c:tx>
            <c:v>点击购买率</c:v>
          </c:tx>
          <c:spPr>
            <a:solidFill xmlns:a="http://schemas.openxmlformats.org/drawingml/2006/main">
              <a:srgbClr val="41698F"/>
            </a:solidFill>
          </c:spPr>
          <c:cat>
            <c:strRef>
              <c:f>'选品结论'!$A$29:$A$31</c:f>
              <c:strCache>
                <c:ptCount val="0"/>
              </c:strCache>
            </c:strRef>
          </c:cat>
          <c:val>
            <c:numRef>
              <c:f>'选品结论'!$B$29:$B$31</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Noto Sans CJK SC"/>
                <a:ea typeface="Noto Sans CJK SC"/>
                <a:cs typeface="Noto Sans CJK SC"/>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Noto Sans CJK SC"/>
                <a:ea typeface="Noto Sans CJK SC"/>
                <a:cs typeface="Noto Sans CJK SC"/>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27</xdr:row>
      <xdr:rowOff>0</xdr:rowOff>
    </xdr:from>
    <xdr:to>
      <xdr:col>10</xdr:col>
      <xdr:colOff>0</xdr:colOff>
      <xdr:row>43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4020c2975b74bbd"/>
        </a:graphicData>
      </a:graphic>
    </xdr:graphicFrame>
    <xdr:clientData/>
  </xdr:twoCellAnchor>
</xdr:wsDr>
</file>

<file path=xl/tables/table1.xml><?xml version="1.0" encoding="utf-8"?>
<x:table xmlns:x="http://schemas.openxmlformats.org/spreadsheetml/2006/main" id="3" name="CandidateMarkets" displayName="CandidateMarkets" ref="A12:L24" headerRowCount="1" totalsRowCount="0" totalsRowShown="0">
  <x:autoFilter ref="A12:L24"/>
  <x:tableColumns count="12">
    <x:tableColumn id="1" name="优先级"/>
    <x:tableColumn id="2" name="方向"/>
    <x:tableColumn id="3" name="搜索量"/>
    <x:tableColumn id="4" name="表内增长"/>
    <x:tableColumn id="5" name="点击购买率"/>
    <x:tableColumn id="6" name="购买量"/>
    <x:tableColumn id="7" name="建议形态"/>
    <x:tableColumn id="8" name="目标售价USD"/>
    <x:tableColumn id="9" name="主要限制"/>
    <x:tableColumn id="10" name="下一步"/>
    <x:tableColumn id="11" name="决策"/>
    <x:tableColumn id="12" name="源表行"/>
  </x:tableColumns>
  <x:tableStyleInfo name="TableStyleMedium2" showFirstColumn="0" showLastColumn="0" showRowStripes="1" showColumnStripes="0"/>
</x:table>
</file>

<file path=xl/tables/table2.xml><?xml version="1.0" encoding="utf-8"?>
<x:table xmlns:x="http://schemas.openxmlformats.org/spreadsheetml/2006/main" id="4" name="EconomicsInputs" displayName="EconomicsInputs" ref="A15:M27" headerRowCount="1" totalsRowCount="0" totalsRowShown="0">
  <x:autoFilter ref="A15:M27"/>
  <x:tableColumns count="13">
    <x:tableColumn id="1" name="方向"/>
    <x:tableColumn id="2" name="试算售价"/>
    <x:tableColumn id="3" name="到岸成本待填"/>
    <x:tableColumn id="4" name="全包FBA试算"/>
    <x:tableColumn id="5" name="其他变动成本"/>
    <x:tableColumn id="6" name="广告前贡献"/>
    <x:tableColumn id="7" name="盈亏ACOS"/>
    <x:tableColumn id="8" name="广告CPA试算"/>
    <x:tableColumn id="9" name="允许到岸成本上限"/>
    <x:tableColumn id="10" name="广告后贡献"/>
    <x:tableColumn id="11" name="广告后贡献率"/>
    <x:tableColumn id="12" name="达到目标的CPC上限"/>
    <x:tableColumn id="13" name="计算状态"/>
  </x:tableColumns>
  <x:tableStyleInfo name="TableStyleMedium2" showFirstColumn="0" showLastColumn="0" showRowStripes="1" showColumnStripes="0"/>
</x:table>
</file>

<file path=xl/tables/table3.xml><?xml version="1.0" encoding="utf-8"?>
<x:table xmlns:x="http://schemas.openxmlformats.org/spreadsheetml/2006/main" id="2" name="DemandScreen" displayName="DemandScreen" ref="A6:P506" headerRowCount="1" totalsRowCount="0" totalsRowShown="0">
  <x:autoFilter ref="A6:P506"/>
  <x:tableColumns count="16">
    <x:tableColumn id="1" name="源表行"/>
    <x:tableColumn id="2" name="购买意图"/>
    <x:tableColumn id="3" name="搜索量"/>
    <x:tableColumn id="4" name="搜索增长"/>
    <x:tableColumn id="5" name="点击增长"/>
    <x:tableColumn id="6" name="购买量"/>
    <x:tableColumn id="7" name="点击购买率重算"/>
    <x:tableColumn id="8" name="会话购买率重算"/>
    <x:tableColumn id="9" name="搜索转化重算"/>
    <x:tableColumn id="10" name="曝光CTR重算"/>
    <x:tableColumn id="11" name="初筛分组"/>
    <x:tableColumn id="12" name="待核验标签"/>
    <x:tableColumn id="13" name="需求门槛"/>
    <x:tableColumn id="14" name="研究状态"/>
    <x:tableColumn id="15" name="源购买率差异"/>
    <x:tableColumn id="16" name="核验阶段"/>
  </x:tableColumns>
  <x:tableStyleInfo name="TableStyleMedium2" showFirstColumn="0" showLastColumn="0" showRowStripes="1" showColumnStripes="0"/>
</x:table>
</file>

<file path=xl/tables/table4.xml><?xml version="1.0" encoding="utf-8"?>
<x:table xmlns:x="http://schemas.openxmlformats.org/spreadsheetml/2006/main" id="1" name="SourceDemand" displayName="SourceDemand" ref="A3:S503" headerRowCount="1" totalsRowCount="0" totalsRowShown="0">
  <x:autoFilter ref="A3:S503"/>
  <x:tableColumns count="19">
    <x:tableColumn id="1" name="购买意图"/>
    <x:tableColumn id="2" name="热门关键词"/>
    <x:tableColumn id="3" name="关键词数量"/>
    <x:tableColumn id="4" name="搜索量"/>
    <x:tableColumn id="5" name="搜索量增长率"/>
    <x:tableColumn id="6" name="展示次数"/>
    <x:tableColumn id="7" name="点击量"/>
    <x:tableColumn id="8" name="点击量增长率"/>
    <x:tableColumn id="9" name="点击率"/>
    <x:tableColumn id="10" name="购买率"/>
    <x:tableColumn id="11" name="搜索转化率"/>
    <x:tableColumn id="12" name="购买量"/>
    <x:tableColumn id="13" name="会话搜索量"/>
    <x:tableColumn id="14" name="会话搜索量增长率"/>
    <x:tableColumn id="15" name="会话点击量"/>
    <x:tableColumn id="16" name="会话购买点击量"/>
    <x:tableColumn id="17" name="会话点击率"/>
    <x:tableColumn id="18" name="会话购买率"/>
    <x:tableColumn id="19" name="会话搜索转化率"/>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7894d3427c1f43af" /><Relationship Type="http://schemas.openxmlformats.org/officeDocument/2006/relationships/table" Target="/xl/tables/table1.xml" Id="R3ace41dbc2b6490b" /></Relationships>
</file>

<file path=xl/worksheets/_rels/sheet2.xml.rels>&#65279;<?xml version="1.0" encoding="utf-8"?><Relationships xmlns="http://schemas.openxmlformats.org/package/2006/relationships"><Relationship Type="http://schemas.openxmlformats.org/officeDocument/2006/relationships/table" Target="/xl/tables/table2.xml" Id="R40604a8ade884e4f" /></Relationships>
</file>

<file path=xl/worksheets/_rels/sheet3.xml.rels>&#65279;<?xml version="1.0" encoding="utf-8"?><Relationships xmlns="http://schemas.openxmlformats.org/package/2006/relationships"><Relationship Type="http://schemas.openxmlformats.org/officeDocument/2006/relationships/table" Target="/xl/tables/table3.xml" Id="Rb836c9fa74b140e0" /></Relationships>
</file>

<file path=xl/worksheets/_rels/sheet4.xml.rels>&#65279;<?xml version="1.0" encoding="utf-8"?><Relationships xmlns="http://schemas.openxmlformats.org/package/2006/relationships"><Relationship Type="http://schemas.openxmlformats.org/officeDocument/2006/relationships/table" Target="/xl/tables/table4.xml" Id="Refd59c1578244d07" /></Relationships>
</file>

<file path=xl/worksheets/sheet1.xml><?xml version="1.0" encoding="utf-8"?>
<x:worksheet xmlns:x="http://schemas.openxmlformats.org/spreadsheetml/2006/main">
  <x:sheetPr>
    <x:tabColor rgb="FF243F62"/>
  </x:sheetPr>
  <x:sheetViews>
    <x:sheetView showGridLines="0" workbookViewId="0">
      <x:pane xSplit="2" ySplit="12" topLeftCell="C13" activePane="bottomRight" state="frozen"/>
    </x:sheetView>
  </x:sheetViews>
  <x:sheetFormatPr defaultRowHeight="15"/>
  <x:cols>
    <x:col min="1" max="1" width="20" hidden="0" customWidth="1"/>
    <x:col min="2" max="2" width="29" hidden="0" customWidth="1"/>
    <x:col min="3" max="3" width="17" hidden="0" customWidth="1"/>
    <x:col min="4" max="4" width="17" hidden="0" customWidth="1"/>
    <x:col min="5" max="5" width="18" hidden="0" customWidth="1"/>
    <x:col min="6" max="6" width="15" hidden="0" customWidth="1"/>
    <x:col min="7" max="7" width="37" hidden="0" customWidth="1"/>
    <x:col min="8" max="8" width="21" hidden="0" customWidth="1"/>
    <x:col min="9" max="9" width="44" hidden="0" customWidth="1"/>
    <x:col min="10" max="10" width="45" hidden="0" customWidth="1"/>
    <x:col min="11" max="11" width="18" hidden="0" customWidth="1"/>
    <x:col min="12" max="12" width="12" hidden="0" customWidth="1"/>
  </x:cols>
  <x:sheetData>
    <x:row r="1" ht="25" customHeight="1">
      <x:c r="A1" s="2"/>
      <x:c r="B1" s="2"/>
      <x:c r="C1" s="2"/>
      <x:c r="D1" s="2"/>
      <x:c r="E1" s="2"/>
      <x:c r="F1" s="2"/>
      <x:c r="G1" s="2"/>
      <x:c r="H1" s="2"/>
      <x:c r="I1" s="2"/>
      <x:c r="J1" s="2"/>
      <x:c r="K1" s="2"/>
      <x:c r="L1" s="2"/>
    </x:row>
    <x:row r="2" ht="32" customHeight="1">
      <x:c r="A2" s="3" t="str">
        <x:v>天机 美国亚马逊选品初筛</x:v>
      </x:c>
      <x:c r="B2" s="2"/>
      <x:c r="C2" s="2"/>
      <x:c r="D2" s="2"/>
      <x:c r="E2" s="2"/>
      <x:c r="F2" s="2"/>
      <x:c r="G2" s="2"/>
      <x:c r="H2" s="2"/>
      <x:c r="I2" s="2"/>
      <x:c r="J2" s="2"/>
      <x:c r="K2" s="2"/>
      <x:c r="L2" s="2"/>
    </x:row>
    <x:row r="3" ht="25" customHeight="1">
      <x:c r="A3" s="2"/>
      <x:c r="B3" s="2"/>
      <x:c r="C3" s="2"/>
      <x:c r="D3" s="2"/>
      <x:c r="E3" s="2"/>
      <x:c r="F3" s="2"/>
      <x:c r="G3" s="2"/>
      <x:c r="H3" s="2"/>
      <x:c r="I3" s="2"/>
      <x:c r="J3" s="2"/>
      <x:c r="K3" s="2"/>
      <x:c r="L3" s="2"/>
    </x:row>
    <x:row r="4" ht="25" customHeight="1">
      <x:c r="A4" s="4" t="str">
        <x:v>截至2026-10-07；优先深挖开罐器与剥线工具，肉丸成型器单列热点验证。</x:v>
      </x:c>
      <x:c r="B4" s="2"/>
      <x:c r="C4" s="2"/>
      <x:c r="D4" s="2"/>
      <x:c r="E4" s="2"/>
      <x:c r="F4" s="2"/>
      <x:c r="G4" s="2"/>
      <x:c r="H4" s="2"/>
      <x:c r="I4" s="2"/>
      <x:c r="J4" s="2"/>
      <x:c r="K4" s="2"/>
      <x:c r="L4" s="2"/>
    </x:row>
    <x:row r="5" ht="25" customHeight="1">
      <x:c r="A5" s="2"/>
      <x:c r="B5" s="2"/>
      <x:c r="C5" s="2"/>
      <x:c r="D5" s="2"/>
      <x:c r="E5" s="2"/>
      <x:c r="F5" s="2"/>
      <x:c r="G5" s="2"/>
      <x:c r="H5" s="2"/>
      <x:c r="I5" s="2"/>
      <x:c r="J5" s="2"/>
      <x:c r="K5" s="2"/>
      <x:c r="L5" s="2"/>
    </x:row>
    <x:row r="6" ht="40" customHeight="1">
      <x:c r="A6" s="8" t="str">
        <x:v>指标</x:v>
      </x:c>
      <x:c r="B6" s="8" t="str">
        <x:v>结果</x:v>
      </x:c>
      <x:c r="C6" s="8" t="str">
        <x:v>解释</x:v>
      </x:c>
      <x:c r="D6" s="2"/>
      <x:c r="E6" s="2"/>
      <x:c r="F6" s="2"/>
      <x:c r="G6" s="2"/>
      <x:c r="H6" s="2"/>
      <x:c r="I6" s="2"/>
      <x:c r="J6" s="2"/>
      <x:c r="K6" s="2"/>
      <x:c r="L6" s="2"/>
    </x:row>
    <x:row r="7" ht="25" customHeight="1">
      <x:c r="A7" s="2" t="str">
        <x:v>意图市场</x:v>
      </x:c>
      <x:c r="B7" s="10" t="n">
        <x:v>500</x:v>
      </x:c>
      <x:c r="C7" s="2" t="str">
        <x:v>仅本文件覆盖</x:v>
      </x:c>
      <x:c r="D7" s="2"/>
      <x:c r="E7" s="2"/>
      <x:c r="F7" s="2"/>
      <x:c r="G7" s="2"/>
      <x:c r="H7" s="2"/>
      <x:c r="I7" s="2"/>
      <x:c r="J7" s="2"/>
      <x:c r="K7" s="2"/>
      <x:c r="L7" s="2"/>
    </x:row>
    <x:row r="8" ht="25" customHeight="1">
      <x:c r="A8" s="2" t="str">
        <x:v>搜索与点击均增长</x:v>
      </x:c>
      <x:c r="B8" s="10" t="n">
        <x:f>COUNTIFS('需求筛选'!$D$7:$D$506,"&gt;0",'需求筛选'!$E$7:$E$506,"&gt;0")</x:f>
        <x:v>336</x:v>
      </x:c>
      <x:c r="C8" s="2" t="str">
        <x:v>同一来源、基期未知</x:v>
      </x:c>
      <x:c r="D8" s="2"/>
      <x:c r="E8" s="2"/>
      <x:c r="F8" s="2"/>
      <x:c r="G8" s="2"/>
      <x:c r="H8" s="2"/>
      <x:c r="I8" s="2"/>
      <x:c r="J8" s="2"/>
      <x:c r="K8" s="2"/>
      <x:c r="L8" s="2"/>
    </x:row>
    <x:row r="9" ht="25" customHeight="1">
      <x:c r="A9" s="2" t="str">
        <x:v>满足需求门槛</x:v>
      </x:c>
      <x:c r="B9" s="10" t="n">
        <x:f>COUNTIFS('需求筛选'!$M$7:$M$506,"通过需求门槛")</x:f>
        <x:v>142</x:v>
      </x:c>
      <x:c r="C9" s="2" t="str">
        <x:v>还需竞争、利润与供给验证</x:v>
      </x:c>
      <x:c r="D9" s="2"/>
      <x:c r="E9" s="2"/>
      <x:c r="F9" s="2"/>
      <x:c r="G9" s="2"/>
      <x:c r="H9" s="2"/>
      <x:c r="I9" s="2"/>
      <x:c r="J9" s="2"/>
      <x:c r="K9" s="2"/>
      <x:c r="L9" s="2"/>
    </x:row>
    <x:row r="10" ht="25" customHeight="1">
      <x:c r="A10" s="2"/>
      <x:c r="B10" s="2"/>
      <x:c r="C10" s="2"/>
      <x:c r="D10" s="2"/>
      <x:c r="E10" s="2"/>
      <x:c r="F10" s="2"/>
      <x:c r="G10" s="2"/>
      <x:c r="H10" s="2"/>
      <x:c r="I10" s="2"/>
      <x:c r="J10" s="2"/>
      <x:c r="K10" s="2"/>
      <x:c r="L10" s="2"/>
    </x:row>
    <x:row r="11" ht="25" customHeight="1">
      <x:c r="A11" s="2"/>
      <x:c r="B11" s="2"/>
      <x:c r="C11" s="2"/>
      <x:c r="D11" s="2"/>
      <x:c r="E11" s="2"/>
      <x:c r="F11" s="2"/>
      <x:c r="G11" s="2"/>
      <x:c r="H11" s="2"/>
      <x:c r="I11" s="2"/>
      <x:c r="J11" s="2"/>
      <x:c r="K11" s="2"/>
      <x:c r="L11" s="2"/>
    </x:row>
    <x:row r="12" ht="40" customHeight="1">
      <x:c r="A12" s="8" t="str">
        <x:v>优先级</x:v>
      </x:c>
      <x:c r="B12" s="8" t="str">
        <x:v>方向</x:v>
      </x:c>
      <x:c r="C12" s="8" t="str">
        <x:v>搜索量</x:v>
      </x:c>
      <x:c r="D12" s="8" t="str">
        <x:v>表内增长</x:v>
      </x:c>
      <x:c r="E12" s="8" t="str">
        <x:v>点击购买率</x:v>
      </x:c>
      <x:c r="F12" s="8" t="str">
        <x:v>购买量</x:v>
      </x:c>
      <x:c r="G12" s="8" t="str">
        <x:v>建议形态</x:v>
      </x:c>
      <x:c r="H12" s="8" t="str">
        <x:v>目标售价USD</x:v>
      </x:c>
      <x:c r="I12" s="8" t="str">
        <x:v>主要限制</x:v>
      </x:c>
      <x:c r="J12" s="8" t="str">
        <x:v>下一步</x:v>
      </x:c>
      <x:c r="K12" s="8" t="str">
        <x:v>决策</x:v>
      </x:c>
      <x:c r="L12" s="8" t="str">
        <x:v>源表行</x:v>
      </x:c>
    </x:row>
    <x:row r="13" ht="88" customHeight="1">
      <x:c r="A13" s="15" t="str">
        <x:v>P0</x:v>
      </x:c>
      <x:c r="B13" s="15" t="str">
        <x:v>省力手动开罐器</x:v>
      </x:c>
      <x:c r="C13" s="18" t="n">
        <x:f>'需求筛选'!C38</x:f>
        <x:v>539911</x:v>
      </x:c>
      <x:c r="D13" s="19" t="n">
        <x:f>'需求筛选'!D38</x:f>
        <x:v>0.0581</x:v>
      </x:c>
      <x:c r="E13" s="19" t="n">
        <x:f>'需求筛选'!G38</x:f>
        <x:v>0.268356263577118</x:v>
      </x:c>
      <x:c r="F13" s="18" t="n">
        <x:f>'需求筛选'!F38</x:f>
        <x:v>63002</x:v>
      </x:c>
      <x:c r="G13" s="15" t="str">
        <x:v>侧切安全结构、长握柄、易清洗</x:v>
      </x:c>
      <x:c r="H13" s="15" t="str">
        <x:v>24.99–29.99</x:v>
      </x:c>
      <x:c r="I13" s="15" t="str">
        <x:v>高购买信号；需挑战OXO等品牌</x:v>
      </x:c>
      <x:c r="J13" s="15" t="str">
        <x:v>验证手力、侧切结构、连续开罐寿命和专利路线</x:v>
      </x:c>
      <x:c r="K13" s="15" t="str">
        <x:v>DATA HOLD</x:v>
      </x:c>
      <x:c r="L13" s="15" t="n">
        <x:v>33</x:v>
      </x:c>
    </x:row>
    <x:row r="14" ht="88" customHeight="1">
      <x:c r="A14" s="15" t="str">
        <x:v>P0</x:v>
      </x:c>
      <x:c r="B14" s="15" t="str">
        <x:v>剥线压线工具套装</x:v>
      </x:c>
      <x:c r="C14" s="18" t="n">
        <x:f>'需求筛选'!C177</x:f>
        <x:v>210601</x:v>
      </x:c>
      <x:c r="D14" s="19" t="n">
        <x:f>'需求筛选'!D177</x:f>
        <x:v>0.0933</x:v>
      </x:c>
      <x:c r="E14" s="19" t="n">
        <x:f>'需求筛选'!G177</x:f>
        <x:v>0.16032291666666668</x:v>
      </x:c>
      <x:c r="F14" s="18" t="n">
        <x:f>'需求筛选'!F177</x:f>
        <x:v>15391</x:v>
      </x:c>
      <x:c r="G14" s="15" t="str">
        <x:v>AWG清晰标识、剥线长度控制、轻量套装</x:v>
      </x:c>
      <x:c r="H14" s="15" t="str">
        <x:v>24.99–34.99</x:v>
      </x:c>
      <x:c r="I14" s="15" t="str">
        <x:v>需求与点击同步增长；低价竞品强</x:v>
      </x:c>
      <x:c r="J14" s="15" t="str">
        <x:v>分别比较手动钳和自动钳，核验不伤芯与加工一致性</x:v>
      </x:c>
      <x:c r="K14" s="15" t="str">
        <x:v>DATA HOLD</x:v>
      </x:c>
      <x:c r="L14" s="15" t="n">
        <x:v>172</x:v>
      </x:c>
    </x:row>
    <x:row r="15" ht="88" customHeight="1">
      <x:c r="A15" s="15" t="str">
        <x:v>P0 热点验证</x:v>
      </x:c>
      <x:c r="B15" s="15" t="str">
        <x:v>肉丸成型工具</x:v>
      </x:c>
      <x:c r="C15" s="18" t="n">
        <x:f>'需求筛选'!C206</x:f>
        <x:v>196217</x:v>
      </x:c>
      <x:c r="D15" s="19" t="n">
        <x:f>'需求筛选'!D206</x:f>
        <x:v>8.731</x:v>
      </x:c>
      <x:c r="E15" s="19" t="n">
        <x:f>'需求筛选'!G206</x:f>
        <x:v>0.08025456985421199</x:v>
      </x:c>
      <x:c r="F15" s="18" t="n">
        <x:f>'需求筛选'!F206</x:f>
        <x:v>7894</x:v>
      </x:c>
      <x:c r="G15" s="15" t="str">
        <x:v>双尺寸、易脱模、可拆洗、食物接触材料</x:v>
      </x:c>
      <x:c r="H15" s="15" t="str">
        <x:v>14.99–24.99</x:v>
      </x:c>
      <x:c r="I15" s="15" t="str">
        <x:v>增长873.1%；缺少长期需求与实时竞品证据</x:v>
      </x:c>
      <x:c r="J15" s="15" t="str">
        <x:v>先核验13周趋势、近两年季节性及热点来源，再打样</x:v>
      </x:c>
      <x:c r="K15" s="15" t="str">
        <x:v>DATA HOLD</x:v>
      </x:c>
      <x:c r="L15" s="15" t="n">
        <x:v>201</x:v>
      </x:c>
    </x:row>
    <x:row r="16" ht="88" customHeight="1">
      <x:c r="A16" s="15" t="str">
        <x:v>P1</x:v>
      </x:c>
      <x:c r="B16" s="15" t="str">
        <x:v>面糊分配器</x:v>
      </x:c>
      <x:c r="C16" s="18" t="n">
        <x:f>'需求筛选'!C399</x:f>
        <x:v>134367</x:v>
      </x:c>
      <x:c r="D16" s="19" t="n">
        <x:f>'需求筛选'!D399</x:f>
        <x:v>0.0284</x:v>
      </x:c>
      <x:c r="E16" s="19" t="n">
        <x:f>'需求筛选'!G399</x:f>
        <x:v>0.12194114768138994</x:v>
      </x:c>
      <x:c r="F16" s="18" t="n">
        <x:f>'需求筛选'!F399</x:f>
        <x:v>7973</x:v>
      </x:c>
      <x:c r="G16" s="15" t="str">
        <x:v>可拆阀、防漏、浓面糊适配、易清洗</x:v>
      </x:c>
      <x:c r="H16" s="15" t="str">
        <x:v>19.99–29.99</x:v>
      </x:c>
      <x:c r="I16" s="15" t="str">
        <x:v>外部7月销量估算回落；容量与清洗需验证</x:v>
      </x:c>
      <x:c r="J16" s="15" t="str">
        <x:v>测试不同黏度和拆洗，核对9月同形态竞品销量</x:v>
      </x:c>
      <x:c r="K16" s="15" t="str">
        <x:v>DATA HOLD</x:v>
      </x:c>
      <x:c r="L16" s="15" t="n">
        <x:v>394</x:v>
      </x:c>
    </x:row>
    <x:row r="17" ht="88" customHeight="1">
      <x:c r="A17" s="15" t="str">
        <x:v>P1</x:v>
      </x:c>
      <x:c r="B17" s="15" t="str">
        <x:v>窄台面咖啡收纳架</x:v>
      </x:c>
      <x:c r="C17" s="18" t="n">
        <x:f>'需求筛选'!C474</x:f>
        <x:v>122799</x:v>
      </x:c>
      <x:c r="D17" s="19" t="n">
        <x:f>'需求筛选'!D474</x:f>
        <x:v>0.1104</x:v>
      </x:c>
      <x:c r="E17" s="19" t="n">
        <x:f>'需求筛选'!G474</x:f>
        <x:v>0.04035734065351923</x:v>
      </x:c>
      <x:c r="F17" s="18" t="n">
        <x:f>'需求筛选'!F474</x:f>
        <x:v>1676</x:v>
      </x:c>
      <x:c r="G17" s="15" t="str">
        <x:v>低高度、可调格挡、扁平包装</x:v>
      </x:c>
      <x:c r="H17" s="15" t="str">
        <x:v>24.99–39.99</x:v>
      </x:c>
      <x:c r="I17" s="15" t="str">
        <x:v>外部关键词报告混入通用收纳品</x:v>
      </x:c>
      <x:c r="J17" s="15" t="str">
        <x:v>按胶囊抽屉、糖浆架、综合架拆市场并测包装体积</x:v>
      </x:c>
      <x:c r="K17" s="15" t="str">
        <x:v>DATA HOLD</x:v>
      </x:c>
      <x:c r="L17" s="15" t="n">
        <x:v>469</x:v>
      </x:c>
    </x:row>
    <x:row r="18" ht="88" customHeight="1">
      <x:c r="A18" s="15" t="str">
        <x:v>P1</x:v>
      </x:c>
      <x:c r="B18" s="15" t="str">
        <x:v>头皮涂油工具</x:v>
      </x:c>
      <x:c r="C18" s="18" t="n">
        <x:f>'需求筛选'!C343</x:f>
        <x:v>145942</x:v>
      </x:c>
      <x:c r="D18" s="19" t="n">
        <x:f>'需求筛选'!D343</x:f>
        <x:v>-0.0248</x:v>
      </x:c>
      <x:c r="E18" s="19" t="n">
        <x:f>'需求筛选'!G343</x:f>
        <x:v>0.10927892246759852</x:v>
      </x:c>
      <x:c r="F18" s="18" t="n">
        <x:f>'需求筛选'!F343</x:f>
        <x:v>7091</x:v>
      </x:c>
      <x:c r="G18" s="15" t="str">
        <x:v>防漏、可拆洗、流量控制、随身收纳</x:v>
      </x:c>
      <x:c r="H18" s="15" t="str">
        <x:v>9.99–19.99</x:v>
      </x:c>
      <x:c r="I18" s="15" t="str">
        <x:v>表内搜索微降；低价格与工具/精油混样</x:v>
      </x:c>
      <x:c r="J18" s="15" t="str">
        <x:v>仅研究空工具，核验漏液、堵塞、尖端舒适度和售价</x:v>
      </x:c>
      <x:c r="K18" s="15" t="str">
        <x:v>DATA HOLD</x:v>
      </x:c>
      <x:c r="L18" s="15" t="n">
        <x:v>338</x:v>
      </x:c>
    </x:row>
    <x:row r="19" ht="88" customHeight="1">
      <x:c r="A19" s="15" t="str">
        <x:v>P1</x:v>
      </x:c>
      <x:c r="B19" s="15" t="str">
        <x:v>折叠面包切片导向器</x:v>
      </x:c>
      <x:c r="C19" s="18" t="n">
        <x:f>'需求筛选'!C284</x:f>
        <x:v>162439</x:v>
      </x:c>
      <x:c r="D19" s="19" t="n">
        <x:f>'需求筛选'!D284</x:f>
        <x:v>0.0368</x:v>
      </x:c>
      <x:c r="E19" s="19" t="n">
        <x:f>'需求筛选'!G284</x:f>
        <x:v>0.07349501764730897</x:v>
      </x:c>
      <x:c r="F19" s="18" t="n">
        <x:f>'需求筛选'!F284</x:f>
        <x:v>5185</x:v>
      </x:c>
      <x:c r="G19" s="15" t="str">
        <x:v>可折叠、可调厚度、防滑、碎屑收纳</x:v>
      </x:c>
      <x:c r="H19" s="15" t="str">
        <x:v>24.99–39.99</x:v>
      </x:c>
      <x:c r="I19" s="15" t="str">
        <x:v>搜索与点击增长；体积及刀槽磨损未知</x:v>
      </x:c>
      <x:c r="J19" s="15" t="str">
        <x:v>测多种面包尺寸、切割偏差和包装后的FBA费用</x:v>
      </x:c>
      <x:c r="K19" s="15" t="str">
        <x:v>DATA HOLD</x:v>
      </x:c>
      <x:c r="L19" s="15" t="n">
        <x:v>279</x:v>
      </x:c>
    </x:row>
    <x:row r="20" ht="88" customHeight="1">
      <x:c r="A20" s="15" t="str">
        <x:v>P1</x:v>
      </x:c>
      <x:c r="B20" s="15" t="str">
        <x:v>自行车小扭矩工具套装</x:v>
      </x:c>
      <x:c r="C20" s="18" t="n">
        <x:f>'需求筛选'!C82</x:f>
        <x:v>355543</x:v>
      </x:c>
      <x:c r="D20" s="19" t="n">
        <x:f>'需求筛选'!D82</x:f>
        <x:v>0.1551</x:v>
      </x:c>
      <x:c r="E20" s="19" t="n">
        <x:f>'需求筛选'!G82</x:f>
        <x:v>0.0796453260152152</x:v>
      </x:c>
      <x:c r="F20" s="18" t="n">
        <x:f>'需求筛选'!F82</x:f>
        <x:v>9171</x:v>
      </x:c>
      <x:c r="G20" s="15" t="str">
        <x:v>小扭矩区间、常用批头、紧凑收纳</x:v>
      </x:c>
      <x:c r="H20" s="15" t="str">
        <x:v>39.99–59.99</x:v>
      </x:c>
      <x:c r="I20" s="15" t="str">
        <x:v>泛扭矩市场不能代表自行车细分；校准有门槛</x:v>
      </x:c>
      <x:c r="J20" s="15" t="str">
        <x:v>核验目标扭矩范围、校准成本、误差与质保成本</x:v>
      </x:c>
      <x:c r="K20" s="15" t="str">
        <x:v>DATA HOLD</x:v>
      </x:c>
      <x:c r="L20" s="15" t="n">
        <x:v>77</x:v>
      </x:c>
    </x:row>
    <x:row r="21" ht="88" customHeight="1">
      <x:c r="A21" s="15" t="str">
        <x:v>P1</x:v>
      </x:c>
      <x:c r="B21" s="15" t="str">
        <x:v>抹茶搅拌工具套装</x:v>
      </x:c>
      <x:c r="C21" s="18" t="n">
        <x:f>'需求筛选'!C396</x:f>
        <x:v>134512</x:v>
      </x:c>
      <x:c r="D21" s="19" t="n">
        <x:f>'需求筛选'!D396</x:f>
        <x:v>-0.0511</x:v>
      </x:c>
      <x:c r="E21" s="19" t="n">
        <x:f>'需求筛选'!G396</x:f>
        <x:v>0.20688344393936994</x:v>
      </x:c>
      <x:c r="F21" s="18" t="n">
        <x:f>'需求筛选'!F396</x:f>
        <x:v>13062</x:v>
      </x:c>
      <x:c r="G21" s="15" t="str">
        <x:v>竹筅、支架、易干燥收纳，减少易碎配件</x:v>
      </x:c>
      <x:c r="H21" s="15" t="str">
        <x:v>19.99–29.99</x:v>
      </x:c>
      <x:c r="I21" s="15" t="str">
        <x:v>购买信号强；搜索下降5.1%</x:v>
      </x:c>
      <x:c r="J21" s="15" t="str">
        <x:v>先查霉变/断丝VOC，验证材料与套装溢价</x:v>
      </x:c>
      <x:c r="K21" s="15" t="str">
        <x:v>DATA HOLD</x:v>
      </x:c>
      <x:c r="L21" s="15" t="n">
        <x:v>391</x:v>
      </x:c>
    </x:row>
    <x:row r="22" ht="88" customHeight="1">
      <x:c r="A22" s="15" t="str">
        <x:v>P2</x:v>
      </x:c>
      <x:c r="B22" s="15" t="str">
        <x:v>原创读经标注工具包</x:v>
      </x:c>
      <x:c r="C22" s="18" t="n">
        <x:f>'需求筛选'!C437</x:f>
        <x:v>128668</x:v>
      </x:c>
      <x:c r="D22" s="19" t="n">
        <x:f>'需求筛选'!D437</x:f>
        <x:v>0.0976</x:v>
      </x:c>
      <x:c r="E22" s="19" t="n">
        <x:f>'需求筛选'!G437</x:f>
        <x:v>0.04724621545423528</x:v>
      </x:c>
      <x:c r="F22" s="18" t="n">
        <x:f>'需求筛选'!F437</x:f>
        <x:v>2631</x:v>
      </x:c>
      <x:c r="G22" s="15" t="str">
        <x:v>防渗色笔、索引、原创阅读卡</x:v>
      </x:c>
      <x:c r="H22" s="15" t="str">
        <x:v>19.99–29.99</x:v>
      </x:c>
      <x:c r="I22" s="15" t="str">
        <x:v>需求增长；客单价、内容和图案权利未知</x:v>
      </x:c>
      <x:c r="J22" s="15" t="str">
        <x:v>验证薄纸渗色与关键词细分，核验原创内容</x:v>
      </x:c>
      <x:c r="K22" s="15" t="str">
        <x:v>DATA HOLD</x:v>
      </x:c>
      <x:c r="L22" s="15" t="n">
        <x:v>432</x:v>
      </x:c>
    </x:row>
    <x:row r="23" ht="88" customHeight="1">
      <x:c r="A23" s="15" t="str">
        <x:v>P2 供应链探索</x:v>
      </x:c>
      <x:c r="B23" s="15" t="str">
        <x:v>小型氛围灯</x:v>
      </x:c>
      <x:c r="C23" s="18" t="n">
        <x:f>'需求筛选'!C327</x:f>
        <x:v>149813</x:v>
      </x:c>
      <x:c r="D23" s="19" t="n">
        <x:f>'需求筛选'!D327</x:f>
        <x:v>0.0713</x:v>
      </x:c>
      <x:c r="E23" s="19" t="n">
        <x:f>'需求筛选'!G327</x:f>
        <x:v>0.033292633292633295</x:v>
      </x:c>
      <x:c r="F23" s="18" t="n">
        <x:f>'需求筛选'!F327</x:f>
        <x:v>1636</x:v>
      </x:c>
      <x:c r="G23" s="15" t="str">
        <x:v>模块化、低压、窄空间安装</x:v>
      </x:c>
      <x:c r="H23" s="15" t="str">
        <x:v>29.99–49.99</x:v>
      </x:c>
      <x:c r="I23" s="15" t="str">
        <x:v>仅有泛词需求；不能推导LED浴室镜市场</x:v>
      </x:c>
      <x:c r="J23" s="15" t="str">
        <x:v>限定安装场景，核验电气测试、结构、售后与费用</x:v>
      </x:c>
      <x:c r="K23" s="15" t="str">
        <x:v>DATA HOLD</x:v>
      </x:c>
      <x:c r="L23" s="15" t="n">
        <x:v>322</x:v>
      </x:c>
    </x:row>
    <x:row r="24" ht="88" customHeight="1">
      <x:c r="A24" s="15" t="str">
        <x:v>P2</x:v>
      </x:c>
      <x:c r="B24" s="15" t="str">
        <x:v>陶瓷柜门旋钮套装</x:v>
      </x:c>
      <x:c r="C24" s="18" t="n">
        <x:f>'需求筛选'!C304</x:f>
        <x:v>157612</x:v>
      </x:c>
      <x:c r="D24" s="19" t="n">
        <x:f>'需求筛选'!D304</x:f>
        <x:v>-0.0184</x:v>
      </x:c>
      <x:c r="E24" s="19" t="n">
        <x:f>'需求筛选'!G304</x:f>
        <x:v>0.0425723042237644</x:v>
      </x:c>
      <x:c r="F24" s="18" t="n">
        <x:f>'需求筛选'!F304</x:f>
        <x:v>2417</x:v>
      </x:c>
      <x:c r="G24" s="15" t="str">
        <x:v>多规格螺丝、尺寸模板、表面一致性</x:v>
      </x:c>
      <x:c r="H24" s="15" t="str">
        <x:v>19.99–29.99</x:v>
      </x:c>
      <x:c r="I24" s="15" t="str">
        <x:v>搜索微降；规格与运输破损需验证</x:v>
      </x:c>
      <x:c r="J24" s="15" t="str">
        <x:v>核验陶瓷工艺、螺丝适配、包装跌落和安装说明</x:v>
      </x:c>
      <x:c r="K24" s="15" t="str">
        <x:v>DATA HOLD</x:v>
      </x:c>
      <x:c r="L24" s="15" t="n">
        <x:v>299</x:v>
      </x:c>
    </x:row>
    <x:row r="25" ht="25" customHeight="1">
      <x:c r="A25" s="2"/>
      <x:c r="B25" s="2"/>
      <x:c r="C25" s="2"/>
      <x:c r="D25" s="2"/>
      <x:c r="E25" s="2"/>
      <x:c r="F25" s="2"/>
      <x:c r="G25" s="2"/>
      <x:c r="H25" s="2"/>
      <x:c r="I25" s="2"/>
      <x:c r="J25" s="2"/>
      <x:c r="K25" s="2"/>
      <x:c r="L25" s="2"/>
    </x:row>
    <x:row r="26" ht="25" customHeight="1">
      <x:c r="A26" s="2"/>
      <x:c r="B26" s="2"/>
      <x:c r="C26" s="2"/>
      <x:c r="D26" s="2"/>
      <x:c r="E26" s="2"/>
      <x:c r="F26" s="2"/>
      <x:c r="G26" s="2"/>
      <x:c r="H26" s="2"/>
      <x:c r="I26" s="2"/>
      <x:c r="J26" s="2"/>
      <x:c r="K26" s="2"/>
      <x:c r="L26" s="2"/>
    </x:row>
    <x:row r="27" ht="25" customHeight="1">
      <x:c r="A27" s="2"/>
      <x:c r="B27" s="2"/>
      <x:c r="C27" s="2"/>
      <x:c r="D27" s="2"/>
      <x:c r="E27" s="2"/>
      <x:c r="F27" s="2"/>
      <x:c r="G27" s="2"/>
      <x:c r="H27" s="2"/>
      <x:c r="I27" s="2"/>
      <x:c r="J27" s="2"/>
      <x:c r="K27" s="2"/>
      <x:c r="L27" s="2"/>
    </x:row>
    <x:row r="28" ht="40" customHeight="1">
      <x:c r="A28" s="8" t="str">
        <x:v>厨房工具</x:v>
      </x:c>
      <x:c r="B28" s="8" t="str">
        <x:v>点击购买率</x:v>
      </x:c>
      <x:c r="C28" s="2"/>
      <x:c r="D28" s="2"/>
      <x:c r="E28" s="2"/>
      <x:c r="F28" s="2"/>
      <x:c r="G28" s="2"/>
      <x:c r="H28" s="2"/>
      <x:c r="I28" s="2"/>
      <x:c r="J28" s="2"/>
      <x:c r="K28" s="2"/>
      <x:c r="L28" s="2"/>
    </x:row>
    <x:row r="29" ht="25" customHeight="1">
      <x:c r="A29" s="2" t="str">
        <x:v>省力开罐器</x:v>
      </x:c>
      <x:c r="B29" s="9" t="n">
        <x:f>E13</x:f>
        <x:v>0.268356263577118</x:v>
      </x:c>
      <x:c r="C29" s="2"/>
      <x:c r="D29" s="2"/>
      <x:c r="E29" s="2"/>
      <x:c r="F29" s="2"/>
      <x:c r="G29" s="2"/>
      <x:c r="H29" s="2"/>
      <x:c r="I29" s="2"/>
      <x:c r="J29" s="2"/>
      <x:c r="K29" s="2"/>
      <x:c r="L29" s="2"/>
    </x:row>
    <x:row r="30" ht="25" customHeight="1">
      <x:c r="A30" s="2" t="str">
        <x:v>面糊分配器</x:v>
      </x:c>
      <x:c r="B30" s="9" t="n">
        <x:f>E16</x:f>
        <x:v>0.12194114768138994</x:v>
      </x:c>
      <x:c r="C30" s="2"/>
      <x:c r="D30" s="2"/>
      <x:c r="E30" s="2"/>
      <x:c r="F30" s="2"/>
      <x:c r="G30" s="2"/>
      <x:c r="H30" s="2"/>
      <x:c r="I30" s="2"/>
      <x:c r="J30" s="2"/>
      <x:c r="K30" s="2"/>
      <x:c r="L30" s="2"/>
    </x:row>
    <x:row r="31" ht="25" customHeight="1">
      <x:c r="A31" s="2" t="str">
        <x:v>肉丸成型器</x:v>
      </x:c>
      <x:c r="B31" s="9" t="n">
        <x:f>E15</x:f>
        <x:v>0.08025456985421199</x:v>
      </x:c>
      <x:c r="C31" s="2"/>
      <x:c r="D31" s="2"/>
      <x:c r="E31" s="2"/>
      <x:c r="F31" s="2"/>
      <x:c r="G31" s="2"/>
      <x:c r="H31" s="2"/>
      <x:c r="I31" s="2"/>
      <x:c r="J31" s="2"/>
      <x:c r="K31" s="2"/>
      <x:c r="L31" s="2"/>
    </x:row>
    <x:row r="32" ht="25" customHeight="1">
      <x:c r="A32" s="2"/>
      <x:c r="B32" s="2"/>
      <x:c r="C32" s="2"/>
      <x:c r="D32" s="2"/>
      <x:c r="E32" s="2"/>
      <x:c r="F32" s="2"/>
      <x:c r="G32" s="2"/>
      <x:c r="H32" s="2"/>
      <x:c r="I32" s="2"/>
      <x:c r="J32" s="2"/>
      <x:c r="K32" s="2"/>
      <x:c r="L32" s="2"/>
    </x:row>
    <x:row r="33" ht="25" customHeight="1">
      <x:c r="A33" s="2"/>
      <x:c r="B33" s="2"/>
      <x:c r="C33" s="2"/>
      <x:c r="D33" s="2"/>
      <x:c r="E33" s="2"/>
      <x:c r="F33" s="2"/>
      <x:c r="G33" s="2"/>
      <x:c r="H33" s="2"/>
      <x:c r="I33" s="2"/>
      <x:c r="J33" s="2"/>
      <x:c r="K33" s="2"/>
      <x:c r="L33" s="2"/>
    </x:row>
    <x:row r="34" ht="25" customHeight="1">
      <x:c r="A34" s="2" t="str">
        <x:v>图表采用搜索漏斗购买率；非广告CVR。</x:v>
      </x:c>
      <x:c r="B34" s="2"/>
      <x:c r="C34" s="2"/>
      <x:c r="D34" s="2"/>
      <x:c r="E34" s="2"/>
      <x:c r="F34" s="2"/>
      <x:c r="G34" s="2"/>
      <x:c r="H34" s="2"/>
      <x:c r="I34" s="2"/>
      <x:c r="J34" s="2"/>
      <x:c r="K34" s="2"/>
      <x:c r="L34" s="2"/>
    </x:row>
    <x:row r="35" ht="25" customHeight="1">
      <x:c r="A35" s="2"/>
      <x:c r="B35" s="2"/>
      <x:c r="C35" s="2"/>
      <x:c r="D35" s="2"/>
      <x:c r="E35" s="2"/>
      <x:c r="F35" s="2"/>
      <x:c r="G35" s="2"/>
      <x:c r="H35" s="2"/>
      <x:c r="I35" s="2"/>
      <x:c r="J35" s="2"/>
      <x:c r="K35" s="2"/>
      <x:c r="L35" s="2"/>
    </x:row>
    <x:row r="36" ht="25" customHeight="1">
      <x:c r="A36" s="2"/>
      <x:c r="B36" s="2"/>
      <x:c r="C36" s="2"/>
      <x:c r="D36" s="2"/>
      <x:c r="E36" s="2"/>
      <x:c r="F36" s="2"/>
      <x:c r="G36" s="2"/>
      <x:c r="H36" s="2"/>
      <x:c r="I36" s="2"/>
      <x:c r="J36" s="2"/>
      <x:c r="K36" s="2"/>
      <x:c r="L36" s="2"/>
    </x:row>
    <x:row r="37" ht="25" customHeight="1">
      <x:c r="A37" s="2"/>
      <x:c r="B37" s="2"/>
      <x:c r="C37" s="2"/>
      <x:c r="D37" s="2"/>
      <x:c r="E37" s="2"/>
      <x:c r="F37" s="2"/>
      <x:c r="G37" s="2"/>
      <x:c r="H37" s="2"/>
      <x:c r="I37" s="2"/>
      <x:c r="J37" s="2"/>
      <x:c r="K37" s="2"/>
      <x:c r="L37" s="2"/>
    </x:row>
    <x:row r="38" ht="25" customHeight="1">
      <x:c r="A38" s="2"/>
      <x:c r="B38" s="2"/>
      <x:c r="C38" s="2"/>
      <x:c r="D38" s="2"/>
      <x:c r="E38" s="2"/>
      <x:c r="F38" s="2"/>
      <x:c r="G38" s="2"/>
      <x:c r="H38" s="2"/>
      <x:c r="I38" s="2"/>
      <x:c r="J38" s="2"/>
      <x:c r="K38" s="2"/>
      <x:c r="L38" s="2"/>
    </x:row>
    <x:row r="39" ht="25" customHeight="1">
      <x:c r="A39" s="2"/>
      <x:c r="B39" s="2"/>
      <x:c r="C39" s="2"/>
      <x:c r="D39" s="2"/>
      <x:c r="E39" s="2"/>
      <x:c r="F39" s="2"/>
      <x:c r="G39" s="2"/>
      <x:c r="H39" s="2"/>
      <x:c r="I39" s="2"/>
      <x:c r="J39" s="2"/>
      <x:c r="K39" s="2"/>
      <x:c r="L39" s="2"/>
    </x:row>
    <x:row r="40" ht="25" customHeight="1">
      <x:c r="A40" s="2"/>
      <x:c r="B40" s="2"/>
      <x:c r="C40" s="2"/>
      <x:c r="D40" s="2"/>
      <x:c r="E40" s="2"/>
      <x:c r="F40" s="2"/>
      <x:c r="G40" s="2"/>
      <x:c r="H40" s="2"/>
      <x:c r="I40" s="2"/>
      <x:c r="J40" s="2"/>
      <x:c r="K40" s="2"/>
      <x:c r="L40" s="2"/>
    </x:row>
    <x:row r="41" ht="25" customHeight="1">
      <x:c r="A41" s="2"/>
      <x:c r="B41" s="2"/>
      <x:c r="C41" s="2"/>
      <x:c r="D41" s="2"/>
      <x:c r="E41" s="2"/>
      <x:c r="F41" s="2"/>
      <x:c r="G41" s="2"/>
      <x:c r="H41" s="2"/>
      <x:c r="I41" s="2"/>
      <x:c r="J41" s="2"/>
      <x:c r="K41" s="2"/>
      <x:c r="L41" s="2"/>
    </x:row>
    <x:row r="42" ht="25" customHeight="1">
      <x:c r="A42" s="2"/>
      <x:c r="B42" s="2"/>
      <x:c r="C42" s="2"/>
      <x:c r="D42" s="2"/>
      <x:c r="E42" s="2"/>
      <x:c r="F42" s="2"/>
      <x:c r="G42" s="2"/>
      <x:c r="H42" s="2"/>
      <x:c r="I42" s="2"/>
      <x:c r="J42" s="2"/>
      <x:c r="K42" s="2"/>
      <x:c r="L42" s="2"/>
    </x:row>
    <x:row r="43" ht="25" customHeight="1">
      <x:c r="A43" s="2"/>
      <x:c r="B43" s="2"/>
      <x:c r="C43" s="2"/>
      <x:c r="D43" s="2"/>
      <x:c r="E43" s="2"/>
      <x:c r="F43" s="2"/>
      <x:c r="G43" s="2"/>
      <x:c r="H43" s="2"/>
      <x:c r="I43" s="2"/>
      <x:c r="J43" s="2"/>
      <x:c r="K43" s="2"/>
      <x:c r="L43" s="2"/>
    </x:row>
    <x:row r="44" ht="25" customHeight="1">
      <x:c r="A44" s="2"/>
      <x:c r="B44" s="2"/>
      <x:c r="C44" s="2"/>
      <x:c r="D44" s="2"/>
      <x:c r="E44" s="2"/>
      <x:c r="F44" s="2"/>
      <x:c r="G44" s="2"/>
      <x:c r="H44" s="2"/>
      <x:c r="I44" s="2"/>
      <x:c r="J44" s="2"/>
      <x:c r="K44" s="2"/>
      <x:c r="L44" s="2"/>
    </x:row>
    <x:row r="45" ht="25" customHeight="1">
      <x:c r="A45" s="2"/>
      <x:c r="B45" s="2"/>
      <x:c r="C45" s="2"/>
      <x:c r="D45" s="2"/>
      <x:c r="E45" s="2"/>
      <x:c r="F45" s="2"/>
      <x:c r="G45" s="2"/>
      <x:c r="H45" s="2"/>
      <x:c r="I45" s="2"/>
      <x:c r="J45" s="2"/>
      <x:c r="K45" s="2"/>
      <x:c r="L45" s="2"/>
    </x:row>
    <x:row r="46" ht="25" customHeight="1">
      <x:c r="A46" s="2" t="str">
        <x:v>目标售价为开发假设，不是已验证市场均价。所有候选均待核验；P0表示研究优先级。</x:v>
      </x:c>
      <x:c r="B46" s="2"/>
      <x:c r="C46" s="2"/>
      <x:c r="D46" s="2"/>
      <x:c r="E46" s="2"/>
      <x:c r="F46" s="2"/>
      <x:c r="G46" s="2"/>
      <x:c r="H46" s="2"/>
      <x:c r="I46" s="2"/>
      <x:c r="J46" s="2"/>
      <x:c r="K46" s="2"/>
      <x:c r="L46" s="2"/>
    </x:row>
    <x:row r="47" ht="25" customHeight="1">
      <x:c r="A47" s="2"/>
      <x:c r="B47" s="2"/>
      <x:c r="C47" s="2"/>
      <x:c r="D47" s="2"/>
      <x:c r="E47" s="2"/>
      <x:c r="F47" s="2"/>
      <x:c r="G47" s="2"/>
      <x:c r="H47" s="2"/>
      <x:c r="I47" s="2"/>
      <x:c r="J47" s="2"/>
      <x:c r="K47" s="2"/>
      <x:c r="L47" s="2"/>
    </x:row>
    <x:row r="48" ht="25" customHeight="1">
      <x:c r="A48" s="2"/>
      <x:c r="B48" s="2"/>
      <x:c r="C48" s="2"/>
      <x:c r="D48" s="2"/>
      <x:c r="E48" s="2"/>
      <x:c r="F48" s="2"/>
      <x:c r="G48" s="2"/>
      <x:c r="H48" s="2"/>
      <x:c r="I48" s="2"/>
      <x:c r="J48" s="2"/>
      <x:c r="K48" s="2"/>
      <x:c r="L48" s="2"/>
    </x:row>
    <x:row r="49" ht="25" customHeight="1">
      <x:c r="A49" s="2"/>
      <x:c r="B49" s="2"/>
      <x:c r="C49" s="2"/>
      <x:c r="D49" s="2"/>
      <x:c r="E49" s="2"/>
      <x:c r="F49" s="2"/>
      <x:c r="G49" s="2"/>
      <x:c r="H49" s="2"/>
      <x:c r="I49" s="2"/>
      <x:c r="J49" s="2"/>
      <x:c r="K49" s="2"/>
      <x:c r="L49" s="2"/>
    </x:row>
    <x:row r="50" ht="25" customHeight="1">
      <x:c r="A50" s="2"/>
      <x:c r="B50" s="2"/>
      <x:c r="C50" s="2"/>
      <x:c r="D50" s="2"/>
      <x:c r="E50" s="2"/>
      <x:c r="F50" s="2"/>
      <x:c r="G50" s="2"/>
      <x:c r="H50" s="2"/>
      <x:c r="I50" s="2"/>
      <x:c r="J50" s="2"/>
      <x:c r="K50" s="2"/>
      <x:c r="L50" s="2"/>
    </x:row>
    <x:row r="51" ht="25" customHeight="1">
      <x:c r="A51" s="2"/>
      <x:c r="B51" s="2"/>
      <x:c r="C51" s="2"/>
      <x:c r="D51" s="2"/>
      <x:c r="E51" s="2"/>
      <x:c r="F51" s="2"/>
      <x:c r="G51" s="2"/>
      <x:c r="H51" s="2"/>
      <x:c r="I51" s="2"/>
      <x:c r="J51" s="2"/>
      <x:c r="K51" s="2"/>
      <x:c r="L51" s="2"/>
    </x:row>
    <x:row r="52" ht="25" customHeight="1">
      <x:c r="A52" s="2"/>
      <x:c r="B52" s="2"/>
      <x:c r="C52" s="2"/>
      <x:c r="D52" s="2"/>
      <x:c r="E52" s="2"/>
      <x:c r="F52" s="2"/>
      <x:c r="G52" s="2"/>
      <x:c r="H52" s="2"/>
      <x:c r="I52" s="2"/>
      <x:c r="J52" s="2"/>
      <x:c r="K52" s="2"/>
      <x:c r="L52" s="2"/>
    </x:row>
    <x:row r="53" ht="25" customHeight="1">
      <x:c r="A53" s="2"/>
      <x:c r="B53" s="2"/>
      <x:c r="C53" s="2"/>
      <x:c r="D53" s="2"/>
      <x:c r="E53" s="2"/>
      <x:c r="F53" s="2"/>
      <x:c r="G53" s="2"/>
      <x:c r="H53" s="2"/>
      <x:c r="I53" s="2"/>
      <x:c r="J53" s="2"/>
      <x:c r="K53" s="2"/>
      <x:c r="L53" s="2"/>
    </x:row>
    <x:row r="54" ht="25" customHeight="1">
      <x:c r="A54" s="2"/>
      <x:c r="B54" s="2"/>
      <x:c r="C54" s="2"/>
      <x:c r="D54" s="2"/>
      <x:c r="E54" s="2"/>
      <x:c r="F54" s="2"/>
      <x:c r="G54" s="2"/>
      <x:c r="H54" s="2"/>
      <x:c r="I54" s="2"/>
      <x:c r="J54" s="2"/>
      <x:c r="K54" s="2"/>
      <x:c r="L54" s="2"/>
    </x:row>
    <x:row r="55" ht="25" customHeight="1">
      <x:c r="A55" s="2"/>
      <x:c r="B55" s="2"/>
      <x:c r="C55" s="2"/>
      <x:c r="D55" s="2"/>
      <x:c r="E55" s="2"/>
      <x:c r="F55" s="2"/>
      <x:c r="G55" s="2"/>
      <x:c r="H55" s="2"/>
      <x:c r="I55" s="2"/>
      <x:c r="J55" s="2"/>
      <x:c r="K55" s="2"/>
      <x:c r="L55" s="2"/>
    </x:row>
  </x:sheetData>
  <x:pageMargins left="0.7" right="0.7" top="0.75" bottom="0.75" header="0.3" footer="0.3"/>
  <x:drawing xmlns:r="http://schemas.openxmlformats.org/officeDocument/2006/relationships" r:id="R7894d3427c1f43af"/>
  <x:tableParts count="1">
    <x:tablePart xmlns:r="http://schemas.openxmlformats.org/officeDocument/2006/relationships" r:id="R3ace41dbc2b6490b"/>
  </x:tableParts>
</x:worksheet>
</file>

<file path=xl/worksheets/sheet2.xml><?xml version="1.0" encoding="utf-8"?>
<x:worksheet xmlns:x="http://schemas.openxmlformats.org/spreadsheetml/2006/main">
  <x:sheetPr>
    <x:tabColor rgb="FF6280A5"/>
  </x:sheetPr>
  <x:sheetViews>
    <x:sheetView showGridLines="0" workbookViewId="0">
      <x:pane xSplit="1" ySplit="15" topLeftCell="B16" activePane="bottomRight" state="frozen"/>
    </x:sheetView>
  </x:sheetViews>
  <x:sheetFormatPr defaultRowHeight="15"/>
  <x:cols>
    <x:col min="1" max="1" width="32" hidden="0" customWidth="1"/>
    <x:col min="2" max="2" width="20" hidden="0" customWidth="1"/>
    <x:col min="3" max="3" width="66" hidden="0" customWidth="1"/>
    <x:col min="4" max="4" width="21" hidden="0" customWidth="1"/>
    <x:col min="5" max="5" width="21" hidden="0" customWidth="1"/>
    <x:col min="6" max="6" width="21" hidden="0" customWidth="1"/>
    <x:col min="7" max="7" width="19" hidden="0" customWidth="1"/>
    <x:col min="8" max="8" width="21" hidden="0" customWidth="1"/>
    <x:col min="9" max="9" width="26" hidden="0" customWidth="1"/>
    <x:col min="10" max="10" width="22" hidden="0" customWidth="1"/>
    <x:col min="11" max="11" width="23" hidden="0" customWidth="1"/>
    <x:col min="12" max="12" width="27" hidden="0" customWidth="1"/>
    <x:col min="13" max="13" width="27" hidden="0" customWidth="1"/>
  </x:cols>
  <x:sheetData>
    <x:row r="1" ht="25" customHeight="1">
      <x:c r="A1" s="2"/>
      <x:c r="B1" s="2"/>
      <x:c r="C1" s="2"/>
      <x:c r="D1" s="2"/>
      <x:c r="E1" s="2"/>
      <x:c r="F1" s="2"/>
      <x:c r="G1" s="2"/>
      <x:c r="H1" s="2"/>
      <x:c r="I1" s="2"/>
      <x:c r="J1" s="2"/>
      <x:c r="K1" s="2"/>
      <x:c r="L1" s="2"/>
      <x:c r="M1" s="2"/>
    </x:row>
    <x:row r="2" ht="32" customHeight="1">
      <x:c r="A2" s="3" t="str">
        <x:v>单位广告订单利润门槛 USD</x:v>
      </x:c>
      <x:c r="B2" s="2"/>
      <x:c r="C2" s="2"/>
      <x:c r="D2" s="2"/>
      <x:c r="E2" s="2"/>
      <x:c r="F2" s="2"/>
      <x:c r="G2" s="2"/>
      <x:c r="H2" s="2"/>
      <x:c r="I2" s="2"/>
      <x:c r="J2" s="2"/>
      <x:c r="K2" s="2"/>
      <x:c r="L2" s="2"/>
      <x:c r="M2" s="2"/>
    </x:row>
    <x:row r="3" ht="25" customHeight="1">
      <x:c r="A3" s="2"/>
      <x:c r="B3" s="2"/>
      <x:c r="C3" s="2"/>
      <x:c r="D3" s="2"/>
      <x:c r="E3" s="2"/>
      <x:c r="F3" s="2"/>
      <x:c r="G3" s="2"/>
      <x:c r="H3" s="2"/>
      <x:c r="I3" s="2"/>
      <x:c r="J3" s="2"/>
      <x:c r="K3" s="2"/>
      <x:c r="L3" s="2"/>
      <x:c r="M3" s="2"/>
    </x:row>
    <x:row r="4" ht="25" customHeight="1">
      <x:c r="A4" s="4" t="str">
        <x:v>蓝字/淡黄色为可改试算输入；仅贡献利润，未包含固定管理成本与所得税。</x:v>
      </x:c>
      <x:c r="B4" s="2"/>
      <x:c r="C4" s="2"/>
      <x:c r="D4" s="2"/>
      <x:c r="E4" s="2"/>
      <x:c r="F4" s="2"/>
      <x:c r="G4" s="2"/>
      <x:c r="H4" s="2"/>
      <x:c r="I4" s="2"/>
      <x:c r="J4" s="2"/>
      <x:c r="K4" s="2"/>
      <x:c r="L4" s="2"/>
      <x:c r="M4" s="2"/>
    </x:row>
    <x:row r="5" ht="40" customHeight="1">
      <x:c r="A5" s="8" t="str">
        <x:v>试算驱动</x:v>
      </x:c>
      <x:c r="B5" s="8" t="str">
        <x:v>默认值</x:v>
      </x:c>
      <x:c r="C5" s="8" t="str">
        <x:v>来源/含义</x:v>
      </x:c>
      <x:c r="D5" s="2"/>
      <x:c r="E5" s="2"/>
      <x:c r="F5" s="2"/>
      <x:c r="G5" s="2"/>
      <x:c r="H5" s="2"/>
      <x:c r="I5" s="2"/>
      <x:c r="J5" s="2"/>
      <x:c r="K5" s="2"/>
      <x:c r="L5" s="2"/>
      <x:c r="M5" s="2"/>
    </x:row>
    <x:row r="6" ht="38" customHeight="1">
      <x:c r="A6" s="2" t="str">
        <x:v>销售佣金率</x:v>
      </x:c>
      <x:c r="B6" s="14" t="n">
        <x:v>0.15</x:v>
      </x:c>
      <x:c r="C6" s="15" t="str">
        <x:v>示例，实际类目费率需核验</x:v>
      </x:c>
      <x:c r="D6" s="2"/>
      <x:c r="E6" s="2"/>
      <x:c r="F6" s="2"/>
      <x:c r="G6" s="2"/>
      <x:c r="H6" s="2"/>
      <x:c r="I6" s="2"/>
      <x:c r="J6" s="2"/>
      <x:c r="K6" s="2"/>
      <x:c r="L6" s="2"/>
      <x:c r="M6" s="2"/>
    </x:row>
    <x:row r="7" ht="38" customHeight="1">
      <x:c r="A7" s="2" t="str">
        <x:v>退款损失准备金/销售额</x:v>
      </x:c>
      <x:c r="B7" s="14" t="n">
        <x:v>0.05</x:v>
      </x:c>
      <x:c r="C7" s="15" t="str">
        <x:v>风险预算，非真实退款率；不再另扣退款金额</x:v>
      </x:c>
      <x:c r="D7" s="2"/>
      <x:c r="E7" s="2"/>
      <x:c r="F7" s="2"/>
      <x:c r="G7" s="2"/>
      <x:c r="H7" s="2"/>
      <x:c r="I7" s="2"/>
      <x:c r="J7" s="2"/>
      <x:c r="K7" s="2"/>
      <x:c r="L7" s="2"/>
      <x:c r="M7" s="2"/>
    </x:row>
    <x:row r="8" ht="38" customHeight="1">
      <x:c r="A8" s="2" t="str">
        <x:v>目标广告订单贡献率</x:v>
      </x:c>
      <x:c r="B8" s="14" t="n">
        <x:v>0.2</x:v>
      </x:c>
      <x:c r="C8" s="15" t="str">
        <x:v>本轮筛选假设，可改为你的利润目标</x:v>
      </x:c>
      <x:c r="D8" s="2"/>
      <x:c r="E8" s="2"/>
      <x:c r="F8" s="2"/>
      <x:c r="G8" s="2"/>
      <x:c r="H8" s="2"/>
      <x:c r="I8" s="2"/>
      <x:c r="J8" s="2"/>
      <x:c r="K8" s="2"/>
      <x:c r="L8" s="2"/>
      <x:c r="M8" s="2"/>
    </x:row>
    <x:row r="9" ht="38" customHeight="1">
      <x:c r="A9" s="2" t="str">
        <x:v>CPC试算USD</x:v>
      </x:c>
      <x:c r="B9" s="21" t="n">
        <x:v>0.6</x:v>
      </x:c>
      <x:c r="C9" s="15" t="str">
        <x:v>未知实际CPC，不能当作美国市场均值</x:v>
      </x:c>
      <x:c r="D9" s="2"/>
      <x:c r="E9" s="2"/>
      <x:c r="F9" s="2"/>
      <x:c r="G9" s="2"/>
      <x:c r="H9" s="2"/>
      <x:c r="I9" s="2"/>
      <x:c r="J9" s="2"/>
      <x:c r="K9" s="2"/>
      <x:c r="L9" s="2"/>
      <x:c r="M9" s="2"/>
    </x:row>
    <x:row r="10" ht="38" customHeight="1">
      <x:c r="A10" s="2" t="str">
        <x:v>广告点击CVR试算</x:v>
      </x:c>
      <x:c r="B10" s="14" t="n">
        <x:v>0.08</x:v>
      </x:c>
      <x:c r="C10" s="15" t="str">
        <x:v>未知实际广告CVR，未采用源表购买率</x:v>
      </x:c>
      <x:c r="D10" s="2"/>
      <x:c r="E10" s="2"/>
      <x:c r="F10" s="2"/>
      <x:c r="G10" s="2"/>
      <x:c r="H10" s="2"/>
      <x:c r="I10" s="2"/>
      <x:c r="J10" s="2"/>
      <x:c r="K10" s="2"/>
      <x:c r="L10" s="2"/>
      <x:c r="M10" s="2"/>
    </x:row>
    <x:row r="11" ht="38" customHeight="1">
      <x:c r="A11" s="2" t="str">
        <x:v>全包FBA费试算USD</x:v>
      </x:c>
      <x:c r="B11" s="21" t="n">
        <x:v>4.5</x:v>
      </x:c>
      <x:c r="C11" s="15" t="str">
        <x:v>须替换为对应包装尺寸、旺季与燃油均已包含的费用</x:v>
      </x:c>
      <x:c r="D11" s="2"/>
      <x:c r="E11" s="2"/>
      <x:c r="F11" s="2"/>
      <x:c r="G11" s="2"/>
      <x:c r="H11" s="2"/>
      <x:c r="I11" s="2"/>
      <x:c r="J11" s="2"/>
      <x:c r="K11" s="2"/>
      <x:c r="L11" s="2"/>
      <x:c r="M11" s="2"/>
    </x:row>
    <x:row r="12" ht="38" customHeight="1">
      <x:c r="A12" s="2" t="str">
        <x:v>其他变动成本USD</x:v>
      </x:c>
      <x:c r="B12" s="21" t="n">
        <x:v>0.75</x:v>
      </x:c>
      <x:c r="C12" s="15" t="str">
        <x:v>示例，需补实际仓储、移除等成本</x:v>
      </x:c>
      <x:c r="D12" s="2"/>
      <x:c r="E12" s="2"/>
      <x:c r="F12" s="2"/>
      <x:c r="G12" s="2"/>
      <x:c r="H12" s="2"/>
      <x:c r="I12" s="2"/>
      <x:c r="J12" s="2"/>
      <x:c r="K12" s="2"/>
      <x:c r="L12" s="2"/>
      <x:c r="M12" s="2"/>
    </x:row>
    <x:row r="13" ht="25" customHeight="1">
      <x:c r="A13" s="2"/>
      <x:c r="B13" s="2"/>
      <x:c r="C13" s="2"/>
      <x:c r="D13" s="2"/>
      <x:c r="E13" s="2"/>
      <x:c r="F13" s="2"/>
      <x:c r="G13" s="2"/>
      <x:c r="H13" s="2"/>
      <x:c r="I13" s="2"/>
      <x:c r="J13" s="2"/>
      <x:c r="K13" s="2"/>
      <x:c r="L13" s="2"/>
      <x:c r="M13" s="2"/>
    </x:row>
    <x:row r="14" ht="25" customHeight="1">
      <x:c r="A14" s="2"/>
      <x:c r="B14" s="2"/>
      <x:c r="C14" s="2"/>
      <x:c r="D14" s="2"/>
      <x:c r="E14" s="2"/>
      <x:c r="F14" s="2"/>
      <x:c r="G14" s="2"/>
      <x:c r="H14" s="2"/>
      <x:c r="I14" s="2"/>
      <x:c r="J14" s="2"/>
      <x:c r="K14" s="2"/>
      <x:c r="L14" s="2"/>
      <x:c r="M14" s="2"/>
    </x:row>
    <x:row r="15" ht="55" customHeight="1">
      <x:c r="A15" s="8" t="str">
        <x:v>方向</x:v>
      </x:c>
      <x:c r="B15" s="8" t="str">
        <x:v>试算售价</x:v>
      </x:c>
      <x:c r="C15" s="8" t="str">
        <x:v>到岸成本待填</x:v>
      </x:c>
      <x:c r="D15" s="8" t="str">
        <x:v>全包FBA试算</x:v>
      </x:c>
      <x:c r="E15" s="8" t="str">
        <x:v>其他变动成本</x:v>
      </x:c>
      <x:c r="F15" s="8" t="str">
        <x:v>广告前贡献</x:v>
      </x:c>
      <x:c r="G15" s="8" t="str">
        <x:v>盈亏ACOS</x:v>
      </x:c>
      <x:c r="H15" s="8" t="str">
        <x:v>广告CPA试算</x:v>
      </x:c>
      <x:c r="I15" s="8" t="str">
        <x:v>允许到岸成本上限</x:v>
      </x:c>
      <x:c r="J15" s="8" t="str">
        <x:v>广告后贡献</x:v>
      </x:c>
      <x:c r="K15" s="8" t="str">
        <x:v>广告后贡献率</x:v>
      </x:c>
      <x:c r="L15" s="8" t="str">
        <x:v>达到目标的CPC上限</x:v>
      </x:c>
      <x:c r="M15" s="8" t="str">
        <x:v>计算状态</x:v>
      </x:c>
    </x:row>
    <x:row r="16" ht="25" customHeight="1">
      <x:c r="A16" s="2" t="str">
        <x:v>省力手动开罐器</x:v>
      </x:c>
      <x:c r="B16" s="21" t="n">
        <x:v>29.99</x:v>
      </x:c>
      <x:c r="C16" s="21"/>
      <x:c r="D16" s="22" t="n">
        <x:f>$B$11</x:f>
        <x:v>4.5</x:v>
      </x:c>
      <x:c r="E16" s="22" t="n">
        <x:f>$B$12</x:f>
        <x:v>0.75</x:v>
      </x:c>
      <x:c r="F16" s="23" t="str">
        <x:f>IF(ISNUMBER(C16),B16*(1-$B$6-$B$7)-C16-D16-E16,"n.a.")</x:f>
        <x:v>n.a.</x:v>
      </x:c>
      <x:c r="G16" s="24" t="str">
        <x:f>IF(ISNUMBER(F16),F16/B16,"n.a.")</x:f>
        <x:v>n.a.</x:v>
      </x:c>
      <x:c r="H16" s="23" t="n">
        <x:f>IF($B$10&gt;0,$B$9/$B$10,"n.a.")</x:f>
        <x:v>7.5</x:v>
      </x:c>
      <x:c r="I16" s="23" t="n">
        <x:f>IF(ISNUMBER(H16),B16*(1-$B$6-$B$7-$B$8)-D16-E16-H16,"n.a.")</x:f>
        <x:v>5.243999999999996</x:v>
      </x:c>
      <x:c r="J16" s="23" t="str">
        <x:f>IF(AND(ISNUMBER(F16),ISNUMBER(H16)),F16-H16,"n.a.")</x:f>
        <x:v>n.a.</x:v>
      </x:c>
      <x:c r="K16" s="24" t="str">
        <x:f>IF(ISNUMBER(J16),J16/B16,"n.a.")</x:f>
        <x:v>n.a.</x:v>
      </x:c>
      <x:c r="L16" s="23" t="str">
        <x:f>IF(AND(ISNUMBER(F16),$B$10&gt;0),(F16-B16*$B$8)*$B$10,"n.a.")</x:f>
        <x:v>n.a.</x:v>
      </x:c>
      <x:c r="M16" s="2" t="str">
        <x:f>IF(NOT(ISNUMBER(C16)),"待补到岸成本",IF(NOT(ISNUMBER(K16)),"检查广告CVR",IF(K16&gt;=$B$8,"试算达到目标","试算未达目标")))</x:f>
        <x:v>待补到岸成本</x:v>
      </x:c>
    </x:row>
    <x:row r="17" ht="25" customHeight="1">
      <x:c r="A17" s="2" t="str">
        <x:v>剥线压线工具套装</x:v>
      </x:c>
      <x:c r="B17" s="21" t="n">
        <x:v>29.99</x:v>
      </x:c>
      <x:c r="C17" s="21"/>
      <x:c r="D17" s="22" t="n">
        <x:f>$B$11</x:f>
        <x:v>4.5</x:v>
      </x:c>
      <x:c r="E17" s="22" t="n">
        <x:f>$B$12</x:f>
        <x:v>0.75</x:v>
      </x:c>
      <x:c r="F17" s="23" t="str">
        <x:f>IF(ISNUMBER(C17),B17*(1-$B$6-$B$7)-C17-D17-E17,"n.a.")</x:f>
        <x:v>n.a.</x:v>
      </x:c>
      <x:c r="G17" s="24" t="str">
        <x:f>IF(ISNUMBER(F17),F17/B17,"n.a.")</x:f>
        <x:v>n.a.</x:v>
      </x:c>
      <x:c r="H17" s="23" t="n">
        <x:f>IF($B$10&gt;0,$B$9/$B$10,"n.a.")</x:f>
        <x:v>7.5</x:v>
      </x:c>
      <x:c r="I17" s="23" t="n">
        <x:f>IF(ISNUMBER(H17),B17*(1-$B$6-$B$7-$B$8)-D17-E17-H17,"n.a.")</x:f>
        <x:v>5.243999999999996</x:v>
      </x:c>
      <x:c r="J17" s="23" t="str">
        <x:f>IF(AND(ISNUMBER(F17),ISNUMBER(H17)),F17-H17,"n.a.")</x:f>
        <x:v>n.a.</x:v>
      </x:c>
      <x:c r="K17" s="24" t="str">
        <x:f>IF(ISNUMBER(J17),J17/B17,"n.a.")</x:f>
        <x:v>n.a.</x:v>
      </x:c>
      <x:c r="L17" s="23" t="str">
        <x:f>IF(AND(ISNUMBER(F17),$B$10&gt;0),(F17-B17*$B$8)*$B$10,"n.a.")</x:f>
        <x:v>n.a.</x:v>
      </x:c>
      <x:c r="M17" s="2" t="str">
        <x:f>IF(NOT(ISNUMBER(C17)),"待补到岸成本",IF(NOT(ISNUMBER(K17)),"检查广告CVR",IF(K17&gt;=$B$8,"试算达到目标","试算未达目标")))</x:f>
        <x:v>待补到岸成本</x:v>
      </x:c>
    </x:row>
    <x:row r="18" ht="25" customHeight="1">
      <x:c r="A18" s="2" t="str">
        <x:v>肉丸成型工具</x:v>
      </x:c>
      <x:c r="B18" s="21" t="n">
        <x:v>19.99</x:v>
      </x:c>
      <x:c r="C18" s="21"/>
      <x:c r="D18" s="22" t="n">
        <x:f>$B$11</x:f>
        <x:v>4.5</x:v>
      </x:c>
      <x:c r="E18" s="22" t="n">
        <x:f>$B$12</x:f>
        <x:v>0.75</x:v>
      </x:c>
      <x:c r="F18" s="23" t="str">
        <x:f>IF(ISNUMBER(C18),B18*(1-$B$6-$B$7)-C18-D18-E18,"n.a.")</x:f>
        <x:v>n.a.</x:v>
      </x:c>
      <x:c r="G18" s="24" t="str">
        <x:f>IF(ISNUMBER(F18),F18/B18,"n.a.")</x:f>
        <x:v>n.a.</x:v>
      </x:c>
      <x:c r="H18" s="23" t="n">
        <x:f>IF($B$10&gt;0,$B$9/$B$10,"n.a.")</x:f>
        <x:v>7.5</x:v>
      </x:c>
      <x:c r="I18" s="23" t="n">
        <x:f>IF(ISNUMBER(H18),B18*(1-$B$6-$B$7-$B$8)-D18-E18-H18,"n.a.")</x:f>
        <x:v>-0.7560000000000038</x:v>
      </x:c>
      <x:c r="J18" s="23" t="str">
        <x:f>IF(AND(ISNUMBER(F18),ISNUMBER(H18)),F18-H18,"n.a.")</x:f>
        <x:v>n.a.</x:v>
      </x:c>
      <x:c r="K18" s="24" t="str">
        <x:f>IF(ISNUMBER(J18),J18/B18,"n.a.")</x:f>
        <x:v>n.a.</x:v>
      </x:c>
      <x:c r="L18" s="23" t="str">
        <x:f>IF(AND(ISNUMBER(F18),$B$10&gt;0),(F18-B18*$B$8)*$B$10,"n.a.")</x:f>
        <x:v>n.a.</x:v>
      </x:c>
      <x:c r="M18" s="2" t="str">
        <x:f>IF(NOT(ISNUMBER(C18)),"待补到岸成本",IF(NOT(ISNUMBER(K18)),"检查广告CVR",IF(K18&gt;=$B$8,"试算达到目标","试算未达目标")))</x:f>
        <x:v>待补到岸成本</x:v>
      </x:c>
    </x:row>
    <x:row r="19" ht="25" customHeight="1">
      <x:c r="A19" s="2" t="str">
        <x:v>面糊分配器</x:v>
      </x:c>
      <x:c r="B19" s="21" t="n">
        <x:v>24.99</x:v>
      </x:c>
      <x:c r="C19" s="21"/>
      <x:c r="D19" s="22" t="n">
        <x:f>$B$11</x:f>
        <x:v>4.5</x:v>
      </x:c>
      <x:c r="E19" s="22" t="n">
        <x:f>$B$12</x:f>
        <x:v>0.75</x:v>
      </x:c>
      <x:c r="F19" s="23" t="str">
        <x:f>IF(ISNUMBER(C19),B19*(1-$B$6-$B$7)-C19-D19-E19,"n.a.")</x:f>
        <x:v>n.a.</x:v>
      </x:c>
      <x:c r="G19" s="24" t="str">
        <x:f>IF(ISNUMBER(F19),F19/B19,"n.a.")</x:f>
        <x:v>n.a.</x:v>
      </x:c>
      <x:c r="H19" s="23" t="n">
        <x:f>IF($B$10&gt;0,$B$9/$B$10,"n.a.")</x:f>
        <x:v>7.5</x:v>
      </x:c>
      <x:c r="I19" s="23" t="n">
        <x:f>IF(ISNUMBER(H19),B19*(1-$B$6-$B$7-$B$8)-D19-E19-H19,"n.a.")</x:f>
        <x:v>2.243999999999996</x:v>
      </x:c>
      <x:c r="J19" s="23" t="str">
        <x:f>IF(AND(ISNUMBER(F19),ISNUMBER(H19)),F19-H19,"n.a.")</x:f>
        <x:v>n.a.</x:v>
      </x:c>
      <x:c r="K19" s="24" t="str">
        <x:f>IF(ISNUMBER(J19),J19/B19,"n.a.")</x:f>
        <x:v>n.a.</x:v>
      </x:c>
      <x:c r="L19" s="23" t="str">
        <x:f>IF(AND(ISNUMBER(F19),$B$10&gt;0),(F19-B19*$B$8)*$B$10,"n.a.")</x:f>
        <x:v>n.a.</x:v>
      </x:c>
      <x:c r="M19" s="2" t="str">
        <x:f>IF(NOT(ISNUMBER(C19)),"待补到岸成本",IF(NOT(ISNUMBER(K19)),"检查广告CVR",IF(K19&gt;=$B$8,"试算达到目标","试算未达目标")))</x:f>
        <x:v>待补到岸成本</x:v>
      </x:c>
    </x:row>
    <x:row r="20" ht="25" customHeight="1">
      <x:c r="A20" s="2" t="str">
        <x:v>窄台面咖啡收纳架</x:v>
      </x:c>
      <x:c r="B20" s="21" t="n">
        <x:v>29.99</x:v>
      </x:c>
      <x:c r="C20" s="21"/>
      <x:c r="D20" s="22" t="n">
        <x:f>$B$11</x:f>
        <x:v>4.5</x:v>
      </x:c>
      <x:c r="E20" s="22" t="n">
        <x:f>$B$12</x:f>
        <x:v>0.75</x:v>
      </x:c>
      <x:c r="F20" s="23" t="str">
        <x:f>IF(ISNUMBER(C20),B20*(1-$B$6-$B$7)-C20-D20-E20,"n.a.")</x:f>
        <x:v>n.a.</x:v>
      </x:c>
      <x:c r="G20" s="24" t="str">
        <x:f>IF(ISNUMBER(F20),F20/B20,"n.a.")</x:f>
        <x:v>n.a.</x:v>
      </x:c>
      <x:c r="H20" s="23" t="n">
        <x:f>IF($B$10&gt;0,$B$9/$B$10,"n.a.")</x:f>
        <x:v>7.5</x:v>
      </x:c>
      <x:c r="I20" s="23" t="n">
        <x:f>IF(ISNUMBER(H20),B20*(1-$B$6-$B$7-$B$8)-D20-E20-H20,"n.a.")</x:f>
        <x:v>5.243999999999996</x:v>
      </x:c>
      <x:c r="J20" s="23" t="str">
        <x:f>IF(AND(ISNUMBER(F20),ISNUMBER(H20)),F20-H20,"n.a.")</x:f>
        <x:v>n.a.</x:v>
      </x:c>
      <x:c r="K20" s="24" t="str">
        <x:f>IF(ISNUMBER(J20),J20/B20,"n.a.")</x:f>
        <x:v>n.a.</x:v>
      </x:c>
      <x:c r="L20" s="23" t="str">
        <x:f>IF(AND(ISNUMBER(F20),$B$10&gt;0),(F20-B20*$B$8)*$B$10,"n.a.")</x:f>
        <x:v>n.a.</x:v>
      </x:c>
      <x:c r="M20" s="2" t="str">
        <x:f>IF(NOT(ISNUMBER(C20)),"待补到岸成本",IF(NOT(ISNUMBER(K20)),"检查广告CVR",IF(K20&gt;=$B$8,"试算达到目标","试算未达目标")))</x:f>
        <x:v>待补到岸成本</x:v>
      </x:c>
    </x:row>
    <x:row r="21" ht="25" customHeight="1">
      <x:c r="A21" s="2" t="str">
        <x:v>头皮涂油工具</x:v>
      </x:c>
      <x:c r="B21" s="21" t="n">
        <x:v>14.99</x:v>
      </x:c>
      <x:c r="C21" s="21"/>
      <x:c r="D21" s="22" t="n">
        <x:f>$B$11</x:f>
        <x:v>4.5</x:v>
      </x:c>
      <x:c r="E21" s="22" t="n">
        <x:f>$B$12</x:f>
        <x:v>0.75</x:v>
      </x:c>
      <x:c r="F21" s="23" t="str">
        <x:f>IF(ISNUMBER(C21),B21*(1-$B$6-$B$7)-C21-D21-E21,"n.a.")</x:f>
        <x:v>n.a.</x:v>
      </x:c>
      <x:c r="G21" s="24" t="str">
        <x:f>IF(ISNUMBER(F21),F21/B21,"n.a.")</x:f>
        <x:v>n.a.</x:v>
      </x:c>
      <x:c r="H21" s="23" t="n">
        <x:f>IF($B$10&gt;0,$B$9/$B$10,"n.a.")</x:f>
        <x:v>7.5</x:v>
      </x:c>
      <x:c r="I21" s="23" t="n">
        <x:f>IF(ISNUMBER(H21),B21*(1-$B$6-$B$7-$B$8)-D21-E21-H21,"n.a.")</x:f>
        <x:v>-3.756000000000002</x:v>
      </x:c>
      <x:c r="J21" s="23" t="str">
        <x:f>IF(AND(ISNUMBER(F21),ISNUMBER(H21)),F21-H21,"n.a.")</x:f>
        <x:v>n.a.</x:v>
      </x:c>
      <x:c r="K21" s="24" t="str">
        <x:f>IF(ISNUMBER(J21),J21/B21,"n.a.")</x:f>
        <x:v>n.a.</x:v>
      </x:c>
      <x:c r="L21" s="23" t="str">
        <x:f>IF(AND(ISNUMBER(F21),$B$10&gt;0),(F21-B21*$B$8)*$B$10,"n.a.")</x:f>
        <x:v>n.a.</x:v>
      </x:c>
      <x:c r="M21" s="2" t="str">
        <x:f>IF(NOT(ISNUMBER(C21)),"待补到岸成本",IF(NOT(ISNUMBER(K21)),"检查广告CVR",IF(K21&gt;=$B$8,"试算达到目标","试算未达目标")))</x:f>
        <x:v>待补到岸成本</x:v>
      </x:c>
    </x:row>
    <x:row r="22" ht="25" customHeight="1">
      <x:c r="A22" s="2" t="str">
        <x:v>折叠面包切片导向器</x:v>
      </x:c>
      <x:c r="B22" s="21" t="n">
        <x:v>29.99</x:v>
      </x:c>
      <x:c r="C22" s="21"/>
      <x:c r="D22" s="22" t="n">
        <x:f>$B$11</x:f>
        <x:v>4.5</x:v>
      </x:c>
      <x:c r="E22" s="22" t="n">
        <x:f>$B$12</x:f>
        <x:v>0.75</x:v>
      </x:c>
      <x:c r="F22" s="23" t="str">
        <x:f>IF(ISNUMBER(C22),B22*(1-$B$6-$B$7)-C22-D22-E22,"n.a.")</x:f>
        <x:v>n.a.</x:v>
      </x:c>
      <x:c r="G22" s="24" t="str">
        <x:f>IF(ISNUMBER(F22),F22/B22,"n.a.")</x:f>
        <x:v>n.a.</x:v>
      </x:c>
      <x:c r="H22" s="23" t="n">
        <x:f>IF($B$10&gt;0,$B$9/$B$10,"n.a.")</x:f>
        <x:v>7.5</x:v>
      </x:c>
      <x:c r="I22" s="23" t="n">
        <x:f>IF(ISNUMBER(H22),B22*(1-$B$6-$B$7-$B$8)-D22-E22-H22,"n.a.")</x:f>
        <x:v>5.243999999999996</x:v>
      </x:c>
      <x:c r="J22" s="23" t="str">
        <x:f>IF(AND(ISNUMBER(F22),ISNUMBER(H22)),F22-H22,"n.a.")</x:f>
        <x:v>n.a.</x:v>
      </x:c>
      <x:c r="K22" s="24" t="str">
        <x:f>IF(ISNUMBER(J22),J22/B22,"n.a.")</x:f>
        <x:v>n.a.</x:v>
      </x:c>
      <x:c r="L22" s="23" t="str">
        <x:f>IF(AND(ISNUMBER(F22),$B$10&gt;0),(F22-B22*$B$8)*$B$10,"n.a.")</x:f>
        <x:v>n.a.</x:v>
      </x:c>
      <x:c r="M22" s="2" t="str">
        <x:f>IF(NOT(ISNUMBER(C22)),"待补到岸成本",IF(NOT(ISNUMBER(K22)),"检查广告CVR",IF(K22&gt;=$B$8,"试算达到目标","试算未达目标")))</x:f>
        <x:v>待补到岸成本</x:v>
      </x:c>
    </x:row>
    <x:row r="23" ht="25" customHeight="1">
      <x:c r="A23" s="2" t="str">
        <x:v>自行车小扭矩工具套装</x:v>
      </x:c>
      <x:c r="B23" s="21" t="n">
        <x:v>49.99</x:v>
      </x:c>
      <x:c r="C23" s="21"/>
      <x:c r="D23" s="22" t="n">
        <x:f>$B$11</x:f>
        <x:v>4.5</x:v>
      </x:c>
      <x:c r="E23" s="22" t="n">
        <x:f>$B$12</x:f>
        <x:v>0.75</x:v>
      </x:c>
      <x:c r="F23" s="23" t="str">
        <x:f>IF(ISNUMBER(C23),B23*(1-$B$6-$B$7)-C23-D23-E23,"n.a.")</x:f>
        <x:v>n.a.</x:v>
      </x:c>
      <x:c r="G23" s="24" t="str">
        <x:f>IF(ISNUMBER(F23),F23/B23,"n.a.")</x:f>
        <x:v>n.a.</x:v>
      </x:c>
      <x:c r="H23" s="23" t="n">
        <x:f>IF($B$10&gt;0,$B$9/$B$10,"n.a.")</x:f>
        <x:v>7.5</x:v>
      </x:c>
      <x:c r="I23" s="23" t="n">
        <x:f>IF(ISNUMBER(H23),B23*(1-$B$6-$B$7-$B$8)-D23-E23-H23,"n.a.")</x:f>
        <x:v>17.243999999999996</x:v>
      </x:c>
      <x:c r="J23" s="23" t="str">
        <x:f>IF(AND(ISNUMBER(F23),ISNUMBER(H23)),F23-H23,"n.a.")</x:f>
        <x:v>n.a.</x:v>
      </x:c>
      <x:c r="K23" s="24" t="str">
        <x:f>IF(ISNUMBER(J23),J23/B23,"n.a.")</x:f>
        <x:v>n.a.</x:v>
      </x:c>
      <x:c r="L23" s="23" t="str">
        <x:f>IF(AND(ISNUMBER(F23),$B$10&gt;0),(F23-B23*$B$8)*$B$10,"n.a.")</x:f>
        <x:v>n.a.</x:v>
      </x:c>
      <x:c r="M23" s="2" t="str">
        <x:f>IF(NOT(ISNUMBER(C23)),"待补到岸成本",IF(NOT(ISNUMBER(K23)),"检查广告CVR",IF(K23&gt;=$B$8,"试算达到目标","试算未达目标")))</x:f>
        <x:v>待补到岸成本</x:v>
      </x:c>
    </x:row>
    <x:row r="24" ht="25" customHeight="1">
      <x:c r="A24" s="2" t="str">
        <x:v>抹茶搅拌工具套装</x:v>
      </x:c>
      <x:c r="B24" s="21" t="n">
        <x:v>24.99</x:v>
      </x:c>
      <x:c r="C24" s="21"/>
      <x:c r="D24" s="22" t="n">
        <x:f>$B$11</x:f>
        <x:v>4.5</x:v>
      </x:c>
      <x:c r="E24" s="22" t="n">
        <x:f>$B$12</x:f>
        <x:v>0.75</x:v>
      </x:c>
      <x:c r="F24" s="23" t="str">
        <x:f>IF(ISNUMBER(C24),B24*(1-$B$6-$B$7)-C24-D24-E24,"n.a.")</x:f>
        <x:v>n.a.</x:v>
      </x:c>
      <x:c r="G24" s="24" t="str">
        <x:f>IF(ISNUMBER(F24),F24/B24,"n.a.")</x:f>
        <x:v>n.a.</x:v>
      </x:c>
      <x:c r="H24" s="23" t="n">
        <x:f>IF($B$10&gt;0,$B$9/$B$10,"n.a.")</x:f>
        <x:v>7.5</x:v>
      </x:c>
      <x:c r="I24" s="23" t="n">
        <x:f>IF(ISNUMBER(H24),B24*(1-$B$6-$B$7-$B$8)-D24-E24-H24,"n.a.")</x:f>
        <x:v>2.243999999999996</x:v>
      </x:c>
      <x:c r="J24" s="23" t="str">
        <x:f>IF(AND(ISNUMBER(F24),ISNUMBER(H24)),F24-H24,"n.a.")</x:f>
        <x:v>n.a.</x:v>
      </x:c>
      <x:c r="K24" s="24" t="str">
        <x:f>IF(ISNUMBER(J24),J24/B24,"n.a.")</x:f>
        <x:v>n.a.</x:v>
      </x:c>
      <x:c r="L24" s="23" t="str">
        <x:f>IF(AND(ISNUMBER(F24),$B$10&gt;0),(F24-B24*$B$8)*$B$10,"n.a.")</x:f>
        <x:v>n.a.</x:v>
      </x:c>
      <x:c r="M24" s="2" t="str">
        <x:f>IF(NOT(ISNUMBER(C24)),"待补到岸成本",IF(NOT(ISNUMBER(K24)),"检查广告CVR",IF(K24&gt;=$B$8,"试算达到目标","试算未达目标")))</x:f>
        <x:v>待补到岸成本</x:v>
      </x:c>
    </x:row>
    <x:row r="25" ht="25" customHeight="1">
      <x:c r="A25" s="2" t="str">
        <x:v>原创读经标注工具包</x:v>
      </x:c>
      <x:c r="B25" s="21" t="n">
        <x:v>24.99</x:v>
      </x:c>
      <x:c r="C25" s="21"/>
      <x:c r="D25" s="22" t="n">
        <x:f>$B$11</x:f>
        <x:v>4.5</x:v>
      </x:c>
      <x:c r="E25" s="22" t="n">
        <x:f>$B$12</x:f>
        <x:v>0.75</x:v>
      </x:c>
      <x:c r="F25" s="23" t="str">
        <x:f>IF(ISNUMBER(C25),B25*(1-$B$6-$B$7)-C25-D25-E25,"n.a.")</x:f>
        <x:v>n.a.</x:v>
      </x:c>
      <x:c r="G25" s="24" t="str">
        <x:f>IF(ISNUMBER(F25),F25/B25,"n.a.")</x:f>
        <x:v>n.a.</x:v>
      </x:c>
      <x:c r="H25" s="23" t="n">
        <x:f>IF($B$10&gt;0,$B$9/$B$10,"n.a.")</x:f>
        <x:v>7.5</x:v>
      </x:c>
      <x:c r="I25" s="23" t="n">
        <x:f>IF(ISNUMBER(H25),B25*(1-$B$6-$B$7-$B$8)-D25-E25-H25,"n.a.")</x:f>
        <x:v>2.243999999999996</x:v>
      </x:c>
      <x:c r="J25" s="23" t="str">
        <x:f>IF(AND(ISNUMBER(F25),ISNUMBER(H25)),F25-H25,"n.a.")</x:f>
        <x:v>n.a.</x:v>
      </x:c>
      <x:c r="K25" s="24" t="str">
        <x:f>IF(ISNUMBER(J25),J25/B25,"n.a.")</x:f>
        <x:v>n.a.</x:v>
      </x:c>
      <x:c r="L25" s="23" t="str">
        <x:f>IF(AND(ISNUMBER(F25),$B$10&gt;0),(F25-B25*$B$8)*$B$10,"n.a.")</x:f>
        <x:v>n.a.</x:v>
      </x:c>
      <x:c r="M25" s="2" t="str">
        <x:f>IF(NOT(ISNUMBER(C25)),"待补到岸成本",IF(NOT(ISNUMBER(K25)),"检查广告CVR",IF(K25&gt;=$B$8,"试算达到目标","试算未达目标")))</x:f>
        <x:v>待补到岸成本</x:v>
      </x:c>
    </x:row>
    <x:row r="26" ht="25" customHeight="1">
      <x:c r="A26" s="2" t="str">
        <x:v>小型氛围灯</x:v>
      </x:c>
      <x:c r="B26" s="21" t="n">
        <x:v>39.99</x:v>
      </x:c>
      <x:c r="C26" s="21"/>
      <x:c r="D26" s="22" t="n">
        <x:f>$B$11</x:f>
        <x:v>4.5</x:v>
      </x:c>
      <x:c r="E26" s="22" t="n">
        <x:f>$B$12</x:f>
        <x:v>0.75</x:v>
      </x:c>
      <x:c r="F26" s="23" t="str">
        <x:f>IF(ISNUMBER(C26),B26*(1-$B$6-$B$7)-C26-D26-E26,"n.a.")</x:f>
        <x:v>n.a.</x:v>
      </x:c>
      <x:c r="G26" s="24" t="str">
        <x:f>IF(ISNUMBER(F26),F26/B26,"n.a.")</x:f>
        <x:v>n.a.</x:v>
      </x:c>
      <x:c r="H26" s="23" t="n">
        <x:f>IF($B$10&gt;0,$B$9/$B$10,"n.a.")</x:f>
        <x:v>7.5</x:v>
      </x:c>
      <x:c r="I26" s="23" t="n">
        <x:f>IF(ISNUMBER(H26),B26*(1-$B$6-$B$7-$B$8)-D26-E26-H26,"n.a.")</x:f>
        <x:v>11.243999999999996</x:v>
      </x:c>
      <x:c r="J26" s="23" t="str">
        <x:f>IF(AND(ISNUMBER(F26),ISNUMBER(H26)),F26-H26,"n.a.")</x:f>
        <x:v>n.a.</x:v>
      </x:c>
      <x:c r="K26" s="24" t="str">
        <x:f>IF(ISNUMBER(J26),J26/B26,"n.a.")</x:f>
        <x:v>n.a.</x:v>
      </x:c>
      <x:c r="L26" s="23" t="str">
        <x:f>IF(AND(ISNUMBER(F26),$B$10&gt;0),(F26-B26*$B$8)*$B$10,"n.a.")</x:f>
        <x:v>n.a.</x:v>
      </x:c>
      <x:c r="M26" s="2" t="str">
        <x:f>IF(NOT(ISNUMBER(C26)),"待补到岸成本",IF(NOT(ISNUMBER(K26)),"检查广告CVR",IF(K26&gt;=$B$8,"试算达到目标","试算未达目标")))</x:f>
        <x:v>待补到岸成本</x:v>
      </x:c>
    </x:row>
    <x:row r="27" ht="25" customHeight="1">
      <x:c r="A27" s="2" t="str">
        <x:v>陶瓷柜门旋钮套装</x:v>
      </x:c>
      <x:c r="B27" s="21" t="n">
        <x:v>24.99</x:v>
      </x:c>
      <x:c r="C27" s="21"/>
      <x:c r="D27" s="22" t="n">
        <x:f>$B$11</x:f>
        <x:v>4.5</x:v>
      </x:c>
      <x:c r="E27" s="22" t="n">
        <x:f>$B$12</x:f>
        <x:v>0.75</x:v>
      </x:c>
      <x:c r="F27" s="23" t="str">
        <x:f>IF(ISNUMBER(C27),B27*(1-$B$6-$B$7)-C27-D27-E27,"n.a.")</x:f>
        <x:v>n.a.</x:v>
      </x:c>
      <x:c r="G27" s="24" t="str">
        <x:f>IF(ISNUMBER(F27),F27/B27,"n.a.")</x:f>
        <x:v>n.a.</x:v>
      </x:c>
      <x:c r="H27" s="23" t="n">
        <x:f>IF($B$10&gt;0,$B$9/$B$10,"n.a.")</x:f>
        <x:v>7.5</x:v>
      </x:c>
      <x:c r="I27" s="23" t="n">
        <x:f>IF(ISNUMBER(H27),B27*(1-$B$6-$B$7-$B$8)-D27-E27-H27,"n.a.")</x:f>
        <x:v>2.243999999999996</x:v>
      </x:c>
      <x:c r="J27" s="23" t="str">
        <x:f>IF(AND(ISNUMBER(F27),ISNUMBER(H27)),F27-H27,"n.a.")</x:f>
        <x:v>n.a.</x:v>
      </x:c>
      <x:c r="K27" s="24" t="str">
        <x:f>IF(ISNUMBER(J27),J27/B27,"n.a.")</x:f>
        <x:v>n.a.</x:v>
      </x:c>
      <x:c r="L27" s="23" t="str">
        <x:f>IF(AND(ISNUMBER(F27),$B$10&gt;0),(F27-B27*$B$8)*$B$10,"n.a.")</x:f>
        <x:v>n.a.</x:v>
      </x:c>
      <x:c r="M27" s="2" t="str">
        <x:f>IF(NOT(ISNUMBER(C27)),"待补到岸成本",IF(NOT(ISNUMBER(K27)),"检查广告CVR",IF(K27&gt;=$B$8,"试算达到目标","试算未达目标")))</x:f>
        <x:v>待补到岸成本</x:v>
      </x:c>
    </x:row>
    <x:row r="28" ht="25" customHeight="1">
      <x:c r="A28" s="2"/>
      <x:c r="B28" s="16"/>
      <x:c r="C28" s="16"/>
      <x:c r="D28" s="22"/>
      <x:c r="E28" s="22"/>
      <x:c r="F28" s="23"/>
      <x:c r="G28" s="24"/>
      <x:c r="H28" s="23"/>
      <x:c r="I28" s="23"/>
      <x:c r="J28" s="23"/>
      <x:c r="K28" s="24"/>
      <x:c r="L28" s="23"/>
      <x:c r="M28" s="2"/>
    </x:row>
    <x:row r="29" ht="25" customHeight="1">
      <x:c r="A29" s="2"/>
      <x:c r="B29" s="16"/>
      <x:c r="C29" s="16"/>
      <x:c r="D29" s="22"/>
      <x:c r="E29" s="22"/>
      <x:c r="F29" s="23"/>
      <x:c r="G29" s="24"/>
      <x:c r="H29" s="23"/>
      <x:c r="I29" s="23"/>
      <x:c r="J29" s="23"/>
      <x:c r="K29" s="24"/>
      <x:c r="L29" s="23"/>
      <x:c r="M29" s="2"/>
    </x:row>
    <x:row r="30" ht="25" customHeight="1">
      <x:c r="A30" s="2" t="str">
        <x:v>计算示例：成本及广告参数均为假设</x:v>
      </x:c>
      <x:c r="B30" s="16"/>
      <x:c r="C30" s="16"/>
      <x:c r="D30" s="22"/>
      <x:c r="E30" s="22"/>
      <x:c r="F30" s="23"/>
      <x:c r="G30" s="24"/>
      <x:c r="H30" s="23"/>
      <x:c r="I30" s="23"/>
      <x:c r="J30" s="23"/>
      <x:c r="K30" s="24"/>
      <x:c r="L30" s="23"/>
      <x:c r="M30" s="2"/>
    </x:row>
    <x:row r="31" ht="25" customHeight="1">
      <x:c r="A31" s="2" t="str">
        <x:v>示例：29.99美元产品</x:v>
      </x:c>
      <x:c r="B31" s="21" t="n">
        <x:v>29.99</x:v>
      </x:c>
      <x:c r="C31" s="21" t="n">
        <x:v>7</x:v>
      </x:c>
      <x:c r="D31" s="22" t="n">
        <x:f>$B$11</x:f>
        <x:v>4.5</x:v>
      </x:c>
      <x:c r="E31" s="22" t="n">
        <x:f>$B$12</x:f>
        <x:v>0.75</x:v>
      </x:c>
      <x:c r="F31" s="23" t="n">
        <x:f>IF(ISNUMBER(C31),B31*(1-$B$6-$B$7)-C31-D31-E31,"n.a.")</x:f>
        <x:v>11.741999999999997</x:v>
      </x:c>
      <x:c r="G31" s="24" t="n">
        <x:f>IF(ISNUMBER(F31),F31/B31,"n.a.")</x:f>
        <x:v>0.39153051017005663</x:v>
      </x:c>
      <x:c r="H31" s="23" t="n">
        <x:f>IF($B$10&gt;0,$B$9/$B$10,"n.a.")</x:f>
        <x:v>7.5</x:v>
      </x:c>
      <x:c r="I31" s="23" t="n">
        <x:f>IF(ISNUMBER(H31),B31*(1-$B$6-$B$7-$B$8)-D31-E31-H31,"n.a.")</x:f>
        <x:v>5.243999999999996</x:v>
      </x:c>
      <x:c r="J31" s="23" t="n">
        <x:f>IF(AND(ISNUMBER(F31),ISNUMBER(H31)),F31-H31,"n.a.")</x:f>
        <x:v>4.241999999999997</x:v>
      </x:c>
      <x:c r="K31" s="24" t="n">
        <x:f>IF(ISNUMBER(J31),J31/B31,"n.a.")</x:f>
        <x:v>0.14144714904968314</x:v>
      </x:c>
      <x:c r="L31" s="23" t="n">
        <x:f>IF(AND(ISNUMBER(F31),$B$10&gt;0),(F31-B31*$B$8)*$B$10,"n.a.")</x:f>
        <x:v>0.45951999999999976</x:v>
      </x:c>
      <x:c r="M31" s="2" t="str">
        <x:f>IF(NOT(ISNUMBER(C31)),"待补到岸成本",IF(NOT(ISNUMBER(K31)),"检查广告CVR",IF(K31&gt;=$B$8,"试算达到目标","试算未达目标")))</x:f>
        <x:v>试算未达目标</x:v>
      </x:c>
    </x:row>
    <x:row r="32" ht="25" customHeight="1">
      <x:c r="A32" s="2"/>
      <x:c r="B32" s="2"/>
      <x:c r="C32" s="2"/>
      <x:c r="D32" s="2"/>
      <x:c r="E32" s="2"/>
      <x:c r="F32" s="2"/>
      <x:c r="G32" s="2"/>
      <x:c r="H32" s="2"/>
      <x:c r="I32" s="2"/>
      <x:c r="J32" s="2"/>
      <x:c r="K32" s="2"/>
      <x:c r="L32" s="2"/>
      <x:c r="M32" s="2"/>
    </x:row>
    <x:row r="33" ht="25" customHeight="1">
      <x:c r="A33" s="2"/>
      <x:c r="B33" s="2"/>
      <x:c r="C33" s="2"/>
      <x:c r="D33" s="2"/>
      <x:c r="E33" s="2"/>
      <x:c r="F33" s="2"/>
      <x:c r="G33" s="2"/>
      <x:c r="H33" s="2"/>
      <x:c r="I33" s="2"/>
      <x:c r="J33" s="2"/>
      <x:c r="K33" s="2"/>
      <x:c r="L33" s="2"/>
      <x:c r="M33" s="2"/>
    </x:row>
    <x:row r="34" ht="25" customHeight="1">
      <x:c r="A34" s="2"/>
      <x:c r="B34" s="2"/>
      <x:c r="C34" s="2"/>
      <x:c r="D34" s="2"/>
      <x:c r="E34" s="2"/>
      <x:c r="F34" s="2"/>
      <x:c r="G34" s="2"/>
      <x:c r="H34" s="2"/>
      <x:c r="I34" s="2"/>
      <x:c r="J34" s="2"/>
      <x:c r="K34" s="2"/>
      <x:c r="L34" s="2"/>
      <x:c r="M34" s="2"/>
    </x:row>
    <x:row r="35" ht="40" customHeight="1">
      <x:c r="A35" s="8" t="str">
        <x:v>定义</x:v>
      </x:c>
      <x:c r="B35" s="8"/>
      <x:c r="C35" s="8" t="str">
        <x:v>解释</x:v>
      </x:c>
      <x:c r="D35" s="2"/>
      <x:c r="E35" s="2"/>
      <x:c r="F35" s="2"/>
      <x:c r="G35" s="2"/>
      <x:c r="H35" s="2"/>
      <x:c r="I35" s="2"/>
      <x:c r="J35" s="2"/>
      <x:c r="K35" s="2"/>
      <x:c r="L35" s="2"/>
      <x:c r="M35" s="2"/>
    </x:row>
    <x:row r="36" ht="70" customHeight="1">
      <x:c r="A36" s="15" t="str">
        <x:v>到岸成本</x:v>
      </x:c>
      <x:c r="B36" s="15"/>
      <x:c r="C36" s="15" t="str">
        <x:v>采购、包装、头程、关税等到达可售库存前的成本总和。禁止漏计关税。</x:v>
      </x:c>
      <x:c r="D36" s="2"/>
      <x:c r="E36" s="2"/>
      <x:c r="F36" s="2"/>
      <x:c r="G36" s="2"/>
      <x:c r="H36" s="2"/>
      <x:c r="I36" s="2"/>
      <x:c r="J36" s="2"/>
      <x:c r="K36" s="2"/>
      <x:c r="L36" s="2"/>
      <x:c r="M36" s="2"/>
    </x:row>
    <x:row r="37" ht="70" customHeight="1">
      <x:c r="A37" s="15" t="str">
        <x:v>允许成本上限</x:v>
      </x:c>
      <x:c r="B37" s="15"/>
      <x:c r="C37" s="15" t="str">
        <x:v>售价×(1−佣金率−退款损失准备率−目标贡献率)−全包FBA−其他变动成本−广告CPA。</x:v>
      </x:c>
      <x:c r="D37" s="2"/>
      <x:c r="E37" s="2"/>
      <x:c r="F37" s="2"/>
      <x:c r="G37" s="2"/>
      <x:c r="H37" s="2"/>
      <x:c r="I37" s="2"/>
      <x:c r="J37" s="2"/>
      <x:c r="K37" s="2"/>
      <x:c r="L37" s="2"/>
      <x:c r="M37" s="2"/>
    </x:row>
    <x:row r="38" ht="70" customHeight="1">
      <x:c r="A38" s="15" t="str">
        <x:v>CPC上限</x:v>
      </x:c>
      <x:c r="B38" s="15"/>
      <x:c r="C38" s="15" t="str">
        <x:v>(广告前单位贡献−售价×目标贡献率)×广告点击CVR。负值表示广告前贡献也不足。</x:v>
      </x:c>
      <x:c r="D38" s="2"/>
      <x:c r="E38" s="2"/>
      <x:c r="F38" s="2"/>
      <x:c r="G38" s="2"/>
      <x:c r="H38" s="2"/>
      <x:c r="I38" s="2"/>
      <x:c r="J38" s="2"/>
      <x:c r="K38" s="2"/>
      <x:c r="L38" s="2"/>
      <x:c r="M38" s="2"/>
    </x:row>
    <x:row r="39" ht="70" customHeight="1">
      <x:c r="A39" s="15" t="str">
        <x:v>盈亏ACOS</x:v>
      </x:c>
      <x:c r="B39" s="15"/>
      <x:c r="C39" s="15" t="str">
        <x:v>广告前贡献/售价。按广告归因毛销售额计算，与TACOS分母不同。</x:v>
      </x:c>
      <x:c r="D39" s="2"/>
      <x:c r="E39" s="2"/>
      <x:c r="F39" s="2"/>
      <x:c r="G39" s="2"/>
      <x:c r="H39" s="2"/>
      <x:c r="I39" s="2"/>
      <x:c r="J39" s="2"/>
      <x:c r="K39" s="2"/>
      <x:c r="L39" s="2"/>
      <x:c r="M39" s="2"/>
    </x:row>
    <x:row r="40" ht="70" customHeight="1">
      <x:c r="A40" s="15" t="str">
        <x:v>缺失与零</x:v>
      </x:c>
      <x:c r="B40" s="15"/>
      <x:c r="C40" s="15" t="str">
        <x:v>到岸成本空白保持n.a.，填0是明确零成本；CVR=0时广告CPA不可用。</x:v>
      </x:c>
      <x:c r="D40" s="2"/>
      <x:c r="E40" s="2"/>
      <x:c r="F40" s="2"/>
      <x:c r="G40" s="2"/>
      <x:c r="H40" s="2"/>
      <x:c r="I40" s="2"/>
      <x:c r="J40" s="2"/>
      <x:c r="K40" s="2"/>
      <x:c r="L40" s="2"/>
      <x:c r="M40" s="2"/>
    </x:row>
    <x:row r="41" ht="70" customHeight="1">
      <x:c r="A41" s="15" t="str">
        <x:v>状态解释</x:v>
      </x:c>
      <x:c r="B41" s="15"/>
      <x:c r="C41" s="15" t="str">
        <x:v>试算达到目标只代表当前参数下单位经济通过；供应链、VOC、IP未齐仍为DATA HOLD。</x:v>
      </x:c>
      <x:c r="D41" s="2"/>
      <x:c r="E41" s="2"/>
      <x:c r="F41" s="2"/>
      <x:c r="G41" s="2"/>
      <x:c r="H41" s="2"/>
      <x:c r="I41" s="2"/>
      <x:c r="J41" s="2"/>
      <x:c r="K41" s="2"/>
      <x:c r="L41" s="2"/>
      <x:c r="M41" s="2"/>
    </x:row>
    <x:row r="42" ht="70" customHeight="1">
      <x:c r="A42" s="15" t="str">
        <x:v>费用防重复</x:v>
      </x:c>
      <x:c r="B42" s="15"/>
      <x:c r="C42" s="15" t="str">
        <x:v>FBA输入为全包值，不再额外加3.5%或旺季费用；退款损失准备金为合计预算。</x:v>
      </x:c>
      <x:c r="D42" s="2"/>
      <x:c r="E42" s="2"/>
      <x:c r="F42" s="2"/>
      <x:c r="G42" s="2"/>
      <x:c r="H42" s="2"/>
      <x:c r="I42" s="2"/>
      <x:c r="J42" s="2"/>
      <x:c r="K42" s="2"/>
      <x:c r="L42" s="2"/>
      <x:c r="M42" s="2"/>
    </x:row>
    <x:row r="43" ht="25" customHeight="1">
      <x:c r="A43" s="2"/>
      <x:c r="B43" s="2"/>
      <x:c r="C43" s="2"/>
      <x:c r="D43" s="2"/>
      <x:c r="E43" s="2"/>
      <x:c r="F43" s="2"/>
      <x:c r="G43" s="2"/>
      <x:c r="H43" s="2"/>
      <x:c r="I43" s="2"/>
      <x:c r="J43" s="2"/>
      <x:c r="K43" s="2"/>
      <x:c r="L43" s="2"/>
      <x:c r="M43" s="2"/>
    </x:row>
    <x:row r="44" ht="25" customHeight="1">
      <x:c r="A44" s="2"/>
      <x:c r="B44" s="2"/>
      <x:c r="C44" s="2"/>
      <x:c r="D44" s="2"/>
      <x:c r="E44" s="2"/>
      <x:c r="F44" s="2"/>
      <x:c r="G44" s="2"/>
      <x:c r="H44" s="2"/>
      <x:c r="I44" s="2"/>
      <x:c r="J44" s="2"/>
      <x:c r="K44" s="2"/>
      <x:c r="L44" s="2"/>
      <x:c r="M44" s="2"/>
    </x:row>
    <x:row r="45" ht="25" customHeight="1">
      <x:c r="A45" s="2"/>
      <x:c r="B45" s="2"/>
      <x:c r="C45" s="2"/>
      <x:c r="D45" s="2"/>
      <x:c r="E45" s="2"/>
      <x:c r="F45" s="2"/>
      <x:c r="G45" s="2"/>
      <x:c r="H45" s="2"/>
      <x:c r="I45" s="2"/>
      <x:c r="J45" s="2"/>
      <x:c r="K45" s="2"/>
      <x:c r="L45" s="2"/>
      <x:c r="M45" s="2"/>
    </x:row>
  </x:sheetData>
  <x:conditionalFormatting sqref="I16:I27">
    <x:cfRule type="cellIs" dxfId="1" priority="1" operator="lessThan">
      <x:formula>0</x:formula>
    </x:cfRule>
  </x:conditionalFormatting>
  <x:conditionalFormatting sqref="M16:M31">
    <x:cfRule type="containsText" dxfId="2" priority="2" operator="containsText" text="未达"/>
  </x:conditionalFormatting>
  <x:pageMargins left="0.7" right="0.7" top="0.75" bottom="0.75" header="0.3" footer="0.3"/>
  <x:tableParts count="1">
    <x:tablePart xmlns:r="http://schemas.openxmlformats.org/officeDocument/2006/relationships" r:id="R40604a8ade884e4f"/>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1" hidden="0" customWidth="1"/>
    <x:col min="2" max="2" width="32"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23" hidden="0" customWidth="1"/>
    <x:col min="12" max="12" width="55" hidden="0" customWidth="1"/>
    <x:col min="13" max="13" width="24" hidden="0" customWidth="1"/>
    <x:col min="14" max="14" width="24" hidden="0" customWidth="1"/>
    <x:col min="15" max="15" width="24" hidden="0" customWidth="1"/>
    <x:col min="16" max="16" width="24" hidden="0" customWidth="1"/>
  </x:cols>
  <x:sheetData>
    <x:row r="1" ht="25" customHeight="1">
      <x:c r="A1" s="2"/>
      <x:c r="B1" s="2"/>
      <x:c r="C1" s="2"/>
      <x:c r="D1" s="2"/>
      <x:c r="E1" s="2"/>
      <x:c r="F1" s="2"/>
      <x:c r="G1" s="2"/>
      <x:c r="H1" s="2"/>
      <x:c r="I1" s="2"/>
      <x:c r="J1" s="2"/>
      <x:c r="K1" s="2"/>
      <x:c r="L1" s="2"/>
      <x:c r="M1" s="2"/>
      <x:c r="N1" s="2"/>
      <x:c r="O1" s="2"/>
      <x:c r="P1" s="2"/>
    </x:row>
    <x:row r="2" ht="32" customHeight="1">
      <x:c r="A2" s="3" t="str">
        <x:v>500个购买意图需求筛选</x:v>
      </x:c>
      <x:c r="B2" s="2"/>
      <x:c r="C2" s="2"/>
      <x:c r="D2" s="2"/>
      <x:c r="E2" s="2"/>
      <x:c r="F2" s="2"/>
      <x:c r="G2" s="2"/>
      <x:c r="H2" s="2"/>
      <x:c r="I2" s="2"/>
      <x:c r="J2" s="2"/>
      <x:c r="K2" s="2"/>
      <x:c r="L2" s="2"/>
      <x:c r="M2" s="2"/>
      <x:c r="N2" s="2"/>
      <x:c r="O2" s="2"/>
      <x:c r="P2" s="2"/>
    </x:row>
    <x:row r="3" ht="25" customHeight="1">
      <x:c r="A3" s="2"/>
      <x:c r="B3" s="2"/>
      <x:c r="C3" s="2"/>
      <x:c r="D3" s="2"/>
      <x:c r="E3" s="2"/>
      <x:c r="F3" s="2"/>
      <x:c r="G3" s="2"/>
      <x:c r="H3" s="2"/>
      <x:c r="I3" s="2"/>
      <x:c r="J3" s="2"/>
      <x:c r="K3" s="2"/>
      <x:c r="L3" s="2"/>
      <x:c r="M3" s="2"/>
      <x:c r="N3" s="2"/>
      <x:c r="O3" s="2"/>
      <x:c r="P3" s="2"/>
    </x:row>
    <x:row r="4" ht="25" customHeight="1">
      <x:c r="A4" s="4" t="str">
        <x:v>筛选通过只表示需求信号满足阈值；风险标签为初筛提示，尚未逐项证实。</x:v>
      </x:c>
      <x:c r="B4" s="2"/>
      <x:c r="C4" s="2"/>
      <x:c r="D4" s="2"/>
      <x:c r="E4" s="2"/>
      <x:c r="F4" s="2"/>
      <x:c r="G4" s="2"/>
      <x:c r="H4" s="2"/>
      <x:c r="I4" s="2"/>
      <x:c r="J4" s="2"/>
      <x:c r="K4" s="2"/>
      <x:c r="L4" s="2"/>
      <x:c r="M4" s="2"/>
      <x:c r="N4" s="2"/>
      <x:c r="O4" s="2"/>
      <x:c r="P4" s="2"/>
    </x:row>
    <x:row r="5" ht="25" customHeight="1">
      <x:c r="A5" s="2"/>
      <x:c r="B5" s="2"/>
      <x:c r="C5" s="2"/>
      <x:c r="D5" s="2"/>
      <x:c r="E5" s="2"/>
      <x:c r="F5" s="2"/>
      <x:c r="G5" s="2"/>
      <x:c r="H5" s="2"/>
      <x:c r="I5" s="2"/>
      <x:c r="J5" s="2"/>
      <x:c r="K5" s="2"/>
      <x:c r="L5" s="2"/>
      <x:c r="M5" s="2"/>
      <x:c r="N5" s="2"/>
      <x:c r="O5" s="2"/>
      <x:c r="P5" s="2"/>
    </x:row>
    <x:row r="6" ht="40" customHeight="1">
      <x:c r="A6" s="8" t="str">
        <x:v>源表行</x:v>
      </x:c>
      <x:c r="B6" s="8" t="str">
        <x:v>购买意图</x:v>
      </x:c>
      <x:c r="C6" s="8" t="str">
        <x:v>搜索量</x:v>
      </x:c>
      <x:c r="D6" s="8" t="str">
        <x:v>搜索增长</x:v>
      </x:c>
      <x:c r="E6" s="8" t="str">
        <x:v>点击增长</x:v>
      </x:c>
      <x:c r="F6" s="8" t="str">
        <x:v>购买量</x:v>
      </x:c>
      <x:c r="G6" s="8" t="str">
        <x:v>点击购买率重算</x:v>
      </x:c>
      <x:c r="H6" s="8" t="str">
        <x:v>会话购买率重算</x:v>
      </x:c>
      <x:c r="I6" s="8" t="str">
        <x:v>搜索转化重算</x:v>
      </x:c>
      <x:c r="J6" s="8" t="str">
        <x:v>曝光CTR重算</x:v>
      </x:c>
      <x:c r="K6" s="8" t="str">
        <x:v>初筛分组</x:v>
      </x:c>
      <x:c r="L6" s="8" t="str">
        <x:v>待核验标签</x:v>
      </x:c>
      <x:c r="M6" s="8" t="str">
        <x:v>需求门槛</x:v>
      </x:c>
      <x:c r="N6" s="8" t="str">
        <x:v>研究状态</x:v>
      </x:c>
      <x:c r="O6" s="8" t="str">
        <x:v>源购买率差异</x:v>
      </x:c>
      <x:c r="P6" s="8" t="str">
        <x:v>核验阶段</x:v>
      </x:c>
    </x:row>
    <x:row r="7" ht="48" customHeight="1">
      <x:c r="A7" s="2" t="n">
        <x:v>2</x:v>
      </x:c>
      <x:c r="B7" s="2" t="str">
        <x:v>chicken</x:v>
      </x:c>
      <x:c r="C7" s="10" t="n">
        <x:f>'原始数据'!D4</x:f>
        <x:v>1879571</x:v>
      </x:c>
      <x:c r="D7" s="9" t="n">
        <x:f>IF(ISNUMBER('原始数据'!E4),'原始数据'!E4,VALUE(SUBSTITUTE('原始数据'!E4,"'","")))</x:f>
        <x:v>0.1265</x:v>
      </x:c>
      <x:c r="E7" s="9" t="n">
        <x:f>IF(ISNUMBER('原始数据'!H4),'原始数据'!H4,VALUE(SUBSTITUTE('原始数据'!H4,"'","")))</x:f>
        <x:v>0.0158</x:v>
      </x:c>
      <x:c r="F7" s="10" t="n">
        <x:f>'原始数据'!L4</x:f>
        <x:v>235730</x:v>
      </x:c>
      <x:c r="G7" s="9" t="n">
        <x:f>F7/'原始数据'!G4</x:f>
        <x:v>0.38651358938034525</x:v>
      </x:c>
      <x:c r="H7" s="9" t="n">
        <x:f>'原始数据'!P4/'原始数据'!O4</x:f>
        <x:v>0.5601969824178954</x:v>
      </x:c>
      <x:c r="I7" s="9" t="n">
        <x:f>F7/C7</x:f>
        <x:v>0.12541691694540935</x:v>
      </x:c>
      <x:c r="J7" s="9" t="n">
        <x:f>'原始数据'!G4/'原始数据'!F4</x:f>
        <x:v>0.01685387576301973</x:v>
      </x:c>
      <x:c r="K7" s="2" t="str">
        <x:v>专业供给</x:v>
      </x:c>
      <x:c r="L7" s="15" t="str">
        <x:v>食品/补剂或耗材需独立供应链</x:v>
      </x:c>
      <x:c r="M7" s="2" t="str">
        <x:f>IF(AND(C7&gt;='核验与方法'!$B$7,F7&gt;='核验与方法'!$B$8,G7&gt;='核验与方法'!$B$9,D7&gt;='核验与方法'!$B$10,E7&gt;='核验与方法'!$B$11),"通过需求门槛","未通过需求门槛")</x:f>
        <x:v>通过需求门槛</x:v>
      </x:c>
      <x:c r="N7" s="2" t="str">
        <x:v>先核验风险标签</x:v>
      </x:c>
      <x:c r="O7" s="9" t="n">
        <x:f>G7-'原始数据'!J4</x:f>
        <x:v>0.000013589380345235824</x:v>
      </x:c>
      <x:c r="P7" s="2" t="str">
        <x:v>DATA HOLD</x:v>
      </x:c>
    </x:row>
    <x:row r="8" ht="48" customHeight="1">
      <x:c r="A8" s="2" t="n">
        <x:v>3</x:v>
      </x:c>
      <x:c r="B8" s="2" t="str">
        <x:v>transformers</x:v>
      </x:c>
      <x:c r="C8" s="10" t="n">
        <x:f>'原始数据'!D5</x:f>
        <x:v>1333739</x:v>
      </x:c>
      <x:c r="D8" s="9" t="n">
        <x:f>IF(ISNUMBER('原始数据'!E5),'原始数据'!E5,VALUE(SUBSTITUTE('原始数据'!E5,"'","")))</x:f>
        <x:v>0.4701</x:v>
      </x:c>
      <x:c r="E8" s="9" t="n">
        <x:f>IF(ISNUMBER('原始数据'!H5),'原始数据'!H5,VALUE(SUBSTITUTE('原始数据'!H5,"'","")))</x:f>
        <x:v>0.8283</x:v>
      </x:c>
      <x:c r="F8" s="10" t="n">
        <x:f>'原始数据'!L5</x:f>
        <x:v>3993</x:v>
      </x:c>
      <x:c r="G8" s="9" t="n">
        <x:f>F8/'原始数据'!G5</x:f>
        <x:v>0.01448108537421257</x:v>
      </x:c>
      <x:c r="H8" s="9" t="n">
        <x:f>'原始数据'!P5/'原始数据'!O5</x:f>
        <x:v>0.041361207959381176</x:v>
      </x:c>
      <x:c r="I8" s="9" t="n">
        <x:f>F8/C8</x:f>
        <x:v>0.002993839124446387</x:v>
      </x:c>
      <x:c r="J8" s="9" t="n">
        <x:f>'原始数据'!G5/'原始数据'!F5</x:f>
        <x:v>0.025306405570623244</x:v>
      </x:c>
      <x:c r="K8" s="2" t="str">
        <x:v>待拆分产品市场</x:v>
      </x:c>
      <x:c r="L8" s="15" t="str">
        <x:v>品牌或IP需核验</x:v>
      </x:c>
      <x:c r="M8" s="2" t="str">
        <x:f>IF(AND(C8&gt;='核验与方法'!$B$7,F8&gt;='核验与方法'!$B$8,G8&gt;='核验与方法'!$B$9,D8&gt;='核验与方法'!$B$10,E8&gt;='核验与方法'!$B$11),"通过需求门槛","未通过需求门槛")</x:f>
        <x:v>未通过需求门槛</x:v>
      </x:c>
      <x:c r="N8" s="2" t="str">
        <x:v>先核验风险标签</x:v>
      </x:c>
      <x:c r="O8" s="9" t="n">
        <x:f>G8-'原始数据'!J5</x:f>
        <x:v>0.00008108537421257049</x:v>
      </x:c>
      <x:c r="P8" s="2" t="str">
        <x:v>DATA HOLD</x:v>
      </x:c>
    </x:row>
    <x:row r="9" ht="48" customHeight="1">
      <x:c r="A9" s="2" t="n">
        <x:v>4</x:v>
      </x:c>
      <x:c r="B9" s="2" t="str">
        <x:v>vacuum</x:v>
      </x:c>
      <x:c r="C9" s="10" t="n">
        <x:f>'原始数据'!D6</x:f>
        <x:v>1106165</x:v>
      </x:c>
      <x:c r="D9" s="9" t="n">
        <x:f>IF(ISNUMBER('原始数据'!E6),'原始数据'!E6,VALUE(SUBSTITUTE('原始数据'!E6,"'","")))</x:f>
        <x:v>0.0026</x:v>
      </x:c>
      <x:c r="E9" s="9" t="n">
        <x:f>IF(ISNUMBER('原始数据'!H6),'原始数据'!H6,VALUE(SUBSTITUTE('原始数据'!H6,"'","")))</x:f>
        <x:v>0.005</x:v>
      </x:c>
      <x:c r="F9" s="10" t="n">
        <x:f>'原始数据'!L6</x:f>
        <x:v>30552</x:v>
      </x:c>
      <x:c r="G9" s="9" t="n">
        <x:f>F9/'原始数据'!G6</x:f>
        <x:v>0.08350666779641559</x:v>
      </x:c>
      <x:c r="H9" s="9" t="n">
        <x:f>'原始数据'!P6/'原始数据'!O6</x:f>
        <x:v>0.19454226656459142</x:v>
      </x:c>
      <x:c r="I9" s="9" t="n">
        <x:f>F9/C9</x:f>
        <x:v>0.02761974931407159</x:v>
      </x:c>
      <x:c r="J9" s="9" t="n">
        <x:f>'原始数据'!G6/'原始数据'!F6</x:f>
        <x:v>0.012025139322813313</x:v>
      </x:c>
      <x:c r="K9" s="2" t="str">
        <x:v>待拆分产品市场</x:v>
      </x:c>
      <x:c r="L9" s="15" t="str">
        <x:v>暂无自动识别标签，仍需核验</x:v>
      </x:c>
      <x:c r="M9" s="2" t="str">
        <x:f>IF(AND(C9&gt;='核验与方法'!$B$7,F9&gt;='核验与方法'!$B$8,G9&gt;='核验与方法'!$B$9,D9&gt;='核验与方法'!$B$10,E9&gt;='核验与方法'!$B$11),"通过需求门槛","未通过需求门槛")</x:f>
        <x:v>通过需求门槛</x:v>
      </x:c>
      <x:c r="N9" s="2" t="str">
        <x:v>待确认具体产品形态</x:v>
      </x:c>
      <x:c r="O9" s="9" t="n">
        <x:f>G9-'原始数据'!J6</x:f>
        <x:v>0.000006667796415588123</x:v>
      </x:c>
      <x:c r="P9" s="2" t="str">
        <x:v>DATA HOLD</x:v>
      </x:c>
    </x:row>
    <x:row r="10" ht="48" customHeight="1">
      <x:c r="A10" s="2" t="n">
        <x:v>5</x:v>
      </x:c>
      <x:c r="B10" s="2" t="str">
        <x:v>pens</x:v>
      </x:c>
      <x:c r="C10" s="10" t="n">
        <x:f>'原始数据'!D7</x:f>
        <x:v>1026065</x:v>
      </x:c>
      <x:c r="D10" s="9" t="n">
        <x:f>IF(ISNUMBER('原始数据'!E7),'原始数据'!E7,VALUE(SUBSTITUTE('原始数据'!E7,"'","")))</x:f>
        <x:v>-0.3396</x:v>
      </x:c>
      <x:c r="E10" s="9" t="n">
        <x:f>IF(ISNUMBER('原始数据'!H7),'原始数据'!H7,VALUE(SUBSTITUTE('原始数据'!H7,"'","")))</x:f>
        <x:v>-0.3528</x:v>
      </x:c>
      <x:c r="F10" s="10" t="n">
        <x:f>'原始数据'!L7</x:f>
        <x:v>99993</x:v>
      </x:c>
      <x:c r="G10" s="9" t="n">
        <x:f>F10/'原始数据'!G7</x:f>
        <x:v>0.248824842420638</x:v>
      </x:c>
      <x:c r="H10" s="9" t="n">
        <x:f>'原始数据'!P7/'原始数据'!O7</x:f>
        <x:v>0.4092631305736347</x:v>
      </x:c>
      <x:c r="I10" s="9" t="n">
        <x:f>F10/C10</x:f>
        <x:v>0.09745289041142617</x:v>
      </x:c>
      <x:c r="J10" s="9" t="n">
        <x:f>'原始数据'!G7/'原始数据'!F7</x:f>
        <x:v>0.008990464574042397</x:v>
      </x:c>
      <x:c r="K10" s="2" t="str">
        <x:v>待拆分产品市场</x:v>
      </x:c>
      <x:c r="L10" s="15" t="str">
        <x:v>暂无自动识别标签，仍需核验</x:v>
      </x:c>
      <x:c r="M10" s="2" t="str">
        <x:f>IF(AND(C10&gt;='核验与方法'!$B$7,F10&gt;='核验与方法'!$B$8,G10&gt;='核验与方法'!$B$9,D10&gt;='核验与方法'!$B$10,E10&gt;='核验与方法'!$B$11),"通过需求门槛","未通过需求门槛")</x:f>
        <x:v>未通过需求门槛</x:v>
      </x:c>
      <x:c r="N10" s="2" t="str">
        <x:v>待确认具体产品形态</x:v>
      </x:c>
      <x:c r="O10" s="9" t="n">
        <x:f>G10-'原始数据'!J7</x:f>
        <x:v>0.0000248424206379938</x:v>
      </x:c>
      <x:c r="P10" s="2" t="str">
        <x:v>DATA HOLD</x:v>
      </x:c>
    </x:row>
    <x:row r="11" ht="48" customHeight="1">
      <x:c r="A11" s="2" t="n">
        <x:v>6</x:v>
      </x:c>
      <x:c r="B11" s="2" t="str">
        <x:v>kitchen appliances</x:v>
      </x:c>
      <x:c r="C11" s="10" t="n">
        <x:f>'原始数据'!D8</x:f>
        <x:v>1004604</x:v>
      </x:c>
      <x:c r="D11" s="9" t="n">
        <x:f>IF(ISNUMBER('原始数据'!E8),'原始数据'!E8,VALUE(SUBSTITUTE('原始数据'!E8,"'","")))</x:f>
        <x:v>0.292</x:v>
      </x:c>
      <x:c r="E11" s="9" t="n">
        <x:f>IF(ISNUMBER('原始数据'!H8),'原始数据'!H8,VALUE(SUBSTITUTE('原始数据'!H8,"'","")))</x:f>
        <x:v>0.2871</x:v>
      </x:c>
      <x:c r="F11" s="10" t="n">
        <x:f>'原始数据'!L8</x:f>
        <x:v>1179</x:v>
      </x:c>
      <x:c r="G11" s="9" t="n">
        <x:f>F11/'原始数据'!G8</x:f>
        <x:v>0.005481375411451844</x:v>
      </x:c>
      <x:c r="H11" s="9" t="n">
        <x:f>'原始数据'!P8/'原始数据'!O8</x:f>
        <x:v>0.03541823662396383</x:v>
      </x:c>
      <x:c r="I11" s="9" t="n">
        <x:f>F11/C11</x:f>
        <x:v>0.0011735967605145908</x:v>
      </x:c>
      <x:c r="J11" s="9" t="n">
        <x:f>'原始数据'!G8/'原始数据'!F8</x:f>
        <x:v>0.030733052720076346</x:v>
      </x:c>
      <x:c r="K11" s="2" t="str">
        <x:v>待拆分产品市场</x:v>
      </x:c>
      <x:c r="L11" s="15" t="str">
        <x:v>暂无自动识别标签，仍需核验</x:v>
      </x:c>
      <x:c r="M11" s="2" t="str">
        <x:f>IF(AND(C11&gt;='核验与方法'!$B$7,F11&gt;='核验与方法'!$B$8,G11&gt;='核验与方法'!$B$9,D11&gt;='核验与方法'!$B$10,E11&gt;='核验与方法'!$B$11),"通过需求门槛","未通过需求门槛")</x:f>
        <x:v>未通过需求门槛</x:v>
      </x:c>
      <x:c r="N11" s="2" t="str">
        <x:v>待确认具体产品形态</x:v>
      </x:c>
      <x:c r="O11" s="9" t="n">
        <x:f>G11-'原始数据'!J8</x:f>
        <x:v>0.0000813754114518438</x:v>
      </x:c>
      <x:c r="P11" s="2" t="str">
        <x:v>DATA HOLD</x:v>
      </x:c>
    </x:row>
    <x:row r="12" ht="48" customHeight="1">
      <x:c r="A12" s="2" t="n">
        <x:v>7</x:v>
      </x:c>
      <x:c r="B12" s="2" t="str">
        <x:v>shirts for women</x:v>
      </x:c>
      <x:c r="C12" s="10" t="n">
        <x:f>'原始数据'!D9</x:f>
        <x:v>963618</x:v>
      </x:c>
      <x:c r="D12" s="9" t="n">
        <x:f>IF(ISNUMBER('原始数据'!E9),'原始数据'!E9,VALUE(SUBSTITUTE('原始数据'!E9,"'","")))</x:f>
        <x:v>-0.0942</x:v>
      </x:c>
      <x:c r="E12" s="9" t="n">
        <x:f>IF(ISNUMBER('原始数据'!H9),'原始数据'!H9,VALUE(SUBSTITUTE('原始数据'!H9,"'","")))</x:f>
        <x:v>-0.0814</x:v>
      </x:c>
      <x:c r="F12" s="10" t="n">
        <x:f>'原始数据'!L9</x:f>
        <x:v>4885</x:v>
      </x:c>
      <x:c r="G12" s="9" t="n">
        <x:f>F12/'原始数据'!G9</x:f>
        <x:v>0.020787322499244677</x:v>
      </x:c>
      <x:c r="H12" s="9" t="n">
        <x:f>'原始数据'!P9/'原始数据'!O9</x:f>
        <x:v>0.18810564040680133</x:v>
      </x:c>
      <x:c r="I12" s="9" t="n">
        <x:f>F12/C12</x:f>
        <x:v>0.005069436228879079</x:v>
      </x:c>
      <x:c r="J12" s="9" t="n">
        <x:f>'原始数据'!G9/'原始数据'!F9</x:f>
        <x:v>0.006995185595119137</x:v>
      </x:c>
      <x:c r="K12" s="2" t="str">
        <x:v>待拆分产品市场</x:v>
      </x:c>
      <x:c r="L12" s="15" t="str">
        <x:v>尺码/颜色变体及退货待核验</x:v>
      </x:c>
      <x:c r="M12" s="2" t="str">
        <x:f>IF(AND(C12&gt;='核验与方法'!$B$7,F12&gt;='核验与方法'!$B$8,G12&gt;='核验与方法'!$B$9,D12&gt;='核验与方法'!$B$10,E12&gt;='核验与方法'!$B$11),"通过需求门槛","未通过需求门槛")</x:f>
        <x:v>未通过需求门槛</x:v>
      </x:c>
      <x:c r="N12" s="2" t="str">
        <x:v>先核验风险标签</x:v>
      </x:c>
      <x:c r="O12" s="9" t="n">
        <x:f>G12-'原始数据'!J9</x:f>
        <x:v>0.00008732249924467764</x:v>
      </x:c>
      <x:c r="P12" s="2" t="str">
        <x:v>DATA HOLD</x:v>
      </x:c>
    </x:row>
    <x:row r="13" ht="48" customHeight="1">
      <x:c r="A13" s="2" t="n">
        <x:v>8</x:v>
      </x:c>
      <x:c r="B13" s="2" t="str">
        <x:v>cheese</x:v>
      </x:c>
      <x:c r="C13" s="10" t="n">
        <x:f>'原始数据'!D10</x:f>
        <x:v>873878</x:v>
      </x:c>
      <x:c r="D13" s="9" t="n">
        <x:f>IF(ISNUMBER('原始数据'!E10),'原始数据'!E10,VALUE(SUBSTITUTE('原始数据'!E10,"'","")))</x:f>
        <x:v>0.1591</x:v>
      </x:c>
      <x:c r="E13" s="9" t="n">
        <x:f>IF(ISNUMBER('原始数据'!H10),'原始数据'!H10,VALUE(SUBSTITUTE('原始数据'!H10,"'","")))</x:f>
        <x:v>0.0582</x:v>
      </x:c>
      <x:c r="F13" s="10" t="n">
        <x:f>'原始数据'!L10</x:f>
        <x:v>111653</x:v>
      </x:c>
      <x:c r="G13" s="9" t="n">
        <x:f>F13/'原始数据'!G10</x:f>
        <x:v>0.42756811610852624</x:v>
      </x:c>
      <x:c r="H13" s="9" t="n">
        <x:f>'原始数据'!P10/'原始数据'!O10</x:f>
        <x:v>0.5622469881609554</x:v>
      </x:c>
      <x:c r="I13" s="9" t="n">
        <x:f>F13/C13</x:f>
        <x:v>0.12776726270715133</x:v>
      </x:c>
      <x:c r="J13" s="9" t="n">
        <x:f>'原始数据'!G10/'原始数据'!F10</x:f>
        <x:v>0.017593472248114077</x:v>
      </x:c>
      <x:c r="K13" s="2" t="str">
        <x:v>专业供给</x:v>
      </x:c>
      <x:c r="L13" s="15" t="str">
        <x:v>食品/补剂或耗材需独立供应链</x:v>
      </x:c>
      <x:c r="M13" s="2" t="str">
        <x:f>IF(AND(C13&gt;='核验与方法'!$B$7,F13&gt;='核验与方法'!$B$8,G13&gt;='核验与方法'!$B$9,D13&gt;='核验与方法'!$B$10,E13&gt;='核验与方法'!$B$11),"通过需求门槛","未通过需求门槛")</x:f>
        <x:v>通过需求门槛</x:v>
      </x:c>
      <x:c r="N13" s="2" t="str">
        <x:v>先核验风险标签</x:v>
      </x:c>
      <x:c r="O13" s="9" t="n">
        <x:f>G13-'原始数据'!J10</x:f>
        <x:v>0.0000681161085262505</x:v>
      </x:c>
      <x:c r="P13" s="2" t="str">
        <x:v>DATA HOLD</x:v>
      </x:c>
    </x:row>
    <x:row r="14" ht="48" customHeight="1">
      <x:c r="A14" s="2" t="n">
        <x:v>9</x:v>
      </x:c>
      <x:c r="B14" s="2" t="str">
        <x:v>michael jackson movie</x:v>
      </x:c>
      <x:c r="C14" s="10" t="n">
        <x:f>'原始数据'!D11</x:f>
        <x:v>872113</x:v>
      </x:c>
      <x:c r="D14" s="9" t="n">
        <x:f>IF(ISNUMBER('原始数据'!E11),'原始数据'!E11,VALUE(SUBSTITUTE('原始数据'!E11,"'","")))</x:f>
        <x:v>-0.4568</x:v>
      </x:c>
      <x:c r="E14" s="9" t="n">
        <x:f>IF(ISNUMBER('原始数据'!H11),'原始数据'!H11,VALUE(SUBSTITUTE('原始数据'!H11,"'","")))</x:f>
        <x:v>12.1222</x:v>
      </x:c>
      <x:c r="F14" s="10" t="n">
        <x:f>'原始数据'!L11</x:f>
        <x:v>228</x:v>
      </x:c>
      <x:c r="G14" s="9" t="n">
        <x:f>F14/'原始数据'!G11</x:f>
        <x:v>0.00233441521874904</x:v>
      </x:c>
      <x:c r="H14" s="9" t="n">
        <x:f>'原始数据'!P11/'原始数据'!O11</x:f>
        <x:v>0.0026325186643081956</x:v>
      </x:c>
      <x:c r="I14" s="9" t="n">
        <x:f>F14/C14</x:f>
        <x:v>0.0002614340114182451</x:v>
      </x:c>
      <x:c r="J14" s="9" t="n">
        <x:f>'原始数据'!G11/'原始数据'!F11</x:f>
        <x:v>0.017508208793487964</x:v>
      </x:c>
      <x:c r="K14" s="2" t="str">
        <x:v>待拆分产品市场</x:v>
      </x:c>
      <x:c r="L14" s="15" t="str">
        <x:v>内容/导航或宽泛需求需拆分</x:v>
      </x:c>
      <x:c r="M14" s="2" t="str">
        <x:f>IF(AND(C14&gt;='核验与方法'!$B$7,F14&gt;='核验与方法'!$B$8,G14&gt;='核验与方法'!$B$9,D14&gt;='核验与方法'!$B$10,E14&gt;='核验与方法'!$B$11),"通过需求门槛","未通过需求门槛")</x:f>
        <x:v>未通过需求门槛</x:v>
      </x:c>
      <x:c r="N14" s="2" t="str">
        <x:v>先核验风险标签</x:v>
      </x:c>
      <x:c r="O14" s="9" t="n">
        <x:f>G14-'原始数据'!J11</x:f>
        <x:v>0.00003441521874904003</x:v>
      </x:c>
      <x:c r="P14" s="2" t="str">
        <x:v>DATA HOLD</x:v>
      </x:c>
    </x:row>
    <x:row r="15" ht="48" customHeight="1">
      <x:c r="A15" s="2" t="n">
        <x:v>10</x:v>
      </x:c>
      <x:c r="B15" s="2" t="str">
        <x:v>screws</x:v>
      </x:c>
      <x:c r="C15" s="10" t="n">
        <x:f>'原始数据'!D12</x:f>
        <x:v>840992</x:v>
      </x:c>
      <x:c r="D15" s="9" t="n">
        <x:f>IF(ISNUMBER('原始数据'!E12),'原始数据'!E12,VALUE(SUBSTITUTE('原始数据'!E12,"'","")))</x:f>
        <x:v>-0.0184</x:v>
      </x:c>
      <x:c r="E15" s="9" t="n">
        <x:f>IF(ISNUMBER('原始数据'!H12),'原始数据'!H12,VALUE(SUBSTITUTE('原始数据'!H12,"'","")))</x:f>
        <x:v>-0.0072</x:v>
      </x:c>
      <x:c r="F15" s="10" t="n">
        <x:f>'原始数据'!L12</x:f>
        <x:v>15277</x:v>
      </x:c>
      <x:c r="G15" s="9" t="n">
        <x:f>F15/'原始数据'!G12</x:f>
        <x:v>0.11936555065046685</x:v>
      </x:c>
      <x:c r="H15" s="9" t="n">
        <x:f>'原始数据'!P12/'原始数据'!O12</x:f>
        <x:v>0.27160511734501463</x:v>
      </x:c>
      <x:c r="I15" s="9" t="n">
        <x:f>F15/C15</x:f>
        <x:v>0.01816545222784521</x:v>
      </x:c>
      <x:c r="J15" s="9" t="n">
        <x:f>'原始数据'!G12/'原始数据'!F12</x:f>
        <x:v>0.008168450118523423</x:v>
      </x:c>
      <x:c r="K15" s="2" t="str">
        <x:v>待拆分产品市场</x:v>
      </x:c>
      <x:c r="L15" s="15" t="str">
        <x:v>暂无自动识别标签，仍需核验</x:v>
      </x:c>
      <x:c r="M15" s="2" t="str">
        <x:f>IF(AND(C15&gt;='核验与方法'!$B$7,F15&gt;='核验与方法'!$B$8,G15&gt;='核验与方法'!$B$9,D15&gt;='核验与方法'!$B$10,E15&gt;='核验与方法'!$B$11),"通过需求门槛","未通过需求门槛")</x:f>
        <x:v>未通过需求门槛</x:v>
      </x:c>
      <x:c r="N15" s="2" t="str">
        <x:v>待确认具体产品形态</x:v>
      </x:c>
      <x:c r="O15" s="9" t="n">
        <x:f>G15-'原始数据'!J12</x:f>
        <x:v>0.0000655506504668446</x:v>
      </x:c>
      <x:c r="P15" s="2" t="str">
        <x:v>DATA HOLD</x:v>
      </x:c>
    </x:row>
    <x:row r="16" ht="48" customHeight="1">
      <x:c r="A16" s="2" t="n">
        <x:v>11</x:v>
      </x:c>
      <x:c r="B16" s="2" t="str">
        <x:v>rose adult</x:v>
      </x:c>
      <x:c r="C16" s="10" t="n">
        <x:f>'原始数据'!D13</x:f>
        <x:v>840157</x:v>
      </x:c>
      <x:c r="D16" s="9" t="n">
        <x:f>IF(ISNUMBER('原始数据'!E13),'原始数据'!E13,VALUE(SUBSTITUTE('原始数据'!E13,"'","")))</x:f>
        <x:v>0.0054</x:v>
      </x:c>
      <x:c r="E16" s="9" t="n">
        <x:f>IF(ISNUMBER('原始数据'!H13),'原始数据'!H13,VALUE(SUBSTITUTE('原始数据'!H13,"'","")))</x:f>
        <x:v>-0.0017</x:v>
      </x:c>
      <x:c r="F16" s="10" t="n">
        <x:f>'原始数据'!L13</x:f>
        <x:v>25273</x:v>
      </x:c>
      <x:c r="G16" s="9" t="n">
        <x:f>F16/'原始数据'!G13</x:f>
        <x:v>0.10005819869112331</x:v>
      </x:c>
      <x:c r="H16" s="9" t="n">
        <x:f>'原始数据'!P13/'原始数据'!O13</x:f>
        <x:v>0.23488899692108248</x:v>
      </x:c>
      <x:c r="I16" s="9" t="n">
        <x:f>F16/C16</x:f>
        <x:v>0.03008128242697496</x:v>
      </x:c>
      <x:c r="J16" s="9" t="n">
        <x:f>'原始数据'!G13/'原始数据'!F13</x:f>
        <x:v>0.02702611898177647</x:v>
      </x:c>
      <x:c r="K16" s="2" t="str">
        <x:v>待拆分产品市场</x:v>
      </x:c>
      <x:c r="L16" s="15" t="str">
        <x:v>专业类目适配与规则待核验</x:v>
      </x:c>
      <x:c r="M16" s="2" t="str">
        <x:f>IF(AND(C16&gt;='核验与方法'!$B$7,F16&gt;='核验与方法'!$B$8,G16&gt;='核验与方法'!$B$9,D16&gt;='核验与方法'!$B$10,E16&gt;='核验与方法'!$B$11),"通过需求门槛","未通过需求门槛")</x:f>
        <x:v>未通过需求门槛</x:v>
      </x:c>
      <x:c r="N16" s="2" t="str">
        <x:v>先核验风险标签</x:v>
      </x:c>
      <x:c r="O16" s="9" t="n">
        <x:f>G16-'原始数据'!J13</x:f>
        <x:v>0.00005819869112330678</x:v>
      </x:c>
      <x:c r="P16" s="2" t="str">
        <x:v>DATA HOLD</x:v>
      </x:c>
    </x:row>
    <x:row r="17" ht="48" customHeight="1">
      <x:c r="A17" s="2" t="n">
        <x:v>12</x:v>
      </x:c>
      <x:c r="B17" s="2" t="str">
        <x:v>scary movie</x:v>
      </x:c>
      <x:c r="C17" s="10" t="n">
        <x:f>'原始数据'!D14</x:f>
        <x:v>820658</x:v>
      </x:c>
      <x:c r="D17" s="9" t="n">
        <x:f>IF(ISNUMBER('原始数据'!E14),'原始数据'!E14,VALUE(SUBSTITUTE('原始数据'!E14,"'","")))</x:f>
        <x:v>-0.059</x:v>
      </x:c>
      <x:c r="E17" s="9" t="n">
        <x:f>IF(ISNUMBER('原始数据'!H14),'原始数据'!H14,VALUE(SUBSTITUTE('原始数据'!H14,"'","")))</x:f>
        <x:v>8.0962</x:v>
      </x:c>
      <x:c r="F17" s="10" t="n">
        <x:f>'原始数据'!L14</x:f>
        <x:v>365</x:v>
      </x:c>
      <x:c r="G17" s="9" t="n">
        <x:f>F17/'原始数据'!G14</x:f>
        <x:v>0.002404511258382851</x:v>
      </x:c>
      <x:c r="H17" s="9" t="n">
        <x:f>'原始数据'!P14/'原始数据'!O14</x:f>
        <x:v>0.005712648412456797</x:v>
      </x:c>
      <x:c r="I17" s="9" t="n">
        <x:f>F17/C17</x:f>
        <x:v>0.0004447650543831901</x:v>
      </x:c>
      <x:c r="J17" s="9" t="n">
        <x:f>'原始数据'!G14/'原始数据'!F14</x:f>
        <x:v>0.033268760113080206</x:v>
      </x:c>
      <x:c r="K17" s="2" t="str">
        <x:v>待拆分产品市场</x:v>
      </x:c>
      <x:c r="L17" s="15" t="str">
        <x:v>内容/导航或宽泛需求需拆分</x:v>
      </x:c>
      <x:c r="M17" s="2" t="str">
        <x:f>IF(AND(C17&gt;='核验与方法'!$B$7,F17&gt;='核验与方法'!$B$8,G17&gt;='核验与方法'!$B$9,D17&gt;='核验与方法'!$B$10,E17&gt;='核验与方法'!$B$11),"通过需求门槛","未通过需求门槛")</x:f>
        <x:v>未通过需求门槛</x:v>
      </x:c>
      <x:c r="N17" s="2" t="str">
        <x:v>先核验风险标签</x:v>
      </x:c>
      <x:c r="O17" s="9" t="n">
        <x:f>G17-'原始数据'!J14</x:f>
        <x:v>0.000004511258382851151</x:v>
      </x:c>
      <x:c r="P17" s="2" t="str">
        <x:v>DATA HOLD</x:v>
      </x:c>
    </x:row>
    <x:row r="18" ht="48" customHeight="1">
      <x:c r="A18" s="2" t="n">
        <x:v>13</x:v>
      </x:c>
      <x:c r="B18" s="2" t="str">
        <x:v>fall shoes for women</x:v>
      </x:c>
      <x:c r="C18" s="10" t="n">
        <x:f>'原始数据'!D15</x:f>
        <x:v>799420</x:v>
      </x:c>
      <x:c r="D18" s="9" t="n">
        <x:f>IF(ISNUMBER('原始数据'!E15),'原始数据'!E15,VALUE(SUBSTITUTE('原始数据'!E15,"'","")))</x:f>
        <x:v>1.7681</x:v>
      </x:c>
      <x:c r="E18" s="9" t="n">
        <x:f>IF(ISNUMBER('原始数据'!H15),'原始数据'!H15,VALUE(SUBSTITUTE('原始数据'!H15,"'","")))</x:f>
        <x:v>1.7025</x:v>
      </x:c>
      <x:c r="F18" s="10" t="n">
        <x:f>'原始数据'!L15</x:f>
        <x:v>1220</x:v>
      </x:c>
      <x:c r="G18" s="9" t="n">
        <x:f>F18/'原始数据'!G15</x:f>
        <x:v>0.007551187145651259</x:v>
      </x:c>
      <x:c r="H18" s="9" t="n">
        <x:f>'原始数据'!P15/'原始数据'!O15</x:f>
        <x:v>0.036897463299398164</x:v>
      </x:c>
      <x:c r="I18" s="9" t="n">
        <x:f>F18/C18</x:f>
        <x:v>0.0015261064271596908</x:v>
      </x:c>
      <x:c r="J18" s="9" t="n">
        <x:f>'原始数据'!G15/'原始数据'!F15</x:f>
        <x:v>0.011412072707710686</x:v>
      </x:c>
      <x:c r="K18" s="2" t="str">
        <x:v>待拆分产品市场</x:v>
      </x:c>
      <x:c r="L18" s="15" t="str">
        <x:v>季节/事件影响待核验；尺码/颜色变体及退货待核验</x:v>
      </x:c>
      <x:c r="M18" s="2" t="str">
        <x:f>IF(AND(C18&gt;='核验与方法'!$B$7,F18&gt;='核验与方法'!$B$8,G18&gt;='核验与方法'!$B$9,D18&gt;='核验与方法'!$B$10,E18&gt;='核验与方法'!$B$11),"通过需求门槛","未通过需求门槛")</x:f>
        <x:v>未通过需求门槛</x:v>
      </x:c>
      <x:c r="N18" s="2" t="str">
        <x:v>先核验风险标签</x:v>
      </x:c>
      <x:c r="O18" s="9" t="n">
        <x:f>G18-'原始数据'!J15</x:f>
        <x:v>0.000051187145651259564</x:v>
      </x:c>
      <x:c r="P18" s="2" t="str">
        <x:v>DATA HOLD</x:v>
      </x:c>
    </x:row>
    <x:row r="19" ht="48" customHeight="1">
      <x:c r="A19" s="2" t="n">
        <x:v>14</x:v>
      </x:c>
      <x:c r="B19" s="2" t="str">
        <x:v>toothbrush</x:v>
      </x:c>
      <x:c r="C19" s="10" t="n">
        <x:f>'原始数据'!D16</x:f>
        <x:v>794994</x:v>
      </x:c>
      <x:c r="D19" s="9" t="n">
        <x:f>IF(ISNUMBER('原始数据'!E16),'原始数据'!E16,VALUE(SUBSTITUTE('原始数据'!E16,"'","")))</x:f>
        <x:v>-0.0096</x:v>
      </x:c>
      <x:c r="E19" s="9" t="n">
        <x:f>IF(ISNUMBER('原始数据'!H16),'原始数据'!H16,VALUE(SUBSTITUTE('原始数据'!H16,"'","")))</x:f>
        <x:v>-0.0026</x:v>
      </x:c>
      <x:c r="F19" s="10" t="n">
        <x:f>'原始数据'!L16</x:f>
        <x:v>112123</x:v>
      </x:c>
      <x:c r="G19" s="9" t="n">
        <x:f>F19/'原始数据'!G16</x:f>
        <x:v>0.3382976348160865</x:v>
      </x:c>
      <x:c r="H19" s="9" t="n">
        <x:f>'原始数据'!P16/'原始数据'!O16</x:f>
        <x:v>0.532971713476812</x:v>
      </x:c>
      <x:c r="I19" s="9" t="n">
        <x:f>F19/C19</x:f>
        <x:v>0.14103628455057524</x:v>
      </x:c>
      <x:c r="J19" s="9" t="n">
        <x:f>'原始数据'!G16/'原始数据'!F16</x:f>
        <x:v>0.012639071235926228</x:v>
      </x:c>
      <x:c r="K19" s="2" t="str">
        <x:v>待拆分产品市场</x:v>
      </x:c>
      <x:c r="L19" s="15" t="str">
        <x:v>暂无自动识别标签，仍需核验</x:v>
      </x:c>
      <x:c r="M19" s="2" t="str">
        <x:f>IF(AND(C19&gt;='核验与方法'!$B$7,F19&gt;='核验与方法'!$B$8,G19&gt;='核验与方法'!$B$9,D19&gt;='核验与方法'!$B$10,E19&gt;='核验与方法'!$B$11),"通过需求门槛","未通过需求门槛")</x:f>
        <x:v>未通过需求门槛</x:v>
      </x:c>
      <x:c r="N19" s="2" t="str">
        <x:v>待确认具体产品形态</x:v>
      </x:c>
      <x:c r="O19" s="9" t="n">
        <x:f>G19-'原始数据'!J16</x:f>
        <x:v>0.00009763481608648927</x:v>
      </x:c>
      <x:c r="P19" s="2" t="str">
        <x:v>DATA HOLD</x:v>
      </x:c>
    </x:row>
    <x:row r="20" ht="48" customHeight="1">
      <x:c r="A20" s="2" t="n">
        <x:v>15</x:v>
      </x:c>
      <x:c r="B20" s="2" t="str">
        <x:v>womens flats</x:v>
      </x:c>
      <x:c r="C20" s="10" t="n">
        <x:f>'原始数据'!D17</x:f>
        <x:v>790828</x:v>
      </x:c>
      <x:c r="D20" s="9" t="n">
        <x:f>IF(ISNUMBER('原始数据'!E17),'原始数据'!E17,VALUE(SUBSTITUTE('原始数据'!E17,"'","")))</x:f>
        <x:v>0.2399</x:v>
      </x:c>
      <x:c r="E20" s="9" t="n">
        <x:f>IF(ISNUMBER('原始数据'!H17),'原始数据'!H17,VALUE(SUBSTITUTE('原始数据'!H17,"'","")))</x:f>
        <x:v>0.2937</x:v>
      </x:c>
      <x:c r="F20" s="10" t="n">
        <x:f>'原始数据'!L17</x:f>
        <x:v>1965</x:v>
      </x:c>
      <x:c r="G20" s="9" t="n">
        <x:f>F20/'原始数据'!G17</x:f>
        <x:v>0.009938748982100136</x:v>
      </x:c>
      <x:c r="H20" s="9" t="n">
        <x:f>'原始数据'!P17/'原始数据'!O17</x:f>
        <x:v>0.10354650334710155</x:v>
      </x:c>
      <x:c r="I20" s="9" t="n">
        <x:f>F20/C20</x:f>
        <x:v>0.0024847375156165437</x:v>
      </x:c>
      <x:c r="J20" s="9" t="n">
        <x:f>'原始数据'!G17/'原始数据'!F17</x:f>
        <x:v>0.008080775466054355</x:v>
      </x:c>
      <x:c r="K20" s="2" t="str">
        <x:v>待拆分产品市场</x:v>
      </x:c>
      <x:c r="L20" s="15" t="str">
        <x:v>尺码/颜色变体及退货待核验</x:v>
      </x:c>
      <x:c r="M20" s="2" t="str">
        <x:f>IF(AND(C20&gt;='核验与方法'!$B$7,F20&gt;='核验与方法'!$B$8,G20&gt;='核验与方法'!$B$9,D20&gt;='核验与方法'!$B$10,E20&gt;='核验与方法'!$B$11),"通过需求门槛","未通过需求门槛")</x:f>
        <x:v>未通过需求门槛</x:v>
      </x:c>
      <x:c r="N20" s="2" t="str">
        <x:v>先核验风险标签</x:v>
      </x:c>
      <x:c r="O20" s="9" t="n">
        <x:f>G20-'原始数据'!J17</x:f>
        <x:v>0.0000387489821001355</x:v>
      </x:c>
      <x:c r="P20" s="2" t="str">
        <x:v>DATA HOLD</x:v>
      </x:c>
    </x:row>
    <x:row r="21" ht="48" customHeight="1">
      <x:c r="A21" s="2" t="n">
        <x:v>16</x:v>
      </x:c>
      <x:c r="B21" s="2" t="str">
        <x:v>toy</x:v>
      </x:c>
      <x:c r="C21" s="10" t="n">
        <x:f>'原始数据'!D18</x:f>
        <x:v>747197</x:v>
      </x:c>
      <x:c r="D21" s="9" t="n">
        <x:f>IF(ISNUMBER('原始数据'!E18),'原始数据'!E18,VALUE(SUBSTITUTE('原始数据'!E18,"'","")))</x:f>
        <x:v>-0.1471</x:v>
      </x:c>
      <x:c r="E21" s="9" t="n">
        <x:f>IF(ISNUMBER('原始数据'!H18),'原始数据'!H18,VALUE(SUBSTITUTE('原始数据'!H18,"'","")))</x:f>
        <x:v>1.5943</x:v>
      </x:c>
      <x:c r="F21" s="10" t="n">
        <x:f>'原始数据'!L18</x:f>
        <x:v>512</x:v>
      </x:c>
      <x:c r="G21" s="9" t="n">
        <x:f>F21/'原始数据'!G18</x:f>
        <x:v>0.0070188906862610695</x:v>
      </x:c>
      <x:c r="H21" s="9" t="n">
        <x:f>'原始数据'!P18/'原始数据'!O18</x:f>
        <x:v>0.023039762170196952</x:v>
      </x:c>
      <x:c r="I21" s="9" t="n">
        <x:f>F21/C21</x:f>
        <x:v>0.000685227590581868</x:v>
      </x:c>
      <x:c r="J21" s="9" t="n">
        <x:f>'原始数据'!G18/'原始数据'!F18</x:f>
        <x:v>0.039964783041511416</x:v>
      </x:c>
      <x:c r="K21" s="2" t="str">
        <x:v>待拆分产品市场</x:v>
      </x:c>
      <x:c r="L21" s="15" t="str">
        <x:v>暂无自动识别标签，仍需核验</x:v>
      </x:c>
      <x:c r="M21" s="2" t="str">
        <x:f>IF(AND(C21&gt;='核验与方法'!$B$7,F21&gt;='核验与方法'!$B$8,G21&gt;='核验与方法'!$B$9,D21&gt;='核验与方法'!$B$10,E21&gt;='核验与方法'!$B$11),"通过需求门槛","未通过需求门槛")</x:f>
        <x:v>未通过需求门槛</x:v>
      </x:c>
      <x:c r="N21" s="2" t="str">
        <x:v>待确认具体产品形态</x:v>
      </x:c>
      <x:c r="O21" s="9" t="n">
        <x:f>G21-'原始数据'!J18</x:f>
        <x:v>0.000018890686261069378</x:v>
      </x:c>
      <x:c r="P21" s="2" t="str">
        <x:v>DATA HOLD</x:v>
      </x:c>
    </x:row>
    <x:row r="22" ht="48" customHeight="1">
      <x:c r="A22" s="2" t="n">
        <x:v>17</x:v>
      </x:c>
      <x:c r="B22" s="2" t="str">
        <x:v>17 pro max case</x:v>
      </x:c>
      <x:c r="C22" s="10" t="n">
        <x:f>'原始数据'!D19</x:f>
        <x:v>739499</x:v>
      </x:c>
      <x:c r="D22" s="9" t="n">
        <x:f>IF(ISNUMBER('原始数据'!E19),'原始数据'!E19,VALUE(SUBSTITUTE('原始数据'!E19,"'","")))</x:f>
        <x:v>0.2493</x:v>
      </x:c>
      <x:c r="E22" s="9" t="n">
        <x:f>IF(ISNUMBER('原始数据'!H19),'原始数据'!H19,VALUE(SUBSTITUTE('原始数据'!H19,"'","")))</x:f>
        <x:v>0.2722</x:v>
      </x:c>
      <x:c r="F22" s="10" t="n">
        <x:f>'原始数据'!L19</x:f>
        <x:v>17299</x:v>
      </x:c>
      <x:c r="G22" s="9" t="n">
        <x:f>F22/'原始数据'!G19</x:f>
        <x:v>0.06391696964322663</x:v>
      </x:c>
      <x:c r="H22" s="9" t="n">
        <x:f>'原始数据'!P19/'原始数据'!O19</x:f>
        <x:v>0.3183552142680208</x:v>
      </x:c>
      <x:c r="I22" s="9" t="n">
        <x:f>F22/C22</x:f>
        <x:v>0.023392864628620186</x:v>
      </x:c>
      <x:c r="J22" s="9" t="n">
        <x:f>'原始数据'!G19/'原始数据'!F19</x:f>
        <x:v>0.017479859100896313</x:v>
      </x:c>
      <x:c r="K22" s="2" t="str">
        <x:v>待拆分产品市场</x:v>
      </x:c>
      <x:c r="L22" s="15" t="str">
        <x:v>暂无自动识别标签，仍需核验</x:v>
      </x:c>
      <x:c r="M22" s="2" t="str">
        <x:f>IF(AND(C22&gt;='核验与方法'!$B$7,F22&gt;='核验与方法'!$B$8,G22&gt;='核验与方法'!$B$9,D22&gt;='核验与方法'!$B$10,E22&gt;='核验与方法'!$B$11),"通过需求门槛","未通过需求门槛")</x:f>
        <x:v>通过需求门槛</x:v>
      </x:c>
      <x:c r="N22" s="2" t="str">
        <x:v>待确认具体产品形态</x:v>
      </x:c>
      <x:c r="O22" s="9" t="n">
        <x:f>G22-'原始数据'!J19</x:f>
        <x:v>0.000016969643226630304</x:v>
      </x:c>
      <x:c r="P22" s="2" t="str">
        <x:v>DATA HOLD</x:v>
      </x:c>
    </x:row>
    <x:row r="23" ht="48" customHeight="1">
      <x:c r="A23" s="2" t="n">
        <x:v>18</x:v>
      </x:c>
      <x:c r="B23" s="2" t="str">
        <x:v>tablet</x:v>
      </x:c>
      <x:c r="C23" s="10" t="n">
        <x:f>'原始数据'!D20</x:f>
        <x:v>718788</x:v>
      </x:c>
      <x:c r="D23" s="9" t="n">
        <x:f>IF(ISNUMBER('原始数据'!E20),'原始数据'!E20,VALUE(SUBSTITUTE('原始数据'!E20,"'","")))</x:f>
        <x:v>-0.041</x:v>
      </x:c>
      <x:c r="E23" s="9" t="n">
        <x:f>IF(ISNUMBER('原始数据'!H20),'原始数据'!H20,VALUE(SUBSTITUTE('原始数据'!H20,"'","")))</x:f>
        <x:v>-0.0047</x:v>
      </x:c>
      <x:c r="F23" s="10" t="n">
        <x:f>'原始数据'!L20</x:f>
        <x:v>5832</x:v>
      </x:c>
      <x:c r="G23" s="9" t="n">
        <x:f>F23/'原始数据'!G20</x:f>
        <x:v>0.026917005898479687</x:v>
      </x:c>
      <x:c r="H23" s="9" t="n">
        <x:f>'原始数据'!P20/'原始数据'!O20</x:f>
        <x:v>0.09845747025121199</x:v>
      </x:c>
      <x:c r="I23" s="9" t="n">
        <x:f>F23/C23</x:f>
        <x:v>0.008113657990951435</x:v>
      </x:c>
      <x:c r="J23" s="9" t="n">
        <x:f>'原始数据'!G20/'原始数据'!F20</x:f>
        <x:v>0.01657566217615296</x:v>
      </x:c>
      <x:c r="K23" s="2" t="str">
        <x:v>待拆分产品市场</x:v>
      </x:c>
      <x:c r="L23" s="15" t="str">
        <x:v>暂无自动识别标签，仍需核验</x:v>
      </x:c>
      <x:c r="M23" s="2" t="str">
        <x:f>IF(AND(C23&gt;='核验与方法'!$B$7,F23&gt;='核验与方法'!$B$8,G23&gt;='核验与方法'!$B$9,D23&gt;='核验与方法'!$B$10,E23&gt;='核验与方法'!$B$11),"通过需求门槛","未通过需求门槛")</x:f>
        <x:v>未通过需求门槛</x:v>
      </x:c>
      <x:c r="N23" s="2" t="str">
        <x:v>待确认具体产品形态</x:v>
      </x:c>
      <x:c r="O23" s="9" t="n">
        <x:f>G23-'原始数据'!J20</x:f>
        <x:v>0.000017005898479686976</x:v>
      </x:c>
      <x:c r="P23" s="2" t="str">
        <x:v>DATA HOLD</x:v>
      </x:c>
    </x:row>
    <x:row r="24" ht="48" customHeight="1">
      <x:c r="A24" s="2" t="n">
        <x:v>19</x:v>
      </x:c>
      <x:c r="B24" s="2" t="str">
        <x:v>wall art</x:v>
      </x:c>
      <x:c r="C24" s="10" t="n">
        <x:f>'原始数据'!D21</x:f>
        <x:v>690424</x:v>
      </x:c>
      <x:c r="D24" s="9" t="n">
        <x:f>IF(ISNUMBER('原始数据'!E21),'原始数据'!E21,VALUE(SUBSTITUTE('原始数据'!E21,"'","")))</x:f>
        <x:v>-0.0645</x:v>
      </x:c>
      <x:c r="E24" s="9" t="n">
        <x:f>IF(ISNUMBER('原始数据'!H21),'原始数据'!H21,VALUE(SUBSTITUTE('原始数据'!H21,"'","")))</x:f>
        <x:v>-0.0548</x:v>
      </x:c>
      <x:c r="F24" s="10" t="n">
        <x:f>'原始数据'!L21</x:f>
        <x:v>2566</x:v>
      </x:c>
      <x:c r="G24" s="9" t="n">
        <x:f>F24/'原始数据'!G21</x:f>
        <x:v>0.013702360800354575</x:v>
      </x:c>
      <x:c r="H24" s="9" t="n">
        <x:f>'原始数据'!P21/'原始数据'!O21</x:f>
        <x:v>0.05001547987616099</x:v>
      </x:c>
      <x:c r="I24" s="9" t="n">
        <x:f>F24/C24</x:f>
        <x:v>0.00371655678249887</x:v>
      </x:c>
      <x:c r="J24" s="9" t="n">
        <x:f>'原始数据'!G21/'原始数据'!F21</x:f>
        <x:v>0.01004203490374893</x:v>
      </x:c>
      <x:c r="K24" s="2" t="str">
        <x:v>待拆分产品市场</x:v>
      </x:c>
      <x:c r="L24" s="15" t="str">
        <x:v>暂无自动识别标签，仍需核验</x:v>
      </x:c>
      <x:c r="M24" s="2" t="str">
        <x:f>IF(AND(C24&gt;='核验与方法'!$B$7,F24&gt;='核验与方法'!$B$8,G24&gt;='核验与方法'!$B$9,D24&gt;='核验与方法'!$B$10,E24&gt;='核验与方法'!$B$11),"通过需求门槛","未通过需求门槛")</x:f>
        <x:v>未通过需求门槛</x:v>
      </x:c>
      <x:c r="N24" s="2" t="str">
        <x:v>待确认具体产品形态</x:v>
      </x:c>
      <x:c r="O24" s="9" t="n">
        <x:f>G24-'原始数据'!J21</x:f>
        <x:v>0.000002360800354574144</x:v>
      </x:c>
      <x:c r="P24" s="2" t="str">
        <x:v>DATA HOLD</x:v>
      </x:c>
    </x:row>
    <x:row r="25" ht="48" customHeight="1">
      <x:c r="A25" s="2" t="n">
        <x:v>20</x:v>
      </x:c>
      <x:c r="B25" s="2" t="str">
        <x:v>avocado</x:v>
      </x:c>
      <x:c r="C25" s="10" t="n">
        <x:f>'原始数据'!D22</x:f>
        <x:v>685508</x:v>
      </x:c>
      <x:c r="D25" s="9" t="n">
        <x:f>IF(ISNUMBER('原始数据'!E22),'原始数据'!E22,VALUE(SUBSTITUTE('原始数据'!E22,"'","")))</x:f>
        <x:v>0.0437</x:v>
      </x:c>
      <x:c r="E25" s="9" t="n">
        <x:f>IF(ISNUMBER('原始数据'!H22),'原始数据'!H22,VALUE(SUBSTITUTE('原始数据'!H22,"'","")))</x:f>
        <x:v>-0.0302</x:v>
      </x:c>
      <x:c r="F25" s="10" t="n">
        <x:f>'原始数据'!L22</x:f>
        <x:v>121669</x:v>
      </x:c>
      <x:c r="G25" s="9" t="n">
        <x:f>F25/'原始数据'!G22</x:f>
        <x:v>0.3450858821927755</x:v>
      </x:c>
      <x:c r="H25" s="9" t="n">
        <x:f>'原始数据'!P22/'原始数据'!O22</x:f>
        <x:v>0.42111300121506684</x:v>
      </x:c>
      <x:c r="I25" s="9" t="n">
        <x:f>F25/C25</x:f>
        <x:v>0.17748735244519392</x:v>
      </x:c>
      <x:c r="J25" s="9" t="n">
        <x:f>'原始数据'!G22/'原始数据'!F22</x:f>
        <x:v>0.025192095659883843</x:v>
      </x:c>
      <x:c r="K25" s="2" t="str">
        <x:v>专业供给</x:v>
      </x:c>
      <x:c r="L25" s="15" t="str">
        <x:v>食品/补剂或耗材需独立供应链</x:v>
      </x:c>
      <x:c r="M25" s="2" t="str">
        <x:f>IF(AND(C25&gt;='核验与方法'!$B$7,F25&gt;='核验与方法'!$B$8,G25&gt;='核验与方法'!$B$9,D25&gt;='核验与方法'!$B$10,E25&gt;='核验与方法'!$B$11),"通过需求门槛","未通过需求门槛")</x:f>
        <x:v>未通过需求门槛</x:v>
      </x:c>
      <x:c r="N25" s="2" t="str">
        <x:v>先核验风险标签</x:v>
      </x:c>
      <x:c r="O25" s="9" t="n">
        <x:f>G25-'原始数据'!J22</x:f>
        <x:v>0.00008588219277549936</x:v>
      </x:c>
      <x:c r="P25" s="2" t="str">
        <x:v>DATA HOLD</x:v>
      </x:c>
    </x:row>
    <x:row r="26" ht="48" customHeight="1">
      <x:c r="A26" s="2" t="n">
        <x:v>21</x:v>
      </x:c>
      <x:c r="B26" s="2" t="str">
        <x:v>lanterns</x:v>
      </x:c>
      <x:c r="C26" s="10" t="n">
        <x:f>'原始数据'!D23</x:f>
        <x:v>637870</x:v>
      </x:c>
      <x:c r="D26" s="9" t="n">
        <x:f>IF(ISNUMBER('原始数据'!E23),'原始数据'!E23,VALUE(SUBSTITUTE('原始数据'!E23,"'","")))</x:f>
        <x:v>1.0582</x:v>
      </x:c>
      <x:c r="E26" s="9" t="n">
        <x:f>IF(ISNUMBER('原始数据'!H23),'原始数据'!H23,VALUE(SUBSTITUTE('原始数据'!H23,"'","")))</x:f>
        <x:v>0.2736</x:v>
      </x:c>
      <x:c r="F26" s="10" t="n">
        <x:f>'原始数据'!L23</x:f>
        <x:v>418</x:v>
      </x:c>
      <x:c r="G26" s="9" t="n">
        <x:f>F26/'原始数据'!G23</x:f>
        <x:v>0.04311500773594636</x:v>
      </x:c>
      <x:c r="H26" s="9" t="n">
        <x:f>'原始数据'!P23/'原始数据'!O23</x:f>
        <x:v>0.01231705806360274</x:v>
      </x:c>
      <x:c r="I26" s="9" t="n">
        <x:f>F26/C26</x:f>
        <x:v>0.0006553059400818349</x:v>
      </x:c>
      <x:c r="J26" s="9" t="n">
        <x:f>'原始数据'!G23/'原始数据'!F23</x:f>
        <x:v>0.002661346353022172</x:v>
      </x:c>
      <x:c r="K26" s="2" t="str">
        <x:v>待拆分产品市场</x:v>
      </x:c>
      <x:c r="L26" s="15" t="str">
        <x:v>暂无自动识别标签，仍需核验</x:v>
      </x:c>
      <x:c r="M26" s="2" t="str">
        <x:f>IF(AND(C26&gt;='核验与方法'!$B$7,F26&gt;='核验与方法'!$B$8,G26&gt;='核验与方法'!$B$9,D26&gt;='核验与方法'!$B$10,E26&gt;='核验与方法'!$B$11),"通过需求门槛","未通过需求门槛")</x:f>
        <x:v>未通过需求门槛</x:v>
      </x:c>
      <x:c r="N26" s="2" t="str">
        <x:v>待确认具体产品形态</x:v>
      </x:c>
      <x:c r="O26" s="9" t="n">
        <x:f>G26-'原始数据'!J23</x:f>
        <x:v>0.000015007735946363787</x:v>
      </x:c>
      <x:c r="P26" s="2" t="str">
        <x:v>DATA HOLD</x:v>
      </x:c>
    </x:row>
    <x:row r="27" ht="48" customHeight="1">
      <x:c r="A27" s="2" t="n">
        <x:v>22</x:v>
      </x:c>
      <x:c r="B27" s="2" t="str">
        <x:v>sugar</x:v>
      </x:c>
      <x:c r="C27" s="10" t="n">
        <x:f>'原始数据'!D24</x:f>
        <x:v>629621</x:v>
      </x:c>
      <x:c r="D27" s="9" t="n">
        <x:f>IF(ISNUMBER('原始数据'!E24),'原始数据'!E24,VALUE(SUBSTITUTE('原始数据'!E24,"'","")))</x:f>
        <x:v>0.064</x:v>
      </x:c>
      <x:c r="E27" s="9" t="n">
        <x:f>IF(ISNUMBER('原始数据'!H24),'原始数据'!H24,VALUE(SUBSTITUTE('原始数据'!H24,"'","")))</x:f>
        <x:v>0.1283</x:v>
      </x:c>
      <x:c r="F27" s="10" t="n">
        <x:f>'原始数据'!L24</x:f>
        <x:v>75075</x:v>
      </x:c>
      <x:c r="G27" s="9" t="n">
        <x:f>F27/'原始数据'!G24</x:f>
        <x:v>0.34466215533784467</x:v>
      </x:c>
      <x:c r="H27" s="9" t="n">
        <x:f>'原始数据'!P24/'原始数据'!O24</x:f>
        <x:v>0.47326606277076855</x:v>
      </x:c>
      <x:c r="I27" s="9" t="n">
        <x:f>F27/C27</x:f>
        <x:v>0.11923839897335063</x:v>
      </x:c>
      <x:c r="J27" s="9" t="n">
        <x:f>'原始数据'!G24/'原始数据'!F24</x:f>
        <x:v>0.013873559418090351</x:v>
      </x:c>
      <x:c r="K27" s="2" t="str">
        <x:v>专业供给</x:v>
      </x:c>
      <x:c r="L27" s="15" t="str">
        <x:v>食品/补剂或耗材需独立供应链</x:v>
      </x:c>
      <x:c r="M27" s="2" t="str">
        <x:f>IF(AND(C27&gt;='核验与方法'!$B$7,F27&gt;='核验与方法'!$B$8,G27&gt;='核验与方法'!$B$9,D27&gt;='核验与方法'!$B$10,E27&gt;='核验与方法'!$B$11),"通过需求门槛","未通过需求门槛")</x:f>
        <x:v>通过需求门槛</x:v>
      </x:c>
      <x:c r="N27" s="2" t="str">
        <x:v>先核验风险标签</x:v>
      </x:c>
      <x:c r="O27" s="9" t="n">
        <x:f>G27-'原始数据'!J24</x:f>
        <x:v>0.00006215533784464933</x:v>
      </x:c>
      <x:c r="P27" s="2" t="str">
        <x:v>DATA HOLD</x:v>
      </x:c>
    </x:row>
    <x:row r="28" ht="48" customHeight="1">
      <x:c r="A28" s="2" t="n">
        <x:v>23</x:v>
      </x:c>
      <x:c r="B28" s="2" t="str">
        <x:v>womens boots</x:v>
      </x:c>
      <x:c r="C28" s="10" t="n">
        <x:f>'原始数据'!D25</x:f>
        <x:v>619096</x:v>
      </x:c>
      <x:c r="D28" s="9" t="n">
        <x:f>IF(ISNUMBER('原始数据'!E25),'原始数据'!E25,VALUE(SUBSTITUTE('原始数据'!E25,"'","")))</x:f>
        <x:v>1.048</x:v>
      </x:c>
      <x:c r="E28" s="9" t="n">
        <x:f>IF(ISNUMBER('原始数据'!H25),'原始数据'!H25,VALUE(SUBSTITUTE('原始数据'!H25,"'","")))</x:f>
        <x:v>1.081</x:v>
      </x:c>
      <x:c r="F28" s="10" t="n">
        <x:f>'原始数据'!L25</x:f>
        <x:v>806</x:v>
      </x:c>
      <x:c r="G28" s="9" t="n">
        <x:f>F28/'原始数据'!G25</x:f>
        <x:v>0.006580827420658572</x:v>
      </x:c>
      <x:c r="H28" s="9" t="n">
        <x:f>'原始数据'!P25/'原始数据'!O25</x:f>
        <x:v>0.060196234420578094</x:v>
      </x:c>
      <x:c r="I28" s="9" t="n">
        <x:f>F28/C28</x:f>
        <x:v>0.001301898251644333</x:v>
      </x:c>
      <x:c r="J28" s="9" t="n">
        <x:f>'原始数据'!G25/'原始数据'!F25</x:f>
        <x:v>0.01154833404506431</x:v>
      </x:c>
      <x:c r="K28" s="2" t="str">
        <x:v>待拆分产品市场</x:v>
      </x:c>
      <x:c r="L28" s="15" t="str">
        <x:v>尺码/颜色变体及退货待核验</x:v>
      </x:c>
      <x:c r="M28" s="2" t="str">
        <x:f>IF(AND(C28&gt;='核验与方法'!$B$7,F28&gt;='核验与方法'!$B$8,G28&gt;='核验与方法'!$B$9,D28&gt;='核验与方法'!$B$10,E28&gt;='核验与方法'!$B$11),"通过需求门槛","未通过需求门槛")</x:f>
        <x:v>未通过需求门槛</x:v>
      </x:c>
      <x:c r="N28" s="2" t="str">
        <x:v>先核验风险标签</x:v>
      </x:c>
      <x:c r="O28" s="9" t="n">
        <x:f>G28-'原始数据'!J25</x:f>
        <x:v>0.00008082742065857254</x:v>
      </x:c>
      <x:c r="P28" s="2" t="str">
        <x:v>DATA HOLD</x:v>
      </x:c>
    </x:row>
    <x:row r="29" ht="48" customHeight="1">
      <x:c r="A29" s="2" t="n">
        <x:v>24</x:v>
      </x:c>
      <x:c r="B29" s="2" t="str">
        <x:v>dolly parton costume</x:v>
      </x:c>
      <x:c r="C29" s="10" t="n">
        <x:f>'原始数据'!D26</x:f>
        <x:v>617623</x:v>
      </x:c>
      <x:c r="D29" s="9" t="n">
        <x:f>IF(ISNUMBER('原始数据'!E26),'原始数据'!E26,VALUE(SUBSTITUTE('原始数据'!E26,"'","")))</x:f>
        <x:v>55.2703</x:v>
      </x:c>
      <x:c r="E29" s="9" t="n">
        <x:f>IF(ISNUMBER('原始数据'!H26),'原始数据'!H26,VALUE(SUBSTITUTE('原始数据'!H26,"'","")))</x:f>
        <x:v>55.1379</x:v>
      </x:c>
      <x:c r="F29" s="10" t="n">
        <x:f>'原始数据'!L26</x:f>
        <x:v>4508</x:v>
      </x:c>
      <x:c r="G29" s="9" t="n">
        <x:f>F29/'原始数据'!G26</x:f>
        <x:v>0.02569671266765851</x:v>
      </x:c>
      <x:c r="H29" s="9" t="n">
        <x:f>'原始数据'!P26/'原始数据'!O26</x:f>
        <x:v>0.08046361772459099</x:v>
      </x:c>
      <x:c r="I29" s="9" t="n">
        <x:f>F29/C29</x:f>
        <x:v>0.007298950978185722</x:v>
      </x:c>
      <x:c r="J29" s="9" t="n">
        <x:f>'原始数据'!G26/'原始数据'!F26</x:f>
        <x:v>0.031400919057401444</x:v>
      </x:c>
      <x:c r="K29" s="2" t="str">
        <x:v>待拆分产品市场</x:v>
      </x:c>
      <x:c r="L29" s="15" t="str">
        <x:v>品牌或IP需核验；季节/事件影响待核验</x:v>
      </x:c>
      <x:c r="M29" s="2" t="str">
        <x:f>IF(AND(C29&gt;='核验与方法'!$B$7,F29&gt;='核验与方法'!$B$8,G29&gt;='核验与方法'!$B$9,D29&gt;='核验与方法'!$B$10,E29&gt;='核验与方法'!$B$11),"通过需求门槛","未通过需求门槛")</x:f>
        <x:v>未通过需求门槛</x:v>
      </x:c>
      <x:c r="N29" s="2" t="str">
        <x:v>先核验风险标签</x:v>
      </x:c>
      <x:c r="O29" s="9" t="n">
        <x:f>G29-'原始数据'!J26</x:f>
        <x:v>0.00009671266765850714</x:v>
      </x:c>
      <x:c r="P29" s="2" t="str">
        <x:v>DATA HOLD</x:v>
      </x:c>
    </x:row>
    <x:row r="30" ht="48" customHeight="1">
      <x:c r="A30" s="2" t="n">
        <x:v>25</x:v>
      </x:c>
      <x:c r="B30" s="2" t="str">
        <x:v>mattress topper</x:v>
      </x:c>
      <x:c r="C30" s="10" t="n">
        <x:f>'原始数据'!D27</x:f>
        <x:v>607384</x:v>
      </x:c>
      <x:c r="D30" s="9" t="n">
        <x:f>IF(ISNUMBER('原始数据'!E27),'原始数据'!E27,VALUE(SUBSTITUTE('原始数据'!E27,"'","")))</x:f>
        <x:v>-0.3128</x:v>
      </x:c>
      <x:c r="E30" s="9" t="n">
        <x:f>IF(ISNUMBER('原始数据'!H27),'原始数据'!H27,VALUE(SUBSTITUTE('原始数据'!H27,"'","")))</x:f>
        <x:v>-0.2987</x:v>
      </x:c>
      <x:c r="F30" s="10" t="n">
        <x:f>'原始数据'!L27</x:f>
        <x:v>11695</x:v>
      </x:c>
      <x:c r="G30" s="9" t="n">
        <x:f>F30/'原始数据'!G27</x:f>
        <x:v>0.046695387957021876</x:v>
      </x:c>
      <x:c r="H30" s="9" t="n">
        <x:f>'原始数据'!P27/'原始数据'!O27</x:f>
        <x:v>0.21748236748804523</x:v>
      </x:c>
      <x:c r="I30" s="9" t="n">
        <x:f>F30/C30</x:f>
        <x:v>0.01925470542523346</x:v>
      </x:c>
      <x:c r="J30" s="9" t="n">
        <x:f>'原始数据'!G27/'原始数据'!F27</x:f>
        <x:v>0.012183731486130852</x:v>
      </x:c>
      <x:c r="K30" s="2" t="str">
        <x:v>待拆分产品市场</x:v>
      </x:c>
      <x:c r="L30" s="15" t="str">
        <x:v>体积/安装/售后成本待核验</x:v>
      </x:c>
      <x:c r="M30" s="2" t="str">
        <x:f>IF(AND(C30&gt;='核验与方法'!$B$7,F30&gt;='核验与方法'!$B$8,G30&gt;='核验与方法'!$B$9,D30&gt;='核验与方法'!$B$10,E30&gt;='核验与方法'!$B$11),"通过需求门槛","未通过需求门槛")</x:f>
        <x:v>未通过需求门槛</x:v>
      </x:c>
      <x:c r="N30" s="2" t="str">
        <x:v>先核验风险标签</x:v>
      </x:c>
      <x:c r="O30" s="9" t="n">
        <x:f>G30-'原始数据'!J27</x:f>
        <x:v>0.0000953879570218738</x:v>
      </x:c>
      <x:c r="P30" s="2" t="str">
        <x:v>DATA HOLD</x:v>
      </x:c>
    </x:row>
    <x:row r="31" ht="48" customHeight="1">
      <x:c r="A31" s="2" t="n">
        <x:v>26</x:v>
      </x:c>
      <x:c r="B31" s="2" t="str">
        <x:v>vinyl records</x:v>
      </x:c>
      <x:c r="C31" s="10" t="n">
        <x:f>'原始数据'!D28</x:f>
        <x:v>595113</x:v>
      </x:c>
      <x:c r="D31" s="9" t="n">
        <x:f>IF(ISNUMBER('原始数据'!E28),'原始数据'!E28,VALUE(SUBSTITUTE('原始数据'!E28,"'","")))</x:f>
        <x:v>0.0865</x:v>
      </x:c>
      <x:c r="E31" s="9" t="n">
        <x:f>IF(ISNUMBER('原始数据'!H28),'原始数据'!H28,VALUE(SUBSTITUTE('原始数据'!H28,"'","")))</x:f>
        <x:v>0.1195</x:v>
      </x:c>
      <x:c r="F31" s="10" t="n">
        <x:f>'原始数据'!L28</x:f>
        <x:v>6495</x:v>
      </x:c>
      <x:c r="G31" s="9" t="n">
        <x:f>F31/'原始数据'!G28</x:f>
        <x:v>0.05259109311740891</x:v>
      </x:c>
      <x:c r="H31" s="9" t="n">
        <x:f>'原始数据'!P28/'原始数据'!O28</x:f>
        <x:v>0.10710308298247996</x:v>
      </x:c>
      <x:c r="I31" s="9" t="n">
        <x:f>F31/C31</x:f>
        <x:v>0.010913893663892404</x:v>
      </x:c>
      <x:c r="J31" s="9" t="n">
        <x:f>'原始数据'!G28/'原始数据'!F28</x:f>
        <x:v>0.012307507100983146</x:v>
      </x:c>
      <x:c r="K31" s="2" t="str">
        <x:v>待拆分产品市场</x:v>
      </x:c>
      <x:c r="L31" s="15" t="str">
        <x:v>内容/导航或宽泛需求需拆分</x:v>
      </x:c>
      <x:c r="M31" s="2" t="str">
        <x:f>IF(AND(C31&gt;='核验与方法'!$B$7,F31&gt;='核验与方法'!$B$8,G31&gt;='核验与方法'!$B$9,D31&gt;='核验与方法'!$B$10,E31&gt;='核验与方法'!$B$11),"通过需求门槛","未通过需求门槛")</x:f>
        <x:v>通过需求门槛</x:v>
      </x:c>
      <x:c r="N31" s="2" t="str">
        <x:v>先核验风险标签</x:v>
      </x:c>
      <x:c r="O31" s="9" t="n">
        <x:f>G31-'原始数据'!J28</x:f>
        <x:v>0.00009109311740890941</x:v>
      </x:c>
      <x:c r="P31" s="2" t="str">
        <x:v>DATA HOLD</x:v>
      </x:c>
    </x:row>
    <x:row r="32" ht="48" customHeight="1">
      <x:c r="A32" s="2" t="n">
        <x:v>27</x:v>
      </x:c>
      <x:c r="B32" s="2" t="str">
        <x:v>bible</x:v>
      </x:c>
      <x:c r="C32" s="10" t="n">
        <x:f>'原始数据'!D29</x:f>
        <x:v>587324</x:v>
      </x:c>
      <x:c r="D32" s="9" t="n">
        <x:f>IF(ISNUMBER('原始数据'!E29),'原始数据'!E29,VALUE(SUBSTITUTE('原始数据'!E29,"'","")))</x:f>
        <x:v>0.0371</x:v>
      </x:c>
      <x:c r="E32" s="9" t="n">
        <x:f>IF(ISNUMBER('原始数据'!H29),'原始数据'!H29,VALUE(SUBSTITUTE('原始数据'!H29,"'","")))</x:f>
        <x:v>0.0773</x:v>
      </x:c>
      <x:c r="F32" s="10" t="n">
        <x:f>'原始数据'!L29</x:f>
        <x:v>13826</x:v>
      </x:c>
      <x:c r="G32" s="9" t="n">
        <x:f>F32/'原始数据'!G29</x:f>
        <x:v>0.06945923678234833</x:v>
      </x:c>
      <x:c r="H32" s="9" t="n">
        <x:f>'原始数据'!P29/'原始数据'!O29</x:f>
        <x:v>0.1972528207643937</x:v>
      </x:c>
      <x:c r="I32" s="9" t="n">
        <x:f>F32/C32</x:f>
        <x:v>0.02354066920473197</x:v>
      </x:c>
      <x:c r="J32" s="9" t="n">
        <x:f>'原始数据'!G29/'原始数据'!F29</x:f>
        <x:v>0.01853902754394022</x:v>
      </x:c>
      <x:c r="K32" s="2" t="str">
        <x:v>待拆分产品市场</x:v>
      </x:c>
      <x:c r="L32" s="15" t="str">
        <x:v>内容/导航或宽泛需求需拆分</x:v>
      </x:c>
      <x:c r="M32" s="2" t="str">
        <x:f>IF(AND(C32&gt;='核验与方法'!$B$7,F32&gt;='核验与方法'!$B$8,G32&gt;='核验与方法'!$B$9,D32&gt;='核验与方法'!$B$10,E32&gt;='核验与方法'!$B$11),"通过需求门槛","未通过需求门槛")</x:f>
        <x:v>通过需求门槛</x:v>
      </x:c>
      <x:c r="N32" s="2" t="str">
        <x:v>先核验风险标签</x:v>
      </x:c>
      <x:c r="O32" s="9" t="n">
        <x:f>G32-'原始数据'!J29</x:f>
        <x:v>0.00005923678234832919</x:v>
      </x:c>
      <x:c r="P32" s="2" t="str">
        <x:v>DATA HOLD</x:v>
      </x:c>
    </x:row>
    <x:row r="33" ht="48" customHeight="1">
      <x:c r="A33" s="2" t="n">
        <x:v>28</x:v>
      </x:c>
      <x:c r="B33" s="2" t="str">
        <x:v>standing desk</x:v>
      </x:c>
      <x:c r="C33" s="10" t="n">
        <x:f>'原始数据'!D30</x:f>
        <x:v>583272</x:v>
      </x:c>
      <x:c r="D33" s="9" t="n">
        <x:f>IF(ISNUMBER('原始数据'!E30),'原始数据'!E30,VALUE(SUBSTITUTE('原始数据'!E30,"'","")))</x:f>
        <x:v>-0.1457</x:v>
      </x:c>
      <x:c r="E33" s="9" t="n">
        <x:f>IF(ISNUMBER('原始数据'!H30),'原始数据'!H30,VALUE(SUBSTITUTE('原始数据'!H30,"'","")))</x:f>
        <x:v>-0.1487</x:v>
      </x:c>
      <x:c r="F33" s="10" t="n">
        <x:f>'原始数据'!L30</x:f>
        <x:v>6687</x:v>
      </x:c>
      <x:c r="G33" s="9" t="n">
        <x:f>F33/'原始数据'!G30</x:f>
        <x:v>0.029271047182984535</x:v>
      </x:c>
      <x:c r="H33" s="9" t="n">
        <x:f>'原始数据'!P30/'原始数据'!O30</x:f>
        <x:v>0.10648934074900816</x:v>
      </x:c>
      <x:c r="I33" s="9" t="n">
        <x:f>F33/C33</x:f>
        <x:v>0.011464633995802987</x:v>
      </x:c>
      <x:c r="J33" s="9" t="n">
        <x:f>'原始数据'!G30/'原始数据'!F30</x:f>
        <x:v>0.012221156111492833</x:v>
      </x:c>
      <x:c r="K33" s="2" t="str">
        <x:v>待拆分产品市场</x:v>
      </x:c>
      <x:c r="L33" s="15" t="str">
        <x:v>体积/安装/售后成本待核验</x:v>
      </x:c>
      <x:c r="M33" s="2" t="str">
        <x:f>IF(AND(C33&gt;='核验与方法'!$B$7,F33&gt;='核验与方法'!$B$8,G33&gt;='核验与方法'!$B$9,D33&gt;='核验与方法'!$B$10,E33&gt;='核验与方法'!$B$11),"通过需求门槛","未通过需求门槛")</x:f>
        <x:v>未通过需求门槛</x:v>
      </x:c>
      <x:c r="N33" s="2" t="str">
        <x:v>先核验风险标签</x:v>
      </x:c>
      <x:c r="O33" s="9" t="n">
        <x:f>G33-'原始数据'!J30</x:f>
        <x:v>0.00007104718298453494</x:v>
      </x:c>
      <x:c r="P33" s="2" t="str">
        <x:v>DATA HOLD</x:v>
      </x:c>
    </x:row>
    <x:row r="34" ht="48" customHeight="1">
      <x:c r="A34" s="2" t="n">
        <x:v>29</x:v>
      </x:c>
      <x:c r="B34" s="2" t="str">
        <x:v>the housemaid</x:v>
      </x:c>
      <x:c r="C34" s="10" t="n">
        <x:f>'原始数据'!D31</x:f>
        <x:v>572549</x:v>
      </x:c>
      <x:c r="D34" s="9" t="n">
        <x:f>IF(ISNUMBER('原始数据'!E31),'原始数据'!E31,VALUE(SUBSTITUTE('原始数据'!E31,"'","")))</x:f>
        <x:v>0.1353</x:v>
      </x:c>
      <x:c r="E34" s="9" t="n">
        <x:f>IF(ISNUMBER('原始数据'!H31),'原始数据'!H31,VALUE(SUBSTITUTE('原始数据'!H31,"'","")))</x:f>
        <x:v>3.4291</x:v>
      </x:c>
      <x:c r="F34" s="10" t="n">
        <x:f>'原始数据'!L31</x:f>
        <x:v>3367</x:v>
      </x:c>
      <x:c r="G34" s="9" t="n">
        <x:f>F34/'原始数据'!G31</x:f>
        <x:v>0.029853525322740816</x:v>
      </x:c>
      <x:c r="H34" s="9" t="n">
        <x:f>'原始数据'!P31/'原始数据'!O31</x:f>
        <x:v>0.05377080454428723</x:v>
      </x:c>
      <x:c r="I34" s="9" t="n">
        <x:f>F34/C34</x:f>
        <x:v>0.005880719379476691</x:v>
      </x:c>
      <x:c r="J34" s="9" t="n">
        <x:f>'原始数据'!G31/'原始数据'!F31</x:f>
        <x:v>0.01829601044967202</x:v>
      </x:c>
      <x:c r="K34" s="2" t="str">
        <x:v>待拆分产品市场</x:v>
      </x:c>
      <x:c r="L34" s="15" t="str">
        <x:v>内容/导航或宽泛需求需拆分</x:v>
      </x:c>
      <x:c r="M34" s="2" t="str">
        <x:f>IF(AND(C34&gt;='核验与方法'!$B$7,F34&gt;='核验与方法'!$B$8,G34&gt;='核验与方法'!$B$9,D34&gt;='核验与方法'!$B$10,E34&gt;='核验与方法'!$B$11),"通过需求门槛","未通过需求门槛")</x:f>
        <x:v>未通过需求门槛</x:v>
      </x:c>
      <x:c r="N34" s="2" t="str">
        <x:v>先核验风险标签</x:v>
      </x:c>
      <x:c r="O34" s="9" t="n">
        <x:f>G34-'原始数据'!J31</x:f>
        <x:v>0.00005352532274081542</x:v>
      </x:c>
      <x:c r="P34" s="2" t="str">
        <x:v>DATA HOLD</x:v>
      </x:c>
    </x:row>
    <x:row r="35" ht="48" customHeight="1">
      <x:c r="A35" s="2" t="n">
        <x:v>30</x:v>
      </x:c>
      <x:c r="B35" s="2" t="str">
        <x:v>football</x:v>
      </x:c>
      <x:c r="C35" s="10" t="n">
        <x:f>'原始数据'!D32</x:f>
        <x:v>567506</x:v>
      </x:c>
      <x:c r="D35" s="9" t="n">
        <x:f>IF(ISNUMBER('原始数据'!E32),'原始数据'!E32,VALUE(SUBSTITUTE('原始数据'!E32,"'","")))</x:f>
        <x:v>0.8801</x:v>
      </x:c>
      <x:c r="E35" s="9" t="n">
        <x:f>IF(ISNUMBER('原始数据'!H32),'原始数据'!H32,VALUE(SUBSTITUTE('原始数据'!H32,"'","")))</x:f>
        <x:v>0.3796</x:v>
      </x:c>
      <x:c r="F35" s="10" t="n">
        <x:f>'原始数据'!L32</x:f>
        <x:v>8678</x:v>
      </x:c>
      <x:c r="G35" s="9" t="n">
        <x:f>F35/'原始数据'!G32</x:f>
        <x:v>0.11166010448030057</x:v>
      </x:c>
      <x:c r="H35" s="9" t="n">
        <x:f>'原始数据'!P32/'原始数据'!O32</x:f>
        <x:v>0.28658664982101495</x:v>
      </x:c>
      <x:c r="I35" s="9" t="n">
        <x:f>F35/C35</x:f>
        <x:v>0.015291468284035763</x:v>
      </x:c>
      <x:c r="J35" s="9" t="n">
        <x:f>'原始数据'!G32/'原始数据'!F32</x:f>
        <x:v>0.014735940769549894</x:v>
      </x:c>
      <x:c r="K35" s="2" t="str">
        <x:v>待拆分产品市场</x:v>
      </x:c>
      <x:c r="L35" s="15" t="str">
        <x:v>暂无自动识别标签，仍需核验</x:v>
      </x:c>
      <x:c r="M35" s="2" t="str">
        <x:f>IF(AND(C35&gt;='核验与方法'!$B$7,F35&gt;='核验与方法'!$B$8,G35&gt;='核验与方法'!$B$9,D35&gt;='核验与方法'!$B$10,E35&gt;='核验与方法'!$B$11),"通过需求门槛","未通过需求门槛")</x:f>
        <x:v>通过需求门槛</x:v>
      </x:c>
      <x:c r="N35" s="2" t="str">
        <x:v>待确认具体产品形态</x:v>
      </x:c>
      <x:c r="O35" s="9" t="n">
        <x:f>G35-'原始数据'!J32</x:f>
        <x:v>0.000060104480300568475</x:v>
      </x:c>
      <x:c r="P35" s="2" t="str">
        <x:v>DATA HOLD</x:v>
      </x:c>
    </x:row>
    <x:row r="36" ht="48" customHeight="1">
      <x:c r="A36" s="2" t="n">
        <x:v>31</x:v>
      </x:c>
      <x:c r="B36" s="2" t="str">
        <x:v>womens halloween costume</x:v>
      </x:c>
      <x:c r="C36" s="10" t="n">
        <x:f>'原始数据'!D33</x:f>
        <x:v>548222</x:v>
      </x:c>
      <x:c r="D36" s="9" t="n">
        <x:f>IF(ISNUMBER('原始数据'!E33),'原始数据'!E33,VALUE(SUBSTITUTE('原始数据'!E33,"'","")))</x:f>
        <x:v>2.7573</x:v>
      </x:c>
      <x:c r="E36" s="9" t="n">
        <x:f>IF(ISNUMBER('原始数据'!H33),'原始数据'!H33,VALUE(SUBSTITUTE('原始数据'!H33,"'","")))</x:f>
        <x:v>2.9757</x:v>
      </x:c>
      <x:c r="F36" s="10" t="n">
        <x:f>'原始数据'!L33</x:f>
        <x:v>1225</x:v>
      </x:c>
      <x:c r="G36" s="9" t="n">
        <x:f>F36/'原始数据'!G33</x:f>
        <x:v>0.008265020409540195</x:v>
      </x:c>
      <x:c r="H36" s="9" t="n">
        <x:f>'原始数据'!P33/'原始数据'!O33</x:f>
        <x:v>0.037906880922950144</x:v>
      </x:c>
      <x:c r="I36" s="9" t="n">
        <x:f>F36/C36</x:f>
        <x:v>0.0022344962442222313</x:v>
      </x:c>
      <x:c r="J36" s="9" t="n">
        <x:f>'原始数据'!G33/'原始数据'!F33</x:f>
        <x:v>0.022569285032642206</x:v>
      </x:c>
      <x:c r="K36" s="2" t="str">
        <x:v>待拆分产品市场</x:v>
      </x:c>
      <x:c r="L36" s="15" t="str">
        <x:v>季节/事件影响待核验</x:v>
      </x:c>
      <x:c r="M36" s="2" t="str">
        <x:f>IF(AND(C36&gt;='核验与方法'!$B$7,F36&gt;='核验与方法'!$B$8,G36&gt;='核验与方法'!$B$9,D36&gt;='核验与方法'!$B$10,E36&gt;='核验与方法'!$B$11),"通过需求门槛","未通过需求门槛")</x:f>
        <x:v>未通过需求门槛</x:v>
      </x:c>
      <x:c r="N36" s="2" t="str">
        <x:v>先核验风险标签</x:v>
      </x:c>
      <x:c r="O36" s="9" t="n">
        <x:f>G36-'原始数据'!J33</x:f>
        <x:v>0.00006502040954019413</x:v>
      </x:c>
      <x:c r="P36" s="2" t="str">
        <x:v>DATA HOLD</x:v>
      </x:c>
    </x:row>
    <x:row r="37" ht="48" customHeight="1">
      <x:c r="A37" s="2" t="n">
        <x:v>32</x:v>
      </x:c>
      <x:c r="B37" s="2" t="str">
        <x:v>condoms</x:v>
      </x:c>
      <x:c r="C37" s="10" t="n">
        <x:f>'原始数据'!D34</x:f>
        <x:v>542280</x:v>
      </x:c>
      <x:c r="D37" s="9" t="n">
        <x:f>IF(ISNUMBER('原始数据'!E34),'原始数据'!E34,VALUE(SUBSTITUTE('原始数据'!E34,"'","")))</x:f>
        <x:v>0.0514</x:v>
      </x:c>
      <x:c r="E37" s="9" t="n">
        <x:f>IF(ISNUMBER('原始数据'!H34),'原始数据'!H34,VALUE(SUBSTITUTE('原始数据'!H34,"'","")))</x:f>
        <x:v>0.0423</x:v>
      </x:c>
      <x:c r="F37" s="10" t="n">
        <x:f>'原始数据'!L34</x:f>
        <x:v>52908</x:v>
      </x:c>
      <x:c r="G37" s="9" t="n">
        <x:f>F37/'原始数据'!G34</x:f>
        <x:v>0.22372855554099025</x:v>
      </x:c>
      <x:c r="H37" s="9" t="n">
        <x:f>'原始数据'!P34/'原始数据'!O34</x:f>
        <x:v>0.49770354584830323</x:v>
      </x:c>
      <x:c r="I37" s="9" t="n">
        <x:f>F37/C37</x:f>
        <x:v>0.09756583314892675</x:v>
      </x:c>
      <x:c r="J37" s="9" t="n">
        <x:f>'原始数据'!G34/'原始数据'!F34</x:f>
        <x:v>0.015587817663341422</x:v>
      </x:c>
      <x:c r="K37" s="2" t="str">
        <x:v>待拆分产品市场</x:v>
      </x:c>
      <x:c r="L37" s="15" t="str">
        <x:v>专业类目适配与规则待核验</x:v>
      </x:c>
      <x:c r="M37" s="2" t="str">
        <x:f>IF(AND(C37&gt;='核验与方法'!$B$7,F37&gt;='核验与方法'!$B$8,G37&gt;='核验与方法'!$B$9,D37&gt;='核验与方法'!$B$10,E37&gt;='核验与方法'!$B$11),"通过需求门槛","未通过需求门槛")</x:f>
        <x:v>通过需求门槛</x:v>
      </x:c>
      <x:c r="N37" s="2" t="str">
        <x:v>先核验风险标签</x:v>
      </x:c>
      <x:c r="O37" s="9" t="n">
        <x:f>G37-'原始数据'!J34</x:f>
        <x:v>0.00002855554099023827</x:v>
      </x:c>
      <x:c r="P37" s="2" t="str">
        <x:v>DATA HOLD</x:v>
      </x:c>
    </x:row>
    <x:row r="38" ht="48" customHeight="1">
      <x:c r="A38" s="2" t="n">
        <x:v>33</x:v>
      </x:c>
      <x:c r="B38" s="2" t="str">
        <x:v>can opener</x:v>
      </x:c>
      <x:c r="C38" s="10" t="n">
        <x:f>'原始数据'!D35</x:f>
        <x:v>539911</x:v>
      </x:c>
      <x:c r="D38" s="9" t="n">
        <x:f>IF(ISNUMBER('原始数据'!E35),'原始数据'!E35,VALUE(SUBSTITUTE('原始数据'!E35,"'","")))</x:f>
        <x:v>0.0581</x:v>
      </x:c>
      <x:c r="E38" s="9" t="n">
        <x:f>IF(ISNUMBER('原始数据'!H35),'原始数据'!H35,VALUE(SUBSTITUTE('原始数据'!H35,"'","")))</x:f>
        <x:v>0.0242</x:v>
      </x:c>
      <x:c r="F38" s="10" t="n">
        <x:f>'原始数据'!L35</x:f>
        <x:v>63002</x:v>
      </x:c>
      <x:c r="G38" s="9" t="n">
        <x:f>F38/'原始数据'!G35</x:f>
        <x:v>0.268356263577118</x:v>
      </x:c>
      <x:c r="H38" s="9" t="n">
        <x:f>'原始数据'!P35/'原始数据'!O35</x:f>
        <x:v>0.5008612115184008</x:v>
      </x:c>
      <x:c r="I38" s="9" t="n">
        <x:f>F38/C38</x:f>
        <x:v>0.11668960254560475</x:v>
      </x:c>
      <x:c r="J38" s="9" t="n">
        <x:f>'原始数据'!G35/'原始数据'!F35</x:f>
        <x:v>0.013110672853893092</x:v>
      </x:c>
      <x:c r="K38" s="2" t="str">
        <x:v>已选候选</x:v>
      </x:c>
      <x:c r="L38" s="15" t="str">
        <x:v>暂无自动识别标签，仍需核验</x:v>
      </x:c>
      <x:c r="M38" s="2" t="str">
        <x:f>IF(AND(C38&gt;='核验与方法'!$B$7,F38&gt;='核验与方法'!$B$8,G38&gt;='核验与方法'!$B$9,D38&gt;='核验与方法'!$B$10,E38&gt;='核验与方法'!$B$11),"通过需求门槛","未通过需求门槛")</x:f>
        <x:v>通过需求门槛</x:v>
      </x:c>
      <x:c r="N38" s="2" t="str">
        <x:v>候选研究</x:v>
      </x:c>
      <x:c r="O38" s="9" t="n">
        <x:f>G38-'原始数据'!J35</x:f>
        <x:v>0.00005626357711802088</x:v>
      </x:c>
      <x:c r="P38" s="2" t="str">
        <x:v>DATA HOLD</x:v>
      </x:c>
    </x:row>
    <x:row r="39" ht="48" customHeight="1">
      <x:c r="A39" s="2" t="n">
        <x:v>34</x:v>
      </x:c>
      <x:c r="B39" s="2" t="str">
        <x:v>orange juice</x:v>
      </x:c>
      <x:c r="C39" s="10" t="n">
        <x:f>'原始数据'!D36</x:f>
        <x:v>525141</x:v>
      </x:c>
      <x:c r="D39" s="9" t="n">
        <x:f>IF(ISNUMBER('原始数据'!E36),'原始数据'!E36,VALUE(SUBSTITUTE('原始数据'!E36,"'","")))</x:f>
        <x:v>0.2029</x:v>
      </x:c>
      <x:c r="E39" s="9" t="n">
        <x:f>IF(ISNUMBER('原始数据'!H36),'原始数据'!H36,VALUE(SUBSTITUTE('原始数据'!H36,"'","")))</x:f>
        <x:v>0.1156</x:v>
      </x:c>
      <x:c r="F39" s="10" t="n">
        <x:f>'原始数据'!L36</x:f>
        <x:v>80257</x:v>
      </x:c>
      <x:c r="G39" s="9" t="n">
        <x:f>F39/'原始数据'!G36</x:f>
        <x:v>0.3956431289807347</x:v>
      </x:c>
      <x:c r="H39" s="9" t="n">
        <x:f>'原始数据'!P36/'原始数据'!O36</x:f>
        <x:v>0.5573346694842022</x:v>
      </x:c>
      <x:c r="I39" s="9" t="n">
        <x:f>F39/C39</x:f>
        <x:v>0.15282943057197973</x:v>
      </x:c>
      <x:c r="J39" s="9" t="n">
        <x:f>'原始数据'!G36/'原始数据'!F36</x:f>
        <x:v>0.017603842555075577</x:v>
      </x:c>
      <x:c r="K39" s="2" t="str">
        <x:v>专业供给</x:v>
      </x:c>
      <x:c r="L39" s="15" t="str">
        <x:v>食品/补剂或耗材需独立供应链</x:v>
      </x:c>
      <x:c r="M39" s="2" t="str">
        <x:f>IF(AND(C39&gt;='核验与方法'!$B$7,F39&gt;='核验与方法'!$B$8,G39&gt;='核验与方法'!$B$9,D39&gt;='核验与方法'!$B$10,E39&gt;='核验与方法'!$B$11),"通过需求门槛","未通过需求门槛")</x:f>
        <x:v>通过需求门槛</x:v>
      </x:c>
      <x:c r="N39" s="2" t="str">
        <x:v>先核验风险标签</x:v>
      </x:c>
      <x:c r="O39" s="9" t="n">
        <x:f>G39-'原始数据'!J36</x:f>
        <x:v>0.00004312898073471905</x:v>
      </x:c>
      <x:c r="P39" s="2" t="str">
        <x:v>DATA HOLD</x:v>
      </x:c>
    </x:row>
    <x:row r="40" ht="48" customHeight="1">
      <x:c r="A40" s="2" t="n">
        <x:v>35</x:v>
      </x:c>
      <x:c r="B40" s="2" t="str">
        <x:v>toddler toys</x:v>
      </x:c>
      <x:c r="C40" s="10" t="n">
        <x:f>'原始数据'!D37</x:f>
        <x:v>516929</x:v>
      </x:c>
      <x:c r="D40" s="9" t="n">
        <x:f>IF(ISNUMBER('原始数据'!E37),'原始数据'!E37,VALUE(SUBSTITUTE('原始数据'!E37,"'","")))</x:f>
        <x:v>0.1006</x:v>
      </x:c>
      <x:c r="E40" s="9" t="n">
        <x:f>IF(ISNUMBER('原始数据'!H37),'原始数据'!H37,VALUE(SUBSTITUTE('原始数据'!H37,"'","")))</x:f>
        <x:v>0.1187</x:v>
      </x:c>
      <x:c r="F40" s="10" t="n">
        <x:f>'原始数据'!L37</x:f>
        <x:v>8955</x:v>
      </x:c>
      <x:c r="G40" s="9" t="n">
        <x:f>F40/'原始数据'!G37</x:f>
        <x:v>0.06047611007935168</x:v>
      </x:c>
      <x:c r="H40" s="9" t="n">
        <x:f>'原始数据'!P37/'原始数据'!O37</x:f>
        <x:v>0.1541330522560506</x:v>
      </x:c>
      <x:c r="I40" s="9" t="n">
        <x:f>F40/C40</x:f>
        <x:v>0.017323462216281154</x:v>
      </x:c>
      <x:c r="J40" s="9" t="n">
        <x:f>'原始数据'!G37/'原始数据'!F37</x:f>
        <x:v>0.011388278659853977</x:v>
      </x:c>
      <x:c r="K40" s="2" t="str">
        <x:v>待拆分产品市场</x:v>
      </x:c>
      <x:c r="L40" s="15" t="str">
        <x:v>暂无自动识别标签，仍需核验</x:v>
      </x:c>
      <x:c r="M40" s="2" t="str">
        <x:f>IF(AND(C40&gt;='核验与方法'!$B$7,F40&gt;='核验与方法'!$B$8,G40&gt;='核验与方法'!$B$9,D40&gt;='核验与方法'!$B$10,E40&gt;='核验与方法'!$B$11),"通过需求门槛","未通过需求门槛")</x:f>
        <x:v>通过需求门槛</x:v>
      </x:c>
      <x:c r="N40" s="2" t="str">
        <x:v>待确认具体产品形态</x:v>
      </x:c>
      <x:c r="O40" s="9" t="n">
        <x:f>G40-'原始数据'!J37</x:f>
        <x:v>0.0000761100793516753</x:v>
      </x:c>
      <x:c r="P40" s="2" t="str">
        <x:v>DATA HOLD</x:v>
      </x:c>
    </x:row>
    <x:row r="41" ht="48" customHeight="1">
      <x:c r="A41" s="2" t="n">
        <x:v>36</x:v>
      </x:c>
      <x:c r="B41" s="2" t="str">
        <x:v>sandals</x:v>
      </x:c>
      <x:c r="C41" s="10" t="n">
        <x:f>'原始数据'!D38</x:f>
        <x:v>513561</x:v>
      </x:c>
      <x:c r="D41" s="9" t="n">
        <x:f>IF(ISNUMBER('原始数据'!E38),'原始数据'!E38,VALUE(SUBSTITUTE('原始数据'!E38,"'","")))</x:f>
        <x:v>-0.393</x:v>
      </x:c>
      <x:c r="E41" s="9" t="n">
        <x:f>IF(ISNUMBER('原始数据'!H38),'原始数据'!H38,VALUE(SUBSTITUTE('原始数据'!H38,"'","")))</x:f>
        <x:v>-0.3876</x:v>
      </x:c>
      <x:c r="F41" s="10" t="n">
        <x:f>'原始数据'!L38</x:f>
        <x:v>1623</x:v>
      </x:c>
      <x:c r="G41" s="9" t="n">
        <x:f>F41/'原始数据'!G38</x:f>
        <x:v>0.01579915698891236</x:v>
      </x:c>
      <x:c r="H41" s="9" t="n">
        <x:f>'原始数据'!P38/'原始数据'!O38</x:f>
        <x:v>0.1455756314873024</x:v>
      </x:c>
      <x:c r="I41" s="9" t="n">
        <x:f>F41/C41</x:f>
        <x:v>0.0031602867040137392</x:v>
      </x:c>
      <x:c r="J41" s="9" t="n">
        <x:f>'原始数据'!G38/'原始数据'!F38</x:f>
        <x:v>0.004451198010824445</x:v>
      </x:c>
      <x:c r="K41" s="2" t="str">
        <x:v>待拆分产品市场</x:v>
      </x:c>
      <x:c r="L41" s="15" t="str">
        <x:v>尺码/颜色变体及退货待核验</x:v>
      </x:c>
      <x:c r="M41" s="2" t="str">
        <x:f>IF(AND(C41&gt;='核验与方法'!$B$7,F41&gt;='核验与方法'!$B$8,G41&gt;='核验与方法'!$B$9,D41&gt;='核验与方法'!$B$10,E41&gt;='核验与方法'!$B$11),"通过需求门槛","未通过需求门槛")</x:f>
        <x:v>未通过需求门槛</x:v>
      </x:c>
      <x:c r="N41" s="2" t="str">
        <x:v>先核验风险标签</x:v>
      </x:c>
      <x:c r="O41" s="9" t="n">
        <x:f>G41-'原始数据'!J38</x:f>
        <x:v>0.00009915698891236127</x:v>
      </x:c>
      <x:c r="P41" s="2" t="str">
        <x:v>DATA HOLD</x:v>
      </x:c>
    </x:row>
    <x:row r="42" ht="48" customHeight="1">
      <x:c r="A42" s="2" t="n">
        <x:v>37</x:v>
      </x:c>
      <x:c r="B42" s="2" t="str">
        <x:v>sneakers for women</x:v>
      </x:c>
      <x:c r="C42" s="10" t="n">
        <x:f>'原始数据'!D39</x:f>
        <x:v>510526</x:v>
      </x:c>
      <x:c r="D42" s="9" t="n">
        <x:f>IF(ISNUMBER('原始数据'!E39),'原始数据'!E39,VALUE(SUBSTITUTE('原始数据'!E39,"'","")))</x:f>
        <x:v>0.0399</x:v>
      </x:c>
      <x:c r="E42" s="9" t="n">
        <x:f>IF(ISNUMBER('原始数据'!H39),'原始数据'!H39,VALUE(SUBSTITUTE('原始数据'!H39,"'","")))</x:f>
        <x:v>0.0772</x:v>
      </x:c>
      <x:c r="F42" s="10" t="n">
        <x:f>'原始数据'!L39</x:f>
        <x:v>1060</x:v>
      </x:c>
      <x:c r="G42" s="9" t="n">
        <x:f>F42/'原始数据'!G39</x:f>
        <x:v>0.00858035584192718</x:v>
      </x:c>
      <x:c r="H42" s="9" t="n">
        <x:f>'原始数据'!P39/'原始数据'!O39</x:f>
        <x:v>0.1040125262397192</x:v>
      </x:c>
      <x:c r="I42" s="9" t="n">
        <x:f>F42/C42</x:f>
        <x:v>0.0020762899440968726</x:v>
      </x:c>
      <x:c r="J42" s="9" t="n">
        <x:f>'原始数据'!G39/'原始数据'!F39</x:f>
        <x:v>0.008232693786481357</x:v>
      </x:c>
      <x:c r="K42" s="2" t="str">
        <x:v>待拆分产品市场</x:v>
      </x:c>
      <x:c r="L42" s="15" t="str">
        <x:v>尺码/颜色变体及退货待核验</x:v>
      </x:c>
      <x:c r="M42" s="2" t="str">
        <x:f>IF(AND(C42&gt;='核验与方法'!$B$7,F42&gt;='核验与方法'!$B$8,G42&gt;='核验与方法'!$B$9,D42&gt;='核验与方法'!$B$10,E42&gt;='核验与方法'!$B$11),"通过需求门槛","未通过需求门槛")</x:f>
        <x:v>未通过需求门槛</x:v>
      </x:c>
      <x:c r="N42" s="2" t="str">
        <x:v>先核验风险标签</x:v>
      </x:c>
      <x:c r="O42" s="9" t="n">
        <x:f>G42-'原始数据'!J39</x:f>
        <x:v>0.00008035584192717972</x:v>
      </x:c>
      <x:c r="P42" s="2" t="str">
        <x:v>DATA HOLD</x:v>
      </x:c>
    </x:row>
    <x:row r="43" ht="48" customHeight="1">
      <x:c r="A43" s="2" t="n">
        <x:v>38</x:v>
      </x:c>
      <x:c r="B43" s="2" t="str">
        <x:v>broccoli</x:v>
      </x:c>
      <x:c r="C43" s="10" t="n">
        <x:f>'原始数据'!D40</x:f>
        <x:v>506307</x:v>
      </x:c>
      <x:c r="D43" s="9" t="n">
        <x:f>IF(ISNUMBER('原始数据'!E40),'原始数据'!E40,VALUE(SUBSTITUTE('原始数据'!E40,"'","")))</x:f>
        <x:v>0.1197</x:v>
      </x:c>
      <x:c r="E43" s="9" t="n">
        <x:f>IF(ISNUMBER('原始数据'!H40),'原始数据'!H40,VALUE(SUBSTITUTE('原始数据'!H40,"'","")))</x:f>
        <x:v>0.0758</x:v>
      </x:c>
      <x:c r="F43" s="10" t="n">
        <x:f>'原始数据'!L40</x:f>
        <x:v>138576</x:v>
      </x:c>
      <x:c r="G43" s="9" t="n">
        <x:f>F43/'原始数据'!G40</x:f>
        <x:v>0.48464161435291236</x:v>
      </x:c>
      <x:c r="H43" s="9" t="n">
        <x:f>'原始数据'!P40/'原始数据'!O40</x:f>
        <x:v>0.5835663627989971</x:v>
      </x:c>
      <x:c r="I43" s="9" t="n">
        <x:f>F43/C43</x:f>
        <x:v>0.2736995538280134</x:v>
      </x:c>
      <x:c r="J43" s="9" t="n">
        <x:f>'原始数据'!G40/'原始数据'!F40</x:f>
        <x:v>0.026792758688543025</x:v>
      </x:c>
      <x:c r="K43" s="2" t="str">
        <x:v>专业供给</x:v>
      </x:c>
      <x:c r="L43" s="15" t="str">
        <x:v>食品/补剂或耗材需独立供应链</x:v>
      </x:c>
      <x:c r="M43" s="2" t="str">
        <x:f>IF(AND(C43&gt;='核验与方法'!$B$7,F43&gt;='核验与方法'!$B$8,G43&gt;='核验与方法'!$B$9,D43&gt;='核验与方法'!$B$10,E43&gt;='核验与方法'!$B$11),"通过需求门槛","未通过需求门槛")</x:f>
        <x:v>通过需求门槛</x:v>
      </x:c>
      <x:c r="N43" s="2" t="str">
        <x:v>先核验风险标签</x:v>
      </x:c>
      <x:c r="O43" s="9" t="n">
        <x:f>G43-'原始数据'!J40</x:f>
        <x:v>0.00004161435291238913</x:v>
      </x:c>
      <x:c r="P43" s="2" t="str">
        <x:v>DATA HOLD</x:v>
      </x:c>
    </x:row>
    <x:row r="44" ht="48" customHeight="1">
      <x:c r="A44" s="2" t="n">
        <x:v>39</x:v>
      </x:c>
      <x:c r="B44" s="2" t="str">
        <x:v>mens shirts</x:v>
      </x:c>
      <x:c r="C44" s="10" t="n">
        <x:f>'原始数据'!D41</x:f>
        <x:v>502305</x:v>
      </x:c>
      <x:c r="D44" s="9" t="n">
        <x:f>IF(ISNUMBER('原始数据'!E41),'原始数据'!E41,VALUE(SUBSTITUTE('原始数据'!E41,"'","")))</x:f>
        <x:v>-0.1395</x:v>
      </x:c>
      <x:c r="E44" s="9" t="n">
        <x:f>IF(ISNUMBER('原始数据'!H41),'原始数据'!H41,VALUE(SUBSTITUTE('原始数据'!H41,"'","")))</x:f>
        <x:v>-0.1484</x:v>
      </x:c>
      <x:c r="F44" s="10" t="n">
        <x:f>'原始数据'!L41</x:f>
        <x:v>2993</x:v>
      </x:c>
      <x:c r="G44" s="9" t="n">
        <x:f>F44/'原始数据'!G41</x:f>
        <x:v>0.025574857513949535</x:v>
      </x:c>
      <x:c r="H44" s="9" t="n">
        <x:f>'原始数据'!P41/'原始数据'!O41</x:f>
        <x:v>0.23788546255506607</x:v>
      </x:c>
      <x:c r="I44" s="9" t="n">
        <x:f>F44/C44</x:f>
        <x:v>0.005958531171300306</x:v>
      </x:c>
      <x:c r="J44" s="9" t="n">
        <x:f>'原始数据'!G41/'原始数据'!F41</x:f>
        <x:v>0.006701807888684557</x:v>
      </x:c>
      <x:c r="K44" s="2" t="str">
        <x:v>待拆分产品市场</x:v>
      </x:c>
      <x:c r="L44" s="15" t="str">
        <x:v>尺码/颜色变体及退货待核验</x:v>
      </x:c>
      <x:c r="M44" s="2" t="str">
        <x:f>IF(AND(C44&gt;='核验与方法'!$B$7,F44&gt;='核验与方法'!$B$8,G44&gt;='核验与方法'!$B$9,D44&gt;='核验与方法'!$B$10,E44&gt;='核验与方法'!$B$11),"通过需求门槛","未通过需求门槛")</x:f>
        <x:v>未通过需求门槛</x:v>
      </x:c>
      <x:c r="N44" s="2" t="str">
        <x:v>先核验风险标签</x:v>
      </x:c>
      <x:c r="O44" s="9" t="n">
        <x:f>G44-'原始数据'!J41</x:f>
        <x:v>0.0000748575139495368</x:v>
      </x:c>
      <x:c r="P44" s="2" t="str">
        <x:v>DATA HOLD</x:v>
      </x:c>
    </x:row>
    <x:row r="45" ht="48" customHeight="1">
      <x:c r="A45" s="2" t="n">
        <x:v>40</x:v>
      </x:c>
      <x:c r="B45" s="2" t="str">
        <x:v>magnets</x:v>
      </x:c>
      <x:c r="C45" s="10" t="n">
        <x:f>'原始数据'!D42</x:f>
        <x:v>496579</x:v>
      </x:c>
      <x:c r="D45" s="9" t="n">
        <x:f>IF(ISNUMBER('原始数据'!E42),'原始数据'!E42,VALUE(SUBSTITUTE('原始数据'!E42,"'","")))</x:f>
        <x:v>0.0252</x:v>
      </x:c>
      <x:c r="E45" s="9" t="n">
        <x:f>IF(ISNUMBER('原始数据'!H42),'原始数据'!H42,VALUE(SUBSTITUTE('原始数据'!H42,"'","")))</x:f>
        <x:v>0.0066</x:v>
      </x:c>
      <x:c r="F45" s="10" t="n">
        <x:f>'原始数据'!L42</x:f>
        <x:v>25821</x:v>
      </x:c>
      <x:c r="G45" s="9" t="n">
        <x:f>F45/'原始数据'!G42</x:f>
        <x:v>0.16695979412107026</x:v>
      </x:c>
      <x:c r="H45" s="9" t="n">
        <x:f>'原始数据'!P42/'原始数据'!O42</x:f>
        <x:v>0.37115123569843356</x:v>
      </x:c>
      <x:c r="I45" s="9" t="n">
        <x:f>F45/C45</x:f>
        <x:v>0.05199776873367581</x:v>
      </x:c>
      <x:c r="J45" s="9" t="n">
        <x:f>'原始数据'!G42/'原始数据'!F42</x:f>
        <x:v>0.014230729132783485</x:v>
      </x:c>
      <x:c r="K45" s="2" t="str">
        <x:v>待拆分产品市场</x:v>
      </x:c>
      <x:c r="L45" s="15" t="str">
        <x:v>暂无自动识别标签，仍需核验</x:v>
      </x:c>
      <x:c r="M45" s="2" t="str">
        <x:f>IF(AND(C45&gt;='核验与方法'!$B$7,F45&gt;='核验与方法'!$B$8,G45&gt;='核验与方法'!$B$9,D45&gt;='核验与方法'!$B$10,E45&gt;='核验与方法'!$B$11),"通过需求门槛","未通过需求门槛")</x:f>
        <x:v>通过需求门槛</x:v>
      </x:c>
      <x:c r="N45" s="2" t="str">
        <x:v>待确认具体产品形态</x:v>
      </x:c>
      <x:c r="O45" s="9" t="n">
        <x:f>G45-'原始数据'!J42</x:f>
        <x:v>0.000059794121070266826</x:v>
      </x:c>
      <x:c r="P45" s="2" t="str">
        <x:v>DATA HOLD</x:v>
      </x:c>
    </x:row>
    <x:row r="46" ht="48" customHeight="1">
      <x:c r="A46" s="2" t="n">
        <x:v>41</x:v>
      </x:c>
      <x:c r="B46" s="2" t="str">
        <x:v>sex toys for women</x:v>
      </x:c>
      <x:c r="C46" s="10" t="n">
        <x:f>'原始数据'!D43</x:f>
        <x:v>490356</x:v>
      </x:c>
      <x:c r="D46" s="9" t="n">
        <x:f>IF(ISNUMBER('原始数据'!E43),'原始数据'!E43,VALUE(SUBSTITUTE('原始数据'!E43,"'","")))</x:f>
        <x:v>0.0216</x:v>
      </x:c>
      <x:c r="E46" s="9" t="n">
        <x:f>IF(ISNUMBER('原始数据'!H43),'原始数据'!H43,VALUE(SUBSTITUTE('原始数据'!H43,"'","")))</x:f>
        <x:v>0.0666</x:v>
      </x:c>
      <x:c r="F46" s="10" t="n">
        <x:f>'原始数据'!L43</x:f>
        <x:v>3424</x:v>
      </x:c>
      <x:c r="G46" s="9" t="n">
        <x:f>F46/'原始数据'!G43</x:f>
        <x:v>0.03615895578342644</x:v>
      </x:c>
      <x:c r="H46" s="9" t="n">
        <x:f>'原始数据'!P43/'原始数据'!O43</x:f>
        <x:v>0.12940526461186314</x:v>
      </x:c>
      <x:c r="I46" s="9" t="n">
        <x:f>F46/C46</x:f>
        <x:v>0.006982681969834161</x:v>
      </x:c>
      <x:c r="J46" s="9" t="n">
        <x:f>'原始数据'!G43/'原始数据'!F43</x:f>
        <x:v>0.021069539515315816</x:v>
      </x:c>
      <x:c r="K46" s="2" t="str">
        <x:v>待拆分产品市场</x:v>
      </x:c>
      <x:c r="L46" s="15" t="str">
        <x:v>专业类目适配与规则待核验</x:v>
      </x:c>
      <x:c r="M46" s="2" t="str">
        <x:f>IF(AND(C46&gt;='核验与方法'!$B$7,F46&gt;='核验与方法'!$B$8,G46&gt;='核验与方法'!$B$9,D46&gt;='核验与方法'!$B$10,E46&gt;='核验与方法'!$B$11),"通过需求门槛","未通过需求门槛")</x:f>
        <x:v>未通过需求门槛</x:v>
      </x:c>
      <x:c r="N46" s="2" t="str">
        <x:v>先核验风险标签</x:v>
      </x:c>
      <x:c r="O46" s="9" t="n">
        <x:f>G46-'原始数据'!J43</x:f>
        <x:v>0.0000589557834264412</x:v>
      </x:c>
      <x:c r="P46" s="2" t="str">
        <x:v>DATA HOLD</x:v>
      </x:c>
    </x:row>
    <x:row r="47" ht="48" customHeight="1">
      <x:c r="A47" s="2" t="n">
        <x:v>42</x:v>
      </x:c>
      <x:c r="B47" s="2" t="str">
        <x:v>camping</x:v>
      </x:c>
      <x:c r="C47" s="10" t="n">
        <x:f>'原始数据'!D44</x:f>
        <x:v>482975</x:v>
      </x:c>
      <x:c r="D47" s="9" t="n">
        <x:f>IF(ISNUMBER('原始数据'!E44),'原始数据'!E44,VALUE(SUBSTITUTE('原始数据'!E44,"'","")))</x:f>
        <x:v>-0.1393</x:v>
      </x:c>
      <x:c r="E47" s="9" t="n">
        <x:f>IF(ISNUMBER('原始数据'!H44),'原始数据'!H44,VALUE(SUBSTITUTE('原始数据'!H44,"'","")))</x:f>
        <x:v>-0.1447</x:v>
      </x:c>
      <x:c r="F47" s="10" t="n">
        <x:f>'原始数据'!L44</x:f>
        <x:v>5469</x:v>
      </x:c>
      <x:c r="G47" s="9" t="n">
        <x:f>F47/'原始数据'!G44</x:f>
        <x:v>0.03946456920190504</x:v>
      </x:c>
      <x:c r="H47" s="9" t="n">
        <x:f>'原始数据'!P44/'原始数据'!O44</x:f>
        <x:v>0.10508040485630556</x:v>
      </x:c>
      <x:c r="I47" s="9" t="n">
        <x:f>F47/C47</x:f>
        <x:v>0.011323567472436461</x:v>
      </x:c>
      <x:c r="J47" s="9" t="n">
        <x:f>'原始数据'!G44/'原始数据'!F44</x:f>
        <x:v>0.011100841751084492</x:v>
      </x:c>
      <x:c r="K47" s="2" t="str">
        <x:v>待拆分产品市场</x:v>
      </x:c>
      <x:c r="L47" s="15" t="str">
        <x:v>暂无自动识别标签，仍需核验</x:v>
      </x:c>
      <x:c r="M47" s="2" t="str">
        <x:f>IF(AND(C47&gt;='核验与方法'!$B$7,F47&gt;='核验与方法'!$B$8,G47&gt;='核验与方法'!$B$9,D47&gt;='核验与方法'!$B$10,E47&gt;='核验与方法'!$B$11),"通过需求门槛","未通过需求门槛")</x:f>
        <x:v>未通过需求门槛</x:v>
      </x:c>
      <x:c r="N47" s="2" t="str">
        <x:v>待确认具体产品形态</x:v>
      </x:c>
      <x:c r="O47" s="9" t="n">
        <x:f>G47-'原始数据'!J44</x:f>
        <x:v>0.00006456920190504173</x:v>
      </x:c>
      <x:c r="P47" s="2" t="str">
        <x:v>DATA HOLD</x:v>
      </x:c>
    </x:row>
    <x:row r="48" ht="48" customHeight="1">
      <x:c r="A48" s="2" t="n">
        <x:v>43</x:v>
      </x:c>
      <x:c r="B48" s="2" t="str">
        <x:v>gloves</x:v>
      </x:c>
      <x:c r="C48" s="10" t="n">
        <x:f>'原始数据'!D45</x:f>
        <x:v>482007</x:v>
      </x:c>
      <x:c r="D48" s="9" t="n">
        <x:f>IF(ISNUMBER('原始数据'!E45),'原始数据'!E45,VALUE(SUBSTITUTE('原始数据'!E45,"'","")))</x:f>
        <x:v>0.0509</x:v>
      </x:c>
      <x:c r="E48" s="9" t="n">
        <x:f>IF(ISNUMBER('原始数据'!H45),'原始数据'!H45,VALUE(SUBSTITUTE('原始数据'!H45,"'","")))</x:f>
        <x:v>0.0202</x:v>
      </x:c>
      <x:c r="F48" s="10" t="n">
        <x:f>'原始数据'!L45</x:f>
        <x:v>46129</x:v>
      </x:c>
      <x:c r="G48" s="9" t="n">
        <x:f>F48/'原始数据'!G45</x:f>
        <x:v>0.251665348209171</x:v>
      </x:c>
      <x:c r="H48" s="9" t="n">
        <x:f>'原始数据'!P45/'原始数据'!O45</x:f>
        <x:v>0.5045827094048627</x:v>
      </x:c>
      <x:c r="I48" s="9" t="n">
        <x:f>F48/C48</x:f>
        <x:v>0.09570192964002597</x:v>
      </x:c>
      <x:c r="J48" s="9" t="n">
        <x:f>'原始数据'!G45/'原始数据'!F45</x:f>
        <x:v>0.013491382356058554</x:v>
      </x:c>
      <x:c r="K48" s="2" t="str">
        <x:v>待拆分产品市场</x:v>
      </x:c>
      <x:c r="L48" s="15" t="str">
        <x:v>暂无自动识别标签，仍需核验</x:v>
      </x:c>
      <x:c r="M48" s="2" t="str">
        <x:f>IF(AND(C48&gt;='核验与方法'!$B$7,F48&gt;='核验与方法'!$B$8,G48&gt;='核验与方法'!$B$9,D48&gt;='核验与方法'!$B$10,E48&gt;='核验与方法'!$B$11),"通过需求门槛","未通过需求门槛")</x:f>
        <x:v>通过需求门槛</x:v>
      </x:c>
      <x:c r="N48" s="2" t="str">
        <x:v>待确认具体产品形态</x:v>
      </x:c>
      <x:c r="O48" s="9" t="n">
        <x:f>G48-'原始数据'!J45</x:f>
        <x:v>0.00006534820917103445</x:v>
      </x:c>
      <x:c r="P48" s="2" t="str">
        <x:v>DATA HOLD</x:v>
      </x:c>
    </x:row>
    <x:row r="49" ht="48" customHeight="1">
      <x:c r="A49" s="2" t="n">
        <x:v>44</x:v>
      </x:c>
      <x:c r="B49" s="2" t="str">
        <x:v>water bottles 24 pack</x:v>
      </x:c>
      <x:c r="C49" s="10" t="n">
        <x:f>'原始数据'!D46</x:f>
        <x:v>476658</x:v>
      </x:c>
      <x:c r="D49" s="9" t="n">
        <x:f>IF(ISNUMBER('原始数据'!E46),'原始数据'!E46,VALUE(SUBSTITUTE('原始数据'!E46,"'","")))</x:f>
        <x:v>0.0967</x:v>
      </x:c>
      <x:c r="E49" s="9" t="n">
        <x:f>IF(ISNUMBER('原始数据'!H46),'原始数据'!H46,VALUE(SUBSTITUTE('原始数据'!H46,"'","")))</x:f>
        <x:v>0.124</x:v>
      </x:c>
      <x:c r="F49" s="10" t="n">
        <x:f>'原始数据'!L46</x:f>
        <x:v>41900</x:v>
      </x:c>
      <x:c r="G49" s="9" t="n">
        <x:f>F49/'原始数据'!G46</x:f>
        <x:v>0.2502194645661768</x:v>
      </x:c>
      <x:c r="H49" s="9" t="n">
        <x:f>'原始数据'!P46/'原始数据'!O46</x:f>
        <x:v>0.3700611833538467</x:v>
      </x:c>
      <x:c r="I49" s="9" t="n">
        <x:f>F49/C49</x:f>
        <x:v>0.08790369615111883</x:v>
      </x:c>
      <x:c r="J49" s="9" t="n">
        <x:f>'原始数据'!G46/'原始数据'!F46</x:f>
        <x:v>0.012796687547552083</x:v>
      </x:c>
      <x:c r="K49" s="2" t="str">
        <x:v>专业供给</x:v>
      </x:c>
      <x:c r="L49" s="15" t="str">
        <x:v>食品/补剂或耗材需独立供应链</x:v>
      </x:c>
      <x:c r="M49" s="2" t="str">
        <x:f>IF(AND(C49&gt;='核验与方法'!$B$7,F49&gt;='核验与方法'!$B$8,G49&gt;='核验与方法'!$B$9,D49&gt;='核验与方法'!$B$10,E49&gt;='核验与方法'!$B$11),"通过需求门槛","未通过需求门槛")</x:f>
        <x:v>通过需求门槛</x:v>
      </x:c>
      <x:c r="N49" s="2" t="str">
        <x:v>先核验风险标签</x:v>
      </x:c>
      <x:c r="O49" s="9" t="n">
        <x:f>G49-'原始数据'!J46</x:f>
        <x:v>0.000019464566176796705</x:v>
      </x:c>
      <x:c r="P49" s="2" t="str">
        <x:v>DATA HOLD</x:v>
      </x:c>
    </x:row>
    <x:row r="50" ht="48" customHeight="1">
      <x:c r="A50" s="2" t="n">
        <x:v>45</x:v>
      </x:c>
      <x:c r="B50" s="2" t="str">
        <x:v>cake</x:v>
      </x:c>
      <x:c r="C50" s="10" t="n">
        <x:f>'原始数据'!D47</x:f>
        <x:v>474427</x:v>
      </x:c>
      <x:c r="D50" s="9" t="n">
        <x:f>IF(ISNUMBER('原始数据'!E47),'原始数据'!E47,VALUE(SUBSTITUTE('原始数据'!E47,"'","")))</x:f>
        <x:v>0.0979</x:v>
      </x:c>
      <x:c r="E50" s="9" t="n">
        <x:f>IF(ISNUMBER('原始数据'!H47),'原始数据'!H47,VALUE(SUBSTITUTE('原始数据'!H47,"'","")))</x:f>
        <x:v>0.026</x:v>
      </x:c>
      <x:c r="F50" s="10" t="n">
        <x:f>'原始数据'!L47</x:f>
        <x:v>18374</x:v>
      </x:c>
      <x:c r="G50" s="9" t="n">
        <x:f>F50/'原始数据'!G47</x:f>
        <x:v>0.1795159887839145</x:v>
      </x:c>
      <x:c r="H50" s="9" t="n">
        <x:f>'原始数据'!P47/'原始数据'!O47</x:f>
        <x:v>0.31061384104913886</x:v>
      </x:c>
      <x:c r="I50" s="9" t="n">
        <x:f>F50/C50</x:f>
        <x:v>0.03872882445560645</x:v>
      </x:c>
      <x:c r="J50" s="9" t="n">
        <x:f>'原始数据'!G47/'原始数据'!F47</x:f>
        <x:v>0.011309974950824874</x:v>
      </x:c>
      <x:c r="K50" s="2" t="str">
        <x:v>专业供给</x:v>
      </x:c>
      <x:c r="L50" s="15" t="str">
        <x:v>食品/补剂或耗材需独立供应链</x:v>
      </x:c>
      <x:c r="M50" s="2" t="str">
        <x:f>IF(AND(C50&gt;='核验与方法'!$B$7,F50&gt;='核验与方法'!$B$8,G50&gt;='核验与方法'!$B$9,D50&gt;='核验与方法'!$B$10,E50&gt;='核验与方法'!$B$11),"通过需求门槛","未通过需求门槛")</x:f>
        <x:v>通过需求门槛</x:v>
      </x:c>
      <x:c r="N50" s="2" t="str">
        <x:v>先核验风险标签</x:v>
      </x:c>
      <x:c r="O50" s="9" t="n">
        <x:f>G50-'原始数据'!J47</x:f>
        <x:v>0.000015988783914511195</x:v>
      </x:c>
      <x:c r="P50" s="2" t="str">
        <x:v>DATA HOLD</x:v>
      </x:c>
    </x:row>
    <x:row r="51" ht="48" customHeight="1">
      <x:c r="A51" s="2" t="n">
        <x:v>46</x:v>
      </x:c>
      <x:c r="B51" s="2" t="str">
        <x:v>zelda switch 2</x:v>
      </x:c>
      <x:c r="C51" s="10" t="n">
        <x:f>'原始数据'!D48</x:f>
        <x:v>469400</x:v>
      </x:c>
      <x:c r="D51" s="9" t="n">
        <x:f>IF(ISNUMBER('原始数据'!E48),'原始数据'!E48,VALUE(SUBSTITUTE('原始数据'!E48,"'","")))</x:f>
        <x:v>19.9413</x:v>
      </x:c>
      <x:c r="E51" s="9" t="n">
        <x:f>IF(ISNUMBER('原始数据'!H48),'原始数据'!H48,VALUE(SUBSTITUTE('原始数据'!H48,"'","")))</x:f>
        <x:v>8.6919</x:v>
      </x:c>
      <x:c r="F51" s="10" t="n">
        <x:f>'原始数据'!L48</x:f>
        <x:v>2263</x:v>
      </x:c>
      <x:c r="G51" s="9" t="n">
        <x:f>F51/'原始数据'!G48</x:f>
        <x:v>0.03759948161563128</x:v>
      </x:c>
      <x:c r="H51" s="9" t="n">
        <x:f>'原始数据'!P48/'原始数据'!O48</x:f>
        <x:v>0.08780231335436382</x:v>
      </x:c>
      <x:c r="I51" s="9" t="n">
        <x:f>F51/C51</x:f>
        <x:v>0.004821048146570089</x:v>
      </x:c>
      <x:c r="J51" s="9" t="n">
        <x:f>'原始数据'!G48/'原始数据'!F48</x:f>
        <x:v>0.1201289369685841</x:v>
      </x:c>
      <x:c r="K51" s="2" t="str">
        <x:v>待拆分产品市场</x:v>
      </x:c>
      <x:c r="L51" s="15" t="str">
        <x:v>品牌或IP需核验</x:v>
      </x:c>
      <x:c r="M51" s="2" t="str">
        <x:f>IF(AND(C51&gt;='核验与方法'!$B$7,F51&gt;='核验与方法'!$B$8,G51&gt;='核验与方法'!$B$9,D51&gt;='核验与方法'!$B$10,E51&gt;='核验与方法'!$B$11),"通过需求门槛","未通过需求门槛")</x:f>
        <x:v>未通过需求门槛</x:v>
      </x:c>
      <x:c r="N51" s="2" t="str">
        <x:v>先核验风险标签</x:v>
      </x:c>
      <x:c r="O51" s="9" t="n">
        <x:f>G51-'原始数据'!J48</x:f>
        <x:v>0.00009948161563128055</x:v>
      </x:c>
      <x:c r="P51" s="2" t="str">
        <x:v>DATA HOLD</x:v>
      </x:c>
    </x:row>
    <x:row r="52" ht="48" customHeight="1">
      <x:c r="A52" s="2" t="n">
        <x:v>47</x:v>
      </x:c>
      <x:c r="B52" s="2" t="str">
        <x:v>raven costume</x:v>
      </x:c>
      <x:c r="C52" s="10" t="n">
        <x:f>'原始数据'!D49</x:f>
        <x:v>468192</x:v>
      </x:c>
      <x:c r="D52" s="9" t="n">
        <x:f>IF(ISNUMBER('原始数据'!E49),'原始数据'!E49,VALUE(SUBSTITUTE('原始数据'!E49,"'","")))</x:f>
        <x:v>1.5683</x:v>
      </x:c>
      <x:c r="E52" s="9" t="n">
        <x:f>IF(ISNUMBER('原始数据'!H49),'原始数据'!H49,VALUE(SUBSTITUTE('原始数据'!H49,"'","")))</x:f>
        <x:v>1.6514</x:v>
      </x:c>
      <x:c r="F52" s="10" t="n">
        <x:f>'原始数据'!L49</x:f>
        <x:v>952</x:v>
      </x:c>
      <x:c r="G52" s="9" t="n">
        <x:f>F52/'原始数据'!G49</x:f>
        <x:v>0.006382750482729028</x:v>
      </x:c>
      <x:c r="H52" s="9" t="n">
        <x:f>'原始数据'!P49/'原始数据'!O49</x:f>
        <x:v>0.029888530480584704</x:v>
      </x:c>
      <x:c r="I52" s="9" t="n">
        <x:f>F52/C52</x:f>
        <x:v>0.0020333538377417812</x:v>
      </x:c>
      <x:c r="J52" s="9" t="n">
        <x:f>'原始数据'!G49/'原始数据'!F49</x:f>
        <x:v>0.02587667220221667</x:v>
      </x:c>
      <x:c r="K52" s="2" t="str">
        <x:v>待拆分产品市场</x:v>
      </x:c>
      <x:c r="L52" s="15" t="str">
        <x:v>季节/事件影响待核验；尺码/颜色变体及退货待核验</x:v>
      </x:c>
      <x:c r="M52" s="2" t="str">
        <x:f>IF(AND(C52&gt;='核验与方法'!$B$7,F52&gt;='核验与方法'!$B$8,G52&gt;='核验与方法'!$B$9,D52&gt;='核验与方法'!$B$10,E52&gt;='核验与方法'!$B$11),"通过需求门槛","未通过需求门槛")</x:f>
        <x:v>未通过需求门槛</x:v>
      </x:c>
      <x:c r="N52" s="2" t="str">
        <x:v>先核验风险标签</x:v>
      </x:c>
      <x:c r="O52" s="9" t="n">
        <x:f>G52-'原始数据'!J49</x:f>
        <x:v>0.00008275048272902812</x:v>
      </x:c>
      <x:c r="P52" s="2" t="str">
        <x:v>DATA HOLD</x:v>
      </x:c>
    </x:row>
    <x:row r="53" ht="48" customHeight="1">
      <x:c r="A53" s="2" t="n">
        <x:v>48</x:v>
      </x:c>
      <x:c r="B53" s="2" t="str">
        <x:v>obsession</x:v>
      </x:c>
      <x:c r="C53" s="10" t="n">
        <x:f>'原始数据'!D50</x:f>
        <x:v>459891</x:v>
      </x:c>
      <x:c r="D53" s="9" t="n">
        <x:f>IF(ISNUMBER('原始数据'!E50),'原始数据'!E50,VALUE(SUBSTITUTE('原始数据'!E50,"'","")))</x:f>
        <x:v>-0.6021</x:v>
      </x:c>
      <x:c r="E53" s="9" t="n">
        <x:f>IF(ISNUMBER('原始数据'!H50),'原始数据'!H50,VALUE(SUBSTITUTE('原始数据'!H50,"'","")))</x:f>
        <x:v>3.0303</x:v>
      </x:c>
      <x:c r="F53" s="10" t="n">
        <x:f>'原始数据'!L50</x:f>
        <x:v>385</x:v>
      </x:c>
      <x:c r="G53" s="9" t="n">
        <x:f>F53/'原始数据'!G50</x:f>
        <x:v>0.005473337029612886</x:v>
      </x:c>
      <x:c r="H53" s="9" t="n">
        <x:f>'原始数据'!P50/'原始数据'!O50</x:f>
        <x:v>0.0051293066414640435</x:v>
      </x:c>
      <x:c r="I53" s="9" t="n">
        <x:f>F53/C53</x:f>
        <x:v>0.0008371548910502706</x:v>
      </x:c>
      <x:c r="J53" s="9" t="n">
        <x:f>'原始数据'!G50/'原始数据'!F50</x:f>
        <x:v>0.009145411536368291</x:v>
      </x:c>
      <x:c r="K53" s="2" t="str">
        <x:v>待拆分产品市场</x:v>
      </x:c>
      <x:c r="L53" s="15" t="str">
        <x:v>内容/导航或宽泛需求需拆分</x:v>
      </x:c>
      <x:c r="M53" s="2" t="str">
        <x:f>IF(AND(C53&gt;='核验与方法'!$B$7,F53&gt;='核验与方法'!$B$8,G53&gt;='核验与方法'!$B$9,D53&gt;='核验与方法'!$B$10,E53&gt;='核验与方法'!$B$11),"通过需求门槛","未通过需求门槛")</x:f>
        <x:v>未通过需求门槛</x:v>
      </x:c>
      <x:c r="N53" s="2" t="str">
        <x:v>先核验风险标签</x:v>
      </x:c>
      <x:c r="O53" s="9" t="n">
        <x:f>G53-'原始数据'!J50</x:f>
        <x:v>0.00007333702961288564</x:v>
      </x:c>
      <x:c r="P53" s="2" t="str">
        <x:v>DATA HOLD</x:v>
      </x:c>
    </x:row>
    <x:row r="54" ht="48" customHeight="1">
      <x:c r="A54" s="2" t="n">
        <x:v>49</x:v>
      </x:c>
      <x:c r="B54" s="2" t="str">
        <x:v>lanyard</x:v>
      </x:c>
      <x:c r="C54" s="10" t="n">
        <x:f>'原始数据'!D51</x:f>
        <x:v>448452</x:v>
      </x:c>
      <x:c r="D54" s="9" t="n">
        <x:f>IF(ISNUMBER('原始数据'!E51),'原始数据'!E51,VALUE(SUBSTITUTE('原始数据'!E51,"'","")))</x:f>
        <x:v>-0.2345</x:v>
      </x:c>
      <x:c r="E54" s="9" t="n">
        <x:f>IF(ISNUMBER('原始数据'!H51),'原始数据'!H51,VALUE(SUBSTITUTE('原始数据'!H51,"'","")))</x:f>
        <x:v>-0.2282</x:v>
      </x:c>
      <x:c r="F54" s="10" t="n">
        <x:f>'原始数据'!L51</x:f>
        <x:v>9636</x:v>
      </x:c>
      <x:c r="G54" s="9" t="n">
        <x:f>F54/'原始数据'!G51</x:f>
        <x:v>0.07169376139280532</x:v>
      </x:c>
      <x:c r="H54" s="9" t="n">
        <x:f>'原始数据'!P51/'原始数据'!O51</x:f>
        <x:v>0.2730179398148148</x:v>
      </x:c>
      <x:c r="I54" s="9" t="n">
        <x:f>F54/C54</x:f>
        <x:v>0.021487249471515348</x:v>
      </x:c>
      <x:c r="J54" s="9" t="n">
        <x:f>'原始数据'!G51/'原始数据'!F51</x:f>
        <x:v>0.010412345297401232</x:v>
      </x:c>
      <x:c r="K54" s="2" t="str">
        <x:v>待拆分产品市场</x:v>
      </x:c>
      <x:c r="L54" s="15" t="str">
        <x:v>暂无自动识别标签，仍需核验</x:v>
      </x:c>
      <x:c r="M54" s="2" t="str">
        <x:f>IF(AND(C54&gt;='核验与方法'!$B$7,F54&gt;='核验与方法'!$B$8,G54&gt;='核验与方法'!$B$9,D54&gt;='核验与方法'!$B$10,E54&gt;='核验与方法'!$B$11),"通过需求门槛","未通过需求门槛")</x:f>
        <x:v>未通过需求门槛</x:v>
      </x:c>
      <x:c r="N54" s="2" t="str">
        <x:v>待确认具体产品形态</x:v>
      </x:c>
      <x:c r="O54" s="9" t="n">
        <x:f>G54-'原始数据'!J51</x:f>
        <x:v>0.00009376139280532769</x:v>
      </x:c>
      <x:c r="P54" s="2" t="str">
        <x:v>DATA HOLD</x:v>
      </x:c>
    </x:row>
    <x:row r="55" ht="48" customHeight="1">
      <x:c r="A55" s="2" t="n">
        <x:v>50</x:v>
      </x:c>
      <x:c r="B55" s="2" t="str">
        <x:v>camera</x:v>
      </x:c>
      <x:c r="C55" s="10" t="n">
        <x:f>'原始数据'!D52</x:f>
        <x:v>442848</x:v>
      </x:c>
      <x:c r="D55" s="9" t="n">
        <x:f>IF(ISNUMBER('原始数据'!E52),'原始数据'!E52,VALUE(SUBSTITUTE('原始数据'!E52,"'","")))</x:f>
        <x:v>0.0275</x:v>
      </x:c>
      <x:c r="E55" s="9" t="n">
        <x:f>IF(ISNUMBER('原始数据'!H52),'原始数据'!H52,VALUE(SUBSTITUTE('原始数据'!H52,"'","")))</x:f>
        <x:v>0.0433</x:v>
      </x:c>
      <x:c r="F55" s="10" t="n">
        <x:f>'原始数据'!L52</x:f>
        <x:v>2506</x:v>
      </x:c>
      <x:c r="G55" s="9" t="n">
        <x:f>F55/'原始数据'!G52</x:f>
        <x:v>0.02289253480469178</x:v>
      </x:c>
      <x:c r="H55" s="9" t="n">
        <x:f>'原始数据'!P52/'原始数据'!O52</x:f>
        <x:v>0.07478840728391896</x:v>
      </x:c>
      <x:c r="I55" s="9" t="n">
        <x:f>F55/C55</x:f>
        <x:v>0.005658826504805261</x:v>
      </x:c>
      <x:c r="J55" s="9" t="n">
        <x:f>'原始数据'!G52/'原始数据'!F52</x:f>
        <x:v>0.017924880817914796</x:v>
      </x:c>
      <x:c r="K55" s="2" t="str">
        <x:v>待拆分产品市场</x:v>
      </x:c>
      <x:c r="L55" s="15" t="str">
        <x:v>体积/安装/售后成本待核验</x:v>
      </x:c>
      <x:c r="M55" s="2" t="str">
        <x:f>IF(AND(C55&gt;='核验与方法'!$B$7,F55&gt;='核验与方法'!$B$8,G55&gt;='核验与方法'!$B$9,D55&gt;='核验与方法'!$B$10,E55&gt;='核验与方法'!$B$11),"通过需求门槛","未通过需求门槛")</x:f>
        <x:v>未通过需求门槛</x:v>
      </x:c>
      <x:c r="N55" s="2" t="str">
        <x:v>先核验风险标签</x:v>
      </x:c>
      <x:c r="O55" s="9" t="n">
        <x:f>G55-'原始数据'!J52</x:f>
        <x:v>0.00009253480469178024</x:v>
      </x:c>
      <x:c r="P55" s="2" t="str">
        <x:v>DATA HOLD</x:v>
      </x:c>
    </x:row>
    <x:row r="56" ht="48" customHeight="1">
      <x:c r="A56" s="2" t="n">
        <x:v>51</x:v>
      </x:c>
      <x:c r="B56" s="2" t="str">
        <x:v>garlic</x:v>
      </x:c>
      <x:c r="C56" s="10" t="n">
        <x:f>'原始数据'!D53</x:f>
        <x:v>431128</x:v>
      </x:c>
      <x:c r="D56" s="9" t="n">
        <x:f>IF(ISNUMBER('原始数据'!E53),'原始数据'!E53,VALUE(SUBSTITUTE('原始数据'!E53,"'","")))</x:f>
        <x:v>0.1626</x:v>
      </x:c>
      <x:c r="E56" s="9" t="n">
        <x:f>IF(ISNUMBER('原始数据'!H53),'原始数据'!H53,VALUE(SUBSTITUTE('原始数据'!H53,"'","")))</x:f>
        <x:v>0.1162</x:v>
      </x:c>
      <x:c r="F56" s="10" t="n">
        <x:f>'原始数据'!L53</x:f>
        <x:v>121155</x:v>
      </x:c>
      <x:c r="G56" s="9" t="n">
        <x:f>F56/'原始数据'!G53</x:f>
        <x:v>0.5077277032293753</x:v>
      </x:c>
      <x:c r="H56" s="9" t="n">
        <x:f>'原始数据'!P53/'原始数据'!O53</x:f>
        <x:v>0.6181022476540209</x:v>
      </x:c>
      <x:c r="I56" s="9" t="n">
        <x:f>F56/C56</x:f>
        <x:v>0.2810186301979922</x:v>
      </x:c>
      <x:c r="J56" s="9" t="n">
        <x:f>'原始数据'!G53/'原始数据'!F53</x:f>
        <x:v>0.025571942642255464</x:v>
      </x:c>
      <x:c r="K56" s="2" t="str">
        <x:v>专业供给</x:v>
      </x:c>
      <x:c r="L56" s="15" t="str">
        <x:v>食品/补剂或耗材需独立供应链</x:v>
      </x:c>
      <x:c r="M56" s="2" t="str">
        <x:f>IF(AND(C56&gt;='核验与方法'!$B$7,F56&gt;='核验与方法'!$B$8,G56&gt;='核验与方法'!$B$9,D56&gt;='核验与方法'!$B$10,E56&gt;='核验与方法'!$B$11),"通过需求门槛","未通过需求门槛")</x:f>
        <x:v>通过需求门槛</x:v>
      </x:c>
      <x:c r="N56" s="2" t="str">
        <x:v>先核验风险标签</x:v>
      </x:c>
      <x:c r="O56" s="9" t="n">
        <x:f>G56-'原始数据'!J53</x:f>
        <x:v>0.000027703229375286575</x:v>
      </x:c>
      <x:c r="P56" s="2" t="str">
        <x:v>DATA HOLD</x:v>
      </x:c>
    </x:row>
    <x:row r="57" ht="48" customHeight="1">
      <x:c r="A57" s="2" t="n">
        <x:v>52</x:v>
      </x:c>
      <x:c r="B57" s="2" t="str">
        <x:v>halloween wreath</x:v>
      </x:c>
      <x:c r="C57" s="10" t="n">
        <x:f>'原始数据'!D54</x:f>
        <x:v>429508</x:v>
      </x:c>
      <x:c r="D57" s="9" t="n">
        <x:f>IF(ISNUMBER('原始数据'!E54),'原始数据'!E54,VALUE(SUBSTITUTE('原始数据'!E54,"'","")))</x:f>
        <x:v>1.5947</x:v>
      </x:c>
      <x:c r="E57" s="9" t="n">
        <x:f>IF(ISNUMBER('原始数据'!H54),'原始数据'!H54,VALUE(SUBSTITUTE('原始数据'!H54,"'","")))</x:f>
        <x:v>1.7484</x:v>
      </x:c>
      <x:c r="F57" s="10" t="n">
        <x:f>'原始数据'!L54</x:f>
        <x:v>6735</x:v>
      </x:c>
      <x:c r="G57" s="9" t="n">
        <x:f>F57/'原始数据'!G54</x:f>
        <x:v>0.03780373490797443</x:v>
      </x:c>
      <x:c r="H57" s="9" t="n">
        <x:f>'原始数据'!P54/'原始数据'!O54</x:f>
        <x:v>0.0811422023881317</x:v>
      </x:c>
      <x:c r="I57" s="9" t="n">
        <x:f>F57/C57</x:f>
        <x:v>0.01568073237285452</x:v>
      </x:c>
      <x:c r="J57" s="9" t="n">
        <x:f>'原始数据'!G54/'原始数据'!F54</x:f>
        <x:v>0.02382046851275732</x:v>
      </x:c>
      <x:c r="K57" s="2" t="str">
        <x:v>待拆分产品市场</x:v>
      </x:c>
      <x:c r="L57" s="15" t="str">
        <x:v>季节/事件影响待核验</x:v>
      </x:c>
      <x:c r="M57" s="2" t="str">
        <x:f>IF(AND(C57&gt;='核验与方法'!$B$7,F57&gt;='核验与方法'!$B$8,G57&gt;='核验与方法'!$B$9,D57&gt;='核验与方法'!$B$10,E57&gt;='核验与方法'!$B$11),"通过需求门槛","未通过需求门槛")</x:f>
        <x:v>未通过需求门槛</x:v>
      </x:c>
      <x:c r="N57" s="2" t="str">
        <x:v>先核验风险标签</x:v>
      </x:c>
      <x:c r="O57" s="9" t="n">
        <x:f>G57-'原始数据'!J54</x:f>
        <x:v>0.000003734907974430046</x:v>
      </x:c>
      <x:c r="P57" s="2" t="str">
        <x:v>DATA HOLD</x:v>
      </x:c>
    </x:row>
    <x:row r="58" ht="48" customHeight="1">
      <x:c r="A58" s="2" t="n">
        <x:v>53</x:v>
      </x:c>
      <x:c r="B58" s="2" t="str">
        <x:v>squishy making kit</x:v>
      </x:c>
      <x:c r="C58" s="10" t="n">
        <x:f>'原始数据'!D55</x:f>
        <x:v>419647</x:v>
      </x:c>
      <x:c r="D58" s="9" t="n">
        <x:f>IF(ISNUMBER('原始数据'!E55),'原始数据'!E55,VALUE(SUBSTITUTE('原始数据'!E55,"'","")))</x:f>
        <x:v>0.299</x:v>
      </x:c>
      <x:c r="E58" s="9" t="n">
        <x:f>IF(ISNUMBER('原始数据'!H55),'原始数据'!H55,VALUE(SUBSTITUTE('原始数据'!H55,"'","")))</x:f>
        <x:v>0.3583</x:v>
      </x:c>
      <x:c r="F58" s="10" t="n">
        <x:f>'原始数据'!L55</x:f>
        <x:v>7969</x:v>
      </x:c>
      <x:c r="G58" s="9" t="n">
        <x:f>F58/'原始数据'!G55</x:f>
        <x:v>0.03866438306316622</x:v>
      </x:c>
      <x:c r="H58" s="9" t="n">
        <x:f>'原始数据'!P55/'原始数据'!O55</x:f>
        <x:v>0.13814800378640235</x:v>
      </x:c>
      <x:c r="I58" s="9" t="n">
        <x:f>F58/C58</x:f>
        <x:v>0.018989769973334732</x:v>
      </x:c>
      <x:c r="J58" s="9" t="n">
        <x:f>'原始数据'!G55/'原始数据'!F55</x:f>
        <x:v>0.02661803003563802</x:v>
      </x:c>
      <x:c r="K58" s="2" t="str">
        <x:v>待拆分产品市场</x:v>
      </x:c>
      <x:c r="L58" s="15" t="str">
        <x:v>暂无自动识别标签，仍需核验</x:v>
      </x:c>
      <x:c r="M58" s="2" t="str">
        <x:f>IF(AND(C58&gt;='核验与方法'!$B$7,F58&gt;='核验与方法'!$B$8,G58&gt;='核验与方法'!$B$9,D58&gt;='核验与方法'!$B$10,E58&gt;='核验与方法'!$B$11),"通过需求门槛","未通过需求门槛")</x:f>
        <x:v>未通过需求门槛</x:v>
      </x:c>
      <x:c r="N58" s="2" t="str">
        <x:v>待确认具体产品形态</x:v>
      </x:c>
      <x:c r="O58" s="9" t="n">
        <x:f>G58-'原始数据'!J55</x:f>
        <x:v>0.0000643830631662165</x:v>
      </x:c>
      <x:c r="P58" s="2" t="str">
        <x:v>DATA HOLD</x:v>
      </x:c>
    </x:row>
    <x:row r="59" ht="48" customHeight="1">
      <x:c r="A59" s="2" t="n">
        <x:v>54</x:v>
      </x:c>
      <x:c r="B59" s="2" t="str">
        <x:v>halloween costumes for men</x:v>
      </x:c>
      <x:c r="C59" s="10" t="n">
        <x:f>'原始数据'!D56</x:f>
        <x:v>416079</x:v>
      </x:c>
      <x:c r="D59" s="9" t="n">
        <x:f>IF(ISNUMBER('原始数据'!E56),'原始数据'!E56,VALUE(SUBSTITUTE('原始数据'!E56,"'","")))</x:f>
        <x:v>3.0748</x:v>
      </x:c>
      <x:c r="E59" s="9" t="n">
        <x:f>IF(ISNUMBER('原始数据'!H56),'原始数据'!H56,VALUE(SUBSTITUTE('原始数据'!H56,"'","")))</x:f>
        <x:v>3.5785</x:v>
      </x:c>
      <x:c r="F59" s="10" t="n">
        <x:f>'原始数据'!L56</x:f>
        <x:v>525</x:v>
      </x:c>
      <x:c r="G59" s="9" t="n">
        <x:f>F59/'原始数据'!G56</x:f>
        <x:v>0.004833542019591957</x:v>
      </x:c>
      <x:c r="H59" s="9" t="n">
        <x:f>'原始数据'!P56/'原始数据'!O56</x:f>
        <x:v>0.03156352158719423</x:v>
      </x:c>
      <x:c r="I59" s="9" t="n">
        <x:f>F59/C59</x:f>
        <x:v>0.0012617796139675398</x:v>
      </x:c>
      <x:c r="J59" s="9" t="n">
        <x:f>'原始数据'!G56/'原始数据'!F56</x:f>
        <x:v>0.03437066177827101</x:v>
      </x:c>
      <x:c r="K59" s="2" t="str">
        <x:v>待拆分产品市场</x:v>
      </x:c>
      <x:c r="L59" s="15" t="str">
        <x:v>季节/事件影响待核验</x:v>
      </x:c>
      <x:c r="M59" s="2" t="str">
        <x:f>IF(AND(C59&gt;='核验与方法'!$B$7,F59&gt;='核验与方法'!$B$8,G59&gt;='核验与方法'!$B$9,D59&gt;='核验与方法'!$B$10,E59&gt;='核验与方法'!$B$11),"通过需求门槛","未通过需求门槛")</x:f>
        <x:v>未通过需求门槛</x:v>
      </x:c>
      <x:c r="N59" s="2" t="str">
        <x:v>先核验风险标签</x:v>
      </x:c>
      <x:c r="O59" s="9" t="n">
        <x:f>G59-'原始数据'!J56</x:f>
        <x:v>0.00003354201959195752</x:v>
      </x:c>
      <x:c r="P59" s="2" t="str">
        <x:v>DATA HOLD</x:v>
      </x:c>
    </x:row>
    <x:row r="60" ht="48" customHeight="1">
      <x:c r="A60" s="2" t="n">
        <x:v>55</x:v>
      </x:c>
      <x:c r="B60" s="2" t="str">
        <x:v>hdmi cable</x:v>
      </x:c>
      <x:c r="C60" s="10" t="n">
        <x:f>'原始数据'!D57</x:f>
        <x:v>414737</x:v>
      </x:c>
      <x:c r="D60" s="9" t="n">
        <x:f>IF(ISNUMBER('原始数据'!E57),'原始数据'!E57,VALUE(SUBSTITUTE('原始数据'!E57,"'","")))</x:f>
        <x:v>-0.0059</x:v>
      </x:c>
      <x:c r="E60" s="9" t="n">
        <x:f>IF(ISNUMBER('原始数据'!H57),'原始数据'!H57,VALUE(SUBSTITUTE('原始数据'!H57,"'","")))</x:f>
        <x:v>-0.0083</x:v>
      </x:c>
      <x:c r="F60" s="10" t="n">
        <x:f>'原始数据'!L57</x:f>
        <x:v>58022</x:v>
      </x:c>
      <x:c r="G60" s="9" t="n">
        <x:f>F60/'原始数据'!G57</x:f>
        <x:v>0.3200878252762469</x:v>
      </x:c>
      <x:c r="H60" s="9" t="n">
        <x:f>'原始数据'!P57/'原始数据'!O57</x:f>
        <x:v>0.5847040917871569</x:v>
      </x:c>
      <x:c r="I60" s="9" t="n">
        <x:f>F60/C60</x:f>
        <x:v>0.13990070815962888</x:v>
      </x:c>
      <x:c r="J60" s="9" t="n">
        <x:f>'原始数据'!G57/'原始数据'!F57</x:f>
        <x:v>0.01645169318053725</x:v>
      </x:c>
      <x:c r="K60" s="2" t="str">
        <x:v>待拆分产品市场</x:v>
      </x:c>
      <x:c r="L60" s="15" t="str">
        <x:v>暂无自动识别标签，仍需核验</x:v>
      </x:c>
      <x:c r="M60" s="2" t="str">
        <x:f>IF(AND(C60&gt;='核验与方法'!$B$7,F60&gt;='核验与方法'!$B$8,G60&gt;='核验与方法'!$B$9,D60&gt;='核验与方法'!$B$10,E60&gt;='核验与方法'!$B$11),"通过需求门槛","未通过需求门槛")</x:f>
        <x:v>未通过需求门槛</x:v>
      </x:c>
      <x:c r="N60" s="2" t="str">
        <x:v>待确认具体产品形态</x:v>
      </x:c>
      <x:c r="O60" s="9" t="n">
        <x:f>G60-'原始数据'!J57</x:f>
        <x:v>0.00008782527624690006</x:v>
      </x:c>
      <x:c r="P60" s="2" t="str">
        <x:v>DATA HOLD</x:v>
      </x:c>
    </x:row>
    <x:row r="61" ht="48" customHeight="1">
      <x:c r="A61" s="2" t="n">
        <x:v>56</x:v>
      </x:c>
      <x:c r="B61" s="2" t="str">
        <x:v>bar</x:v>
      </x:c>
      <x:c r="C61" s="10" t="n">
        <x:f>'原始数据'!D58</x:f>
        <x:v>409795</x:v>
      </x:c>
      <x:c r="D61" s="9" t="n">
        <x:f>IF(ISNUMBER('原始数据'!E58),'原始数据'!E58,VALUE(SUBSTITUTE('原始数据'!E58,"'","")))</x:f>
        <x:v>0.2063</x:v>
      </x:c>
      <x:c r="E61" s="9" t="n">
        <x:f>IF(ISNUMBER('原始数据'!H58),'原始数据'!H58,VALUE(SUBSTITUTE('原始数据'!H58,"'","")))</x:f>
        <x:v>0.6317</x:v>
      </x:c>
      <x:c r="F61" s="10" t="n">
        <x:f>'原始数据'!L58</x:f>
        <x:v>718</x:v>
      </x:c>
      <x:c r="G61" s="9" t="n">
        <x:f>F61/'原始数据'!G58</x:f>
        <x:v>0.0263679764965112</x:v>
      </x:c>
      <x:c r="H61" s="9" t="n">
        <x:f>'原始数据'!P58/'原始数据'!O58</x:f>
        <x:v>0.07327531845125489</x:v>
      </x:c>
      <x:c r="I61" s="9" t="n">
        <x:f>F61/C61</x:f>
        <x:v>0.0017520955599751094</x:v>
      </x:c>
      <x:c r="J61" s="9" t="n">
        <x:f>'原始数据'!G58/'原始数据'!F58</x:f>
        <x:v>0.020389504684045046</x:v>
      </x:c>
      <x:c r="K61" s="2" t="str">
        <x:v>待拆分产品市场</x:v>
      </x:c>
      <x:c r="L61" s="15" t="str">
        <x:v>暂无自动识别标签，仍需核验</x:v>
      </x:c>
      <x:c r="M61" s="2" t="str">
        <x:f>IF(AND(C61&gt;='核验与方法'!$B$7,F61&gt;='核验与方法'!$B$8,G61&gt;='核验与方法'!$B$9,D61&gt;='核验与方法'!$B$10,E61&gt;='核验与方法'!$B$11),"通过需求门槛","未通过需求门槛")</x:f>
        <x:v>未通过需求门槛</x:v>
      </x:c>
      <x:c r="N61" s="2" t="str">
        <x:v>待确认具体产品形态</x:v>
      </x:c>
      <x:c r="O61" s="9" t="n">
        <x:f>G61-'原始数据'!J58</x:f>
        <x:v>0.00006797649651120105</x:v>
      </x:c>
      <x:c r="P61" s="2" t="str">
        <x:v>DATA HOLD</x:v>
      </x:c>
    </x:row>
    <x:row r="62" ht="48" customHeight="1">
      <x:c r="A62" s="2" t="n">
        <x:v>57</x:v>
      </x:c>
      <x:c r="B62" s="2" t="str">
        <x:v>loaded tea</x:v>
      </x:c>
      <x:c r="C62" s="10" t="n">
        <x:f>'原始数据'!D59</x:f>
        <x:v>407793</x:v>
      </x:c>
      <x:c r="D62" s="9" t="n">
        <x:f>IF(ISNUMBER('原始数据'!E59),'原始数据'!E59,VALUE(SUBSTITUTE('原始数据'!E59,"'","")))</x:f>
        <x:v>0.0196</x:v>
      </x:c>
      <x:c r="E62" s="9" t="n">
        <x:f>IF(ISNUMBER('原始数据'!H59),'原始数据'!H59,VALUE(SUBSTITUTE('原始数据'!H59,"'","")))</x:f>
        <x:v>0.0136</x:v>
      </x:c>
      <x:c r="F62" s="10" t="n">
        <x:f>'原始数据'!L59</x:f>
        <x:v>11241</x:v>
      </x:c>
      <x:c r="G62" s="9" t="n">
        <x:f>F62/'原始数据'!G59</x:f>
        <x:v>0.055349299824709985</x:v>
      </x:c>
      <x:c r="H62" s="9" t="n">
        <x:f>'原始数据'!P59/'原始数据'!O59</x:f>
        <x:v>0.13406228573490672</x:v>
      </x:c>
      <x:c r="I62" s="9" t="n">
        <x:f>F62/C62</x:f>
        <x:v>0.027565456003413497</x:v>
      </x:c>
      <x:c r="J62" s="9" t="n">
        <x:f>'原始数据'!G59/'原始数据'!F59</x:f>
        <x:v>0.012290541943474472</x:v>
      </x:c>
      <x:c r="K62" s="2" t="str">
        <x:v>专业供给</x:v>
      </x:c>
      <x:c r="L62" s="15" t="str">
        <x:v>食品/补剂或耗材需独立供应链</x:v>
      </x:c>
      <x:c r="M62" s="2" t="str">
        <x:f>IF(AND(C62&gt;='核验与方法'!$B$7,F62&gt;='核验与方法'!$B$8,G62&gt;='核验与方法'!$B$9,D62&gt;='核验与方法'!$B$10,E62&gt;='核验与方法'!$B$11),"通过需求门槛","未通过需求门槛")</x:f>
        <x:v>通过需求门槛</x:v>
      </x:c>
      <x:c r="N62" s="2" t="str">
        <x:v>先核验风险标签</x:v>
      </x:c>
      <x:c r="O62" s="9" t="n">
        <x:f>G62-'原始数据'!J59</x:f>
        <x:v>0.00004929982470998351</x:v>
      </x:c>
      <x:c r="P62" s="2" t="str">
        <x:v>DATA HOLD</x:v>
      </x:c>
    </x:row>
    <x:row r="63" ht="48" customHeight="1">
      <x:c r="A63" s="2" t="n">
        <x:v>58</x:v>
      </x:c>
      <x:c r="B63" s="2" t="str">
        <x:v>the devil wears prada 2</x:v>
      </x:c>
      <x:c r="C63" s="10" t="n">
        <x:f>'原始数据'!D60</x:f>
        <x:v>405796</x:v>
      </x:c>
      <x:c r="D63" s="9" t="n">
        <x:f>IF(ISNUMBER('原始数据'!E60),'原始数据'!E60,VALUE(SUBSTITUTE('原始数据'!E60,"'","")))</x:f>
        <x:v>-0.6078</x:v>
      </x:c>
      <x:c r="E63" s="9" t="n">
        <x:f>IF(ISNUMBER('原始数据'!H60),'原始数据'!H60,VALUE(SUBSTITUTE('原始数据'!H60,"'","")))</x:f>
        <x:v>1.7568</x:v>
      </x:c>
      <x:c r="F63" s="10" t="n">
        <x:f>'原始数据'!L60</x:f>
        <x:v>594</x:v>
      </x:c>
      <x:c r="G63" s="9" t="n">
        <x:f>F63/'原始数据'!G60</x:f>
        <x:v>0.012622989140829207</x:v>
      </x:c>
      <x:c r="H63" s="9" t="n">
        <x:f>'原始数据'!P60/'原始数据'!O60</x:f>
        <x:v>0.01792327062657384</x:v>
      </x:c>
      <x:c r="I63" s="9" t="n">
        <x:f>F63/C63</x:f>
        <x:v>0.0014637896874291516</x:v>
      </x:c>
      <x:c r="J63" s="9" t="n">
        <x:f>'原始数据'!G60/'原始数据'!F60</x:f>
        <x:v>0.008018803298790867</x:v>
      </x:c>
      <x:c r="K63" s="2" t="str">
        <x:v>待拆分产品市场</x:v>
      </x:c>
      <x:c r="L63" s="15" t="str">
        <x:v>内容/导航或宽泛需求需拆分</x:v>
      </x:c>
      <x:c r="M63" s="2" t="str">
        <x:f>IF(AND(C63&gt;='核验与方法'!$B$7,F63&gt;='核验与方法'!$B$8,G63&gt;='核验与方法'!$B$9,D63&gt;='核验与方法'!$B$10,E63&gt;='核验与方法'!$B$11),"通过需求门槛","未通过需求门槛")</x:f>
        <x:v>未通过需求门槛</x:v>
      </x:c>
      <x:c r="N63" s="2" t="str">
        <x:v>先核验风险标签</x:v>
      </x:c>
      <x:c r="O63" s="9" t="n">
        <x:f>G63-'原始数据'!J60</x:f>
        <x:v>0.000022989140829206972</x:v>
      </x:c>
      <x:c r="P63" s="2" t="str">
        <x:v>DATA HOLD</x:v>
      </x:c>
    </x:row>
    <x:row r="64" ht="48" customHeight="1">
      <x:c r="A64" s="2" t="n">
        <x:v>59</x:v>
      </x:c>
      <x:c r="B64" s="2" t="str">
        <x:v>amazon basics</x:v>
      </x:c>
      <x:c r="C64" s="10" t="n">
        <x:f>'原始数据'!D61</x:f>
        <x:v>401354</x:v>
      </x:c>
      <x:c r="D64" s="9" t="n">
        <x:f>IF(ISNUMBER('原始数据'!E61),'原始数据'!E61,VALUE(SUBSTITUTE('原始数据'!E61,"'","")))</x:f>
        <x:v>-0.0198</x:v>
      </x:c>
      <x:c r="E64" s="9" t="n">
        <x:f>IF(ISNUMBER('原始数据'!H61),'原始数据'!H61,VALUE(SUBSTITUTE('原始数据'!H61,"'","")))</x:f>
        <x:v>0.0107</x:v>
      </x:c>
      <x:c r="F64" s="10" t="n">
        <x:f>'原始数据'!L61</x:f>
        <x:v>6318</x:v>
      </x:c>
      <x:c r="G64" s="9" t="n">
        <x:f>F64/'原始数据'!G61</x:f>
        <x:v>0.080954333452924</x:v>
      </x:c>
      <x:c r="H64" s="9" t="n">
        <x:f>'原始数据'!P61/'原始数据'!O61</x:f>
        <x:v>0.144282773299836</x:v>
      </x:c>
      <x:c r="I64" s="9" t="n">
        <x:f>F64/C64</x:f>
        <x:v>0.015741714297104303</x:v>
      </x:c>
      <x:c r="J64" s="9" t="n">
        <x:f>'原始数据'!G61/'原始数据'!F61</x:f>
        <x:v>0.009468240678980248</x:v>
      </x:c>
      <x:c r="K64" s="2" t="str">
        <x:v>待拆分产品市场</x:v>
      </x:c>
      <x:c r="L64" s="15" t="str">
        <x:v>暂无自动识别标签，仍需核验</x:v>
      </x:c>
      <x:c r="M64" s="2" t="str">
        <x:f>IF(AND(C64&gt;='核验与方法'!$B$7,F64&gt;='核验与方法'!$B$8,G64&gt;='核验与方法'!$B$9,D64&gt;='核验与方法'!$B$10,E64&gt;='核验与方法'!$B$11),"通过需求门槛","未通过需求门槛")</x:f>
        <x:v>未通过需求门槛</x:v>
      </x:c>
      <x:c r="N64" s="2" t="str">
        <x:v>待确认具体产品形态</x:v>
      </x:c>
      <x:c r="O64" s="9" t="n">
        <x:f>G64-'原始数据'!J61</x:f>
        <x:v>0.00005433345292399361</x:v>
      </x:c>
      <x:c r="P64" s="2" t="str">
        <x:v>DATA HOLD</x:v>
      </x:c>
    </x:row>
    <x:row r="65" ht="48" customHeight="1">
      <x:c r="A65" s="2" t="n">
        <x:v>60</x:v>
      </x:c>
      <x:c r="B65" s="2" t="str">
        <x:v>baby girl newborn essentials</x:v>
      </x:c>
      <x:c r="C65" s="10" t="n">
        <x:f>'原始数据'!D62</x:f>
        <x:v>399588</x:v>
      </x:c>
      <x:c r="D65" s="9" t="n">
        <x:f>IF(ISNUMBER('原始数据'!E62),'原始数据'!E62,VALUE(SUBSTITUTE('原始数据'!E62,"'","")))</x:f>
        <x:v>-0.0356</x:v>
      </x:c>
      <x:c r="E65" s="9" t="n">
        <x:f>IF(ISNUMBER('原始数据'!H62),'原始数据'!H62,VALUE(SUBSTITUTE('原始数据'!H62,"'","")))</x:f>
        <x:v>-0.0315</x:v>
      </x:c>
      <x:c r="F65" s="10" t="n">
        <x:f>'原始数据'!L62</x:f>
        <x:v>6606</x:v>
      </x:c>
      <x:c r="G65" s="9" t="n">
        <x:f>F65/'原始数据'!G62</x:f>
        <x:v>0.04431059000295136</x:v>
      </x:c>
      <x:c r="H65" s="9" t="n">
        <x:f>'原始数据'!P62/'原始数据'!O62</x:f>
        <x:v>0.13131694071503996</x:v>
      </x:c>
      <x:c r="I65" s="9" t="n">
        <x:f>F65/C65</x:f>
        <x:v>0.016532027988828493</x:v>
      </x:c>
      <x:c r="J65" s="9" t="n">
        <x:f>'原始数据'!G62/'原始数据'!F62</x:f>
        <x:v>0.012373680092512938</x:v>
      </x:c>
      <x:c r="K65" s="2" t="str">
        <x:v>待拆分产品市场</x:v>
      </x:c>
      <x:c r="L65" s="15" t="str">
        <x:v>暂无自动识别标签，仍需核验</x:v>
      </x:c>
      <x:c r="M65" s="2" t="str">
        <x:f>IF(AND(C65&gt;='核验与方法'!$B$7,F65&gt;='核验与方法'!$B$8,G65&gt;='核验与方法'!$B$9,D65&gt;='核验与方法'!$B$10,E65&gt;='核验与方法'!$B$11),"通过需求门槛","未通过需求门槛")</x:f>
        <x:v>未通过需求门槛</x:v>
      </x:c>
      <x:c r="N65" s="2" t="str">
        <x:v>待确认具体产品形态</x:v>
      </x:c>
      <x:c r="O65" s="9" t="n">
        <x:f>G65-'原始数据'!J62</x:f>
        <x:v>0.000010590002951359201</x:v>
      </x:c>
      <x:c r="P65" s="2" t="str">
        <x:v>DATA HOLD</x:v>
      </x:c>
    </x:row>
    <x:row r="66" ht="48" customHeight="1">
      <x:c r="A66" s="2" t="n">
        <x:v>61</x:v>
      </x:c>
      <x:c r="B66" s="2" t="str">
        <x:v>advent calendar</x:v>
      </x:c>
      <x:c r="C66" s="10" t="n">
        <x:f>'原始数据'!D63</x:f>
        <x:v>394251</x:v>
      </x:c>
      <x:c r="D66" s="9" t="n">
        <x:f>IF(ISNUMBER('原始数据'!E63),'原始数据'!E63,VALUE(SUBSTITUTE('原始数据'!E63,"'","")))</x:f>
        <x:v>1.8343</x:v>
      </x:c>
      <x:c r="E66" s="9" t="n">
        <x:f>IF(ISNUMBER('原始数据'!H63),'原始数据'!H63,VALUE(SUBSTITUTE('原始数据'!H63,"'","")))</x:f>
        <x:v>2.122</x:v>
      </x:c>
      <x:c r="F66" s="10" t="n">
        <x:f>'原始数据'!L63</x:f>
        <x:v>2749</x:v>
      </x:c>
      <x:c r="G66" s="9" t="n">
        <x:f>F66/'原始数据'!G63</x:f>
        <x:v>0.01643607925669939</x:v>
      </x:c>
      <x:c r="H66" s="9" t="n">
        <x:f>'原始数据'!P63/'原始数据'!O63</x:f>
        <x:v>0.05609877953036899</x:v>
      </x:c>
      <x:c r="I66" s="9" t="n">
        <x:f>F66/C66</x:f>
        <x:v>0.006972715351387822</x:v>
      </x:c>
      <x:c r="J66" s="9" t="n">
        <x:f>'原始数据'!G63/'原始数据'!F63</x:f>
        <x:v>0.047469786097319104</x:v>
      </x:c>
      <x:c r="K66" s="2" t="str">
        <x:v>待拆分产品市场</x:v>
      </x:c>
      <x:c r="L66" s="15" t="str">
        <x:v>季节/事件影响待核验</x:v>
      </x:c>
      <x:c r="M66" s="2" t="str">
        <x:f>IF(AND(C66&gt;='核验与方法'!$B$7,F66&gt;='核验与方法'!$B$8,G66&gt;='核验与方法'!$B$9,D66&gt;='核验与方法'!$B$10,E66&gt;='核验与方法'!$B$11),"通过需求门槛","未通过需求门槛")</x:f>
        <x:v>未通过需求门槛</x:v>
      </x:c>
      <x:c r="N66" s="2" t="str">
        <x:v>先核验风险标签</x:v>
      </x:c>
      <x:c r="O66" s="9" t="n">
        <x:f>G66-'原始数据'!J63</x:f>
        <x:v>0.0000360792566993888</x:v>
      </x:c>
      <x:c r="P66" s="2" t="str">
        <x:v>DATA HOLD</x:v>
      </x:c>
    </x:row>
    <x:row r="67" ht="48" customHeight="1">
      <x:c r="A67" s="2" t="n">
        <x:v>62</x:v>
      </x:c>
      <x:c r="B67" s="2" t="str">
        <x:v>kitchen decor</x:v>
      </x:c>
      <x:c r="C67" s="10" t="n">
        <x:f>'原始数据'!D64</x:f>
        <x:v>393212</x:v>
      </x:c>
      <x:c r="D67" s="9" t="n">
        <x:f>IF(ISNUMBER('原始数据'!E64),'原始数据'!E64,VALUE(SUBSTITUTE('原始数据'!E64,"'","")))</x:f>
        <x:v>-0.1171</x:v>
      </x:c>
      <x:c r="E67" s="9" t="n">
        <x:f>IF(ISNUMBER('原始数据'!H64),'原始数据'!H64,VALUE(SUBSTITUTE('原始数据'!H64,"'","")))</x:f>
        <x:v>-0.1151</x:v>
      </x:c>
      <x:c r="F67" s="10" t="n">
        <x:f>'原始数据'!L64</x:f>
        <x:v>2324</x:v>
      </x:c>
      <x:c r="G67" s="9" t="n">
        <x:f>F67/'原始数据'!G64</x:f>
        <x:v>0.017106977497405244</x:v>
      </x:c>
      <x:c r="H67" s="9" t="n">
        <x:f>'原始数据'!P64/'原始数据'!O64</x:f>
        <x:v>0.05393015112421674</x:v>
      </x:c>
      <x:c r="I67" s="9" t="n">
        <x:f>F67/C67</x:f>
        <x:v>0.0059102977528661385</x:v>
      </x:c>
      <x:c r="J67" s="9" t="n">
        <x:f>'原始数据'!G64/'原始数据'!F64</x:f>
        <x:v>0.010957668141497985</x:v>
      </x:c>
      <x:c r="K67" s="2" t="str">
        <x:v>待拆分产品市场</x:v>
      </x:c>
      <x:c r="L67" s="15" t="str">
        <x:v>暂无自动识别标签，仍需核验</x:v>
      </x:c>
      <x:c r="M67" s="2" t="str">
        <x:f>IF(AND(C67&gt;='核验与方法'!$B$7,F67&gt;='核验与方法'!$B$8,G67&gt;='核验与方法'!$B$9,D67&gt;='核验与方法'!$B$10,E67&gt;='核验与方法'!$B$11),"通过需求门槛","未通过需求门槛")</x:f>
        <x:v>未通过需求门槛</x:v>
      </x:c>
      <x:c r="N67" s="2" t="str">
        <x:v>待确认具体产品形态</x:v>
      </x:c>
      <x:c r="O67" s="9" t="n">
        <x:f>G67-'原始数据'!J64</x:f>
        <x:v>0.000006977497405243754</x:v>
      </x:c>
      <x:c r="P67" s="2" t="str">
        <x:v>DATA HOLD</x:v>
      </x:c>
    </x:row>
    <x:row r="68" ht="48" customHeight="1">
      <x:c r="A68" s="2" t="n">
        <x:v>63</x:v>
      </x:c>
      <x:c r="B68" s="2" t="str">
        <x:v>knife</x:v>
      </x:c>
      <x:c r="C68" s="10" t="n">
        <x:f>'原始数据'!D65</x:f>
        <x:v>390617</x:v>
      </x:c>
      <x:c r="D68" s="9" t="n">
        <x:f>IF(ISNUMBER('原始数据'!E65),'原始数据'!E65,VALUE(SUBSTITUTE('原始数据'!E65,"'","")))</x:f>
        <x:v>0.0017</x:v>
      </x:c>
      <x:c r="E68" s="9" t="n">
        <x:f>IF(ISNUMBER('原始数据'!H65),'原始数据'!H65,VALUE(SUBSTITUTE('原始数据'!H65,"'","")))</x:f>
        <x:v>0.0241</x:v>
      </x:c>
      <x:c r="F68" s="10" t="n">
        <x:f>'原始数据'!L65</x:f>
        <x:v>9511</x:v>
      </x:c>
      <x:c r="G68" s="9" t="n">
        <x:f>F68/'原始数据'!G65</x:f>
        <x:v>0.09924349141754056</x:v>
      </x:c>
      <x:c r="H68" s="9" t="n">
        <x:f>'原始数据'!P65/'原始数据'!O65</x:f>
        <x:v>0.2249135724868675</x:v>
      </x:c>
      <x:c r="I68" s="9" t="n">
        <x:f>F68/C68</x:f>
        <x:v>0.024348658660529366</x:v>
      </x:c>
      <x:c r="J68" s="9" t="n">
        <x:f>'原始数据'!G65/'原始数据'!F65</x:f>
        <x:v>0.011175151063064886</x:v>
      </x:c>
      <x:c r="K68" s="2" t="str">
        <x:v>待拆分产品市场</x:v>
      </x:c>
      <x:c r="L68" s="15" t="str">
        <x:v>暂无自动识别标签，仍需核验</x:v>
      </x:c>
      <x:c r="M68" s="2" t="str">
        <x:f>IF(AND(C68&gt;='核验与方法'!$B$7,F68&gt;='核验与方法'!$B$8,G68&gt;='核验与方法'!$B$9,D68&gt;='核验与方法'!$B$10,E68&gt;='核验与方法'!$B$11),"通过需求门槛","未通过需求门槛")</x:f>
        <x:v>通过需求门槛</x:v>
      </x:c>
      <x:c r="N68" s="2" t="str">
        <x:v>待确认具体产品形态</x:v>
      </x:c>
      <x:c r="O68" s="9" t="n">
        <x:f>G68-'原始数据'!J65</x:f>
        <x:v>0.00004349141754056429</x:v>
      </x:c>
      <x:c r="P68" s="2" t="str">
        <x:v>DATA HOLD</x:v>
      </x:c>
    </x:row>
    <x:row r="69" ht="48" customHeight="1">
      <x:c r="A69" s="2" t="n">
        <x:v>64</x:v>
      </x:c>
      <x:c r="B69" s="2" t="str">
        <x:v>the fast and the furious</x:v>
      </x:c>
      <x:c r="C69" s="10" t="n">
        <x:f>'原始数据'!D66</x:f>
        <x:v>384776</x:v>
      </x:c>
      <x:c r="D69" s="9" t="n">
        <x:f>IF(ISNUMBER('原始数据'!E66),'原始数据'!E66,VALUE(SUBSTITUTE('原始数据'!E66,"'","")))</x:f>
        <x:v>-0.2517</x:v>
      </x:c>
      <x:c r="E69" s="9" t="n">
        <x:f>IF(ISNUMBER('原始数据'!H66),'原始数据'!H66,VALUE(SUBSTITUTE('原始数据'!H66,"'","")))</x:f>
        <x:v>0.7107</x:v>
      </x:c>
      <x:c r="F69" s="10" t="n">
        <x:f>'原始数据'!L66</x:f>
        <x:v>498</x:v>
      </x:c>
      <x:c r="G69" s="9" t="n">
        <x:f>F69/'原始数据'!G66</x:f>
        <x:v>0.011270538179513873</x:v>
      </x:c>
      <x:c r="H69" s="9" t="n">
        <x:f>'原始数据'!P66/'原始数据'!O66</x:f>
        <x:v>0.016480674007833863</x:v>
      </x:c>
      <x:c r="I69" s="9" t="n">
        <x:f>F69/C69</x:f>
        <x:v>0.0012942595172256066</x:v>
      </x:c>
      <x:c r="J69" s="9" t="n">
        <x:f>'原始数据'!G66/'原始数据'!F66</x:f>
        <x:v>0.01586335670868198</x:v>
      </x:c>
      <x:c r="K69" s="2" t="str">
        <x:v>待拆分产品市场</x:v>
      </x:c>
      <x:c r="L69" s="15" t="str">
        <x:v>内容/导航或宽泛需求需拆分</x:v>
      </x:c>
      <x:c r="M69" s="2" t="str">
        <x:f>IF(AND(C69&gt;='核验与方法'!$B$7,F69&gt;='核验与方法'!$B$8,G69&gt;='核验与方法'!$B$9,D69&gt;='核验与方法'!$B$10,E69&gt;='核验与方法'!$B$11),"通过需求门槛","未通过需求门槛")</x:f>
        <x:v>未通过需求门槛</x:v>
      </x:c>
      <x:c r="N69" s="2" t="str">
        <x:v>先核验风险标签</x:v>
      </x:c>
      <x:c r="O69" s="9" t="n">
        <x:f>G69-'原始数据'!J66</x:f>
        <x:v>0.00007053817951387271</x:v>
      </x:c>
      <x:c r="P69" s="2" t="str">
        <x:v>DATA HOLD</x:v>
      </x:c>
    </x:row>
    <x:row r="70" ht="48" customHeight="1">
      <x:c r="A70" s="2" t="n">
        <x:v>65</x:v>
      </x:c>
      <x:c r="B70" s="2" t="str">
        <x:v>loaded tea packets</x:v>
      </x:c>
      <x:c r="C70" s="10" t="n">
        <x:f>'原始数据'!D67</x:f>
        <x:v>383508</x:v>
      </x:c>
      <x:c r="D70" s="9" t="n">
        <x:f>IF(ISNUMBER('原始数据'!E67),'原始数据'!E67,VALUE(SUBSTITUTE('原始数据'!E67,"'","")))</x:f>
        <x:v>-0.0253</x:v>
      </x:c>
      <x:c r="E70" s="9" t="n">
        <x:f>IF(ISNUMBER('原始数据'!H67),'原始数据'!H67,VALUE(SUBSTITUTE('原始数据'!H67,"'","")))</x:f>
        <x:v>-0.0232</x:v>
      </x:c>
      <x:c r="F70" s="10" t="n">
        <x:f>'原始数据'!L67</x:f>
        <x:v>11166</x:v>
      </x:c>
      <x:c r="G70" s="9" t="n">
        <x:f>F70/'原始数据'!G67</x:f>
        <x:v>0.05706284271689859</x:v>
      </x:c>
      <x:c r="H70" s="9" t="n">
        <x:f>'原始数据'!P67/'原始数据'!O67</x:f>
        <x:v>0.14152442558283013</x:v>
      </x:c>
      <x:c r="I70" s="9" t="n">
        <x:f>F70/C70</x:f>
        <x:v>0.029115429143590225</x:v>
      </x:c>
      <x:c r="J70" s="9" t="n">
        <x:f>'原始数据'!G67/'原始数据'!F67</x:f>
        <x:v>0.011669308892860311</x:v>
      </x:c>
      <x:c r="K70" s="2" t="str">
        <x:v>专业供给</x:v>
      </x:c>
      <x:c r="L70" s="15" t="str">
        <x:v>食品/补剂或耗材需独立供应链</x:v>
      </x:c>
      <x:c r="M70" s="2" t="str">
        <x:f>IF(AND(C70&gt;='核验与方法'!$B$7,F70&gt;='核验与方法'!$B$8,G70&gt;='核验与方法'!$B$9,D70&gt;='核验与方法'!$B$10,E70&gt;='核验与方法'!$B$11),"通过需求门槛","未通过需求门槛")</x:f>
        <x:v>未通过需求门槛</x:v>
      </x:c>
      <x:c r="N70" s="2" t="str">
        <x:v>先核验风险标签</x:v>
      </x:c>
      <x:c r="O70" s="9" t="n">
        <x:f>G70-'原始数据'!J67</x:f>
        <x:v>0.00006284271689858956</x:v>
      </x:c>
      <x:c r="P70" s="2" t="str">
        <x:v>DATA HOLD</x:v>
      </x:c>
    </x:row>
    <x:row r="71" ht="48" customHeight="1">
      <x:c r="A71" s="2" t="n">
        <x:v>66</x:v>
      </x:c>
      <x:c r="B71" s="2" t="str">
        <x:v>kids movies free with prime</x:v>
      </x:c>
      <x:c r="C71" s="10" t="n">
        <x:f>'原始数据'!D68</x:f>
        <x:v>382747</x:v>
      </x:c>
      <x:c r="D71" s="9" t="n">
        <x:f>IF(ISNUMBER('原始数据'!E68),'原始数据'!E68,VALUE(SUBSTITUTE('原始数据'!E68,"'","")))</x:f>
        <x:v>0.1084</x:v>
      </x:c>
      <x:c r="E71" s="9" t="n">
        <x:f>IF(ISNUMBER('原始数据'!H68),'原始数据'!H68,VALUE(SUBSTITUTE('原始数据'!H68,"'","")))</x:f>
        <x:v>7.8825</x:v>
      </x:c>
      <x:c r="F71" s="10" t="n">
        <x:f>'原始数据'!L68</x:f>
        <x:v>23</x:v>
      </x:c>
      <x:c r="G71" s="9" t="n">
        <x:f>F71/'原始数据'!G68</x:f>
        <x:v>0.0008765577956477</x:v>
      </x:c>
      <x:c r="H71" s="9" t="n">
        <x:f>'原始数据'!P68/'原始数据'!O68</x:f>
        <x:v>0.0013780098636495502</x:v>
      </x:c>
      <x:c r="I71" s="9" t="n">
        <x:f>F71/C71</x:f>
        <x:v>0.00006009191450226912</x:v>
      </x:c>
      <x:c r="J71" s="9" t="n">
        <x:f>'原始数据'!G68/'原始数据'!F68</x:f>
        <x:v>0.01657783539806012</x:v>
      </x:c>
      <x:c r="K71" s="2" t="str">
        <x:v>待拆分产品市场</x:v>
      </x:c>
      <x:c r="L71" s="15" t="str">
        <x:v>内容/导航或宽泛需求需拆分</x:v>
      </x:c>
      <x:c r="M71" s="2" t="str">
        <x:f>IF(AND(C71&gt;='核验与方法'!$B$7,F71&gt;='核验与方法'!$B$8,G71&gt;='核验与方法'!$B$9,D71&gt;='核验与方法'!$B$10,E71&gt;='核验与方法'!$B$11),"通过需求门槛","未通过需求门槛")</x:f>
        <x:v>未通过需求门槛</x:v>
      </x:c>
      <x:c r="N71" s="2" t="str">
        <x:v>先核验风险标签</x:v>
      </x:c>
      <x:c r="O71" s="9" t="n">
        <x:f>G71-'原始数据'!J68</x:f>
        <x:v>0.00007655779564769995</x:v>
      </x:c>
      <x:c r="P71" s="2" t="str">
        <x:v>DATA HOLD</x:v>
      </x:c>
    </x:row>
    <x:row r="72" ht="48" customHeight="1">
      <x:c r="A72" s="2" t="n">
        <x:v>67</x:v>
      </x:c>
      <x:c r="B72" s="2" t="str">
        <x:v>registry</x:v>
      </x:c>
      <x:c r="C72" s="10" t="n">
        <x:f>'原始数据'!D69</x:f>
        <x:v>380484</x:v>
      </x:c>
      <x:c r="D72" s="9" t="n">
        <x:f>IF(ISNUMBER('原始数据'!E69),'原始数据'!E69,VALUE(SUBSTITUTE('原始数据'!E69,"'","")))</x:f>
        <x:v>-0.0925</x:v>
      </x:c>
      <x:c r="E72" s="9" t="n">
        <x:f>IF(ISNUMBER('原始数据'!H69),'原始数据'!H69,VALUE(SUBSTITUTE('原始数据'!H69,"'","")))</x:f>
        <x:v>0.1203</x:v>
      </x:c>
      <x:c r="F72" s="10" t="n">
        <x:f>'原始数据'!L69</x:f>
        <x:v>144</x:v>
      </x:c>
      <x:c r="G72" s="9" t="n">
        <x:f>F72/'原始数据'!G69</x:f>
        <x:v>0.015064337273773407</x:v>
      </x:c>
      <x:c r="H72" s="9" t="n">
        <x:f>'原始数据'!P69/'原始数据'!O69</x:f>
        <x:v>0.027162258756254467</x:v>
      </x:c>
      <x:c r="I72" s="9" t="n">
        <x:f>F72/C72</x:f>
        <x:v>0.0003784653231147696</x:v>
      </x:c>
      <x:c r="J72" s="9" t="n">
        <x:f>'原始数据'!G69/'原始数据'!F69</x:f>
        <x:v>0.0009235806794921901</x:v>
      </x:c>
      <x:c r="K72" s="2" t="str">
        <x:v>待拆分产品市场</x:v>
      </x:c>
      <x:c r="L72" s="15" t="str">
        <x:v>内容/导航或宽泛需求需拆分</x:v>
      </x:c>
      <x:c r="M72" s="2" t="str">
        <x:f>IF(AND(C72&gt;='核验与方法'!$B$7,F72&gt;='核验与方法'!$B$8,G72&gt;='核验与方法'!$B$9,D72&gt;='核验与方法'!$B$10,E72&gt;='核验与方法'!$B$11),"通过需求门槛","未通过需求门槛")</x:f>
        <x:v>未通过需求门槛</x:v>
      </x:c>
      <x:c r="N72" s="2" t="str">
        <x:v>先核验风险标签</x:v>
      </x:c>
      <x:c r="O72" s="9" t="n">
        <x:f>G72-'原始数据'!J69</x:f>
        <x:v>0.00006433727377340784</x:v>
      </x:c>
      <x:c r="P72" s="2" t="str">
        <x:v>DATA HOLD</x:v>
      </x:c>
    </x:row>
    <x:row r="73" ht="48" customHeight="1">
      <x:c r="A73" s="2" t="n">
        <x:v>68</x:v>
      </x:c>
      <x:c r="B73" s="2" t="str">
        <x:v>mouth tape</x:v>
      </x:c>
      <x:c r="C73" s="10" t="n">
        <x:f>'原始数据'!D70</x:f>
        <x:v>375900</x:v>
      </x:c>
      <x:c r="D73" s="9" t="n">
        <x:f>IF(ISNUMBER('原始数据'!E70),'原始数据'!E70,VALUE(SUBSTITUTE('原始数据'!E70,"'","")))</x:f>
        <x:v>-0.0049</x:v>
      </x:c>
      <x:c r="E73" s="9" t="n">
        <x:f>IF(ISNUMBER('原始数据'!H70),'原始数据'!H70,VALUE(SUBSTITUTE('原始数据'!H70,"'","")))</x:f>
        <x:v>-0.0269</x:v>
      </x:c>
      <x:c r="F73" s="10" t="n">
        <x:f>'原始数据'!L70</x:f>
        <x:v>23434</x:v>
      </x:c>
      <x:c r="G73" s="9" t="n">
        <x:f>F73/'原始数据'!G70</x:f>
        <x:v>0.16213037401928904</x:v>
      </x:c>
      <x:c r="H73" s="9" t="n">
        <x:f>'原始数据'!P70/'原始数据'!O70</x:f>
        <x:v>0.32774308011364317</x:v>
      </x:c>
      <x:c r="I73" s="9" t="n">
        <x:f>F73/C73</x:f>
        <x:v>0.062341048151104014</x:v>
      </x:c>
      <x:c r="J73" s="9" t="n">
        <x:f>'原始数据'!G70/'原始数据'!F70</x:f>
        <x:v>0.013138450588552373</x:v>
      </x:c>
      <x:c r="K73" s="2" t="str">
        <x:v>待拆分产品市场</x:v>
      </x:c>
      <x:c r="L73" s="15" t="str">
        <x:v>专业类目适配与规则待核验</x:v>
      </x:c>
      <x:c r="M73" s="2" t="str">
        <x:f>IF(AND(C73&gt;='核验与方法'!$B$7,F73&gt;='核验与方法'!$B$8,G73&gt;='核验与方法'!$B$9,D73&gt;='核验与方法'!$B$10,E73&gt;='核验与方法'!$B$11),"通过需求门槛","未通过需求门槛")</x:f>
        <x:v>未通过需求门槛</x:v>
      </x:c>
      <x:c r="N73" s="2" t="str">
        <x:v>先核验风险标签</x:v>
      </x:c>
      <x:c r="O73" s="9" t="n">
        <x:f>G73-'原始数据'!J70</x:f>
        <x:v>0.000030374019289042264</x:v>
      </x:c>
      <x:c r="P73" s="2" t="str">
        <x:v>DATA HOLD</x:v>
      </x:c>
    </x:row>
    <x:row r="74" ht="48" customHeight="1">
      <x:c r="A74" s="2" t="n">
        <x:v>69</x:v>
      </x:c>
      <x:c r="B74" s="2" t="str">
        <x:v>beads</x:v>
      </x:c>
      <x:c r="C74" s="10" t="n">
        <x:f>'原始数据'!D71</x:f>
        <x:v>375483</x:v>
      </x:c>
      <x:c r="D74" s="9" t="n">
        <x:f>IF(ISNUMBER('原始数据'!E71),'原始数据'!E71,VALUE(SUBSTITUTE('原始数据'!E71,"'","")))</x:f>
        <x:v>-0.0289</x:v>
      </x:c>
      <x:c r="E74" s="9" t="n">
        <x:f>IF(ISNUMBER('原始数据'!H71),'原始数据'!H71,VALUE(SUBSTITUTE('原始数据'!H71,"'","")))</x:f>
        <x:v>-0.0744</x:v>
      </x:c>
      <x:c r="F74" s="10" t="n">
        <x:f>'原始数据'!L71</x:f>
        <x:v>7513</x:v>
      </x:c>
      <x:c r="G74" s="9" t="n">
        <x:f>F74/'原始数据'!G71</x:f>
        <x:v>0.052181220872488346</x:v>
      </x:c>
      <x:c r="H74" s="9" t="n">
        <x:f>'原始数据'!P71/'原始数据'!O71</x:f>
        <x:v>0.17681920654472774</x:v>
      </x:c>
      <x:c r="I74" s="9" t="n">
        <x:f>F74/C74</x:f>
        <x:v>0.020008895209636654</x:v>
      </x:c>
      <x:c r="J74" s="9" t="n">
        <x:f>'原始数据'!G71/'原始数据'!F71</x:f>
        <x:v>0.017114298585843696</x:v>
      </x:c>
      <x:c r="K74" s="2" t="str">
        <x:v>待拆分产品市场</x:v>
      </x:c>
      <x:c r="L74" s="15" t="str">
        <x:v>暂无自动识别标签，仍需核验</x:v>
      </x:c>
      <x:c r="M74" s="2" t="str">
        <x:f>IF(AND(C74&gt;='核验与方法'!$B$7,F74&gt;='核验与方法'!$B$8,G74&gt;='核验与方法'!$B$9,D74&gt;='核验与方法'!$B$10,E74&gt;='核验与方法'!$B$11),"通过需求门槛","未通过需求门槛")</x:f>
        <x:v>未通过需求门槛</x:v>
      </x:c>
      <x:c r="N74" s="2" t="str">
        <x:v>待确认具体产品形态</x:v>
      </x:c>
      <x:c r="O74" s="9" t="n">
        <x:f>G74-'原始数据'!J71</x:f>
        <x:v>0.00008122087248834536</x:v>
      </x:c>
      <x:c r="P74" s="2" t="str">
        <x:v>DATA HOLD</x:v>
      </x:c>
    </x:row>
    <x:row r="75" ht="48" customHeight="1">
      <x:c r="A75" s="2" t="n">
        <x:v>70</x:v>
      </x:c>
      <x:c r="B75" s="2" t="str">
        <x:v>puppy pads</x:v>
      </x:c>
      <x:c r="C75" s="10" t="n">
        <x:f>'原始数据'!D72</x:f>
        <x:v>374405</x:v>
      </x:c>
      <x:c r="D75" s="9" t="n">
        <x:f>IF(ISNUMBER('原始数据'!E72),'原始数据'!E72,VALUE(SUBSTITUTE('原始数据'!E72,"'","")))</x:f>
        <x:v>0.0266</x:v>
      </x:c>
      <x:c r="E75" s="9" t="n">
        <x:f>IF(ISNUMBER('原始数据'!H72),'原始数据'!H72,VALUE(SUBSTITUTE('原始数据'!H72,"'","")))</x:f>
        <x:v>-0.0072</x:v>
      </x:c>
      <x:c r="F75" s="10" t="n">
        <x:f>'原始数据'!L72</x:f>
        <x:v>48551</x:v>
      </x:c>
      <x:c r="G75" s="9" t="n">
        <x:f>F75/'原始数据'!G72</x:f>
        <x:v>0.23600410264387203</x:v>
      </x:c>
      <x:c r="H75" s="9" t="n">
        <x:f>'原始数据'!P72/'原始数据'!O72</x:f>
        <x:v>0.49667220019059916</x:v>
      </x:c>
      <x:c r="I75" s="9" t="n">
        <x:f>F75/C75</x:f>
        <x:v>0.12967508446735487</x:v>
      </x:c>
      <x:c r="J75" s="9" t="n">
        <x:f>'原始数据'!G72/'原始数据'!F72</x:f>
        <x:v>0.012242218846748362</x:v>
      </x:c>
      <x:c r="K75" s="2" t="str">
        <x:v>待拆分产品市场</x:v>
      </x:c>
      <x:c r="L75" s="15" t="str">
        <x:v>暂无自动识别标签，仍需核验</x:v>
      </x:c>
      <x:c r="M75" s="2" t="str">
        <x:f>IF(AND(C75&gt;='核验与方法'!$B$7,F75&gt;='核验与方法'!$B$8,G75&gt;='核验与方法'!$B$9,D75&gt;='核验与方法'!$B$10,E75&gt;='核验与方法'!$B$11),"通过需求门槛","未通过需求门槛")</x:f>
        <x:v>未通过需求门槛</x:v>
      </x:c>
      <x:c r="N75" s="2" t="str">
        <x:v>待确认具体产品形态</x:v>
      </x:c>
      <x:c r="O75" s="9" t="n">
        <x:f>G75-'原始数据'!J72</x:f>
        <x:v>0.000004102643872044842</x:v>
      </x:c>
      <x:c r="P75" s="2" t="str">
        <x:v>DATA HOLD</x:v>
      </x:c>
    </x:row>
    <x:row r="76" ht="48" customHeight="1">
      <x:c r="A76" s="2" t="n">
        <x:v>71</x:v>
      </x:c>
      <x:c r="B76" s="2" t="str">
        <x:v>diet coke</x:v>
      </x:c>
      <x:c r="C76" s="10" t="n">
        <x:f>'原始数据'!D73</x:f>
        <x:v>369131</x:v>
      </x:c>
      <x:c r="D76" s="9" t="n">
        <x:f>IF(ISNUMBER('原始数据'!E73),'原始数据'!E73,VALUE(SUBSTITUTE('原始数据'!E73,"'","")))</x:f>
        <x:v>0.0163</x:v>
      </x:c>
      <x:c r="E76" s="9" t="n">
        <x:f>IF(ISNUMBER('原始数据'!H73),'原始数据'!H73,VALUE(SUBSTITUTE('原始数据'!H73,"'","")))</x:f>
        <x:v>-0.0002</x:v>
      </x:c>
      <x:c r="F76" s="10" t="n">
        <x:f>'原始数据'!L73</x:f>
        <x:v>52555</x:v>
      </x:c>
      <x:c r="G76" s="9" t="n">
        <x:f>F76/'原始数据'!G73</x:f>
        <x:v>0.34587945717557556</x:v>
      </x:c>
      <x:c r="H76" s="9" t="n">
        <x:f>'原始数据'!P73/'原始数据'!O73</x:f>
        <x:v>0.4308784667538638</x:v>
      </x:c>
      <x:c r="I76" s="9" t="n">
        <x:f>F76/C76</x:f>
        <x:v>0.14237492922566786</x:v>
      </x:c>
      <x:c r="J76" s="9" t="n">
        <x:f>'原始数据'!G73/'原始数据'!F73</x:f>
        <x:v>0.013400119038873538</x:v>
      </x:c>
      <x:c r="K76" s="2" t="str">
        <x:v>专业供给</x:v>
      </x:c>
      <x:c r="L76" s="15" t="str">
        <x:v>食品/补剂或耗材需独立供应链</x:v>
      </x:c>
      <x:c r="M76" s="2" t="str">
        <x:f>IF(AND(C76&gt;='核验与方法'!$B$7,F76&gt;='核验与方法'!$B$8,G76&gt;='核验与方法'!$B$9,D76&gt;='核验与方法'!$B$10,E76&gt;='核验与方法'!$B$11),"通过需求门槛","未通过需求门槛")</x:f>
        <x:v>未通过需求门槛</x:v>
      </x:c>
      <x:c r="N76" s="2" t="str">
        <x:v>先核验风险标签</x:v>
      </x:c>
      <x:c r="O76" s="9" t="n">
        <x:f>G76-'原始数据'!J73</x:f>
        <x:v>0.00007945717557555909</x:v>
      </x:c>
      <x:c r="P76" s="2" t="str">
        <x:v>DATA HOLD</x:v>
      </x:c>
    </x:row>
    <x:row r="77" ht="48" customHeight="1">
      <x:c r="A77" s="2" t="n">
        <x:v>72</x:v>
      </x:c>
      <x:c r="B77" s="2" t="str">
        <x:v>the odyssey</x:v>
      </x:c>
      <x:c r="C77" s="10" t="n">
        <x:f>'原始数据'!D74</x:f>
        <x:v>368965</x:v>
      </x:c>
      <x:c r="D77" s="9" t="n">
        <x:f>IF(ISNUMBER('原始数据'!E74),'原始数据'!E74,VALUE(SUBSTITUTE('原始数据'!E74,"'","")))</x:f>
        <x:v>-0.4119</x:v>
      </x:c>
      <x:c r="E77" s="9" t="n">
        <x:f>IF(ISNUMBER('原始数据'!H74),'原始数据'!H74,VALUE(SUBSTITUTE('原始数据'!H74,"'","")))</x:f>
        <x:v>-0.2499</x:v>
      </x:c>
      <x:c r="F77" s="10" t="n">
        <x:f>'原始数据'!L74</x:f>
        <x:v>3527</x:v>
      </x:c>
      <x:c r="G77" s="9" t="n">
        <x:f>F77/'原始数据'!G74</x:f>
        <x:v>0.043762019976425336</x:v>
      </x:c>
      <x:c r="H77" s="9" t="n">
        <x:f>'原始数据'!P74/'原始数据'!O74</x:f>
        <x:v>0.10218477862721698</x:v>
      </x:c>
      <x:c r="I77" s="9" t="n">
        <x:f>F77/C77</x:f>
        <x:v>0.009559172279213475</x:v>
      </x:c>
      <x:c r="J77" s="9" t="n">
        <x:f>'原始数据'!G74/'原始数据'!F74</x:f>
        <x:v>0.011997668794673061</x:v>
      </x:c>
      <x:c r="K77" s="2" t="str">
        <x:v>待拆分产品市场</x:v>
      </x:c>
      <x:c r="L77" s="15" t="str">
        <x:v>内容/导航或宽泛需求需拆分</x:v>
      </x:c>
      <x:c r="M77" s="2" t="str">
        <x:f>IF(AND(C77&gt;='核验与方法'!$B$7,F77&gt;='核验与方法'!$B$8,G77&gt;='核验与方法'!$B$9,D77&gt;='核验与方法'!$B$10,E77&gt;='核验与方法'!$B$11),"通过需求门槛","未通过需求门槛")</x:f>
        <x:v>未通过需求门槛</x:v>
      </x:c>
      <x:c r="N77" s="2" t="str">
        <x:v>先核验风险标签</x:v>
      </x:c>
      <x:c r="O77" s="9" t="n">
        <x:f>G77-'原始数据'!J74</x:f>
        <x:v>0.00006201997642533291</x:v>
      </x:c>
      <x:c r="P77" s="2" t="str">
        <x:v>DATA HOLD</x:v>
      </x:c>
    </x:row>
    <x:row r="78" ht="48" customHeight="1">
      <x:c r="A78" s="2" t="n">
        <x:v>73</x:v>
      </x:c>
      <x:c r="B78" s="2" t="str">
        <x:v>air compressor</x:v>
      </x:c>
      <x:c r="C78" s="10" t="n">
        <x:f>'原始数据'!D75</x:f>
        <x:v>365749</x:v>
      </x:c>
      <x:c r="D78" s="9" t="n">
        <x:f>IF(ISNUMBER('原始数据'!E75),'原始数据'!E75,VALUE(SUBSTITUTE('原始数据'!E75,"'","")))</x:f>
        <x:v>-0.1196</x:v>
      </x:c>
      <x:c r="E78" s="9" t="n">
        <x:f>IF(ISNUMBER('原始数据'!H75),'原始数据'!H75,VALUE(SUBSTITUTE('原始数据'!H75,"'","")))</x:f>
        <x:v>-0.1172</x:v>
      </x:c>
      <x:c r="F78" s="10" t="n">
        <x:f>'原始数据'!L75</x:f>
        <x:v>5251</x:v>
      </x:c>
      <x:c r="G78" s="9" t="n">
        <x:f>F78/'原始数据'!G75</x:f>
        <x:v>0.04792282699959844</x:v>
      </x:c>
      <x:c r="H78" s="9" t="n">
        <x:f>'原始数据'!P75/'原始数据'!O75</x:f>
        <x:v>0.1400274232675878</x:v>
      </x:c>
      <x:c r="I78" s="9" t="n">
        <x:f>F78/C78</x:f>
        <x:v>0.014356840346795206</x:v>
      </x:c>
      <x:c r="J78" s="9" t="n">
        <x:f>'原始数据'!G75/'原始数据'!F75</x:f>
        <x:v>0.011885923253722135</x:v>
      </x:c>
      <x:c r="K78" s="2" t="str">
        <x:v>待拆分产品市场</x:v>
      </x:c>
      <x:c r="L78" s="15" t="str">
        <x:v>体积/安装/售后成本待核验</x:v>
      </x:c>
      <x:c r="M78" s="2" t="str">
        <x:f>IF(AND(C78&gt;='核验与方法'!$B$7,F78&gt;='核验与方法'!$B$8,G78&gt;='核验与方法'!$B$9,D78&gt;='核验与方法'!$B$10,E78&gt;='核验与方法'!$B$11),"通过需求门槛","未通过需求门槛")</x:f>
        <x:v>未通过需求门槛</x:v>
      </x:c>
      <x:c r="N78" s="2" t="str">
        <x:v>先核验风险标签</x:v>
      </x:c>
      <x:c r="O78" s="9" t="n">
        <x:f>G78-'原始数据'!J75</x:f>
        <x:v>0.00002282699959844231</x:v>
      </x:c>
      <x:c r="P78" s="2" t="str">
        <x:v>DATA HOLD</x:v>
      </x:c>
    </x:row>
    <x:row r="79" ht="48" customHeight="1">
      <x:c r="A79" s="2" t="n">
        <x:v>74</x:v>
      </x:c>
      <x:c r="B79" s="2" t="str">
        <x:v>dolly parton wig</x:v>
      </x:c>
      <x:c r="C79" s="10" t="n">
        <x:f>'原始数据'!D76</x:f>
        <x:v>362491</x:v>
      </x:c>
      <x:c r="D79" s="9" t="n">
        <x:f>IF(ISNUMBER('原始数据'!E76),'原始数据'!E76,VALUE(SUBSTITUTE('原始数据'!E76,"'","")))</x:f>
        <x:v>49.6555</x:v>
      </x:c>
      <x:c r="E79" s="9" t="n">
        <x:f>IF(ISNUMBER('原始数据'!H76),'原始数据'!H76,VALUE(SUBSTITUTE('原始数据'!H76,"'","")))</x:f>
        <x:v>49.898</x:v>
      </x:c>
      <x:c r="F79" s="10" t="n">
        <x:f>'原始数据'!L76</x:f>
        <x:v>14406</x:v>
      </x:c>
      <x:c r="G79" s="9" t="n">
        <x:f>F79/'原始数据'!G76</x:f>
        <x:v>0.09746427798224724</x:v>
      </x:c>
      <x:c r="H79" s="9" t="n">
        <x:f>'原始数据'!P76/'原始数据'!O76</x:f>
        <x:v>0.19721917306988657</x:v>
      </x:c>
      <x:c r="I79" s="9" t="n">
        <x:f>F79/C79</x:f>
        <x:v>0.03974167634506788</x:v>
      </x:c>
      <x:c r="J79" s="9" t="n">
        <x:f>'原始数据'!G76/'原始数据'!F76</x:f>
        <x:v>0.034533119043330174</x:v>
      </x:c>
      <x:c r="K79" s="2" t="str">
        <x:v>待拆分产品市场</x:v>
      </x:c>
      <x:c r="L79" s="15" t="str">
        <x:v>品牌或IP需核验</x:v>
      </x:c>
      <x:c r="M79" s="2" t="str">
        <x:f>IF(AND(C79&gt;='核验与方法'!$B$7,F79&gt;='核验与方法'!$B$8,G79&gt;='核验与方法'!$B$9,D79&gt;='核验与方法'!$B$10,E79&gt;='核验与方法'!$B$11),"通过需求门槛","未通过需求门槛")</x:f>
        <x:v>通过需求门槛</x:v>
      </x:c>
      <x:c r="N79" s="2" t="str">
        <x:v>先核验风险标签</x:v>
      </x:c>
      <x:c r="O79" s="9" t="n">
        <x:f>G79-'原始数据'!J76</x:f>
        <x:v>0.00006427798224724335</x:v>
      </x:c>
      <x:c r="P79" s="2" t="str">
        <x:v>DATA HOLD</x:v>
      </x:c>
    </x:row>
    <x:row r="80" ht="48" customHeight="1">
      <x:c r="A80" s="2" t="n">
        <x:v>75</x:v>
      </x:c>
      <x:c r="B80" s="2" t="str">
        <x:v>ballet flats for women</x:v>
      </x:c>
      <x:c r="C80" s="10" t="n">
        <x:f>'原始数据'!D77</x:f>
        <x:v>361375</x:v>
      </x:c>
      <x:c r="D80" s="9" t="n">
        <x:f>IF(ISNUMBER('原始数据'!E77),'原始数据'!E77,VALUE(SUBSTITUTE('原始数据'!E77,"'","")))</x:f>
        <x:v>0.2797</x:v>
      </x:c>
      <x:c r="E80" s="9" t="n">
        <x:f>IF(ISNUMBER('原始数据'!H77),'原始数据'!H77,VALUE(SUBSTITUTE('原始数据'!H77,"'","")))</x:f>
        <x:v>0.3377</x:v>
      </x:c>
      <x:c r="F80" s="10" t="n">
        <x:f>'原始数据'!L77</x:f>
        <x:v>802</x:v>
      </x:c>
      <x:c r="G80" s="9" t="n">
        <x:f>F80/'原始数据'!G77</x:f>
        <x:v>0.00822986146741919</x:v>
      </x:c>
      <x:c r="H80" s="9" t="n">
        <x:f>'原始数据'!P77/'原始数据'!O77</x:f>
        <x:v>0.11534844843798976</x:v>
      </x:c>
      <x:c r="I80" s="9" t="n">
        <x:f>F80/C80</x:f>
        <x:v>0.0022193012798339675</x:v>
      </x:c>
      <x:c r="J80" s="9" t="n">
        <x:f>'原始数据'!G77/'原始数据'!F77</x:f>
        <x:v>0.009126662244286049</x:v>
      </x:c>
      <x:c r="K80" s="2" t="str">
        <x:v>待拆分产品市场</x:v>
      </x:c>
      <x:c r="L80" s="15" t="str">
        <x:v>尺码/颜色变体及退货待核验</x:v>
      </x:c>
      <x:c r="M80" s="2" t="str">
        <x:f>IF(AND(C80&gt;='核验与方法'!$B$7,F80&gt;='核验与方法'!$B$8,G80&gt;='核验与方法'!$B$9,D80&gt;='核验与方法'!$B$10,E80&gt;='核验与方法'!$B$11),"通过需求门槛","未通过需求门槛")</x:f>
        <x:v>未通过需求门槛</x:v>
      </x:c>
      <x:c r="N80" s="2" t="str">
        <x:v>先核验风险标签</x:v>
      </x:c>
      <x:c r="O80" s="9" t="n">
        <x:f>G80-'原始数据'!J77</x:f>
        <x:v>0.00002986146741918924</x:v>
      </x:c>
      <x:c r="P80" s="2" t="str">
        <x:v>DATA HOLD</x:v>
      </x:c>
    </x:row>
    <x:row r="81" ht="48" customHeight="1">
      <x:c r="A81" s="2" t="n">
        <x:v>76</x:v>
      </x:c>
      <x:c r="B81" s="2" t="str">
        <x:v>electric dirt bike</x:v>
      </x:c>
      <x:c r="C81" s="10" t="n">
        <x:f>'原始数据'!D78</x:f>
        <x:v>356360</x:v>
      </x:c>
      <x:c r="D81" s="9" t="n">
        <x:f>IF(ISNUMBER('原始数据'!E78),'原始数据'!E78,VALUE(SUBSTITUTE('原始数据'!E78,"'","")))</x:f>
        <x:v>-0.1187</x:v>
      </x:c>
      <x:c r="E81" s="9" t="n">
        <x:f>IF(ISNUMBER('原始数据'!H78),'原始数据'!H78,VALUE(SUBSTITUTE('原始数据'!H78,"'","")))</x:f>
        <x:v>-0.0908</x:v>
      </x:c>
      <x:c r="F81" s="10" t="n">
        <x:f>'原始数据'!L78</x:f>
        <x:v>268</x:v>
      </x:c>
      <x:c r="G81" s="9" t="n">
        <x:f>F81/'原始数据'!G78</x:f>
        <x:v>0.001999910451770816</x:v>
      </x:c>
      <x:c r="H81" s="9" t="n">
        <x:f>'原始数据'!P78/'原始数据'!O78</x:f>
        <x:v>0.011783667621776505</x:v>
      </x:c>
      <x:c r="I81" s="9" t="n">
        <x:f>F81/C81</x:f>
        <x:v>0.0007520484902907173</x:v>
      </x:c>
      <x:c r="J81" s="9" t="n">
        <x:f>'原始数据'!G78/'原始数据'!F78</x:f>
        <x:v>0.02809338325625469</x:v>
      </x:c>
      <x:c r="K81" s="2" t="str">
        <x:v>待拆分产品市场</x:v>
      </x:c>
      <x:c r="L81" s="15" t="str">
        <x:v>体积/安装/售后成本待核验</x:v>
      </x:c>
      <x:c r="M81" s="2" t="str">
        <x:f>IF(AND(C81&gt;='核验与方法'!$B$7,F81&gt;='核验与方法'!$B$8,G81&gt;='核验与方法'!$B$9,D81&gt;='核验与方法'!$B$10,E81&gt;='核验与方法'!$B$11),"通过需求门槛","未通过需求门槛")</x:f>
        <x:v>未通过需求门槛</x:v>
      </x:c>
      <x:c r="N81" s="2" t="str">
        <x:v>先核验风险标签</x:v>
      </x:c>
      <x:c r="O81" s="9" t="n">
        <x:f>G81-'原始数据'!J78</x:f>
        <x:v>0.00009991045177081622</x:v>
      </x:c>
      <x:c r="P81" s="2" t="str">
        <x:v>DATA HOLD</x:v>
      </x:c>
    </x:row>
    <x:row r="82" ht="48" customHeight="1">
      <x:c r="A82" s="2" t="n">
        <x:v>77</x:v>
      </x:c>
      <x:c r="B82" s="2" t="str">
        <x:v>torque wrench</x:v>
      </x:c>
      <x:c r="C82" s="10" t="n">
        <x:f>'原始数据'!D79</x:f>
        <x:v>355543</x:v>
      </x:c>
      <x:c r="D82" s="9" t="n">
        <x:f>IF(ISNUMBER('原始数据'!E79),'原始数据'!E79,VALUE(SUBSTITUTE('原始数据'!E79,"'","")))</x:f>
        <x:v>0.1551</x:v>
      </x:c>
      <x:c r="E82" s="9" t="n">
        <x:f>IF(ISNUMBER('原始数据'!H79),'原始数据'!H79,VALUE(SUBSTITUTE('原始数据'!H79,"'","")))</x:f>
        <x:v>0.0435</x:v>
      </x:c>
      <x:c r="F82" s="10" t="n">
        <x:f>'原始数据'!L79</x:f>
        <x:v>9171</x:v>
      </x:c>
      <x:c r="G82" s="9" t="n">
        <x:f>F82/'原始数据'!G79</x:f>
        <x:v>0.0796453260152152</x:v>
      </x:c>
      <x:c r="H82" s="9" t="n">
        <x:f>'原始数据'!P79/'原始数据'!O79</x:f>
        <x:v>0.21478265709356043</x:v>
      </x:c>
      <x:c r="I82" s="9" t="n">
        <x:f>F82/C82</x:f>
        <x:v>0.025794348362926565</x:v>
      </x:c>
      <x:c r="J82" s="9" t="n">
        <x:f>'原始数据'!G79/'原始数据'!F79</x:f>
        <x:v>0.013144615311556767</x:v>
      </x:c>
      <x:c r="K82" s="2" t="str">
        <x:v>已选候选</x:v>
      </x:c>
      <x:c r="L82" s="15" t="str">
        <x:v>暂无自动识别标签，仍需核验</x:v>
      </x:c>
      <x:c r="M82" s="2" t="str">
        <x:f>IF(AND(C82&gt;='核验与方法'!$B$7,F82&gt;='核验与方法'!$B$8,G82&gt;='核验与方法'!$B$9,D82&gt;='核验与方法'!$B$10,E82&gt;='核验与方法'!$B$11),"通过需求门槛","未通过需求门槛")</x:f>
        <x:v>通过需求门槛</x:v>
      </x:c>
      <x:c r="N82" s="2" t="str">
        <x:v>候选研究</x:v>
      </x:c>
      <x:c r="O82" s="9" t="n">
        <x:f>G82-'原始数据'!J79</x:f>
        <x:v>0.00004532601521520241</x:v>
      </x:c>
      <x:c r="P82" s="2" t="str">
        <x:v>DATA HOLD</x:v>
      </x:c>
    </x:row>
    <x:row r="83" ht="48" customHeight="1">
      <x:c r="A83" s="2" t="n">
        <x:v>78</x:v>
      </x:c>
      <x:c r="B83" s="2" t="str">
        <x:v>gifts for mom</x:v>
      </x:c>
      <x:c r="C83" s="10" t="n">
        <x:f>'原始数据'!D80</x:f>
        <x:v>355527</x:v>
      </x:c>
      <x:c r="D83" s="9" t="n">
        <x:f>IF(ISNUMBER('原始数据'!E80),'原始数据'!E80,VALUE(SUBSTITUTE('原始数据'!E80,"'","")))</x:f>
        <x:v>0.1294</x:v>
      </x:c>
      <x:c r="E83" s="9" t="n">
        <x:f>IF(ISNUMBER('原始数据'!H80),'原始数据'!H80,VALUE(SUBSTITUTE('原始数据'!H80,"'","")))</x:f>
        <x:v>0.1342</x:v>
      </x:c>
      <x:c r="F83" s="10" t="n">
        <x:f>'原始数据'!L80</x:f>
        <x:v>6933</x:v>
      </x:c>
      <x:c r="G83" s="9" t="n">
        <x:f>F83/'原始数据'!G80</x:f>
        <x:v>0.08883450361334631</x:v>
      </x:c>
      <x:c r="H83" s="9" t="n">
        <x:f>'原始数据'!P80/'原始数据'!O80</x:f>
        <x:v>0.21703231894314698</x:v>
      </x:c>
      <x:c r="I83" s="9" t="n">
        <x:f>F83/C83</x:f>
        <x:v>0.019500628644237992</x:v>
      </x:c>
      <x:c r="J83" s="9" t="n">
        <x:f>'原始数据'!G80/'原始数据'!F80</x:f>
        <x:v>0.010200082051298137</x:v>
      </x:c>
      <x:c r="K83" s="2" t="str">
        <x:v>待拆分产品市场</x:v>
      </x:c>
      <x:c r="L83" s="15" t="str">
        <x:v>暂无自动识别标签，仍需核验</x:v>
      </x:c>
      <x:c r="M83" s="2" t="str">
        <x:f>IF(AND(C83&gt;='核验与方法'!$B$7,F83&gt;='核验与方法'!$B$8,G83&gt;='核验与方法'!$B$9,D83&gt;='核验与方法'!$B$10,E83&gt;='核验与方法'!$B$11),"通过需求门槛","未通过需求门槛")</x:f>
        <x:v>通过需求门槛</x:v>
      </x:c>
      <x:c r="N83" s="2" t="str">
        <x:v>待确认具体产品形态</x:v>
      </x:c>
      <x:c r="O83" s="9" t="n">
        <x:f>G83-'原始数据'!J80</x:f>
        <x:v>0.00003450361334630947</x:v>
      </x:c>
      <x:c r="P83" s="2" t="str">
        <x:v>DATA HOLD</x:v>
      </x:c>
    </x:row>
    <x:row r="84" ht="48" customHeight="1">
      <x:c r="A84" s="2" t="n">
        <x:v>79</x:v>
      </x:c>
      <x:c r="B84" s="2" t="str">
        <x:v>frozen fruit</x:v>
      </x:c>
      <x:c r="C84" s="10" t="n">
        <x:f>'原始数据'!D81</x:f>
        <x:v>352168</x:v>
      </x:c>
      <x:c r="D84" s="9" t="n">
        <x:f>IF(ISNUMBER('原始数据'!E81),'原始数据'!E81,VALUE(SUBSTITUTE('原始数据'!E81,"'","")))</x:f>
        <x:v>0.1025</x:v>
      </x:c>
      <x:c r="E84" s="9" t="n">
        <x:f>IF(ISNUMBER('原始数据'!H81),'原始数据'!H81,VALUE(SUBSTITUTE('原始数据'!H81,"'","")))</x:f>
        <x:v>-0.0271</x:v>
      </x:c>
      <x:c r="F84" s="10" t="n">
        <x:f>'原始数据'!L81</x:f>
        <x:v>58887</x:v>
      </x:c>
      <x:c r="G84" s="9" t="n">
        <x:f>F84/'原始数据'!G81</x:f>
        <x:v>0.3790479868687844</x:v>
      </x:c>
      <x:c r="H84" s="9" t="n">
        <x:f>'原始数据'!P81/'原始数据'!O81</x:f>
        <x:v>0.5262520854460401</x:v>
      </x:c>
      <x:c r="I84" s="9" t="n">
        <x:f>F84/C84</x:f>
        <x:v>0.16721280752368187</x:v>
      </x:c>
      <x:c r="J84" s="9" t="n">
        <x:f>'原始数据'!G81/'原始数据'!F81</x:f>
        <x:v>0.01981451607966059</x:v>
      </x:c>
      <x:c r="K84" s="2" t="str">
        <x:v>专业供给</x:v>
      </x:c>
      <x:c r="L84" s="15" t="str">
        <x:v>食品/补剂或耗材需独立供应链</x:v>
      </x:c>
      <x:c r="M84" s="2" t="str">
        <x:f>IF(AND(C84&gt;='核验与方法'!$B$7,F84&gt;='核验与方法'!$B$8,G84&gt;='核验与方法'!$B$9,D84&gt;='核验与方法'!$B$10,E84&gt;='核验与方法'!$B$11),"通过需求门槛","未通过需求门槛")</x:f>
        <x:v>未通过需求门槛</x:v>
      </x:c>
      <x:c r="N84" s="2" t="str">
        <x:v>先核验风险标签</x:v>
      </x:c>
      <x:c r="O84" s="9" t="n">
        <x:f>G84-'原始数据'!J81</x:f>
        <x:v>0.000047986868784377634</x:v>
      </x:c>
      <x:c r="P84" s="2" t="str">
        <x:v>DATA HOLD</x:v>
      </x:c>
    </x:row>
    <x:row r="85" ht="48" customHeight="1">
      <x:c r="A85" s="2" t="n">
        <x:v>80</x:v>
      </x:c>
      <x:c r="B85" s="2" t="str">
        <x:v>cheese slices</x:v>
      </x:c>
      <x:c r="C85" s="10" t="n">
        <x:f>'原始数据'!D82</x:f>
        <x:v>350163</x:v>
      </x:c>
      <x:c r="D85" s="9" t="n">
        <x:f>IF(ISNUMBER('原始数据'!E82),'原始数据'!E82,VALUE(SUBSTITUTE('原始数据'!E82,"'","")))</x:f>
        <x:v>0.1425</x:v>
      </x:c>
      <x:c r="E85" s="9" t="n">
        <x:f>IF(ISNUMBER('原始数据'!H82),'原始数据'!H82,VALUE(SUBSTITUTE('原始数据'!H82,"'","")))</x:f>
        <x:v>0.0403</x:v>
      </x:c>
      <x:c r="F85" s="10" t="n">
        <x:f>'原始数据'!L82</x:f>
        <x:v>86596</x:v>
      </x:c>
      <x:c r="G85" s="9" t="n">
        <x:f>F85/'原始数据'!G82</x:f>
        <x:v>0.5086013990121165</x:v>
      </x:c>
      <x:c r="H85" s="9" t="n">
        <x:f>'原始数据'!P82/'原始数据'!O82</x:f>
        <x:v>0.6244243394192769</x:v>
      </x:c>
      <x:c r="I85" s="9" t="n">
        <x:f>F85/C85</x:f>
        <x:v>0.24730197079645766</x:v>
      </x:c>
      <x:c r="J85" s="9" t="n">
        <x:f>'原始数据'!G82/'原始数据'!F82</x:f>
        <x:v>0.021773633650554045</x:v>
      </x:c>
      <x:c r="K85" s="2" t="str">
        <x:v>专业供给</x:v>
      </x:c>
      <x:c r="L85" s="15" t="str">
        <x:v>食品/补剂或耗材需独立供应链</x:v>
      </x:c>
      <x:c r="M85" s="2" t="str">
        <x:f>IF(AND(C85&gt;='核验与方法'!$B$7,F85&gt;='核验与方法'!$B$8,G85&gt;='核验与方法'!$B$9,D85&gt;='核验与方法'!$B$10,E85&gt;='核验与方法'!$B$11),"通过需求门槛","未通过需求门槛")</x:f>
        <x:v>通过需求门槛</x:v>
      </x:c>
      <x:c r="N85" s="2" t="str">
        <x:v>先核验风险标签</x:v>
      </x:c>
      <x:c r="O85" s="9" t="n">
        <x:f>G85-'原始数据'!J82</x:f>
        <x:v>0.0000013990121164875191</x:v>
      </x:c>
      <x:c r="P85" s="2" t="str">
        <x:v>DATA HOLD</x:v>
      </x:c>
    </x:row>
    <x:row r="86" ht="48" customHeight="1">
      <x:c r="A86" s="2" t="n">
        <x:v>81</x:v>
      </x:c>
      <x:c r="B86" s="2" t="str">
        <x:v>barefoot shoes women</x:v>
      </x:c>
      <x:c r="C86" s="10" t="n">
        <x:f>'原始数据'!D83</x:f>
        <x:v>347299</x:v>
      </x:c>
      <x:c r="D86" s="9" t="n">
        <x:f>IF(ISNUMBER('原始数据'!E83),'原始数据'!E83,VALUE(SUBSTITUTE('原始数据'!E83,"'","")))</x:f>
        <x:v>-0.0935</x:v>
      </x:c>
      <x:c r="E86" s="9" t="n">
        <x:f>IF(ISNUMBER('原始数据'!H83),'原始数据'!H83,VALUE(SUBSTITUTE('原始数据'!H83,"'","")))</x:f>
        <x:v>-0.0661</x:v>
      </x:c>
      <x:c r="F86" s="10" t="n">
        <x:f>'原始数据'!L83</x:f>
        <x:v>1144</x:v>
      </x:c>
      <x:c r="G86" s="9" t="n">
        <x:f>F86/'原始数据'!G83</x:f>
        <x:v>0.007370041810814119</x:v>
      </x:c>
      <x:c r="H86" s="9" t="n">
        <x:f>'原始数据'!P83/'原始数据'!O83</x:f>
        <x:v>0.1545655753191719</x:v>
      </x:c>
      <x:c r="I86" s="9" t="n">
        <x:f>F86/C86</x:f>
        <x:v>0.003293991632570206</x:v>
      </x:c>
      <x:c r="J86" s="9" t="n">
        <x:f>'原始数据'!G83/'原始数据'!F83</x:f>
        <x:v>0.010923554541241744</x:v>
      </x:c>
      <x:c r="K86" s="2" t="str">
        <x:v>待拆分产品市场</x:v>
      </x:c>
      <x:c r="L86" s="15" t="str">
        <x:v>尺码/颜色变体及退货待核验</x:v>
      </x:c>
      <x:c r="M86" s="2" t="str">
        <x:f>IF(AND(C86&gt;='核验与方法'!$B$7,F86&gt;='核验与方法'!$B$8,G86&gt;='核验与方法'!$B$9,D86&gt;='核验与方法'!$B$10,E86&gt;='核验与方法'!$B$11),"通过需求门槛","未通过需求门槛")</x:f>
        <x:v>未通过需求门槛</x:v>
      </x:c>
      <x:c r="N86" s="2" t="str">
        <x:v>先核验风险标签</x:v>
      </x:c>
      <x:c r="O86" s="9" t="n">
        <x:f>G86-'原始数据'!J83</x:f>
        <x:v>0.00007004181081411882</x:v>
      </x:c>
      <x:c r="P86" s="2" t="str">
        <x:v>DATA HOLD</x:v>
      </x:c>
    </x:row>
    <x:row r="87" ht="48" customHeight="1">
      <x:c r="A87" s="2" t="n">
        <x:v>82</x:v>
      </x:c>
      <x:c r="B87" s="2" t="str">
        <x:v>dolly parton book</x:v>
      </x:c>
      <x:c r="C87" s="10" t="n">
        <x:f>'原始数据'!D84</x:f>
        <x:v>345931</x:v>
      </x:c>
      <x:c r="D87" s="9" t="n">
        <x:f>IF(ISNUMBER('原始数据'!E84),'原始数据'!E84,VALUE(SUBSTITUTE('原始数据'!E84,"'","")))</x:f>
        <x:v>95.3596</x:v>
      </x:c>
      <x:c r="E87" s="9" t="n">
        <x:f>IF(ISNUMBER('原始数据'!H84),'原始数据'!H84,VALUE(SUBSTITUTE('原始数据'!H84,"'","")))</x:f>
        <x:v>104.2986</x:v>
      </x:c>
      <x:c r="F87" s="10" t="n">
        <x:f>'原始数据'!L84</x:f>
        <x:v>17930</x:v>
      </x:c>
      <x:c r="G87" s="9" t="n">
        <x:f>F87/'原始数据'!G84</x:f>
        <x:v>0.09418006093077004</x:v>
      </x:c>
      <x:c r="H87" s="9" t="n">
        <x:f>'原始数据'!P84/'原始数据'!O84</x:f>
        <x:v>0.18457295909472718</x:v>
      </x:c>
      <x:c r="I87" s="9" t="n">
        <x:f>F87/C87</x:f>
        <x:v>0.05183114551745868</x:v>
      </x:c>
      <x:c r="J87" s="9" t="n">
        <x:f>'原始数据'!G84/'原始数据'!F84</x:f>
        <x:v>0.03240527185670735</x:v>
      </x:c>
      <x:c r="K87" s="2" t="str">
        <x:v>待拆分产品市场</x:v>
      </x:c>
      <x:c r="L87" s="15" t="str">
        <x:v>内容/导航或宽泛需求需拆分；品牌或IP需核验</x:v>
      </x:c>
      <x:c r="M87" s="2" t="str">
        <x:f>IF(AND(C87&gt;='核验与方法'!$B$7,F87&gt;='核验与方法'!$B$8,G87&gt;='核验与方法'!$B$9,D87&gt;='核验与方法'!$B$10,E87&gt;='核验与方法'!$B$11),"通过需求门槛","未通过需求门槛")</x:f>
        <x:v>通过需求门槛</x:v>
      </x:c>
      <x:c r="N87" s="2" t="str">
        <x:v>先核验风险标签</x:v>
      </x:c>
      <x:c r="O87" s="9" t="n">
        <x:f>G87-'原始数据'!J84</x:f>
        <x:v>0.00008006093077003729</x:v>
      </x:c>
      <x:c r="P87" s="2" t="str">
        <x:v>DATA HOLD</x:v>
      </x:c>
    </x:row>
    <x:row r="88" ht="48" customHeight="1">
      <x:c r="A88" s="2" t="n">
        <x:v>83</x:v>
      </x:c>
      <x:c r="B88" s="2" t="str">
        <x:v>fall sweaters for women</x:v>
      </x:c>
      <x:c r="C88" s="10" t="n">
        <x:f>'原始数据'!D85</x:f>
        <x:v>342544</x:v>
      </x:c>
      <x:c r="D88" s="9" t="n">
        <x:f>IF(ISNUMBER('原始数据'!E85),'原始数据'!E85,VALUE(SUBSTITUTE('原始数据'!E85,"'","")))</x:f>
        <x:v>2.1354</x:v>
      </x:c>
      <x:c r="E88" s="9" t="n">
        <x:f>IF(ISNUMBER('原始数据'!H85),'原始数据'!H85,VALUE(SUBSTITUTE('原始数据'!H85,"'","")))</x:f>
        <x:v>2.1453</x:v>
      </x:c>
      <x:c r="F88" s="10" t="n">
        <x:f>'原始数据'!L85</x:f>
        <x:v>1292</x:v>
      </x:c>
      <x:c r="G88" s="9" t="n">
        <x:f>F88/'原始数据'!G85</x:f>
        <x:v>0.012556489625346227</x:v>
      </x:c>
      <x:c r="H88" s="9" t="n">
        <x:f>'原始数据'!P85/'原始数据'!O85</x:f>
        <x:v>0.09518762946192014</x:v>
      </x:c>
      <x:c r="I88" s="9" t="n">
        <x:f>F88/C88</x:f>
        <x:v>0.003771778224111355</x:v>
      </x:c>
      <x:c r="J88" s="9" t="n">
        <x:f>'原始数据'!G85/'原始数据'!F85</x:f>
        <x:v>0.018593433289789938</x:v>
      </x:c>
      <x:c r="K88" s="2" t="str">
        <x:v>待拆分产品市场</x:v>
      </x:c>
      <x:c r="L88" s="15" t="str">
        <x:v>季节/事件影响待核验；尺码/颜色变体及退货待核验</x:v>
      </x:c>
      <x:c r="M88" s="2" t="str">
        <x:f>IF(AND(C88&gt;='核验与方法'!$B$7,F88&gt;='核验与方法'!$B$8,G88&gt;='核验与方法'!$B$9,D88&gt;='核验与方法'!$B$10,E88&gt;='核验与方法'!$B$11),"通过需求门槛","未通过需求门槛")</x:f>
        <x:v>未通过需求门槛</x:v>
      </x:c>
      <x:c r="N88" s="2" t="str">
        <x:v>先核验风险标签</x:v>
      </x:c>
      <x:c r="O88" s="9" t="n">
        <x:f>G88-'原始数据'!J85</x:f>
        <x:v>0.000056489625346226036</x:v>
      </x:c>
      <x:c r="P88" s="2" t="str">
        <x:v>DATA HOLD</x:v>
      </x:c>
    </x:row>
    <x:row r="89" ht="48" customHeight="1">
      <x:c r="A89" s="2" t="n">
        <x:v>84</x:v>
      </x:c>
      <x:c r="B89" s="2" t="str">
        <x:v>glasses</x:v>
      </x:c>
      <x:c r="C89" s="10" t="n">
        <x:f>'原始数据'!D86</x:f>
        <x:v>342079</x:v>
      </x:c>
      <x:c r="D89" s="9" t="n">
        <x:f>IF(ISNUMBER('原始数据'!E86),'原始数据'!E86,VALUE(SUBSTITUTE('原始数据'!E86,"'","")))</x:f>
        <x:v>0.0075</x:v>
      </x:c>
      <x:c r="E89" s="9" t="n">
        <x:f>IF(ISNUMBER('原始数据'!H86),'原始数据'!H86,VALUE(SUBSTITUTE('原始数据'!H86,"'","")))</x:f>
        <x:v>-0.0423</x:v>
      </x:c>
      <x:c r="F89" s="10" t="n">
        <x:f>'原始数据'!L86</x:f>
        <x:v>6133</x:v>
      </x:c>
      <x:c r="G89" s="9" t="n">
        <x:f>F89/'原始数据'!G86</x:f>
        <x:v>0.07565533830876457</x:v>
      </x:c>
      <x:c r="H89" s="9" t="n">
        <x:f>'原始数据'!P86/'原始数据'!O86</x:f>
        <x:v>0.23486689134467173</x:v>
      </x:c>
      <x:c r="I89" s="9" t="n">
        <x:f>F89/C89</x:f>
        <x:v>0.017928607134609257</x:v>
      </x:c>
      <x:c r="J89" s="9" t="n">
        <x:f>'原始数据'!G86/'原始数据'!F86</x:f>
        <x:v>0.012406579519876927</x:v>
      </x:c>
      <x:c r="K89" s="2" t="str">
        <x:v>待拆分产品市场</x:v>
      </x:c>
      <x:c r="L89" s="15" t="str">
        <x:v>暂无自动识别标签，仍需核验</x:v>
      </x:c>
      <x:c r="M89" s="2" t="str">
        <x:f>IF(AND(C89&gt;='核验与方法'!$B$7,F89&gt;='核验与方法'!$B$8,G89&gt;='核验与方法'!$B$9,D89&gt;='核验与方法'!$B$10,E89&gt;='核验与方法'!$B$11),"通过需求门槛","未通过需求门槛")</x:f>
        <x:v>未通过需求门槛</x:v>
      </x:c>
      <x:c r="N89" s="2" t="str">
        <x:v>待确认具体产品形态</x:v>
      </x:c>
      <x:c r="O89" s="9" t="n">
        <x:f>G89-'原始数据'!J86</x:f>
        <x:v>0.000055338308764571464</x:v>
      </x:c>
      <x:c r="P89" s="2" t="str">
        <x:v>DATA HOLD</x:v>
      </x:c>
    </x:row>
    <x:row r="90" ht="48" customHeight="1">
      <x:c r="A90" s="2" t="n">
        <x:v>85</x:v>
      </x:c>
      <x:c r="B90" s="2" t="str">
        <x:v>coffee bar</x:v>
      </x:c>
      <x:c r="C90" s="10" t="n">
        <x:f>'原始数据'!D87</x:f>
        <x:v>339738</x:v>
      </x:c>
      <x:c r="D90" s="9" t="n">
        <x:f>IF(ISNUMBER('原始数据'!E87),'原始数据'!E87,VALUE(SUBSTITUTE('原始数据'!E87,"'","")))</x:f>
        <x:v>-0.037</x:v>
      </x:c>
      <x:c r="E90" s="9" t="n">
        <x:f>IF(ISNUMBER('原始数据'!H87),'原始数据'!H87,VALUE(SUBSTITUTE('原始数据'!H87,"'","")))</x:f>
        <x:v>-0.0266</x:v>
      </x:c>
      <x:c r="F90" s="10" t="n">
        <x:f>'原始数据'!L87</x:f>
        <x:v>1307</x:v>
      </x:c>
      <x:c r="G90" s="9" t="n">
        <x:f>F90/'原始数据'!G87</x:f>
        <x:v>0.011549711478133311</x:v>
      </x:c>
      <x:c r="H90" s="9" t="n">
        <x:f>'原始数据'!P87/'原始数据'!O87</x:f>
        <x:v>0.037510800160158474</x:v>
      </x:c>
      <x:c r="I90" s="9" t="n">
        <x:f>F90/C90</x:f>
        <x:v>0.003847082163314083</x:v>
      </x:c>
      <x:c r="J90" s="9" t="n">
        <x:f>'原始数据'!G87/'原始数据'!F87</x:f>
        <x:v>0.012879444718987209</x:v>
      </x:c>
      <x:c r="K90" s="2" t="str">
        <x:v>待拆分产品市场</x:v>
      </x:c>
      <x:c r="L90" s="15" t="str">
        <x:v>暂无自动识别标签，仍需核验</x:v>
      </x:c>
      <x:c r="M90" s="2" t="str">
        <x:f>IF(AND(C90&gt;='核验与方法'!$B$7,F90&gt;='核验与方法'!$B$8,G90&gt;='核验与方法'!$B$9,D90&gt;='核验与方法'!$B$10,E90&gt;='核验与方法'!$B$11),"通过需求门槛","未通过需求门槛")</x:f>
        <x:v>未通过需求门槛</x:v>
      </x:c>
      <x:c r="N90" s="2" t="str">
        <x:v>待确认具体产品形态</x:v>
      </x:c>
      <x:c r="O90" s="9" t="n">
        <x:f>G90-'原始数据'!J87</x:f>
        <x:v>0.000049711478133311615</x:v>
      </x:c>
      <x:c r="P90" s="2" t="str">
        <x:v>DATA HOLD</x:v>
      </x:c>
    </x:row>
    <x:row r="91" ht="48" customHeight="1">
      <x:c r="A91" s="2" t="n">
        <x:v>86</x:v>
      </x:c>
      <x:c r="B91" s="2" t="str">
        <x:v>adult halloween costumes</x:v>
      </x:c>
      <x:c r="C91" s="10" t="n">
        <x:f>'原始数据'!D88</x:f>
        <x:v>337585</x:v>
      </x:c>
      <x:c r="D91" s="9" t="n">
        <x:f>IF(ISNUMBER('原始数据'!E88),'原始数据'!E88,VALUE(SUBSTITUTE('原始数据'!E88,"'","")))</x:f>
        <x:v>2.3149</x:v>
      </x:c>
      <x:c r="E91" s="9" t="n">
        <x:f>IF(ISNUMBER('原始数据'!H88),'原始数据'!H88,VALUE(SUBSTITUTE('原始数据'!H88,"'","")))</x:f>
        <x:v>2.548</x:v>
      </x:c>
      <x:c r="F91" s="10" t="n">
        <x:f>'原始数据'!L88</x:f>
        <x:v>692</x:v>
      </x:c>
      <x:c r="G91" s="9" t="n">
        <x:f>F91/'原始数据'!G88</x:f>
        <x:v>0.008888774710665246</x:v>
      </x:c>
      <x:c r="H91" s="9" t="n">
        <x:f>'原始数据'!P88/'原始数据'!O88</x:f>
        <x:v>0.0323366124476478</x:v>
      </x:c>
      <x:c r="I91" s="9" t="n">
        <x:f>F91/C91</x:f>
        <x:v>0.002049854110816535</x:v>
      </x:c>
      <x:c r="J91" s="9" t="n">
        <x:f>'原始数据'!G88/'原始数据'!F88</x:f>
        <x:v>0.020038676594328446</x:v>
      </x:c>
      <x:c r="K91" s="2" t="str">
        <x:v>待拆分产品市场</x:v>
      </x:c>
      <x:c r="L91" s="15" t="str">
        <x:v>季节/事件影响待核验</x:v>
      </x:c>
      <x:c r="M91" s="2" t="str">
        <x:f>IF(AND(C91&gt;='核验与方法'!$B$7,F91&gt;='核验与方法'!$B$8,G91&gt;='核验与方法'!$B$9,D91&gt;='核验与方法'!$B$10,E91&gt;='核验与方法'!$B$11),"通过需求门槛","未通过需求门槛")</x:f>
        <x:v>未通过需求门槛</x:v>
      </x:c>
      <x:c r="N91" s="2" t="str">
        <x:v>先核验风险标签</x:v>
      </x:c>
      <x:c r="O91" s="9" t="n">
        <x:f>G91-'原始数据'!J88</x:f>
        <x:v>0.0000887747106652452</x:v>
      </x:c>
      <x:c r="P91" s="2" t="str">
        <x:v>DATA HOLD</x:v>
      </x:c>
    </x:row>
    <x:row r="92" ht="48" customHeight="1">
      <x:c r="A92" s="2" t="n">
        <x:v>87</x:v>
      </x:c>
      <x:c r="B92" s="2" t="str">
        <x:v>cheddar cheese</x:v>
      </x:c>
      <x:c r="C92" s="10" t="n">
        <x:f>'原始数据'!D89</x:f>
        <x:v>332327</x:v>
      </x:c>
      <x:c r="D92" s="9" t="n">
        <x:f>IF(ISNUMBER('原始数据'!E89),'原始数据'!E89,VALUE(SUBSTITUTE('原始数据'!E89,"'","")))</x:f>
        <x:v>0.2096</x:v>
      </x:c>
      <x:c r="E92" s="9" t="n">
        <x:f>IF(ISNUMBER('原始数据'!H89),'原始数据'!H89,VALUE(SUBSTITUTE('原始数据'!H89,"'","")))</x:f>
        <x:v>0.1008</x:v>
      </x:c>
      <x:c r="F92" s="10" t="n">
        <x:f>'原始数据'!L89</x:f>
        <x:v>69736</x:v>
      </x:c>
      <x:c r="G92" s="9" t="n">
        <x:f>F92/'原始数据'!G89</x:f>
        <x:v>0.4683820615634676</x:v>
      </x:c>
      <x:c r="H92" s="9" t="n">
        <x:f>'原始数据'!P89/'原始数据'!O89</x:f>
        <x:v>0.5879485443466486</x:v>
      </x:c>
      <x:c r="I92" s="9" t="n">
        <x:f>F92/C92</x:f>
        <x:v>0.2098415115232888</x:v>
      </x:c>
      <x:c r="J92" s="9" t="n">
        <x:f>'原始数据'!G89/'原始数据'!F89</x:f>
        <x:v>0.021269185544776546</x:v>
      </x:c>
      <x:c r="K92" s="2" t="str">
        <x:v>专业供给</x:v>
      </x:c>
      <x:c r="L92" s="15" t="str">
        <x:v>食品/补剂或耗材需独立供应链</x:v>
      </x:c>
      <x:c r="M92" s="2" t="str">
        <x:f>IF(AND(C92&gt;='核验与方法'!$B$7,F92&gt;='核验与方法'!$B$8,G92&gt;='核验与方法'!$B$9,D92&gt;='核验与方法'!$B$10,E92&gt;='核验与方法'!$B$11),"通过需求门槛","未通过需求门槛")</x:f>
        <x:v>通过需求门槛</x:v>
      </x:c>
      <x:c r="N92" s="2" t="str">
        <x:v>先核验风险标签</x:v>
      </x:c>
      <x:c r="O92" s="9" t="n">
        <x:f>G92-'原始数据'!J89</x:f>
        <x:v>0.00008206156346762805</x:v>
      </x:c>
      <x:c r="P92" s="2" t="str">
        <x:v>DATA HOLD</x:v>
      </x:c>
    </x:row>
    <x:row r="93" ht="48" customHeight="1">
      <x:c r="A93" s="2" t="n">
        <x:v>88</x:v>
      </x:c>
      <x:c r="B93" s="2" t="str">
        <x:v>pin</x:v>
      </x:c>
      <x:c r="C93" s="10" t="n">
        <x:f>'原始数据'!D90</x:f>
        <x:v>328830</x:v>
      </x:c>
      <x:c r="D93" s="9" t="n">
        <x:f>IF(ISNUMBER('原始数据'!E90),'原始数据'!E90,VALUE(SUBSTITUTE('原始数据'!E90,"'","")))</x:f>
        <x:v>-0.1349</x:v>
      </x:c>
      <x:c r="E93" s="9" t="n">
        <x:f>IF(ISNUMBER('原始数据'!H90),'原始数据'!H90,VALUE(SUBSTITUTE('原始数据'!H90,"'","")))</x:f>
        <x:v>-0.2265</x:v>
      </x:c>
      <x:c r="F93" s="10" t="n">
        <x:f>'原始数据'!L90</x:f>
        <x:v>4412</x:v>
      </x:c>
      <x:c r="G93" s="9" t="n">
        <x:f>F93/'原始数据'!G90</x:f>
        <x:v>0.1272533241037178</x:v>
      </x:c>
      <x:c r="H93" s="9" t="n">
        <x:f>'原始数据'!P90/'原始数据'!O90</x:f>
        <x:v>0.27291723948309043</x:v>
      </x:c>
      <x:c r="I93" s="9" t="n">
        <x:f>F93/C93</x:f>
        <x:v>0.013417267280965848</x:v>
      </x:c>
      <x:c r="J93" s="9" t="n">
        <x:f>'原始数据'!G90/'原始数据'!F90</x:f>
        <x:v>0.006991083651236652</x:v>
      </x:c>
      <x:c r="K93" s="2" t="str">
        <x:v>待拆分产品市场</x:v>
      </x:c>
      <x:c r="L93" s="15" t="str">
        <x:v>暂无自动识别标签，仍需核验</x:v>
      </x:c>
      <x:c r="M93" s="2" t="str">
        <x:f>IF(AND(C93&gt;='核验与方法'!$B$7,F93&gt;='核验与方法'!$B$8,G93&gt;='核验与方法'!$B$9,D93&gt;='核验与方法'!$B$10,E93&gt;='核验与方法'!$B$11),"通过需求门槛","未通过需求门槛")</x:f>
        <x:v>未通过需求门槛</x:v>
      </x:c>
      <x:c r="N93" s="2" t="str">
        <x:v>待确认具体产品形态</x:v>
      </x:c>
      <x:c r="O93" s="9" t="n">
        <x:f>G93-'原始数据'!J90</x:f>
        <x:v>0.000053324103717805604</x:v>
      </x:c>
      <x:c r="P93" s="2" t="str">
        <x:v>DATA HOLD</x:v>
      </x:c>
    </x:row>
    <x:row r="94" ht="48" customHeight="1">
      <x:c r="A94" s="2" t="n">
        <x:v>89</x:v>
      </x:c>
      <x:c r="B94" s="2" t="str">
        <x:v>free people</x:v>
      </x:c>
      <x:c r="C94" s="10" t="n">
        <x:f>'原始数据'!D91</x:f>
        <x:v>327832</x:v>
      </x:c>
      <x:c r="D94" s="9" t="n">
        <x:f>IF(ISNUMBER('原始数据'!E91),'原始数据'!E91,VALUE(SUBSTITUTE('原始数据'!E91,"'","")))</x:f>
        <x:v>-0.0973</x:v>
      </x:c>
      <x:c r="E94" s="9" t="n">
        <x:f>IF(ISNUMBER('原始数据'!H91),'原始数据'!H91,VALUE(SUBSTITUTE('原始数据'!H91,"'","")))</x:f>
        <x:v>-0.0745</x:v>
      </x:c>
      <x:c r="F94" s="10" t="n">
        <x:f>'原始数据'!L91</x:f>
        <x:v>903</x:v>
      </x:c>
      <x:c r="G94" s="9" t="n">
        <x:f>F94/'原始数据'!G91</x:f>
        <x:v>0.008888495157098985</x:v>
      </x:c>
      <x:c r="H94" s="9" t="n">
        <x:f>'原始数据'!P91/'原始数据'!O91</x:f>
        <x:v>0.06826856141530041</x:v>
      </x:c>
      <x:c r="I94" s="9" t="n">
        <x:f>F94/C94</x:f>
        <x:v>0.0027544596012591817</x:v>
      </x:c>
      <x:c r="J94" s="9" t="n">
        <x:f>'原始数据'!G91/'原始数据'!F91</x:f>
        <x:v>0.008097100165031259</x:v>
      </x:c>
      <x:c r="K94" s="2" t="str">
        <x:v>待拆分产品市场</x:v>
      </x:c>
      <x:c r="L94" s="15" t="str">
        <x:v>品牌或IP需核验</x:v>
      </x:c>
      <x:c r="M94" s="2" t="str">
        <x:f>IF(AND(C94&gt;='核验与方法'!$B$7,F94&gt;='核验与方法'!$B$8,G94&gt;='核验与方法'!$B$9,D94&gt;='核验与方法'!$B$10,E94&gt;='核验与方法'!$B$11),"通过需求门槛","未通过需求门槛")</x:f>
        <x:v>未通过需求门槛</x:v>
      </x:c>
      <x:c r="N94" s="2" t="str">
        <x:v>先核验风险标签</x:v>
      </x:c>
      <x:c r="O94" s="9" t="n">
        <x:f>G94-'原始数据'!J91</x:f>
        <x:v>0.00008849515709898406</x:v>
      </x:c>
      <x:c r="P94" s="2" t="str">
        <x:v>DATA HOLD</x:v>
      </x:c>
    </x:row>
    <x:row r="95" ht="48" customHeight="1">
      <x:c r="A95" s="2" t="n">
        <x:v>90</x:v>
      </x:c>
      <x:c r="B95" s="2" t="str">
        <x:v>sour cream</x:v>
      </x:c>
      <x:c r="C95" s="10" t="n">
        <x:f>'原始数据'!D92</x:f>
        <x:v>327379</x:v>
      </x:c>
      <x:c r="D95" s="9" t="n">
        <x:f>IF(ISNUMBER('原始数据'!E92),'原始数据'!E92,VALUE(SUBSTITUTE('原始数据'!E92,"'","")))</x:f>
        <x:v>0.1384</x:v>
      </x:c>
      <x:c r="E95" s="9" t="n">
        <x:f>IF(ISNUMBER('原始数据'!H92),'原始数据'!H92,VALUE(SUBSTITUTE('原始数据'!H92,"'","")))</x:f>
        <x:v>0.0841</x:v>
      </x:c>
      <x:c r="F95" s="10" t="n">
        <x:f>'原始数据'!L92</x:f>
        <x:v>99715</x:v>
      </x:c>
      <x:c r="G95" s="9" t="n">
        <x:f>F95/'原始数据'!G92</x:f>
        <x:v>0.5234355725166797</x:v>
      </x:c>
      <x:c r="H95" s="9" t="n">
        <x:f>'原始数据'!P92/'原始数据'!O92</x:f>
        <x:v>0.6336940009300883</x:v>
      </x:c>
      <x:c r="I95" s="9" t="n">
        <x:f>F95/C95</x:f>
        <x:v>0.30458581643905075</x:v>
      </x:c>
      <x:c r="J95" s="9" t="n">
        <x:f>'原始数据'!G92/'原始数据'!F92</x:f>
        <x:v>0.026565683202334756</x:v>
      </x:c>
      <x:c r="K95" s="2" t="str">
        <x:v>专业供给</x:v>
      </x:c>
      <x:c r="L95" s="15" t="str">
        <x:v>食品/补剂或耗材需独立供应链</x:v>
      </x:c>
      <x:c r="M95" s="2" t="str">
        <x:f>IF(AND(C95&gt;='核验与方法'!$B$7,F95&gt;='核验与方法'!$B$8,G95&gt;='核验与方法'!$B$9,D95&gt;='核验与方法'!$B$10,E95&gt;='核验与方法'!$B$11),"通过需求门槛","未通过需求门槛")</x:f>
        <x:v>通过需求门槛</x:v>
      </x:c>
      <x:c r="N95" s="2" t="str">
        <x:v>先核验风险标签</x:v>
      </x:c>
      <x:c r="O95" s="9" t="n">
        <x:f>G95-'原始数据'!J92</x:f>
        <x:v>0.000035572516679738264</x:v>
      </x:c>
      <x:c r="P95" s="2" t="str">
        <x:v>DATA HOLD</x:v>
      </x:c>
    </x:row>
    <x:row r="96" ht="48" customHeight="1">
      <x:c r="A96" s="2" t="n">
        <x:v>91</x:v>
      </x:c>
      <x:c r="B96" s="2" t="str">
        <x:v>hair accessories for women</x:v>
      </x:c>
      <x:c r="C96" s="10" t="n">
        <x:f>'原始数据'!D93</x:f>
        <x:v>323209</x:v>
      </x:c>
      <x:c r="D96" s="9" t="n">
        <x:f>IF(ISNUMBER('原始数据'!E93),'原始数据'!E93,VALUE(SUBSTITUTE('原始数据'!E93,"'","")))</x:f>
        <x:v>-0.0234</x:v>
      </x:c>
      <x:c r="E96" s="9" t="n">
        <x:f>IF(ISNUMBER('原始数据'!H93),'原始数据'!H93,VALUE(SUBSTITUTE('原始数据'!H93,"'","")))</x:f>
        <x:v>-0.0606</x:v>
      </x:c>
      <x:c r="F96" s="10" t="n">
        <x:f>'原始数据'!L93</x:f>
        <x:v>5271</x:v>
      </x:c>
      <x:c r="G96" s="9" t="n">
        <x:f>F96/'原始数据'!G93</x:f>
        <x:v>0.05790462380120621</x:v>
      </x:c>
      <x:c r="H96" s="9" t="n">
        <x:f>'原始数据'!P93/'原始数据'!O93</x:f>
        <x:v>0.15005291005291005</x:v>
      </x:c>
      <x:c r="I96" s="9" t="n">
        <x:f>F96/C96</x:f>
        <x:v>0.0163083329981529</x:v>
      </x:c>
      <x:c r="J96" s="9" t="n">
        <x:f>'原始数据'!G93/'原始数据'!F93</x:f>
        <x:v>0.009476701871635346</x:v>
      </x:c>
      <x:c r="K96" s="2" t="str">
        <x:v>待拆分产品市场</x:v>
      </x:c>
      <x:c r="L96" s="15" t="str">
        <x:v>暂无自动识别标签，仍需核验</x:v>
      </x:c>
      <x:c r="M96" s="2" t="str">
        <x:f>IF(AND(C96&gt;='核验与方法'!$B$7,F96&gt;='核验与方法'!$B$8,G96&gt;='核验与方法'!$B$9,D96&gt;='核验与方法'!$B$10,E96&gt;='核验与方法'!$B$11),"通过需求门槛","未通过需求门槛")</x:f>
        <x:v>未通过需求门槛</x:v>
      </x:c>
      <x:c r="N96" s="2" t="str">
        <x:v>待确认具体产品形态</x:v>
      </x:c>
      <x:c r="O96" s="9" t="n">
        <x:f>G96-'原始数据'!J93</x:f>
        <x:v>0.000004623801206207756</x:v>
      </x:c>
      <x:c r="P96" s="2" t="str">
        <x:v>DATA HOLD</x:v>
      </x:c>
    </x:row>
    <x:row r="97" ht="48" customHeight="1">
      <x:c r="A97" s="2" t="n">
        <x:v>92</x:v>
      </x:c>
      <x:c r="B97" s="2" t="str">
        <x:v>cherries</x:v>
      </x:c>
      <x:c r="C97" s="10" t="n">
        <x:f>'原始数据'!D94</x:f>
        <x:v>318706</x:v>
      </x:c>
      <x:c r="D97" s="9" t="n">
        <x:f>IF(ISNUMBER('原始数据'!E94),'原始数据'!E94,VALUE(SUBSTITUTE('原始数据'!E94,"'","")))</x:f>
        <x:v>-0.1215</x:v>
      </x:c>
      <x:c r="E97" s="9" t="n">
        <x:f>IF(ISNUMBER('原始数据'!H94),'原始数据'!H94,VALUE(SUBSTITUTE('原始数据'!H94,"'","")))</x:f>
        <x:v>-0.5289</x:v>
      </x:c>
      <x:c r="F97" s="10" t="n">
        <x:f>'原始数据'!L94</x:f>
        <x:v>15631</x:v>
      </x:c>
      <x:c r="G97" s="9" t="n">
        <x:f>F97/'原始数据'!G94</x:f>
        <x:v>0.2913350604812406</x:v>
      </x:c>
      <x:c r="H97" s="9" t="n">
        <x:f>'原始数据'!P94/'原始数据'!O94</x:f>
        <x:v>0.4301988853677194</x:v>
      </x:c>
      <x:c r="I97" s="9" t="n">
        <x:f>F97/C97</x:f>
        <x:v>0.049045201533701906</x:v>
      </x:c>
      <x:c r="J97" s="9" t="n">
        <x:f>'原始数据'!G94/'原始数据'!F94</x:f>
        <x:v>0.006948336791982702</x:v>
      </x:c>
      <x:c r="K97" s="2" t="str">
        <x:v>专业供给</x:v>
      </x:c>
      <x:c r="L97" s="15" t="str">
        <x:v>食品/补剂或耗材需独立供应链</x:v>
      </x:c>
      <x:c r="M97" s="2" t="str">
        <x:f>IF(AND(C97&gt;='核验与方法'!$B$7,F97&gt;='核验与方法'!$B$8,G97&gt;='核验与方法'!$B$9,D97&gt;='核验与方法'!$B$10,E97&gt;='核验与方法'!$B$11),"通过需求门槛","未通过需求门槛")</x:f>
        <x:v>未通过需求门槛</x:v>
      </x:c>
      <x:c r="N97" s="2" t="str">
        <x:v>先核验风险标签</x:v>
      </x:c>
      <x:c r="O97" s="9" t="n">
        <x:f>G97-'原始数据'!J94</x:f>
        <x:v>0.00003506048124057859</x:v>
      </x:c>
      <x:c r="P97" s="2" t="str">
        <x:v>DATA HOLD</x:v>
      </x:c>
    </x:row>
    <x:row r="98" ht="48" customHeight="1">
      <x:c r="A98" s="2" t="n">
        <x:v>93</x:v>
      </x:c>
      <x:c r="B98" s="2" t="str">
        <x:v>gun</x:v>
      </x:c>
      <x:c r="C98" s="10" t="n">
        <x:f>'原始数据'!D95</x:f>
        <x:v>312960</x:v>
      </x:c>
      <x:c r="D98" s="9" t="n">
        <x:f>IF(ISNUMBER('原始数据'!E95),'原始数据'!E95,VALUE(SUBSTITUTE('原始数据'!E95,"'","")))</x:f>
        <x:v>-0.0268</x:v>
      </x:c>
      <x:c r="E98" s="9" t="n">
        <x:f>IF(ISNUMBER('原始数据'!H95),'原始数据'!H95,VALUE(SUBSTITUTE('原始数据'!H95,"'","")))</x:f>
        <x:v>0.0378</x:v>
      </x:c>
      <x:c r="F98" s="10" t="n">
        <x:f>'原始数据'!L95</x:f>
        <x:v>709</x:v>
      </x:c>
      <x:c r="G98" s="9" t="n">
        <x:f>F98/'原始数据'!G95</x:f>
        <x:v>0.009312283282547022</x:v>
      </x:c>
      <x:c r="H98" s="9" t="n">
        <x:f>'原始数据'!P95/'原始数据'!O95</x:f>
        <x:v>0.028070950986351328</x:v>
      </x:c>
      <x:c r="I98" s="9" t="n">
        <x:f>F98/C98</x:f>
        <x:v>0.002265465235173824</x:v>
      </x:c>
      <x:c r="J98" s="9" t="n">
        <x:f>'原始数据'!G95/'原始数据'!F95</x:f>
        <x:v>0.022340395252695353</x:v>
      </x:c>
      <x:c r="K98" s="2" t="str">
        <x:v>待拆分产品市场</x:v>
      </x:c>
      <x:c r="L98" s="15" t="str">
        <x:v>暂无自动识别标签，仍需核验</x:v>
      </x:c>
      <x:c r="M98" s="2" t="str">
        <x:f>IF(AND(C98&gt;='核验与方法'!$B$7,F98&gt;='核验与方法'!$B$8,G98&gt;='核验与方法'!$B$9,D98&gt;='核验与方法'!$B$10,E98&gt;='核验与方法'!$B$11),"通过需求门槛","未通过需求门槛")</x:f>
        <x:v>未通过需求门槛</x:v>
      </x:c>
      <x:c r="N98" s="2" t="str">
        <x:v>待确认具体产品形态</x:v>
      </x:c>
      <x:c r="O98" s="9" t="n">
        <x:f>G98-'原始数据'!J95</x:f>
        <x:v>0.000012283282547022323</x:v>
      </x:c>
      <x:c r="P98" s="2" t="str">
        <x:v>DATA HOLD</x:v>
      </x:c>
    </x:row>
    <x:row r="99" ht="48" customHeight="1">
      <x:c r="A99" s="2" t="n">
        <x:v>94</x:v>
      </x:c>
      <x:c r="B99" s="2" t="str">
        <x:v>reacher prime video</x:v>
      </x:c>
      <x:c r="C99" s="10" t="n">
        <x:f>'原始数据'!D96</x:f>
        <x:v>305720</x:v>
      </x:c>
      <x:c r="D99" s="9" t="n">
        <x:f>IF(ISNUMBER('原始数据'!E96),'原始数据'!E96,VALUE(SUBSTITUTE('原始数据'!E96,"'","")))</x:f>
        <x:v>0.3171</x:v>
      </x:c>
      <x:c r="E99" s="9" t="n">
        <x:f>IF(ISNUMBER('原始数据'!H96),'原始数据'!H96,VALUE(SUBSTITUTE('原始数据'!H96,"'","")))</x:f>
        <x:v>0.7068</x:v>
      </x:c>
      <x:c r="F99" s="10" t="n">
        <x:f>'原始数据'!L96</x:f>
        <x:v>355</x:v>
      </x:c>
      <x:c r="G99" s="9" t="n">
        <x:f>F99/'原始数据'!G96</x:f>
        <x:v>0.08185381600184459</x:v>
      </x:c>
      <x:c r="H99" s="9" t="n">
        <x:f>'原始数据'!P96/'原始数据'!O96</x:f>
        <x:v>0.0052201037654772894</x:v>
      </x:c>
      <x:c r="I99" s="9" t="n">
        <x:f>F99/C99</x:f>
        <x:v>0.0011611932487243229</x:v>
      </x:c>
      <x:c r="J99" s="9" t="n">
        <x:f>'原始数据'!G96/'原始数据'!F96</x:f>
        <x:v>0.0011311515002297775</x:v>
      </x:c>
      <x:c r="K99" s="2" t="str">
        <x:v>待拆分产品市场</x:v>
      </x:c>
      <x:c r="L99" s="15" t="str">
        <x:v>内容/导航或宽泛需求需拆分</x:v>
      </x:c>
      <x:c r="M99" s="2" t="str">
        <x:f>IF(AND(C99&gt;='核验与方法'!$B$7,F99&gt;='核验与方法'!$B$8,G99&gt;='核验与方法'!$B$9,D99&gt;='核验与方法'!$B$10,E99&gt;='核验与方法'!$B$11),"通过需求门槛","未通过需求门槛")</x:f>
        <x:v>未通过需求门槛</x:v>
      </x:c>
      <x:c r="N99" s="2" t="str">
        <x:v>先核验风险标签</x:v>
      </x:c>
      <x:c r="O99" s="9" t="n">
        <x:f>G99-'原始数据'!J96</x:f>
        <x:v>0.00005381600184459212</x:v>
      </x:c>
      <x:c r="P99" s="2" t="str">
        <x:v>DATA HOLD</x:v>
      </x:c>
    </x:row>
    <x:row r="100" ht="48" customHeight="1">
      <x:c r="A100" s="2" t="n">
        <x:v>95</x:v>
      </x:c>
      <x:c r="B100" s="2" t="str">
        <x:v>baby registry search</x:v>
      </x:c>
      <x:c r="C100" s="10" t="n">
        <x:f>'原始数据'!D97</x:f>
        <x:v>303021</x:v>
      </x:c>
      <x:c r="D100" s="9" t="n">
        <x:f>IF(ISNUMBER('原始数据'!E97),'原始数据'!E97,VALUE(SUBSTITUTE('原始数据'!E97,"'","")))</x:f>
        <x:v>-0.2617</x:v>
      </x:c>
      <x:c r="E100" s="9" t="n">
        <x:f>IF(ISNUMBER('原始数据'!H97),'原始数据'!H97,VALUE(SUBSTITUTE('原始数据'!H97,"'","")))</x:f>
        <x:v>-0.415</x:v>
      </x:c>
      <x:c r="F100" s="10" t="n">
        <x:f>'原始数据'!L97</x:f>
        <x:v>343</x:v>
      </x:c>
      <x:c r="G100" s="9" t="n">
        <x:f>F100/'原始数据'!G97</x:f>
        <x:v>0.02072006765736378</x:v>
      </x:c>
      <x:c r="H100" s="9" t="n">
        <x:f>'原始数据'!P97/'原始数据'!O97</x:f>
        <x:v>0.058366622281402575</x:v>
      </x:c>
      <x:c r="I100" s="9" t="n">
        <x:f>F100/C100</x:f>
        <x:v>0.0011319347503968371</x:v>
      </x:c>
      <x:c r="J100" s="9" t="n">
        <x:f>'原始数据'!G97/'原始数据'!F97</x:f>
        <x:v>0.0016960448672205058</x:v>
      </x:c>
      <x:c r="K100" s="2" t="str">
        <x:v>待拆分产品市场</x:v>
      </x:c>
      <x:c r="L100" s="15" t="str">
        <x:v>内容/导航或宽泛需求需拆分</x:v>
      </x:c>
      <x:c r="M100" s="2" t="str">
        <x:f>IF(AND(C100&gt;='核验与方法'!$B$7,F100&gt;='核验与方法'!$B$8,G100&gt;='核验与方法'!$B$9,D100&gt;='核验与方法'!$B$10,E100&gt;='核验与方法'!$B$11),"通过需求门槛","未通过需求门槛")</x:f>
        <x:v>未通过需求门槛</x:v>
      </x:c>
      <x:c r="N100" s="2" t="str">
        <x:v>先核验风险标签</x:v>
      </x:c>
      <x:c r="O100" s="9" t="n">
        <x:f>G100-'原始数据'!J97</x:f>
        <x:v>0.000020067657363780078</x:v>
      </x:c>
      <x:c r="P100" s="2" t="str">
        <x:v>DATA HOLD</x:v>
      </x:c>
    </x:row>
    <x:row r="101" ht="48" customHeight="1">
      <x:c r="A101" s="2" t="n">
        <x:v>96</x:v>
      </x:c>
      <x:c r="B101" s="2" t="str">
        <x:v>celery</x:v>
      </x:c>
      <x:c r="C101" s="10" t="n">
        <x:f>'原始数据'!D98</x:f>
        <x:v>300680</x:v>
      </x:c>
      <x:c r="D101" s="9" t="n">
        <x:f>IF(ISNUMBER('原始数据'!E98),'原始数据'!E98,VALUE(SUBSTITUTE('原始数据'!E98,"'","")))</x:f>
        <x:v>0.211</x:v>
      </x:c>
      <x:c r="E101" s="9" t="n">
        <x:f>IF(ISNUMBER('原始数据'!H98),'原始数据'!H98,VALUE(SUBSTITUTE('原始数据'!H98,"'","")))</x:f>
        <x:v>0.1811</x:v>
      </x:c>
      <x:c r="F101" s="10" t="n">
        <x:f>'原始数据'!L98</x:f>
        <x:v>108540</x:v>
      </x:c>
      <x:c r="G101" s="9" t="n">
        <x:f>F101/'原始数据'!G98</x:f>
        <x:v>0.5411199298049695</x:v>
      </x:c>
      <x:c r="H101" s="9" t="n">
        <x:f>'原始数据'!P98/'原始数据'!O98</x:f>
        <x:v>0.6243300942748644</x:v>
      </x:c>
      <x:c r="I101" s="9" t="n">
        <x:f>F101/C101</x:f>
        <x:v>0.36098177464413994</x:v>
      </x:c>
      <x:c r="J101" s="9" t="n">
        <x:f>'原始数据'!G98/'原始数据'!F98</x:f>
        <x:v>0.03375737617956183</x:v>
      </x:c>
      <x:c r="K101" s="2" t="str">
        <x:v>专业供给</x:v>
      </x:c>
      <x:c r="L101" s="15" t="str">
        <x:v>食品/补剂或耗材需独立供应链</x:v>
      </x:c>
      <x:c r="M101" s="2" t="str">
        <x:f>IF(AND(C101&gt;='核验与方法'!$B$7,F101&gt;='核验与方法'!$B$8,G101&gt;='核验与方法'!$B$9,D101&gt;='核验与方法'!$B$10,E101&gt;='核验与方法'!$B$11),"通过需求门槛","未通过需求门槛")</x:f>
        <x:v>通过需求门槛</x:v>
      </x:c>
      <x:c r="N101" s="2" t="str">
        <x:v>先核验风险标签</x:v>
      </x:c>
      <x:c r="O101" s="9" t="n">
        <x:f>G101-'原始数据'!J98</x:f>
        <x:v>0.000019929804969454068</x:v>
      </x:c>
      <x:c r="P101" s="2" t="str">
        <x:v>DATA HOLD</x:v>
      </x:c>
    </x:row>
    <x:row r="102" ht="48" customHeight="1">
      <x:c r="A102" s="2" t="n">
        <x:v>97</x:v>
      </x:c>
      <x:c r="B102" s="2" t="str">
        <x:v>strawberries fresh</x:v>
      </x:c>
      <x:c r="C102" s="10" t="n">
        <x:f>'原始数据'!D99</x:f>
        <x:v>300279</x:v>
      </x:c>
      <x:c r="D102" s="9" t="n">
        <x:f>IF(ISNUMBER('原始数据'!E99),'原始数据'!E99,VALUE(SUBSTITUTE('原始数据'!E99,"'","")))</x:f>
        <x:v>0.2158</x:v>
      </x:c>
      <x:c r="E102" s="9" t="n">
        <x:f>IF(ISNUMBER('原始数据'!H99),'原始数据'!H99,VALUE(SUBSTITUTE('原始数据'!H99,"'","")))</x:f>
        <x:v>0.0586</x:v>
      </x:c>
      <x:c r="F102" s="10" t="n">
        <x:f>'原始数据'!L99</x:f>
        <x:v>56985</x:v>
      </x:c>
      <x:c r="G102" s="9" t="n">
        <x:f>F102/'原始数据'!G99</x:f>
        <x:v>0.44488597771861754</x:v>
      </x:c>
      <x:c r="H102" s="9" t="n">
        <x:f>'原始数据'!P99/'原始数据'!O99</x:f>
        <x:v>0.5445322155946047</x:v>
      </x:c>
      <x:c r="I102" s="9" t="n">
        <x:f>F102/C102</x:f>
        <x:v>0.18977351063510936</x:v>
      </x:c>
      <x:c r="J102" s="9" t="n">
        <x:f>'原始数据'!G99/'原始数据'!F99</x:f>
        <x:v>0.023071155139194416</x:v>
      </x:c>
      <x:c r="K102" s="2" t="str">
        <x:v>专业供给</x:v>
      </x:c>
      <x:c r="L102" s="15" t="str">
        <x:v>食品/补剂或耗材需独立供应链</x:v>
      </x:c>
      <x:c r="M102" s="2" t="str">
        <x:f>IF(AND(C102&gt;='核验与方法'!$B$7,F102&gt;='核验与方法'!$B$8,G102&gt;='核验与方法'!$B$9,D102&gt;='核验与方法'!$B$10,E102&gt;='核验与方法'!$B$11),"通过需求门槛","未通过需求门槛")</x:f>
        <x:v>通过需求门槛</x:v>
      </x:c>
      <x:c r="N102" s="2" t="str">
        <x:v>先核验风险标签</x:v>
      </x:c>
      <x:c r="O102" s="9" t="n">
        <x:f>G102-'原始数据'!J99</x:f>
        <x:v>0.0000859777186175692</x:v>
      </x:c>
      <x:c r="P102" s="2" t="str">
        <x:v>DATA HOLD</x:v>
      </x:c>
    </x:row>
    <x:row r="103" ht="48" customHeight="1">
      <x:c r="A103" s="2" t="n">
        <x:v>98</x:v>
      </x:c>
      <x:c r="B103" s="2" t="str">
        <x:v>half and half</x:v>
      </x:c>
      <x:c r="C103" s="10" t="n">
        <x:f>'原始数据'!D100</x:f>
        <x:v>299774</x:v>
      </x:c>
      <x:c r="D103" s="9" t="n">
        <x:f>IF(ISNUMBER('原始数据'!E100),'原始数据'!E100,VALUE(SUBSTITUTE('原始数据'!E100,"'","")))</x:f>
        <x:v>0.1302</x:v>
      </x:c>
      <x:c r="E103" s="9" t="n">
        <x:f>IF(ISNUMBER('原始数据'!H100),'原始数据'!H100,VALUE(SUBSTITUTE('原始数据'!H100,"'","")))</x:f>
        <x:v>0.0817</x:v>
      </x:c>
      <x:c r="F103" s="10" t="n">
        <x:f>'原始数据'!L100</x:f>
        <x:v>61387</x:v>
      </x:c>
      <x:c r="G103" s="9" t="n">
        <x:f>F103/'原始数据'!G100</x:f>
        <x:v>0.44513331448004817</x:v>
      </x:c>
      <x:c r="H103" s="9" t="n">
        <x:f>'原始数据'!P100/'原始数据'!O100</x:f>
        <x:v>0.5779401660197961</x:v>
      </x:c>
      <x:c r="I103" s="9" t="n">
        <x:f>F103/C103</x:f>
        <x:v>0.20477759912467391</x:v>
      </x:c>
      <x:c r="J103" s="9" t="n">
        <x:f>'原始数据'!G100/'原始数据'!F100</x:f>
        <x:v>0.020557489627118886</x:v>
      </x:c>
      <x:c r="K103" s="2" t="str">
        <x:v>专业供给</x:v>
      </x:c>
      <x:c r="L103" s="15" t="str">
        <x:v>食品/补剂或耗材需独立供应链</x:v>
      </x:c>
      <x:c r="M103" s="2" t="str">
        <x:f>IF(AND(C103&gt;='核验与方法'!$B$7,F103&gt;='核验与方法'!$B$8,G103&gt;='核验与方法'!$B$9,D103&gt;='核验与方法'!$B$10,E103&gt;='核验与方法'!$B$11),"通过需求门槛","未通过需求门槛")</x:f>
        <x:v>通过需求门槛</x:v>
      </x:c>
      <x:c r="N103" s="2" t="str">
        <x:v>先核验风险标签</x:v>
      </x:c>
      <x:c r="O103" s="9" t="n">
        <x:f>G103-'原始数据'!J100</x:f>
        <x:v>0.00003331448004817439</x:v>
      </x:c>
      <x:c r="P103" s="2" t="str">
        <x:v>DATA HOLD</x:v>
      </x:c>
    </x:row>
    <x:row r="104" ht="48" customHeight="1">
      <x:c r="A104" s="2" t="n">
        <x:v>99</x:v>
      </x:c>
      <x:c r="B104" s="2" t="str">
        <x:v>beans</x:v>
      </x:c>
      <x:c r="C104" s="10" t="n">
        <x:f>'原始数据'!D101</x:f>
        <x:v>298726</x:v>
      </x:c>
      <x:c r="D104" s="9" t="n">
        <x:f>IF(ISNUMBER('原始数据'!E101),'原始数据'!E101,VALUE(SUBSTITUTE('原始数据'!E101,"'","")))</x:f>
        <x:v>0.2325</x:v>
      </x:c>
      <x:c r="E104" s="9" t="n">
        <x:f>IF(ISNUMBER('原始数据'!H101),'原始数据'!H101,VALUE(SUBSTITUTE('原始数据'!H101,"'","")))</x:f>
        <x:v>0.2089</x:v>
      </x:c>
      <x:c r="F104" s="10" t="n">
        <x:f>'原始数据'!L101</x:f>
        <x:v>31335</x:v>
      </x:c>
      <x:c r="G104" s="9" t="n">
        <x:f>F104/'原始数据'!G101</x:f>
        <x:v>0.25908042365664297</x:v>
      </x:c>
      <x:c r="H104" s="9" t="n">
        <x:f>'原始数据'!P101/'原始数据'!O101</x:f>
        <x:v>0.3747760908505939</x:v>
      </x:c>
      <x:c r="I104" s="9" t="n">
        <x:f>F104/C104</x:f>
        <x:v>0.10489545603663558</x:v>
      </x:c>
      <x:c r="J104" s="9" t="n">
        <x:f>'原始数据'!G101/'原始数据'!F101</x:f>
        <x:v>0.02220043219871229</x:v>
      </x:c>
      <x:c r="K104" s="2" t="str">
        <x:v>专业供给</x:v>
      </x:c>
      <x:c r="L104" s="15" t="str">
        <x:v>食品/补剂或耗材需独立供应链</x:v>
      </x:c>
      <x:c r="M104" s="2" t="str">
        <x:f>IF(AND(C104&gt;='核验与方法'!$B$7,F104&gt;='核验与方法'!$B$8,G104&gt;='核验与方法'!$B$9,D104&gt;='核验与方法'!$B$10,E104&gt;='核验与方法'!$B$11),"通过需求门槛","未通过需求门槛")</x:f>
        <x:v>通过需求门槛</x:v>
      </x:c>
      <x:c r="N104" s="2" t="str">
        <x:v>先核验风险标签</x:v>
      </x:c>
      <x:c r="O104" s="9" t="n">
        <x:f>G104-'原始数据'!J101</x:f>
        <x:v>0.00008042365664295836</x:v>
      </x:c>
      <x:c r="P104" s="2" t="str">
        <x:v>DATA HOLD</x:v>
      </x:c>
    </x:row>
    <x:row r="105" ht="48" customHeight="1">
      <x:c r="A105" s="2" t="n">
        <x:v>100</x:v>
      </x:c>
      <x:c r="B105" s="2" t="str">
        <x:v>bubble wrap</x:v>
      </x:c>
      <x:c r="C105" s="10" t="n">
        <x:f>'原始数据'!D102</x:f>
        <x:v>294727</x:v>
      </x:c>
      <x:c r="D105" s="9" t="n">
        <x:f>IF(ISNUMBER('原始数据'!E102),'原始数据'!E102,VALUE(SUBSTITUTE('原始数据'!E102,"'","")))</x:f>
        <x:v>-0.0072</x:v>
      </x:c>
      <x:c r="E105" s="9" t="n">
        <x:f>IF(ISNUMBER('原始数据'!H102),'原始数据'!H102,VALUE(SUBSTITUTE('原始数据'!H102,"'","")))</x:f>
        <x:v>-0.0057</x:v>
      </x:c>
      <x:c r="F105" s="10" t="n">
        <x:f>'原始数据'!L102</x:f>
        <x:v>45495</x:v>
      </x:c>
      <x:c r="G105" s="9" t="n">
        <x:f>F105/'原始数据'!G102</x:f>
        <x:v>0.29993275493789723</x:v>
      </x:c>
      <x:c r="H105" s="9" t="n">
        <x:f>'原始数据'!P102/'原始数据'!O102</x:f>
        <x:v>0.5350865492155675</x:v>
      </x:c>
      <x:c r="I105" s="9" t="n">
        <x:f>F105/C105</x:f>
        <x:v>0.15436319034224893</x:v>
      </x:c>
      <x:c r="J105" s="9" t="n">
        <x:f>'原始数据'!G102/'原始数据'!F102</x:f>
        <x:v>0.012042466995634563</x:v>
      </x:c>
      <x:c r="K105" s="2" t="str">
        <x:v>待拆分产品市场</x:v>
      </x:c>
      <x:c r="L105" s="15" t="str">
        <x:v>暂无自动识别标签，仍需核验</x:v>
      </x:c>
      <x:c r="M105" s="2" t="str">
        <x:f>IF(AND(C105&gt;='核验与方法'!$B$7,F105&gt;='核验与方法'!$B$8,G105&gt;='核验与方法'!$B$9,D105&gt;='核验与方法'!$B$10,E105&gt;='核验与方法'!$B$11),"通过需求门槛","未通过需求门槛")</x:f>
        <x:v>未通过需求门槛</x:v>
      </x:c>
      <x:c r="N105" s="2" t="str">
        <x:v>待确认具体产品形态</x:v>
      </x:c>
      <x:c r="O105" s="9" t="n">
        <x:f>G105-'原始数据'!J102</x:f>
        <x:v>0.000032754937897228054</x:v>
      </x:c>
      <x:c r="P105" s="2" t="str">
        <x:v>DATA HOLD</x:v>
      </x:c>
    </x:row>
    <x:row r="106" ht="48" customHeight="1">
      <x:c r="A106" s="2" t="n">
        <x:v>101</x:v>
      </x:c>
      <x:c r="B106" s="2" t="str">
        <x:v>soursop bitters liquid</x:v>
      </x:c>
      <x:c r="C106" s="10" t="n">
        <x:f>'原始数据'!D103</x:f>
        <x:v>292757</x:v>
      </x:c>
      <x:c r="D106" s="9" t="n">
        <x:f>IF(ISNUMBER('原始数据'!E103),'原始数据'!E103,VALUE(SUBSTITUTE('原始数据'!E103,"'","")))</x:f>
        <x:v>-0.0351</x:v>
      </x:c>
      <x:c r="E106" s="9" t="n">
        <x:f>IF(ISNUMBER('原始数据'!H103),'原始数据'!H103,VALUE(SUBSTITUTE('原始数据'!H103,"'","")))</x:f>
        <x:v>-0.0072</x:v>
      </x:c>
      <x:c r="F106" s="10" t="n">
        <x:f>'原始数据'!L103</x:f>
        <x:v>15124</x:v>
      </x:c>
      <x:c r="G106" s="9" t="n">
        <x:f>F106/'原始数据'!G103</x:f>
        <x:v>0.12053397091053995</x:v>
      </x:c>
      <x:c r="H106" s="9" t="n">
        <x:f>'原始数据'!P103/'原始数据'!O103</x:f>
        <x:v>0.2048858359133127</x:v>
      </x:c>
      <x:c r="I106" s="9" t="n">
        <x:f>F106/C106</x:f>
        <x:v>0.051660592231782675</x:v>
      </x:c>
      <x:c r="J106" s="9" t="n">
        <x:f>'原始数据'!G103/'原始数据'!F103</x:f>
        <x:v>0.012887840811362376</x:v>
      </x:c>
      <x:c r="K106" s="2" t="str">
        <x:v>专业供给</x:v>
      </x:c>
      <x:c r="L106" s="15" t="str">
        <x:v>食品/补剂或耗材需独立供应链</x:v>
      </x:c>
      <x:c r="M106" s="2" t="str">
        <x:f>IF(AND(C106&gt;='核验与方法'!$B$7,F106&gt;='核验与方法'!$B$8,G106&gt;='核验与方法'!$B$9,D106&gt;='核验与方法'!$B$10,E106&gt;='核验与方法'!$B$11),"通过需求门槛","未通过需求门槛")</x:f>
        <x:v>未通过需求门槛</x:v>
      </x:c>
      <x:c r="N106" s="2" t="str">
        <x:v>先核验风险标签</x:v>
      </x:c>
      <x:c r="O106" s="9" t="n">
        <x:f>G106-'原始数据'!J103</x:f>
        <x:v>0.000033970910539957155</x:v>
      </x:c>
      <x:c r="P106" s="2" t="str">
        <x:v>DATA HOLD</x:v>
      </x:c>
    </x:row>
    <x:row r="107" ht="48" customHeight="1">
      <x:c r="A107" s="2" t="n">
        <x:v>102</x:v>
      </x:c>
      <x:c r="B107" s="2" t="str">
        <x:v>burgundy tops for women</x:v>
      </x:c>
      <x:c r="C107" s="10" t="n">
        <x:f>'原始数据'!D104</x:f>
        <x:v>290618</x:v>
      </x:c>
      <x:c r="D107" s="9" t="n">
        <x:f>IF(ISNUMBER('原始数据'!E104),'原始数据'!E104,VALUE(SUBSTITUTE('原始数据'!E104,"'","")))</x:f>
        <x:v>0.7634</x:v>
      </x:c>
      <x:c r="E107" s="9" t="n">
        <x:f>IF(ISNUMBER('原始数据'!H104),'原始数据'!H104,VALUE(SUBSTITUTE('原始数据'!H104,"'","")))</x:f>
        <x:v>0.8551</x:v>
      </x:c>
      <x:c r="F107" s="10" t="n">
        <x:f>'原始数据'!L104</x:f>
        <x:v>1888</x:v>
      </x:c>
      <x:c r="G107" s="9" t="n">
        <x:f>F107/'原始数据'!G104</x:f>
        <x:v>0.02457789291432886</x:v>
      </x:c>
      <x:c r="H107" s="9" t="n">
        <x:f>'原始数据'!P104/'原始数据'!O104</x:f>
        <x:v>0.14875787912495364</x:v>
      </x:c>
      <x:c r="I107" s="9" t="n">
        <x:f>F107/C107</x:f>
        <x:v>0.006496500560873724</x:v>
      </x:c>
      <x:c r="J107" s="9" t="n">
        <x:f>'原始数据'!G104/'原始数据'!F104</x:f>
        <x:v>0.010617992103786701</x:v>
      </x:c>
      <x:c r="K107" s="2" t="str">
        <x:v>待拆分产品市场</x:v>
      </x:c>
      <x:c r="L107" s="15" t="str">
        <x:v>尺码/颜色变体及退货待核验</x:v>
      </x:c>
      <x:c r="M107" s="2" t="str">
        <x:f>IF(AND(C107&gt;='核验与方法'!$B$7,F107&gt;='核验与方法'!$B$8,G107&gt;='核验与方法'!$B$9,D107&gt;='核验与方法'!$B$10,E107&gt;='核验与方法'!$B$11),"通过需求门槛","未通过需求门槛")</x:f>
        <x:v>未通过需求门槛</x:v>
      </x:c>
      <x:c r="N107" s="2" t="str">
        <x:v>先核验风险标签</x:v>
      </x:c>
      <x:c r="O107" s="9" t="n">
        <x:f>G107-'原始数据'!J104</x:f>
        <x:v>0.0000778929143288587</x:v>
      </x:c>
      <x:c r="P107" s="2" t="str">
        <x:v>DATA HOLD</x:v>
      </x:c>
    </x:row>
    <x:row r="108" ht="48" customHeight="1">
      <x:c r="A108" s="2" t="n">
        <x:v>103</x:v>
      </x:c>
      <x:c r="B108" s="2" t="str">
        <x:v>tape</x:v>
      </x:c>
      <x:c r="C108" s="10" t="n">
        <x:f>'原始数据'!D105</x:f>
        <x:v>290126</x:v>
      </x:c>
      <x:c r="D108" s="9" t="n">
        <x:f>IF(ISNUMBER('原始数据'!E105),'原始数据'!E105,VALUE(SUBSTITUTE('原始数据'!E105,"'","")))</x:f>
        <x:v>-0.1074</x:v>
      </x:c>
      <x:c r="E108" s="9" t="n">
        <x:f>IF(ISNUMBER('原始数据'!H105),'原始数据'!H105,VALUE(SUBSTITUTE('原始数据'!H105,"'","")))</x:f>
        <x:v>-0.1047</x:v>
      </x:c>
      <x:c r="F108" s="10" t="n">
        <x:f>'原始数据'!L105</x:f>
        <x:v>51019</x:v>
      </x:c>
      <x:c r="G108" s="9" t="n">
        <x:f>F108/'原始数据'!G105</x:f>
        <x:v>0.39988243132029627</x:v>
      </x:c>
      <x:c r="H108" s="9" t="n">
        <x:f>'原始数据'!P105/'原始数据'!O105</x:f>
        <x:v>0.5282910832335641</x:v>
      </x:c>
      <x:c r="I108" s="9" t="n">
        <x:f>F108/C108</x:f>
        <x:v>0.17585118190027782</x:v>
      </x:c>
      <x:c r="J108" s="9" t="n">
        <x:f>'原始数据'!G105/'原始数据'!F105</x:f>
        <x:v>0.012755677168642579</x:v>
      </x:c>
      <x:c r="K108" s="2" t="str">
        <x:v>待拆分产品市场</x:v>
      </x:c>
      <x:c r="L108" s="15" t="str">
        <x:v>暂无自动识别标签，仍需核验</x:v>
      </x:c>
      <x:c r="M108" s="2" t="str">
        <x:f>IF(AND(C108&gt;='核验与方法'!$B$7,F108&gt;='核验与方法'!$B$8,G108&gt;='核验与方法'!$B$9,D108&gt;='核验与方法'!$B$10,E108&gt;='核验与方法'!$B$11),"通过需求门槛","未通过需求门槛")</x:f>
        <x:v>未通过需求门槛</x:v>
      </x:c>
      <x:c r="N108" s="2" t="str">
        <x:v>待确认具体产品形态</x:v>
      </x:c>
      <x:c r="O108" s="9" t="n">
        <x:f>G108-'原始数据'!J105</x:f>
        <x:v>0.00008243132029628342</x:v>
      </x:c>
      <x:c r="P108" s="2" t="str">
        <x:v>DATA HOLD</x:v>
      </x:c>
    </x:row>
    <x:row r="109" ht="48" customHeight="1">
      <x:c r="A109" s="2" t="n">
        <x:v>104</x:v>
      </x:c>
      <x:c r="B109" s="2" t="str">
        <x:v>spinach</x:v>
      </x:c>
      <x:c r="C109" s="10" t="n">
        <x:f>'原始数据'!D106</x:f>
        <x:v>288749</x:v>
      </x:c>
      <x:c r="D109" s="9" t="n">
        <x:f>IF(ISNUMBER('原始数据'!E106),'原始数据'!E106,VALUE(SUBSTITUTE('原始数据'!E106,"'","")))</x:f>
        <x:v>0.1132</x:v>
      </x:c>
      <x:c r="E109" s="9" t="n">
        <x:f>IF(ISNUMBER('原始数据'!H106),'原始数据'!H106,VALUE(SUBSTITUTE('原始数据'!H106,"'","")))</x:f>
        <x:v>0.0887</x:v>
      </x:c>
      <x:c r="F109" s="10" t="n">
        <x:f>'原始数据'!L106</x:f>
        <x:v>90067</x:v>
      </x:c>
      <x:c r="G109" s="9" t="n">
        <x:f>F109/'原始数据'!G106</x:f>
        <x:v>0.5216739067477556</x:v>
      </x:c>
      <x:c r="H109" s="9" t="n">
        <x:f>'原始数据'!P106/'原始数据'!O106</x:f>
        <x:v>0.628539761706844</x:v>
      </x:c>
      <x:c r="I109" s="9" t="n">
        <x:f>F109/C109</x:f>
        <x:v>0.31192142656771105</x:v>
      </x:c>
      <x:c r="J109" s="9" t="n">
        <x:f>'原始数据'!G106/'原始数据'!F106</x:f>
        <x:v>0.027343096711416538</x:v>
      </x:c>
      <x:c r="K109" s="2" t="str">
        <x:v>专业供给</x:v>
      </x:c>
      <x:c r="L109" s="15" t="str">
        <x:v>食品/补剂或耗材需独立供应链</x:v>
      </x:c>
      <x:c r="M109" s="2" t="str">
        <x:f>IF(AND(C109&gt;='核验与方法'!$B$7,F109&gt;='核验与方法'!$B$8,G109&gt;='核验与方法'!$B$9,D109&gt;='核验与方法'!$B$10,E109&gt;='核验与方法'!$B$11),"通过需求门槛","未通过需求门槛")</x:f>
        <x:v>通过需求门槛</x:v>
      </x:c>
      <x:c r="N109" s="2" t="str">
        <x:v>先核验风险标签</x:v>
      </x:c>
      <x:c r="O109" s="9" t="n">
        <x:f>G109-'原始数据'!J106</x:f>
        <x:v>0.00007390674775564765</x:v>
      </x:c>
      <x:c r="P109" s="2" t="str">
        <x:v>DATA HOLD</x:v>
      </x:c>
    </x:row>
    <x:row r="110" ht="48" customHeight="1">
      <x:c r="A110" s="2" t="n">
        <x:v>105</x:v>
      </x:c>
      <x:c r="B110" s="2" t="str">
        <x:v>going out outfits for women</x:v>
      </x:c>
      <x:c r="C110" s="10" t="n">
        <x:f>'原始数据'!D107</x:f>
        <x:v>288553</x:v>
      </x:c>
      <x:c r="D110" s="9" t="n">
        <x:f>IF(ISNUMBER('原始数据'!E107),'原始数据'!E107,VALUE(SUBSTITUTE('原始数据'!E107,"'","")))</x:f>
        <x:v>0.1552</x:v>
      </x:c>
      <x:c r="E110" s="9" t="n">
        <x:f>IF(ISNUMBER('原始数据'!H107),'原始数据'!H107,VALUE(SUBSTITUTE('原始数据'!H107,"'","")))</x:f>
        <x:v>0.1568</x:v>
      </x:c>
      <x:c r="F110" s="10" t="n">
        <x:f>'原始数据'!L107</x:f>
        <x:v>542</x:v>
      </x:c>
      <x:c r="G110" s="9" t="n">
        <x:f>F110/'原始数据'!G107</x:f>
        <x:v>0.008191642106854077</x:v>
      </x:c>
      <x:c r="H110" s="9" t="n">
        <x:f>'原始数据'!P107/'原始数据'!O107</x:f>
        <x:v>0.07036640714364784</x:v>
      </x:c>
      <x:c r="I110" s="9" t="n">
        <x:f>F110/C110</x:f>
        <x:v>0.0018783377750361285</x:v>
      </x:c>
      <x:c r="J110" s="9" t="n">
        <x:f>'原始数据'!G107/'原始数据'!F107</x:f>
        <x:v>0.007204938102215057</x:v>
      </x:c>
      <x:c r="K110" s="2" t="str">
        <x:v>待拆分产品市场</x:v>
      </x:c>
      <x:c r="L110" s="15" t="str">
        <x:v>尺码/颜色变体及退货待核验</x:v>
      </x:c>
      <x:c r="M110" s="2" t="str">
        <x:f>IF(AND(C110&gt;='核验与方法'!$B$7,F110&gt;='核验与方法'!$B$8,G110&gt;='核验与方法'!$B$9,D110&gt;='核验与方法'!$B$10,E110&gt;='核验与方法'!$B$11),"通过需求门槛","未通过需求门槛")</x:f>
        <x:v>未通过需求门槛</x:v>
      </x:c>
      <x:c r="N110" s="2" t="str">
        <x:v>先核验风险标签</x:v>
      </x:c>
      <x:c r="O110" s="9" t="n">
        <x:f>G110-'原始数据'!J107</x:f>
        <x:v>0.00009164210685407709</x:v>
      </x:c>
      <x:c r="P110" s="2" t="str">
        <x:v>DATA HOLD</x:v>
      </x:c>
    </x:row>
    <x:row r="111" ht="48" customHeight="1">
      <x:c r="A111" s="2" t="n">
        <x:v>106</x:v>
      </x:c>
      <x:c r="B111" s="2" t="str">
        <x:v>lime</x:v>
      </x:c>
      <x:c r="C111" s="10" t="n">
        <x:f>'原始数据'!D108</x:f>
        <x:v>284723</x:v>
      </x:c>
      <x:c r="D111" s="9" t="n">
        <x:f>IF(ISNUMBER('原始数据'!E108),'原始数据'!E108,VALUE(SUBSTITUTE('原始数据'!E108,"'","")))</x:f>
        <x:v>0.0543</x:v>
      </x:c>
      <x:c r="E111" s="9" t="n">
        <x:f>IF(ISNUMBER('原始数据'!H108),'原始数据'!H108,VALUE(SUBSTITUTE('原始数据'!H108,"'","")))</x:f>
        <x:v>0.0231</x:v>
      </x:c>
      <x:c r="F111" s="10" t="n">
        <x:f>'原始数据'!L108</x:f>
        <x:v>53967</x:v>
      </x:c>
      <x:c r="G111" s="9" t="n">
        <x:f>F111/'原始数据'!G108</x:f>
        <x:v>0.3124392107822704</x:v>
      </x:c>
      <x:c r="H111" s="9" t="n">
        <x:f>'原始数据'!P108/'原始数据'!O108</x:f>
        <x:v>0.3691149017519775</x:v>
      </x:c>
      <x:c r="I111" s="9" t="n">
        <x:f>F111/C111</x:f>
        <x:v>0.18954211637275528</x:v>
      </x:c>
      <x:c r="J111" s="9" t="n">
        <x:f>'原始数据'!G108/'原始数据'!F108</x:f>
        <x:v>0.027882515315140802</x:v>
      </x:c>
      <x:c r="K111" s="2" t="str">
        <x:v>专业供给</x:v>
      </x:c>
      <x:c r="L111" s="15" t="str">
        <x:v>食品/补剂或耗材需独立供应链</x:v>
      </x:c>
      <x:c r="M111" s="2" t="str">
        <x:f>IF(AND(C111&gt;='核验与方法'!$B$7,F111&gt;='核验与方法'!$B$8,G111&gt;='核验与方法'!$B$9,D111&gt;='核验与方法'!$B$10,E111&gt;='核验与方法'!$B$11),"通过需求门槛","未通过需求门槛")</x:f>
        <x:v>通过需求门槛</x:v>
      </x:c>
      <x:c r="N111" s="2" t="str">
        <x:v>先核验风险标签</x:v>
      </x:c>
      <x:c r="O111" s="9" t="n">
        <x:f>G111-'原始数据'!J108</x:f>
        <x:v>0.000039210782270371336</x:v>
      </x:c>
      <x:c r="P111" s="2" t="str">
        <x:v>DATA HOLD</x:v>
      </x:c>
    </x:row>
    <x:row r="112" ht="48" customHeight="1">
      <x:c r="A112" s="2" t="n">
        <x:v>107</x:v>
      </x:c>
      <x:c r="B112" s="2" t="str">
        <x:v>plantar fasciitis relief</x:v>
      </x:c>
      <x:c r="C112" s="10" t="n">
        <x:f>'原始数据'!D109</x:f>
        <x:v>283407</x:v>
      </x:c>
      <x:c r="D112" s="9" t="n">
        <x:f>IF(ISNUMBER('原始数据'!E109),'原始数据'!E109,VALUE(SUBSTITUTE('原始数据'!E109,"'","")))</x:f>
        <x:v>-0.1526</x:v>
      </x:c>
      <x:c r="E112" s="9" t="n">
        <x:f>IF(ISNUMBER('原始数据'!H109),'原始数据'!H109,VALUE(SUBSTITUTE('原始数据'!H109,"'","")))</x:f>
        <x:v>-0.1222</x:v>
      </x:c>
      <x:c r="F112" s="10" t="n">
        <x:f>'原始数据'!L109</x:f>
        <x:v>15993</x:v>
      </x:c>
      <x:c r="G112" s="9" t="n">
        <x:f>F112/'原始数据'!G109</x:f>
        <x:v>0.13281237024365128</x:v>
      </x:c>
      <x:c r="H112" s="9" t="n">
        <x:f>'原始数据'!P109/'原始数据'!O109</x:f>
        <x:v>0.3260711173336</x:v>
      </x:c>
      <x:c r="I112" s="9" t="n">
        <x:f>F112/C112</x:f>
        <x:v>0.056431210238279225</x:v>
      </x:c>
      <x:c r="J112" s="9" t="n">
        <x:f>'原始数据'!G109/'原始数据'!F109</x:f>
        <x:v>0.010300421989003291</x:v>
      </x:c>
      <x:c r="K112" s="2" t="str">
        <x:v>待拆分产品市场</x:v>
      </x:c>
      <x:c r="L112" s="15" t="str">
        <x:v>专业类目适配与规则待核验</x:v>
      </x:c>
      <x:c r="M112" s="2" t="str">
        <x:f>IF(AND(C112&gt;='核验与方法'!$B$7,F112&gt;='核验与方法'!$B$8,G112&gt;='核验与方法'!$B$9,D112&gt;='核验与方法'!$B$10,E112&gt;='核验与方法'!$B$11),"通过需求门槛","未通过需求门槛")</x:f>
        <x:v>未通过需求门槛</x:v>
      </x:c>
      <x:c r="N112" s="2" t="str">
        <x:v>先核验风险标签</x:v>
      </x:c>
      <x:c r="O112" s="9" t="n">
        <x:f>G112-'原始数据'!J109</x:f>
        <x:v>0.000012370243651277368</x:v>
      </x:c>
      <x:c r="P112" s="2" t="str">
        <x:v>DATA HOLD</x:v>
      </x:c>
    </x:row>
    <x:row r="113" ht="48" customHeight="1">
      <x:c r="A113" s="2" t="n">
        <x:v>108</x:v>
      </x:c>
      <x:c r="B113" s="2" t="str">
        <x:v>mushrooms</x:v>
      </x:c>
      <x:c r="C113" s="10" t="n">
        <x:f>'原始数据'!D110</x:f>
        <x:v>282585</x:v>
      </x:c>
      <x:c r="D113" s="9" t="n">
        <x:f>IF(ISNUMBER('原始数据'!E110),'原始数据'!E110,VALUE(SUBSTITUTE('原始数据'!E110,"'","")))</x:f>
        <x:v>0.1019</x:v>
      </x:c>
      <x:c r="E113" s="9" t="n">
        <x:f>IF(ISNUMBER('原始数据'!H110),'原始数据'!H110,VALUE(SUBSTITUTE('原始数据'!H110,"'","")))</x:f>
        <x:v>0.0643</x:v>
      </x:c>
      <x:c r="F113" s="10" t="n">
        <x:f>'原始数据'!L110</x:f>
        <x:v>64694</x:v>
      </x:c>
      <x:c r="G113" s="9" t="n">
        <x:f>F113/'原始数据'!G110</x:f>
        <x:v>0.44719251798958987</x:v>
      </x:c>
      <x:c r="H113" s="9" t="n">
        <x:f>'原始数据'!P110/'原始数据'!O110</x:f>
        <x:v>0.561458971888957</x:v>
      </x:c>
      <x:c r="I113" s="9" t="n">
        <x:f>F113/C113</x:f>
        <x:v>0.2289364262080436</x:v>
      </x:c>
      <x:c r="J113" s="9" t="n">
        <x:f>'原始数据'!G110/'原始数据'!F110</x:f>
        <x:v>0.023415886552557105</x:v>
      </x:c>
      <x:c r="K113" s="2" t="str">
        <x:v>专业供给</x:v>
      </x:c>
      <x:c r="L113" s="15" t="str">
        <x:v>食品/补剂或耗材需独立供应链</x:v>
      </x:c>
      <x:c r="M113" s="2" t="str">
        <x:f>IF(AND(C113&gt;='核验与方法'!$B$7,F113&gt;='核验与方法'!$B$8,G113&gt;='核验与方法'!$B$9,D113&gt;='核验与方法'!$B$10,E113&gt;='核验与方法'!$B$11),"通过需求门槛","未通过需求门槛")</x:f>
        <x:v>通过需求门槛</x:v>
      </x:c>
      <x:c r="N113" s="2" t="str">
        <x:v>先核验风险标签</x:v>
      </x:c>
      <x:c r="O113" s="9" t="n">
        <x:f>G113-'原始数据'!J110</x:f>
        <x:v>0.00009251798958986868</x:v>
      </x:c>
      <x:c r="P113" s="2" t="str">
        <x:v>DATA HOLD</x:v>
      </x:c>
    </x:row>
    <x:row r="114" ht="48" customHeight="1">
      <x:c r="A114" s="2" t="n">
        <x:v>109</x:v>
      </x:c>
      <x:c r="B114" s="2" t="str">
        <x:v>green lantern ring</x:v>
      </x:c>
      <x:c r="C114" s="10" t="n">
        <x:f>'原始数据'!D111</x:f>
        <x:v>279770</x:v>
      </x:c>
      <x:c r="D114" s="9" t="n">
        <x:f>IF(ISNUMBER('原始数据'!E111),'原始数据'!E111,VALUE(SUBSTITUTE('原始数据'!E111,"'","")))</x:f>
        <x:v>3.2698</x:v>
      </x:c>
      <x:c r="E114" s="9" t="n">
        <x:f>IF(ISNUMBER('原始数据'!H111),'原始数据'!H111,VALUE(SUBSTITUTE('原始数据'!H111,"'","")))</x:f>
        <x:v>2.6662</x:v>
      </x:c>
      <x:c r="F114" s="10" t="n">
        <x:f>'原始数据'!L111</x:f>
        <x:v>670</x:v>
      </x:c>
      <x:c r="G114" s="9" t="n">
        <x:f>F114/'原始数据'!G111</x:f>
        <x:v>0.007104456721134168</x:v>
      </x:c>
      <x:c r="H114" s="9" t="n">
        <x:f>'原始数据'!P111/'原始数据'!O111</x:f>
        <x:v>0.03489304812834225</x:v>
      </x:c>
      <x:c r="I114" s="9" t="n">
        <x:f>F114/C114</x:f>
        <x:v>0.002394824319977124</x:v>
      </x:c>
      <x:c r="J114" s="9" t="n">
        <x:f>'原始数据'!G111/'原始数据'!F111</x:f>
        <x:v>0.03184175518445238</x:v>
      </x:c>
      <x:c r="K114" s="2" t="str">
        <x:v>待拆分产品市场</x:v>
      </x:c>
      <x:c r="L114" s="15" t="str">
        <x:v>品牌或IP需核验</x:v>
      </x:c>
      <x:c r="M114" s="2" t="str">
        <x:f>IF(AND(C114&gt;='核验与方法'!$B$7,F114&gt;='核验与方法'!$B$8,G114&gt;='核验与方法'!$B$9,D114&gt;='核验与方法'!$B$10,E114&gt;='核验与方法'!$B$11),"通过需求门槛","未通过需求门槛")</x:f>
        <x:v>未通过需求门槛</x:v>
      </x:c>
      <x:c r="N114" s="2" t="str">
        <x:v>先核验风险标签</x:v>
      </x:c>
      <x:c r="O114" s="9" t="n">
        <x:f>G114-'原始数据'!J111</x:f>
        <x:v>0.00000445672113416791</x:v>
      </x:c>
      <x:c r="P114" s="2" t="str">
        <x:v>DATA HOLD</x:v>
      </x:c>
    </x:row>
    <x:row r="115" ht="48" customHeight="1">
      <x:c r="A115" s="2" t="n">
        <x:v>110</x:v>
      </x:c>
      <x:c r="B115" s="2" t="str">
        <x:v>practical magic shirt</x:v>
      </x:c>
      <x:c r="C115" s="10" t="n">
        <x:f>'原始数据'!D112</x:f>
        <x:v>278961</x:v>
      </x:c>
      <x:c r="D115" s="9" t="n">
        <x:f>IF(ISNUMBER('原始数据'!E112),'原始数据'!E112,VALUE(SUBSTITUTE('原始数据'!E112,"'","")))</x:f>
        <x:v>3.1755</x:v>
      </x:c>
      <x:c r="E115" s="9" t="n">
        <x:f>IF(ISNUMBER('原始数据'!H112),'原始数据'!H112,VALUE(SUBSTITUTE('原始数据'!H112,"'","")))</x:f>
        <x:v>2.9628</x:v>
      </x:c>
      <x:c r="F115" s="10" t="n">
        <x:f>'原始数据'!L112</x:f>
        <x:v>3918</x:v>
      </x:c>
      <x:c r="G115" s="9" t="n">
        <x:f>F115/'原始数据'!G112</x:f>
        <x:v>0.030596706051400593</x:v>
      </x:c>
      <x:c r="H115" s="9" t="n">
        <x:f>'原始数据'!P112/'原始数据'!O112</x:f>
        <x:v>0.0987414118076245</x:v>
      </x:c>
      <x:c r="I115" s="9" t="n">
        <x:f>F115/C115</x:f>
        <x:v>0.014044974028627658</x:v>
      </x:c>
      <x:c r="J115" s="9" t="n">
        <x:f>'原始数据'!G112/'原始数据'!F112</x:f>
        <x:v>0.030210484644562687</x:v>
      </x:c>
      <x:c r="K115" s="2" t="str">
        <x:v>待拆分产品市场</x:v>
      </x:c>
      <x:c r="L115" s="15" t="str">
        <x:v>品牌或IP需核验；尺码/颜色变体及退货待核验</x:v>
      </x:c>
      <x:c r="M115" s="2" t="str">
        <x:f>IF(AND(C115&gt;='核验与方法'!$B$7,F115&gt;='核验与方法'!$B$8,G115&gt;='核验与方法'!$B$9,D115&gt;='核验与方法'!$B$10,E115&gt;='核验与方法'!$B$11),"通过需求门槛","未通过需求门槛")</x:f>
        <x:v>未通过需求门槛</x:v>
      </x:c>
      <x:c r="N115" s="2" t="str">
        <x:v>先核验风险标签</x:v>
      </x:c>
      <x:c r="O115" s="9" t="n">
        <x:f>G115-'原始数据'!J112</x:f>
        <x:v>0.00009670605140059407</x:v>
      </x:c>
      <x:c r="P115" s="2" t="str">
        <x:v>DATA HOLD</x:v>
      </x:c>
    </x:row>
    <x:row r="116" ht="48" customHeight="1">
      <x:c r="A116" s="2" t="n">
        <x:v>111</x:v>
      </x:c>
      <x:c r="B116" s="2" t="str">
        <x:v>fnaf</x:v>
      </x:c>
      <x:c r="C116" s="10" t="n">
        <x:f>'原始数据'!D113</x:f>
        <x:v>277560</x:v>
      </x:c>
      <x:c r="D116" s="9" t="n">
        <x:f>IF(ISNUMBER('原始数据'!E113),'原始数据'!E113,VALUE(SUBSTITUTE('原始数据'!E113,"'","")))</x:f>
        <x:v>-0.0608</x:v>
      </x:c>
      <x:c r="E116" s="9" t="n">
        <x:f>IF(ISNUMBER('原始数据'!H113),'原始数据'!H113,VALUE(SUBSTITUTE('原始数据'!H113,"'","")))</x:f>
        <x:v>-0.0401</x:v>
      </x:c>
      <x:c r="F116" s="10" t="n">
        <x:f>'原始数据'!L113</x:f>
        <x:v>1521</x:v>
      </x:c>
      <x:c r="G116" s="9" t="n">
        <x:f>F116/'原始数据'!G113</x:f>
        <x:v>0.016378966865166968</x:v>
      </x:c>
      <x:c r="H116" s="9" t="n">
        <x:f>'原始数据'!P113/'原始数据'!O113</x:f>
        <x:v>0.06773211567732115</x:v>
      </x:c>
      <x:c r="I116" s="9" t="n">
        <x:f>F116/C116</x:f>
        <x:v>0.005479896238651102</x:v>
      </x:c>
      <x:c r="J116" s="9" t="n">
        <x:f>'原始数据'!G113/'原始数据'!F113</x:f>
        <x:v>0.022891616160968763</x:v>
      </x:c>
      <x:c r="K116" s="2" t="str">
        <x:v>待拆分产品市场</x:v>
      </x:c>
      <x:c r="L116" s="15" t="str">
        <x:v>品牌或IP需核验</x:v>
      </x:c>
      <x:c r="M116" s="2" t="str">
        <x:f>IF(AND(C116&gt;='核验与方法'!$B$7,F116&gt;='核验与方法'!$B$8,G116&gt;='核验与方法'!$B$9,D116&gt;='核验与方法'!$B$10,E116&gt;='核验与方法'!$B$11),"通过需求门槛","未通过需求门槛")</x:f>
        <x:v>未通过需求门槛</x:v>
      </x:c>
      <x:c r="N116" s="2" t="str">
        <x:v>先核验风险标签</x:v>
      </x:c>
      <x:c r="O116" s="9" t="n">
        <x:f>G116-'原始数据'!J113</x:f>
        <x:v>0.00007896686516696907</x:v>
      </x:c>
      <x:c r="P116" s="2" t="str">
        <x:v>DATA HOLD</x:v>
      </x:c>
    </x:row>
    <x:row r="117" ht="48" customHeight="1">
      <x:c r="A117" s="2" t="n">
        <x:v>112</x:v>
      </x:c>
      <x:c r="B117" s="2" t="str">
        <x:v>cat in the hat costume</x:v>
      </x:c>
      <x:c r="C117" s="10" t="n">
        <x:f>'原始数据'!D114</x:f>
        <x:v>276581</x:v>
      </x:c>
      <x:c r="D117" s="9" t="n">
        <x:f>IF(ISNUMBER('原始数据'!E114),'原始数据'!E114,VALUE(SUBSTITUTE('原始数据'!E114,"'","")))</x:f>
        <x:v>8.1504</x:v>
      </x:c>
      <x:c r="E117" s="9" t="n">
        <x:f>IF(ISNUMBER('原始数据'!H114),'原始数据'!H114,VALUE(SUBSTITUTE('原始数据'!H114,"'","")))</x:f>
        <x:v>7.2521</x:v>
      </x:c>
      <x:c r="F117" s="10" t="n">
        <x:f>'原始数据'!L114</x:f>
        <x:v>994</x:v>
      </x:c>
      <x:c r="G117" s="9" t="n">
        <x:f>F117/'原始数据'!G114</x:f>
        <x:v>0.012726132100836033</x:v>
      </x:c>
      <x:c r="H117" s="9" t="n">
        <x:f>'原始数据'!P114/'原始数据'!O114</x:f>
        <x:v>0.056140350877192984</x:v>
      </x:c>
      <x:c r="I117" s="9" t="n">
        <x:f>F117/C117</x:f>
        <x:v>0.0035938838893488706</x:v>
      </x:c>
      <x:c r="J117" s="9" t="n">
        <x:f>'原始数据'!G114/'原始数据'!F114</x:f>
        <x:v>0.062189131970072274</x:v>
      </x:c>
      <x:c r="K117" s="2" t="str">
        <x:v>待拆分产品市场</x:v>
      </x:c>
      <x:c r="L117" s="15" t="str">
        <x:v>品牌或IP需核验；季节/事件影响待核验</x:v>
      </x:c>
      <x:c r="M117" s="2" t="str">
        <x:f>IF(AND(C117&gt;='核验与方法'!$B$7,F117&gt;='核验与方法'!$B$8,G117&gt;='核验与方法'!$B$9,D117&gt;='核验与方法'!$B$10,E117&gt;='核验与方法'!$B$11),"通过需求门槛","未通过需求门槛")</x:f>
        <x:v>未通过需求门槛</x:v>
      </x:c>
      <x:c r="N117" s="2" t="str">
        <x:v>先核验风险标签</x:v>
      </x:c>
      <x:c r="O117" s="9" t="n">
        <x:f>G117-'原始数据'!J114</x:f>
        <x:v>0.00002613210083603386</x:v>
      </x:c>
      <x:c r="P117" s="2" t="str">
        <x:v>DATA HOLD</x:v>
      </x:c>
    </x:row>
    <x:row r="118" ht="48" customHeight="1">
      <x:c r="A118" s="2" t="n">
        <x:v>113</x:v>
      </x:c>
      <x:c r="B118" s="2" t="str">
        <x:v>harley quinn costume</x:v>
      </x:c>
      <x:c r="C118" s="10" t="n">
        <x:f>'原始数据'!D115</x:f>
        <x:v>276135</x:v>
      </x:c>
      <x:c r="D118" s="9" t="n">
        <x:f>IF(ISNUMBER('原始数据'!E115),'原始数据'!E115,VALUE(SUBSTITUTE('原始数据'!E115,"'","")))</x:f>
        <x:v>1.4392</x:v>
      </x:c>
      <x:c r="E118" s="9" t="n">
        <x:f>IF(ISNUMBER('原始数据'!H115),'原始数据'!H115,VALUE(SUBSTITUTE('原始数据'!H115,"'","")))</x:f>
        <x:v>1.5135</x:v>
      </x:c>
      <x:c r="F118" s="10" t="n">
        <x:f>'原始数据'!L115</x:f>
        <x:v>625</x:v>
      </x:c>
      <x:c r="G118" s="9" t="n">
        <x:f>F118/'原始数据'!G115</x:f>
        <x:v>0.006397265041249565</x:v>
      </x:c>
      <x:c r="H118" s="9" t="n">
        <x:f>'原始数据'!P115/'原始数据'!O115</x:f>
        <x:v>0.023008611410118406</x:v>
      </x:c>
      <x:c r="I118" s="9" t="n">
        <x:f>F118/C118</x:f>
        <x:v>0.0022633856628098575</x:v>
      </x:c>
      <x:c r="J118" s="9" t="n">
        <x:f>'原始数据'!G115/'原始数据'!F115</x:f>
        <x:v>0.0322057040535186</x:v>
      </x:c>
      <x:c r="K118" s="2" t="str">
        <x:v>待拆分产品市场</x:v>
      </x:c>
      <x:c r="L118" s="15" t="str">
        <x:v>品牌或IP需核验；季节/事件影响待核验</x:v>
      </x:c>
      <x:c r="M118" s="2" t="str">
        <x:f>IF(AND(C118&gt;='核验与方法'!$B$7,F118&gt;='核验与方法'!$B$8,G118&gt;='核验与方法'!$B$9,D118&gt;='核验与方法'!$B$10,E118&gt;='核验与方法'!$B$11),"通过需求门槛","未通过需求门槛")</x:f>
        <x:v>未通过需求门槛</x:v>
      </x:c>
      <x:c r="N118" s="2" t="str">
        <x:v>先核验风险标签</x:v>
      </x:c>
      <x:c r="O118" s="9" t="n">
        <x:f>G118-'原始数据'!J115</x:f>
        <x:v>0.00009726504124956455</x:v>
      </x:c>
      <x:c r="P118" s="2" t="str">
        <x:v>DATA HOLD</x:v>
      </x:c>
    </x:row>
    <x:row r="119" ht="48" customHeight="1">
      <x:c r="A119" s="2" t="n">
        <x:v>114</x:v>
      </x:c>
      <x:c r="B119" s="2" t="str">
        <x:v>rotisserie chicken</x:v>
      </x:c>
      <x:c r="C119" s="10" t="n">
        <x:f>'原始数据'!D116</x:f>
        <x:v>274859</x:v>
      </x:c>
      <x:c r="D119" s="9" t="n">
        <x:f>IF(ISNUMBER('原始数据'!E116),'原始数据'!E116,VALUE(SUBSTITUTE('原始数据'!E116,"'","")))</x:f>
        <x:v>0.1751</x:v>
      </x:c>
      <x:c r="E119" s="9" t="n">
        <x:f>IF(ISNUMBER('原始数据'!H116),'原始数据'!H116,VALUE(SUBSTITUTE('原始数据'!H116,"'","")))</x:f>
        <x:v>0.1046</x:v>
      </x:c>
      <x:c r="F119" s="10" t="n">
        <x:f>'原始数据'!L116</x:f>
        <x:v>31007</x:v>
      </x:c>
      <x:c r="G119" s="9" t="n">
        <x:f>F119/'原始数据'!G116</x:f>
        <x:v>0.3565498367140426</x:v>
      </x:c>
      <x:c r="H119" s="9" t="n">
        <x:f>'原始数据'!P116/'原始数据'!O116</x:f>
        <x:v>0.4925976875962137</x:v>
      </x:c>
      <x:c r="I119" s="9" t="n">
        <x:f>F119/C119</x:f>
        <x:v>0.11281056832776078</x:v>
      </x:c>
      <x:c r="J119" s="9" t="n">
        <x:f>'原始数据'!G116/'原始数据'!F116</x:f>
        <x:v>0.0202146898433759</x:v>
      </x:c>
      <x:c r="K119" s="2" t="str">
        <x:v>专业供给</x:v>
      </x:c>
      <x:c r="L119" s="15" t="str">
        <x:v>食品/补剂或耗材需独立供应链</x:v>
      </x:c>
      <x:c r="M119" s="2" t="str">
        <x:f>IF(AND(C119&gt;='核验与方法'!$B$7,F119&gt;='核验与方法'!$B$8,G119&gt;='核验与方法'!$B$9,D119&gt;='核验与方法'!$B$10,E119&gt;='核验与方法'!$B$11),"通过需求门槛","未通过需求门槛")</x:f>
        <x:v>通过需求门槛</x:v>
      </x:c>
      <x:c r="N119" s="2" t="str">
        <x:v>先核验风险标签</x:v>
      </x:c>
      <x:c r="O119" s="9" t="n">
        <x:f>G119-'原始数据'!J116</x:f>
        <x:v>0.00004983671404262813</x:v>
      </x:c>
      <x:c r="P119" s="2" t="str">
        <x:v>DATA HOLD</x:v>
      </x:c>
    </x:row>
    <x:row r="120" ht="48" customHeight="1">
      <x:c r="A120" s="2" t="n">
        <x:v>115</x:v>
      </x:c>
      <x:c r="B120" s="2" t="str">
        <x:v>pony beads</x:v>
      </x:c>
      <x:c r="C120" s="10" t="n">
        <x:f>'原始数据'!D117</x:f>
        <x:v>273649</x:v>
      </x:c>
      <x:c r="D120" s="9" t="n">
        <x:f>IF(ISNUMBER('原始数据'!E117),'原始数据'!E117,VALUE(SUBSTITUTE('原始数据'!E117,"'","")))</x:f>
        <x:v>0.0312</x:v>
      </x:c>
      <x:c r="E120" s="9" t="n">
        <x:f>IF(ISNUMBER('原始数据'!H117),'原始数据'!H117,VALUE(SUBSTITUTE('原始数据'!H117,"'","")))</x:f>
        <x:v>0.003</x:v>
      </x:c>
      <x:c r="F120" s="10" t="n">
        <x:f>'原始数据'!L117</x:f>
        <x:v>12362</x:v>
      </x:c>
      <x:c r="G120" s="9" t="n">
        <x:f>F120/'原始数据'!G117</x:f>
        <x:v>0.0988532953763974</x:v>
      </x:c>
      <x:c r="H120" s="9" t="n">
        <x:f>'原始数据'!P117/'原始数据'!O117</x:f>
        <x:v>0.2802131991855312</x:v>
      </x:c>
      <x:c r="I120" s="9" t="n">
        <x:f>F120/C120</x:f>
        <x:v>0.04517465804735263</x:v>
      </x:c>
      <x:c r="J120" s="9" t="n">
        <x:f>'原始数据'!G117/'原始数据'!F117</x:f>
        <x:v>0.016170563274922462</x:v>
      </x:c>
      <x:c r="K120" s="2" t="str">
        <x:v>待拆分产品市场</x:v>
      </x:c>
      <x:c r="L120" s="15" t="str">
        <x:v>暂无自动识别标签，仍需核验</x:v>
      </x:c>
      <x:c r="M120" s="2" t="str">
        <x:f>IF(AND(C120&gt;='核验与方法'!$B$7,F120&gt;='核验与方法'!$B$8,G120&gt;='核验与方法'!$B$9,D120&gt;='核验与方法'!$B$10,E120&gt;='核验与方法'!$B$11),"通过需求门槛","未通过需求门槛")</x:f>
        <x:v>通过需求门槛</x:v>
      </x:c>
      <x:c r="N120" s="2" t="str">
        <x:v>待确认具体产品形态</x:v>
      </x:c>
      <x:c r="O120" s="9" t="n">
        <x:f>G120-'原始数据'!J117</x:f>
        <x:v>0.000053295376397394234</x:v>
      </x:c>
      <x:c r="P120" s="2" t="str">
        <x:v>DATA HOLD</x:v>
      </x:c>
    </x:row>
    <x:row r="121" ht="48" customHeight="1">
      <x:c r="A121" s="2" t="n">
        <x:v>116</x:v>
      </x:c>
      <x:c r="B121" s="2" t="str">
        <x:v>slingshot</x:v>
      </x:c>
      <x:c r="C121" s="10" t="n">
        <x:f>'原始数据'!D118</x:f>
        <x:v>272798</x:v>
      </x:c>
      <x:c r="D121" s="9" t="n">
        <x:f>IF(ISNUMBER('原始数据'!E118),'原始数据'!E118,VALUE(SUBSTITUTE('原始数据'!E118,"'","")))</x:f>
        <x:v>0.4085</x:v>
      </x:c>
      <x:c r="E121" s="9" t="n">
        <x:f>IF(ISNUMBER('原始数据'!H118),'原始数据'!H118,VALUE(SUBSTITUTE('原始数据'!H118,"'","")))</x:f>
        <x:v>0.544</x:v>
      </x:c>
      <x:c r="F121" s="10" t="n">
        <x:f>'原始数据'!L118</x:f>
        <x:v>3268</x:v>
      </x:c>
      <x:c r="G121" s="9" t="n">
        <x:f>F121/'原始数据'!G118</x:f>
        <x:v>0.02848600542175501</x:v>
      </x:c>
      <x:c r="H121" s="9" t="n">
        <x:f>'原始数据'!P118/'原始数据'!O118</x:f>
        <x:v>0.07174511659925996</x:v>
      </x:c>
      <x:c r="I121" s="9" t="n">
        <x:f>F121/C121</x:f>
        <x:v>0.011979559967448442</x:v>
      </x:c>
      <x:c r="J121" s="9" t="n">
        <x:f>'原始数据'!G118/'原始数据'!F118</x:f>
        <x:v>0.016081839169272492</x:v>
      </x:c>
      <x:c r="K121" s="2" t="str">
        <x:v>待拆分产品市场</x:v>
      </x:c>
      <x:c r="L121" s="15" t="str">
        <x:v>暂无自动识别标签，仍需核验</x:v>
      </x:c>
      <x:c r="M121" s="2" t="str">
        <x:f>IF(AND(C121&gt;='核验与方法'!$B$7,F121&gt;='核验与方法'!$B$8,G121&gt;='核验与方法'!$B$9,D121&gt;='核验与方法'!$B$10,E121&gt;='核验与方法'!$B$11),"通过需求门槛","未通过需求门槛")</x:f>
        <x:v>未通过需求门槛</x:v>
      </x:c>
      <x:c r="N121" s="2" t="str">
        <x:v>待确认具体产品形态</x:v>
      </x:c>
      <x:c r="O121" s="9" t="n">
        <x:f>G121-'原始数据'!J118</x:f>
        <x:v>0.0000860054217550095</x:v>
      </x:c>
      <x:c r="P121" s="2" t="str">
        <x:v>DATA HOLD</x:v>
      </x:c>
    </x:row>
    <x:row r="122" ht="48" customHeight="1">
      <x:c r="A122" s="2" t="n">
        <x:v>117</x:v>
      </x:c>
      <x:c r="B122" s="2" t="str">
        <x:v>women tops</x:v>
      </x:c>
      <x:c r="C122" s="10" t="n">
        <x:f>'原始数据'!D119</x:f>
        <x:v>270883</x:v>
      </x:c>
      <x:c r="D122" s="9" t="n">
        <x:f>IF(ISNUMBER('原始数据'!E119),'原始数据'!E119,VALUE(SUBSTITUTE('原始数据'!E119,"'","")))</x:f>
        <x:v>0.0328</x:v>
      </x:c>
      <x:c r="E122" s="9" t="n">
        <x:f>IF(ISNUMBER('原始数据'!H119),'原始数据'!H119,VALUE(SUBSTITUTE('原始数据'!H119,"'","")))</x:f>
        <x:v>0.0992</x:v>
      </x:c>
      <x:c r="F122" s="10" t="n">
        <x:f>'原始数据'!L119</x:f>
        <x:v>1063</x:v>
      </x:c>
      <x:c r="G122" s="9" t="n">
        <x:f>F122/'原始数据'!G119</x:f>
        <x:v>0.014098330216581122</x:v>
      </x:c>
      <x:c r="H122" s="9" t="n">
        <x:f>'原始数据'!P119/'原始数据'!O119</x:f>
        <x:v>0.14677661629011987</x:v>
      </x:c>
      <x:c r="I122" s="9" t="n">
        <x:f>F122/C122</x:f>
        <x:v>0.003924203438384837</x:v>
      </x:c>
      <x:c r="J122" s="9" t="n">
        <x:f>'原始数据'!G119/'原始数据'!F119</x:f>
        <x:v>0.007639442702355968</x:v>
      </x:c>
      <x:c r="K122" s="2" t="str">
        <x:v>待拆分产品市场</x:v>
      </x:c>
      <x:c r="L122" s="15" t="str">
        <x:v>尺码/颜色变体及退货待核验</x:v>
      </x:c>
      <x:c r="M122" s="2" t="str">
        <x:f>IF(AND(C122&gt;='核验与方法'!$B$7,F122&gt;='核验与方法'!$B$8,G122&gt;='核验与方法'!$B$9,D122&gt;='核验与方法'!$B$10,E122&gt;='核验与方法'!$B$11),"通过需求门槛","未通过需求门槛")</x:f>
        <x:v>未通过需求门槛</x:v>
      </x:c>
      <x:c r="N122" s="2" t="str">
        <x:v>先核验风险标签</x:v>
      </x:c>
      <x:c r="O122" s="9" t="n">
        <x:f>G122-'原始数据'!J119</x:f>
        <x:v>0.00009833021658112173</x:v>
      </x:c>
      <x:c r="P122" s="2" t="str">
        <x:v>DATA HOLD</x:v>
      </x:c>
    </x:row>
    <x:row r="123" ht="48" customHeight="1">
      <x:c r="A123" s="2" t="n">
        <x:v>118</x:v>
      </x:c>
      <x:c r="B123" s="2" t="str">
        <x:v>k cups</x:v>
      </x:c>
      <x:c r="C123" s="10" t="n">
        <x:f>'原始数据'!D120</x:f>
        <x:v>270015</x:v>
      </x:c>
      <x:c r="D123" s="9" t="n">
        <x:f>IF(ISNUMBER('原始数据'!E120),'原始数据'!E120,VALUE(SUBSTITUTE('原始数据'!E120,"'","")))</x:f>
        <x:v>0.1003</x:v>
      </x:c>
      <x:c r="E123" s="9" t="n">
        <x:f>IF(ISNUMBER('原始数据'!H120),'原始数据'!H120,VALUE(SUBSTITUTE('原始数据'!H120,"'","")))</x:f>
        <x:v>0.0582</x:v>
      </x:c>
      <x:c r="F123" s="10" t="n">
        <x:f>'原始数据'!L120</x:f>
        <x:v>25579</x:v>
      </x:c>
      <x:c r="G123" s="9" t="n">
        <x:f>F123/'原始数据'!G120</x:f>
        <x:v>0.2906275209344074</x:v>
      </x:c>
      <x:c r="H123" s="9" t="n">
        <x:f>'原始数据'!P120/'原始数据'!O120</x:f>
        <x:v>0.5160445781001238</x:v>
      </x:c>
      <x:c r="I123" s="9" t="n">
        <x:f>F123/C123</x:f>
        <x:v>0.09473177416069478</x:v>
      </x:c>
      <x:c r="J123" s="9" t="n">
        <x:f>'原始数据'!G120/'原始数据'!F120</x:f>
        <x:v>0.009911564738465122</x:v>
      </x:c>
      <x:c r="K123" s="2" t="str">
        <x:v>专业供给</x:v>
      </x:c>
      <x:c r="L123" s="15" t="str">
        <x:v>食品/补剂或耗材需独立供应链</x:v>
      </x:c>
      <x:c r="M123" s="2" t="str">
        <x:f>IF(AND(C123&gt;='核验与方法'!$B$7,F123&gt;='核验与方法'!$B$8,G123&gt;='核验与方法'!$B$9,D123&gt;='核验与方法'!$B$10,E123&gt;='核验与方法'!$B$11),"通过需求门槛","未通过需求门槛")</x:f>
        <x:v>通过需求门槛</x:v>
      </x:c>
      <x:c r="N123" s="2" t="str">
        <x:v>先核验风险标签</x:v>
      </x:c>
      <x:c r="O123" s="9" t="n">
        <x:f>G123-'原始数据'!J120</x:f>
        <x:v>0.000027520934407387898</x:v>
      </x:c>
      <x:c r="P123" s="2" t="str">
        <x:v>DATA HOLD</x:v>
      </x:c>
    </x:row>
    <x:row r="124" ht="48" customHeight="1">
      <x:c r="A124" s="2" t="n">
        <x:v>119</x:v>
      </x:c>
      <x:c r="B124" s="2" t="str">
        <x:v>fall boots</x:v>
      </x:c>
      <x:c r="C124" s="10" t="n">
        <x:f>'原始数据'!D121</x:f>
        <x:v>268409</x:v>
      </x:c>
      <x:c r="D124" s="9" t="n">
        <x:f>IF(ISNUMBER('原始数据'!E121),'原始数据'!E121,VALUE(SUBSTITUTE('原始数据'!E121,"'","")))</x:f>
        <x:v>1.4242</x:v>
      </x:c>
      <x:c r="E124" s="9" t="n">
        <x:f>IF(ISNUMBER('原始数据'!H121),'原始数据'!H121,VALUE(SUBSTITUTE('原始数据'!H121,"'","")))</x:f>
        <x:v>1.3244</x:v>
      </x:c>
      <x:c r="F124" s="10" t="n">
        <x:f>'原始数据'!L121</x:f>
        <x:v>397</x:v>
      </x:c>
      <x:c r="G124" s="9" t="n">
        <x:f>F124/'原始数据'!G121</x:f>
        <x:v>0.006414502916417573</x:v>
      </x:c>
      <x:c r="H124" s="9" t="n">
        <x:f>'原始数据'!P121/'原始数据'!O121</x:f>
        <x:v>0.03293413173652695</x:v>
      </x:c>
      <x:c r="I124" s="9" t="n">
        <x:f>F124/C124</x:f>
        <x:v>0.0014790860217056806</x:v>
      </x:c>
      <x:c r="J124" s="9" t="n">
        <x:f>'原始数据'!G121/'原始数据'!F121</x:f>
        <x:v>0.015476123794987307</x:v>
      </x:c>
      <x:c r="K124" s="2" t="str">
        <x:v>待拆分产品市场</x:v>
      </x:c>
      <x:c r="L124" s="15" t="str">
        <x:v>季节/事件影响待核验；尺码/颜色变体及退货待核验</x:v>
      </x:c>
      <x:c r="M124" s="2" t="str">
        <x:f>IF(AND(C124&gt;='核验与方法'!$B$7,F124&gt;='核验与方法'!$B$8,G124&gt;='核验与方法'!$B$9,D124&gt;='核验与方法'!$B$10,E124&gt;='核验与方法'!$B$11),"通过需求门槛","未通过需求门槛")</x:f>
        <x:v>未通过需求门槛</x:v>
      </x:c>
      <x:c r="N124" s="2" t="str">
        <x:v>先核验风险标签</x:v>
      </x:c>
      <x:c r="O124" s="9" t="n">
        <x:f>G124-'原始数据'!J121</x:f>
        <x:v>0.000014502916417572474</x:v>
      </x:c>
      <x:c r="P124" s="2" t="str">
        <x:v>DATA HOLD</x:v>
      </x:c>
    </x:row>
    <x:row r="125" ht="48" customHeight="1">
      <x:c r="A125" s="2" t="n">
        <x:v>120</x:v>
      </x:c>
      <x:c r="B125" s="2" t="str">
        <x:v>rings for women</x:v>
      </x:c>
      <x:c r="C125" s="10" t="n">
        <x:f>'原始数据'!D122</x:f>
        <x:v>266813</x:v>
      </x:c>
      <x:c r="D125" s="9" t="n">
        <x:f>IF(ISNUMBER('原始数据'!E122),'原始数据'!E122,VALUE(SUBSTITUTE('原始数据'!E122,"'","")))</x:f>
        <x:v>-0.1079</x:v>
      </x:c>
      <x:c r="E125" s="9" t="n">
        <x:f>IF(ISNUMBER('原始数据'!H122),'原始数据'!H122,VALUE(SUBSTITUTE('原始数据'!H122,"'","")))</x:f>
        <x:v>-0.1235</x:v>
      </x:c>
      <x:c r="F125" s="10" t="n">
        <x:f>'原始数据'!L122</x:f>
        <x:v>1562</x:v>
      </x:c>
      <x:c r="G125" s="9" t="n">
        <x:f>F125/'原始数据'!G122</x:f>
        <x:v>0.020664382383680166</x:v>
      </x:c>
      <x:c r="H125" s="9" t="n">
        <x:f>'原始数据'!P122/'原始数据'!O122</x:f>
        <x:v>0.12255243017592685</x:v>
      </x:c>
      <x:c r="I125" s="9" t="n">
        <x:f>F125/C125</x:f>
        <x:v>0.005854287459756458</x:v>
      </x:c>
      <x:c r="J125" s="9" t="n">
        <x:f>'原始数据'!G122/'原始数据'!F122</x:f>
        <x:v>0.0095190037542571</x:v>
      </x:c>
      <x:c r="K125" s="2" t="str">
        <x:v>待拆分产品市场</x:v>
      </x:c>
      <x:c r="L125" s="15" t="str">
        <x:v>暂无自动识别标签，仍需核验</x:v>
      </x:c>
      <x:c r="M125" s="2" t="str">
        <x:f>IF(AND(C125&gt;='核验与方法'!$B$7,F125&gt;='核验与方法'!$B$8,G125&gt;='核验与方法'!$B$9,D125&gt;='核验与方法'!$B$10,E125&gt;='核验与方法'!$B$11),"通过需求门槛","未通过需求门槛")</x:f>
        <x:v>未通过需求门槛</x:v>
      </x:c>
      <x:c r="N125" s="2" t="str">
        <x:v>待确认具体产品形态</x:v>
      </x:c>
      <x:c r="O125" s="9" t="n">
        <x:f>G125-'原始数据'!J122</x:f>
        <x:v>0.00006438238368016574</x:v>
      </x:c>
      <x:c r="P125" s="2" t="str">
        <x:v>DATA HOLD</x:v>
      </x:c>
    </x:row>
    <x:row r="126" ht="48" customHeight="1">
      <x:c r="A126" s="2" t="n">
        <x:v>121</x:v>
      </x:c>
      <x:c r="B126" s="2" t="str">
        <x:v>cat food dry</x:v>
      </x:c>
      <x:c r="C126" s="10" t="n">
        <x:f>'原始数据'!D123</x:f>
        <x:v>263531</x:v>
      </x:c>
      <x:c r="D126" s="9" t="n">
        <x:f>IF(ISNUMBER('原始数据'!E123),'原始数据'!E123,VALUE(SUBSTITUTE('原始数据'!E123,"'","")))</x:f>
        <x:v>0.0272</x:v>
      </x:c>
      <x:c r="E126" s="9" t="n">
        <x:f>IF(ISNUMBER('原始数据'!H123),'原始数据'!H123,VALUE(SUBSTITUTE('原始数据'!H123,"'","")))</x:f>
        <x:v>-0.0523</x:v>
      </x:c>
      <x:c r="F126" s="10" t="n">
        <x:f>'原始数据'!L123</x:f>
        <x:v>32892</x:v>
      </x:c>
      <x:c r="G126" s="9" t="n">
        <x:f>F126/'原始数据'!G123</x:f>
        <x:v>0.32970800212507895</x:v>
      </x:c>
      <x:c r="H126" s="9" t="n">
        <x:f>'原始数据'!P123/'原始数据'!O123</x:f>
        <x:v>0.5506692426369411</x:v>
      </x:c>
      <x:c r="I126" s="9" t="n">
        <x:f>F126/C126</x:f>
        <x:v>0.1248126406381033</x:v>
      </x:c>
      <x:c r="J126" s="9" t="n">
        <x:f>'原始数据'!G123/'原始数据'!F123</x:f>
        <x:v>0.011337286342707184</x:v>
      </x:c>
      <x:c r="K126" s="2" t="str">
        <x:v>专业供给</x:v>
      </x:c>
      <x:c r="L126" s="15" t="str">
        <x:v>食品/补剂或耗材需独立供应链</x:v>
      </x:c>
      <x:c r="M126" s="2" t="str">
        <x:f>IF(AND(C126&gt;='核验与方法'!$B$7,F126&gt;='核验与方法'!$B$8,G126&gt;='核验与方法'!$B$9,D126&gt;='核验与方法'!$B$10,E126&gt;='核验与方法'!$B$11),"通过需求门槛","未通过需求门槛")</x:f>
        <x:v>未通过需求门槛</x:v>
      </x:c>
      <x:c r="N126" s="2" t="str">
        <x:v>先核验风险标签</x:v>
      </x:c>
      <x:c r="O126" s="9" t="n">
        <x:f>G126-'原始数据'!J123</x:f>
        <x:v>0.000008002125078954148</x:v>
      </x:c>
      <x:c r="P126" s="2" t="str">
        <x:v>DATA HOLD</x:v>
      </x:c>
    </x:row>
    <x:row r="127" ht="48" customHeight="1">
      <x:c r="A127" s="2" t="n">
        <x:v>122</x:v>
      </x:c>
      <x:c r="B127" s="2" t="str">
        <x:v>wedding registry search by name</x:v>
      </x:c>
      <x:c r="C127" s="10" t="n">
        <x:f>'原始数据'!D124</x:f>
        <x:v>261117</x:v>
      </x:c>
      <x:c r="D127" s="9" t="n">
        <x:f>IF(ISNUMBER('原始数据'!E124),'原始数据'!E124,VALUE(SUBSTITUTE('原始数据'!E124,"'","")))</x:f>
        <x:v>-0.153</x:v>
      </x:c>
      <x:c r="E127" s="9" t="n">
        <x:f>IF(ISNUMBER('原始数据'!H124),'原始数据'!H124,VALUE(SUBSTITUTE('原始数据'!H124,"'","")))</x:f>
        <x:v>0.0572</x:v>
      </x:c>
      <x:c r="F127" s="10" t="n">
        <x:f>'原始数据'!L124</x:f>
        <x:v>1828</x:v>
      </x:c>
      <x:c r="G127" s="9" t="n">
        <x:f>F127/'原始数据'!G124</x:f>
        <x:v>0.05868002054442732</x:v>
      </x:c>
      <x:c r="H127" s="9" t="n">
        <x:f>'原始数据'!P124/'原始数据'!O124</x:f>
        <x:v>0.12025001775694297</x:v>
      </x:c>
      <x:c r="I127" s="9" t="n">
        <x:f>F127/C127</x:f>
        <x:v>0.007000693175856034</x:v>
      </x:c>
      <x:c r="J127" s="9" t="n">
        <x:f>'原始数据'!G124/'原始数据'!F124</x:f>
        <x:v>0.004421638549784312</x:v>
      </x:c>
      <x:c r="K127" s="2" t="str">
        <x:v>待拆分产品市场</x:v>
      </x:c>
      <x:c r="L127" s="15" t="str">
        <x:v>内容/导航或宽泛需求需拆分</x:v>
      </x:c>
      <x:c r="M127" s="2" t="str">
        <x:f>IF(AND(C127&gt;='核验与方法'!$B$7,F127&gt;='核验与方法'!$B$8,G127&gt;='核验与方法'!$B$9,D127&gt;='核验与方法'!$B$10,E127&gt;='核验与方法'!$B$11),"通过需求门槛","未通过需求门槛")</x:f>
        <x:v>未通过需求门槛</x:v>
      </x:c>
      <x:c r="N127" s="2" t="str">
        <x:v>先核验风险标签</x:v>
      </x:c>
      <x:c r="O127" s="9" t="n">
        <x:f>G127-'原始数据'!J124</x:f>
        <x:v>0.00008002054442732276</x:v>
      </x:c>
      <x:c r="P127" s="2" t="str">
        <x:v>DATA HOLD</x:v>
      </x:c>
    </x:row>
    <x:row r="128" ht="48" customHeight="1">
      <x:c r="A128" s="2" t="n">
        <x:v>123</x:v>
      </x:c>
      <x:c r="B128" s="2" t="str">
        <x:v>fall dresses for women 2026</x:v>
      </x:c>
      <x:c r="C128" s="10" t="n">
        <x:f>'原始数据'!D125</x:f>
        <x:v>260714</x:v>
      </x:c>
      <x:c r="D128" s="9" t="n">
        <x:f>IF(ISNUMBER('原始数据'!E125),'原始数据'!E125,VALUE(SUBSTITUTE('原始数据'!E125,"'","")))</x:f>
        <x:v>1.1449</x:v>
      </x:c>
      <x:c r="E128" s="9" t="n">
        <x:f>IF(ISNUMBER('原始数据'!H125),'原始数据'!H125,VALUE(SUBSTITUTE('原始数据'!H125,"'","")))</x:f>
        <x:v>1.1238</x:v>
      </x:c>
      <x:c r="F128" s="10" t="n">
        <x:f>'原始数据'!L125</x:f>
        <x:v>439</x:v>
      </x:c>
      <x:c r="G128" s="9" t="n">
        <x:f>F128/'原始数据'!G125</x:f>
        <x:v>0.005739837610972373</x:v>
      </x:c>
      <x:c r="H128" s="9" t="n">
        <x:f>'原始数据'!P125/'原始数据'!O125</x:f>
        <x:v>0.06228930034749235</x:v>
      </x:c>
      <x:c r="I128" s="9" t="n">
        <x:f>F128/C128</x:f>
        <x:v>0.0016838374617396841</x:v>
      </x:c>
      <x:c r="J128" s="9" t="n">
        <x:f>'原始数据'!G125/'原始数据'!F125</x:f>
        <x:v>0.013989243630095594</x:v>
      </x:c>
      <x:c r="K128" s="2" t="str">
        <x:v>待拆分产品市场</x:v>
      </x:c>
      <x:c r="L128" s="15" t="str">
        <x:v>季节/事件影响待核验；尺码/颜色变体及退货待核验</x:v>
      </x:c>
      <x:c r="M128" s="2" t="str">
        <x:f>IF(AND(C128&gt;='核验与方法'!$B$7,F128&gt;='核验与方法'!$B$8,G128&gt;='核验与方法'!$B$9,D128&gt;='核验与方法'!$B$10,E128&gt;='核验与方法'!$B$11),"通过需求门槛","未通过需求门槛")</x:f>
        <x:v>未通过需求门槛</x:v>
      </x:c>
      <x:c r="N128" s="2" t="str">
        <x:v>先核验风险标签</x:v>
      </x:c>
      <x:c r="O128" s="9" t="n">
        <x:f>G128-'原始数据'!J125</x:f>
        <x:v>0.00003983761097237255</x:v>
      </x:c>
      <x:c r="P128" s="2" t="str">
        <x:v>DATA HOLD</x:v>
      </x:c>
    </x:row>
    <x:row r="129" ht="48" customHeight="1">
      <x:c r="A129" s="2" t="n">
        <x:v>124</x:v>
      </x:c>
      <x:c r="B129" s="2" t="str">
        <x:v>red onion</x:v>
      </x:c>
      <x:c r="C129" s="10" t="n">
        <x:f>'原始数据'!D126</x:f>
        <x:v>260685</x:v>
      </x:c>
      <x:c r="D129" s="9" t="n">
        <x:f>IF(ISNUMBER('原始数据'!E126),'原始数据'!E126,VALUE(SUBSTITUTE('原始数据'!E126,"'","")))</x:f>
        <x:v>0.0239</x:v>
      </x:c>
      <x:c r="E129" s="9" t="n">
        <x:f>IF(ISNUMBER('原始数据'!H126),'原始数据'!H126,VALUE(SUBSTITUTE('原始数据'!H126,"'","")))</x:f>
        <x:v>-0.0104</x:v>
      </x:c>
      <x:c r="F129" s="10" t="n">
        <x:f>'原始数据'!L126</x:f>
        <x:v>94655</x:v>
      </x:c>
      <x:c r="G129" s="9" t="n">
        <x:f>F129/'原始数据'!G126</x:f>
        <x:v>0.5594829267716024</x:v>
      </x:c>
      <x:c r="H129" s="9" t="n">
        <x:f>'原始数据'!P126/'原始数据'!O126</x:f>
        <x:v>0.6357290857290857</x:v>
      </x:c>
      <x:c r="I129" s="9" t="n">
        <x:f>F129/C129</x:f>
        <x:v>0.36310106066708864</x:v>
      </x:c>
      <x:c r="J129" s="9" t="n">
        <x:f>'原始数据'!G126/'原始数据'!F126</x:f>
        <x:v>0.028982063747418206</x:v>
      </x:c>
      <x:c r="K129" s="2" t="str">
        <x:v>专业供给</x:v>
      </x:c>
      <x:c r="L129" s="15" t="str">
        <x:v>食品/补剂或耗材需独立供应链</x:v>
      </x:c>
      <x:c r="M129" s="2" t="str">
        <x:f>IF(AND(C129&gt;='核验与方法'!$B$7,F129&gt;='核验与方法'!$B$8,G129&gt;='核验与方法'!$B$9,D129&gt;='核验与方法'!$B$10,E129&gt;='核验与方法'!$B$11),"通过需求门槛","未通过需求门槛")</x:f>
        <x:v>未通过需求门槛</x:v>
      </x:c>
      <x:c r="N129" s="2" t="str">
        <x:v>先核验风险标签</x:v>
      </x:c>
      <x:c r="O129" s="9" t="n">
        <x:f>G129-'原始数据'!J126</x:f>
        <x:v>0.00008292677160237627</x:v>
      </x:c>
      <x:c r="P129" s="2" t="str">
        <x:v>DATA HOLD</x:v>
      </x:c>
    </x:row>
    <x:row r="130" ht="48" customHeight="1">
      <x:c r="A130" s="2" t="n">
        <x:v>125</x:v>
      </x:c>
      <x:c r="B130" s="2" t="str">
        <x:v>halloween shirts</x:v>
      </x:c>
      <x:c r="C130" s="10" t="n">
        <x:f>'原始数据'!D127</x:f>
        <x:v>260344</x:v>
      </x:c>
      <x:c r="D130" s="9" t="n">
        <x:f>IF(ISNUMBER('原始数据'!E127),'原始数据'!E127,VALUE(SUBSTITUTE('原始数据'!E127,"'","")))</x:f>
        <x:v>1.1679</x:v>
      </x:c>
      <x:c r="E130" s="9" t="n">
        <x:f>IF(ISNUMBER('原始数据'!H127),'原始数据'!H127,VALUE(SUBSTITUTE('原始数据'!H127,"'","")))</x:f>
        <x:v>0.8622</x:v>
      </x:c>
      <x:c r="F130" s="10" t="n">
        <x:f>'原始数据'!L127</x:f>
        <x:v>1309</x:v>
      </x:c>
      <x:c r="G130" s="9" t="n">
        <x:f>F130/'原始数据'!G127</x:f>
        <x:v>0.0190455405208788</x:v>
      </x:c>
      <x:c r="H130" s="9" t="n">
        <x:f>'原始数据'!P127/'原始数据'!O127</x:f>
        <x:v>0.0917150049250301</x:v>
      </x:c>
      <x:c r="I130" s="9" t="n">
        <x:f>F130/C130</x:f>
        <x:v>0.0050279630027963</x:v>
      </x:c>
      <x:c r="J130" s="9" t="n">
        <x:f>'原始数据'!G127/'原始数据'!F127</x:f>
        <x:v>0.014605951696866043</x:v>
      </x:c>
      <x:c r="K130" s="2" t="str">
        <x:v>待拆分产品市场</x:v>
      </x:c>
      <x:c r="L130" s="15" t="str">
        <x:v>季节/事件影响待核验；尺码/颜色变体及退货待核验</x:v>
      </x:c>
      <x:c r="M130" s="2" t="str">
        <x:f>IF(AND(C130&gt;='核验与方法'!$B$7,F130&gt;='核验与方法'!$B$8,G130&gt;='核验与方法'!$B$9,D130&gt;='核验与方法'!$B$10,E130&gt;='核验与方法'!$B$11),"通过需求门槛","未通过需求门槛")</x:f>
        <x:v>未通过需求门槛</x:v>
      </x:c>
      <x:c r="N130" s="2" t="str">
        <x:v>先核验风险标签</x:v>
      </x:c>
      <x:c r="O130" s="9" t="n">
        <x:f>G130-'原始数据'!J127</x:f>
        <x:v>0.00004554052087880206</x:v>
      </x:c>
      <x:c r="P130" s="2" t="str">
        <x:v>DATA HOLD</x:v>
      </x:c>
    </x:row>
    <x:row r="131" ht="48" customHeight="1">
      <x:c r="A131" s="2" t="n">
        <x:v>126</x:v>
      </x:c>
      <x:c r="B131" s="2" t="str">
        <x:v>chicken nuggets</x:v>
      </x:c>
      <x:c r="C131" s="10" t="n">
        <x:f>'原始数据'!D128</x:f>
        <x:v>260069</x:v>
      </x:c>
      <x:c r="D131" s="9" t="n">
        <x:f>IF(ISNUMBER('原始数据'!E128),'原始数据'!E128,VALUE(SUBSTITUTE('原始数据'!E128,"'","")))</x:f>
        <x:v>0.1175</x:v>
      </x:c>
      <x:c r="E131" s="9" t="n">
        <x:f>IF(ISNUMBER('原始数据'!H128),'原始数据'!H128,VALUE(SUBSTITUTE('原始数据'!H128,"'","")))</x:f>
        <x:v>0.0554</x:v>
      </x:c>
      <x:c r="F131" s="10" t="n">
        <x:f>'原始数据'!L128</x:f>
        <x:v>32734</x:v>
      </x:c>
      <x:c r="G131" s="9" t="n">
        <x:f>F131/'原始数据'!G128</x:f>
        <x:v>0.36007436007436006</x:v>
      </x:c>
      <x:c r="H131" s="9" t="n">
        <x:f>'原始数据'!P128/'原始数据'!O128</x:f>
        <x:v>0.5228753149388558</x:v>
      </x:c>
      <x:c r="I131" s="9" t="n">
        <x:f>F131/C131</x:f>
        <x:v>0.1258665969415809</x:v>
      </x:c>
      <x:c r="J131" s="9" t="n">
        <x:f>'原始数据'!G128/'原始数据'!F128</x:f>
        <x:v>0.01725857988289248</x:v>
      </x:c>
      <x:c r="K131" s="2" t="str">
        <x:v>专业供给</x:v>
      </x:c>
      <x:c r="L131" s="15" t="str">
        <x:v>食品/补剂或耗材需独立供应链</x:v>
      </x:c>
      <x:c r="M131" s="2" t="str">
        <x:f>IF(AND(C131&gt;='核验与方法'!$B$7,F131&gt;='核验与方法'!$B$8,G131&gt;='核验与方法'!$B$9,D131&gt;='核验与方法'!$B$10,E131&gt;='核验与方法'!$B$11),"通过需求门槛","未通过需求门槛")</x:f>
        <x:v>通过需求门槛</x:v>
      </x:c>
      <x:c r="N131" s="2" t="str">
        <x:v>先核验风险标签</x:v>
      </x:c>
      <x:c r="O131" s="9" t="n">
        <x:f>G131-'原始数据'!J128</x:f>
        <x:v>0.0000743600743600692</x:v>
      </x:c>
      <x:c r="P131" s="2" t="str">
        <x:v>DATA HOLD</x:v>
      </x:c>
    </x:row>
    <x:row r="132" ht="48" customHeight="1">
      <x:c r="A132" s="2" t="n">
        <x:v>127</x:v>
      </x:c>
      <x:c r="B132" s="2" t="str">
        <x:v>anime figure</x:v>
      </x:c>
      <x:c r="C132" s="10" t="n">
        <x:f>'原始数据'!D129</x:f>
        <x:v>258859</x:v>
      </x:c>
      <x:c r="D132" s="9" t="n">
        <x:f>IF(ISNUMBER('原始数据'!E129),'原始数据'!E129,VALUE(SUBSTITUTE('原始数据'!E129,"'","")))</x:f>
        <x:v>0.039</x:v>
      </x:c>
      <x:c r="E132" s="9" t="n">
        <x:f>IF(ISNUMBER('原始数据'!H129),'原始数据'!H129,VALUE(SUBSTITUTE('原始数据'!H129,"'","")))</x:f>
        <x:v>0.0394</x:v>
      </x:c>
      <x:c r="F132" s="10" t="n">
        <x:f>'原始数据'!L129</x:f>
        <x:v>526</x:v>
      </x:c>
      <x:c r="G132" s="9" t="n">
        <x:f>F132/'原始数据'!G129</x:f>
        <x:v>0.006523141028820874</x:v>
      </x:c>
      <x:c r="H132" s="9" t="n">
        <x:f>'原始数据'!P129/'原始数据'!O129</x:f>
        <x:v>0.03363693750563622</x:v>
      </x:c>
      <x:c r="I132" s="9" t="n">
        <x:f>F132/C132</x:f>
        <x:v>0.0020319942516968696</x:v>
      </x:c>
      <x:c r="J132" s="9" t="n">
        <x:f>'原始数据'!G129/'原始数据'!F129</x:f>
        <x:v>0.02295679643423181</x:v>
      </x:c>
      <x:c r="K132" s="2" t="str">
        <x:v>待拆分产品市场</x:v>
      </x:c>
      <x:c r="L132" s="15" t="str">
        <x:v>暂无自动识别标签，仍需核验</x:v>
      </x:c>
      <x:c r="M132" s="2" t="str">
        <x:f>IF(AND(C132&gt;='核验与方法'!$B$7,F132&gt;='核验与方法'!$B$8,G132&gt;='核验与方法'!$B$9,D132&gt;='核验与方法'!$B$10,E132&gt;='核验与方法'!$B$11),"通过需求门槛","未通过需求门槛")</x:f>
        <x:v>未通过需求门槛</x:v>
      </x:c>
      <x:c r="N132" s="2" t="str">
        <x:v>待确认具体产品形态</x:v>
      </x:c>
      <x:c r="O132" s="9" t="n">
        <x:f>G132-'原始数据'!J129</x:f>
        <x:v>0.000023141028820874467</x:v>
      </x:c>
      <x:c r="P132" s="2" t="str">
        <x:v>DATA HOLD</x:v>
      </x:c>
    </x:row>
    <x:row r="133" ht="48" customHeight="1">
      <x:c r="A133" s="2" t="n">
        <x:v>128</x:v>
      </x:c>
      <x:c r="B133" s="2" t="str">
        <x:v>dolly shirt</x:v>
      </x:c>
      <x:c r="C133" s="10" t="n">
        <x:f>'原始数据'!D130</x:f>
        <x:v>256444</x:v>
      </x:c>
      <x:c r="D133" s="9" t="n">
        <x:f>IF(ISNUMBER('原始数据'!E130),'原始数据'!E130,VALUE(SUBSTITUTE('原始数据'!E130,"'","")))</x:f>
        <x:v>78.5175</x:v>
      </x:c>
      <x:c r="E133" s="9" t="n">
        <x:f>IF(ISNUMBER('原始数据'!H130),'原始数据'!H130,VALUE(SUBSTITUTE('原始数据'!H130,"'","")))</x:f>
        <x:v>100.7046</x:v>
      </x:c>
      <x:c r="F133" s="10" t="n">
        <x:f>'原始数据'!L130</x:f>
        <x:v>3338</x:v>
      </x:c>
      <x:c r="G133" s="9" t="n">
        <x:f>F133/'原始数据'!G130</x:f>
        <x:v>0.036711979235405395</x:v>
      </x:c>
      <x:c r="H133" s="9" t="n">
        <x:f>'原始数据'!P130/'原始数据'!O130</x:f>
        <x:v>0.1439822294022617</x:v>
      </x:c>
      <x:c r="I133" s="9" t="n">
        <x:f>F133/C133</x:f>
        <x:v>0.013016487030306811</x:v>
      </x:c>
      <x:c r="J133" s="9" t="n">
        <x:f>'原始数据'!G130/'原始数据'!F130</x:f>
        <x:v>0.01710489928833054</x:v>
      </x:c>
      <x:c r="K133" s="2" t="str">
        <x:v>待拆分产品市场</x:v>
      </x:c>
      <x:c r="L133" s="15" t="str">
        <x:v>品牌或IP需核验；尺码/颜色变体及退货待核验</x:v>
      </x:c>
      <x:c r="M133" s="2" t="str">
        <x:f>IF(AND(C133&gt;='核验与方法'!$B$7,F133&gt;='核验与方法'!$B$8,G133&gt;='核验与方法'!$B$9,D133&gt;='核验与方法'!$B$10,E133&gt;='核验与方法'!$B$11),"通过需求门槛","未通过需求门槛")</x:f>
        <x:v>未通过需求门槛</x:v>
      </x:c>
      <x:c r="N133" s="2" t="str">
        <x:v>先核验风险标签</x:v>
      </x:c>
      <x:c r="O133" s="9" t="n">
        <x:f>G133-'原始数据'!J130</x:f>
        <x:v>0.000011979235405391864</x:v>
      </x:c>
      <x:c r="P133" s="2" t="str">
        <x:v>DATA HOLD</x:v>
      </x:c>
    </x:row>
    <x:row r="134" ht="48" customHeight="1">
      <x:c r="A134" s="2" t="n">
        <x:v>129</x:v>
      </x:c>
      <x:c r="B134" s="2" t="str">
        <x:v>flip flops</x:v>
      </x:c>
      <x:c r="C134" s="10" t="n">
        <x:f>'原始数据'!D131</x:f>
        <x:v>255956</x:v>
      </x:c>
      <x:c r="D134" s="9" t="n">
        <x:f>IF(ISNUMBER('原始数据'!E131),'原始数据'!E131,VALUE(SUBSTITUTE('原始数据'!E131,"'","")))</x:f>
        <x:v>-0.2584</x:v>
      </x:c>
      <x:c r="E134" s="9" t="n">
        <x:f>IF(ISNUMBER('原始数据'!H131),'原始数据'!H131,VALUE(SUBSTITUTE('原始数据'!H131,"'","")))</x:f>
        <x:v>-0.2402</x:v>
      </x:c>
      <x:c r="F134" s="10" t="n">
        <x:f>'原始数据'!L131</x:f>
        <x:v>2491</x:v>
      </x:c>
      <x:c r="G134" s="9" t="n">
        <x:f>F134/'原始数据'!G131</x:f>
        <x:v>0.03260641918425049</x:v>
      </x:c>
      <x:c r="H134" s="9" t="n">
        <x:f>'原始数据'!P131/'原始数据'!O131</x:f>
        <x:v>0.23648285137861466</x:v>
      </x:c>
      <x:c r="I134" s="9" t="n">
        <x:f>F134/C134</x:f>
        <x:v>0.009732141461813748</x:v>
      </x:c>
      <x:c r="J134" s="9" t="n">
        <x:f>'原始数据'!G131/'原始数据'!F131</x:f>
        <x:v>0.006883307591658653</x:v>
      </x:c>
      <x:c r="K134" s="2" t="str">
        <x:v>待拆分产品市场</x:v>
      </x:c>
      <x:c r="L134" s="15" t="str">
        <x:v>暂无自动识别标签，仍需核验</x:v>
      </x:c>
      <x:c r="M134" s="2" t="str">
        <x:f>IF(AND(C134&gt;='核验与方法'!$B$7,F134&gt;='核验与方法'!$B$8,G134&gt;='核验与方法'!$B$9,D134&gt;='核验与方法'!$B$10,E134&gt;='核验与方法'!$B$11),"通过需求门槛","未通过需求门槛")</x:f>
        <x:v>未通过需求门槛</x:v>
      </x:c>
      <x:c r="N134" s="2" t="str">
        <x:v>待确认具体产品形态</x:v>
      </x:c>
      <x:c r="O134" s="9" t="n">
        <x:f>G134-'原始数据'!J131</x:f>
        <x:v>0.000006419184250490428</x:v>
      </x:c>
      <x:c r="P134" s="2" t="str">
        <x:v>DATA HOLD</x:v>
      </x:c>
    </x:row>
    <x:row r="135" ht="48" customHeight="1">
      <x:c r="A135" s="2" t="n">
        <x:v>130</x:v>
      </x:c>
      <x:c r="B135" s="2" t="str">
        <x:v>lithium batteries aa</x:v>
      </x:c>
      <x:c r="C135" s="10" t="n">
        <x:f>'原始数据'!D132</x:f>
        <x:v>255212</x:v>
      </x:c>
      <x:c r="D135" s="9" t="n">
        <x:f>IF(ISNUMBER('原始数据'!E132),'原始数据'!E132,VALUE(SUBSTITUTE('原始数据'!E132,"'","")))</x:f>
        <x:v>0.0101</x:v>
      </x:c>
      <x:c r="E135" s="9" t="n">
        <x:f>IF(ISNUMBER('原始数据'!H132),'原始数据'!H132,VALUE(SUBSTITUTE('原始数据'!H132,"'","")))</x:f>
        <x:v>-0.0233</x:v>
      </x:c>
      <x:c r="F135" s="10" t="n">
        <x:f>'原始数据'!L132</x:f>
        <x:v>41397</x:v>
      </x:c>
      <x:c r="G135" s="9" t="n">
        <x:f>F135/'原始数据'!G132</x:f>
        <x:v>0.3672486293713738</x:v>
      </x:c>
      <x:c r="H135" s="9" t="n">
        <x:f>'原始数据'!P132/'原始数据'!O132</x:f>
        <x:v>0.5437429111531191</x:v>
      </x:c>
      <x:c r="I135" s="9" t="n">
        <x:f>F135/C135</x:f>
        <x:v>0.16220632258671222</x:v>
      </x:c>
      <x:c r="J135" s="9" t="n">
        <x:f>'原始数据'!G132/'原始数据'!F132</x:f>
        <x:v>0.011791301433435717</x:v>
      </x:c>
      <x:c r="K135" s="2" t="str">
        <x:v>待拆分产品市场</x:v>
      </x:c>
      <x:c r="L135" s="15" t="str">
        <x:v>暂无自动识别标签，仍需核验</x:v>
      </x:c>
      <x:c r="M135" s="2" t="str">
        <x:f>IF(AND(C135&gt;='核验与方法'!$B$7,F135&gt;='核验与方法'!$B$8,G135&gt;='核验与方法'!$B$9,D135&gt;='核验与方法'!$B$10,E135&gt;='核验与方法'!$B$11),"通过需求门槛","未通过需求门槛")</x:f>
        <x:v>未通过需求门槛</x:v>
      </x:c>
      <x:c r="N135" s="2" t="str">
        <x:v>待确认具体产品形态</x:v>
      </x:c>
      <x:c r="O135" s="9" t="n">
        <x:f>G135-'原始数据'!J132</x:f>
        <x:v>0.00004862937137378731</x:v>
      </x:c>
      <x:c r="P135" s="2" t="str">
        <x:v>DATA HOLD</x:v>
      </x:c>
    </x:row>
    <x:row r="136" ht="48" customHeight="1">
      <x:c r="A136" s="2" t="n">
        <x:v>131</x:v>
      </x:c>
      <x:c r="B136" s="2" t="str">
        <x:v>womens ankle boots</x:v>
      </x:c>
      <x:c r="C136" s="10" t="n">
        <x:f>'原始数据'!D133</x:f>
        <x:v>252992</x:v>
      </x:c>
      <x:c r="D136" s="9" t="n">
        <x:f>IF(ISNUMBER('原始数据'!E133),'原始数据'!E133,VALUE(SUBSTITUTE('原始数据'!E133,"'","")))</x:f>
        <x:v>0.9771</x:v>
      </x:c>
      <x:c r="E136" s="9" t="n">
        <x:f>IF(ISNUMBER('原始数据'!H133),'原始数据'!H133,VALUE(SUBSTITUTE('原始数据'!H133,"'","")))</x:f>
        <x:v>1.0183</x:v>
      </x:c>
      <x:c r="F136" s="10" t="n">
        <x:f>'原始数据'!L133</x:f>
        <x:v>443</x:v>
      </x:c>
      <x:c r="G136" s="9" t="n">
        <x:f>F136/'原始数据'!G133</x:f>
        <x:v>0.007259676837861754</x:v>
      </x:c>
      <x:c r="H136" s="9" t="n">
        <x:f>'原始数据'!P133/'原始数据'!O133</x:f>
        <x:v>0.06561054254871723</x:v>
      </x:c>
      <x:c r="I136" s="9" t="n">
        <x:f>F136/C136</x:f>
        <x:v>0.001751043511257273</x:v>
      </x:c>
      <x:c r="J136" s="9" t="n">
        <x:f>'原始数据'!G133/'原始数据'!F133</x:f>
        <x:v>0.01229622575469088</x:v>
      </x:c>
      <x:c r="K136" s="2" t="str">
        <x:v>待拆分产品市场</x:v>
      </x:c>
      <x:c r="L136" s="15" t="str">
        <x:v>尺码/颜色变体及退货待核验</x:v>
      </x:c>
      <x:c r="M136" s="2" t="str">
        <x:f>IF(AND(C136&gt;='核验与方法'!$B$7,F136&gt;='核验与方法'!$B$8,G136&gt;='核验与方法'!$B$9,D136&gt;='核验与方法'!$B$10,E136&gt;='核验与方法'!$B$11),"通过需求门槛","未通过需求门槛")</x:f>
        <x:v>未通过需求门槛</x:v>
      </x:c>
      <x:c r="N136" s="2" t="str">
        <x:v>先核验风险标签</x:v>
      </x:c>
      <x:c r="O136" s="9" t="n">
        <x:f>G136-'原始数据'!J133</x:f>
        <x:v>0.00005967683786175463</x:v>
      </x:c>
      <x:c r="P136" s="2" t="str">
        <x:v>DATA HOLD</x:v>
      </x:c>
    </x:row>
    <x:row r="137" ht="48" customHeight="1">
      <x:c r="A137" s="2" t="n">
        <x:v>132</x:v>
      </x:c>
      <x:c r="B137" s="2" t="str">
        <x:v>dolly parton cookbook</x:v>
      </x:c>
      <x:c r="C137" s="10" t="n">
        <x:f>'原始数据'!D134</x:f>
        <x:v>252823</x:v>
      </x:c>
      <x:c r="D137" s="9" t="n">
        <x:f>IF(ISNUMBER('原始数据'!E134),'原始数据'!E134,VALUE(SUBSTITUTE('原始数据'!E134,"'","")))</x:f>
        <x:v>121.8488</x:v>
      </x:c>
      <x:c r="E137" s="9" t="n">
        <x:f>IF(ISNUMBER('原始数据'!H134),'原始数据'!H134,VALUE(SUBSTITUTE('原始数据'!H134,"'","")))</x:f>
        <x:v>158.4547</x:v>
      </x:c>
      <x:c r="F137" s="10" t="n">
        <x:f>'原始数据'!L134</x:f>
        <x:v>14264</x:v>
      </x:c>
      <x:c r="G137" s="9" t="n">
        <x:f>F137/'原始数据'!G134</x:f>
        <x:v>0.08618002102541175</x:v>
      </x:c>
      <x:c r="H137" s="9" t="n">
        <x:f>'原始数据'!P134/'原始数据'!O134</x:f>
        <x:v>0.16933893174494677</x:v>
      </x:c>
      <x:c r="I137" s="9" t="n">
        <x:f>F137/C137</x:f>
        <x:v>0.056418917582656644</x:v>
      </x:c>
      <x:c r="J137" s="9" t="n">
        <x:f>'原始数据'!G134/'原始数据'!F134</x:f>
        <x:v>0.04972473453593923</x:v>
      </x:c>
      <x:c r="K137" s="2" t="str">
        <x:v>待拆分产品市场</x:v>
      </x:c>
      <x:c r="L137" s="15" t="str">
        <x:v>内容/导航或宽泛需求需拆分；品牌或IP需核验</x:v>
      </x:c>
      <x:c r="M137" s="2" t="str">
        <x:f>IF(AND(C137&gt;='核验与方法'!$B$7,F137&gt;='核验与方法'!$B$8,G137&gt;='核验与方法'!$B$9,D137&gt;='核验与方法'!$B$10,E137&gt;='核验与方法'!$B$11),"通过需求门槛","未通过需求门槛")</x:f>
        <x:v>通过需求门槛</x:v>
      </x:c>
      <x:c r="N137" s="2" t="str">
        <x:v>先核验风险标签</x:v>
      </x:c>
      <x:c r="O137" s="9" t="n">
        <x:f>G137-'原始数据'!J134</x:f>
        <x:v>0.0000800210254117556</x:v>
      </x:c>
      <x:c r="P137" s="2" t="str">
        <x:v>DATA HOLD</x:v>
      </x:c>
    </x:row>
    <x:row r="138" ht="48" customHeight="1">
      <x:c r="A138" s="2" t="n">
        <x:v>133</x:v>
      </x:c>
      <x:c r="B138" s="2" t="str">
        <x:v>24x36 poster frame</x:v>
      </x:c>
      <x:c r="C138" s="10" t="n">
        <x:f>'原始数据'!D135</x:f>
        <x:v>251105</x:v>
      </x:c>
      <x:c r="D138" s="9" t="n">
        <x:f>IF(ISNUMBER('原始数据'!E135),'原始数据'!E135,VALUE(SUBSTITUTE('原始数据'!E135,"'","")))</x:f>
        <x:v>0.2505</x:v>
      </x:c>
      <x:c r="E138" s="9" t="n">
        <x:f>IF(ISNUMBER('原始数据'!H135),'原始数据'!H135,VALUE(SUBSTITUTE('原始数据'!H135,"'","")))</x:f>
        <x:v>-0.0502</x:v>
      </x:c>
      <x:c r="F138" s="10" t="n">
        <x:f>'原始数据'!L135</x:f>
        <x:v>8895</x:v>
      </x:c>
      <x:c r="G138" s="9" t="n">
        <x:f>F138/'原始数据'!G135</x:f>
        <x:v>0.13896266208404937</x:v>
      </x:c>
      <x:c r="H138" s="9" t="n">
        <x:f>'原始数据'!P135/'原始数据'!O135</x:f>
        <x:v>0.28488283044876705</x:v>
      </x:c>
      <x:c r="I138" s="9" t="n">
        <x:f>F138/C138</x:f>
        <x:v>0.035423428446267495</x:v>
      </x:c>
      <x:c r="J138" s="9" t="n">
        <x:f>'原始数据'!G135/'原始数据'!F135</x:f>
        <x:v>0.010551075711921513</x:v>
      </x:c>
      <x:c r="K138" s="2" t="str">
        <x:v>待拆分产品市场</x:v>
      </x:c>
      <x:c r="L138" s="15" t="str">
        <x:v>暂无自动识别标签，仍需核验</x:v>
      </x:c>
      <x:c r="M138" s="2" t="str">
        <x:f>IF(AND(C138&gt;='核验与方法'!$B$7,F138&gt;='核验与方法'!$B$8,G138&gt;='核验与方法'!$B$9,D138&gt;='核验与方法'!$B$10,E138&gt;='核验与方法'!$B$11),"通过需求门槛","未通过需求门槛")</x:f>
        <x:v>未通过需求门槛</x:v>
      </x:c>
      <x:c r="N138" s="2" t="str">
        <x:v>待确认具体产品形态</x:v>
      </x:c>
      <x:c r="O138" s="9" t="n">
        <x:f>G138-'原始数据'!J135</x:f>
        <x:v>0.00006266208404936968</x:v>
      </x:c>
      <x:c r="P138" s="2" t="str">
        <x:v>DATA HOLD</x:v>
      </x:c>
    </x:row>
    <x:row r="139" ht="48" customHeight="1">
      <x:c r="A139" s="2" t="n">
        <x:v>134</x:v>
      </x:c>
      <x:c r="B139" s="2" t="str">
        <x:v>hoodies for women</x:v>
      </x:c>
      <x:c r="C139" s="10" t="n">
        <x:f>'原始数据'!D136</x:f>
        <x:v>247730</x:v>
      </x:c>
      <x:c r="D139" s="9" t="n">
        <x:f>IF(ISNUMBER('原始数据'!E136),'原始数据'!E136,VALUE(SUBSTITUTE('原始数据'!E136,"'","")))</x:f>
        <x:v>0.4733</x:v>
      </x:c>
      <x:c r="E139" s="9" t="n">
        <x:f>IF(ISNUMBER('原始数据'!H136),'原始数据'!H136,VALUE(SUBSTITUTE('原始数据'!H136,"'","")))</x:f>
        <x:v>0.5253</x:v>
      </x:c>
      <x:c r="F139" s="10" t="n">
        <x:f>'原始数据'!L136</x:f>
        <x:v>783</x:v>
      </x:c>
      <x:c r="G139" s="9" t="n">
        <x:f>F139/'原始数据'!G136</x:f>
        <x:v>0.010886339937434828</x:v>
      </x:c>
      <x:c r="H139" s="9" t="n">
        <x:f>'原始数据'!P136/'原始数据'!O136</x:f>
        <x:v>0.1203842940685046</x:v>
      </x:c>
      <x:c r="I139" s="9" t="n">
        <x:f>F139/C139</x:f>
        <x:v>0.0031606991482662577</x:v>
      </x:c>
      <x:c r="J139" s="9" t="n">
        <x:f>'原始数据'!G136/'原始数据'!F136</x:f>
        <x:v>0.013147461045676939</x:v>
      </x:c>
      <x:c r="K139" s="2" t="str">
        <x:v>待拆分产品市场</x:v>
      </x:c>
      <x:c r="L139" s="15" t="str">
        <x:v>尺码/颜色变体及退货待核验</x:v>
      </x:c>
      <x:c r="M139" s="2" t="str">
        <x:f>IF(AND(C139&gt;='核验与方法'!$B$7,F139&gt;='核验与方法'!$B$8,G139&gt;='核验与方法'!$B$9,D139&gt;='核验与方法'!$B$10,E139&gt;='核验与方法'!$B$11),"通过需求门槛","未通过需求门槛")</x:f>
        <x:v>未通过需求门槛</x:v>
      </x:c>
      <x:c r="N139" s="2" t="str">
        <x:v>先核验风险标签</x:v>
      </x:c>
      <x:c r="O139" s="9" t="n">
        <x:f>G139-'原始数据'!J136</x:f>
        <x:v>0.0000863399374348272</x:v>
      </x:c>
      <x:c r="P139" s="2" t="str">
        <x:v>DATA HOLD</x:v>
      </x:c>
    </x:row>
    <x:row r="140" ht="48" customHeight="1">
      <x:c r="A140" s="2" t="n">
        <x:v>135</x:v>
      </x:c>
      <x:c r="B140" s="2" t="str">
        <x:v>banana</x:v>
      </x:c>
      <x:c r="C140" s="10" t="n">
        <x:f>'原始数据'!D137</x:f>
        <x:v>246434</x:v>
      </x:c>
      <x:c r="D140" s="9" t="n">
        <x:f>IF(ISNUMBER('原始数据'!E137),'原始数据'!E137,VALUE(SUBSTITUTE('原始数据'!E137,"'","")))</x:f>
        <x:v>0.0606</x:v>
      </x:c>
      <x:c r="E140" s="9" t="n">
        <x:f>IF(ISNUMBER('原始数据'!H137),'原始数据'!H137,VALUE(SUBSTITUTE('原始数据'!H137,"'","")))</x:f>
        <x:v>0.0272</x:v>
      </x:c>
      <x:c r="F140" s="10" t="n">
        <x:f>'原始数据'!L137</x:f>
        <x:v>56909</x:v>
      </x:c>
      <x:c r="G140" s="9" t="n">
        <x:f>F140/'原始数据'!G137</x:f>
        <x:v>0.47951230609785894</x:v>
      </x:c>
      <x:c r="H140" s="9" t="n">
        <x:f>'原始数据'!P137/'原始数据'!O137</x:f>
        <x:v>0.5597574815063887</x:v>
      </x:c>
      <x:c r="I140" s="9" t="n">
        <x:f>F140/C140</x:f>
        <x:v>0.23092998531046852</x:v>
      </x:c>
      <x:c r="J140" s="9" t="n">
        <x:f>'原始数据'!G137/'原始数据'!F137</x:f>
        <x:v>0.02522638298632116</x:v>
      </x:c>
      <x:c r="K140" s="2" t="str">
        <x:v>专业供给</x:v>
      </x:c>
      <x:c r="L140" s="15" t="str">
        <x:v>食品/补剂或耗材需独立供应链</x:v>
      </x:c>
      <x:c r="M140" s="2" t="str">
        <x:f>IF(AND(C140&gt;='核验与方法'!$B$7,F140&gt;='核验与方法'!$B$8,G140&gt;='核验与方法'!$B$9,D140&gt;='核验与方法'!$B$10,E140&gt;='核验与方法'!$B$11),"通过需求门槛","未通过需求门槛")</x:f>
        <x:v>通过需求门槛</x:v>
      </x:c>
      <x:c r="N140" s="2" t="str">
        <x:v>先核验风险标签</x:v>
      </x:c>
      <x:c r="O140" s="9" t="n">
        <x:f>G140-'原始数据'!J137</x:f>
        <x:v>0.00001230609785896064</x:v>
      </x:c>
      <x:c r="P140" s="2" t="str">
        <x:v>DATA HOLD</x:v>
      </x:c>
    </x:row>
    <x:row r="141" ht="48" customHeight="1">
      <x:c r="A141" s="2" t="n">
        <x:v>136</x:v>
      </x:c>
      <x:c r="B141" s="2" t="str">
        <x:v>rock</x:v>
      </x:c>
      <x:c r="C141" s="10" t="n">
        <x:f>'原始数据'!D138</x:f>
        <x:v>246320</x:v>
      </x:c>
      <x:c r="D141" s="9" t="n">
        <x:f>IF(ISNUMBER('原始数据'!E138),'原始数据'!E138,VALUE(SUBSTITUTE('原始数据'!E138,"'","")))</x:f>
        <x:v>0.8085</x:v>
      </x:c>
      <x:c r="E141" s="9" t="n">
        <x:f>IF(ISNUMBER('原始数据'!H138),'原始数据'!H138,VALUE(SUBSTITUTE('原始数据'!H138,"'","")))</x:f>
        <x:v>0.5165</x:v>
      </x:c>
      <x:c r="F141" s="10" t="n">
        <x:f>'原始数据'!L138</x:f>
        <x:v>318</x:v>
      </x:c>
      <x:c r="G141" s="9" t="n">
        <x:f>F141/'原始数据'!G138</x:f>
        <x:v>0.03667820069204152</x:v>
      </x:c>
      <x:c r="H141" s="9" t="n">
        <x:f>'原始数据'!P138/'原始数据'!O138</x:f>
        <x:v>0.06056616194865043</x:v>
      </x:c>
      <x:c r="I141" s="9" t="n">
        <x:f>F141/C141</x:f>
        <x:v>0.0012910035725885029</x:v>
      </x:c>
      <x:c r="J141" s="9" t="n">
        <x:f>'原始数据'!G138/'原始数据'!F138</x:f>
        <x:v>0.012167003703428231</x:v>
      </x:c>
      <x:c r="K141" s="2" t="str">
        <x:v>待拆分产品市场</x:v>
      </x:c>
      <x:c r="L141" s="15" t="str">
        <x:v>暂无自动识别标签，仍需核验</x:v>
      </x:c>
      <x:c r="M141" s="2" t="str">
        <x:f>IF(AND(C141&gt;='核验与方法'!$B$7,F141&gt;='核验与方法'!$B$8,G141&gt;='核验与方法'!$B$9,D141&gt;='核验与方法'!$B$10,E141&gt;='核验与方法'!$B$11),"通过需求门槛","未通过需求门槛")</x:f>
        <x:v>未通过需求门槛</x:v>
      </x:c>
      <x:c r="N141" s="2" t="str">
        <x:v>待确认具体产品形态</x:v>
      </x:c>
      <x:c r="O141" s="9" t="n">
        <x:f>G141-'原始数据'!J138</x:f>
        <x:v>0.0000782006920415218</x:v>
      </x:c>
      <x:c r="P141" s="2" t="str">
        <x:v>DATA HOLD</x:v>
      </x:c>
    </x:row>
    <x:row r="142" ht="48" customHeight="1">
      <x:c r="A142" s="2" t="n">
        <x:v>137</x:v>
      </x:c>
      <x:c r="B142" s="2" t="str">
        <x:v>fig</x:v>
      </x:c>
      <x:c r="C142" s="10" t="n">
        <x:f>'原始数据'!D139</x:f>
        <x:v>245589</x:v>
      </x:c>
      <x:c r="D142" s="9" t="n">
        <x:f>IF(ISNUMBER('原始数据'!E139),'原始数据'!E139,VALUE(SUBSTITUTE('原始数据'!E139,"'","")))</x:f>
        <x:v>-0.2207</x:v>
      </x:c>
      <x:c r="E142" s="9" t="n">
        <x:f>IF(ISNUMBER('原始数据'!H139),'原始数据'!H139,VALUE(SUBSTITUTE('原始数据'!H139,"'","")))</x:f>
        <x:v>0.146</x:v>
      </x:c>
      <x:c r="F142" s="10" t="n">
        <x:f>'原始数据'!L139</x:f>
        <x:v>10569</x:v>
      </x:c>
      <x:c r="G142" s="9" t="n">
        <x:f>F142/'原始数据'!G139</x:f>
        <x:v>0.19482027649769584</x:v>
      </x:c>
      <x:c r="H142" s="9" t="n">
        <x:f>'原始数据'!P139/'原始数据'!O139</x:f>
        <x:v>0.3048560856609581</x:v>
      </x:c>
      <x:c r="I142" s="9" t="n">
        <x:f>F142/C142</x:f>
        <x:v>0.04303531509961765</x:v>
      </x:c>
      <x:c r="J142" s="9" t="n">
        <x:f>'原始数据'!G139/'原始数据'!F139</x:f>
        <x:v>0.017063955390259736</x:v>
      </x:c>
      <x:c r="K142" s="2" t="str">
        <x:v>专业供给</x:v>
      </x:c>
      <x:c r="L142" s="15" t="str">
        <x:v>食品/补剂或耗材需独立供应链</x:v>
      </x:c>
      <x:c r="M142" s="2" t="str">
        <x:f>IF(AND(C142&gt;='核验与方法'!$B$7,F142&gt;='核验与方法'!$B$8,G142&gt;='核验与方法'!$B$9,D142&gt;='核验与方法'!$B$10,E142&gt;='核验与方法'!$B$11),"通过需求门槛","未通过需求门槛")</x:f>
        <x:v>未通过需求门槛</x:v>
      </x:c>
      <x:c r="N142" s="2" t="str">
        <x:v>先核验风险标签</x:v>
      </x:c>
      <x:c r="O142" s="9" t="n">
        <x:f>G142-'原始数据'!J139</x:f>
        <x:v>0.0000202764976958425</x:v>
      </x:c>
      <x:c r="P142" s="2" t="str">
        <x:v>DATA HOLD</x:v>
      </x:c>
    </x:row>
    <x:row r="143" ht="48" customHeight="1">
      <x:c r="A143" s="2" t="n">
        <x:v>138</x:v>
      </x:c>
      <x:c r="B143" s="2" t="str">
        <x:v>hair accessories</x:v>
      </x:c>
      <x:c r="C143" s="10" t="n">
        <x:f>'原始数据'!D140</x:f>
        <x:v>245109</x:v>
      </x:c>
      <x:c r="D143" s="9" t="n">
        <x:f>IF(ISNUMBER('原始数据'!E140),'原始数据'!E140,VALUE(SUBSTITUTE('原始数据'!E140,"'","")))</x:f>
        <x:v>-0.0076</x:v>
      </x:c>
      <x:c r="E143" s="9" t="n">
        <x:f>IF(ISNUMBER('原始数据'!H140),'原始数据'!H140,VALUE(SUBSTITUTE('原始数据'!H140,"'","")))</x:f>
        <x:v>-0.035</x:v>
      </x:c>
      <x:c r="F143" s="10" t="n">
        <x:f>'原始数据'!L140</x:f>
        <x:v>3631</x:v>
      </x:c>
      <x:c r="G143" s="9" t="n">
        <x:f>F143/'原始数据'!G140</x:f>
        <x:v>0.05588131184880804</x:v>
      </x:c>
      <x:c r="H143" s="9" t="n">
        <x:f>'原始数据'!P140/'原始数据'!O140</x:f>
        <x:v>0.14142284494062113</x:v>
      </x:c>
      <x:c r="I143" s="9" t="n">
        <x:f>F143/C143</x:f>
        <x:v>0.014813817526080233</x:v>
      </x:c>
      <x:c r="J143" s="9" t="n">
        <x:f>'原始数据'!G140/'原始数据'!F140</x:f>
        <x:v>0.010997966856304877</x:v>
      </x:c>
      <x:c r="K143" s="2" t="str">
        <x:v>待拆分产品市场</x:v>
      </x:c>
      <x:c r="L143" s="15" t="str">
        <x:v>暂无自动识别标签，仍需核验</x:v>
      </x:c>
      <x:c r="M143" s="2" t="str">
        <x:f>IF(AND(C143&gt;='核验与方法'!$B$7,F143&gt;='核验与方法'!$B$8,G143&gt;='核验与方法'!$B$9,D143&gt;='核验与方法'!$B$10,E143&gt;='核验与方法'!$B$11),"通过需求门槛","未通过需求门槛")</x:f>
        <x:v>未通过需求门槛</x:v>
      </x:c>
      <x:c r="N143" s="2" t="str">
        <x:v>待确认具体产品形态</x:v>
      </x:c>
      <x:c r="O143" s="9" t="n">
        <x:f>G143-'原始数据'!J140</x:f>
        <x:v>0.00008131184880803832</x:v>
      </x:c>
      <x:c r="P143" s="2" t="str">
        <x:v>DATA HOLD</x:v>
      </x:c>
    </x:row>
    <x:row r="144" ht="48" customHeight="1">
      <x:c r="A144" s="2" t="n">
        <x:v>139</x:v>
      </x:c>
      <x:c r="B144" s="2" t="str">
        <x:v>jason statham movies</x:v>
      </x:c>
      <x:c r="C144" s="10" t="n">
        <x:f>'原始数据'!D141</x:f>
        <x:v>243877</x:v>
      </x:c>
      <x:c r="D144" s="9" t="n">
        <x:f>IF(ISNUMBER('原始数据'!E141),'原始数据'!E141,VALUE(SUBSTITUTE('原始数据'!E141,"'","")))</x:f>
        <x:v>0.0762</x:v>
      </x:c>
      <x:c r="E144" s="9" t="n">
        <x:f>IF(ISNUMBER('原始数据'!H141),'原始数据'!H141,VALUE(SUBSTITUTE('原始数据'!H141,"'","")))</x:f>
        <x:v>10.0272</x:v>
      </x:c>
      <x:c r="F144" s="10" t="n">
        <x:f>'原始数据'!L141</x:f>
        <x:v>309</x:v>
      </x:c>
      <x:c r="G144" s="9" t="n">
        <x:f>F144/'原始数据'!G141</x:f>
        <x:v>0.008389671743911378</x:v>
      </x:c>
      <x:c r="H144" s="9" t="n">
        <x:f>'原始数据'!P141/'原始数据'!O141</x:f>
        <x:v>0.00913736098587316</x:v>
      </x:c>
      <x:c r="I144" s="9" t="n">
        <x:f>F144/C144</x:f>
        <x:v>0.0012670321514533967</x:v>
      </x:c>
      <x:c r="J144" s="9" t="n">
        <x:f>'原始数据'!G141/'原始数据'!F141</x:f>
        <x:v>0.03224911083130925</x:v>
      </x:c>
      <x:c r="K144" s="2" t="str">
        <x:v>待拆分产品市场</x:v>
      </x:c>
      <x:c r="L144" s="15" t="str">
        <x:v>内容/导航或宽泛需求需拆分</x:v>
      </x:c>
      <x:c r="M144" s="2" t="str">
        <x:f>IF(AND(C144&gt;='核验与方法'!$B$7,F144&gt;='核验与方法'!$B$8,G144&gt;='核验与方法'!$B$9,D144&gt;='核验与方法'!$B$10,E144&gt;='核验与方法'!$B$11),"通过需求门槛","未通过需求门槛")</x:f>
        <x:v>未通过需求门槛</x:v>
      </x:c>
      <x:c r="N144" s="2" t="str">
        <x:v>先核验风险标签</x:v>
      </x:c>
      <x:c r="O144" s="9" t="n">
        <x:f>G144-'原始数据'!J141</x:f>
        <x:v>0.00008967174391137818</x:v>
      </x:c>
      <x:c r="P144" s="2" t="str">
        <x:v>DATA HOLD</x:v>
      </x:c>
    </x:row>
    <x:row r="145" ht="48" customHeight="1">
      <x:c r="A145" s="2" t="n">
        <x:v>140</x:v>
      </x:c>
      <x:c r="B145" s="2" t="str">
        <x:v>ivermectine/fenbendazole</x:v>
      </x:c>
      <x:c r="C145" s="10" t="n">
        <x:f>'原始数据'!D142</x:f>
        <x:v>243061</x:v>
      </x:c>
      <x:c r="D145" s="9" t="n">
        <x:f>IF(ISNUMBER('原始数据'!E142),'原始数据'!E142,VALUE(SUBSTITUTE('原始数据'!E142,"'","")))</x:f>
        <x:v>0.1874</x:v>
      </x:c>
      <x:c r="E145" s="9" t="n">
        <x:f>IF(ISNUMBER('原始数据'!H142),'原始数据'!H142,VALUE(SUBSTITUTE('原始数据'!H142,"'","")))</x:f>
        <x:v>0.1818</x:v>
      </x:c>
      <x:c r="F145" s="10" t="n">
        <x:f>'原始数据'!L142</x:f>
        <x:v>10527</x:v>
      </x:c>
      <x:c r="G145" s="9" t="n">
        <x:f>F145/'原始数据'!G142</x:f>
        <x:v>0.12548874690062942</x:v>
      </x:c>
      <x:c r="H145" s="9" t="n">
        <x:f>'原始数据'!P142/'原始数据'!O142</x:f>
        <x:v>0.23621001284815227</x:v>
      </x:c>
      <x:c r="I145" s="9" t="n">
        <x:f>F145/C145</x:f>
        <x:v>0.043310115567697</x:v>
      </x:c>
      <x:c r="J145" s="9" t="n">
        <x:f>'原始数据'!G142/'原始数据'!F142</x:f>
        <x:v>0.01897806916335238</x:v>
      </x:c>
      <x:c r="K145" s="2" t="str">
        <x:v>待拆分产品市场</x:v>
      </x:c>
      <x:c r="L145" s="15" t="str">
        <x:v>专业类目适配与规则待核验</x:v>
      </x:c>
      <x:c r="M145" s="2" t="str">
        <x:f>IF(AND(C145&gt;='核验与方法'!$B$7,F145&gt;='核验与方法'!$B$8,G145&gt;='核验与方法'!$B$9,D145&gt;='核验与方法'!$B$10,E145&gt;='核验与方法'!$B$11),"通过需求门槛","未通过需求门槛")</x:f>
        <x:v>通过需求门槛</x:v>
      </x:c>
      <x:c r="N145" s="2" t="str">
        <x:v>先核验风险标签</x:v>
      </x:c>
      <x:c r="O145" s="9" t="n">
        <x:f>G145-'原始数据'!J142</x:f>
        <x:v>0.00008874690062940505</x:v>
      </x:c>
      <x:c r="P145" s="2" t="str">
        <x:v>DATA HOLD</x:v>
      </x:c>
    </x:row>
    <x:row r="146" ht="48" customHeight="1">
      <x:c r="A146" s="2" t="n">
        <x:v>141</x:v>
      </x:c>
      <x:c r="B146" s="2" t="str">
        <x:v>yellow dress women</x:v>
      </x:c>
      <x:c r="C146" s="10" t="n">
        <x:f>'原始数据'!D143</x:f>
        <x:v>242050</x:v>
      </x:c>
      <x:c r="D146" s="9" t="n">
        <x:f>IF(ISNUMBER('原始数据'!E143),'原始数据'!E143,VALUE(SUBSTITUTE('原始数据'!E143,"'","")))</x:f>
        <x:v>-0.1837</x:v>
      </x:c>
      <x:c r="E146" s="9" t="n">
        <x:f>IF(ISNUMBER('原始数据'!H143),'原始数据'!H143,VALUE(SUBSTITUTE('原始数据'!H143,"'","")))</x:f>
        <x:v>-0.168</x:v>
      </x:c>
      <x:c r="F146" s="10" t="n">
        <x:f>'原始数据'!L143</x:f>
        <x:v>941</x:v>
      </x:c>
      <x:c r="G146" s="9" t="n">
        <x:f>F146/'原始数据'!G143</x:f>
        <x:v>0.014980736778425192</x:v>
      </x:c>
      <x:c r="H146" s="9" t="n">
        <x:f>'原始数据'!P143/'原始数据'!O143</x:f>
        <x:v>0.10829005577995768</x:v>
      </x:c>
      <x:c r="I146" s="9" t="n">
        <x:f>F146/C146</x:f>
        <x:v>0.003887626523445569</x:v>
      </x:c>
      <x:c r="J146" s="9" t="n">
        <x:f>'原始数据'!G143/'原始数据'!F143</x:f>
        <x:v>0.006388423989409784</x:v>
      </x:c>
      <x:c r="K146" s="2" t="str">
        <x:v>待拆分产品市场</x:v>
      </x:c>
      <x:c r="L146" s="15" t="str">
        <x:v>尺码/颜色变体及退货待核验</x:v>
      </x:c>
      <x:c r="M146" s="2" t="str">
        <x:f>IF(AND(C146&gt;='核验与方法'!$B$7,F146&gt;='核验与方法'!$B$8,G146&gt;='核验与方法'!$B$9,D146&gt;='核验与方法'!$B$10,E146&gt;='核验与方法'!$B$11),"通过需求门槛","未通过需求门槛")</x:f>
        <x:v>未通过需求门槛</x:v>
      </x:c>
      <x:c r="N146" s="2" t="str">
        <x:v>先核验风险标签</x:v>
      </x:c>
      <x:c r="O146" s="9" t="n">
        <x:f>G146-'原始数据'!J143</x:f>
        <x:v>0.00008073677842519202</x:v>
      </x:c>
      <x:c r="P146" s="2" t="str">
        <x:v>DATA HOLD</x:v>
      </x:c>
    </x:row>
    <x:row r="147" ht="48" customHeight="1">
      <x:c r="A147" s="2" t="n">
        <x:v>142</x:v>
      </x:c>
      <x:c r="B147" s="2" t="str">
        <x:v>small vanity</x:v>
      </x:c>
      <x:c r="C147" s="10" t="n">
        <x:f>'原始数据'!D144</x:f>
        <x:v>241329</x:v>
      </x:c>
      <x:c r="D147" s="9" t="n">
        <x:f>IF(ISNUMBER('原始数据'!E144),'原始数据'!E144,VALUE(SUBSTITUTE('原始数据'!E144,"'","")))</x:f>
        <x:v>-0.049</x:v>
      </x:c>
      <x:c r="E147" s="9" t="n">
        <x:f>IF(ISNUMBER('原始数据'!H144),'原始数据'!H144,VALUE(SUBSTITUTE('原始数据'!H144,"'","")))</x:f>
        <x:v>-0.0468</x:v>
      </x:c>
      <x:c r="F147" s="10" t="n">
        <x:f>'原始数据'!L144</x:f>
        <x:v>770</x:v>
      </x:c>
      <x:c r="G147" s="9" t="n">
        <x:f>F147/'原始数据'!G144</x:f>
        <x:v>0.00815444735086363</x:v>
      </x:c>
      <x:c r="H147" s="9" t="n">
        <x:f>'原始数据'!P144/'原始数据'!O144</x:f>
        <x:v>0.031627491817911337</x:v>
      </x:c>
      <x:c r="I147" s="9" t="n">
        <x:f>F147/C147</x:f>
        <x:v>0.0031906650257532247</x:v>
      </x:c>
      <x:c r="J147" s="9" t="n">
        <x:f>'原始数据'!G144/'原始数据'!F144</x:f>
        <x:v>0.016214582598176208</x:v>
      </x:c>
      <x:c r="K147" s="2" t="str">
        <x:v>待拆分产品市场</x:v>
      </x:c>
      <x:c r="L147" s="15" t="str">
        <x:v>体积/安装/售后成本待核验</x:v>
      </x:c>
      <x:c r="M147" s="2" t="str">
        <x:f>IF(AND(C147&gt;='核验与方法'!$B$7,F147&gt;='核验与方法'!$B$8,G147&gt;='核验与方法'!$B$9,D147&gt;='核验与方法'!$B$10,E147&gt;='核验与方法'!$B$11),"通过需求门槛","未通过需求门槛")</x:f>
        <x:v>未通过需求门槛</x:v>
      </x:c>
      <x:c r="N147" s="2" t="str">
        <x:v>先核验风险标签</x:v>
      </x:c>
      <x:c r="O147" s="9" t="n">
        <x:f>G147-'原始数据'!J144</x:f>
        <x:v>0.000054447350863630686</x:v>
      </x:c>
      <x:c r="P147" s="2" t="str">
        <x:v>DATA HOLD</x:v>
      </x:c>
    </x:row>
    <x:row r="148" ht="48" customHeight="1">
      <x:c r="A148" s="2" t="n">
        <x:v>143</x:v>
      </x:c>
      <x:c r="B148" s="2" t="str">
        <x:v>muffins</x:v>
      </x:c>
      <x:c r="C148" s="10" t="n">
        <x:f>'原始数据'!D145</x:f>
        <x:v>241272</x:v>
      </x:c>
      <x:c r="D148" s="9" t="n">
        <x:f>IF(ISNUMBER('原始数据'!E145),'原始数据'!E145,VALUE(SUBSTITUTE('原始数据'!E145,"'","")))</x:f>
        <x:v>0.2429</x:v>
      </x:c>
      <x:c r="E148" s="9" t="n">
        <x:f>IF(ISNUMBER('原始数据'!H145),'原始数据'!H145,VALUE(SUBSTITUTE('原始数据'!H145,"'","")))</x:f>
        <x:v>0.1027</x:v>
      </x:c>
      <x:c r="F148" s="10" t="n">
        <x:f>'原始数据'!L145</x:f>
        <x:v>24380</x:v>
      </x:c>
      <x:c r="G148" s="9" t="n">
        <x:f>F148/'原始数据'!G145</x:f>
        <x:v>0.362043362043362</x:v>
      </x:c>
      <x:c r="H148" s="9" t="n">
        <x:f>'原始数据'!P145/'原始数据'!O145</x:f>
        <x:v>0.48841109043713965</x:v>
      </x:c>
      <x:c r="I148" s="9" t="n">
        <x:f>F148/C148</x:f>
        <x:v>0.10104778009880964</x:v>
      </x:c>
      <x:c r="J148" s="9" t="n">
        <x:f>'原始数据'!G145/'原始数据'!F145</x:f>
        <x:v>0.01395652585718955</x:v>
      </x:c>
      <x:c r="K148" s="2" t="str">
        <x:v>专业供给</x:v>
      </x:c>
      <x:c r="L148" s="15" t="str">
        <x:v>食品/补剂或耗材需独立供应链</x:v>
      </x:c>
      <x:c r="M148" s="2" t="str">
        <x:f>IF(AND(C148&gt;='核验与方法'!$B$7,F148&gt;='核验与方法'!$B$8,G148&gt;='核验与方法'!$B$9,D148&gt;='核验与方法'!$B$10,E148&gt;='核验与方法'!$B$11),"通过需求门槛","未通过需求门槛")</x:f>
        <x:v>通过需求门槛</x:v>
      </x:c>
      <x:c r="N148" s="2" t="str">
        <x:v>先核验风险标签</x:v>
      </x:c>
      <x:c r="O148" s="9" t="n">
        <x:f>G148-'原始数据'!J145</x:f>
        <x:v>0.000043362043362027425</x:v>
      </x:c>
      <x:c r="P148" s="2" t="str">
        <x:v>DATA HOLD</x:v>
      </x:c>
    </x:row>
    <x:row r="149" ht="48" customHeight="1">
      <x:c r="A149" s="2" t="n">
        <x:v>144</x:v>
      </x:c>
      <x:c r="B149" s="2" t="str">
        <x:v>church dresses for women</x:v>
      </x:c>
      <x:c r="C149" s="10" t="n">
        <x:f>'原始数据'!D146</x:f>
        <x:v>241226</x:v>
      </x:c>
      <x:c r="D149" s="9" t="n">
        <x:f>IF(ISNUMBER('原始数据'!E146),'原始数据'!E146,VALUE(SUBSTITUTE('原始数据'!E146,"'","")))</x:f>
        <x:v>0.083</x:v>
      </x:c>
      <x:c r="E149" s="9" t="n">
        <x:f>IF(ISNUMBER('原始数据'!H146),'原始数据'!H146,VALUE(SUBSTITUTE('原始数据'!H146,"'","")))</x:f>
        <x:v>0.0879</x:v>
      </x:c>
      <x:c r="F149" s="10" t="n">
        <x:f>'原始数据'!L146</x:f>
        <x:v>340</x:v>
      </x:c>
      <x:c r="G149" s="9" t="n">
        <x:f>F149/'原始数据'!G146</x:f>
        <x:v>0.005059824989582714</x:v>
      </x:c>
      <x:c r="H149" s="9" t="n">
        <x:f>'原始数据'!P146/'原始数据'!O146</x:f>
        <x:v>0.08119481495397332</x:v>
      </x:c>
      <x:c r="I149" s="9" t="n">
        <x:f>F149/C149</x:f>
        <x:v>0.001409466641240994</x:v>
      </x:c>
      <x:c r="J149" s="9" t="n">
        <x:f>'原始数据'!G146/'原始数据'!F146</x:f>
        <x:v>0.008379649657417785</x:v>
      </x:c>
      <x:c r="K149" s="2" t="str">
        <x:v>待拆分产品市场</x:v>
      </x:c>
      <x:c r="L149" s="15" t="str">
        <x:v>尺码/颜色变体及退货待核验</x:v>
      </x:c>
      <x:c r="M149" s="2" t="str">
        <x:f>IF(AND(C149&gt;='核验与方法'!$B$7,F149&gt;='核验与方法'!$B$8,G149&gt;='核验与方法'!$B$9,D149&gt;='核验与方法'!$B$10,E149&gt;='核验与方法'!$B$11),"通过需求门槛","未通过需求门槛")</x:f>
        <x:v>未通过需求门槛</x:v>
      </x:c>
      <x:c r="N149" s="2" t="str">
        <x:v>先核验风险标签</x:v>
      </x:c>
      <x:c r="O149" s="9" t="n">
        <x:f>G149-'原始数据'!J146</x:f>
        <x:v>0.000059824989582713504</x:v>
      </x:c>
      <x:c r="P149" s="2" t="str">
        <x:v>DATA HOLD</x:v>
      </x:c>
    </x:row>
    <x:row r="150" ht="48" customHeight="1">
      <x:c r="A150" s="2" t="n">
        <x:v>145</x:v>
      </x:c>
      <x:c r="B150" s="2" t="str">
        <x:v>wide calf boots for women</x:v>
      </x:c>
      <x:c r="C150" s="10" t="n">
        <x:f>'原始数据'!D147</x:f>
        <x:v>240812</x:v>
      </x:c>
      <x:c r="D150" s="9" t="n">
        <x:f>IF(ISNUMBER('原始数据'!E147),'原始数据'!E147,VALUE(SUBSTITUTE('原始数据'!E147,"'","")))</x:f>
        <x:v>2.4299</x:v>
      </x:c>
      <x:c r="E150" s="9" t="n">
        <x:f>IF(ISNUMBER('原始数据'!H147),'原始数据'!H147,VALUE(SUBSTITUTE('原始数据'!H147,"'","")))</x:f>
        <x:v>2.5811</x:v>
      </x:c>
      <x:c r="F150" s="10" t="n">
        <x:f>'原始数据'!L147</x:f>
        <x:v>290</x:v>
      </x:c>
      <x:c r="G150" s="9" t="n">
        <x:f>F150/'原始数据'!G147</x:f>
        <x:v>0.004008459231205164</x:v>
      </x:c>
      <x:c r="H150" s="9" t="n">
        <x:f>'原始数据'!P147/'原始数据'!O147</x:f>
        <x:v>0.05028976175144881</x:v>
      </x:c>
      <x:c r="I150" s="9" t="n">
        <x:f>F150/C150</x:f>
        <x:v>0.0012042589239738884</x:v>
      </x:c>
      <x:c r="J150" s="9" t="n">
        <x:f>'原始数据'!G147/'原始数据'!F147</x:f>
        <x:v>0.020713394892984467</x:v>
      </x:c>
      <x:c r="K150" s="2" t="str">
        <x:v>待拆分产品市场</x:v>
      </x:c>
      <x:c r="L150" s="15" t="str">
        <x:v>尺码/颜色变体及退货待核验</x:v>
      </x:c>
      <x:c r="M150" s="2" t="str">
        <x:f>IF(AND(C150&gt;='核验与方法'!$B$7,F150&gt;='核验与方法'!$B$8,G150&gt;='核验与方法'!$B$9,D150&gt;='核验与方法'!$B$10,E150&gt;='核验与方法'!$B$11),"通过需求门槛","未通过需求门槛")</x:f>
        <x:v>未通过需求门槛</x:v>
      </x:c>
      <x:c r="N150" s="2" t="str">
        <x:v>先核验风险标签</x:v>
      </x:c>
      <x:c r="O150" s="9" t="n">
        <x:f>G150-'原始数据'!J147</x:f>
        <x:v>0.000008459231205164112</x:v>
      </x:c>
      <x:c r="P150" s="2" t="str">
        <x:v>DATA HOLD</x:v>
      </x:c>
    </x:row>
    <x:row r="151" ht="48" customHeight="1">
      <x:c r="A151" s="2" t="n">
        <x:v>146</x:v>
      </x:c>
      <x:c r="B151" s="2" t="str">
        <x:v>gingham dress women</x:v>
      </x:c>
      <x:c r="C151" s="10" t="n">
        <x:f>'原始数据'!D148</x:f>
        <x:v>239230</x:v>
      </x:c>
      <x:c r="D151" s="9" t="n">
        <x:f>IF(ISNUMBER('原始数据'!E148),'原始数据'!E148,VALUE(SUBSTITUTE('原始数据'!E148,"'","")))</x:f>
        <x:v>0.1233</x:v>
      </x:c>
      <x:c r="E151" s="9" t="n">
        <x:f>IF(ISNUMBER('原始数据'!H148),'原始数据'!H148,VALUE(SUBSTITUTE('原始数据'!H148,"'","")))</x:f>
        <x:v>0.1288</x:v>
      </x:c>
      <x:c r="F151" s="10" t="n">
        <x:f>'原始数据'!L148</x:f>
        <x:v>467</x:v>
      </x:c>
      <x:c r="G151" s="9" t="n">
        <x:f>F151/'原始数据'!G148</x:f>
        <x:v>0.007060353168843735</x:v>
      </x:c>
      <x:c r="H151" s="9" t="n">
        <x:f>'原始数据'!P148/'原始数据'!O148</x:f>
        <x:v>0.08231354642313546</x:v>
      </x:c>
      <x:c r="I151" s="9" t="n">
        <x:f>F151/C151</x:f>
        <x:v>0.0019520963089913472</x:v>
      </x:c>
      <x:c r="J151" s="9" t="n">
        <x:f>'原始数据'!G148/'原始数据'!F148</x:f>
        <x:v>0.008666383919078112</x:v>
      </x:c>
      <x:c r="K151" s="2" t="str">
        <x:v>待拆分产品市场</x:v>
      </x:c>
      <x:c r="L151" s="15" t="str">
        <x:v>尺码/颜色变体及退货待核验</x:v>
      </x:c>
      <x:c r="M151" s="2" t="str">
        <x:f>IF(AND(C151&gt;='核验与方法'!$B$7,F151&gt;='核验与方法'!$B$8,G151&gt;='核验与方法'!$B$9,D151&gt;='核验与方法'!$B$10,E151&gt;='核验与方法'!$B$11),"通过需求门槛","未通过需求门槛")</x:f>
        <x:v>未通过需求门槛</x:v>
      </x:c>
      <x:c r="N151" s="2" t="str">
        <x:v>先核验风险标签</x:v>
      </x:c>
      <x:c r="O151" s="9" t="n">
        <x:f>G151-'原始数据'!J148</x:f>
        <x:v>0.00006035316884373497</x:v>
      </x:c>
      <x:c r="P151" s="2" t="str">
        <x:v>DATA HOLD</x:v>
      </x:c>
    </x:row>
    <x:row r="152" ht="48" customHeight="1">
      <x:c r="A152" s="2" t="n">
        <x:v>147</x:v>
      </x:c>
      <x:c r="B152" s="2" t="str">
        <x:v>winter coats for women</x:v>
      </x:c>
      <x:c r="C152" s="10" t="n">
        <x:f>'原始数据'!D149</x:f>
        <x:v>238794</x:v>
      </x:c>
      <x:c r="D152" s="9" t="n">
        <x:f>IF(ISNUMBER('原始数据'!E149),'原始数据'!E149,VALUE(SUBSTITUTE('原始数据'!E149,"'","")))</x:f>
        <x:v>0.8982</x:v>
      </x:c>
      <x:c r="E152" s="9" t="n">
        <x:f>IF(ISNUMBER('原始数据'!H149),'原始数据'!H149,VALUE(SUBSTITUTE('原始数据'!H149,"'","")))</x:f>
        <x:v>0.9194</x:v>
      </x:c>
      <x:c r="F152" s="10" t="n">
        <x:f>'原始数据'!L149</x:f>
        <x:v>379</x:v>
      </x:c>
      <x:c r="G152" s="9" t="n">
        <x:f>F152/'原始数据'!G149</x:f>
        <x:v>0.0050567719382513445</x:v>
      </x:c>
      <x:c r="H152" s="9" t="n">
        <x:f>'原始数据'!P149/'原始数据'!O149</x:f>
        <x:v>0.0580941905809419</x:v>
      </x:c>
      <x:c r="I152" s="9" t="n">
        <x:f>F152/C152</x:f>
        <x:v>0.0015871420554955317</x:v>
      </x:c>
      <x:c r="J152" s="9" t="n">
        <x:f>'原始数据'!G149/'原始数据'!F149</x:f>
        <x:v>0.0159715861797374</x:v>
      </x:c>
      <x:c r="K152" s="2" t="str">
        <x:v>待拆分产品市场</x:v>
      </x:c>
      <x:c r="L152" s="15" t="str">
        <x:v>季节/事件影响待核验；尺码/颜色变体及退货待核验</x:v>
      </x:c>
      <x:c r="M152" s="2" t="str">
        <x:f>IF(AND(C152&gt;='核验与方法'!$B$7,F152&gt;='核验与方法'!$B$8,G152&gt;='核验与方法'!$B$9,D152&gt;='核验与方法'!$B$10,E152&gt;='核验与方法'!$B$11),"通过需求门槛","未通过需求门槛")</x:f>
        <x:v>未通过需求门槛</x:v>
      </x:c>
      <x:c r="N152" s="2" t="str">
        <x:v>先核验风险标签</x:v>
      </x:c>
      <x:c r="O152" s="9" t="n">
        <x:f>G152-'原始数据'!J149</x:f>
        <x:v>0.000056771938251344405</x:v>
      </x:c>
      <x:c r="P152" s="2" t="str">
        <x:v>DATA HOLD</x:v>
      </x:c>
    </x:row>
    <x:row r="153" ht="48" customHeight="1">
      <x:c r="A153" s="2" t="n">
        <x:v>148</x:v>
      </x:c>
      <x:c r="B153" s="2" t="str">
        <x:v>halloween treat bags</x:v>
      </x:c>
      <x:c r="C153" s="10" t="n">
        <x:f>'原始数据'!D150</x:f>
        <x:v>238124</x:v>
      </x:c>
      <x:c r="D153" s="9" t="n">
        <x:f>IF(ISNUMBER('原始数据'!E150),'原始数据'!E150,VALUE(SUBSTITUTE('原始数据'!E150,"'","")))</x:f>
        <x:v>2.6467</x:v>
      </x:c>
      <x:c r="E153" s="9" t="n">
        <x:f>IF(ISNUMBER('原始数据'!H150),'原始数据'!H150,VALUE(SUBSTITUTE('原始数据'!H150,"'","")))</x:f>
        <x:v>2.7764</x:v>
      </x:c>
      <x:c r="F153" s="10" t="n">
        <x:f>'原始数据'!L150</x:f>
        <x:v>7129</x:v>
      </x:c>
      <x:c r="G153" s="9" t="n">
        <x:f>F153/'原始数据'!G150</x:f>
        <x:v>0.06064085878820357</x:v>
      </x:c>
      <x:c r="H153" s="9" t="n">
        <x:f>'原始数据'!P150/'原始数据'!O150</x:f>
        <x:v>0.11873326128835221</x:v>
      </x:c>
      <x:c r="I153" s="9" t="n">
        <x:f>F153/C153</x:f>
        <x:v>0.029938183467437134</x:v>
      </x:c>
      <x:c r="J153" s="9" t="n">
        <x:f>'原始数据'!G150/'原始数据'!F150</x:f>
        <x:v>0.034145219346895454</x:v>
      </x:c>
      <x:c r="K153" s="2" t="str">
        <x:v>待拆分产品市场</x:v>
      </x:c>
      <x:c r="L153" s="15" t="str">
        <x:v>季节/事件影响待核验</x:v>
      </x:c>
      <x:c r="M153" s="2" t="str">
        <x:f>IF(AND(C153&gt;='核验与方法'!$B$7,F153&gt;='核验与方法'!$B$8,G153&gt;='核验与方法'!$B$9,D153&gt;='核验与方法'!$B$10,E153&gt;='核验与方法'!$B$11),"通过需求门槛","未通过需求门槛")</x:f>
        <x:v>通过需求门槛</x:v>
      </x:c>
      <x:c r="N153" s="2" t="str">
        <x:v>先核验风险标签</x:v>
      </x:c>
      <x:c r="O153" s="9" t="n">
        <x:f>G153-'原始数据'!J150</x:f>
        <x:v>0.00004085878820356964</x:v>
      </x:c>
      <x:c r="P153" s="2" t="str">
        <x:v>DATA HOLD</x:v>
      </x:c>
    </x:row>
    <x:row r="154" ht="48" customHeight="1">
      <x:c r="A154" s="2" t="n">
        <x:v>149</x:v>
      </x:c>
      <x:c r="B154" s="2" t="str">
        <x:v>waffles</x:v>
      </x:c>
      <x:c r="C154" s="10" t="n">
        <x:f>'原始数据'!D151</x:f>
        <x:v>237660</x:v>
      </x:c>
      <x:c r="D154" s="9" t="n">
        <x:f>IF(ISNUMBER('原始数据'!E151),'原始数据'!E151,VALUE(SUBSTITUTE('原始数据'!E151,"'","")))</x:f>
        <x:v>0.1373</x:v>
      </x:c>
      <x:c r="E154" s="9" t="n">
        <x:f>IF(ISNUMBER('原始数据'!H151),'原始数据'!H151,VALUE(SUBSTITUTE('原始数据'!H151,"'","")))</x:f>
        <x:v>0.0162</x:v>
      </x:c>
      <x:c r="F154" s="10" t="n">
        <x:f>'原始数据'!L151</x:f>
        <x:v>32828</x:v>
      </x:c>
      <x:c r="G154" s="9" t="n">
        <x:f>F154/'原始数据'!G151</x:f>
        <x:v>0.3394302848575712</x:v>
      </x:c>
      <x:c r="H154" s="9" t="n">
        <x:f>'原始数据'!P151/'原始数据'!O151</x:f>
        <x:v>0.49512561214124357</x:v>
      </x:c>
      <x:c r="I154" s="9" t="n">
        <x:f>F154/C154</x:f>
        <x:v>0.1381301018261382</x:v>
      </x:c>
      <x:c r="J154" s="9" t="n">
        <x:f>'原始数据'!G151/'原始数据'!F151</x:f>
        <x:v>0.017876028728810396</x:v>
      </x:c>
      <x:c r="K154" s="2" t="str">
        <x:v>专业供给</x:v>
      </x:c>
      <x:c r="L154" s="15" t="str">
        <x:v>食品/补剂或耗材需独立供应链</x:v>
      </x:c>
      <x:c r="M154" s="2" t="str">
        <x:f>IF(AND(C154&gt;='核验与方法'!$B$7,F154&gt;='核验与方法'!$B$8,G154&gt;='核验与方法'!$B$9,D154&gt;='核验与方法'!$B$10,E154&gt;='核验与方法'!$B$11),"通过需求门槛","未通过需求门槛")</x:f>
        <x:v>通过需求门槛</x:v>
      </x:c>
      <x:c r="N154" s="2" t="str">
        <x:v>先核验风险标签</x:v>
      </x:c>
      <x:c r="O154" s="9" t="n">
        <x:f>G154-'原始数据'!J151</x:f>
        <x:v>0.000030284857571227786</x:v>
      </x:c>
      <x:c r="P154" s="2" t="str">
        <x:v>DATA HOLD</x:v>
      </x:c>
    </x:row>
    <x:row r="155" ht="48" customHeight="1">
      <x:c r="A155" s="2" t="n">
        <x:v>150</x:v>
      </x:c>
      <x:c r="B155" s="2" t="str">
        <x:v>wireless hdmi transmitter and receiver</x:v>
      </x:c>
      <x:c r="C155" s="10" t="n">
        <x:f>'原始数据'!D152</x:f>
        <x:v>236450</x:v>
      </x:c>
      <x:c r="D155" s="9" t="n">
        <x:f>IF(ISNUMBER('原始数据'!E152),'原始数据'!E152,VALUE(SUBSTITUTE('原始数据'!E152,"'","")))</x:f>
        <x:v>-0.1856</x:v>
      </x:c>
      <x:c r="E155" s="9" t="n">
        <x:f>IF(ISNUMBER('原始数据'!H152),'原始数据'!H152,VALUE(SUBSTITUTE('原始数据'!H152,"'","")))</x:f>
        <x:v>-0.191</x:v>
      </x:c>
      <x:c r="F155" s="10" t="n">
        <x:f>'原始数据'!L152</x:f>
        <x:v>7483</x:v>
      </x:c>
      <x:c r="G155" s="9" t="n">
        <x:f>F155/'原始数据'!G152</x:f>
        <x:v>0.08467326732673268</x:v>
      </x:c>
      <x:c r="H155" s="9" t="n">
        <x:f>'原始数据'!P152/'原始数据'!O152</x:f>
        <x:v>0.17007348962242744</x:v>
      </x:c>
      <x:c r="I155" s="9" t="n">
        <x:f>F155/C155</x:f>
        <x:v>0.03164728272362022</x:v>
      </x:c>
      <x:c r="J155" s="9" t="n">
        <x:f>'原始数据'!G152/'原始数据'!F152</x:f>
        <x:v>0.012902524076803415</x:v>
      </x:c>
      <x:c r="K155" s="2" t="str">
        <x:v>待拆分产品市场</x:v>
      </x:c>
      <x:c r="L155" s="15" t="str">
        <x:v>暂无自动识别标签，仍需核验</x:v>
      </x:c>
      <x:c r="M155" s="2" t="str">
        <x:f>IF(AND(C155&gt;='核验与方法'!$B$7,F155&gt;='核验与方法'!$B$8,G155&gt;='核验与方法'!$B$9,D155&gt;='核验与方法'!$B$10,E155&gt;='核验与方法'!$B$11),"通过需求门槛","未通过需求门槛")</x:f>
        <x:v>未通过需求门槛</x:v>
      </x:c>
      <x:c r="N155" s="2" t="str">
        <x:v>待确认具体产品形态</x:v>
      </x:c>
      <x:c r="O155" s="9" t="n">
        <x:f>G155-'原始数据'!J152</x:f>
        <x:v>0.00007326732673268443</x:v>
      </x:c>
      <x:c r="P155" s="2" t="str">
        <x:v>DATA HOLD</x:v>
      </x:c>
    </x:row>
    <x:row r="156" ht="48" customHeight="1">
      <x:c r="A156" s="2" t="n">
        <x:v>151</x:v>
      </x:c>
      <x:c r="B156" s="2" t="str">
        <x:v>halloween basket</x:v>
      </x:c>
      <x:c r="C156" s="10" t="n">
        <x:f>'原始数据'!D153</x:f>
        <x:v>235837</x:v>
      </x:c>
      <x:c r="D156" s="9" t="n">
        <x:f>IF(ISNUMBER('原始数据'!E153),'原始数据'!E153,VALUE(SUBSTITUTE('原始数据'!E153,"'","")))</x:f>
        <x:v>2.4919</x:v>
      </x:c>
      <x:c r="E156" s="9" t="n">
        <x:f>IF(ISNUMBER('原始数据'!H153),'原始数据'!H153,VALUE(SUBSTITUTE('原始数据'!H153,"'","")))</x:f>
        <x:v>2.4944</x:v>
      </x:c>
      <x:c r="F156" s="10" t="n">
        <x:f>'原始数据'!L153</x:f>
        <x:v>2867</x:v>
      </x:c>
      <x:c r="G156" s="9" t="n">
        <x:f>F156/'原始数据'!G153</x:f>
        <x:v>0.036187158418216014</x:v>
      </x:c>
      <x:c r="H156" s="9" t="n">
        <x:f>'原始数据'!P153/'原始数据'!O153</x:f>
        <x:v>0.08115126595974897</x:v>
      </x:c>
      <x:c r="I156" s="9" t="n">
        <x:f>F156/C156</x:f>
        <x:v>0.012156701450578154</x:v>
      </x:c>
      <x:c r="J156" s="9" t="n">
        <x:f>'原始数据'!G153/'原始数据'!F153</x:f>
        <x:v>0.030907348175507953</x:v>
      </x:c>
      <x:c r="K156" s="2" t="str">
        <x:v>待拆分产品市场</x:v>
      </x:c>
      <x:c r="L156" s="15" t="str">
        <x:v>季节/事件影响待核验</x:v>
      </x:c>
      <x:c r="M156" s="2" t="str">
        <x:f>IF(AND(C156&gt;='核验与方法'!$B$7,F156&gt;='核验与方法'!$B$8,G156&gt;='核验与方法'!$B$9,D156&gt;='核验与方法'!$B$10,E156&gt;='核验与方法'!$B$11),"通过需求门槛","未通过需求门槛")</x:f>
        <x:v>未通过需求门槛</x:v>
      </x:c>
      <x:c r="N156" s="2" t="str">
        <x:v>先核验风险标签</x:v>
      </x:c>
      <x:c r="O156" s="9" t="n">
        <x:f>G156-'原始数据'!J153</x:f>
        <x:v>0.00008715841821601428</x:v>
      </x:c>
      <x:c r="P156" s="2" t="str">
        <x:v>DATA HOLD</x:v>
      </x:c>
    </x:row>
    <x:row r="157" ht="48" customHeight="1">
      <x:c r="A157" s="2" t="n">
        <x:v>152</x:v>
      </x:c>
      <x:c r="B157" s="2" t="str">
        <x:v>luxe color changing foundation</x:v>
      </x:c>
      <x:c r="C157" s="10" t="n">
        <x:f>'原始数据'!D154</x:f>
        <x:v>233877</x:v>
      </x:c>
      <x:c r="D157" s="9" t="n">
        <x:f>IF(ISNUMBER('原始数据'!E154),'原始数据'!E154,VALUE(SUBSTITUTE('原始数据'!E154,"'","")))</x:f>
        <x:v>-0.1888</x:v>
      </x:c>
      <x:c r="E157" s="9" t="n">
        <x:f>IF(ISNUMBER('原始数据'!H154),'原始数据'!H154,VALUE(SUBSTITUTE('原始数据'!H154,"'","")))</x:f>
        <x:v>-0.128</x:v>
      </x:c>
      <x:c r="F157" s="10" t="n">
        <x:f>'原始数据'!L154</x:f>
        <x:v>19890</x:v>
      </x:c>
      <x:c r="G157" s="9" t="n">
        <x:f>F157/'原始数据'!G154</x:f>
        <x:v>0.14553090611098105</x:v>
      </x:c>
      <x:c r="H157" s="9" t="n">
        <x:f>'原始数据'!P154/'原始数据'!O154</x:f>
        <x:v>0.23044349597927166</x:v>
      </x:c>
      <x:c r="I157" s="9" t="n">
        <x:f>F157/C157</x:f>
        <x:v>0.08504470298490233</x:v>
      </x:c>
      <x:c r="J157" s="9" t="n">
        <x:f>'原始数据'!G154/'原始数据'!F154</x:f>
        <x:v>0.012107294912716159</x:v>
      </x:c>
      <x:c r="K157" s="2" t="str">
        <x:v>待拆分产品市场</x:v>
      </x:c>
      <x:c r="L157" s="15" t="str">
        <x:v>暂无自动识别标签，仍需核验</x:v>
      </x:c>
      <x:c r="M157" s="2" t="str">
        <x:f>IF(AND(C157&gt;='核验与方法'!$B$7,F157&gt;='核验与方法'!$B$8,G157&gt;='核验与方法'!$B$9,D157&gt;='核验与方法'!$B$10,E157&gt;='核验与方法'!$B$11),"通过需求门槛","未通过需求门槛")</x:f>
        <x:v>未通过需求门槛</x:v>
      </x:c>
      <x:c r="N157" s="2" t="str">
        <x:v>待确认具体产品形态</x:v>
      </x:c>
      <x:c r="O157" s="9" t="n">
        <x:f>G157-'原始数据'!J154</x:f>
        <x:v>0.00003090611098105489</x:v>
      </x:c>
      <x:c r="P157" s="2" t="str">
        <x:v>DATA HOLD</x:v>
      </x:c>
    </x:row>
    <x:row r="158" ht="48" customHeight="1">
      <x:c r="A158" s="2" t="n">
        <x:v>153</x:v>
      </x:c>
      <x:c r="B158" s="2" t="str">
        <x:v>lactose free milk</x:v>
      </x:c>
      <x:c r="C158" s="10" t="n">
        <x:f>'原始数据'!D155</x:f>
        <x:v>233226</x:v>
      </x:c>
      <x:c r="D158" s="9" t="n">
        <x:f>IF(ISNUMBER('原始数据'!E155),'原始数据'!E155,VALUE(SUBSTITUTE('原始数据'!E155,"'","")))</x:f>
        <x:v>0.205</x:v>
      </x:c>
      <x:c r="E158" s="9" t="n">
        <x:f>IF(ISNUMBER('原始数据'!H155),'原始数据'!H155,VALUE(SUBSTITUTE('原始数据'!H155,"'","")))</x:f>
        <x:v>0.0995</x:v>
      </x:c>
      <x:c r="F158" s="10" t="n">
        <x:f>'原始数据'!L155</x:f>
        <x:v>27812</x:v>
      </x:c>
      <x:c r="G158" s="9" t="n">
        <x:f>F158/'原始数据'!G155</x:f>
        <x:v>0.3368987196104321</x:v>
      </x:c>
      <x:c r="H158" s="9" t="n">
        <x:f>'原始数据'!P155/'原始数据'!O155</x:f>
        <x:v>0.4730840625828693</x:v>
      </x:c>
      <x:c r="I158" s="9" t="n">
        <x:f>F158/C158</x:f>
        <x:v>0.11924914031883238</x:v>
      </x:c>
      <x:c r="J158" s="9" t="n">
        <x:f>'原始数据'!G155/'原始数据'!F155</x:f>
        <x:v>0.019180953111186238</x:v>
      </x:c>
      <x:c r="K158" s="2" t="str">
        <x:v>专业供给</x:v>
      </x:c>
      <x:c r="L158" s="15" t="str">
        <x:v>食品/补剂或耗材需独立供应链</x:v>
      </x:c>
      <x:c r="M158" s="2" t="str">
        <x:f>IF(AND(C158&gt;='核验与方法'!$B$7,F158&gt;='核验与方法'!$B$8,G158&gt;='核验与方法'!$B$9,D158&gt;='核验与方法'!$B$10,E158&gt;='核验与方法'!$B$11),"通过需求门槛","未通过需求门槛")</x:f>
        <x:v>通过需求门槛</x:v>
      </x:c>
      <x:c r="N158" s="2" t="str">
        <x:v>先核验风险标签</x:v>
      </x:c>
      <x:c r="O158" s="9" t="n">
        <x:f>G158-'原始数据'!J155</x:f>
        <x:v>0.00009871961043211863</x:v>
      </x:c>
      <x:c r="P158" s="2" t="str">
        <x:v>DATA HOLD</x:v>
      </x:c>
    </x:row>
    <x:row r="159" ht="48" customHeight="1">
      <x:c r="A159" s="2" t="n">
        <x:v>154</x:v>
      </x:c>
      <x:c r="B159" s="2" t="str">
        <x:v>lace dress</x:v>
      </x:c>
      <x:c r="C159" s="10" t="n">
        <x:f>'原始数据'!D156</x:f>
        <x:v>228903</x:v>
      </x:c>
      <x:c r="D159" s="9" t="n">
        <x:f>IF(ISNUMBER('原始数据'!E156),'原始数据'!E156,VALUE(SUBSTITUTE('原始数据'!E156,"'","")))</x:f>
        <x:v>0.2706</x:v>
      </x:c>
      <x:c r="E159" s="9" t="n">
        <x:f>IF(ISNUMBER('原始数据'!H156),'原始数据'!H156,VALUE(SUBSTITUTE('原始数据'!H156,"'","")))</x:f>
        <x:v>0.3293</x:v>
      </x:c>
      <x:c r="F159" s="10" t="n">
        <x:f>'原始数据'!L156</x:f>
        <x:v>281</x:v>
      </x:c>
      <x:c r="G159" s="9" t="n">
        <x:f>F159/'原始数据'!G156</x:f>
        <x:v>0.004887721556417526</x:v>
      </x:c>
      <x:c r="H159" s="9" t="n">
        <x:f>'原始数据'!P156/'原始数据'!O156</x:f>
        <x:v>0.04994937563280459</x:v>
      </x:c>
      <x:c r="I159" s="9" t="n">
        <x:f>F159/C159</x:f>
        <x:v>0.001227594221132969</x:v>
      </x:c>
      <x:c r="J159" s="9" t="n">
        <x:f>'原始数据'!G156/'原始数据'!F156</x:f>
        <x:v>0.009448539635186545</x:v>
      </x:c>
      <x:c r="K159" s="2" t="str">
        <x:v>待拆分产品市场</x:v>
      </x:c>
      <x:c r="L159" s="15" t="str">
        <x:v>尺码/颜色变体及退货待核验</x:v>
      </x:c>
      <x:c r="M159" s="2" t="str">
        <x:f>IF(AND(C159&gt;='核验与方法'!$B$7,F159&gt;='核验与方法'!$B$8,G159&gt;='核验与方法'!$B$9,D159&gt;='核验与方法'!$B$10,E159&gt;='核验与方法'!$B$11),"通过需求门槛","未通过需求门槛")</x:f>
        <x:v>未通过需求门槛</x:v>
      </x:c>
      <x:c r="N159" s="2" t="str">
        <x:v>先核验风险标签</x:v>
      </x:c>
      <x:c r="O159" s="9" t="n">
        <x:f>G159-'原始数据'!J156</x:f>
        <x:v>0.00008772155641752644</x:v>
      </x:c>
      <x:c r="P159" s="2" t="str">
        <x:v>DATA HOLD</x:v>
      </x:c>
    </x:row>
    <x:row r="160" ht="48" customHeight="1">
      <x:c r="A160" s="2" t="n">
        <x:v>155</x:v>
      </x:c>
      <x:c r="B160" s="2" t="str">
        <x:v>labubu</x:v>
      </x:c>
      <x:c r="C160" s="10" t="n">
        <x:f>'原始数据'!D157</x:f>
        <x:v>226743</x:v>
      </x:c>
      <x:c r="D160" s="9" t="n">
        <x:f>IF(ISNUMBER('原始数据'!E157),'原始数据'!E157,VALUE(SUBSTITUTE('原始数据'!E157,"'","")))</x:f>
        <x:v>0.1706</x:v>
      </x:c>
      <x:c r="E160" s="9" t="n">
        <x:f>IF(ISNUMBER('原始数据'!H157),'原始数据'!H157,VALUE(SUBSTITUTE('原始数据'!H157,"'","")))</x:f>
        <x:v>-0.0438</x:v>
      </x:c>
      <x:c r="F160" s="10" t="n">
        <x:f>'原始数据'!L157</x:f>
        <x:v>3198</x:v>
      </x:c>
      <x:c r="G160" s="9" t="n">
        <x:f>F160/'原始数据'!G157</x:f>
        <x:v>0.045081620570075275</x:v>
      </x:c>
      <x:c r="H160" s="9" t="n">
        <x:f>'原始数据'!P157/'原始数据'!O157</x:f>
        <x:v>0.13292517565846243</x:v>
      </x:c>
      <x:c r="I160" s="9" t="n">
        <x:f>F160/C160</x:f>
        <x:v>0.014104073775155131</x:v>
      </x:c>
      <x:c r="J160" s="9" t="n">
        <x:f>'原始数据'!G157/'原始数据'!F157</x:f>
        <x:v>0.018306939697397936</x:v>
      </x:c>
      <x:c r="K160" s="2" t="str">
        <x:v>待拆分产品市场</x:v>
      </x:c>
      <x:c r="L160" s="15" t="str">
        <x:v>品牌或IP需核验</x:v>
      </x:c>
      <x:c r="M160" s="2" t="str">
        <x:f>IF(AND(C160&gt;='核验与方法'!$B$7,F160&gt;='核验与方法'!$B$8,G160&gt;='核验与方法'!$B$9,D160&gt;='核验与方法'!$B$10,E160&gt;='核验与方法'!$B$11),"通过需求门槛","未通过需求门槛")</x:f>
        <x:v>未通过需求门槛</x:v>
      </x:c>
      <x:c r="N160" s="2" t="str">
        <x:v>先核验风险标签</x:v>
      </x:c>
      <x:c r="O160" s="9" t="n">
        <x:f>G160-'原始数据'!J157</x:f>
        <x:v>0.00008162057007527618</x:v>
      </x:c>
      <x:c r="P160" s="2" t="str">
        <x:v>DATA HOLD</x:v>
      </x:c>
    </x:row>
    <x:row r="161" ht="48" customHeight="1">
      <x:c r="A161" s="2" t="n">
        <x:v>156</x:v>
      </x:c>
      <x:c r="B161" s="2" t="str">
        <x:v>gummy bears</x:v>
      </x:c>
      <x:c r="C161" s="10" t="n">
        <x:f>'原始数据'!D158</x:f>
        <x:v>225881</x:v>
      </x:c>
      <x:c r="D161" s="9" t="n">
        <x:f>IF(ISNUMBER('原始数据'!E158),'原始数据'!E158,VALUE(SUBSTITUTE('原始数据'!E158,"'","")))</x:f>
        <x:v>0.1528</x:v>
      </x:c>
      <x:c r="E161" s="9" t="n">
        <x:f>IF(ISNUMBER('原始数据'!H158),'原始数据'!H158,VALUE(SUBSTITUTE('原始数据'!H158,"'","")))</x:f>
        <x:v>0.0705</x:v>
      </x:c>
      <x:c r="F161" s="10" t="n">
        <x:f>'原始数据'!L158</x:f>
        <x:v>14138</x:v>
      </x:c>
      <x:c r="G161" s="9" t="n">
        <x:f>F161/'原始数据'!G158</x:f>
        <x:v>0.19131517341236012</x:v>
      </x:c>
      <x:c r="H161" s="9" t="n">
        <x:f>'原始数据'!P158/'原始数据'!O158</x:f>
        <x:v>0.3398880240338659</x:v>
      </x:c>
      <x:c r="I161" s="9" t="n">
        <x:f>F161/C161</x:f>
        <x:v>0.06259047905755685</x:v>
      </x:c>
      <x:c r="J161" s="9" t="n">
        <x:f>'原始数据'!G158/'原始数据'!F158</x:f>
        <x:v>0.012220950498527264</x:v>
      </x:c>
      <x:c r="K161" s="2" t="str">
        <x:v>专业供给</x:v>
      </x:c>
      <x:c r="L161" s="15" t="str">
        <x:v>食品/补剂或耗材需独立供应链</x:v>
      </x:c>
      <x:c r="M161" s="2" t="str">
        <x:f>IF(AND(C161&gt;='核验与方法'!$B$7,F161&gt;='核验与方法'!$B$8,G161&gt;='核验与方法'!$B$9,D161&gt;='核验与方法'!$B$10,E161&gt;='核验与方法'!$B$11),"通过需求门槛","未通过需求门槛")</x:f>
        <x:v>通过需求门槛</x:v>
      </x:c>
      <x:c r="N161" s="2" t="str">
        <x:v>先核验风险标签</x:v>
      </x:c>
      <x:c r="O161" s="9" t="n">
        <x:f>G161-'原始数据'!J158</x:f>
        <x:v>0.000015173412360125482</x:v>
      </x:c>
      <x:c r="P161" s="2" t="str">
        <x:v>DATA HOLD</x:v>
      </x:c>
    </x:row>
    <x:row r="162" ht="48" customHeight="1">
      <x:c r="A162" s="2" t="n">
        <x:v>157</x:v>
      </x:c>
      <x:c r="B162" s="2" t="str">
        <x:v>toys for boys</x:v>
      </x:c>
      <x:c r="C162" s="10" t="n">
        <x:f>'原始数据'!D159</x:f>
        <x:v>222935</x:v>
      </x:c>
      <x:c r="D162" s="9" t="n">
        <x:f>IF(ISNUMBER('原始数据'!E159),'原始数据'!E159,VALUE(SUBSTITUTE('原始数据'!E159,"'","")))</x:f>
        <x:v>0.1092</x:v>
      </x:c>
      <x:c r="E162" s="9" t="n">
        <x:f>IF(ISNUMBER('原始数据'!H159),'原始数据'!H159,VALUE(SUBSTITUTE('原始数据'!H159,"'","")))</x:f>
        <x:v>0.1202</x:v>
      </x:c>
      <x:c r="F162" s="10" t="n">
        <x:f>'原始数据'!L159</x:f>
        <x:v>3364</x:v>
      </x:c>
      <x:c r="G162" s="9" t="n">
        <x:f>F162/'原始数据'!G159</x:f>
        <x:v>0.05265217323253667</x:v>
      </x:c>
      <x:c r="H162" s="9" t="n">
        <x:f>'原始数据'!P159/'原始数据'!O159</x:f>
        <x:v>0.1621608040201005</x:v>
      </x:c>
      <x:c r="I162" s="9" t="n">
        <x:f>F162/C162</x:f>
        <x:v>0.015089600107654698</x:v>
      </x:c>
      <x:c r="J162" s="9" t="n">
        <x:f>'原始数据'!G159/'原始数据'!F159</x:f>
        <x:v>0.012354724520447339</x:v>
      </x:c>
      <x:c r="K162" s="2" t="str">
        <x:v>待拆分产品市场</x:v>
      </x:c>
      <x:c r="L162" s="15" t="str">
        <x:v>暂无自动识别标签，仍需核验</x:v>
      </x:c>
      <x:c r="M162" s="2" t="str">
        <x:f>IF(AND(C162&gt;='核验与方法'!$B$7,F162&gt;='核验与方法'!$B$8,G162&gt;='核验与方法'!$B$9,D162&gt;='核验与方法'!$B$10,E162&gt;='核验与方法'!$B$11),"通过需求门槛","未通过需求门槛")</x:f>
        <x:v>通过需求门槛</x:v>
      </x:c>
      <x:c r="N162" s="2" t="str">
        <x:v>待确认具体产品形态</x:v>
      </x:c>
      <x:c r="O162" s="9" t="n">
        <x:f>G162-'原始数据'!J159</x:f>
        <x:v>0.000052173232536666114</x:v>
      </x:c>
      <x:c r="P162" s="2" t="str">
        <x:v>DATA HOLD</x:v>
      </x:c>
    </x:row>
    <x:row r="163" ht="48" customHeight="1">
      <x:c r="A163" s="2" t="n">
        <x:v>158</x:v>
      </x:c>
      <x:c r="B163" s="2" t="str">
        <x:v>k18</x:v>
      </x:c>
      <x:c r="C163" s="10" t="n">
        <x:f>'原始数据'!D160</x:f>
        <x:v>221687</x:v>
      </x:c>
      <x:c r="D163" s="9" t="n">
        <x:f>IF(ISNUMBER('原始数据'!E160),'原始数据'!E160,VALUE(SUBSTITUTE('原始数据'!E160,"'","")))</x:f>
        <x:v>0.0638</x:v>
      </x:c>
      <x:c r="E163" s="9" t="n">
        <x:f>IF(ISNUMBER('原始数据'!H160),'原始数据'!H160,VALUE(SUBSTITUTE('原始数据'!H160,"'","")))</x:f>
        <x:v>-0.0059</x:v>
      </x:c>
      <x:c r="F163" s="10" t="n">
        <x:f>'原始数据'!L160</x:f>
        <x:v>13875</x:v>
      </x:c>
      <x:c r="G163" s="9" t="n">
        <x:f>F163/'原始数据'!G160</x:f>
        <x:v>0.12875835189309576</x:v>
      </x:c>
      <x:c r="H163" s="9" t="n">
        <x:f>'原始数据'!P160/'原始数据'!O160</x:f>
        <x:v>0.2152685876912131</x:v>
      </x:c>
      <x:c r="I163" s="9" t="n">
        <x:f>F163/C163</x:f>
        <x:v>0.06258824378515655</x:v>
      </x:c>
      <x:c r="J163" s="9" t="n">
        <x:f>'原始数据'!G160/'原始数据'!F160</x:f>
        <x:v>0.018443070113959896</x:v>
      </x:c>
      <x:c r="K163" s="2" t="str">
        <x:v>待拆分产品市场</x:v>
      </x:c>
      <x:c r="L163" s="15" t="str">
        <x:v>品牌或IP需核验</x:v>
      </x:c>
      <x:c r="M163" s="2" t="str">
        <x:f>IF(AND(C163&gt;='核验与方法'!$B$7,F163&gt;='核验与方法'!$B$8,G163&gt;='核验与方法'!$B$9,D163&gt;='核验与方法'!$B$10,E163&gt;='核验与方法'!$B$11),"通过需求门槛","未通过需求门槛")</x:f>
        <x:v>未通过需求门槛</x:v>
      </x:c>
      <x:c r="N163" s="2" t="str">
        <x:v>先核验风险标签</x:v>
      </x:c>
      <x:c r="O163" s="9" t="n">
        <x:f>G163-'原始数据'!J160</x:f>
        <x:v>0.000058351893095748286</x:v>
      </x:c>
      <x:c r="P163" s="2" t="str">
        <x:v>DATA HOLD</x:v>
      </x:c>
    </x:row>
    <x:row r="164" ht="48" customHeight="1">
      <x:c r="A164" s="2" t="n">
        <x:v>159</x:v>
      </x:c>
      <x:c r="B164" s="2" t="str">
        <x:v>mtg commander deck</x:v>
      </x:c>
      <x:c r="C164" s="10" t="n">
        <x:f>'原始数据'!D161</x:f>
        <x:v>220002</x:v>
      </x:c>
      <x:c r="D164" s="9" t="n">
        <x:f>IF(ISNUMBER('原始数据'!E161),'原始数据'!E161,VALUE(SUBSTITUTE('原始数据'!E161,"'","")))</x:f>
        <x:v>0.1141</x:v>
      </x:c>
      <x:c r="E164" s="9" t="n">
        <x:f>IF(ISNUMBER('原始数据'!H161),'原始数据'!H161,VALUE(SUBSTITUTE('原始数据'!H161,"'","")))</x:f>
        <x:v>0.0745</x:v>
      </x:c>
      <x:c r="F164" s="10" t="n">
        <x:f>'原始数据'!L161</x:f>
        <x:v>3190</x:v>
      </x:c>
      <x:c r="G164" s="9" t="n">
        <x:f>F164/'原始数据'!G161</x:f>
        <x:v>0.04081580428885818</x:v>
      </x:c>
      <x:c r="H164" s="9" t="n">
        <x:f>'原始数据'!P161/'原始数据'!O161</x:f>
        <x:v>0.10424180848361697</x:v>
      </x:c>
      <x:c r="I164" s="9" t="n">
        <x:f>F164/C164</x:f>
        <x:v>0.014499868183016518</x:v>
      </x:c>
      <x:c r="J164" s="9" t="n">
        <x:f>'原始数据'!G161/'原始数据'!F161</x:f>
        <x:v>0.014469067637837141</x:v>
      </x:c>
      <x:c r="K164" s="2" t="str">
        <x:v>待拆分产品市场</x:v>
      </x:c>
      <x:c r="L164" s="15" t="str">
        <x:v>内容/导航或宽泛需求需拆分</x:v>
      </x:c>
      <x:c r="M164" s="2" t="str">
        <x:f>IF(AND(C164&gt;='核验与方法'!$B$7,F164&gt;='核验与方法'!$B$8,G164&gt;='核验与方法'!$B$9,D164&gt;='核验与方法'!$B$10,E164&gt;='核验与方法'!$B$11),"通过需求门槛","未通过需求门槛")</x:f>
        <x:v>未通过需求门槛</x:v>
      </x:c>
      <x:c r="N164" s="2" t="str">
        <x:v>先核验风险标签</x:v>
      </x:c>
      <x:c r="O164" s="9" t="n">
        <x:f>G164-'原始数据'!J161</x:f>
        <x:v>0.000015804288858174698</x:v>
      </x:c>
      <x:c r="P164" s="2" t="str">
        <x:v>DATA HOLD</x:v>
      </x:c>
    </x:row>
    <x:row r="165" ht="48" customHeight="1">
      <x:c r="A165" s="2" t="n">
        <x:v>160</x:v>
      </x:c>
      <x:c r="B165" s="2" t="str">
        <x:v>outdoor pillows</x:v>
      </x:c>
      <x:c r="C165" s="10" t="n">
        <x:f>'原始数据'!D162</x:f>
        <x:v>218394</x:v>
      </x:c>
      <x:c r="D165" s="9" t="n">
        <x:f>IF(ISNUMBER('原始数据'!E162),'原始数据'!E162,VALUE(SUBSTITUTE('原始数据'!E162,"'","")))</x:f>
        <x:v>-0.1712</x:v>
      </x:c>
      <x:c r="E165" s="9" t="n">
        <x:f>IF(ISNUMBER('原始数据'!H162),'原始数据'!H162,VALUE(SUBSTITUTE('原始数据'!H162,"'","")))</x:f>
        <x:v>-0.1721</x:v>
      </x:c>
      <x:c r="F165" s="10" t="n">
        <x:f>'原始数据'!L162</x:f>
        <x:v>3605</x:v>
      </x:c>
      <x:c r="G165" s="9" t="n">
        <x:f>F165/'原始数据'!G162</x:f>
        <x:v>0.04032483584827571</x:v>
      </x:c>
      <x:c r="H165" s="9" t="n">
        <x:f>'原始数据'!P162/'原始数据'!O162</x:f>
        <x:v>0.18029279859786587</x:v>
      </x:c>
      <x:c r="I165" s="9" t="n">
        <x:f>F165/C165</x:f>
        <x:v>0.016506863741677886</x:v>
      </x:c>
      <x:c r="J165" s="9" t="n">
        <x:f>'原始数据'!G162/'原始数据'!F162</x:f>
        <x:v>0.01102425066318885</x:v>
      </x:c>
      <x:c r="K165" s="2" t="str">
        <x:v>待拆分产品市场</x:v>
      </x:c>
      <x:c r="L165" s="15" t="str">
        <x:v>体积/安装/售后成本待核验</x:v>
      </x:c>
      <x:c r="M165" s="2" t="str">
        <x:f>IF(AND(C165&gt;='核验与方法'!$B$7,F165&gt;='核验与方法'!$B$8,G165&gt;='核验与方法'!$B$9,D165&gt;='核验与方法'!$B$10,E165&gt;='核验与方法'!$B$11),"通过需求门槛","未通过需求门槛")</x:f>
        <x:v>未通过需求门槛</x:v>
      </x:c>
      <x:c r="N165" s="2" t="str">
        <x:v>先核验风险标签</x:v>
      </x:c>
      <x:c r="O165" s="9" t="n">
        <x:f>G165-'原始数据'!J162</x:f>
        <x:v>0.00002483584827570745</x:v>
      </x:c>
      <x:c r="P165" s="2" t="str">
        <x:v>DATA HOLD</x:v>
      </x:c>
    </x:row>
    <x:row r="166" ht="48" customHeight="1">
      <x:c r="A166" s="2" t="n">
        <x:v>161</x:v>
      </x:c>
      <x:c r="B166" s="2" t="str">
        <x:v>casetify iphone 17 pro max</x:v>
      </x:c>
      <x:c r="C166" s="10" t="n">
        <x:f>'原始数据'!D163</x:f>
        <x:v>217540</x:v>
      </x:c>
      <x:c r="D166" s="9" t="n">
        <x:f>IF(ISNUMBER('原始数据'!E163),'原始数据'!E163,VALUE(SUBSTITUTE('原始数据'!E163,"'","")))</x:f>
        <x:v>0.021</x:v>
      </x:c>
      <x:c r="E166" s="9" t="n">
        <x:f>IF(ISNUMBER('原始数据'!H163),'原始数据'!H163,VALUE(SUBSTITUTE('原始数据'!H163,"'","")))</x:f>
        <x:v>-0.0169</x:v>
      </x:c>
      <x:c r="F166" s="10" t="n">
        <x:f>'原始数据'!L163</x:f>
        <x:v>1679</x:v>
      </x:c>
      <x:c r="G166" s="9" t="n">
        <x:f>F166/'原始数据'!G163</x:f>
        <x:v>0.0259726196921649</x:v>
      </x:c>
      <x:c r="H166" s="9" t="n">
        <x:f>'原始数据'!P163/'原始数据'!O163</x:f>
        <x:v>0.1102375489269807</x:v>
      </x:c>
      <x:c r="I166" s="9" t="n">
        <x:f>F166/C166</x:f>
        <x:v>0.0077181208053691275</x:v>
      </x:c>
      <x:c r="J166" s="9" t="n">
        <x:f>'原始数据'!G163/'原始数据'!F163</x:f>
        <x:v>0.014629898311513522</x:v>
      </x:c>
      <x:c r="K166" s="2" t="str">
        <x:v>待拆分产品市场</x:v>
      </x:c>
      <x:c r="L166" s="15" t="str">
        <x:v>品牌或IP需核验</x:v>
      </x:c>
      <x:c r="M166" s="2" t="str">
        <x:f>IF(AND(C166&gt;='核验与方法'!$B$7,F166&gt;='核验与方法'!$B$8,G166&gt;='核验与方法'!$B$9,D166&gt;='核验与方法'!$B$10,E166&gt;='核验与方法'!$B$11),"通过需求门槛","未通过需求门槛")</x:f>
        <x:v>未通过需求门槛</x:v>
      </x:c>
      <x:c r="N166" s="2" t="str">
        <x:v>先核验风险标签</x:v>
      </x:c>
      <x:c r="O166" s="9" t="n">
        <x:f>G166-'原始数据'!J163</x:f>
        <x:v>0.00007261969216490125</x:v>
      </x:c>
      <x:c r="P166" s="2" t="str">
        <x:v>DATA HOLD</x:v>
      </x:c>
    </x:row>
    <x:row r="167" ht="48" customHeight="1">
      <x:c r="A167" s="2" t="n">
        <x:v>162</x:v>
      </x:c>
      <x:c r="B167" s="2" t="str">
        <x:v>peaches</x:v>
      </x:c>
      <x:c r="C167" s="10" t="n">
        <x:f>'原始数据'!D164</x:f>
        <x:v>216884</x:v>
      </x:c>
      <x:c r="D167" s="9" t="n">
        <x:f>IF(ISNUMBER('原始数据'!E164),'原始数据'!E164,VALUE(SUBSTITUTE('原始数据'!E164,"'","")))</x:f>
        <x:v>-0.1168</x:v>
      </x:c>
      <x:c r="E167" s="9" t="n">
        <x:f>IF(ISNUMBER('原始数据'!H164),'原始数据'!H164,VALUE(SUBSTITUTE('原始数据'!H164,"'","")))</x:f>
        <x:v>-0.2174</x:v>
      </x:c>
      <x:c r="F167" s="10" t="n">
        <x:f>'原始数据'!L164</x:f>
        <x:v>40947</x:v>
      </x:c>
      <x:c r="G167" s="9" t="n">
        <x:f>F167/'原始数据'!G164</x:f>
        <x:v>0.39607475189104485</x:v>
      </x:c>
      <x:c r="H167" s="9" t="n">
        <x:f>'原始数据'!P164/'原始数据'!O164</x:f>
        <x:v>0.48460906637462353</x:v>
      </x:c>
      <x:c r="I167" s="9" t="n">
        <x:f>F167/C167</x:f>
        <x:v>0.1887967761568396</x:v>
      </x:c>
      <x:c r="J167" s="9" t="n">
        <x:f>'原始数据'!G164/'原始数据'!F164</x:f>
        <x:v>0.019130736010202862</x:v>
      </x:c>
      <x:c r="K167" s="2" t="str">
        <x:v>专业供给</x:v>
      </x:c>
      <x:c r="L167" s="15" t="str">
        <x:v>食品/补剂或耗材需独立供应链</x:v>
      </x:c>
      <x:c r="M167" s="2" t="str">
        <x:f>IF(AND(C167&gt;='核验与方法'!$B$7,F167&gt;='核验与方法'!$B$8,G167&gt;='核验与方法'!$B$9,D167&gt;='核验与方法'!$B$10,E167&gt;='核验与方法'!$B$11),"通过需求门槛","未通过需求门槛")</x:f>
        <x:v>未通过需求门槛</x:v>
      </x:c>
      <x:c r="N167" s="2" t="str">
        <x:v>先核验风险标签</x:v>
      </x:c>
      <x:c r="O167" s="9" t="n">
        <x:f>G167-'原始数据'!J164</x:f>
        <x:v>0.00007475189104483304</x:v>
      </x:c>
      <x:c r="P167" s="2" t="str">
        <x:v>DATA HOLD</x:v>
      </x:c>
    </x:row>
    <x:row r="168" ht="48" customHeight="1">
      <x:c r="A168" s="2" t="n">
        <x:v>163</x:v>
      </x:c>
      <x:c r="B168" s="2" t="str">
        <x:v>cauldron slow cooker</x:v>
      </x:c>
      <x:c r="C168" s="10" t="n">
        <x:f>'原始数据'!D165</x:f>
        <x:v>216811</x:v>
      </x:c>
      <x:c r="D168" s="9" t="n">
        <x:f>IF(ISNUMBER('原始数据'!E165),'原始数据'!E165,VALUE(SUBSTITUTE('原始数据'!E165,"'","")))</x:f>
        <x:v>0.4442</x:v>
      </x:c>
      <x:c r="E168" s="9" t="n">
        <x:f>IF(ISNUMBER('原始数据'!H165),'原始数据'!H165,VALUE(SUBSTITUTE('原始数据'!H165,"'","")))</x:f>
        <x:v>0.6439</x:v>
      </x:c>
      <x:c r="F168" s="10" t="n">
        <x:f>'原始数据'!L165</x:f>
        <x:v>262</x:v>
      </x:c>
      <x:c r="G168" s="9" t="n">
        <x:f>F168/'原始数据'!G165</x:f>
        <x:v>0.005997481973217351</x:v>
      </x:c>
      <x:c r="H168" s="9" t="n">
        <x:f>'原始数据'!P165/'原始数据'!O165</x:f>
        <x:v>0.009065435965056864</x:v>
      </x:c>
      <x:c r="I168" s="9" t="n">
        <x:f>F168/C168</x:f>
        <x:v>0.001208425771755123</x:v>
      </x:c>
      <x:c r="J168" s="9" t="n">
        <x:f>'原始数据'!G165/'原始数据'!F165</x:f>
        <x:v>0.011600666218413843</x:v>
      </x:c>
      <x:c r="K168" s="2" t="str">
        <x:v>待拆分产品市场</x:v>
      </x:c>
      <x:c r="L168" s="15" t="str">
        <x:v>暂无自动识别标签，仍需核验</x:v>
      </x:c>
      <x:c r="M168" s="2" t="str">
        <x:f>IF(AND(C168&gt;='核验与方法'!$B$7,F168&gt;='核验与方法'!$B$8,G168&gt;='核验与方法'!$B$9,D168&gt;='核验与方法'!$B$10,E168&gt;='核验与方法'!$B$11),"通过需求门槛","未通过需求门槛")</x:f>
        <x:v>未通过需求门槛</x:v>
      </x:c>
      <x:c r="N168" s="2" t="str">
        <x:v>待确认具体产品形态</x:v>
      </x:c>
      <x:c r="O168" s="9" t="n">
        <x:f>G168-'原始数据'!J165</x:f>
        <x:v>0.00009748197321735128</x:v>
      </x:c>
      <x:c r="P168" s="2" t="str">
        <x:v>DATA HOLD</x:v>
      </x:c>
    </x:row>
    <x:row r="169" ht="48" customHeight="1">
      <x:c r="A169" s="2" t="n">
        <x:v>164</x:v>
      </x:c>
      <x:c r="B169" s="2" t="str">
        <x:v>baby must haves</x:v>
      </x:c>
      <x:c r="C169" s="10" t="n">
        <x:f>'原始数据'!D166</x:f>
        <x:v>215684</x:v>
      </x:c>
      <x:c r="D169" s="9" t="n">
        <x:f>IF(ISNUMBER('原始数据'!E166),'原始数据'!E166,VALUE(SUBSTITUTE('原始数据'!E166,"'","")))</x:f>
        <x:v>-0.0495</x:v>
      </x:c>
      <x:c r="E169" s="9" t="n">
        <x:f>IF(ISNUMBER('原始数据'!H166),'原始数据'!H166,VALUE(SUBSTITUTE('原始数据'!H166,"'","")))</x:f>
        <x:v>-0.0637</x:v>
      </x:c>
      <x:c r="F169" s="10" t="n">
        <x:f>'原始数据'!L166</x:f>
        <x:v>1136</x:v>
      </x:c>
      <x:c r="G169" s="9" t="n">
        <x:f>F169/'原始数据'!G166</x:f>
        <x:v>0.015900120370629565</x:v>
      </x:c>
      <x:c r="H169" s="9" t="n">
        <x:f>'原始数据'!P166/'原始数据'!O166</x:f>
        <x:v>0.050607187112763324</x:v>
      </x:c>
      <x:c r="I169" s="9" t="n">
        <x:f>F169/C169</x:f>
        <x:v>0.005266964633445226</x:v>
      </x:c>
      <x:c r="J169" s="9" t="n">
        <x:f>'原始数据'!G166/'原始数据'!F166</x:f>
        <x:v>0.010477006924743456</x:v>
      </x:c>
      <x:c r="K169" s="2" t="str">
        <x:v>待拆分产品市场</x:v>
      </x:c>
      <x:c r="L169" s="15" t="str">
        <x:v>暂无自动识别标签，仍需核验</x:v>
      </x:c>
      <x:c r="M169" s="2" t="str">
        <x:f>IF(AND(C169&gt;='核验与方法'!$B$7,F169&gt;='核验与方法'!$B$8,G169&gt;='核验与方法'!$B$9,D169&gt;='核验与方法'!$B$10,E169&gt;='核验与方法'!$B$11),"通过需求门槛","未通过需求门槛")</x:f>
        <x:v>未通过需求门槛</x:v>
      </x:c>
      <x:c r="N169" s="2" t="str">
        <x:v>待确认具体产品形态</x:v>
      </x:c>
      <x:c r="O169" s="9" t="n">
        <x:f>G169-'原始数据'!J166</x:f>
        <x:v>1.2037062956452016e-7</x:v>
      </x:c>
      <x:c r="P169" s="2" t="str">
        <x:v>DATA HOLD</x:v>
      </x:c>
    </x:row>
    <x:row r="170" ht="48" customHeight="1">
      <x:c r="A170" s="2" t="n">
        <x:v>165</x:v>
      </x:c>
      <x:c r="B170" s="2" t="str">
        <x:v>kpop demon hunters toys</x:v>
      </x:c>
      <x:c r="C170" s="10" t="n">
        <x:f>'原始数据'!D167</x:f>
        <x:v>215199</x:v>
      </x:c>
      <x:c r="D170" s="9" t="n">
        <x:f>IF(ISNUMBER('原始数据'!E167),'原始数据'!E167,VALUE(SUBSTITUTE('原始数据'!E167,"'","")))</x:f>
        <x:v>0.2573</x:v>
      </x:c>
      <x:c r="E170" s="9" t="n">
        <x:f>IF(ISNUMBER('原始数据'!H167),'原始数据'!H167,VALUE(SUBSTITUTE('原始数据'!H167,"'","")))</x:f>
        <x:v>0.4065</x:v>
      </x:c>
      <x:c r="F170" s="10" t="n">
        <x:f>'原始数据'!L167</x:f>
        <x:v>4917</x:v>
      </x:c>
      <x:c r="G170" s="9" t="n">
        <x:f>F170/'原始数据'!G167</x:f>
        <x:v>0.06953164771763108</x:v>
      </x:c>
      <x:c r="H170" s="9" t="n">
        <x:f>'原始数据'!P167/'原始数据'!O167</x:f>
        <x:v>0.18306359546034517</x:v>
      </x:c>
      <x:c r="I170" s="9" t="n">
        <x:f>F170/C170</x:f>
        <x:v>0.02284861918503339</x:v>
      </x:c>
      <x:c r="J170" s="9" t="n">
        <x:f>'原始数据'!G167/'原始数据'!F167</x:f>
        <x:v>0.02969593539088982</x:v>
      </x:c>
      <x:c r="K170" s="2" t="str">
        <x:v>待拆分产品市场</x:v>
      </x:c>
      <x:c r="L170" s="15" t="str">
        <x:v>品牌或IP需核验</x:v>
      </x:c>
      <x:c r="M170" s="2" t="str">
        <x:f>IF(AND(C170&gt;='核验与方法'!$B$7,F170&gt;='核验与方法'!$B$8,G170&gt;='核验与方法'!$B$9,D170&gt;='核验与方法'!$B$10,E170&gt;='核验与方法'!$B$11),"通过需求门槛","未通过需求门槛")</x:f>
        <x:v>通过需求门槛</x:v>
      </x:c>
      <x:c r="N170" s="2" t="str">
        <x:v>先核验风险标签</x:v>
      </x:c>
      <x:c r="O170" s="9" t="n">
        <x:f>G170-'原始数据'!J167</x:f>
        <x:v>0.00003164771763107532</x:v>
      </x:c>
      <x:c r="P170" s="2" t="str">
        <x:v>DATA HOLD</x:v>
      </x:c>
    </x:row>
    <x:row r="171" ht="48" customHeight="1">
      <x:c r="A171" s="2" t="n">
        <x:v>166</x:v>
      </x:c>
      <x:c r="B171" s="2" t="str">
        <x:v>english muffins</x:v>
      </x:c>
      <x:c r="C171" s="10" t="n">
        <x:f>'原始数据'!D168</x:f>
        <x:v>214590</x:v>
      </x:c>
      <x:c r="D171" s="9" t="n">
        <x:f>IF(ISNUMBER('原始数据'!E168),'原始数据'!E168,VALUE(SUBSTITUTE('原始数据'!E168,"'","")))</x:f>
        <x:v>0.1163</x:v>
      </x:c>
      <x:c r="E171" s="9" t="n">
        <x:f>IF(ISNUMBER('原始数据'!H168),'原始数据'!H168,VALUE(SUBSTITUTE('原始数据'!H168,"'","")))</x:f>
        <x:v>0.0638</x:v>
      </x:c>
      <x:c r="F171" s="10" t="n">
        <x:f>'原始数据'!L168</x:f>
        <x:v>39652</x:v>
      </x:c>
      <x:c r="G171" s="9" t="n">
        <x:f>F171/'原始数据'!G168</x:f>
        <x:v>0.3905792890140956</x:v>
      </x:c>
      <x:c r="H171" s="9" t="n">
        <x:f>'原始数据'!P168/'原始数据'!O168</x:f>
        <x:v>0.5642631916734102</x:v>
      </x:c>
      <x:c r="I171" s="9" t="n">
        <x:f>F171/C171</x:f>
        <x:v>0.18478027867095392</x:v>
      </x:c>
      <x:c r="J171" s="9" t="n">
        <x:f>'原始数据'!G168/'原始数据'!F168</x:f>
        <x:v>0.01941451434837427</x:v>
      </x:c>
      <x:c r="K171" s="2" t="str">
        <x:v>专业供给</x:v>
      </x:c>
      <x:c r="L171" s="15" t="str">
        <x:v>食品/补剂或耗材需独立供应链</x:v>
      </x:c>
      <x:c r="M171" s="2" t="str">
        <x:f>IF(AND(C171&gt;='核验与方法'!$B$7,F171&gt;='核验与方法'!$B$8,G171&gt;='核验与方法'!$B$9,D171&gt;='核验与方法'!$B$10,E171&gt;='核验与方法'!$B$11),"通过需求门槛","未通过需求门槛")</x:f>
        <x:v>通过需求门槛</x:v>
      </x:c>
      <x:c r="N171" s="2" t="str">
        <x:v>先核验风险标签</x:v>
      </x:c>
      <x:c r="O171" s="9" t="n">
        <x:f>G171-'原始数据'!J168</x:f>
        <x:v>0.00007928901409559597</x:v>
      </x:c>
      <x:c r="P171" s="2" t="str">
        <x:v>DATA HOLD</x:v>
      </x:c>
    </x:row>
    <x:row r="172" ht="48" customHeight="1">
      <x:c r="A172" s="2" t="n">
        <x:v>167</x:v>
      </x:c>
      <x:c r="B172" s="2" t="str">
        <x:v>warhammer 40k</x:v>
      </x:c>
      <x:c r="C172" s="10" t="n">
        <x:f>'原始数据'!D169</x:f>
        <x:v>214518</x:v>
      </x:c>
      <x:c r="D172" s="9" t="n">
        <x:f>IF(ISNUMBER('原始数据'!E169),'原始数据'!E169,VALUE(SUBSTITUTE('原始数据'!E169,"'","")))</x:f>
        <x:v>-0.0555</x:v>
      </x:c>
      <x:c r="E172" s="9" t="n">
        <x:f>IF(ISNUMBER('原始数据'!H169),'原始数据'!H169,VALUE(SUBSTITUTE('原始数据'!H169,"'","")))</x:f>
        <x:v>-0.0907</x:v>
      </x:c>
      <x:c r="F172" s="10" t="n">
        <x:f>'原始数据'!L169</x:f>
        <x:v>1584</x:v>
      </x:c>
      <x:c r="G172" s="9" t="n">
        <x:f>F172/'原始数据'!G169</x:f>
        <x:v>0.017829806393516435</x:v>
      </x:c>
      <x:c r="H172" s="9" t="n">
        <x:f>'原始数据'!P169/'原始数据'!O169</x:f>
        <x:v>0.06050228310502283</x:v>
      </x:c>
      <x:c r="I172" s="9" t="n">
        <x:f>F172/C172</x:f>
        <x:v>0.0073839957486085085</x:v>
      </x:c>
      <x:c r="J172" s="9" t="n">
        <x:f>'原始数据'!G169/'原始数据'!F169</x:f>
        <x:v>0.019094010275173833</x:v>
      </x:c>
      <x:c r="K172" s="2" t="str">
        <x:v>待拆分产品市场</x:v>
      </x:c>
      <x:c r="L172" s="15" t="str">
        <x:v>内容/导航或宽泛需求需拆分；品牌或IP需核验</x:v>
      </x:c>
      <x:c r="M172" s="2" t="str">
        <x:f>IF(AND(C172&gt;='核验与方法'!$B$7,F172&gt;='核验与方法'!$B$8,G172&gt;='核验与方法'!$B$9,D172&gt;='核验与方法'!$B$10,E172&gt;='核验与方法'!$B$11),"通过需求门槛","未通过需求门槛")</x:f>
        <x:v>未通过需求门槛</x:v>
      </x:c>
      <x:c r="N172" s="2" t="str">
        <x:v>先核验风险标签</x:v>
      </x:c>
      <x:c r="O172" s="9" t="n">
        <x:f>G172-'原始数据'!J169</x:f>
        <x:v>0.000029806393516434992</x:v>
      </x:c>
      <x:c r="P172" s="2" t="str">
        <x:v>DATA HOLD</x:v>
      </x:c>
    </x:row>
    <x:row r="173" ht="48" customHeight="1">
      <x:c r="A173" s="2" t="n">
        <x:v>168</x:v>
      </x:c>
      <x:c r="B173" s="2" t="str">
        <x:v>blushe lash serum mascara</x:v>
      </x:c>
      <x:c r="C173" s="10" t="n">
        <x:f>'原始数据'!D170</x:f>
        <x:v>214084</x:v>
      </x:c>
      <x:c r="D173" s="9" t="n">
        <x:f>IF(ISNUMBER('原始数据'!E170),'原始数据'!E170,VALUE(SUBSTITUTE('原始数据'!E170,"'","")))</x:f>
        <x:v>0.8655</x:v>
      </x:c>
      <x:c r="E173" s="9" t="n">
        <x:f>IF(ISNUMBER('原始数据'!H170),'原始数据'!H170,VALUE(SUBSTITUTE('原始数据'!H170,"'","")))</x:f>
        <x:v>0.978</x:v>
      </x:c>
      <x:c r="F173" s="10" t="n">
        <x:f>'原始数据'!L170</x:f>
        <x:v>12562</x:v>
      </x:c>
      <x:c r="G173" s="9" t="n">
        <x:f>F173/'原始数据'!G170</x:f>
        <x:v>0.09694322470115217</x:v>
      </x:c>
      <x:c r="H173" s="9" t="n">
        <x:f>'原始数据'!P170/'原始数据'!O170</x:f>
        <x:v>0.15805857740585774</x:v>
      </x:c>
      <x:c r="I173" s="9" t="n">
        <x:f>F173/C173</x:f>
        <x:v>0.05867790213187347</x:v>
      </x:c>
      <x:c r="J173" s="9" t="n">
        <x:f>'原始数据'!G170/'原始数据'!F170</x:f>
        <x:v>0.019614782450611865</x:v>
      </x:c>
      <x:c r="K173" s="2" t="str">
        <x:v>待拆分产品市场</x:v>
      </x:c>
      <x:c r="L173" s="15" t="str">
        <x:v>暂无自动识别标签，仍需核验</x:v>
      </x:c>
      <x:c r="M173" s="2" t="str">
        <x:f>IF(AND(C173&gt;='核验与方法'!$B$7,F173&gt;='核验与方法'!$B$8,G173&gt;='核验与方法'!$B$9,D173&gt;='核验与方法'!$B$10,E173&gt;='核验与方法'!$B$11),"通过需求门槛","未通过需求门槛")</x:f>
        <x:v>通过需求门槛</x:v>
      </x:c>
      <x:c r="N173" s="2" t="str">
        <x:v>待确认具体产品形态</x:v>
      </x:c>
      <x:c r="O173" s="9" t="n">
        <x:f>G173-'原始数据'!J170</x:f>
        <x:v>0.00004322470115217247</x:v>
      </x:c>
      <x:c r="P173" s="2" t="str">
        <x:v>DATA HOLD</x:v>
      </x:c>
    </x:row>
    <x:row r="174" ht="48" customHeight="1">
      <x:c r="A174" s="2" t="n">
        <x:v>169</x:v>
      </x:c>
      <x:c r="B174" s="2" t="str">
        <x:v>fall sweaters</x:v>
      </x:c>
      <x:c r="C174" s="10" t="n">
        <x:f>'原始数据'!D171</x:f>
        <x:v>213818</x:v>
      </x:c>
      <x:c r="D174" s="9" t="n">
        <x:f>IF(ISNUMBER('原始数据'!E171),'原始数据'!E171,VALUE(SUBSTITUTE('原始数据'!E171,"'","")))</x:f>
        <x:v>1.2915</x:v>
      </x:c>
      <x:c r="E174" s="9" t="n">
        <x:f>IF(ISNUMBER('原始数据'!H171),'原始数据'!H171,VALUE(SUBSTITUTE('原始数据'!H171,"'","")))</x:f>
        <x:v>1.3012</x:v>
      </x:c>
      <x:c r="F174" s="10" t="n">
        <x:f>'原始数据'!L171</x:f>
        <x:v>500</x:v>
      </x:c>
      <x:c r="G174" s="9" t="n">
        <x:f>F174/'原始数据'!G171</x:f>
        <x:v>0.008427297702718646</x:v>
      </x:c>
      <x:c r="H174" s="9" t="n">
        <x:f>'原始数据'!P171/'原始数据'!O171</x:f>
        <x:v>0.060389238694905555</x:v>
      </x:c>
      <x:c r="I174" s="9" t="n">
        <x:f>F174/C174</x:f>
        <x:v>0.002338437362616805</x:v>
      </x:c>
      <x:c r="J174" s="9" t="n">
        <x:f>'原始数据'!G171/'原始数据'!F171</x:f>
        <x:v>0.014540792693895617</x:v>
      </x:c>
      <x:c r="K174" s="2" t="str">
        <x:v>待拆分产品市场</x:v>
      </x:c>
      <x:c r="L174" s="15" t="str">
        <x:v>季节/事件影响待核验；尺码/颜色变体及退货待核验</x:v>
      </x:c>
      <x:c r="M174" s="2" t="str">
        <x:f>IF(AND(C174&gt;='核验与方法'!$B$7,F174&gt;='核验与方法'!$B$8,G174&gt;='核验与方法'!$B$9,D174&gt;='核验与方法'!$B$10,E174&gt;='核验与方法'!$B$11),"通过需求门槛","未通过需求门槛")</x:f>
        <x:v>未通过需求门槛</x:v>
      </x:c>
      <x:c r="N174" s="2" t="str">
        <x:v>先核验风险标签</x:v>
      </x:c>
      <x:c r="O174" s="9" t="n">
        <x:f>G174-'原始数据'!J171</x:f>
        <x:v>0.000027297702718646205</x:v>
      </x:c>
      <x:c r="P174" s="2" t="str">
        <x:v>DATA HOLD</x:v>
      </x:c>
    </x:row>
    <x:row r="175" ht="48" customHeight="1">
      <x:c r="A175" s="2" t="n">
        <x:v>170</x:v>
      </x:c>
      <x:c r="B175" s="2" t="str">
        <x:v>lor</x:v>
      </x:c>
      <x:c r="C175" s="10" t="n">
        <x:f>'原始数据'!D172</x:f>
        <x:v>213691</x:v>
      </x:c>
      <x:c r="D175" s="9" t="n">
        <x:f>IF(ISNUMBER('原始数据'!E172),'原始数据'!E172,VALUE(SUBSTITUTE('原始数据'!E172,"'","")))</x:f>
        <x:v>-0.0997</x:v>
      </x:c>
      <x:c r="E175" s="9" t="n">
        <x:f>IF(ISNUMBER('原始数据'!H172),'原始数据'!H172,VALUE(SUBSTITUTE('原始数据'!H172,"'","")))</x:f>
        <x:v>0.9676</x:v>
      </x:c>
      <x:c r="F175" s="10" t="n">
        <x:f>'原始数据'!L172</x:f>
        <x:v>2814</x:v>
      </x:c>
      <x:c r="G175" s="9" t="n">
        <x:f>F175/'原始数据'!G172</x:f>
        <x:v>0.09266943291839558</x:v>
      </x:c>
      <x:c r="H175" s="9" t="n">
        <x:f>'原始数据'!P172/'原始数据'!O172</x:f>
        <x:v>0.2842912754751546</x:v>
      </x:c>
      <x:c r="I175" s="9" t="n">
        <x:f>F175/C175</x:f>
        <x:v>0.013168547107739681</x:v>
      </x:c>
      <x:c r="J175" s="9" t="n">
        <x:f>'原始数据'!G172/'原始数据'!F172</x:f>
        <x:v>0.04460668380462725</x:v>
      </x:c>
      <x:c r="K175" s="2" t="str">
        <x:v>专业供给</x:v>
      </x:c>
      <x:c r="L175" s="15" t="str">
        <x:v>食品/补剂或耗材需独立供应链</x:v>
      </x:c>
      <x:c r="M175" s="2" t="str">
        <x:f>IF(AND(C175&gt;='核验与方法'!$B$7,F175&gt;='核验与方法'!$B$8,G175&gt;='核验与方法'!$B$9,D175&gt;='核验与方法'!$B$10,E175&gt;='核验与方法'!$B$11),"通过需求门槛","未通过需求门槛")</x:f>
        <x:v>未通过需求门槛</x:v>
      </x:c>
      <x:c r="N175" s="2" t="str">
        <x:v>先核验风险标签</x:v>
      </x:c>
      <x:c r="O175" s="9" t="n">
        <x:f>G175-'原始数据'!J172</x:f>
        <x:v>0.00006943291839557608</x:v>
      </x:c>
      <x:c r="P175" s="2" t="str">
        <x:v>DATA HOLD</x:v>
      </x:c>
    </x:row>
    <x:row r="176" ht="48" customHeight="1">
      <x:c r="A176" s="2" t="n">
        <x:v>171</x:v>
      </x:c>
      <x:c r="B176" s="2" t="str">
        <x:v>black beans</x:v>
      </x:c>
      <x:c r="C176" s="10" t="n">
        <x:f>'原始数据'!D173</x:f>
        <x:v>213401</x:v>
      </x:c>
      <x:c r="D176" s="9" t="n">
        <x:f>IF(ISNUMBER('原始数据'!E173),'原始数据'!E173,VALUE(SUBSTITUTE('原始数据'!E173,"'","")))</x:f>
        <x:v>0.126</x:v>
      </x:c>
      <x:c r="E176" s="9" t="n">
        <x:f>IF(ISNUMBER('原始数据'!H173),'原始数据'!H173,VALUE(SUBSTITUTE('原始数据'!H173,"'","")))</x:f>
        <x:v>0.1074</x:v>
      </x:c>
      <x:c r="F176" s="10" t="n">
        <x:f>'原始数据'!L173</x:f>
        <x:v>40838</x:v>
      </x:c>
      <x:c r="G176" s="9" t="n">
        <x:f>F176/'原始数据'!G173</x:f>
        <x:v>0.3287289704580214</x:v>
      </x:c>
      <x:c r="H176" s="9" t="n">
        <x:f>'原始数据'!P173/'原始数据'!O173</x:f>
        <x:v>0.42248469294966357</x:v>
      </x:c>
      <x:c r="I176" s="9" t="n">
        <x:f>F176/C176</x:f>
        <x:v>0.19136742564467832</x:v>
      </x:c>
      <x:c r="J176" s="9" t="n">
        <x:f>'原始数据'!G173/'原始数据'!F173</x:f>
        <x:v>0.022074576637410998</x:v>
      </x:c>
      <x:c r="K176" s="2" t="str">
        <x:v>专业供给</x:v>
      </x:c>
      <x:c r="L176" s="15" t="str">
        <x:v>食品/补剂或耗材需独立供应链</x:v>
      </x:c>
      <x:c r="M176" s="2" t="str">
        <x:f>IF(AND(C176&gt;='核验与方法'!$B$7,F176&gt;='核验与方法'!$B$8,G176&gt;='核验与方法'!$B$9,D176&gt;='核验与方法'!$B$10,E176&gt;='核验与方法'!$B$11),"通过需求门槛","未通过需求门槛")</x:f>
        <x:v>通过需求门槛</x:v>
      </x:c>
      <x:c r="N176" s="2" t="str">
        <x:v>先核验风险标签</x:v>
      </x:c>
      <x:c r="O176" s="9" t="n">
        <x:f>G176-'原始数据'!J173</x:f>
        <x:v>0.000028970458021415624</x:v>
      </x:c>
      <x:c r="P176" s="2" t="str">
        <x:v>DATA HOLD</x:v>
      </x:c>
    </x:row>
    <x:row r="177" ht="48" customHeight="1">
      <x:c r="A177" s="2" t="n">
        <x:v>172</x:v>
      </x:c>
      <x:c r="B177" s="2" t="str">
        <x:v>wire stripper</x:v>
      </x:c>
      <x:c r="C177" s="10" t="n">
        <x:f>'原始数据'!D174</x:f>
        <x:v>210601</x:v>
      </x:c>
      <x:c r="D177" s="9" t="n">
        <x:f>IF(ISNUMBER('原始数据'!E174),'原始数据'!E174,VALUE(SUBSTITUTE('原始数据'!E174,"'","")))</x:f>
        <x:v>0.0933</x:v>
      </x:c>
      <x:c r="E177" s="9" t="n">
        <x:f>IF(ISNUMBER('原始数据'!H174),'原始数据'!H174,VALUE(SUBSTITUTE('原始数据'!H174,"'","")))</x:f>
        <x:v>0.104</x:v>
      </x:c>
      <x:c r="F177" s="10" t="n">
        <x:f>'原始数据'!L174</x:f>
        <x:v>15391</x:v>
      </x:c>
      <x:c r="G177" s="9" t="n">
        <x:f>F177/'原始数据'!G174</x:f>
        <x:v>0.16032291666666668</x:v>
      </x:c>
      <x:c r="H177" s="9" t="n">
        <x:f>'原始数据'!P174/'原始数据'!O174</x:f>
        <x:v>0.3519559040314483</x:v>
      </x:c>
      <x:c r="I177" s="9" t="n">
        <x:f>F177/C177</x:f>
        <x:v>0.07308132440016904</x:v>
      </x:c>
      <x:c r="J177" s="9" t="n">
        <x:f>'原始数据'!G174/'原始数据'!F174</x:f>
        <x:v>0.016378680553967923</x:v>
      </x:c>
      <x:c r="K177" s="2" t="str">
        <x:v>已选候选</x:v>
      </x:c>
      <x:c r="L177" s="15" t="str">
        <x:v>暂无自动识别标签，仍需核验</x:v>
      </x:c>
      <x:c r="M177" s="2" t="str">
        <x:f>IF(AND(C177&gt;='核验与方法'!$B$7,F177&gt;='核验与方法'!$B$8,G177&gt;='核验与方法'!$B$9,D177&gt;='核验与方法'!$B$10,E177&gt;='核验与方法'!$B$11),"通过需求门槛","未通过需求门槛")</x:f>
        <x:v>通过需求门槛</x:v>
      </x:c>
      <x:c r="N177" s="2" t="str">
        <x:v>候选研究</x:v>
      </x:c>
      <x:c r="O177" s="9" t="n">
        <x:f>G177-'原始数据'!J174</x:f>
        <x:v>0.00002291666666667802</x:v>
      </x:c>
      <x:c r="P177" s="2" t="str">
        <x:v>DATA HOLD</x:v>
      </x:c>
    </x:row>
    <x:row r="178" ht="48" customHeight="1">
      <x:c r="A178" s="2" t="n">
        <x:v>173</x:v>
      </x:c>
      <x:c r="B178" s="2" t="str">
        <x:v>aloha protein bars</x:v>
      </x:c>
      <x:c r="C178" s="10" t="n">
        <x:f>'原始数据'!D175</x:f>
        <x:v>210304</x:v>
      </x:c>
      <x:c r="D178" s="9" t="n">
        <x:f>IF(ISNUMBER('原始数据'!E175),'原始数据'!E175,VALUE(SUBSTITUTE('原始数据'!E175,"'","")))</x:f>
        <x:v>-0.0199</x:v>
      </x:c>
      <x:c r="E178" s="9" t="n">
        <x:f>IF(ISNUMBER('原始数据'!H175),'原始数据'!H175,VALUE(SUBSTITUTE('原始数据'!H175,"'","")))</x:f>
        <x:v>-0.0218</x:v>
      </x:c>
      <x:c r="F178" s="10" t="n">
        <x:f>'原始数据'!L175</x:f>
        <x:v>24710</x:v>
      </x:c>
      <x:c r="G178" s="9" t="n">
        <x:f>F178/'原始数据'!G175</x:f>
        <x:v>0.20961639605707402</x:v>
      </x:c>
      <x:c r="H178" s="9" t="n">
        <x:f>'原始数据'!P175/'原始数据'!O175</x:f>
        <x:v>0.33326722462417196</x:v>
      </x:c>
      <x:c r="I178" s="9" t="n">
        <x:f>F178/C178</x:f>
        <x:v>0.11749657638466221</x:v>
      </x:c>
      <x:c r="J178" s="9" t="n">
        <x:f>'原始数据'!G175/'原始数据'!F175</x:f>
        <x:v>0.013377353323974188</x:v>
      </x:c>
      <x:c r="K178" s="2" t="str">
        <x:v>专业供给</x:v>
      </x:c>
      <x:c r="L178" s="15" t="str">
        <x:v>食品/补剂或耗材需独立供应链</x:v>
      </x:c>
      <x:c r="M178" s="2" t="str">
        <x:f>IF(AND(C178&gt;='核验与方法'!$B$7,F178&gt;='核验与方法'!$B$8,G178&gt;='核验与方法'!$B$9,D178&gt;='核验与方法'!$B$10,E178&gt;='核验与方法'!$B$11),"通过需求门槛","未通过需求门槛")</x:f>
        <x:v>未通过需求门槛</x:v>
      </x:c>
      <x:c r="N178" s="2" t="str">
        <x:v>先核验风险标签</x:v>
      </x:c>
      <x:c r="O178" s="9" t="n">
        <x:f>G178-'原始数据'!J175</x:f>
        <x:v>0.000016396057074014037</x:v>
      </x:c>
      <x:c r="P178" s="2" t="str">
        <x:v>DATA HOLD</x:v>
      </x:c>
    </x:row>
    <x:row r="179" ht="48" customHeight="1">
      <x:c r="A179" s="2" t="n">
        <x:v>174</x:v>
      </x:c>
      <x:c r="B179" s="2" t="str">
        <x:v>baby lounger</x:v>
      </x:c>
      <x:c r="C179" s="10" t="n">
        <x:f>'原始数据'!D176</x:f>
        <x:v>210136</x:v>
      </x:c>
      <x:c r="D179" s="9" t="n">
        <x:f>IF(ISNUMBER('原始数据'!E176),'原始数据'!E176,VALUE(SUBSTITUTE('原始数据'!E176,"'","")))</x:f>
        <x:v>-0.0588</x:v>
      </x:c>
      <x:c r="E179" s="9" t="n">
        <x:f>IF(ISNUMBER('原始数据'!H176),'原始数据'!H176,VALUE(SUBSTITUTE('原始数据'!H176,"'","")))</x:f>
        <x:v>-0.0447</x:v>
      </x:c>
      <x:c r="F179" s="10" t="n">
        <x:f>'原始数据'!L176</x:f>
        <x:v>1932</x:v>
      </x:c>
      <x:c r="G179" s="9" t="n">
        <x:f>F179/'原始数据'!G176</x:f>
        <x:v>0.021858665399497657</x:v>
      </x:c>
      <x:c r="H179" s="9" t="n">
        <x:f>'原始数据'!P176/'原始数据'!O176</x:f>
        <x:v>0.07665556426332289</x:v>
      </x:c>
      <x:c r="I179" s="9" t="n">
        <x:f>F179/C179</x:f>
        <x:v>0.009194045760840599</x:v>
      </x:c>
      <x:c r="J179" s="9" t="n">
        <x:f>'原始数据'!G176/'原始数据'!F176</x:f>
        <x:v>0.013258454203385702</x:v>
      </x:c>
      <x:c r="K179" s="2" t="str">
        <x:v>待拆分产品市场</x:v>
      </x:c>
      <x:c r="L179" s="15" t="str">
        <x:v>体积/安装/售后成本待核验</x:v>
      </x:c>
      <x:c r="M179" s="2" t="str">
        <x:f>IF(AND(C179&gt;='核验与方法'!$B$7,F179&gt;='核验与方法'!$B$8,G179&gt;='核验与方法'!$B$9,D179&gt;='核验与方法'!$B$10,E179&gt;='核验与方法'!$B$11),"通过需求门槛","未通过需求门槛")</x:f>
        <x:v>未通过需求门槛</x:v>
      </x:c>
      <x:c r="N179" s="2" t="str">
        <x:v>先核验风险标签</x:v>
      </x:c>
      <x:c r="O179" s="9" t="n">
        <x:f>G179-'原始数据'!J176</x:f>
        <x:v>0.00005866539949765659</x:v>
      </x:c>
      <x:c r="P179" s="2" t="str">
        <x:v>DATA HOLD</x:v>
      </x:c>
    </x:row>
    <x:row r="180" ht="48" customHeight="1">
      <x:c r="A180" s="2" t="n">
        <x:v>175</x:v>
      </x:c>
      <x:c r="B180" s="2" t="str">
        <x:v>carteras para mujer</x:v>
      </x:c>
      <x:c r="C180" s="10" t="n">
        <x:f>'原始数据'!D177</x:f>
        <x:v>210016</x:v>
      </x:c>
      <x:c r="D180" s="9" t="n">
        <x:f>IF(ISNUMBER('原始数据'!E177),'原始数据'!E177,VALUE(SUBSTITUTE('原始数据'!E177,"'","")))</x:f>
        <x:v>0.0813</x:v>
      </x:c>
      <x:c r="E180" s="9" t="n">
        <x:f>IF(ISNUMBER('原始数据'!H177),'原始数据'!H177,VALUE(SUBSTITUTE('原始数据'!H177,"'","")))</x:f>
        <x:v>0.0796</x:v>
      </x:c>
      <x:c r="F180" s="10" t="n">
        <x:f>'原始数据'!L177</x:f>
        <x:v>412</x:v>
      </x:c>
      <x:c r="G180" s="9" t="n">
        <x:f>F180/'原始数据'!G177</x:f>
        <x:v>0.007084271884725829</x:v>
      </x:c>
      <x:c r="H180" s="9" t="n">
        <x:f>'原始数据'!P177/'原始数据'!O177</x:f>
        <x:v>0.050056730961756654</x:v>
      </x:c>
      <x:c r="I180" s="9" t="n">
        <x:f>F180/C180</x:f>
        <x:v>0.001961755294834679</x:v>
      </x:c>
      <x:c r="J180" s="9" t="n">
        <x:f>'原始数据'!G177/'原始数据'!F177</x:f>
        <x:v>0.01561635279740738</x:v>
      </x:c>
      <x:c r="K180" s="2" t="str">
        <x:v>待拆分产品市场</x:v>
      </x:c>
      <x:c r="L180" s="15" t="str">
        <x:v>暂无自动识别标签，仍需核验</x:v>
      </x:c>
      <x:c r="M180" s="2" t="str">
        <x:f>IF(AND(C180&gt;='核验与方法'!$B$7,F180&gt;='核验与方法'!$B$8,G180&gt;='核验与方法'!$B$9,D180&gt;='核验与方法'!$B$10,E180&gt;='核验与方法'!$B$11),"通过需求门槛","未通过需求门槛")</x:f>
        <x:v>未通过需求门槛</x:v>
      </x:c>
      <x:c r="N180" s="2" t="str">
        <x:v>待确认具体产品形态</x:v>
      </x:c>
      <x:c r="O180" s="9" t="n">
        <x:f>G180-'原始数据'!J177</x:f>
        <x:v>0.00008427188472582853</x:v>
      </x:c>
      <x:c r="P180" s="2" t="str">
        <x:v>DATA HOLD</x:v>
      </x:c>
    </x:row>
    <x:row r="181" ht="48" customHeight="1">
      <x:c r="A181" s="2" t="n">
        <x:v>176</x:v>
      </x:c>
      <x:c r="B181" s="2" t="str">
        <x:v>bruno mars concert outfit women</x:v>
      </x:c>
      <x:c r="C181" s="10" t="n">
        <x:f>'原始数据'!D178</x:f>
        <x:v>209919</x:v>
      </x:c>
      <x:c r="D181" s="9" t="n">
        <x:f>IF(ISNUMBER('原始数据'!E178),'原始数据'!E178,VALUE(SUBSTITUTE('原始数据'!E178,"'","")))</x:f>
        <x:v>1.9566</x:v>
      </x:c>
      <x:c r="E181" s="9" t="n">
        <x:f>IF(ISNUMBER('原始数据'!H178),'原始数据'!H178,VALUE(SUBSTITUTE('原始数据'!H178,"'","")))</x:f>
        <x:v>2.1218</x:v>
      </x:c>
      <x:c r="F181" s="10" t="n">
        <x:f>'原始数据'!L178</x:f>
        <x:v>1531</x:v>
      </x:c>
      <x:c r="G181" s="9" t="n">
        <x:f>F181/'原始数据'!G178</x:f>
        <x:v>0.027313435498546017</x:v>
      </x:c>
      <x:c r="H181" s="9" t="n">
        <x:f>'原始数据'!P178/'原始数据'!O178</x:f>
        <x:v>0.12294663064904723</x:v>
      </x:c>
      <x:c r="I181" s="9" t="n">
        <x:f>F181/C181</x:f>
        <x:v>0.0072932893163553565</x:v>
      </x:c>
      <x:c r="J181" s="9" t="n">
        <x:f>'原始数据'!G178/'原始数据'!F178</x:f>
        <x:v>0.0133308377501509</x:v>
      </x:c>
      <x:c r="K181" s="2" t="str">
        <x:v>待拆分产品市场</x:v>
      </x:c>
      <x:c r="L181" s="15" t="str">
        <x:v>品牌或IP需核验；尺码/颜色变体及退货待核验</x:v>
      </x:c>
      <x:c r="M181" s="2" t="str">
        <x:f>IF(AND(C181&gt;='核验与方法'!$B$7,F181&gt;='核验与方法'!$B$8,G181&gt;='核验与方法'!$B$9,D181&gt;='核验与方法'!$B$10,E181&gt;='核验与方法'!$B$11),"通过需求门槛","未通过需求门槛")</x:f>
        <x:v>未通过需求门槛</x:v>
      </x:c>
      <x:c r="N181" s="2" t="str">
        <x:v>先核验风险标签</x:v>
      </x:c>
      <x:c r="O181" s="9" t="n">
        <x:f>G181-'原始数据'!J178</x:f>
        <x:v>0.000013435498546016111</x:v>
      </x:c>
      <x:c r="P181" s="2" t="str">
        <x:v>DATA HOLD</x:v>
      </x:c>
    </x:row>
    <x:row r="182" ht="48" customHeight="1">
      <x:c r="A182" s="2" t="n">
        <x:v>177</x:v>
      </x:c>
      <x:c r="B182" s="2" t="str">
        <x:v>baby registry must haves</x:v>
      </x:c>
      <x:c r="C182" s="10" t="n">
        <x:f>'原始数据'!D179</x:f>
        <x:v>209170</x:v>
      </x:c>
      <x:c r="D182" s="9" t="n">
        <x:f>IF(ISNUMBER('原始数据'!E179),'原始数据'!E179,VALUE(SUBSTITUTE('原始数据'!E179,"'","")))</x:f>
        <x:v>0.0479</x:v>
      </x:c>
      <x:c r="E182" s="9" t="n">
        <x:f>IF(ISNUMBER('原始数据'!H179),'原始数据'!H179,VALUE(SUBSTITUTE('原始数据'!H179,"'","")))</x:f>
        <x:v>0.0069</x:v>
      </x:c>
      <x:c r="F182" s="10" t="n">
        <x:f>'原始数据'!L179</x:f>
        <x:v>326</x:v>
      </x:c>
      <x:c r="G182" s="9" t="n">
        <x:f>F182/'原始数据'!G179</x:f>
        <x:v>0.00413726585105843</x:v>
      </x:c>
      <x:c r="H182" s="9" t="n">
        <x:f>'原始数据'!P179/'原始数据'!O179</x:f>
        <x:v>0.0162276869304706</x:v>
      </x:c>
      <x:c r="I182" s="9" t="n">
        <x:f>F182/C182</x:f>
        <x:v>0.0015585408997466177</x:v>
      </x:c>
      <x:c r="J182" s="9" t="n">
        <x:f>'原始数据'!G179/'原始数据'!F179</x:f>
        <x:v>0.011801438800218007</x:v>
      </x:c>
      <x:c r="K182" s="2" t="str">
        <x:v>待拆分产品市场</x:v>
      </x:c>
      <x:c r="L182" s="15" t="str">
        <x:v>暂无自动识别标签，仍需核验</x:v>
      </x:c>
      <x:c r="M182" s="2" t="str">
        <x:f>IF(AND(C182&gt;='核验与方法'!$B$7,F182&gt;='核验与方法'!$B$8,G182&gt;='核验与方法'!$B$9,D182&gt;='核验与方法'!$B$10,E182&gt;='核验与方法'!$B$11),"通过需求门槛","未通过需求门槛")</x:f>
        <x:v>未通过需求门槛</x:v>
      </x:c>
      <x:c r="N182" s="2" t="str">
        <x:v>待确认具体产品形态</x:v>
      </x:c>
      <x:c r="O182" s="9" t="n">
        <x:f>G182-'原始数据'!J179</x:f>
        <x:v>0.000037265851058429326</x:v>
      </x:c>
      <x:c r="P182" s="2" t="str">
        <x:v>DATA HOLD</x:v>
      </x:c>
    </x:row>
    <x:row r="183" ht="48" customHeight="1">
      <x:c r="A183" s="2" t="n">
        <x:v>178</x:v>
      </x:c>
      <x:c r="B183" s="2" t="str">
        <x:v>leather jacket women</x:v>
      </x:c>
      <x:c r="C183" s="10" t="n">
        <x:f>'原始数据'!D180</x:f>
        <x:v>208077</x:v>
      </x:c>
      <x:c r="D183" s="9" t="n">
        <x:f>IF(ISNUMBER('原始数据'!E180),'原始数据'!E180,VALUE(SUBSTITUTE('原始数据'!E180,"'","")))</x:f>
        <x:v>0.9258</x:v>
      </x:c>
      <x:c r="E183" s="9" t="n">
        <x:f>IF(ISNUMBER('原始数据'!H180),'原始数据'!H180,VALUE(SUBSTITUTE('原始数据'!H180,"'","")))</x:f>
        <x:v>0.9234</x:v>
      </x:c>
      <x:c r="F183" s="10" t="n">
        <x:f>'原始数据'!L180</x:f>
        <x:v>750</x:v>
      </x:c>
      <x:c r="G183" s="9" t="n">
        <x:f>F183/'原始数据'!G180</x:f>
        <x:v>0.011656823127137084</x:v>
      </x:c>
      <x:c r="H183" s="9" t="n">
        <x:f>'原始数据'!P180/'原始数据'!O180</x:f>
        <x:v>0.07811317183951552</x:v>
      </x:c>
      <x:c r="I183" s="9" t="n">
        <x:f>F183/C183</x:f>
        <x:v>0.0036044348966968957</x:v>
      </x:c>
      <x:c r="J183" s="9" t="n">
        <x:f>'原始数据'!G180/'原始数据'!F180</x:f>
        <x:v>0.016257298918260454</x:v>
      </x:c>
      <x:c r="K183" s="2" t="str">
        <x:v>待拆分产品市场</x:v>
      </x:c>
      <x:c r="L183" s="15" t="str">
        <x:v>尺码/颜色变体及退货待核验</x:v>
      </x:c>
      <x:c r="M183" s="2" t="str">
        <x:f>IF(AND(C183&gt;='核验与方法'!$B$7,F183&gt;='核验与方法'!$B$8,G183&gt;='核验与方法'!$B$9,D183&gt;='核验与方法'!$B$10,E183&gt;='核验与方法'!$B$11),"通过需求门槛","未通过需求门槛")</x:f>
        <x:v>未通过需求门槛</x:v>
      </x:c>
      <x:c r="N183" s="2" t="str">
        <x:v>先核验风险标签</x:v>
      </x:c>
      <x:c r="O183" s="9" t="n">
        <x:f>G183-'原始数据'!J180</x:f>
        <x:v>0.00005682312713708483</x:v>
      </x:c>
      <x:c r="P183" s="2" t="str">
        <x:v>DATA HOLD</x:v>
      </x:c>
    </x:row>
    <x:row r="184" ht="48" customHeight="1">
      <x:c r="A184" s="2" t="n">
        <x:v>179</x:v>
      </x:c>
      <x:c r="B184" s="2" t="str">
        <x:v>sensory room must haves</x:v>
      </x:c>
      <x:c r="C184" s="10" t="n">
        <x:f>'原始数据'!D181</x:f>
        <x:v>206659</x:v>
      </x:c>
      <x:c r="D184" s="9" t="n">
        <x:f>IF(ISNUMBER('原始数据'!E181),'原始数据'!E181,VALUE(SUBSTITUTE('原始数据'!E181,"'","")))</x:f>
        <x:v>-0.0734</x:v>
      </x:c>
      <x:c r="E184" s="9" t="n">
        <x:f>IF(ISNUMBER('原始数据'!H181),'原始数据'!H181,VALUE(SUBSTITUTE('原始数据'!H181,"'","")))</x:f>
        <x:v>-0.0872</x:v>
      </x:c>
      <x:c r="F184" s="10" t="n">
        <x:f>'原始数据'!L181</x:f>
        <x:v>1729</x:v>
      </x:c>
      <x:c r="G184" s="9" t="n">
        <x:f>F184/'原始数据'!G181</x:f>
        <x:v>0.023027849180240534</x:v>
      </x:c>
      <x:c r="H184" s="9" t="n">
        <x:f>'原始数据'!P181/'原始数据'!O181</x:f>
        <x:v>0.06551099398830602</x:v>
      </x:c>
      <x:c r="I184" s="9" t="n">
        <x:f>F184/C184</x:f>
        <x:v>0.008366439400171297</x:v>
      </x:c>
      <x:c r="J184" s="9" t="n">
        <x:f>'原始数据'!G181/'原始数据'!F181</x:f>
        <x:v>0.011046782017652076</x:v>
      </x:c>
      <x:c r="K184" s="2" t="str">
        <x:v>待拆分产品市场</x:v>
      </x:c>
      <x:c r="L184" s="15" t="str">
        <x:v>暂无自动识别标签，仍需核验</x:v>
      </x:c>
      <x:c r="M184" s="2" t="str">
        <x:f>IF(AND(C184&gt;='核验与方法'!$B$7,F184&gt;='核验与方法'!$B$8,G184&gt;='核验与方法'!$B$9,D184&gt;='核验与方法'!$B$10,E184&gt;='核验与方法'!$B$11),"通过需求门槛","未通过需求门槛")</x:f>
        <x:v>未通过需求门槛</x:v>
      </x:c>
      <x:c r="N184" s="2" t="str">
        <x:v>待确认具体产品形态</x:v>
      </x:c>
      <x:c r="O184" s="9" t="n">
        <x:f>G184-'原始数据'!J181</x:f>
        <x:v>0.000027849180240534233</x:v>
      </x:c>
      <x:c r="P184" s="2" t="str">
        <x:v>DATA HOLD</x:v>
      </x:c>
    </x:row>
    <x:row r="185" ht="48" customHeight="1">
      <x:c r="A185" s="2" t="n">
        <x:v>180</x:v>
      </x:c>
      <x:c r="B185" s="2" t="str">
        <x:v>nad</x:v>
      </x:c>
      <x:c r="C185" s="10" t="n">
        <x:f>'原始数据'!D182</x:f>
        <x:v>206030</x:v>
      </x:c>
      <x:c r="D185" s="9" t="n">
        <x:f>IF(ISNUMBER('原始数据'!E182),'原始数据'!E182,VALUE(SUBSTITUTE('原始数据'!E182,"'","")))</x:f>
        <x:v>0.1395</x:v>
      </x:c>
      <x:c r="E185" s="9" t="n">
        <x:f>IF(ISNUMBER('原始数据'!H182),'原始数据'!H182,VALUE(SUBSTITUTE('原始数据'!H182,"'","")))</x:f>
        <x:v>0.0499</x:v>
      </x:c>
      <x:c r="F185" s="10" t="n">
        <x:f>'原始数据'!L182</x:f>
        <x:v>8405</x:v>
      </x:c>
      <x:c r="G185" s="9" t="n">
        <x:f>F185/'原始数据'!G182</x:f>
        <x:v>0.11377788607320771</x:v>
      </x:c>
      <x:c r="H185" s="9" t="n">
        <x:f>'原始数据'!P182/'原始数据'!O182</x:f>
        <x:v>0.24227547696603072</x:v>
      </x:c>
      <x:c r="I185" s="9" t="n">
        <x:f>F185/C185</x:f>
        <x:v>0.04079502985002184</x:v>
      </x:c>
      <x:c r="J185" s="9" t="n">
        <x:f>'原始数据'!G182/'原始数据'!F182</x:f>
        <x:v>0.0151578480829545</x:v>
      </x:c>
      <x:c r="K185" s="2" t="str">
        <x:v>专业供给</x:v>
      </x:c>
      <x:c r="L185" s="15" t="str">
        <x:v>食品/补剂或耗材需独立供应链</x:v>
      </x:c>
      <x:c r="M185" s="2" t="str">
        <x:f>IF(AND(C185&gt;='核验与方法'!$B$7,F185&gt;='核验与方法'!$B$8,G185&gt;='核验与方法'!$B$9,D185&gt;='核验与方法'!$B$10,E185&gt;='核验与方法'!$B$11),"通过需求门槛","未通过需求门槛")</x:f>
        <x:v>通过需求门槛</x:v>
      </x:c>
      <x:c r="N185" s="2" t="str">
        <x:v>先核验风险标签</x:v>
      </x:c>
      <x:c r="O185" s="9" t="n">
        <x:f>G185-'原始数据'!J182</x:f>
        <x:v>0.0000778860732077169</x:v>
      </x:c>
      <x:c r="P185" s="2" t="str">
        <x:v>DATA HOLD</x:v>
      </x:c>
    </x:row>
    <x:row r="186" ht="48" customHeight="1">
      <x:c r="A186" s="2" t="n">
        <x:v>181</x:v>
      </x:c>
      <x:c r="B186" s="2" t="str">
        <x:v>window shades</x:v>
      </x:c>
      <x:c r="C186" s="10" t="n">
        <x:f>'原始数据'!D183</x:f>
        <x:v>205522</x:v>
      </x:c>
      <x:c r="D186" s="9" t="n">
        <x:f>IF(ISNUMBER('原始数据'!E183),'原始数据'!E183,VALUE(SUBSTITUTE('原始数据'!E183,"'","")))</x:f>
        <x:v>-0.1272</x:v>
      </x:c>
      <x:c r="E186" s="9" t="n">
        <x:f>IF(ISNUMBER('原始数据'!H183),'原始数据'!H183,VALUE(SUBSTITUTE('原始数据'!H183,"'","")))</x:f>
        <x:v>-0.098</x:v>
      </x:c>
      <x:c r="F186" s="10" t="n">
        <x:f>'原始数据'!L183</x:f>
        <x:v>439</x:v>
      </x:c>
      <x:c r="G186" s="9" t="n">
        <x:f>F186/'原始数据'!G183</x:f>
        <x:v>0.004882606132731257</x:v>
      </x:c>
      <x:c r="H186" s="9" t="n">
        <x:f>'原始数据'!P183/'原始数据'!O183</x:f>
        <x:v>0.044604759600580655</x:v>
      </x:c>
      <x:c r="I186" s="9" t="n">
        <x:f>F186/C186</x:f>
        <x:v>0.0021360243672210273</x:v>
      </x:c>
      <x:c r="J186" s="9" t="n">
        <x:f>'原始数据'!G183/'原始数据'!F183</x:f>
        <x:v>0.013116603720020593</x:v>
      </x:c>
      <x:c r="K186" s="2" t="str">
        <x:v>待拆分产品市场</x:v>
      </x:c>
      <x:c r="L186" s="15" t="str">
        <x:v>体积/安装/售后成本待核验</x:v>
      </x:c>
      <x:c r="M186" s="2" t="str">
        <x:f>IF(AND(C186&gt;='核验与方法'!$B$7,F186&gt;='核验与方法'!$B$8,G186&gt;='核验与方法'!$B$9,D186&gt;='核验与方法'!$B$10,E186&gt;='核验与方法'!$B$11),"通过需求门槛","未通过需求门槛")</x:f>
        <x:v>未通过需求门槛</x:v>
      </x:c>
      <x:c r="N186" s="2" t="str">
        <x:v>先核验风险标签</x:v>
      </x:c>
      <x:c r="O186" s="9" t="n">
        <x:f>G186-'原始数据'!J183</x:f>
        <x:v>0.00008260613273125723</x:v>
      </x:c>
      <x:c r="P186" s="2" t="str">
        <x:v>DATA HOLD</x:v>
      </x:c>
    </x:row>
    <x:row r="187" ht="48" customHeight="1">
      <x:c r="A187" s="2" t="n">
        <x:v>182</x:v>
      </x:c>
      <x:c r="B187" s="2" t="str">
        <x:v>whipped cream</x:v>
      </x:c>
      <x:c r="C187" s="10" t="n">
        <x:f>'原始数据'!D184</x:f>
        <x:v>205509</x:v>
      </x:c>
      <x:c r="D187" s="9" t="n">
        <x:f>IF(ISNUMBER('原始数据'!E184),'原始数据'!E184,VALUE(SUBSTITUTE('原始数据'!E184,"'","")))</x:f>
        <x:v>0.2372</x:v>
      </x:c>
      <x:c r="E187" s="9" t="n">
        <x:f>IF(ISNUMBER('原始数据'!H184),'原始数据'!H184,VALUE(SUBSTITUTE('原始数据'!H184,"'","")))</x:f>
        <x:v>0.0308</x:v>
      </x:c>
      <x:c r="F187" s="10" t="n">
        <x:f>'原始数据'!L184</x:f>
        <x:v>22132</x:v>
      </x:c>
      <x:c r="G187" s="9" t="n">
        <x:f>F187/'原始数据'!G184</x:f>
        <x:v>0.3308270676691729</x:v>
      </x:c>
      <x:c r="H187" s="9" t="n">
        <x:f>'原始数据'!P184/'原始数据'!O184</x:f>
        <x:v>0.46074301798654504</x:v>
      </x:c>
      <x:c r="I187" s="9" t="n">
        <x:f>F187/C187</x:f>
        <x:v>0.10769358032981524</x:v>
      </x:c>
      <x:c r="J187" s="9" t="n">
        <x:f>'原始数据'!G184/'原始数据'!F184</x:f>
        <x:v>0.01910891702807053</x:v>
      </x:c>
      <x:c r="K187" s="2" t="str">
        <x:v>专业供给</x:v>
      </x:c>
      <x:c r="L187" s="15" t="str">
        <x:v>食品/补剂或耗材需独立供应链</x:v>
      </x:c>
      <x:c r="M187" s="2" t="str">
        <x:f>IF(AND(C187&gt;='核验与方法'!$B$7,F187&gt;='核验与方法'!$B$8,G187&gt;='核验与方法'!$B$9,D187&gt;='核验与方法'!$B$10,E187&gt;='核验与方法'!$B$11),"通过需求门槛","未通过需求门槛")</x:f>
        <x:v>通过需求门槛</x:v>
      </x:c>
      <x:c r="N187" s="2" t="str">
        <x:v>先核验风险标签</x:v>
      </x:c>
      <x:c r="O187" s="9" t="n">
        <x:f>G187-'原始数据'!J184</x:f>
        <x:v>0.00002706766917293102</x:v>
      </x:c>
      <x:c r="P187" s="2" t="str">
        <x:v>DATA HOLD</x:v>
      </x:c>
    </x:row>
    <x:row r="188" ht="48" customHeight="1">
      <x:c r="A188" s="2" t="n">
        <x:v>183</x:v>
      </x:c>
      <x:c r="B188" s="2" t="str">
        <x:v>white outfits for women</x:v>
      </x:c>
      <x:c r="C188" s="10" t="n">
        <x:f>'原始数据'!D185</x:f>
        <x:v>205391</x:v>
      </x:c>
      <x:c r="D188" s="9" t="n">
        <x:f>IF(ISNUMBER('原始数据'!E185),'原始数据'!E185,VALUE(SUBSTITUTE('原始数据'!E185,"'","")))</x:f>
        <x:v>-0.0684</x:v>
      </x:c>
      <x:c r="E188" s="9" t="n">
        <x:f>IF(ISNUMBER('原始数据'!H185),'原始数据'!H185,VALUE(SUBSTITUTE('原始数据'!H185,"'","")))</x:f>
        <x:v>-0.0579</x:v>
      </x:c>
      <x:c r="F188" s="10" t="n">
        <x:f>'原始数据'!L185</x:f>
        <x:v>686</x:v>
      </x:c>
      <x:c r="G188" s="9" t="n">
        <x:f>F188/'原始数据'!G185</x:f>
        <x:v>0.01076314798543994</x:v>
      </x:c>
      <x:c r="H188" s="9" t="n">
        <x:f>'原始数据'!P185/'原始数据'!O185</x:f>
        <x:v>0.10185100756815903</x:v>
      </x:c>
      <x:c r="I188" s="9" t="n">
        <x:f>F188/C188</x:f>
        <x:v>0.003339971079550711</x:v>
      </x:c>
      <x:c r="J188" s="9" t="n">
        <x:f>'原始数据'!G185/'原始数据'!F185</x:f>
        <x:v>0.008619836226357527</x:v>
      </x:c>
      <x:c r="K188" s="2" t="str">
        <x:v>待拆分产品市场</x:v>
      </x:c>
      <x:c r="L188" s="15" t="str">
        <x:v>尺码/颜色变体及退货待核验</x:v>
      </x:c>
      <x:c r="M188" s="2" t="str">
        <x:f>IF(AND(C188&gt;='核验与方法'!$B$7,F188&gt;='核验与方法'!$B$8,G188&gt;='核验与方法'!$B$9,D188&gt;='核验与方法'!$B$10,E188&gt;='核验与方法'!$B$11),"通过需求门槛","未通过需求门槛")</x:f>
        <x:v>未通过需求门槛</x:v>
      </x:c>
      <x:c r="N188" s="2" t="str">
        <x:v>先核验风险标签</x:v>
      </x:c>
      <x:c r="O188" s="9" t="n">
        <x:f>G188-'原始数据'!J185</x:f>
        <x:v>0.00006314798543994096</x:v>
      </x:c>
      <x:c r="P188" s="2" t="str">
        <x:v>DATA HOLD</x:v>
      </x:c>
    </x:row>
    <x:row r="189" ht="48" customHeight="1">
      <x:c r="A189" s="2" t="n">
        <x:v>184</x:v>
      </x:c>
      <x:c r="B189" s="2" t="str">
        <x:v>fuel pump</x:v>
      </x:c>
      <x:c r="C189" s="10" t="n">
        <x:f>'原始数据'!D186</x:f>
        <x:v>204673</x:v>
      </x:c>
      <x:c r="D189" s="9" t="n">
        <x:f>IF(ISNUMBER('原始数据'!E186),'原始数据'!E186,VALUE(SUBSTITUTE('原始数据'!E186,"'","")))</x:f>
        <x:v>0.0067</x:v>
      </x:c>
      <x:c r="E189" s="9" t="n">
        <x:f>IF(ISNUMBER('原始数据'!H186),'原始数据'!H186,VALUE(SUBSTITUTE('原始数据'!H186,"'","")))</x:f>
        <x:v>0.0263</x:v>
      </x:c>
      <x:c r="F189" s="10" t="n">
        <x:f>'原始数据'!L186</x:f>
        <x:v>4914</x:v>
      </x:c>
      <x:c r="G189" s="9" t="n">
        <x:f>F189/'原始数据'!G186</x:f>
        <x:v>0.0780235309061463</x:v>
      </x:c>
      <x:c r="H189" s="9" t="n">
        <x:f>'原始数据'!P186/'原始数据'!O186</x:f>
        <x:v>0.20392579989210274</x:v>
      </x:c>
      <x:c r="I189" s="9" t="n">
        <x:f>F189/C189</x:f>
        <x:v>0.02400902903656076</x:v>
      </x:c>
      <x:c r="J189" s="9" t="n">
        <x:f>'原始数据'!G186/'原始数据'!F186</x:f>
        <x:v>0.014924478315063104</x:v>
      </x:c>
      <x:c r="K189" s="2" t="str">
        <x:v>待拆分产品市场</x:v>
      </x:c>
      <x:c r="L189" s="15" t="str">
        <x:v>体积/安装/售后成本待核验</x:v>
      </x:c>
      <x:c r="M189" s="2" t="str">
        <x:f>IF(AND(C189&gt;='核验与方法'!$B$7,F189&gt;='核验与方法'!$B$8,G189&gt;='核验与方法'!$B$9,D189&gt;='核验与方法'!$B$10,E189&gt;='核验与方法'!$B$11),"通过需求门槛","未通过需求门槛")</x:f>
        <x:v>通过需求门槛</x:v>
      </x:c>
      <x:c r="N189" s="2" t="str">
        <x:v>先核验风险标签</x:v>
      </x:c>
      <x:c r="O189" s="9" t="n">
        <x:f>G189-'原始数据'!J186</x:f>
        <x:v>0.000023530906146304598</x:v>
      </x:c>
      <x:c r="P189" s="2" t="str">
        <x:v>DATA HOLD</x:v>
      </x:c>
    </x:row>
    <x:row r="190" ht="48" customHeight="1">
      <x:c r="A190" s="2" t="n">
        <x:v>185</x:v>
      </x:c>
      <x:c r="B190" s="2" t="str">
        <x:v>earrings for sensitive ears women</x:v>
      </x:c>
      <x:c r="C190" s="10" t="n">
        <x:f>'原始数据'!D187</x:f>
        <x:v>203858</x:v>
      </x:c>
      <x:c r="D190" s="9" t="n">
        <x:f>IF(ISNUMBER('原始数据'!E187),'原始数据'!E187,VALUE(SUBSTITUTE('原始数据'!E187,"'","")))</x:f>
        <x:v>0.045</x:v>
      </x:c>
      <x:c r="E190" s="9" t="n">
        <x:f>IF(ISNUMBER('原始数据'!H187),'原始数据'!H187,VALUE(SUBSTITUTE('原始数据'!H187,"'","")))</x:f>
        <x:v>0.0249</x:v>
      </x:c>
      <x:c r="F190" s="10" t="n">
        <x:f>'原始数据'!L187</x:f>
        <x:v>5106</x:v>
      </x:c>
      <x:c r="G190" s="9" t="n">
        <x:f>F190/'原始数据'!G187</x:f>
        <x:v>0.07796729221701354</x:v>
      </x:c>
      <x:c r="H190" s="9" t="n">
        <x:f>'原始数据'!P187/'原始数据'!O187</x:f>
        <x:v>0.2175038310914354</x:v>
      </x:c>
      <x:c r="I190" s="9" t="n">
        <x:f>F190/C190</x:f>
        <x:v>0.02504684633421303</x:v>
      </x:c>
      <x:c r="J190" s="9" t="n">
        <x:f>'原始数据'!G187/'原始数据'!F187</x:f>
        <x:v>0.009591843191108054</x:v>
      </x:c>
      <x:c r="K190" s="2" t="str">
        <x:v>待拆分产品市场</x:v>
      </x:c>
      <x:c r="L190" s="15" t="str">
        <x:v>暂无自动识别标签，仍需核验</x:v>
      </x:c>
      <x:c r="M190" s="2" t="str">
        <x:f>IF(AND(C190&gt;='核验与方法'!$B$7,F190&gt;='核验与方法'!$B$8,G190&gt;='核验与方法'!$B$9,D190&gt;='核验与方法'!$B$10,E190&gt;='核验与方法'!$B$11),"通过需求门槛","未通过需求门槛")</x:f>
        <x:v>通过需求门槛</x:v>
      </x:c>
      <x:c r="N190" s="2" t="str">
        <x:v>待确认具体产品形态</x:v>
      </x:c>
      <x:c r="O190" s="9" t="n">
        <x:f>G190-'原始数据'!J187</x:f>
        <x:v>0.0000672922170135426</x:v>
      </x:c>
      <x:c r="P190" s="2" t="str">
        <x:v>DATA HOLD</x:v>
      </x:c>
    </x:row>
    <x:row r="191" ht="48" customHeight="1">
      <x:c r="A191" s="2" t="n">
        <x:v>186</x:v>
      </x:c>
      <x:c r="B191" s="2" t="str">
        <x:v>smushers squishy</x:v>
      </x:c>
      <x:c r="C191" s="10" t="n">
        <x:f>'原始数据'!D188</x:f>
        <x:v>202847</x:v>
      </x:c>
      <x:c r="D191" s="9" t="n">
        <x:f>IF(ISNUMBER('原始数据'!E188),'原始数据'!E188,VALUE(SUBSTITUTE('原始数据'!E188,"'","")))</x:f>
        <x:v>0.1038</x:v>
      </x:c>
      <x:c r="E191" s="9" t="n">
        <x:f>IF(ISNUMBER('原始数据'!H188),'原始数据'!H188,VALUE(SUBSTITUTE('原始数据'!H188,"'","")))</x:f>
        <x:v>-0.0476</x:v>
      </x:c>
      <x:c r="F191" s="10" t="n">
        <x:f>'原始数据'!L188</x:f>
        <x:v>2166</x:v>
      </x:c>
      <x:c r="G191" s="9" t="n">
        <x:f>F191/'原始数据'!G188</x:f>
        <x:v>0.026921212573175732</x:v>
      </x:c>
      <x:c r="H191" s="9" t="n">
        <x:f>'原始数据'!P188/'原始数据'!O188</x:f>
        <x:v>0.10049817972791722</x:v>
      </x:c>
      <x:c r="I191" s="9" t="n">
        <x:f>F191/C191</x:f>
        <x:v>0.010677998688666828</x:v>
      </x:c>
      <x:c r="J191" s="9" t="n">
        <x:f>'原始数据'!G188/'原始数据'!F188</x:f>
        <x:v>0.02756561467342985</x:v>
      </x:c>
      <x:c r="K191" s="2" t="str">
        <x:v>待拆分产品市场</x:v>
      </x:c>
      <x:c r="L191" s="15" t="str">
        <x:v>暂无自动识别标签，仍需核验</x:v>
      </x:c>
      <x:c r="M191" s="2" t="str">
        <x:f>IF(AND(C191&gt;='核验与方法'!$B$7,F191&gt;='核验与方法'!$B$8,G191&gt;='核验与方法'!$B$9,D191&gt;='核验与方法'!$B$10,E191&gt;='核验与方法'!$B$11),"通过需求门槛","未通过需求门槛")</x:f>
        <x:v>未通过需求门槛</x:v>
      </x:c>
      <x:c r="N191" s="2" t="str">
        <x:v>待确认具体产品形态</x:v>
      </x:c>
      <x:c r="O191" s="9" t="n">
        <x:f>G191-'原始数据'!J188</x:f>
        <x:v>0.00002121257317573219</x:v>
      </x:c>
      <x:c r="P191" s="2" t="str">
        <x:v>DATA HOLD</x:v>
      </x:c>
    </x:row>
    <x:row r="192" ht="48" customHeight="1">
      <x:c r="A192" s="2" t="n">
        <x:v>187</x:v>
      </x:c>
      <x:c r="B192" s="2" t="str">
        <x:v>dot day shirt</x:v>
      </x:c>
      <x:c r="C192" s="10" t="n">
        <x:f>'原始数据'!D189</x:f>
        <x:v>202446</x:v>
      </x:c>
      <x:c r="D192" s="9" t="n">
        <x:f>IF(ISNUMBER('原始数据'!E189),'原始数据'!E189,VALUE(SUBSTITUTE('原始数据'!E189,"'","")))</x:f>
        <x:v>46.556</x:v>
      </x:c>
      <x:c r="E192" s="9" t="n">
        <x:f>IF(ISNUMBER('原始数据'!H189),'原始数据'!H189,VALUE(SUBSTITUTE('原始数据'!H189,"'","")))</x:f>
        <x:v>45.32</x:v>
      </x:c>
      <x:c r="F192" s="10" t="n">
        <x:f>'原始数据'!L189</x:f>
        <x:v>5749</x:v>
      </x:c>
      <x:c r="G192" s="9" t="n">
        <x:f>F192/'原始数据'!G189</x:f>
        <x:v>0.07595756206481959</x:v>
      </x:c>
      <x:c r="H192" s="9" t="n">
        <x:f>'原始数据'!P189/'原始数据'!O189</x:f>
        <x:v>0.18533604887983707</x:v>
      </x:c>
      <x:c r="I192" s="9" t="n">
        <x:f>F192/C192</x:f>
        <x:v>0.02839769617577033</x:v>
      </x:c>
      <x:c r="J192" s="9" t="n">
        <x:f>'原始数据'!G189/'原始数据'!F189</x:f>
        <x:v>0.19990702858606854</x:v>
      </x:c>
      <x:c r="K192" s="2" t="str">
        <x:v>待拆分产品市场</x:v>
      </x:c>
      <x:c r="L192" s="15" t="str">
        <x:v>季节/事件影响待核验；尺码/颜色变体及退货待核验</x:v>
      </x:c>
      <x:c r="M192" s="2" t="str">
        <x:f>IF(AND(C192&gt;='核验与方法'!$B$7,F192&gt;='核验与方法'!$B$8,G192&gt;='核验与方法'!$B$9,D192&gt;='核验与方法'!$B$10,E192&gt;='核验与方法'!$B$11),"通过需求门槛","未通过需求门槛")</x:f>
        <x:v>通过需求门槛</x:v>
      </x:c>
      <x:c r="N192" s="2" t="str">
        <x:v>先核验风险标签</x:v>
      </x:c>
      <x:c r="O192" s="9" t="n">
        <x:f>G192-'原始数据'!J189</x:f>
        <x:v>0.00005756206481959125</x:v>
      </x:c>
      <x:c r="P192" s="2" t="str">
        <x:v>DATA HOLD</x:v>
      </x:c>
    </x:row>
    <x:row r="193" ht="48" customHeight="1">
      <x:c r="A193" s="2" t="n">
        <x:v>188</x:v>
      </x:c>
      <x:c r="B193" s="2" t="str">
        <x:v>jorts</x:v>
      </x:c>
      <x:c r="C193" s="10" t="n">
        <x:f>'原始数据'!D190</x:f>
        <x:v>202372</x:v>
      </x:c>
      <x:c r="D193" s="9" t="n">
        <x:f>IF(ISNUMBER('原始数据'!E190),'原始数据'!E190,VALUE(SUBSTITUTE('原始数据'!E190,"'","")))</x:f>
        <x:v>-0.2765</x:v>
      </x:c>
      <x:c r="E193" s="9" t="n">
        <x:f>IF(ISNUMBER('原始数据'!H190),'原始数据'!H190,VALUE(SUBSTITUTE('原始数据'!H190,"'","")))</x:f>
        <x:v>-0.2987</x:v>
      </x:c>
      <x:c r="F193" s="10" t="n">
        <x:f>'原始数据'!L190</x:f>
        <x:v>683</x:v>
      </x:c>
      <x:c r="G193" s="9" t="n">
        <x:f>F193/'原始数据'!G190</x:f>
        <x:v>0.011948079210692044</x:v>
      </x:c>
      <x:c r="H193" s="9" t="n">
        <x:f>'原始数据'!P190/'原始数据'!O190</x:f>
        <x:v>0.12211147078619275</x:v>
      </x:c>
      <x:c r="I193" s="9" t="n">
        <x:f>F193/C193</x:f>
        <x:v>0.0033749728223271993</x:v>
      </x:c>
      <x:c r="J193" s="9" t="n">
        <x:f>'原始数据'!G190/'原始数据'!F190</x:f>
        <x:v>0.010461360185451053</x:v>
      </x:c>
      <x:c r="K193" s="2" t="str">
        <x:v>待拆分产品市场</x:v>
      </x:c>
      <x:c r="L193" s="15" t="str">
        <x:v>尺码/颜色变体及退货待核验</x:v>
      </x:c>
      <x:c r="M193" s="2" t="str">
        <x:f>IF(AND(C193&gt;='核验与方法'!$B$7,F193&gt;='核验与方法'!$B$8,G193&gt;='核验与方法'!$B$9,D193&gt;='核验与方法'!$B$10,E193&gt;='核验与方法'!$B$11),"通过需求门槛","未通过需求门槛")</x:f>
        <x:v>未通过需求门槛</x:v>
      </x:c>
      <x:c r="N193" s="2" t="str">
        <x:v>先核验风险标签</x:v>
      </x:c>
      <x:c r="O193" s="9" t="n">
        <x:f>G193-'原始数据'!J190</x:f>
        <x:v>0.000048079210692043156</x:v>
      </x:c>
      <x:c r="P193" s="2" t="str">
        <x:v>DATA HOLD</x:v>
      </x:c>
    </x:row>
    <x:row r="194" ht="48" customHeight="1">
      <x:c r="A194" s="2" t="n">
        <x:v>189</x:v>
      </x:c>
      <x:c r="B194" s="2" t="str">
        <x:v>toy gun</x:v>
      </x:c>
      <x:c r="C194" s="10" t="n">
        <x:f>'原始数据'!D191</x:f>
        <x:v>202269</x:v>
      </x:c>
      <x:c r="D194" s="9" t="n">
        <x:f>IF(ISNUMBER('原始数据'!E191),'原始数据'!E191,VALUE(SUBSTITUTE('原始数据'!E191,"'","")))</x:f>
        <x:v>0.0295</x:v>
      </x:c>
      <x:c r="E194" s="9" t="n">
        <x:f>IF(ISNUMBER('原始数据'!H191),'原始数据'!H191,VALUE(SUBSTITUTE('原始数据'!H191,"'","")))</x:f>
        <x:v>0.0361</x:v>
      </x:c>
      <x:c r="F194" s="10" t="n">
        <x:f>'原始数据'!L191</x:f>
        <x:v>1277</x:v>
      </x:c>
      <x:c r="G194" s="9" t="n">
        <x:f>F194/'原始数据'!G191</x:f>
        <x:v>0.01785165096317835</x:v>
      </x:c>
      <x:c r="H194" s="9" t="n">
        <x:f>'原始数据'!P191/'原始数据'!O191</x:f>
        <x:v>0.08308018368067821</x:v>
      </x:c>
      <x:c r="I194" s="9" t="n">
        <x:f>F194/C194</x:f>
        <x:v>0.006313374763310245</x:v>
      </x:c>
      <x:c r="J194" s="9" t="n">
        <x:f>'原始数据'!G191/'原始数据'!F191</x:f>
        <x:v>0.024764562863956924</x:v>
      </x:c>
      <x:c r="K194" s="2" t="str">
        <x:v>待拆分产品市场</x:v>
      </x:c>
      <x:c r="L194" s="15" t="str">
        <x:v>暂无自动识别标签，仍需核验</x:v>
      </x:c>
      <x:c r="M194" s="2" t="str">
        <x:f>IF(AND(C194&gt;='核验与方法'!$B$7,F194&gt;='核验与方法'!$B$8,G194&gt;='核验与方法'!$B$9,D194&gt;='核验与方法'!$B$10,E194&gt;='核验与方法'!$B$11),"通过需求门槛","未通过需求门槛")</x:f>
        <x:v>未通过需求门槛</x:v>
      </x:c>
      <x:c r="N194" s="2" t="str">
        <x:v>待确认具体产品形态</x:v>
      </x:c>
      <x:c r="O194" s="9" t="n">
        <x:f>G194-'原始数据'!J191</x:f>
        <x:v>0.000051650963178349885</x:v>
      </x:c>
      <x:c r="P194" s="2" t="str">
        <x:v>DATA HOLD</x:v>
      </x:c>
    </x:row>
    <x:row r="195" ht="48" customHeight="1">
      <x:c r="A195" s="2" t="n">
        <x:v>190</x:v>
      </x:c>
      <x:c r="B195" s="2" t="str">
        <x:v>dermaplane razor</x:v>
      </x:c>
      <x:c r="C195" s="10" t="n">
        <x:f>'原始数据'!D192</x:f>
        <x:v>202077</x:v>
      </x:c>
      <x:c r="D195" s="9" t="n">
        <x:f>IF(ISNUMBER('原始数据'!E192),'原始数据'!E192,VALUE(SUBSTITUTE('原始数据'!E192,"'","")))</x:f>
        <x:v>0.0537</x:v>
      </x:c>
      <x:c r="E195" s="9" t="n">
        <x:f>IF(ISNUMBER('原始数据'!H192),'原始数据'!H192,VALUE(SUBSTITUTE('原始数据'!H192,"'","")))</x:f>
        <x:v>0.0587</x:v>
      </x:c>
      <x:c r="F195" s="10" t="n">
        <x:f>'原始数据'!L192</x:f>
        <x:v>29418</x:v>
      </x:c>
      <x:c r="G195" s="9" t="n">
        <x:f>F195/'原始数据'!G192</x:f>
        <x:v>0.2532519520320934</x:v>
      </x:c>
      <x:c r="H195" s="9" t="n">
        <x:f>'原始数据'!P192/'原始数据'!O192</x:f>
        <x:v>0.4334972199341021</x:v>
      </x:c>
      <x:c r="I195" s="9" t="n">
        <x:f>F195/C195</x:f>
        <x:v>0.14557817069730844</x:v>
      </x:c>
      <x:c r="J195" s="9" t="n">
        <x:f>'原始数据'!G192/'原始数据'!F192</x:f>
        <x:v>0.016298290953137343</x:v>
      </x:c>
      <x:c r="K195" s="2" t="str">
        <x:v>待拆分产品市场</x:v>
      </x:c>
      <x:c r="L195" s="15" t="str">
        <x:v>暂无自动识别标签，仍需核验</x:v>
      </x:c>
      <x:c r="M195" s="2" t="str">
        <x:f>IF(AND(C195&gt;='核验与方法'!$B$7,F195&gt;='核验与方法'!$B$8,G195&gt;='核验与方法'!$B$9,D195&gt;='核验与方法'!$B$10,E195&gt;='核验与方法'!$B$11),"通过需求门槛","未通过需求门槛")</x:f>
        <x:v>通过需求门槛</x:v>
      </x:c>
      <x:c r="N195" s="2" t="str">
        <x:v>待确认具体产品形态</x:v>
      </x:c>
      <x:c r="O195" s="9" t="n">
        <x:f>G195-'原始数据'!J192</x:f>
        <x:v>0.000051952032093405265</x:v>
      </x:c>
      <x:c r="P195" s="2" t="str">
        <x:v>DATA HOLD</x:v>
      </x:c>
    </x:row>
    <x:row r="196" ht="48" customHeight="1">
      <x:c r="A196" s="2" t="n">
        <x:v>191</x:v>
      </x:c>
      <x:c r="B196" s="2" t="str">
        <x:v>homecoming dresses plus size</x:v>
      </x:c>
      <x:c r="C196" s="10" t="n">
        <x:f>'原始数据'!D193</x:f>
        <x:v>201542</x:v>
      </x:c>
      <x:c r="D196" s="9" t="n">
        <x:f>IF(ISNUMBER('原始数据'!E193),'原始数据'!E193,VALUE(SUBSTITUTE('原始数据'!E193,"'","")))</x:f>
        <x:v>4.3281</x:v>
      </x:c>
      <x:c r="E196" s="9" t="n">
        <x:f>IF(ISNUMBER('原始数据'!H193),'原始数据'!H193,VALUE(SUBSTITUTE('原始数据'!H193,"'","")))</x:f>
        <x:v>4.6833</x:v>
      </x:c>
      <x:c r="F196" s="10" t="n">
        <x:f>'原始数据'!L193</x:f>
        <x:v>151</x:v>
      </x:c>
      <x:c r="G196" s="9" t="n">
        <x:f>F196/'原始数据'!G193</x:f>
        <x:v>0.0022443519619500594</x:v>
      </x:c>
      <x:c r="H196" s="9" t="n">
        <x:f>'原始数据'!P193/'原始数据'!O193</x:f>
        <x:v>0.03331289597384018</x:v>
      </x:c>
      <x:c r="I196" s="9" t="n">
        <x:f>F196/C196</x:f>
        <x:v>0.0007492234869158785</x:v>
      </x:c>
      <x:c r="J196" s="9" t="n">
        <x:f>'原始数据'!G193/'原始数据'!F193</x:f>
        <x:v>0.03961862947100768</x:v>
      </x:c>
      <x:c r="K196" s="2" t="str">
        <x:v>待拆分产品市场</x:v>
      </x:c>
      <x:c r="L196" s="15" t="str">
        <x:v>季节/事件影响待核验；尺码/颜色变体及退货待核验</x:v>
      </x:c>
      <x:c r="M196" s="2" t="str">
        <x:f>IF(AND(C196&gt;='核验与方法'!$B$7,F196&gt;='核验与方法'!$B$8,G196&gt;='核验与方法'!$B$9,D196&gt;='核验与方法'!$B$10,E196&gt;='核验与方法'!$B$11),"通过需求门槛","未通过需求门槛")</x:f>
        <x:v>未通过需求门槛</x:v>
      </x:c>
      <x:c r="N196" s="2" t="str">
        <x:v>先核验风险标签</x:v>
      </x:c>
      <x:c r="O196" s="9" t="n">
        <x:f>G196-'原始数据'!J193</x:f>
        <x:v>0.000044351961950059304</x:v>
      </x:c>
      <x:c r="P196" s="2" t="str">
        <x:v>DATA HOLD</x:v>
      </x:c>
    </x:row>
    <x:row r="197" ht="48" customHeight="1">
      <x:c r="A197" s="2" t="n">
        <x:v>192</x:v>
      </x:c>
      <x:c r="B197" s="2" t="str">
        <x:v>ps4</x:v>
      </x:c>
      <x:c r="C197" s="10" t="n">
        <x:f>'原始数据'!D194</x:f>
        <x:v>201258</x:v>
      </x:c>
      <x:c r="D197" s="9" t="n">
        <x:f>IF(ISNUMBER('原始数据'!E194),'原始数据'!E194,VALUE(SUBSTITUTE('原始数据'!E194,"'","")))</x:f>
        <x:v>-0.0296</x:v>
      </x:c>
      <x:c r="E197" s="9" t="n">
        <x:f>IF(ISNUMBER('原始数据'!H194),'原始数据'!H194,VALUE(SUBSTITUTE('原始数据'!H194,"'","")))</x:f>
        <x:v>-0.034</x:v>
      </x:c>
      <x:c r="F197" s="10" t="n">
        <x:f>'原始数据'!L194</x:f>
        <x:v>856</x:v>
      </x:c>
      <x:c r="G197" s="9" t="n">
        <x:f>F197/'原始数据'!G194</x:f>
        <x:v>0.012700296735905045</x:v>
      </x:c>
      <x:c r="H197" s="9" t="n">
        <x:f>'原始数据'!P194/'原始数据'!O194</x:f>
        <x:v>0.04718798151001541</x:v>
      </x:c>
      <x:c r="I197" s="9" t="n">
        <x:f>F197/C197</x:f>
        <x:v>0.004253247075892635</x:v>
      </x:c>
      <x:c r="J197" s="9" t="n">
        <x:f>'原始数据'!G194/'原始数据'!F194</x:f>
        <x:v>0.03188558279654538</x:v>
      </x:c>
      <x:c r="K197" s="2" t="str">
        <x:v>待拆分产品市场</x:v>
      </x:c>
      <x:c r="L197" s="15" t="str">
        <x:v>内容/导航或宽泛需求需拆分；品牌或IP需核验</x:v>
      </x:c>
      <x:c r="M197" s="2" t="str">
        <x:f>IF(AND(C197&gt;='核验与方法'!$B$7,F197&gt;='核验与方法'!$B$8,G197&gt;='核验与方法'!$B$9,D197&gt;='核验与方法'!$B$10,E197&gt;='核验与方法'!$B$11),"通过需求门槛","未通过需求门槛")</x:f>
        <x:v>未通过需求门槛</x:v>
      </x:c>
      <x:c r="N197" s="2" t="str">
        <x:v>先核验风险标签</x:v>
      </x:c>
      <x:c r="O197" s="9" t="n">
        <x:f>G197-'原始数据'!J194</x:f>
        <x:v>2.967359050455587e-7</x:v>
      </x:c>
      <x:c r="P197" s="2" t="str">
        <x:v>DATA HOLD</x:v>
      </x:c>
    </x:row>
    <x:row r="198" ht="48" customHeight="1">
      <x:c r="A198" s="2" t="n">
        <x:v>193</x:v>
      </x:c>
      <x:c r="B198" s="2" t="str">
        <x:v>christmas ornaments</x:v>
      </x:c>
      <x:c r="C198" s="10" t="n">
        <x:f>'原始数据'!D195</x:f>
        <x:v>200720</x:v>
      </x:c>
      <x:c r="D198" s="9" t="n">
        <x:f>IF(ISNUMBER('原始数据'!E195),'原始数据'!E195,VALUE(SUBSTITUTE('原始数据'!E195,"'","")))</x:f>
        <x:v>0.7685</x:v>
      </x:c>
      <x:c r="E198" s="9" t="n">
        <x:f>IF(ISNUMBER('原始数据'!H195),'原始数据'!H195,VALUE(SUBSTITUTE('原始数据'!H195,"'","")))</x:f>
        <x:v>0.8958</x:v>
      </x:c>
      <x:c r="F198" s="10" t="n">
        <x:f>'原始数据'!L195</x:f>
        <x:v>1677</x:v>
      </x:c>
      <x:c r="G198" s="9" t="n">
        <x:f>F198/'原始数据'!G195</x:f>
        <x:v>0.0253721859114016</x:v>
      </x:c>
      <x:c r="H198" s="9" t="n">
        <x:f>'原始数据'!P195/'原始数据'!O195</x:f>
        <x:v>0.07648959350815238</x:v>
      </x:c>
      <x:c r="I198" s="9" t="n">
        <x:f>F198/C198</x:f>
        <x:v>0.008354922279792745</x:v>
      </x:c>
      <x:c r="J198" s="9" t="n">
        <x:f>'原始数据'!G195/'原始数据'!F195</x:f>
        <x:v>0.020161263263467226</x:v>
      </x:c>
      <x:c r="K198" s="2" t="str">
        <x:v>待拆分产品市场</x:v>
      </x:c>
      <x:c r="L198" s="15" t="str">
        <x:v>季节/事件影响待核验</x:v>
      </x:c>
      <x:c r="M198" s="2" t="str">
        <x:f>IF(AND(C198&gt;='核验与方法'!$B$7,F198&gt;='核验与方法'!$B$8,G198&gt;='核验与方法'!$B$9,D198&gt;='核验与方法'!$B$10,E198&gt;='核验与方法'!$B$11),"通过需求门槛","未通过需求门槛")</x:f>
        <x:v>未通过需求门槛</x:v>
      </x:c>
      <x:c r="N198" s="2" t="str">
        <x:v>先核验风险标签</x:v>
      </x:c>
      <x:c r="O198" s="9" t="n">
        <x:f>G198-'原始数据'!J195</x:f>
        <x:v>0.00007218591140159894</x:v>
      </x:c>
      <x:c r="P198" s="2" t="str">
        <x:v>DATA HOLD</x:v>
      </x:c>
    </x:row>
    <x:row r="199" ht="48" customHeight="1">
      <x:c r="A199" s="2" t="n">
        <x:v>194</x:v>
      </x:c>
      <x:c r="B199" s="2" t="str">
        <x:v>candy corn</x:v>
      </x:c>
      <x:c r="C199" s="10" t="n">
        <x:f>'原始数据'!D196</x:f>
        <x:v>200401</x:v>
      </x:c>
      <x:c r="D199" s="9" t="n">
        <x:f>IF(ISNUMBER('原始数据'!E196),'原始数据'!E196,VALUE(SUBSTITUTE('原始数据'!E196,"'","")))</x:f>
        <x:v>1.6968</x:v>
      </x:c>
      <x:c r="E199" s="9" t="n">
        <x:f>IF(ISNUMBER('原始数据'!H196),'原始数据'!H196,VALUE(SUBSTITUTE('原始数据'!H196,"'","")))</x:f>
        <x:v>1.8263</x:v>
      </x:c>
      <x:c r="F199" s="10" t="n">
        <x:f>'原始数据'!L196</x:f>
        <x:v>18852</x:v>
      </x:c>
      <x:c r="G199" s="9" t="n">
        <x:f>F199/'原始数据'!G196</x:f>
        <x:v>0.21864489341467375</x:v>
      </x:c>
      <x:c r="H199" s="9" t="n">
        <x:f>'原始数据'!P196/'原始数据'!O196</x:f>
        <x:v>0.34984991333023296</x:v>
      </x:c>
      <x:c r="I199" s="9" t="n">
        <x:f>F199/C199</x:f>
        <x:v>0.094071386869327</x:v>
      </x:c>
      <x:c r="J199" s="9" t="n">
        <x:f>'原始数据'!G196/'原始数据'!F196</x:f>
        <x:v>0.02833316026693411</x:v>
      </x:c>
      <x:c r="K199" s="2" t="str">
        <x:v>专业供给</x:v>
      </x:c>
      <x:c r="L199" s="15" t="str">
        <x:v>食品/补剂或耗材需独立供应链</x:v>
      </x:c>
      <x:c r="M199" s="2" t="str">
        <x:f>IF(AND(C199&gt;='核验与方法'!$B$7,F199&gt;='核验与方法'!$B$8,G199&gt;='核验与方法'!$B$9,D199&gt;='核验与方法'!$B$10,E199&gt;='核验与方法'!$B$11),"通过需求门槛","未通过需求门槛")</x:f>
        <x:v>通过需求门槛</x:v>
      </x:c>
      <x:c r="N199" s="2" t="str">
        <x:v>先核验风险标签</x:v>
      </x:c>
      <x:c r="O199" s="9" t="n">
        <x:f>G199-'原始数据'!J196</x:f>
        <x:v>0.00004489341467375785</x:v>
      </x:c>
      <x:c r="P199" s="2" t="str">
        <x:v>DATA HOLD</x:v>
      </x:c>
    </x:row>
    <x:row r="200" ht="48" customHeight="1">
      <x:c r="A200" s="2" t="n">
        <x:v>195</x:v>
      </x:c>
      <x:c r="B200" s="2" t="str">
        <x:v>computer accessories</x:v>
      </x:c>
      <x:c r="C200" s="10" t="n">
        <x:f>'原始数据'!D197</x:f>
        <x:v>200080</x:v>
      </x:c>
      <x:c r="D200" s="9" t="n">
        <x:f>IF(ISNUMBER('原始数据'!E197),'原始数据'!E197,VALUE(SUBSTITUTE('原始数据'!E197,"'","")))</x:f>
        <x:v>-0.0256</x:v>
      </x:c>
      <x:c r="E200" s="9" t="n">
        <x:f>IF(ISNUMBER('原始数据'!H197),'原始数据'!H197,VALUE(SUBSTITUTE('原始数据'!H197,"'","")))</x:f>
        <x:v>-0.0276</x:v>
      </x:c>
      <x:c r="F200" s="10" t="n">
        <x:f>'原始数据'!L197</x:f>
        <x:v>807</x:v>
      </x:c>
      <x:c r="G200" s="9" t="n">
        <x:f>F200/'原始数据'!G197</x:f>
        <x:v>0.02090781905798228</x:v>
      </x:c>
      <x:c r="H200" s="9" t="n">
        <x:f>'原始数据'!P197/'原始数据'!O197</x:f>
        <x:v>0.07592152722794053</x:v>
      </x:c>
      <x:c r="I200" s="9" t="n">
        <x:f>F200/C200</x:f>
        <x:v>0.004033386645341863</x:v>
      </x:c>
      <x:c r="J200" s="9" t="n">
        <x:f>'原始数据'!G197/'原始数据'!F197</x:f>
        <x:v>0.012842724701931865</x:v>
      </x:c>
      <x:c r="K200" s="2" t="str">
        <x:v>待拆分产品市场</x:v>
      </x:c>
      <x:c r="L200" s="15" t="str">
        <x:v>暂无自动识别标签，仍需核验</x:v>
      </x:c>
      <x:c r="M200" s="2" t="str">
        <x:f>IF(AND(C200&gt;='核验与方法'!$B$7,F200&gt;='核验与方法'!$B$8,G200&gt;='核验与方法'!$B$9,D200&gt;='核验与方法'!$B$10,E200&gt;='核验与方法'!$B$11),"通过需求门槛","未通过需求门槛")</x:f>
        <x:v>未通过需求门槛</x:v>
      </x:c>
      <x:c r="N200" s="2" t="str">
        <x:v>待确认具体产品形态</x:v>
      </x:c>
      <x:c r="O200" s="9" t="n">
        <x:f>G200-'原始数据'!J197</x:f>
        <x:v>0.000007819057982281358</x:v>
      </x:c>
      <x:c r="P200" s="2" t="str">
        <x:v>DATA HOLD</x:v>
      </x:c>
    </x:row>
    <x:row r="201" ht="48" customHeight="1">
      <x:c r="A201" s="2" t="n">
        <x:v>196</x:v>
      </x:c>
      <x:c r="B201" s="2" t="str">
        <x:v>sterling silver rings</x:v>
      </x:c>
      <x:c r="C201" s="10" t="n">
        <x:f>'原始数据'!D198</x:f>
        <x:v>199686</x:v>
      </x:c>
      <x:c r="D201" s="9" t="n">
        <x:f>IF(ISNUMBER('原始数据'!E198),'原始数据'!E198,VALUE(SUBSTITUTE('原始数据'!E198,"'","")))</x:f>
        <x:v>0.0806</x:v>
      </x:c>
      <x:c r="E201" s="9" t="n">
        <x:f>IF(ISNUMBER('原始数据'!H198),'原始数据'!H198,VALUE(SUBSTITUTE('原始数据'!H198,"'","")))</x:f>
        <x:v>0.0723</x:v>
      </x:c>
      <x:c r="F201" s="10" t="n">
        <x:f>'原始数据'!L198</x:f>
        <x:v>893</x:v>
      </x:c>
      <x:c r="G201" s="9" t="n">
        <x:f>F201/'原始数据'!G198</x:f>
        <x:v>0.01298512454377572</x:v>
      </x:c>
      <x:c r="H201" s="9" t="n">
        <x:f>'原始数据'!P198/'原始数据'!O198</x:f>
        <x:v>0.10211552174946517</x:v>
      </x:c>
      <x:c r="I201" s="9" t="n">
        <x:f>F201/C201</x:f>
        <x:v>0.004472021073084743</x:v>
      </x:c>
      <x:c r="J201" s="9" t="n">
        <x:f>'原始数据'!G198/'原始数据'!F198</x:f>
        <x:v>0.011549009103717898</x:v>
      </x:c>
      <x:c r="K201" s="2" t="str">
        <x:v>待拆分产品市场</x:v>
      </x:c>
      <x:c r="L201" s="15" t="str">
        <x:v>暂无自动识别标签，仍需核验</x:v>
      </x:c>
      <x:c r="M201" s="2" t="str">
        <x:f>IF(AND(C201&gt;='核验与方法'!$B$7,F201&gt;='核验与方法'!$B$8,G201&gt;='核验与方法'!$B$9,D201&gt;='核验与方法'!$B$10,E201&gt;='核验与方法'!$B$11),"通过需求门槛","未通过需求门槛")</x:f>
        <x:v>未通过需求门槛</x:v>
      </x:c>
      <x:c r="N201" s="2" t="str">
        <x:v>待确认具体产品形态</x:v>
      </x:c>
      <x:c r="O201" s="9" t="n">
        <x:f>G201-'原始数据'!J198</x:f>
        <x:v>0.00008512454377571955</x:v>
      </x:c>
      <x:c r="P201" s="2" t="str">
        <x:v>DATA HOLD</x:v>
      </x:c>
    </x:row>
    <x:row r="202" ht="48" customHeight="1">
      <x:c r="A202" s="2" t="n">
        <x:v>197</x:v>
      </x:c>
      <x:c r="B202" s="2" t="str">
        <x:v>dot by letter coloring book for adults</x:v>
      </x:c>
      <x:c r="C202" s="10" t="n">
        <x:f>'原始数据'!D199</x:f>
        <x:v>199261</x:v>
      </x:c>
      <x:c r="D202" s="9" t="n">
        <x:f>IF(ISNUMBER('原始数据'!E199),'原始数据'!E199,VALUE(SUBSTITUTE('原始数据'!E199,"'","")))</x:f>
        <x:v>1.0458</x:v>
      </x:c>
      <x:c r="E202" s="9" t="n">
        <x:f>IF(ISNUMBER('原始数据'!H199),'原始数据'!H199,VALUE(SUBSTITUTE('原始数据'!H199,"'","")))</x:f>
        <x:v>1.2013</x:v>
      </x:c>
      <x:c r="F202" s="10" t="n">
        <x:f>'原始数据'!L199</x:f>
        <x:v>5169</x:v>
      </x:c>
      <x:c r="G202" s="9" t="n">
        <x:f>F202/'原始数据'!G199</x:f>
        <x:v>0.04566294755254022</x:v>
      </x:c>
      <x:c r="H202" s="9" t="n">
        <x:f>'原始数据'!P199/'原始数据'!O199</x:f>
        <x:v>0.1374880087707277</x:v>
      </x:c>
      <x:c r="I202" s="9" t="n">
        <x:f>F202/C202</x:f>
        <x:v>0.025940851446093316</x:v>
      </x:c>
      <x:c r="J202" s="9" t="n">
        <x:f>'原始数据'!G199/'原始数据'!F199</x:f>
        <x:v>0.029866675250333496</x:v>
      </x:c>
      <x:c r="K202" s="2" t="str">
        <x:v>待拆分产品市场</x:v>
      </x:c>
      <x:c r="L202" s="15" t="str">
        <x:v>暂无自动识别标签，仍需核验</x:v>
      </x:c>
      <x:c r="M202" s="2" t="str">
        <x:f>IF(AND(C202&gt;='核验与方法'!$B$7,F202&gt;='核验与方法'!$B$8,G202&gt;='核验与方法'!$B$9,D202&gt;='核验与方法'!$B$10,E202&gt;='核验与方法'!$B$11),"通过需求门槛","未通过需求门槛")</x:f>
        <x:v>未通过需求门槛</x:v>
      </x:c>
      <x:c r="N202" s="2" t="str">
        <x:v>待确认具体产品形态</x:v>
      </x:c>
      <x:c r="O202" s="9" t="n">
        <x:f>G202-'原始数据'!J199</x:f>
        <x:v>0.00006294755254021567</x:v>
      </x:c>
      <x:c r="P202" s="2" t="str">
        <x:v>DATA HOLD</x:v>
      </x:c>
    </x:row>
    <x:row r="203" ht="48" customHeight="1">
      <x:c r="A203" s="2" t="n">
        <x:v>198</x:v>
      </x:c>
      <x:c r="B203" s="2" t="str">
        <x:v>hunting</x:v>
      </x:c>
      <x:c r="C203" s="10" t="n">
        <x:f>'原始数据'!D200</x:f>
        <x:v>198776</x:v>
      </x:c>
      <x:c r="D203" s="9" t="n">
        <x:f>IF(ISNUMBER('原始数据'!E200),'原始数据'!E200,VALUE(SUBSTITUTE('原始数据'!E200,"'","")))</x:f>
        <x:v>0.5027</x:v>
      </x:c>
      <x:c r="E203" s="9" t="n">
        <x:f>IF(ISNUMBER('原始数据'!H200),'原始数据'!H200,VALUE(SUBSTITUTE('原始数据'!H200,"'","")))</x:f>
        <x:v>0.5379</x:v>
      </x:c>
      <x:c r="F203" s="10" t="n">
        <x:f>'原始数据'!L200</x:f>
        <x:v>703</x:v>
      </x:c>
      <x:c r="G203" s="9" t="n">
        <x:f>F203/'原始数据'!G200</x:f>
        <x:v>0.02164475507250839</x:v>
      </x:c>
      <x:c r="H203" s="9" t="n">
        <x:f>'原始数据'!P200/'原始数据'!O200</x:f>
        <x:v>0.04995207157311748</x:v>
      </x:c>
      <x:c r="I203" s="9" t="n">
        <x:f>F203/C203</x:f>
        <x:v>0.0035366442628888797</x:v>
      </x:c>
      <x:c r="J203" s="9" t="n">
        <x:f>'原始数据'!G200/'原始数据'!F200</x:f>
        <x:v>0.013931401178372035</x:v>
      </x:c>
      <x:c r="K203" s="2" t="str">
        <x:v>待拆分产品市场</x:v>
      </x:c>
      <x:c r="L203" s="15" t="str">
        <x:v>暂无自动识别标签，仍需核验</x:v>
      </x:c>
      <x:c r="M203" s="2" t="str">
        <x:f>IF(AND(C203&gt;='核验与方法'!$B$7,F203&gt;='核验与方法'!$B$8,G203&gt;='核验与方法'!$B$9,D203&gt;='核验与方法'!$B$10,E203&gt;='核验与方法'!$B$11),"通过需求门槛","未通过需求门槛")</x:f>
        <x:v>未通过需求门槛</x:v>
      </x:c>
      <x:c r="N203" s="2" t="str">
        <x:v>待确认具体产品形态</x:v>
      </x:c>
      <x:c r="O203" s="9" t="n">
        <x:f>G203-'原始数据'!J200</x:f>
        <x:v>0.00004475507250838867</x:v>
      </x:c>
      <x:c r="P203" s="2" t="str">
        <x:v>DATA HOLD</x:v>
      </x:c>
    </x:row>
    <x:row r="204" ht="48" customHeight="1">
      <x:c r="A204" s="2" t="n">
        <x:v>199</x:v>
      </x:c>
      <x:c r="B204" s="2" t="str">
        <x:v>koriderm time reverse cream</x:v>
      </x:c>
      <x:c r="C204" s="10" t="n">
        <x:f>'原始数据'!D201</x:f>
        <x:v>198697</x:v>
      </x:c>
      <x:c r="D204" s="9" t="n">
        <x:f>IF(ISNUMBER('原始数据'!E201),'原始数据'!E201,VALUE(SUBSTITUTE('原始数据'!E201,"'","")))</x:f>
        <x:v>3.1663</x:v>
      </x:c>
      <x:c r="E204" s="9" t="n">
        <x:f>IF(ISNUMBER('原始数据'!H201),'原始数据'!H201,VALUE(SUBSTITUTE('原始数据'!H201,"'","")))</x:f>
        <x:v>3.5424</x:v>
      </x:c>
      <x:c r="F204" s="10" t="n">
        <x:f>'原始数据'!L201</x:f>
        <x:v>14692</x:v>
      </x:c>
      <x:c r="G204" s="9" t="n">
        <x:f>F204/'原始数据'!G201</x:f>
        <x:v>0.10711031078903818</x:v>
      </x:c>
      <x:c r="H204" s="9" t="n">
        <x:f>'原始数据'!P201/'原始数据'!O201</x:f>
        <x:v>0.287900612171408</x:v>
      </x:c>
      <x:c r="I204" s="9" t="n">
        <x:f>F204/C204</x:f>
        <x:v>0.07394173037338259</x:v>
      </x:c>
      <x:c r="J204" s="9" t="n">
        <x:f>'原始数据'!G201/'原始数据'!F201</x:f>
        <x:v>0.08506812979359814</x:v>
      </x:c>
      <x:c r="K204" s="2" t="str">
        <x:v>待拆分产品市场</x:v>
      </x:c>
      <x:c r="L204" s="15" t="str">
        <x:v>暂无自动识别标签，仍需核验</x:v>
      </x:c>
      <x:c r="M204" s="2" t="str">
        <x:f>IF(AND(C204&gt;='核验与方法'!$B$7,F204&gt;='核验与方法'!$B$8,G204&gt;='核验与方法'!$B$9,D204&gt;='核验与方法'!$B$10,E204&gt;='核验与方法'!$B$11),"通过需求门槛","未通过需求门槛")</x:f>
        <x:v>通过需求门槛</x:v>
      </x:c>
      <x:c r="N204" s="2" t="str">
        <x:v>待确认具体产品形态</x:v>
      </x:c>
      <x:c r="O204" s="9" t="n">
        <x:f>G204-'原始数据'!J201</x:f>
        <x:v>0.0000103107890381815</x:v>
      </x:c>
      <x:c r="P204" s="2" t="str">
        <x:v>DATA HOLD</x:v>
      </x:c>
    </x:row>
    <x:row r="205" ht="48" customHeight="1">
      <x:c r="A205" s="2" t="n">
        <x:v>200</x:v>
      </x:c>
      <x:c r="B205" s="2" t="str">
        <x:v>free movies</x:v>
      </x:c>
      <x:c r="C205" s="10" t="n">
        <x:f>'原始数据'!D202</x:f>
        <x:v>197944</x:v>
      </x:c>
      <x:c r="D205" s="9" t="n">
        <x:f>IF(ISNUMBER('原始数据'!E202),'原始数据'!E202,VALUE(SUBSTITUTE('原始数据'!E202,"'","")))</x:f>
        <x:v>-0.0338</x:v>
      </x:c>
      <x:c r="E205" s="9" t="n">
        <x:f>IF(ISNUMBER('原始数据'!H202),'原始数据'!H202,VALUE(SUBSTITUTE('原始数据'!H202,"'","")))</x:f>
        <x:v>0.6072</x:v>
      </x:c>
      <x:c r="F205" s="10" t="n">
        <x:f>'原始数据'!L202</x:f>
        <x:v>17</x:v>
      </x:c>
      <x:c r="G205" s="9" t="n">
        <x:f>F205/'原始数据'!G202</x:f>
        <x:v>0.001246425691033067</x:v>
      </x:c>
      <x:c r="H205" s="9" t="n">
        <x:f>'原始数据'!P202/'原始数据'!O202</x:f>
        <x:v>0.0013218770654329147</x:v>
      </x:c>
      <x:c r="I205" s="9" t="n">
        <x:f>F205/C205</x:f>
        <x:v>0.00008588287596491938</x:v>
      </x:c>
      <x:c r="J205" s="9" t="n">
        <x:f>'原始数据'!G202/'原始数据'!F202</x:f>
        <x:v>0.00988905895514867</x:v>
      </x:c>
      <x:c r="K205" s="2" t="str">
        <x:v>待拆分产品市场</x:v>
      </x:c>
      <x:c r="L205" s="15" t="str">
        <x:v>内容/导航或宽泛需求需拆分</x:v>
      </x:c>
      <x:c r="M205" s="2" t="str">
        <x:f>IF(AND(C205&gt;='核验与方法'!$B$7,F205&gt;='核验与方法'!$B$8,G205&gt;='核验与方法'!$B$9,D205&gt;='核验与方法'!$B$10,E205&gt;='核验与方法'!$B$11),"通过需求门槛","未通过需求门槛")</x:f>
        <x:v>未通过需求门槛</x:v>
      </x:c>
      <x:c r="N205" s="2" t="str">
        <x:v>先核验风险标签</x:v>
      </x:c>
      <x:c r="O205" s="9" t="n">
        <x:f>G205-'原始数据'!J202</x:f>
        <x:v>0.000046425691033067035</x:v>
      </x:c>
      <x:c r="P205" s="2" t="str">
        <x:v>DATA HOLD</x:v>
      </x:c>
    </x:row>
    <x:row r="206" ht="48" customHeight="1">
      <x:c r="A206" s="2" t="n">
        <x:v>201</x:v>
      </x:c>
      <x:c r="B206" s="2" t="str">
        <x:v>meatball maker</x:v>
      </x:c>
      <x:c r="C206" s="10" t="n">
        <x:f>'原始数据'!D203</x:f>
        <x:v>196217</x:v>
      </x:c>
      <x:c r="D206" s="9" t="n">
        <x:f>IF(ISNUMBER('原始数据'!E203),'原始数据'!E203,VALUE(SUBSTITUTE('原始数据'!E203,"'","")))</x:f>
        <x:v>8.731</x:v>
      </x:c>
      <x:c r="E206" s="9" t="n">
        <x:f>IF(ISNUMBER('原始数据'!H203),'原始数据'!H203,VALUE(SUBSTITUTE('原始数据'!H203,"'","")))</x:f>
        <x:v>10.1206</x:v>
      </x:c>
      <x:c r="F206" s="10" t="n">
        <x:f>'原始数据'!L203</x:f>
        <x:v>7894</x:v>
      </x:c>
      <x:c r="G206" s="9" t="n">
        <x:f>F206/'原始数据'!G203</x:f>
        <x:v>0.08025456985421199</x:v>
      </x:c>
      <x:c r="H206" s="9" t="n">
        <x:f>'原始数据'!P203/'原始数据'!O203</x:f>
        <x:v>0.14771482235091563</x:v>
      </x:c>
      <x:c r="I206" s="9" t="n">
        <x:f>F206/C206</x:f>
        <x:v>0.04023096877436715</x:v>
      </x:c>
      <x:c r="J206" s="9" t="n">
        <x:f>'原始数据'!G203/'原始数据'!F203</x:f>
        <x:v>0.03175822909176734</x:v>
      </x:c>
      <x:c r="K206" s="2" t="str">
        <x:v>已选候选</x:v>
      </x:c>
      <x:c r="L206" s="15" t="str">
        <x:v>暂无自动识别标签，仍需核验</x:v>
      </x:c>
      <x:c r="M206" s="2" t="str">
        <x:f>IF(AND(C206&gt;='核验与方法'!$B$7,F206&gt;='核验与方法'!$B$8,G206&gt;='核验与方法'!$B$9,D206&gt;='核验与方法'!$B$10,E206&gt;='核验与方法'!$B$11),"通过需求门槛","未通过需求门槛")</x:f>
        <x:v>通过需求门槛</x:v>
      </x:c>
      <x:c r="N206" s="2" t="str">
        <x:v>候选研究</x:v>
      </x:c>
      <x:c r="O206" s="9" t="n">
        <x:f>G206-'原始数据'!J203</x:f>
        <x:v>0.000054569854211997115</x:v>
      </x:c>
      <x:c r="P206" s="2" t="str">
        <x:v>DATA HOLD</x:v>
      </x:c>
    </x:row>
    <x:row r="207" ht="48" customHeight="1">
      <x:c r="A207" s="2" t="n">
        <x:v>202</x:v>
      </x:c>
      <x:c r="B207" s="2" t="str">
        <x:v>boots for men</x:v>
      </x:c>
      <x:c r="C207" s="10" t="n">
        <x:f>'原始数据'!D204</x:f>
        <x:v>196204</x:v>
      </x:c>
      <x:c r="D207" s="9" t="n">
        <x:f>IF(ISNUMBER('原始数据'!E204),'原始数据'!E204,VALUE(SUBSTITUTE('原始数据'!E204,"'","")))</x:f>
        <x:v>0.2967</x:v>
      </x:c>
      <x:c r="E207" s="9" t="n">
        <x:f>IF(ISNUMBER('原始数据'!H204),'原始数据'!H204,VALUE(SUBSTITUTE('原始数据'!H204,"'","")))</x:f>
        <x:v>0.3054</x:v>
      </x:c>
      <x:c r="F207" s="10" t="n">
        <x:f>'原始数据'!L204</x:f>
        <x:v>390</x:v>
      </x:c>
      <x:c r="G207" s="9" t="n">
        <x:f>F207/'原始数据'!G204</x:f>
        <x:v>0.008908584220384668</x:v>
      </x:c>
      <x:c r="H207" s="9" t="n">
        <x:f>'原始数据'!P204/'原始数据'!O204</x:f>
        <x:v>0.10200429491768075</x:v>
      </x:c>
      <x:c r="I207" s="9" t="n">
        <x:f>F207/C207</x:f>
        <x:v>0.0019877270595910377</x:v>
      </x:c>
      <x:c r="J207" s="9" t="n">
        <x:f>'原始数据'!G204/'原始数据'!F204</x:f>
        <x:v>0.01170655267988817</x:v>
      </x:c>
      <x:c r="K207" s="2" t="str">
        <x:v>待拆分产品市场</x:v>
      </x:c>
      <x:c r="L207" s="15" t="str">
        <x:v>尺码/颜色变体及退货待核验</x:v>
      </x:c>
      <x:c r="M207" s="2" t="str">
        <x:f>IF(AND(C207&gt;='核验与方法'!$B$7,F207&gt;='核验与方法'!$B$8,G207&gt;='核验与方法'!$B$9,D207&gt;='核验与方法'!$B$10,E207&gt;='核验与方法'!$B$11),"通过需求门槛","未通过需求门槛")</x:f>
        <x:v>未通过需求门槛</x:v>
      </x:c>
      <x:c r="N207" s="2" t="str">
        <x:v>先核验风险标签</x:v>
      </x:c>
      <x:c r="O207" s="9" t="n">
        <x:f>G207-'原始数据'!J204</x:f>
        <x:v>0.000008584220384667829</x:v>
      </x:c>
      <x:c r="P207" s="2" t="str">
        <x:v>DATA HOLD</x:v>
      </x:c>
    </x:row>
    <x:row r="208" ht="48" customHeight="1">
      <x:c r="A208" s="2" t="n">
        <x:v>203</x:v>
      </x:c>
      <x:c r="B208" s="2" t="str">
        <x:v>moka pot</x:v>
      </x:c>
      <x:c r="C208" s="10" t="n">
        <x:f>'原始数据'!D205</x:f>
        <x:v>195817</x:v>
      </x:c>
      <x:c r="D208" s="9" t="n">
        <x:f>IF(ISNUMBER('原始数据'!E205),'原始数据'!E205,VALUE(SUBSTITUTE('原始数据'!E205,"'","")))</x:f>
        <x:v>-0.0401</x:v>
      </x:c>
      <x:c r="E208" s="9" t="n">
        <x:f>IF(ISNUMBER('原始数据'!H205),'原始数据'!H205,VALUE(SUBSTITUTE('原始数据'!H205,"'","")))</x:f>
        <x:v>-0.0234</x:v>
      </x:c>
      <x:c r="F208" s="10" t="n">
        <x:f>'原始数据'!L205</x:f>
        <x:v>4055</x:v>
      </x:c>
      <x:c r="G208" s="9" t="n">
        <x:f>F208/'原始数据'!G205</x:f>
        <x:v>0.04193251502021654</x:v>
      </x:c>
      <x:c r="H208" s="9" t="n">
        <x:f>'原始数据'!P205/'原始数据'!O205</x:f>
        <x:v>0.13392704555380439</x:v>
      </x:c>
      <x:c r="I208" s="9" t="n">
        <x:f>F208/C208</x:f>
        <x:v>0.020708110123227298</x:v>
      </x:c>
      <x:c r="J208" s="9" t="n">
        <x:f>'原始数据'!G205/'原始数据'!F205</x:f>
        <x:v>0.014068395595084856</x:v>
      </x:c>
      <x:c r="K208" s="2" t="str">
        <x:v>待拆分产品市场</x:v>
      </x:c>
      <x:c r="L208" s="15" t="str">
        <x:v>暂无自动识别标签，仍需核验</x:v>
      </x:c>
      <x:c r="M208" s="2" t="str">
        <x:f>IF(AND(C208&gt;='核验与方法'!$B$7,F208&gt;='核验与方法'!$B$8,G208&gt;='核验与方法'!$B$9,D208&gt;='核验与方法'!$B$10,E208&gt;='核验与方法'!$B$11),"通过需求门槛","未通过需求门槛")</x:f>
        <x:v>未通过需求门槛</x:v>
      </x:c>
      <x:c r="N208" s="2" t="str">
        <x:v>待确认具体产品形态</x:v>
      </x:c>
      <x:c r="O208" s="9" t="n">
        <x:f>G208-'原始数据'!J205</x:f>
        <x:v>0.00003251502021654057</x:v>
      </x:c>
      <x:c r="P208" s="2" t="str">
        <x:v>DATA HOLD</x:v>
      </x:c>
    </x:row>
    <x:row r="209" ht="48" customHeight="1">
      <x:c r="A209" s="2" t="n">
        <x:v>204</x:v>
      </x:c>
      <x:c r="B209" s="2" t="str">
        <x:v>halloween door decor</x:v>
      </x:c>
      <x:c r="C209" s="10" t="n">
        <x:f>'原始数据'!D206</x:f>
        <x:v>195334</x:v>
      </x:c>
      <x:c r="D209" s="9" t="n">
        <x:f>IF(ISNUMBER('原始数据'!E206),'原始数据'!E206,VALUE(SUBSTITUTE('原始数据'!E206,"'","")))</x:f>
        <x:v>1.8382</x:v>
      </x:c>
      <x:c r="E209" s="9" t="n">
        <x:f>IF(ISNUMBER('原始数据'!H206),'原始数据'!H206,VALUE(SUBSTITUTE('原始数据'!H206,"'","")))</x:f>
        <x:v>1.9675</x:v>
      </x:c>
      <x:c r="F209" s="10" t="n">
        <x:f>'原始数据'!L206</x:f>
        <x:v>3305</x:v>
      </x:c>
      <x:c r="G209" s="9" t="n">
        <x:f>F209/'原始数据'!G206</x:f>
        <x:v>0.05045647461146224</x:v>
      </x:c>
      <x:c r="H209" s="9" t="n">
        <x:f>'原始数据'!P206/'原始数据'!O206</x:f>
        <x:v>0.07772782292927546</x:v>
      </x:c>
      <x:c r="I209" s="9" t="n">
        <x:f>F209/C209</x:f>
        <x:v>0.016919737475298718</x:v>
      </x:c>
      <x:c r="J209" s="9" t="n">
        <x:f>'原始数据'!G206/'原始数据'!F206</x:f>
        <x:v>0.025502341861107974</x:v>
      </x:c>
      <x:c r="K209" s="2" t="str">
        <x:v>待拆分产品市场</x:v>
      </x:c>
      <x:c r="L209" s="15" t="str">
        <x:v>季节/事件影响待核验</x:v>
      </x:c>
      <x:c r="M209" s="2" t="str">
        <x:f>IF(AND(C209&gt;='核验与方法'!$B$7,F209&gt;='核验与方法'!$B$8,G209&gt;='核验与方法'!$B$9,D209&gt;='核验与方法'!$B$10,E209&gt;='核验与方法'!$B$11),"通过需求门槛","未通过需求门槛")</x:f>
        <x:v>通过需求门槛</x:v>
      </x:c>
      <x:c r="N209" s="2" t="str">
        <x:v>先核验风险标签</x:v>
      </x:c>
      <x:c r="O209" s="9" t="n">
        <x:f>G209-'原始数据'!J206</x:f>
        <x:v>0.00005647461146224275</x:v>
      </x:c>
      <x:c r="P209" s="2" t="str">
        <x:v>DATA HOLD</x:v>
      </x:c>
    </x:row>
    <x:row r="210" ht="48" customHeight="1">
      <x:c r="A210" s="2" t="n">
        <x:v>205</x:v>
      </x:c>
      <x:c r="B210" s="2" t="str">
        <x:v>fall jackets for women</x:v>
      </x:c>
      <x:c r="C210" s="10" t="n">
        <x:f>'原始数据'!D207</x:f>
        <x:v>195201</x:v>
      </x:c>
      <x:c r="D210" s="9" t="n">
        <x:f>IF(ISNUMBER('原始数据'!E207),'原始数据'!E207,VALUE(SUBSTITUTE('原始数据'!E207,"'","")))</x:f>
        <x:v>1.8594</x:v>
      </x:c>
      <x:c r="E210" s="9" t="n">
        <x:f>IF(ISNUMBER('原始数据'!H207),'原始数据'!H207,VALUE(SUBSTITUTE('原始数据'!H207,"'","")))</x:f>
        <x:v>1.9342</x:v>
      </x:c>
      <x:c r="F210" s="10" t="n">
        <x:f>'原始数据'!L207</x:f>
        <x:v>337</x:v>
      </x:c>
      <x:c r="G210" s="9" t="n">
        <x:f>F210/'原始数据'!G207</x:f>
        <x:v>0.005695261272223349</x:v>
      </x:c>
      <x:c r="H210" s="9" t="n">
        <x:f>'原始数据'!P207/'原始数据'!O207</x:f>
        <x:v>0.06225120109814688</x:v>
      </x:c>
      <x:c r="I210" s="9" t="n">
        <x:f>F210/C210</x:f>
        <x:v>0.0017264255818361586</x:v>
      </x:c>
      <x:c r="J210" s="9" t="n">
        <x:f>'原始数据'!G207/'原始数据'!F207</x:f>
        <x:v>0.017626473192103892</x:v>
      </x:c>
      <x:c r="K210" s="2" t="str">
        <x:v>待拆分产品市场</x:v>
      </x:c>
      <x:c r="L210" s="15" t="str">
        <x:v>季节/事件影响待核验；尺码/颜色变体及退货待核验</x:v>
      </x:c>
      <x:c r="M210" s="2" t="str">
        <x:f>IF(AND(C210&gt;='核验与方法'!$B$7,F210&gt;='核验与方法'!$B$8,G210&gt;='核验与方法'!$B$9,D210&gt;='核验与方法'!$B$10,E210&gt;='核验与方法'!$B$11),"通过需求门槛","未通过需求门槛")</x:f>
        <x:v>未通过需求门槛</x:v>
      </x:c>
      <x:c r="N210" s="2" t="str">
        <x:v>先核验风险标签</x:v>
      </x:c>
      <x:c r="O210" s="9" t="n">
        <x:f>G210-'原始数据'!J207</x:f>
        <x:v>0.00009526127222334903</x:v>
      </x:c>
      <x:c r="P210" s="2" t="str">
        <x:v>DATA HOLD</x:v>
      </x:c>
    </x:row>
    <x:row r="211" ht="48" customHeight="1">
      <x:c r="A211" s="2" t="n">
        <x:v>206</x:v>
      </x:c>
      <x:c r="B211" s="2" t="str">
        <x:v>croissants</x:v>
      </x:c>
      <x:c r="C211" s="10" t="n">
        <x:f>'原始数据'!D208</x:f>
        <x:v>194898</x:v>
      </x:c>
      <x:c r="D211" s="9" t="n">
        <x:f>IF(ISNUMBER('原始数据'!E208),'原始数据'!E208,VALUE(SUBSTITUTE('原始数据'!E208,"'","")))</x:f>
        <x:v>0.3375</x:v>
      </x:c>
      <x:c r="E211" s="9" t="n">
        <x:f>IF(ISNUMBER('原始数据'!H208),'原始数据'!H208,VALUE(SUBSTITUTE('原始数据'!H208,"'","")))</x:f>
        <x:v>0.0438</x:v>
      </x:c>
      <x:c r="F211" s="10" t="n">
        <x:f>'原始数据'!L208</x:f>
        <x:v>19939</x:v>
      </x:c>
      <x:c r="G211" s="9" t="n">
        <x:f>F211/'原始数据'!G208</x:f>
        <x:v>0.32652092033079505</x:v>
      </x:c>
      <x:c r="H211" s="9" t="n">
        <x:f>'原始数据'!P208/'原始数据'!O208</x:f>
        <x:v>0.46516783482992585</x:v>
      </x:c>
      <x:c r="I211" s="9" t="n">
        <x:f>F211/C211</x:f>
        <x:v>0.10230479532883867</x:v>
      </x:c>
      <x:c r="J211" s="9" t="n">
        <x:f>'原始数据'!G208/'原始数据'!F208</x:f>
        <x:v>0.016861448402973843</x:v>
      </x:c>
      <x:c r="K211" s="2" t="str">
        <x:v>专业供给</x:v>
      </x:c>
      <x:c r="L211" s="15" t="str">
        <x:v>食品/补剂或耗材需独立供应链</x:v>
      </x:c>
      <x:c r="M211" s="2" t="str">
        <x:f>IF(AND(C211&gt;='核验与方法'!$B$7,F211&gt;='核验与方法'!$B$8,G211&gt;='核验与方法'!$B$9,D211&gt;='核验与方法'!$B$10,E211&gt;='核验与方法'!$B$11),"通过需求门槛","未通过需求门槛")</x:f>
        <x:v>通过需求门槛</x:v>
      </x:c>
      <x:c r="N211" s="2" t="str">
        <x:v>先核验风险标签</x:v>
      </x:c>
      <x:c r="O211" s="9" t="n">
        <x:f>G211-'原始数据'!J208</x:f>
        <x:v>0.000020920330795037856</x:v>
      </x:c>
      <x:c r="P211" s="2" t="str">
        <x:v>DATA HOLD</x:v>
      </x:c>
    </x:row>
    <x:row r="212" ht="48" customHeight="1">
      <x:c r="A212" s="2" t="n">
        <x:v>207</x:v>
      </x:c>
      <x:c r="B212" s="2" t="str">
        <x:v>tortilla press</x:v>
      </x:c>
      <x:c r="C212" s="10" t="n">
        <x:f>'原始数据'!D209</x:f>
        <x:v>194737</x:v>
      </x:c>
      <x:c r="D212" s="9" t="n">
        <x:f>IF(ISNUMBER('原始数据'!E209),'原始数据'!E209,VALUE(SUBSTITUTE('原始数据'!E209,"'","")))</x:f>
        <x:v>-0.0654</x:v>
      </x:c>
      <x:c r="E212" s="9" t="n">
        <x:f>IF(ISNUMBER('原始数据'!H209),'原始数据'!H209,VALUE(SUBSTITUTE('原始数据'!H209,"'","")))</x:f>
        <x:v>-0.0822</x:v>
      </x:c>
      <x:c r="F212" s="10" t="n">
        <x:f>'原始数据'!L209</x:f>
        <x:v>8038</x:v>
      </x:c>
      <x:c r="G212" s="9" t="n">
        <x:f>F212/'原始数据'!G209</x:f>
        <x:v>0.10145147040262527</x:v>
      </x:c>
      <x:c r="H212" s="9" t="n">
        <x:f>'原始数据'!P209/'原始数据'!O209</x:f>
        <x:v>0.21063683567501526</x:v>
      </x:c>
      <x:c r="I212" s="9" t="n">
        <x:f>F212/C212</x:f>
        <x:v>0.04127618274904101</x:v>
      </x:c>
      <x:c r="J212" s="9" t="n">
        <x:f>'原始数据'!G209/'原始数据'!F209</x:f>
        <x:v>0.01285989820180545</x:v>
      </x:c>
      <x:c r="K212" s="2" t="str">
        <x:v>待拆分产品市场</x:v>
      </x:c>
      <x:c r="L212" s="15" t="str">
        <x:v>暂无自动识别标签，仍需核验</x:v>
      </x:c>
      <x:c r="M212" s="2" t="str">
        <x:f>IF(AND(C212&gt;='核验与方法'!$B$7,F212&gt;='核验与方法'!$B$8,G212&gt;='核验与方法'!$B$9,D212&gt;='核验与方法'!$B$10,E212&gt;='核验与方法'!$B$11),"通过需求门槛","未通过需求门槛")</x:f>
        <x:v>未通过需求门槛</x:v>
      </x:c>
      <x:c r="N212" s="2" t="str">
        <x:v>待确认具体产品形态</x:v>
      </x:c>
      <x:c r="O212" s="9" t="n">
        <x:f>G212-'原始数据'!J209</x:f>
        <x:v>0.000051470402625264366</x:v>
      </x:c>
      <x:c r="P212" s="2" t="str">
        <x:v>DATA HOLD</x:v>
      </x:c>
    </x:row>
    <x:row r="213" ht="48" customHeight="1">
      <x:c r="A213" s="2" t="n">
        <x:v>208</x:v>
      </x:c>
      <x:c r="B213" s="2" t="str">
        <x:v>jalapenos</x:v>
      </x:c>
      <x:c r="C213" s="10" t="n">
        <x:f>'原始数据'!D210</x:f>
        <x:v>193964</x:v>
      </x:c>
      <x:c r="D213" s="9" t="n">
        <x:f>IF(ISNUMBER('原始数据'!E210),'原始数据'!E210,VALUE(SUBSTITUTE('原始数据'!E210,"'","")))</x:f>
        <x:v>0.065</x:v>
      </x:c>
      <x:c r="E213" s="9" t="n">
        <x:f>IF(ISNUMBER('原始数据'!H210),'原始数据'!H210,VALUE(SUBSTITUTE('原始数据'!H210,"'","")))</x:f>
        <x:v>0.0705</x:v>
      </x:c>
      <x:c r="F213" s="10" t="n">
        <x:f>'原始数据'!L210</x:f>
        <x:v>47927</x:v>
      </x:c>
      <x:c r="G213" s="9" t="n">
        <x:f>F213/'原始数据'!G210</x:f>
        <x:v>0.5043885497789939</x:v>
      </x:c>
      <x:c r="H213" s="9" t="n">
        <x:f>'原始数据'!P210/'原始数据'!O210</x:f>
        <x:v>0.5764684106614018</x:v>
      </x:c>
      <x:c r="I213" s="9" t="n">
        <x:f>F213/C213</x:f>
        <x:v>0.24709224392155246</x:v>
      </x:c>
      <x:c r="J213" s="9" t="n">
        <x:f>'原始数据'!G210/'原始数据'!F210</x:f>
        <x:v>0.023258762669073972</x:v>
      </x:c>
      <x:c r="K213" s="2" t="str">
        <x:v>专业供给</x:v>
      </x:c>
      <x:c r="L213" s="15" t="str">
        <x:v>食品/补剂或耗材需独立供应链</x:v>
      </x:c>
      <x:c r="M213" s="2" t="str">
        <x:f>IF(AND(C213&gt;='核验与方法'!$B$7,F213&gt;='核验与方法'!$B$8,G213&gt;='核验与方法'!$B$9,D213&gt;='核验与方法'!$B$10,E213&gt;='核验与方法'!$B$11),"通过需求门槛","未通过需求门槛")</x:f>
        <x:v>通过需求门槛</x:v>
      </x:c>
      <x:c r="N213" s="2" t="str">
        <x:v>先核验风险标签</x:v>
      </x:c>
      <x:c r="O213" s="9" t="n">
        <x:f>G213-'原始数据'!J210</x:f>
        <x:v>0.00008854977899397376</x:v>
      </x:c>
      <x:c r="P213" s="2" t="str">
        <x:v>DATA HOLD</x:v>
      </x:c>
    </x:row>
    <x:row r="214" ht="48" customHeight="1">
      <x:c r="A214" s="2" t="n">
        <x:v>209</x:v>
      </x:c>
      <x:c r="B214" s="2" t="str">
        <x:v>ribbon</x:v>
      </x:c>
      <x:c r="C214" s="10" t="n">
        <x:f>'原始数据'!D211</x:f>
        <x:v>193521</x:v>
      </x:c>
      <x:c r="D214" s="9" t="n">
        <x:f>IF(ISNUMBER('原始数据'!E211),'原始数据'!E211,VALUE(SUBSTITUTE('原始数据'!E211,"'","")))</x:f>
        <x:v>0.0301</x:v>
      </x:c>
      <x:c r="E214" s="9" t="n">
        <x:f>IF(ISNUMBER('原始数据'!H211),'原始数据'!H211,VALUE(SUBSTITUTE('原始数据'!H211,"'","")))</x:f>
        <x:v>0.0128</x:v>
      </x:c>
      <x:c r="F214" s="10" t="n">
        <x:f>'原始数据'!L211</x:f>
        <x:v>7400</x:v>
      </x:c>
      <x:c r="G214" s="9" t="n">
        <x:f>F214/'原始数据'!G211</x:f>
        <x:v>0.13426471922344188</x:v>
      </x:c>
      <x:c r="H214" s="9" t="n">
        <x:f>'原始数据'!P211/'原始数据'!O211</x:f>
        <x:v>0.32492554325844764</x:v>
      </x:c>
      <x:c r="I214" s="9" t="n">
        <x:f>F214/C214</x:f>
        <x:v>0.038238744115625695</x:v>
      </x:c>
      <x:c r="J214" s="9" t="n">
        <x:f>'原始数据'!G211/'原始数据'!F211</x:f>
        <x:v>0.013699879792037241</x:v>
      </x:c>
      <x:c r="K214" s="2" t="str">
        <x:v>待拆分产品市场</x:v>
      </x:c>
      <x:c r="L214" s="15" t="str">
        <x:v>暂无自动识别标签，仍需核验</x:v>
      </x:c>
      <x:c r="M214" s="2" t="str">
        <x:f>IF(AND(C214&gt;='核验与方法'!$B$7,F214&gt;='核验与方法'!$B$8,G214&gt;='核验与方法'!$B$9,D214&gt;='核验与方法'!$B$10,E214&gt;='核验与方法'!$B$11),"通过需求门槛","未通过需求门槛")</x:f>
        <x:v>通过需求门槛</x:v>
      </x:c>
      <x:c r="N214" s="2" t="str">
        <x:v>待确认具体产品形态</x:v>
      </x:c>
      <x:c r="O214" s="9" t="n">
        <x:f>G214-'原始数据'!J211</x:f>
        <x:v>0.00006471922344186698</x:v>
      </x:c>
      <x:c r="P214" s="2" t="str">
        <x:v>DATA HOLD</x:v>
      </x:c>
    </x:row>
    <x:row r="215" ht="48" customHeight="1">
      <x:c r="A215" s="2" t="n">
        <x:v>210</x:v>
      </x:c>
      <x:c r="B215" s="2" t="str">
        <x:v>cabinet organizer</x:v>
      </x:c>
      <x:c r="C215" s="10" t="n">
        <x:f>'原始数据'!D212</x:f>
        <x:v>192998</x:v>
      </x:c>
      <x:c r="D215" s="9" t="n">
        <x:f>IF(ISNUMBER('原始数据'!E212),'原始数据'!E212,VALUE(SUBSTITUTE('原始数据'!E212,"'","")))</x:f>
        <x:v>-0.0512</x:v>
      </x:c>
      <x:c r="E215" s="9" t="n">
        <x:f>IF(ISNUMBER('原始数据'!H212),'原始数据'!H212,VALUE(SUBSTITUTE('原始数据'!H212,"'","")))</x:f>
        <x:v>-0.091</x:v>
      </x:c>
      <x:c r="F215" s="10" t="n">
        <x:f>'原始数据'!L212</x:f>
        <x:v>2853</x:v>
      </x:c>
      <x:c r="G215" s="9" t="n">
        <x:f>F215/'原始数据'!G212</x:f>
        <x:v>0.04731814110856802</x:v>
      </x:c>
      <x:c r="H215" s="9" t="n">
        <x:f>'原始数据'!P212/'原始数据'!O212</x:f>
        <x:v>0.12708714378429406</x:v>
      </x:c>
      <x:c r="I215" s="9" t="n">
        <x:f>F215/C215</x:f>
        <x:v>0.014782536606596959</x:v>
      </x:c>
      <x:c r="J215" s="9" t="n">
        <x:f>'原始数据'!G212/'原始数据'!F212</x:f>
        <x:v>0.010463840708876876</x:v>
      </x:c>
      <x:c r="K215" s="2" t="str">
        <x:v>待拆分产品市场</x:v>
      </x:c>
      <x:c r="L215" s="15" t="str">
        <x:v>暂无自动识别标签，仍需核验</x:v>
      </x:c>
      <x:c r="M215" s="2" t="str">
        <x:f>IF(AND(C215&gt;='核验与方法'!$B$7,F215&gt;='核验与方法'!$B$8,G215&gt;='核验与方法'!$B$9,D215&gt;='核验与方法'!$B$10,E215&gt;='核验与方法'!$B$11),"通过需求门槛","未通过需求门槛")</x:f>
        <x:v>未通过需求门槛</x:v>
      </x:c>
      <x:c r="N215" s="2" t="str">
        <x:v>待确认具体产品形态</x:v>
      </x:c>
      <x:c r="O215" s="9" t="n">
        <x:f>G215-'原始数据'!J212</x:f>
        <x:v>0.000018141108568014985</x:v>
      </x:c>
      <x:c r="P215" s="2" t="str">
        <x:v>DATA HOLD</x:v>
      </x:c>
    </x:row>
    <x:row r="216" ht="48" customHeight="1">
      <x:c r="A216" s="2" t="n">
        <x:v>211</x:v>
      </x:c>
      <x:c r="B216" s="2" t="str">
        <x:v>telugu</x:v>
      </x:c>
      <x:c r="C216" s="10" t="n">
        <x:f>'原始数据'!D213</x:f>
        <x:v>191263</x:v>
      </x:c>
      <x:c r="D216" s="9" t="n">
        <x:f>IF(ISNUMBER('原始数据'!E213),'原始数据'!E213,VALUE(SUBSTITUTE('原始数据'!E213,"'","")))</x:f>
        <x:v>-0.0325</x:v>
      </x:c>
      <x:c r="E216" s="9" t="n">
        <x:f>IF(ISNUMBER('原始数据'!H213),'原始数据'!H213,VALUE(SUBSTITUTE('原始数据'!H213,"'","")))</x:f>
        <x:v>1.8629</x:v>
      </x:c>
      <x:c r="F216" s="10" t="n">
        <x:f>'原始数据'!L213</x:f>
        <x:v>0</x:v>
      </x:c>
      <x:c r="G216" s="9" t="n">
        <x:f>F216/'原始数据'!G213</x:f>
        <x:v>0</x:v>
      </x:c>
      <x:c r="H216" s="9" t="n">
        <x:f>'原始数据'!P213/'原始数据'!O213</x:f>
        <x:v>0</x:v>
      </x:c>
      <x:c r="I216" s="9" t="n">
        <x:f>F216/C216</x:f>
        <x:v>0</x:v>
      </x:c>
      <x:c r="J216" s="9" t="n">
        <x:f>'原始数据'!G213/'原始数据'!F213</x:f>
        <x:v>0.006565085650455175</x:v>
      </x:c>
      <x:c r="K216" s="2" t="str">
        <x:v>待拆分产品市场</x:v>
      </x:c>
      <x:c r="L216" s="15" t="str">
        <x:v>内容/导航或宽泛需求需拆分</x:v>
      </x:c>
      <x:c r="M216" s="2" t="str">
        <x:f>IF(AND(C216&gt;='核验与方法'!$B$7,F216&gt;='核验与方法'!$B$8,G216&gt;='核验与方法'!$B$9,D216&gt;='核验与方法'!$B$10,E216&gt;='核验与方法'!$B$11),"通过需求门槛","未通过需求门槛")</x:f>
        <x:v>未通过需求门槛</x:v>
      </x:c>
      <x:c r="N216" s="2" t="str">
        <x:v>先核验风险标签</x:v>
      </x:c>
      <x:c r="O216" s="9" t="n">
        <x:f>G216-'原始数据'!J213</x:f>
        <x:v>0</x:v>
      </x:c>
      <x:c r="P216" s="2" t="str">
        <x:v>DATA HOLD</x:v>
      </x:c>
    </x:row>
    <x:row r="217" ht="48" customHeight="1">
      <x:c r="A217" s="2" t="n">
        <x:v>212</x:v>
      </x:c>
      <x:c r="B217" s="2" t="str">
        <x:v>frozen blueberries</x:v>
      </x:c>
      <x:c r="C217" s="10" t="n">
        <x:f>'原始数据'!D214</x:f>
        <x:v>191042</x:v>
      </x:c>
      <x:c r="D217" s="9" t="n">
        <x:f>IF(ISNUMBER('原始数据'!E214),'原始数据'!E214,VALUE(SUBSTITUTE('原始数据'!E214,"'","")))</x:f>
        <x:v>0.1718</x:v>
      </x:c>
      <x:c r="E217" s="9" t="n">
        <x:f>IF(ISNUMBER('原始数据'!H214),'原始数据'!H214,VALUE(SUBSTITUTE('原始数据'!H214,"'","")))</x:f>
        <x:v>0.0689</x:v>
      </x:c>
      <x:c r="F217" s="10" t="n">
        <x:f>'原始数据'!L214</x:f>
        <x:v>29867</x:v>
      </x:c>
      <x:c r="G217" s="9" t="n">
        <x:f>F217/'原始数据'!G214</x:f>
        <x:v>0.38023399406739744</x:v>
      </x:c>
      <x:c r="H217" s="9" t="n">
        <x:f>'原始数据'!P214/'原始数据'!O214</x:f>
        <x:v>0.49691512711058883</x:v>
      </x:c>
      <x:c r="I217" s="9" t="n">
        <x:f>F217/C217</x:f>
        <x:v>0.15633734990211576</x:v>
      </x:c>
      <x:c r="J217" s="9" t="n">
        <x:f>'原始数据'!G214/'原始数据'!F214</x:f>
        <x:v>0.019524966797191054</x:v>
      </x:c>
      <x:c r="K217" s="2" t="str">
        <x:v>专业供给</x:v>
      </x:c>
      <x:c r="L217" s="15" t="str">
        <x:v>食品/补剂或耗材需独立供应链</x:v>
      </x:c>
      <x:c r="M217" s="2" t="str">
        <x:f>IF(AND(C217&gt;='核验与方法'!$B$7,F217&gt;='核验与方法'!$B$8,G217&gt;='核验与方法'!$B$9,D217&gt;='核验与方法'!$B$10,E217&gt;='核验与方法'!$B$11),"通过需求门槛","未通过需求门槛")</x:f>
        <x:v>通过需求门槛</x:v>
      </x:c>
      <x:c r="N217" s="2" t="str">
        <x:v>先核验风险标签</x:v>
      </x:c>
      <x:c r="O217" s="9" t="n">
        <x:f>G217-'原始数据'!J214</x:f>
        <x:v>0.00003399406739745814</x:v>
      </x:c>
      <x:c r="P217" s="2" t="str">
        <x:v>DATA HOLD</x:v>
      </x:c>
    </x:row>
    <x:row r="218" ht="48" customHeight="1">
      <x:c r="A218" s="2" t="n">
        <x:v>213</x:v>
      </x:c>
      <x:c r="B218" s="2" t="str">
        <x:v>ocarina of time</x:v>
      </x:c>
      <x:c r="C218" s="10" t="n">
        <x:f>'原始数据'!D215</x:f>
        <x:v>190674</x:v>
      </x:c>
      <x:c r="D218" s="9" t="n">
        <x:f>IF(ISNUMBER('原始数据'!E215),'原始数据'!E215,VALUE(SUBSTITUTE('原始数据'!E215,"'","")))</x:f>
        <x:v>3.4891</x:v>
      </x:c>
      <x:c r="E218" s="9" t="n">
        <x:f>IF(ISNUMBER('原始数据'!H215),'原始数据'!H215,VALUE(SUBSTITUTE('原始数据'!H215,"'","")))</x:f>
        <x:v>2.5496</x:v>
      </x:c>
      <x:c r="F218" s="10" t="n">
        <x:f>'原始数据'!L215</x:f>
        <x:v>3398</x:v>
      </x:c>
      <x:c r="G218" s="9" t="n">
        <x:f>F218/'原始数据'!G215</x:f>
        <x:v>0.05802001161083222</x:v>
      </x:c>
      <x:c r="H218" s="9" t="n">
        <x:f>'原始数据'!P215/'原始数据'!O215</x:f>
        <x:v>0.17414469994391474</x:v>
      </x:c>
      <x:c r="I218" s="9" t="n">
        <x:f>F218/C218</x:f>
        <x:v>0.017820992898874517</x:v>
      </x:c>
      <x:c r="J218" s="9" t="n">
        <x:f>'原始数据'!G215/'原始数据'!F215</x:f>
        <x:v>0.058695011635574994</x:v>
      </x:c>
      <x:c r="K218" s="2" t="str">
        <x:v>待拆分产品市场</x:v>
      </x:c>
      <x:c r="L218" s="15" t="str">
        <x:v>内容/导航或宽泛需求需拆分</x:v>
      </x:c>
      <x:c r="M218" s="2" t="str">
        <x:f>IF(AND(C218&gt;='核验与方法'!$B$7,F218&gt;='核验与方法'!$B$8,G218&gt;='核验与方法'!$B$9,D218&gt;='核验与方法'!$B$10,E218&gt;='核验与方法'!$B$11),"通过需求门槛","未通过需求门槛")</x:f>
        <x:v>通过需求门槛</x:v>
      </x:c>
      <x:c r="N218" s="2" t="str">
        <x:v>先核验风险标签</x:v>
      </x:c>
      <x:c r="O218" s="9" t="n">
        <x:f>G218-'原始数据'!J215</x:f>
        <x:v>0.000020011610832218474</x:v>
      </x:c>
      <x:c r="P218" s="2" t="str">
        <x:v>DATA HOLD</x:v>
      </x:c>
    </x:row>
    <x:row r="219" ht="48" customHeight="1">
      <x:c r="A219" s="2" t="n">
        <x:v>214</x:v>
      </x:c>
      <x:c r="B219" s="2" t="str">
        <x:v>gym</x:v>
      </x:c>
      <x:c r="C219" s="10" t="n">
        <x:f>'原始数据'!D216</x:f>
        <x:v>189890</x:v>
      </x:c>
      <x:c r="D219" s="9" t="n">
        <x:f>IF(ISNUMBER('原始数据'!E216),'原始数据'!E216,VALUE(SUBSTITUTE('原始数据'!E216,"'","")))</x:f>
        <x:v>-0.0132</x:v>
      </x:c>
      <x:c r="E219" s="9" t="n">
        <x:f>IF(ISNUMBER('原始数据'!H216),'原始数据'!H216,VALUE(SUBSTITUTE('原始数据'!H216,"'","")))</x:f>
        <x:v>-0.0092</x:v>
      </x:c>
      <x:c r="F219" s="10" t="n">
        <x:f>'原始数据'!L216</x:f>
        <x:v>921</x:v>
      </x:c>
      <x:c r="G219" s="9" t="n">
        <x:f>F219/'原始数据'!G216</x:f>
        <x:v>0.02250073292289651</x:v>
      </x:c>
      <x:c r="H219" s="9" t="n">
        <x:f>'原始数据'!P216/'原始数据'!O216</x:f>
        <x:v>0.06018190408693598</x:v>
      </x:c>
      <x:c r="I219" s="9" t="n">
        <x:f>F219/C219</x:f>
        <x:v>0.004850176417926168</x:v>
      </x:c>
      <x:c r="J219" s="9" t="n">
        <x:f>'原始数据'!G216/'原始数据'!F216</x:f>
        <x:v>0.011287071378345214</x:v>
      </x:c>
      <x:c r="K219" s="2" t="str">
        <x:v>待拆分产品市场</x:v>
      </x:c>
      <x:c r="L219" s="15" t="str">
        <x:v>暂无自动识别标签，仍需核验</x:v>
      </x:c>
      <x:c r="M219" s="2" t="str">
        <x:f>IF(AND(C219&gt;='核验与方法'!$B$7,F219&gt;='核验与方法'!$B$8,G219&gt;='核验与方法'!$B$9,D219&gt;='核验与方法'!$B$10,E219&gt;='核验与方法'!$B$11),"通过需求门槛","未通过需求门槛")</x:f>
        <x:v>未通过需求门槛</x:v>
      </x:c>
      <x:c r="N219" s="2" t="str">
        <x:v>待确认具体产品形态</x:v>
      </x:c>
      <x:c r="O219" s="9" t="n">
        <x:f>G219-'原始数据'!J216</x:f>
        <x:v>7.329228965125001e-7</x:v>
      </x:c>
      <x:c r="P219" s="2" t="str">
        <x:v>DATA HOLD</x:v>
      </x:c>
    </x:row>
    <x:row r="220" ht="48" customHeight="1">
      <x:c r="A220" s="2" t="n">
        <x:v>215</x:v>
      </x:c>
      <x:c r="B220" s="2" t="str">
        <x:v>kristin hannah books</x:v>
      </x:c>
      <x:c r="C220" s="10" t="n">
        <x:f>'原始数据'!D217</x:f>
        <x:v>189002</x:v>
      </x:c>
      <x:c r="D220" s="9" t="n">
        <x:f>IF(ISNUMBER('原始数据'!E217),'原始数据'!E217,VALUE(SUBSTITUTE('原始数据'!E217,"'","")))</x:f>
        <x:v>0.1171</x:v>
      </x:c>
      <x:c r="E220" s="9" t="n">
        <x:f>IF(ISNUMBER('原始数据'!H217),'原始数据'!H217,VALUE(SUBSTITUTE('原始数据'!H217,"'","")))</x:f>
        <x:v>0.1023</x:v>
      </x:c>
      <x:c r="F220" s="10" t="n">
        <x:f>'原始数据'!L217</x:f>
        <x:v>10516</x:v>
      </x:c>
      <x:c r="G220" s="9" t="n">
        <x:f>F220/'原始数据'!G217</x:f>
        <x:v>0.093359375</x:v>
      </x:c>
      <x:c r="H220" s="9" t="n">
        <x:f>'原始数据'!P217/'原始数据'!O217</x:f>
        <x:v>0.210916091042917</x:v>
      </x:c>
      <x:c r="I220" s="9" t="n">
        <x:f>F220/C220</x:f>
        <x:v>0.05563962286113375</x:v>
      </x:c>
      <x:c r="J220" s="9" t="n">
        <x:f>'原始数据'!G217/'原始数据'!F217</x:f>
        <x:v>0.023367811089171516</x:v>
      </x:c>
      <x:c r="K220" s="2" t="str">
        <x:v>待拆分产品市场</x:v>
      </x:c>
      <x:c r="L220" s="15" t="str">
        <x:v>内容/导航或宽泛需求需拆分</x:v>
      </x:c>
      <x:c r="M220" s="2" t="str">
        <x:f>IF(AND(C220&gt;='核验与方法'!$B$7,F220&gt;='核验与方法'!$B$8,G220&gt;='核验与方法'!$B$9,D220&gt;='核验与方法'!$B$10,E220&gt;='核验与方法'!$B$11),"通过需求门槛","未通过需求门槛")</x:f>
        <x:v>通过需求门槛</x:v>
      </x:c>
      <x:c r="N220" s="2" t="str">
        <x:v>先核验风险标签</x:v>
      </x:c>
      <x:c r="O220" s="9" t="n">
        <x:f>G220-'原始数据'!J217</x:f>
        <x:v>0.0000593750000000004</x:v>
      </x:c>
      <x:c r="P220" s="2" t="str">
        <x:v>DATA HOLD</x:v>
      </x:c>
    </x:row>
    <x:row r="221" ht="48" customHeight="1">
      <x:c r="A221" s="2" t="n">
        <x:v>216</x:v>
      </x:c>
      <x:c r="B221" s="2" t="str">
        <x:v>plus size halloween costumes</x:v>
      </x:c>
      <x:c r="C221" s="10" t="n">
        <x:f>'原始数据'!D218</x:f>
        <x:v>188583</x:v>
      </x:c>
      <x:c r="D221" s="9" t="n">
        <x:f>IF(ISNUMBER('原始数据'!E218),'原始数据'!E218,VALUE(SUBSTITUTE('原始数据'!E218,"'","")))</x:f>
        <x:v>1.8371</x:v>
      </x:c>
      <x:c r="E221" s="9" t="n">
        <x:f>IF(ISNUMBER('原始数据'!H218),'原始数据'!H218,VALUE(SUBSTITUTE('原始数据'!H218,"'","")))</x:f>
        <x:v>1.9726</x:v>
      </x:c>
      <x:c r="F221" s="10" t="n">
        <x:f>'原始数据'!L218</x:f>
        <x:v>345</x:v>
      </x:c>
      <x:c r="G221" s="9" t="n">
        <x:f>F221/'原始数据'!G218</x:f>
        <x:v>0.005371990906542929</x:v>
      </x:c>
      <x:c r="H221" s="9" t="n">
        <x:f>'原始数据'!P218/'原始数据'!O218</x:f>
        <x:v>0.03088930416620864</x:v>
      </x:c>
      <x:c r="I221" s="9" t="n">
        <x:f>F221/C221</x:f>
        <x:v>0.0018294331938721942</x:v>
      </x:c>
      <x:c r="J221" s="9" t="n">
        <x:f>'原始数据'!G218/'原始数据'!F218</x:f>
        <x:v>0.022171166988015446</x:v>
      </x:c>
      <x:c r="K221" s="2" t="str">
        <x:v>待拆分产品市场</x:v>
      </x:c>
      <x:c r="L221" s="15" t="str">
        <x:v>季节/事件影响待核验</x:v>
      </x:c>
      <x:c r="M221" s="2" t="str">
        <x:f>IF(AND(C221&gt;='核验与方法'!$B$7,F221&gt;='核验与方法'!$B$8,G221&gt;='核验与方法'!$B$9,D221&gt;='核验与方法'!$B$10,E221&gt;='核验与方法'!$B$11),"通过需求门槛","未通过需求门槛")</x:f>
        <x:v>未通过需求门槛</x:v>
      </x:c>
      <x:c r="N221" s="2" t="str">
        <x:v>先核验风险标签</x:v>
      </x:c>
      <x:c r="O221" s="9" t="n">
        <x:f>G221-'原始数据'!J218</x:f>
        <x:v>0.00007199090654292934</x:v>
      </x:c>
      <x:c r="P221" s="2" t="str">
        <x:v>DATA HOLD</x:v>
      </x:c>
    </x:row>
    <x:row r="222" ht="48" customHeight="1">
      <x:c r="A222" s="2" t="n">
        <x:v>217</x:v>
      </x:c>
      <x:c r="B222" s="2" t="str">
        <x:v>ethiopian bible in english complete</x:v>
      </x:c>
      <x:c r="C222" s="10" t="n">
        <x:f>'原始数据'!D219</x:f>
        <x:v>187935</x:v>
      </x:c>
      <x:c r="D222" s="9" t="n">
        <x:f>IF(ISNUMBER('原始数据'!E219),'原始数据'!E219,VALUE(SUBSTITUTE('原始数据'!E219,"'","")))</x:f>
        <x:v>0.1834</x:v>
      </x:c>
      <x:c r="E222" s="9" t="n">
        <x:f>IF(ISNUMBER('原始数据'!H219),'原始数据'!H219,VALUE(SUBSTITUTE('原始数据'!H219,"'","")))</x:f>
        <x:v>0.202</x:v>
      </x:c>
      <x:c r="F222" s="10" t="n">
        <x:f>'原始数据'!L219</x:f>
        <x:v>6450</x:v>
      </x:c>
      <x:c r="G222" s="9" t="n">
        <x:f>F222/'原始数据'!G219</x:f>
        <x:v>0.061422721645557565</x:v>
      </x:c>
      <x:c r="H222" s="9" t="n">
        <x:f>'原始数据'!P219/'原始数据'!O219</x:f>
        <x:v>0.14530069873581325</x:v>
      </x:c>
      <x:c r="I222" s="9" t="n">
        <x:f>F222/C222</x:f>
        <x:v>0.03432037672599569</x:v>
      </x:c>
      <x:c r="J222" s="9" t="n">
        <x:f>'原始数据'!G219/'原始数据'!F219</x:f>
        <x:v>0.019417637301982076</x:v>
      </x:c>
      <x:c r="K222" s="2" t="str">
        <x:v>待拆分产品市场</x:v>
      </x:c>
      <x:c r="L222" s="15" t="str">
        <x:v>内容/导航或宽泛需求需拆分</x:v>
      </x:c>
      <x:c r="M222" s="2" t="str">
        <x:f>IF(AND(C222&gt;='核验与方法'!$B$7,F222&gt;='核验与方法'!$B$8,G222&gt;='核验与方法'!$B$9,D222&gt;='核验与方法'!$B$10,E222&gt;='核验与方法'!$B$11),"通过需求门槛","未通过需求门槛")</x:f>
        <x:v>通过需求门槛</x:v>
      </x:c>
      <x:c r="N222" s="2" t="str">
        <x:v>先核验风险标签</x:v>
      </x:c>
      <x:c r="O222" s="9" t="n">
        <x:f>G222-'原始数据'!J219</x:f>
        <x:v>0.00002272164555756212</x:v>
      </x:c>
      <x:c r="P222" s="2" t="str">
        <x:v>DATA HOLD</x:v>
      </x:c>
    </x:row>
    <x:row r="223" ht="48" customHeight="1">
      <x:c r="A223" s="2" t="n">
        <x:v>218</x:v>
      </x:c>
      <x:c r="B223" s="2" t="str">
        <x:v>pink wig</x:v>
      </x:c>
      <x:c r="C223" s="10" t="n">
        <x:f>'原始数据'!D220</x:f>
        <x:v>187876</x:v>
      </x:c>
      <x:c r="D223" s="9" t="n">
        <x:f>IF(ISNUMBER('原始数据'!E220),'原始数据'!E220,VALUE(SUBSTITUTE('原始数据'!E220,"'","")))</x:f>
        <x:v>0.358</x:v>
      </x:c>
      <x:c r="E223" s="9" t="n">
        <x:f>IF(ISNUMBER('原始数据'!H220),'原始数据'!H220,VALUE(SUBSTITUTE('原始数据'!H220,"'","")))</x:f>
        <x:v>0.349</x:v>
      </x:c>
      <x:c r="F223" s="10" t="n">
        <x:f>'原始数据'!L220</x:f>
        <x:v>4110</x:v>
      </x:c>
      <x:c r="G223" s="9" t="n">
        <x:f>F223/'原始数据'!G220</x:f>
        <x:v>0.04902837920051534</x:v>
      </x:c>
      <x:c r="H223" s="9" t="n">
        <x:f>'原始数据'!P220/'原始数据'!O220</x:f>
        <x:v>0.1519503045460046</x:v>
      </x:c>
      <x:c r="I223" s="9" t="n">
        <x:f>F223/C223</x:f>
        <x:v>0.021876131065170643</x:v>
      </x:c>
      <x:c r="J223" s="9" t="n">
        <x:f>'原始数据'!G220/'原始数据'!F220</x:f>
        <x:v>0.023099860208769234</x:v>
      </x:c>
      <x:c r="K223" s="2" t="str">
        <x:v>待拆分产品市场</x:v>
      </x:c>
      <x:c r="L223" s="15" t="str">
        <x:v>暂无自动识别标签，仍需核验</x:v>
      </x:c>
      <x:c r="M223" s="2" t="str">
        <x:f>IF(AND(C223&gt;='核验与方法'!$B$7,F223&gt;='核验与方法'!$B$8,G223&gt;='核验与方法'!$B$9,D223&gt;='核验与方法'!$B$10,E223&gt;='核验与方法'!$B$11),"通过需求门槛","未通过需求门槛")</x:f>
        <x:v>未通过需求门槛</x:v>
      </x:c>
      <x:c r="N223" s="2" t="str">
        <x:v>待确认具体产品形态</x:v>
      </x:c>
      <x:c r="O223" s="9" t="n">
        <x:f>G223-'原始数据'!J220</x:f>
        <x:v>0.00002837920051533549</x:v>
      </x:c>
      <x:c r="P223" s="2" t="str">
        <x:v>DATA HOLD</x:v>
      </x:c>
    </x:row>
    <x:row r="224" ht="48" customHeight="1">
      <x:c r="A224" s="2" t="n">
        <x:v>219</x:v>
      </x:c>
      <x:c r="B224" s="2" t="str">
        <x:v>burnt orange dress</x:v>
      </x:c>
      <x:c r="C224" s="10" t="n">
        <x:f>'原始数据'!D221</x:f>
        <x:v>186825</x:v>
      </x:c>
      <x:c r="D224" s="9" t="n">
        <x:f>IF(ISNUMBER('原始数据'!E221),'原始数据'!E221,VALUE(SUBSTITUTE('原始数据'!E221,"'","")))</x:f>
        <x:v>0.8564</x:v>
      </x:c>
      <x:c r="E224" s="9" t="n">
        <x:f>IF(ISNUMBER('原始数据'!H221),'原始数据'!H221,VALUE(SUBSTITUTE('原始数据'!H221,"'","")))</x:f>
        <x:v>0.8997</x:v>
      </x:c>
      <x:c r="F224" s="10" t="n">
        <x:f>'原始数据'!L221</x:f>
        <x:v>478</x:v>
      </x:c>
      <x:c r="G224" s="9" t="n">
        <x:f>F224/'原始数据'!G221</x:f>
        <x:v>0.00968062053182656</x:v>
      </x:c>
      <x:c r="H224" s="9" t="n">
        <x:f>'原始数据'!P221/'原始数据'!O221</x:f>
        <x:v>0.06603993473700567</x:v>
      </x:c>
      <x:c r="I224" s="9" t="n">
        <x:f>F224/C224</x:f>
        <x:v>0.0025585440920647667</x:v>
      </x:c>
      <x:c r="J224" s="9" t="n">
        <x:f>'原始数据'!G221/'原始数据'!F221</x:f>
        <x:v>0.013665060043571441</x:v>
      </x:c>
      <x:c r="K224" s="2" t="str">
        <x:v>待拆分产品市场</x:v>
      </x:c>
      <x:c r="L224" s="15" t="str">
        <x:v>尺码/颜色变体及退货待核验</x:v>
      </x:c>
      <x:c r="M224" s="2" t="str">
        <x:f>IF(AND(C224&gt;='核验与方法'!$B$7,F224&gt;='核验与方法'!$B$8,G224&gt;='核验与方法'!$B$9,D224&gt;='核验与方法'!$B$10,E224&gt;='核验与方法'!$B$11),"通过需求门槛","未通过需求门槛")</x:f>
        <x:v>未通过需求门槛</x:v>
      </x:c>
      <x:c r="N224" s="2" t="str">
        <x:v>先核验风险标签</x:v>
      </x:c>
      <x:c r="O224" s="9" t="n">
        <x:f>G224-'原始数据'!J221</x:f>
        <x:v>0.00008062053182656022</x:v>
      </x:c>
      <x:c r="P224" s="2" t="str">
        <x:v>DATA HOLD</x:v>
      </x:c>
    </x:row>
    <x:row r="225" ht="48" customHeight="1">
      <x:c r="A225" s="2" t="n">
        <x:v>220</x:v>
      </x:c>
      <x:c r="B225" s="2" t="str">
        <x:v>cat costume</x:v>
      </x:c>
      <x:c r="C225" s="10" t="n">
        <x:f>'原始数据'!D222</x:f>
        <x:v>186283</x:v>
      </x:c>
      <x:c r="D225" s="9" t="n">
        <x:f>IF(ISNUMBER('原始数据'!E222),'原始数据'!E222,VALUE(SUBSTITUTE('原始数据'!E222,"'","")))</x:f>
        <x:v>1.1974</x:v>
      </x:c>
      <x:c r="E225" s="9" t="n">
        <x:f>IF(ISNUMBER('原始数据'!H222),'原始数据'!H222,VALUE(SUBSTITUTE('原始数据'!H222,"'","")))</x:f>
        <x:v>1.325</x:v>
      </x:c>
      <x:c r="F225" s="10" t="n">
        <x:f>'原始数据'!L222</x:f>
        <x:v>1688</x:v>
      </x:c>
      <x:c r="G225" s="9" t="n">
        <x:f>F225/'原始数据'!G222</x:f>
        <x:v>0.025328611727987515</x:v>
      </x:c>
      <x:c r="H225" s="9" t="n">
        <x:f>'原始数据'!P222/'原始数据'!O222</x:f>
        <x:v>0.07541811296939098</x:v>
      </x:c>
      <x:c r="I225" s="9" t="n">
        <x:f>F225/C225</x:f>
        <x:v>0.009061481724043524</x:v>
      </x:c>
      <x:c r="J225" s="9" t="n">
        <x:f>'原始数据'!G222/'原始数据'!F222</x:f>
        <x:v>0.026707489590555158</x:v>
      </x:c>
      <x:c r="K225" s="2" t="str">
        <x:v>待拆分产品市场</x:v>
      </x:c>
      <x:c r="L225" s="15" t="str">
        <x:v>季节/事件影响待核验</x:v>
      </x:c>
      <x:c r="M225" s="2" t="str">
        <x:f>IF(AND(C225&gt;='核验与方法'!$B$7,F225&gt;='核验与方法'!$B$8,G225&gt;='核验与方法'!$B$9,D225&gt;='核验与方法'!$B$10,E225&gt;='核验与方法'!$B$11),"通过需求门槛","未通过需求门槛")</x:f>
        <x:v>未通过需求门槛</x:v>
      </x:c>
      <x:c r="N225" s="2" t="str">
        <x:v>先核验风险标签</x:v>
      </x:c>
      <x:c r="O225" s="9" t="n">
        <x:f>G225-'原始数据'!J222</x:f>
        <x:v>0.000028611727987515323</x:v>
      </x:c>
      <x:c r="P225" s="2" t="str">
        <x:v>DATA HOLD</x:v>
      </x:c>
    </x:row>
    <x:row r="226" ht="48" customHeight="1">
      <x:c r="A226" s="2" t="n">
        <x:v>221</x:v>
      </x:c>
      <x:c r="B226" s="2" t="str">
        <x:v>purple skirt</x:v>
      </x:c>
      <x:c r="C226" s="10" t="n">
        <x:f>'原始数据'!D223</x:f>
        <x:v>184432</x:v>
      </x:c>
      <x:c r="D226" s="9" t="n">
        <x:f>IF(ISNUMBER('原始数据'!E223),'原始数据'!E223,VALUE(SUBSTITUTE('原始数据'!E223,"'","")))</x:f>
        <x:v>0.8844</x:v>
      </x:c>
      <x:c r="E226" s="9" t="n">
        <x:f>IF(ISNUMBER('原始数据'!H223),'原始数据'!H223,VALUE(SUBSTITUTE('原始数据'!H223,"'","")))</x:f>
        <x:v>1.033</x:v>
      </x:c>
      <x:c r="F226" s="10" t="n">
        <x:f>'原始数据'!L223</x:f>
        <x:v>657</x:v>
      </x:c>
      <x:c r="G226" s="9" t="n">
        <x:f>F226/'原始数据'!G223</x:f>
        <x:v>0.011928754289449317</x:v>
      </x:c>
      <x:c r="H226" s="9" t="n">
        <x:f>'原始数据'!P223/'原始数据'!O223</x:f>
        <x:v>0.08611203181968843</x:v>
      </x:c>
      <x:c r="I226" s="9" t="n">
        <x:f>F226/C226</x:f>
        <x:v>0.0035622885399496833</x:v>
      </x:c>
      <x:c r="J226" s="9" t="n">
        <x:f>'原始数据'!G223/'原始数据'!F223</x:f>
        <x:v>0.01847859345685275</x:v>
      </x:c>
      <x:c r="K226" s="2" t="str">
        <x:v>待拆分产品市场</x:v>
      </x:c>
      <x:c r="L226" s="15" t="str">
        <x:v>尺码/颜色变体及退货待核验</x:v>
      </x:c>
      <x:c r="M226" s="2" t="str">
        <x:f>IF(AND(C226&gt;='核验与方法'!$B$7,F226&gt;='核验与方法'!$B$8,G226&gt;='核验与方法'!$B$9,D226&gt;='核验与方法'!$B$10,E226&gt;='核验与方法'!$B$11),"通过需求门槛","未通过需求门槛")</x:f>
        <x:v>未通过需求门槛</x:v>
      </x:c>
      <x:c r="N226" s="2" t="str">
        <x:v>先核验风险标签</x:v>
      </x:c>
      <x:c r="O226" s="9" t="n">
        <x:f>G226-'原始数据'!J223</x:f>
        <x:v>0.000028754289449315837</x:v>
      </x:c>
      <x:c r="P226" s="2" t="str">
        <x:v>DATA HOLD</x:v>
      </x:c>
    </x:row>
    <x:row r="227" ht="48" customHeight="1">
      <x:c r="A227" s="2" t="n">
        <x:v>222</x:v>
      </x:c>
      <x:c r="B227" s="2" t="str">
        <x:v>dune</x:v>
      </x:c>
      <x:c r="C227" s="10" t="n">
        <x:f>'原始数据'!D224</x:f>
        <x:v>184060</x:v>
      </x:c>
      <x:c r="D227" s="9" t="n">
        <x:f>IF(ISNUMBER('原始数据'!E224),'原始数据'!E224,VALUE(SUBSTITUTE('原始数据'!E224,"'","")))</x:f>
        <x:v>-0.2138</x:v>
      </x:c>
      <x:c r="E227" s="9" t="n">
        <x:f>IF(ISNUMBER('原始数据'!H224),'原始数据'!H224,VALUE(SUBSTITUTE('原始数据'!H224,"'","")))</x:f>
        <x:v>0.0762</x:v>
      </x:c>
      <x:c r="F227" s="10" t="n">
        <x:f>'原始数据'!L224</x:f>
        <x:v>2970</x:v>
      </x:c>
      <x:c r="G227" s="9" t="n">
        <x:f>F227/'原始数据'!G224</x:f>
        <x:v>0.058688693040350945</x:v>
      </x:c>
      <x:c r="H227" s="9" t="n">
        <x:f>'原始数据'!P224/'原始数据'!O224</x:f>
        <x:v>0.11184493127147767</x:v>
      </x:c>
      <x:c r="I227" s="9" t="n">
        <x:f>F227/C227</x:f>
        <x:v>0.01613604259480604</x:v>
      </x:c>
      <x:c r="J227" s="9" t="n">
        <x:f>'原始数据'!G224/'原始数据'!F224</x:f>
        <x:v>0.019255435686289284</x:v>
      </x:c>
      <x:c r="K227" s="2" t="str">
        <x:v>待拆分产品市场</x:v>
      </x:c>
      <x:c r="L227" s="15" t="str">
        <x:v>内容/导航或宽泛需求需拆分</x:v>
      </x:c>
      <x:c r="M227" s="2" t="str">
        <x:f>IF(AND(C227&gt;='核验与方法'!$B$7,F227&gt;='核验与方法'!$B$8,G227&gt;='核验与方法'!$B$9,D227&gt;='核验与方法'!$B$10,E227&gt;='核验与方法'!$B$11),"通过需求门槛","未通过需求门槛")</x:f>
        <x:v>未通过需求门槛</x:v>
      </x:c>
      <x:c r="N227" s="2" t="str">
        <x:v>先核验风险标签</x:v>
      </x:c>
      <x:c r="O227" s="9" t="n">
        <x:f>G227-'原始数据'!J224</x:f>
        <x:v>0.0000886930403509456</x:v>
      </x:c>
      <x:c r="P227" s="2" t="str">
        <x:v>DATA HOLD</x:v>
      </x:c>
    </x:row>
    <x:row r="228" ht="48" customHeight="1">
      <x:c r="A228" s="2" t="n">
        <x:v>223</x:v>
      </x:c>
      <x:c r="B228" s="2" t="str">
        <x:v>overalls for men</x:v>
      </x:c>
      <x:c r="C228" s="10" t="n">
        <x:f>'原始数据'!D225</x:f>
        <x:v>183153</x:v>
      </x:c>
      <x:c r="D228" s="9" t="n">
        <x:f>IF(ISNUMBER('原始数据'!E225),'原始数据'!E225,VALUE(SUBSTITUTE('原始数据'!E225,"'","")))</x:f>
        <x:v>0.2994</x:v>
      </x:c>
      <x:c r="E228" s="9" t="n">
        <x:f>IF(ISNUMBER('原始数据'!H225),'原始数据'!H225,VALUE(SUBSTITUTE('原始数据'!H225,"'","")))</x:f>
        <x:v>0.2929</x:v>
      </x:c>
      <x:c r="F228" s="10" t="n">
        <x:f>'原始数据'!L225</x:f>
        <x:v>792</x:v>
      </x:c>
      <x:c r="G228" s="9" t="n">
        <x:f>F228/'原始数据'!G225</x:f>
        <x:v>0.01022938623682579</x:v>
      </x:c>
      <x:c r="H228" s="9" t="n">
        <x:f>'原始数据'!P225/'原始数据'!O225</x:f>
        <x:v>0.1492270893577523</x:v>
      </x:c>
      <x:c r="I228" s="9" t="n">
        <x:f>F228/C228</x:f>
        <x:v>0.004324253492981278</x:v>
      </x:c>
      <x:c r="J228" s="9" t="n">
        <x:f>'原始数据'!G225/'原始数据'!F225</x:f>
        <x:v>0.016361318364197824</x:v>
      </x:c>
      <x:c r="K228" s="2" t="str">
        <x:v>待拆分产品市场</x:v>
      </x:c>
      <x:c r="L228" s="15" t="str">
        <x:v>尺码/颜色变体及退货待核验</x:v>
      </x:c>
      <x:c r="M228" s="2" t="str">
        <x:f>IF(AND(C228&gt;='核验与方法'!$B$7,F228&gt;='核验与方法'!$B$8,G228&gt;='核验与方法'!$B$9,D228&gt;='核验与方法'!$B$10,E228&gt;='核验与方法'!$B$11),"通过需求门槛","未通过需求门槛")</x:f>
        <x:v>未通过需求门槛</x:v>
      </x:c>
      <x:c r="N228" s="2" t="str">
        <x:v>先核验风险标签</x:v>
      </x:c>
      <x:c r="O228" s="9" t="n">
        <x:f>G228-'原始数据'!J225</x:f>
        <x:v>0.000029386236825789183</x:v>
      </x:c>
      <x:c r="P228" s="2" t="str">
        <x:v>DATA HOLD</x:v>
      </x:c>
    </x:row>
    <x:row r="229" ht="48" customHeight="1">
      <x:c r="A229" s="2" t="n">
        <x:v>224</x:v>
      </x:c>
      <x:c r="B229" s="2" t="str">
        <x:v>grip socks</x:v>
      </x:c>
      <x:c r="C229" s="10" t="n">
        <x:f>'原始数据'!D226</x:f>
        <x:v>183137</x:v>
      </x:c>
      <x:c r="D229" s="9" t="n">
        <x:f>IF(ISNUMBER('原始数据'!E226),'原始数据'!E226,VALUE(SUBSTITUTE('原始数据'!E226,"'","")))</x:f>
        <x:v>0.0358</x:v>
      </x:c>
      <x:c r="E229" s="9" t="n">
        <x:f>IF(ISNUMBER('原始数据'!H226),'原始数据'!H226,VALUE(SUBSTITUTE('原始数据'!H226,"'","")))</x:f>
        <x:v>-0.0272</x:v>
      </x:c>
      <x:c r="F229" s="10" t="n">
        <x:f>'原始数据'!L226</x:f>
        <x:v>7930</x:v>
      </x:c>
      <x:c r="G229" s="9" t="n">
        <x:f>F229/'原始数据'!G226</x:f>
        <x:v>0.11167283941924491</x:v>
      </x:c>
      <x:c r="H229" s="9" t="n">
        <x:f>'原始数据'!P226/'原始数据'!O226</x:f>
        <x:v>0.36224200936744044</x:v>
      </x:c>
      <x:c r="I229" s="9" t="n">
        <x:f>F229/C229</x:f>
        <x:v>0.04330091679999126</x:v>
      </x:c>
      <x:c r="J229" s="9" t="n">
        <x:f>'原始数据'!G226/'原始数据'!F226</x:f>
        <x:v>0.011207841369531263</x:v>
      </x:c>
      <x:c r="K229" s="2" t="str">
        <x:v>待拆分产品市场</x:v>
      </x:c>
      <x:c r="L229" s="15" t="str">
        <x:v>尺码/颜色变体及退货待核验</x:v>
      </x:c>
      <x:c r="M229" s="2" t="str">
        <x:f>IF(AND(C229&gt;='核验与方法'!$B$7,F229&gt;='核验与方法'!$B$8,G229&gt;='核验与方法'!$B$9,D229&gt;='核验与方法'!$B$10,E229&gt;='核验与方法'!$B$11),"通过需求门槛","未通过需求门槛")</x:f>
        <x:v>未通过需求门槛</x:v>
      </x:c>
      <x:c r="N229" s="2" t="str">
        <x:v>先核验风险标签</x:v>
      </x:c>
      <x:c r="O229" s="9" t="n">
        <x:f>G229-'原始数据'!J226</x:f>
        <x:v>0.00007283941924490778</x:v>
      </x:c>
      <x:c r="P229" s="2" t="str">
        <x:v>DATA HOLD</x:v>
      </x:c>
    </x:row>
    <x:row r="230" ht="48" customHeight="1">
      <x:c r="A230" s="2" t="n">
        <x:v>225</x:v>
      </x:c>
      <x:c r="B230" s="2" t="str">
        <x:v>lps</x:v>
      </x:c>
      <x:c r="C230" s="10" t="n">
        <x:f>'原始数据'!D227</x:f>
        <x:v>182859</x:v>
      </x:c>
      <x:c r="D230" s="9" t="n">
        <x:f>IF(ISNUMBER('原始数据'!E227),'原始数据'!E227,VALUE(SUBSTITUTE('原始数据'!E227,"'","")))</x:f>
        <x:v>-0.0164</x:v>
      </x:c>
      <x:c r="E230" s="9" t="n">
        <x:f>IF(ISNUMBER('原始数据'!H227),'原始数据'!H227,VALUE(SUBSTITUTE('原始数据'!H227,"'","")))</x:f>
        <x:v>0.0657</x:v>
      </x:c>
      <x:c r="F230" s="10" t="n">
        <x:f>'原始数据'!L227</x:f>
        <x:v>987</x:v>
      </x:c>
      <x:c r="G230" s="9" t="n">
        <x:f>F230/'原始数据'!G227</x:f>
        <x:v>0.01098191933240612</x:v>
      </x:c>
      <x:c r="H230" s="9" t="n">
        <x:f>'原始数据'!P227/'原始数据'!O227</x:f>
        <x:v>0.064647921172795</x:v>
      </x:c>
      <x:c r="I230" s="9" t="n">
        <x:f>F230/C230</x:f>
        <x:v>0.00539760143061047</x:v>
      </x:c>
      <x:c r="J230" s="9" t="n">
        <x:f>'原始数据'!G227/'原始数据'!F227</x:f>
        <x:v>0.037893209241769005</x:v>
      </x:c>
      <x:c r="K230" s="2" t="str">
        <x:v>待拆分产品市场</x:v>
      </x:c>
      <x:c r="L230" s="15" t="str">
        <x:v>暂无自动识别标签，仍需核验</x:v>
      </x:c>
      <x:c r="M230" s="2" t="str">
        <x:f>IF(AND(C230&gt;='核验与方法'!$B$7,F230&gt;='核验与方法'!$B$8,G230&gt;='核验与方法'!$B$9,D230&gt;='核验与方法'!$B$10,E230&gt;='核验与方法'!$B$11),"通过需求门槛","未通过需求门槛")</x:f>
        <x:v>未通过需求门槛</x:v>
      </x:c>
      <x:c r="N230" s="2" t="str">
        <x:v>待确认具体产品形态</x:v>
      </x:c>
      <x:c r="O230" s="9" t="n">
        <x:f>G230-'原始数据'!J227</x:f>
        <x:v>0.00008191933240611973</x:v>
      </x:c>
      <x:c r="P230" s="2" t="str">
        <x:v>DATA HOLD</x:v>
      </x:c>
    </x:row>
    <x:row r="231" ht="48" customHeight="1">
      <x:c r="A231" s="2" t="n">
        <x:v>226</x:v>
      </x:c>
      <x:c r="B231" s="2" t="str">
        <x:v>lorax costume</x:v>
      </x:c>
      <x:c r="C231" s="10" t="n">
        <x:f>'原始数据'!D228</x:f>
        <x:v>182116</x:v>
      </x:c>
      <x:c r="D231" s="9" t="n">
        <x:f>IF(ISNUMBER('原始数据'!E228),'原始数据'!E228,VALUE(SUBSTITUTE('原始数据'!E228,"'","")))</x:f>
        <x:v>1.7453</x:v>
      </x:c>
      <x:c r="E231" s="9" t="n">
        <x:f>IF(ISNUMBER('原始数据'!H228),'原始数据'!H228,VALUE(SUBSTITUTE('原始数据'!H228,"'","")))</x:f>
        <x:v>1.9031</x:v>
      </x:c>
      <x:c r="F231" s="10" t="n">
        <x:f>'原始数据'!L228</x:f>
        <x:v>1461</x:v>
      </x:c>
      <x:c r="G231" s="9" t="n">
        <x:f>F231/'原始数据'!G228</x:f>
        <x:v>0.017873308702992342</x:v>
      </x:c>
      <x:c r="H231" s="9" t="n">
        <x:f>'原始数据'!P228/'原始数据'!O228</x:f>
        <x:v>0.10094012864918357</x:v>
      </x:c>
      <x:c r="I231" s="9" t="n">
        <x:f>F231/C231</x:f>
        <x:v>0.008022359375343189</x:v>
      </x:c>
      <x:c r="J231" s="9" t="n">
        <x:f>'原始数据'!G228/'原始数据'!F228</x:f>
        <x:v>0.0422382303988971</x:v>
      </x:c>
      <x:c r="K231" s="2" t="str">
        <x:v>待拆分产品市场</x:v>
      </x:c>
      <x:c r="L231" s="15" t="str">
        <x:v>季节/事件影响待核验</x:v>
      </x:c>
      <x:c r="M231" s="2" t="str">
        <x:f>IF(AND(C231&gt;='核验与方法'!$B$7,F231&gt;='核验与方法'!$B$8,G231&gt;='核验与方法'!$B$9,D231&gt;='核验与方法'!$B$10,E231&gt;='核验与方法'!$B$11),"通过需求门槛","未通过需求门槛")</x:f>
        <x:v>未通过需求门槛</x:v>
      </x:c>
      <x:c r="N231" s="2" t="str">
        <x:v>先核验风险标签</x:v>
      </x:c>
      <x:c r="O231" s="9" t="n">
        <x:f>G231-'原始数据'!J228</x:f>
        <x:v>0.00007330870299234252</x:v>
      </x:c>
      <x:c r="P231" s="2" t="str">
        <x:v>DATA HOLD</x:v>
      </x:c>
    </x:row>
    <x:row r="232" ht="48" customHeight="1">
      <x:c r="A232" s="2" t="n">
        <x:v>227</x:v>
      </x:c>
      <x:c r="B232" s="2" t="str">
        <x:v>ground chicken</x:v>
      </x:c>
      <x:c r="C232" s="10" t="n">
        <x:f>'原始数据'!D229</x:f>
        <x:v>181591</x:v>
      </x:c>
      <x:c r="D232" s="9" t="n">
        <x:f>IF(ISNUMBER('原始数据'!E229),'原始数据'!E229,VALUE(SUBSTITUTE('原始数据'!E229,"'","")))</x:f>
        <x:v>0.0801</x:v>
      </x:c>
      <x:c r="E232" s="9" t="n">
        <x:f>IF(ISNUMBER('原始数据'!H229),'原始数据'!H229,VALUE(SUBSTITUTE('原始数据'!H229,"'","")))</x:f>
        <x:v>0.0351</x:v>
      </x:c>
      <x:c r="F232" s="10" t="n">
        <x:f>'原始数据'!L229</x:f>
        <x:v>34485</x:v>
      </x:c>
      <x:c r="G232" s="9" t="n">
        <x:f>F232/'原始数据'!G229</x:f>
        <x:v>0.34826297717632804</x:v>
      </x:c>
      <x:c r="H232" s="9" t="n">
        <x:f>'原始数据'!P229/'原始数据'!O229</x:f>
        <x:v>0.47788439662210086</x:v>
      </x:c>
      <x:c r="I232" s="9" t="n">
        <x:f>F232/C232</x:f>
        <x:v>0.18990478603014466</x:v>
      </x:c>
      <x:c r="J232" s="9" t="n">
        <x:f>'原始数据'!G229/'原始数据'!F229</x:f>
        <x:v>0.024619243337426596</x:v>
      </x:c>
      <x:c r="K232" s="2" t="str">
        <x:v>专业供给</x:v>
      </x:c>
      <x:c r="L232" s="15" t="str">
        <x:v>食品/补剂或耗材需独立供应链</x:v>
      </x:c>
      <x:c r="M232" s="2" t="str">
        <x:f>IF(AND(C232&gt;='核验与方法'!$B$7,F232&gt;='核验与方法'!$B$8,G232&gt;='核验与方法'!$B$9,D232&gt;='核验与方法'!$B$10,E232&gt;='核验与方法'!$B$11),"通过需求门槛","未通过需求门槛")</x:f>
        <x:v>通过需求门槛</x:v>
      </x:c>
      <x:c r="N232" s="2" t="str">
        <x:v>先核验风险标签</x:v>
      </x:c>
      <x:c r="O232" s="9" t="n">
        <x:f>G232-'原始数据'!J229</x:f>
        <x:v>0.00006297717632802735</x:v>
      </x:c>
      <x:c r="P232" s="2" t="str">
        <x:v>DATA HOLD</x:v>
      </x:c>
    </x:row>
    <x:row r="233" ht="48" customHeight="1">
      <x:c r="A233" s="2" t="n">
        <x:v>228</x:v>
      </x:c>
      <x:c r="B233" s="2" t="str">
        <x:v>perfume organizer</x:v>
      </x:c>
      <x:c r="C233" s="10" t="n">
        <x:f>'原始数据'!D230</x:f>
        <x:v>181485</x:v>
      </x:c>
      <x:c r="D233" s="9" t="n">
        <x:f>IF(ISNUMBER('原始数据'!E230),'原始数据'!E230,VALUE(SUBSTITUTE('原始数据'!E230,"'","")))</x:f>
        <x:v>-0.073</x:v>
      </x:c>
      <x:c r="E233" s="9" t="n">
        <x:f>IF(ISNUMBER('原始数据'!H230),'原始数据'!H230,VALUE(SUBSTITUTE('原始数据'!H230,"'","")))</x:f>
        <x:v>-0.0903</x:v>
      </x:c>
      <x:c r="F233" s="10" t="n">
        <x:f>'原始数据'!L230</x:f>
        <x:v>3213</x:v>
      </x:c>
      <x:c r="G233" s="9" t="n">
        <x:f>F233/'原始数据'!G230</x:f>
        <x:v>0.04870174162157246</x:v>
      </x:c>
      <x:c r="H233" s="9" t="n">
        <x:f>'原始数据'!P230/'原始数据'!O230</x:f>
        <x:v>0.14478452361041422</x:v>
      </x:c>
      <x:c r="I233" s="9" t="n">
        <x:f>F233/C233</x:f>
        <x:v>0.017703942474584677</x:v>
      </x:c>
      <x:c r="J233" s="9" t="n">
        <x:f>'原始数据'!G230/'原始数据'!F230</x:f>
        <x:v>0.01241646276199813</x:v>
      </x:c>
      <x:c r="K233" s="2" t="str">
        <x:v>待拆分产品市场</x:v>
      </x:c>
      <x:c r="L233" s="15" t="str">
        <x:v>暂无自动识别标签，仍需核验</x:v>
      </x:c>
      <x:c r="M233" s="2" t="str">
        <x:f>IF(AND(C233&gt;='核验与方法'!$B$7,F233&gt;='核验与方法'!$B$8,G233&gt;='核验与方法'!$B$9,D233&gt;='核验与方法'!$B$10,E233&gt;='核验与方法'!$B$11),"通过需求门槛","未通过需求门槛")</x:f>
        <x:v>未通过需求门槛</x:v>
      </x:c>
      <x:c r="N233" s="2" t="str">
        <x:v>待确认具体产品形态</x:v>
      </x:c>
      <x:c r="O233" s="9" t="n">
        <x:f>G233-'原始数据'!J230</x:f>
        <x:v>0.0000017416215724597173</x:v>
      </x:c>
      <x:c r="P233" s="2" t="str">
        <x:v>DATA HOLD</x:v>
      </x:c>
    </x:row>
    <x:row r="234" ht="48" customHeight="1">
      <x:c r="A234" s="2" t="n">
        <x:v>229</x:v>
      </x:c>
      <x:c r="B234" s="2" t="str">
        <x:v>manga box set</x:v>
      </x:c>
      <x:c r="C234" s="10" t="n">
        <x:f>'原始数据'!D231</x:f>
        <x:v>181112</x:v>
      </x:c>
      <x:c r="D234" s="9" t="n">
        <x:f>IF(ISNUMBER('原始数据'!E231),'原始数据'!E231,VALUE(SUBSTITUTE('原始数据'!E231,"'","")))</x:f>
        <x:v>0.0766</x:v>
      </x:c>
      <x:c r="E234" s="9" t="n">
        <x:f>IF(ISNUMBER('原始数据'!H231),'原始数据'!H231,VALUE(SUBSTITUTE('原始数据'!H231,"'","")))</x:f>
        <x:v>0.0921</x:v>
      </x:c>
      <x:c r="F234" s="10" t="n">
        <x:f>'原始数据'!L231</x:f>
        <x:v>697</x:v>
      </x:c>
      <x:c r="G234" s="9" t="n">
        <x:f>F234/'原始数据'!G231</x:f>
        <x:v>0.011647143358454622</x:v>
      </x:c>
      <x:c r="H234" s="9" t="n">
        <x:f>'原始数据'!P231/'原始数据'!O231</x:f>
        <x:v>0.048227089676849036</x:v>
      </x:c>
      <x:c r="I234" s="9" t="n">
        <x:f>F234/C234</x:f>
        <x:v>0.003848447369583462</x:v>
      </x:c>
      <x:c r="J234" s="9" t="n">
        <x:f>'原始数据'!G231/'原始数据'!F231</x:f>
        <x:v>0.022772721443529414</x:v>
      </x:c>
      <x:c r="K234" s="2" t="str">
        <x:v>待拆分产品市场</x:v>
      </x:c>
      <x:c r="L234" s="15" t="str">
        <x:v>内容/导航或宽泛需求需拆分</x:v>
      </x:c>
      <x:c r="M234" s="2" t="str">
        <x:f>IF(AND(C234&gt;='核验与方法'!$B$7,F234&gt;='核验与方法'!$B$8,G234&gt;='核验与方法'!$B$9,D234&gt;='核验与方法'!$B$10,E234&gt;='核验与方法'!$B$11),"通过需求门槛","未通过需求门槛")</x:f>
        <x:v>未通过需求门槛</x:v>
      </x:c>
      <x:c r="N234" s="2" t="str">
        <x:v>先核验风险标签</x:v>
      </x:c>
      <x:c r="O234" s="9" t="n">
        <x:f>G234-'原始数据'!J231</x:f>
        <x:v>0.00004714335845462311</x:v>
      </x:c>
      <x:c r="P234" s="2" t="str">
        <x:v>DATA HOLD</x:v>
      </x:c>
    </x:row>
    <x:row r="235" ht="48" customHeight="1">
      <x:c r="A235" s="2" t="n">
        <x:v>230</x:v>
      </x:c>
      <x:c r="B235" s="2" t="str">
        <x:v>cotton balls</x:v>
      </x:c>
      <x:c r="C235" s="10" t="n">
        <x:f>'原始数据'!D232</x:f>
        <x:v>180766</x:v>
      </x:c>
      <x:c r="D235" s="9" t="n">
        <x:f>IF(ISNUMBER('原始数据'!E232),'原始数据'!E232,VALUE(SUBSTITUTE('原始数据'!E232,"'","")))</x:f>
        <x:v>0.0532</x:v>
      </x:c>
      <x:c r="E235" s="9" t="n">
        <x:f>IF(ISNUMBER('原始数据'!H232),'原始数据'!H232,VALUE(SUBSTITUTE('原始数据'!H232,"'","")))</x:f>
        <x:v>0.0673</x:v>
      </x:c>
      <x:c r="F235" s="10" t="n">
        <x:f>'原始数据'!L232</x:f>
        <x:v>46508</x:v>
      </x:c>
      <x:c r="G235" s="9" t="n">
        <x:f>F235/'原始数据'!G232</x:f>
        <x:v>0.4453125748044313</x:v>
      </x:c>
      <x:c r="H235" s="9" t="n">
        <x:f>'原始数据'!P232/'原始数据'!O232</x:f>
        <x:v>0.5725933956724036</x:v>
      </x:c>
      <x:c r="I235" s="9" t="n">
        <x:f>F235/C235</x:f>
        <x:v>0.25728289611984556</x:v>
      </x:c>
      <x:c r="J235" s="9" t="n">
        <x:f>'原始数据'!G232/'原始数据'!F232</x:f>
        <x:v>0.014460664925573385</x:v>
      </x:c>
      <x:c r="K235" s="2" t="str">
        <x:v>待拆分产品市场</x:v>
      </x:c>
      <x:c r="L235" s="15" t="str">
        <x:v>暂无自动识别标签，仍需核验</x:v>
      </x:c>
      <x:c r="M235" s="2" t="str">
        <x:f>IF(AND(C235&gt;='核验与方法'!$B$7,F235&gt;='核验与方法'!$B$8,G235&gt;='核验与方法'!$B$9,D235&gt;='核验与方法'!$B$10,E235&gt;='核验与方法'!$B$11),"通过需求门槛","未通过需求门槛")</x:f>
        <x:v>通过需求门槛</x:v>
      </x:c>
      <x:c r="N235" s="2" t="str">
        <x:v>待确认具体产品形态</x:v>
      </x:c>
      <x:c r="O235" s="9" t="n">
        <x:f>G235-'原始数据'!J232</x:f>
        <x:v>0.00001257480443134229</x:v>
      </x:c>
      <x:c r="P235" s="2" t="str">
        <x:v>DATA HOLD</x:v>
      </x:c>
    </x:row>
    <x:row r="236" ht="48" customHeight="1">
      <x:c r="A236" s="2" t="n">
        <x:v>231</x:v>
      </x:c>
      <x:c r="B236" s="2" t="str">
        <x:v>gadgets for men</x:v>
      </x:c>
      <x:c r="C236" s="10" t="n">
        <x:f>'原始数据'!D233</x:f>
        <x:v>179167</x:v>
      </x:c>
      <x:c r="D236" s="9" t="n">
        <x:f>IF(ISNUMBER('原始数据'!E233),'原始数据'!E233,VALUE(SUBSTITUTE('原始数据'!E233,"'","")))</x:f>
        <x:v>0.0703</x:v>
      </x:c>
      <x:c r="E236" s="9" t="n">
        <x:f>IF(ISNUMBER('原始数据'!H233),'原始数据'!H233,VALUE(SUBSTITUTE('原始数据'!H233,"'","")))</x:f>
        <x:v>0.0886</x:v>
      </x:c>
      <x:c r="F236" s="10" t="n">
        <x:f>'原始数据'!L233</x:f>
        <x:v>1280</x:v>
      </x:c>
      <x:c r="G236" s="9" t="n">
        <x:f>F236/'原始数据'!G233</x:f>
        <x:v>0.031208094599536756</x:v>
      </x:c>
      <x:c r="H236" s="9" t="n">
        <x:f>'原始数据'!P233/'原始数据'!O233</x:f>
        <x:v>0.0895454199345161</x:v>
      </x:c>
      <x:c r="I236" s="9" t="n">
        <x:f>F236/C236</x:f>
        <x:v>0.007144172755027433</x:v>
      </x:c>
      <x:c r="J236" s="9" t="n">
        <x:f>'原始数据'!G233/'原始数据'!F233</x:f>
        <x:v>0.010284580601498141</x:v>
      </x:c>
      <x:c r="K236" s="2" t="str">
        <x:v>待拆分产品市场</x:v>
      </x:c>
      <x:c r="L236" s="15" t="str">
        <x:v>暂无自动识别标签，仍需核验</x:v>
      </x:c>
      <x:c r="M236" s="2" t="str">
        <x:f>IF(AND(C236&gt;='核验与方法'!$B$7,F236&gt;='核验与方法'!$B$8,G236&gt;='核验与方法'!$B$9,D236&gt;='核验与方法'!$B$10,E236&gt;='核验与方法'!$B$11),"通过需求门槛","未通过需求门槛")</x:f>
        <x:v>未通过需求门槛</x:v>
      </x:c>
      <x:c r="N236" s="2" t="str">
        <x:v>待确认具体产品形态</x:v>
      </x:c>
      <x:c r="O236" s="9" t="n">
        <x:f>G236-'原始数据'!J233</x:f>
        <x:v>0.000008094599536757202</x:v>
      </x:c>
      <x:c r="P236" s="2" t="str">
        <x:v>DATA HOLD</x:v>
      </x:c>
    </x:row>
    <x:row r="237" ht="48" customHeight="1">
      <x:c r="A237" s="2" t="n">
        <x:v>232</x:v>
      </x:c>
      <x:c r="B237" s="2" t="str">
        <x:v>whole foods delivery</x:v>
      </x:c>
      <x:c r="C237" s="10" t="n">
        <x:f>'原始数据'!D234</x:f>
        <x:v>178951</x:v>
      </x:c>
      <x:c r="D237" s="9" t="n">
        <x:f>IF(ISNUMBER('原始数据'!E234),'原始数据'!E234,VALUE(SUBSTITUTE('原始数据'!E234,"'","")))</x:f>
        <x:v>0.1238</x:v>
      </x:c>
      <x:c r="E237" s="9" t="n">
        <x:f>IF(ISNUMBER('原始数据'!H234),'原始数据'!H234,VALUE(SUBSTITUTE('原始数据'!H234,"'","")))</x:f>
        <x:v>0.1761</x:v>
      </x:c>
      <x:c r="F237" s="10" t="n">
        <x:f>'原始数据'!L234</x:f>
        <x:v>6748</x:v>
      </x:c>
      <x:c r="G237" s="9" t="n">
        <x:f>F237/'原始数据'!G234</x:f>
        <x:v>0.21429025087329312</x:v>
      </x:c>
      <x:c r="H237" s="9" t="n">
        <x:f>'原始数据'!P234/'原始数据'!O234</x:f>
        <x:v>0.3711160689992926</x:v>
      </x:c>
      <x:c r="I237" s="9" t="n">
        <x:f>F237/C237</x:f>
        <x:v>0.03770864650099748</x:v>
      </x:c>
      <x:c r="J237" s="9" t="n">
        <x:f>'原始数据'!G234/'原始数据'!F234</x:f>
        <x:v>0.00664071816762573</x:v>
      </x:c>
      <x:c r="K237" s="2" t="str">
        <x:v>专业供给</x:v>
      </x:c>
      <x:c r="L237" s="15" t="str">
        <x:v>食品/补剂或耗材需独立供应链</x:v>
      </x:c>
      <x:c r="M237" s="2" t="str">
        <x:f>IF(AND(C237&gt;='核验与方法'!$B$7,F237&gt;='核验与方法'!$B$8,G237&gt;='核验与方法'!$B$9,D237&gt;='核验与方法'!$B$10,E237&gt;='核验与方法'!$B$11),"通过需求门槛","未通过需求门槛")</x:f>
        <x:v>通过需求门槛</x:v>
      </x:c>
      <x:c r="N237" s="2" t="str">
        <x:v>先核验风险标签</x:v>
      </x:c>
      <x:c r="O237" s="9" t="n">
        <x:f>G237-'原始数据'!J234</x:f>
        <x:v>0.00009025087329311843</x:v>
      </x:c>
      <x:c r="P237" s="2" t="str">
        <x:v>DATA HOLD</x:v>
      </x:c>
    </x:row>
    <x:row r="238" ht="48" customHeight="1">
      <x:c r="A238" s="2" t="n">
        <x:v>233</x:v>
      </x:c>
      <x:c r="B238" s="2" t="str">
        <x:v>alien costume women</x:v>
      </x:c>
      <x:c r="C238" s="10" t="n">
        <x:f>'原始数据'!D235</x:f>
        <x:v>178467</x:v>
      </x:c>
      <x:c r="D238" s="9" t="n">
        <x:f>IF(ISNUMBER('原始数据'!E235),'原始数据'!E235,VALUE(SUBSTITUTE('原始数据'!E235,"'","")))</x:f>
        <x:v>1.1719</x:v>
      </x:c>
      <x:c r="E238" s="9" t="n">
        <x:f>IF(ISNUMBER('原始数据'!H235),'原始数据'!H235,VALUE(SUBSTITUTE('原始数据'!H235,"'","")))</x:f>
        <x:v>1.2874</x:v>
      </x:c>
      <x:c r="F238" s="10" t="n">
        <x:f>'原始数据'!L235</x:f>
        <x:v>768</x:v>
      </x:c>
      <x:c r="G238" s="9" t="n">
        <x:f>F238/'原始数据'!G235</x:f>
        <x:v>0.013468958260259558</x:v>
      </x:c>
      <x:c r="H238" s="9" t="n">
        <x:f>'原始数据'!P235/'原始数据'!O235</x:f>
        <x:v>0.06248429516709942</x:v>
      </x:c>
      <x:c r="I238" s="9" t="n">
        <x:f>F238/C238</x:f>
        <x:v>0.0043033165795357126</x:v>
      </x:c>
      <x:c r="J238" s="9" t="n">
        <x:f>'原始数据'!G235/'原始数据'!F235</x:f>
        <x:v>0.020219944198344105</x:v>
      </x:c>
      <x:c r="K238" s="2" t="str">
        <x:v>待拆分产品市场</x:v>
      </x:c>
      <x:c r="L238" s="15" t="str">
        <x:v>季节/事件影响待核验</x:v>
      </x:c>
      <x:c r="M238" s="2" t="str">
        <x:f>IF(AND(C238&gt;='核验与方法'!$B$7,F238&gt;='核验与方法'!$B$8,G238&gt;='核验与方法'!$B$9,D238&gt;='核验与方法'!$B$10,E238&gt;='核验与方法'!$B$11),"通过需求门槛","未通过需求门槛")</x:f>
        <x:v>未通过需求门槛</x:v>
      </x:c>
      <x:c r="N238" s="2" t="str">
        <x:v>先核验风险标签</x:v>
      </x:c>
      <x:c r="O238" s="9" t="n">
        <x:f>G238-'原始数据'!J235</x:f>
        <x:v>0.00006895826025955787</x:v>
      </x:c>
      <x:c r="P238" s="2" t="str">
        <x:v>DATA HOLD</x:v>
      </x:c>
    </x:row>
    <x:row r="239" ht="48" customHeight="1">
      <x:c r="A239" s="2" t="n">
        <x:v>234</x:v>
      </x:c>
      <x:c r="B239" s="2" t="str">
        <x:v>pineapple</x:v>
      </x:c>
      <x:c r="C239" s="10" t="n">
        <x:f>'原始数据'!D236</x:f>
        <x:v>178374</x:v>
      </x:c>
      <x:c r="D239" s="9" t="n">
        <x:f>IF(ISNUMBER('原始数据'!E236),'原始数据'!E236,VALUE(SUBSTITUTE('原始数据'!E236,"'","")))</x:f>
        <x:v>0.0248</x:v>
      </x:c>
      <x:c r="E239" s="9" t="n">
        <x:f>IF(ISNUMBER('原始数据'!H236),'原始数据'!H236,VALUE(SUBSTITUTE('原始数据'!H236,"'","")))</x:f>
        <x:v>-0.0735</x:v>
      </x:c>
      <x:c r="F239" s="10" t="n">
        <x:f>'原始数据'!L236</x:f>
        <x:v>32765</x:v>
      </x:c>
      <x:c r="G239" s="9" t="n">
        <x:f>F239/'原始数据'!G236</x:f>
        <x:v>0.44297379877240894</x:v>
      </x:c>
      <x:c r="H239" s="9" t="n">
        <x:f>'原始数据'!P236/'原始数据'!O236</x:f>
        <x:v>0.5577625367417832</x:v>
      </x:c>
      <x:c r="I239" s="9" t="n">
        <x:f>F239/C239</x:f>
        <x:v>0.18368708444055748</x:v>
      </x:c>
      <x:c r="J239" s="9" t="n">
        <x:f>'原始数据'!G236/'原始数据'!F236</x:f>
        <x:v>0.019220075398116397</x:v>
      </x:c>
      <x:c r="K239" s="2" t="str">
        <x:v>专业供给</x:v>
      </x:c>
      <x:c r="L239" s="15" t="str">
        <x:v>食品/补剂或耗材需独立供应链</x:v>
      </x:c>
      <x:c r="M239" s="2" t="str">
        <x:f>IF(AND(C239&gt;='核验与方法'!$B$7,F239&gt;='核验与方法'!$B$8,G239&gt;='核验与方法'!$B$9,D239&gt;='核验与方法'!$B$10,E239&gt;='核验与方法'!$B$11),"通过需求门槛","未通过需求门槛")</x:f>
        <x:v>未通过需求门槛</x:v>
      </x:c>
      <x:c r="N239" s="2" t="str">
        <x:v>先核验风险标签</x:v>
      </x:c>
      <x:c r="O239" s="9" t="n">
        <x:f>G239-'原始数据'!J236</x:f>
        <x:v>0.0000737987724089284</x:v>
      </x:c>
      <x:c r="P239" s="2" t="str">
        <x:v>DATA HOLD</x:v>
      </x:c>
    </x:row>
    <x:row r="240" ht="48" customHeight="1">
      <x:c r="A240" s="2" t="n">
        <x:v>235</x:v>
      </x:c>
      <x:c r="B240" s="2" t="str">
        <x:v>tattoo cover up</x:v>
      </x:c>
      <x:c r="C240" s="10" t="n">
        <x:f>'原始数据'!D237</x:f>
        <x:v>177465</x:v>
      </x:c>
      <x:c r="D240" s="9" t="n">
        <x:f>IF(ISNUMBER('原始数据'!E237),'原始数据'!E237,VALUE(SUBSTITUTE('原始数据'!E237,"'","")))</x:f>
        <x:v>0.6116</x:v>
      </x:c>
      <x:c r="E240" s="9" t="n">
        <x:f>IF(ISNUMBER('原始数据'!H237),'原始数据'!H237,VALUE(SUBSTITUTE('原始数据'!H237,"'","")))</x:f>
        <x:v>0.138</x:v>
      </x:c>
      <x:c r="F240" s="10" t="n">
        <x:f>'原始数据'!L237</x:f>
        <x:v>1632</x:v>
      </x:c>
      <x:c r="G240" s="9" t="n">
        <x:f>F240/'原始数据'!G237</x:f>
        <x:v>0.043954860082415365</x:v>
      </x:c>
      <x:c r="H240" s="9" t="n">
        <x:f>'原始数据'!P237/'原始数据'!O237</x:f>
        <x:v>0.2175132440012465</x:v>
      </x:c>
      <x:c r="I240" s="9" t="n">
        <x:f>F240/C240</x:f>
        <x:v>0.009196179528357704</x:v>
      </x:c>
      <x:c r="J240" s="9" t="n">
        <x:f>'原始数据'!G237/'原始数据'!F237</x:f>
        <x:v>0.018072696739963735</x:v>
      </x:c>
      <x:c r="K240" s="2" t="str">
        <x:v>待拆分产品市场</x:v>
      </x:c>
      <x:c r="L240" s="15" t="str">
        <x:v>暂无自动识别标签，仍需核验</x:v>
      </x:c>
      <x:c r="M240" s="2" t="str">
        <x:f>IF(AND(C240&gt;='核验与方法'!$B$7,F240&gt;='核验与方法'!$B$8,G240&gt;='核验与方法'!$B$9,D240&gt;='核验与方法'!$B$10,E240&gt;='核验与方法'!$B$11),"通过需求门槛","未通过需求门槛")</x:f>
        <x:v>未通过需求门槛</x:v>
      </x:c>
      <x:c r="N240" s="2" t="str">
        <x:v>待确认具体产品形态</x:v>
      </x:c>
      <x:c r="O240" s="9" t="n">
        <x:f>G240-'原始数据'!J237</x:f>
        <x:v>0.000054860082415363054</x:v>
      </x:c>
      <x:c r="P240" s="2" t="str">
        <x:v>DATA HOLD</x:v>
      </x:c>
    </x:row>
    <x:row r="241" ht="48" customHeight="1">
      <x:c r="A241" s="2" t="n">
        <x:v>236</x:v>
      </x:c>
      <x:c r="B241" s="2" t="str">
        <x:v>dorm decor</x:v>
      </x:c>
      <x:c r="C241" s="10" t="n">
        <x:f>'原始数据'!D238</x:f>
        <x:v>177134</x:v>
      </x:c>
      <x:c r="D241" s="9" t="n">
        <x:f>IF(ISNUMBER('原始数据'!E238),'原始数据'!E238,VALUE(SUBSTITUTE('原始数据'!E238,"'","")))</x:f>
        <x:v>-0.5799</x:v>
      </x:c>
      <x:c r="E241" s="9" t="n">
        <x:f>IF(ISNUMBER('原始数据'!H238),'原始数据'!H238,VALUE(SUBSTITUTE('原始数据'!H238,"'","")))</x:f>
        <x:v>-0.605</x:v>
      </x:c>
      <x:c r="F241" s="10" t="n">
        <x:f>'原始数据'!L238</x:f>
        <x:v>1591</x:v>
      </x:c>
      <x:c r="G241" s="9" t="n">
        <x:f>F241/'原始数据'!G238</x:f>
        <x:v>0.03659827015090173</x:v>
      </x:c>
      <x:c r="H241" s="9" t="n">
        <x:f>'原始数据'!P238/'原始数据'!O238</x:f>
        <x:v>0.09847806624888093</x:v>
      </x:c>
      <x:c r="I241" s="9" t="n">
        <x:f>F241/C241</x:f>
        <x:v>0.008981900707938622</x:v>
      </x:c>
      <x:c r="J241" s="9" t="n">
        <x:f>'原始数据'!G238/'原始数据'!F238</x:f>
        <x:v>0.004336888613632228</x:v>
      </x:c>
      <x:c r="K241" s="2" t="str">
        <x:v>待拆分产品市场</x:v>
      </x:c>
      <x:c r="L241" s="15" t="str">
        <x:v>暂无自动识别标签，仍需核验</x:v>
      </x:c>
      <x:c r="M241" s="2" t="str">
        <x:f>IF(AND(C241&gt;='核验与方法'!$B$7,F241&gt;='核验与方法'!$B$8,G241&gt;='核验与方法'!$B$9,D241&gt;='核验与方法'!$B$10,E241&gt;='核验与方法'!$B$11),"通过需求门槛","未通过需求门槛")</x:f>
        <x:v>未通过需求门槛</x:v>
      </x:c>
      <x:c r="N241" s="2" t="str">
        <x:v>待确认具体产品形态</x:v>
      </x:c>
      <x:c r="O241" s="9" t="n">
        <x:f>G241-'原始数据'!J238</x:f>
        <x:v>0.00009827015090173308</x:v>
      </x:c>
      <x:c r="P241" s="2" t="str">
        <x:v>DATA HOLD</x:v>
      </x:c>
    </x:row>
    <x:row r="242" ht="48" customHeight="1">
      <x:c r="A242" s="2" t="n">
        <x:v>237</x:v>
      </x:c>
      <x:c r="B242" s="2" t="str">
        <x:v>49ers womens apparel</x:v>
      </x:c>
      <x:c r="C242" s="10" t="n">
        <x:f>'原始数据'!D239</x:f>
        <x:v>176930</x:v>
      </x:c>
      <x:c r="D242" s="9" t="n">
        <x:f>IF(ISNUMBER('原始数据'!E239),'原始数据'!E239,VALUE(SUBSTITUTE('原始数据'!E239,"'","")))</x:f>
        <x:v>2.1797</x:v>
      </x:c>
      <x:c r="E242" s="9" t="n">
        <x:f>IF(ISNUMBER('原始数据'!H239),'原始数据'!H239,VALUE(SUBSTITUTE('原始数据'!H239,"'","")))</x:f>
        <x:v>2.2808</x:v>
      </x:c>
      <x:c r="F242" s="10" t="n">
        <x:f>'原始数据'!L239</x:f>
        <x:v>1795</x:v>
      </x:c>
      <x:c r="G242" s="9" t="n">
        <x:f>F242/'原始数据'!G239</x:f>
        <x:v>0.03822809072516239</x:v>
      </x:c>
      <x:c r="H242" s="9" t="n">
        <x:f>'原始数据'!P239/'原始数据'!O239</x:f>
        <x:v>0.13650594865372573</x:v>
      </x:c>
      <x:c r="I242" s="9" t="n">
        <x:f>F242/C242</x:f>
        <x:v>0.010145255185666648</x:v>
      </x:c>
      <x:c r="J242" s="9" t="n">
        <x:f>'原始数据'!G239/'原始数据'!F239</x:f>
        <x:v>0.017709031058974034</x:v>
      </x:c>
      <x:c r="K242" s="2" t="str">
        <x:v>待拆分产品市场</x:v>
      </x:c>
      <x:c r="L242" s="15" t="str">
        <x:v>品牌或IP需核验</x:v>
      </x:c>
      <x:c r="M242" s="2" t="str">
        <x:f>IF(AND(C242&gt;='核验与方法'!$B$7,F242&gt;='核验与方法'!$B$8,G242&gt;='核验与方法'!$B$9,D242&gt;='核验与方法'!$B$10,E242&gt;='核验与方法'!$B$11),"通过需求门槛","未通过需求门槛")</x:f>
        <x:v>未通过需求门槛</x:v>
      </x:c>
      <x:c r="N242" s="2" t="str">
        <x:v>先核验风险标签</x:v>
      </x:c>
      <x:c r="O242" s="9" t="n">
        <x:f>G242-'原始数据'!J239</x:f>
        <x:v>0.000028090725162389918</x:v>
      </x:c>
      <x:c r="P242" s="2" t="str">
        <x:v>DATA HOLD</x:v>
      </x:c>
    </x:row>
    <x:row r="243" ht="48" customHeight="1">
      <x:c r="A243" s="2" t="n">
        <x:v>238</x:v>
      </x:c>
      <x:c r="B243" s="2" t="str">
        <x:v>promise rings for her</x:v>
      </x:c>
      <x:c r="C243" s="10" t="n">
        <x:f>'原始数据'!D240</x:f>
        <x:v>176433</x:v>
      </x:c>
      <x:c r="D243" s="9" t="n">
        <x:f>IF(ISNUMBER('原始数据'!E240),'原始数据'!E240,VALUE(SUBSTITUTE('原始数据'!E240,"'","")))</x:f>
        <x:v>-0.0547</x:v>
      </x:c>
      <x:c r="E243" s="9" t="n">
        <x:f>IF(ISNUMBER('原始数据'!H240),'原始数据'!H240,VALUE(SUBSTITUTE('原始数据'!H240,"'","")))</x:f>
        <x:v>-0.0387</x:v>
      </x:c>
      <x:c r="F243" s="10" t="n">
        <x:f>'原始数据'!L240</x:f>
        <x:v>425</x:v>
      </x:c>
      <x:c r="G243" s="9" t="n">
        <x:f>F243/'原始数据'!G240</x:f>
        <x:v>0.007518264961347273</x:v>
      </x:c>
      <x:c r="H243" s="9" t="n">
        <x:f>'原始数据'!P240/'原始数据'!O240</x:f>
        <x:v>0.08260469397146801</x:v>
      </x:c>
      <x:c r="I243" s="9" t="n">
        <x:f>F243/C243</x:f>
        <x:v>0.0024088464176202865</x:v>
      </x:c>
      <x:c r="J243" s="9" t="n">
        <x:f>'原始数据'!G240/'原始数据'!F240</x:f>
        <x:v>0.013739653150867124</x:v>
      </x:c>
      <x:c r="K243" s="2" t="str">
        <x:v>待拆分产品市场</x:v>
      </x:c>
      <x:c r="L243" s="15" t="str">
        <x:v>暂无自动识别标签，仍需核验</x:v>
      </x:c>
      <x:c r="M243" s="2" t="str">
        <x:f>IF(AND(C243&gt;='核验与方法'!$B$7,F243&gt;='核验与方法'!$B$8,G243&gt;='核验与方法'!$B$9,D243&gt;='核验与方法'!$B$10,E243&gt;='核验与方法'!$B$11),"通过需求门槛","未通过需求门槛")</x:f>
        <x:v>未通过需求门槛</x:v>
      </x:c>
      <x:c r="N243" s="2" t="str">
        <x:v>待确认具体产品形态</x:v>
      </x:c>
      <x:c r="O243" s="9" t="n">
        <x:f>G243-'原始数据'!J240</x:f>
        <x:v>0.000018264961347273095</x:v>
      </x:c>
      <x:c r="P243" s="2" t="str">
        <x:v>DATA HOLD</x:v>
      </x:c>
    </x:row>
    <x:row r="244" ht="48" customHeight="1">
      <x:c r="A244" s="2" t="n">
        <x:v>239</x:v>
      </x:c>
      <x:c r="B244" s="2" t="str">
        <x:v>bruno mars shirt</x:v>
      </x:c>
      <x:c r="C244" s="10" t="n">
        <x:f>'原始数据'!D241</x:f>
        <x:v>175930</x:v>
      </x:c>
      <x:c r="D244" s="9" t="n">
        <x:f>IF(ISNUMBER('原始数据'!E241),'原始数据'!E241,VALUE(SUBSTITUTE('原始数据'!E241,"'","")))</x:f>
        <x:v>1.3711</x:v>
      </x:c>
      <x:c r="E244" s="9" t="n">
        <x:f>IF(ISNUMBER('原始数据'!H241),'原始数据'!H241,VALUE(SUBSTITUTE('原始数据'!H241,"'","")))</x:f>
        <x:v>1.4582</x:v>
      </x:c>
      <x:c r="F244" s="10" t="n">
        <x:f>'原始数据'!L241</x:f>
        <x:v>2878</x:v>
      </x:c>
      <x:c r="G244" s="9" t="n">
        <x:f>F244/'原始数据'!G241</x:f>
        <x:v>0.04400073385518591</x:v>
      </x:c>
      <x:c r="H244" s="9" t="n">
        <x:f>'原始数据'!P241/'原始数据'!O241</x:f>
        <x:v>0.16724761167053964</x:v>
      </x:c>
      <x:c r="I244" s="9" t="n">
        <x:f>F244/C244</x:f>
        <x:v>0.016358779059853352</x:v>
      </x:c>
      <x:c r="J244" s="9" t="n">
        <x:f>'原始数据'!G241/'原始数据'!F241</x:f>
        <x:v>0.018086449845689467</x:v>
      </x:c>
      <x:c r="K244" s="2" t="str">
        <x:v>待拆分产品市场</x:v>
      </x:c>
      <x:c r="L244" s="15" t="str">
        <x:v>品牌或IP需核验；尺码/颜色变体及退货待核验</x:v>
      </x:c>
      <x:c r="M244" s="2" t="str">
        <x:f>IF(AND(C244&gt;='核验与方法'!$B$7,F244&gt;='核验与方法'!$B$8,G244&gt;='核验与方法'!$B$9,D244&gt;='核验与方法'!$B$10,E244&gt;='核验与方法'!$B$11),"通过需求门槛","未通过需求门槛")</x:f>
        <x:v>未通过需求门槛</x:v>
      </x:c>
      <x:c r="N244" s="2" t="str">
        <x:v>先核验风险标签</x:v>
      </x:c>
      <x:c r="O244" s="9" t="n">
        <x:f>G244-'原始数据'!J241</x:f>
        <x:v>7.338551859109588e-7</x:v>
      </x:c>
      <x:c r="P244" s="2" t="str">
        <x:v>DATA HOLD</x:v>
      </x:c>
    </x:row>
    <x:row r="245" ht="48" customHeight="1">
      <x:c r="A245" s="2" t="n">
        <x:v>240</x:v>
      </x:c>
      <x:c r="B245" s="2" t="str">
        <x:v>halloween sweatshirt</x:v>
      </x:c>
      <x:c r="C245" s="10" t="n">
        <x:f>'原始数据'!D242</x:f>
        <x:v>173712</x:v>
      </x:c>
      <x:c r="D245" s="9" t="n">
        <x:f>IF(ISNUMBER('原始数据'!E242),'原始数据'!E242,VALUE(SUBSTITUTE('原始数据'!E242,"'","")))</x:f>
        <x:v>1.3997</x:v>
      </x:c>
      <x:c r="E245" s="9" t="n">
        <x:f>IF(ISNUMBER('原始数据'!H242),'原始数据'!H242,VALUE(SUBSTITUTE('原始数据'!H242,"'","")))</x:f>
        <x:v>1.3781</x:v>
      </x:c>
      <x:c r="F245" s="10" t="n">
        <x:f>'原始数据'!L242</x:f>
        <x:v>646</x:v>
      </x:c>
      <x:c r="G245" s="9" t="n">
        <x:f>F245/'原始数据'!G242</x:f>
        <x:v>0.01292336007361914</x:v>
      </x:c>
      <x:c r="H245" s="9" t="n">
        <x:f>'原始数据'!P242/'原始数据'!O242</x:f>
        <x:v>0.07275752533656028</x:v>
      </x:c>
      <x:c r="I245" s="9" t="n">
        <x:f>F245/C245</x:f>
        <x:v>0.003718798931564889</x:v>
      </x:c>
      <x:c r="J245" s="9" t="n">
        <x:f>'原始数据'!G242/'原始数据'!F242</x:f>
        <x:v>0.01557890367053394</x:v>
      </x:c>
      <x:c r="K245" s="2" t="str">
        <x:v>待拆分产品市场</x:v>
      </x:c>
      <x:c r="L245" s="15" t="str">
        <x:v>季节/事件影响待核验；尺码/颜色变体及退货待核验</x:v>
      </x:c>
      <x:c r="M245" s="2" t="str">
        <x:f>IF(AND(C245&gt;='核验与方法'!$B$7,F245&gt;='核验与方法'!$B$8,G245&gt;='核验与方法'!$B$9,D245&gt;='核验与方法'!$B$10,E245&gt;='核验与方法'!$B$11),"通过需求门槛","未通过需求门槛")</x:f>
        <x:v>未通过需求门槛</x:v>
      </x:c>
      <x:c r="N245" s="2" t="str">
        <x:v>先核验风险标签</x:v>
      </x:c>
      <x:c r="O245" s="9" t="n">
        <x:f>G245-'原始数据'!J242</x:f>
        <x:v>0.000023360073619140345</x:v>
      </x:c>
      <x:c r="P245" s="2" t="str">
        <x:v>DATA HOLD</x:v>
      </x:c>
    </x:row>
    <x:row r="246" ht="48" customHeight="1">
      <x:c r="A246" s="2" t="n">
        <x:v>241</x:v>
      </x:c>
      <x:c r="B246" s="2" t="str">
        <x:v>portable bottle warmer</x:v>
      </x:c>
      <x:c r="C246" s="10" t="n">
        <x:f>'原始数据'!D243</x:f>
        <x:v>173481</x:v>
      </x:c>
      <x:c r="D246" s="9" t="n">
        <x:f>IF(ISNUMBER('原始数据'!E243),'原始数据'!E243,VALUE(SUBSTITUTE('原始数据'!E243,"'","")))</x:f>
        <x:v>0.084</x:v>
      </x:c>
      <x:c r="E246" s="9" t="n">
        <x:f>IF(ISNUMBER('原始数据'!H243),'原始数据'!H243,VALUE(SUBSTITUTE('原始数据'!H243,"'","")))</x:f>
        <x:v>0.1534</x:v>
      </x:c>
      <x:c r="F246" s="10" t="n">
        <x:f>'原始数据'!L243</x:f>
        <x:v>3932</x:v>
      </x:c>
      <x:c r="G246" s="9" t="n">
        <x:f>F246/'原始数据'!G243</x:f>
        <x:v>0.04823237898972057</x:v>
      </x:c>
      <x:c r="H246" s="9" t="n">
        <x:f>'原始数据'!P243/'原始数据'!O243</x:f>
        <x:v>0.11521181001283697</x:v>
      </x:c>
      <x:c r="I246" s="9" t="n">
        <x:f>F246/C246</x:f>
        <x:v>0.022665306287143836</x:v>
      </x:c>
      <x:c r="J246" s="9" t="n">
        <x:f>'原始数据'!G243/'原始数据'!F243</x:f>
        <x:v>0.018515809824222226</x:v>
      </x:c>
      <x:c r="K246" s="2" t="str">
        <x:v>待拆分产品市场</x:v>
      </x:c>
      <x:c r="L246" s="15" t="str">
        <x:v>专业类目适配与规则待核验</x:v>
      </x:c>
      <x:c r="M246" s="2" t="str">
        <x:f>IF(AND(C246&gt;='核验与方法'!$B$7,F246&gt;='核验与方法'!$B$8,G246&gt;='核验与方法'!$B$9,D246&gt;='核验与方法'!$B$10,E246&gt;='核验与方法'!$B$11),"通过需求门槛","未通过需求门槛")</x:f>
        <x:v>未通过需求门槛</x:v>
      </x:c>
      <x:c r="N246" s="2" t="str">
        <x:v>先核验风险标签</x:v>
      </x:c>
      <x:c r="O246" s="9" t="n">
        <x:f>G246-'原始数据'!J243</x:f>
        <x:v>0.00003237898972056896</x:v>
      </x:c>
      <x:c r="P246" s="2" t="str">
        <x:v>DATA HOLD</x:v>
      </x:c>
    </x:row>
    <x:row r="247" ht="48" customHeight="1">
      <x:c r="A247" s="2" t="n">
        <x:v>242</x:v>
      </x:c>
      <x:c r="B247" s="2" t="str">
        <x:v>vest tops for women</x:v>
      </x:c>
      <x:c r="C247" s="10" t="n">
        <x:f>'原始数据'!D244</x:f>
        <x:v>172586</x:v>
      </x:c>
      <x:c r="D247" s="9" t="n">
        <x:f>IF(ISNUMBER('原始数据'!E244),'原始数据'!E244,VALUE(SUBSTITUTE('原始数据'!E244,"'","")))</x:f>
        <x:v>0.0232</x:v>
      </x:c>
      <x:c r="E247" s="9" t="n">
        <x:f>IF(ISNUMBER('原始数据'!H244),'原始数据'!H244,VALUE(SUBSTITUTE('原始数据'!H244,"'","")))</x:f>
        <x:v>-0.0058</x:v>
      </x:c>
      <x:c r="F247" s="10" t="n">
        <x:f>'原始数据'!L244</x:f>
        <x:v>530</x:v>
      </x:c>
      <x:c r="G247" s="9" t="n">
        <x:f>F247/'原始数据'!G244</x:f>
        <x:v>0.011130946130421086</x:v>
      </x:c>
      <x:c r="H247" s="9" t="n">
        <x:f>'原始数据'!P244/'原始数据'!O244</x:f>
        <x:v>0.1043233417685426</x:v>
      </x:c>
      <x:c r="I247" s="9" t="n">
        <x:f>F247/C247</x:f>
        <x:v>0.003070932752366936</x:v>
      </x:c>
      <x:c r="J247" s="9" t="n">
        <x:f>'原始数据'!G244/'原始数据'!F244</x:f>
        <x:v>0.00730465961037929</x:v>
      </x:c>
      <x:c r="K247" s="2" t="str">
        <x:v>待拆分产品市场</x:v>
      </x:c>
      <x:c r="L247" s="15" t="str">
        <x:v>尺码/颜色变体及退货待核验</x:v>
      </x:c>
      <x:c r="M247" s="2" t="str">
        <x:f>IF(AND(C247&gt;='核验与方法'!$B$7,F247&gt;='核验与方法'!$B$8,G247&gt;='核验与方法'!$B$9,D247&gt;='核验与方法'!$B$10,E247&gt;='核验与方法'!$B$11),"通过需求门槛","未通过需求门槛")</x:f>
        <x:v>未通过需求门槛</x:v>
      </x:c>
      <x:c r="N247" s="2" t="str">
        <x:v>先核验风险标签</x:v>
      </x:c>
      <x:c r="O247" s="9" t="n">
        <x:f>G247-'原始数据'!J244</x:f>
        <x:v>0.000030946130421085835</x:v>
      </x:c>
      <x:c r="P247" s="2" t="str">
        <x:v>DATA HOLD</x:v>
      </x:c>
    </x:row>
    <x:row r="248" ht="48" customHeight="1">
      <x:c r="A248" s="2" t="n">
        <x:v>243</x:v>
      </x:c>
      <x:c r="B248" s="2" t="str">
        <x:v>toy story costume</x:v>
      </x:c>
      <x:c r="C248" s="10" t="n">
        <x:f>'原始数据'!D245</x:f>
        <x:v>172164</x:v>
      </x:c>
      <x:c r="D248" s="9" t="n">
        <x:f>IF(ISNUMBER('原始数据'!E245),'原始数据'!E245,VALUE(SUBSTITUTE('原始数据'!E245,"'","")))</x:f>
        <x:v>0.9904</x:v>
      </x:c>
      <x:c r="E248" s="9" t="n">
        <x:f>IF(ISNUMBER('原始数据'!H245),'原始数据'!H245,VALUE(SUBSTITUTE('原始数据'!H245,"'","")))</x:f>
        <x:v>0.9762</x:v>
      </x:c>
      <x:c r="F248" s="10" t="n">
        <x:f>'原始数据'!L245</x:f>
        <x:v>402</x:v>
      </x:c>
      <x:c r="G248" s="9" t="n">
        <x:f>F248/'原始数据'!G245</x:f>
        <x:v>0.007551848512173129</x:v>
      </x:c>
      <x:c r="H248" s="9" t="n">
        <x:f>'原始数据'!P245/'原始数据'!O245</x:f>
        <x:v>0.031848659003831416</x:v>
      </x:c>
      <x:c r="I248" s="9" t="n">
        <x:f>F248/C248</x:f>
        <x:v>0.002334982923259218</x:v>
      </x:c>
      <x:c r="J248" s="9" t="n">
        <x:f>'原始数据'!G245/'原始数据'!F245</x:f>
        <x:v>0.019049527626681936</x:v>
      </x:c>
      <x:c r="K248" s="2" t="str">
        <x:v>待拆分产品市场</x:v>
      </x:c>
      <x:c r="L248" s="15" t="str">
        <x:v>品牌或IP需核验；季节/事件影响待核验</x:v>
      </x:c>
      <x:c r="M248" s="2" t="str">
        <x:f>IF(AND(C248&gt;='核验与方法'!$B$7,F248&gt;='核验与方法'!$B$8,G248&gt;='核验与方法'!$B$9,D248&gt;='核验与方法'!$B$10,E248&gt;='核验与方法'!$B$11),"通过需求门槛","未通过需求门槛")</x:f>
        <x:v>未通过需求门槛</x:v>
      </x:c>
      <x:c r="N248" s="2" t="str">
        <x:v>先核验风险标签</x:v>
      </x:c>
      <x:c r="O248" s="9" t="n">
        <x:f>G248-'原始数据'!J245</x:f>
        <x:v>0.0000518485121731296</x:v>
      </x:c>
      <x:c r="P248" s="2" t="str">
        <x:v>DATA HOLD</x:v>
      </x:c>
    </x:row>
    <x:row r="249" ht="48" customHeight="1">
      <x:c r="A249" s="2" t="n">
        <x:v>244</x:v>
      </x:c>
      <x:c r="B249" s="2" t="str">
        <x:v>paper towels bulk</x:v>
      </x:c>
      <x:c r="C249" s="10" t="n">
        <x:f>'原始数据'!D246</x:f>
        <x:v>172032</x:v>
      </x:c>
      <x:c r="D249" s="9" t="n">
        <x:f>IF(ISNUMBER('原始数据'!E246),'原始数据'!E246,VALUE(SUBSTITUTE('原始数据'!E246,"'","")))</x:f>
        <x:v>-0.1959</x:v>
      </x:c>
      <x:c r="E249" s="9" t="n">
        <x:f>IF(ISNUMBER('原始数据'!H246),'原始数据'!H246,VALUE(SUBSTITUTE('原始数据'!H246,"'","")))</x:f>
        <x:v>-0.2199</x:v>
      </x:c>
      <x:c r="F249" s="10" t="n">
        <x:f>'原始数据'!L246</x:f>
        <x:v>28887</x:v>
      </x:c>
      <x:c r="G249" s="9" t="n">
        <x:f>F249/'原始数据'!G246</x:f>
        <x:v>0.35230196963229465</x:v>
      </x:c>
      <x:c r="H249" s="9" t="n">
        <x:f>'原始数据'!P246/'原始数据'!O246</x:f>
        <x:v>0.5171243183377674</x:v>
      </x:c>
      <x:c r="I249" s="9" t="n">
        <x:f>F249/C249</x:f>
        <x:v>0.16791643415178573</x:v>
      </x:c>
      <x:c r="J249" s="9" t="n">
        <x:f>'原始数据'!G246/'原始数据'!F246</x:f>
        <x:v>0.008691044625511849</x:v>
      </x:c>
      <x:c r="K249" s="2" t="str">
        <x:v>专业供给</x:v>
      </x:c>
      <x:c r="L249" s="15" t="str">
        <x:v>食品/补剂或耗材需独立供应链</x:v>
      </x:c>
      <x:c r="M249" s="2" t="str">
        <x:f>IF(AND(C249&gt;='核验与方法'!$B$7,F249&gt;='核验与方法'!$B$8,G249&gt;='核验与方法'!$B$9,D249&gt;='核验与方法'!$B$10,E249&gt;='核验与方法'!$B$11),"通过需求门槛","未通过需求门槛")</x:f>
        <x:v>未通过需求门槛</x:v>
      </x:c>
      <x:c r="N249" s="2" t="str">
        <x:v>先核验风险标签</x:v>
      </x:c>
      <x:c r="O249" s="9" t="n">
        <x:f>G249-'原始数据'!J246</x:f>
        <x:v>0.0000019696322946516354</x:v>
      </x:c>
      <x:c r="P249" s="2" t="str">
        <x:v>DATA HOLD</x:v>
      </x:c>
    </x:row>
    <x:row r="250" ht="48" customHeight="1">
      <x:c r="A250" s="2" t="n">
        <x:v>245</x:v>
      </x:c>
      <x:c r="B250" s="2" t="str">
        <x:v>hangers 100 pack</x:v>
      </x:c>
      <x:c r="C250" s="10" t="n">
        <x:f>'原始数据'!D247</x:f>
        <x:v>171825</x:v>
      </x:c>
      <x:c r="D250" s="9" t="n">
        <x:f>IF(ISNUMBER('原始数据'!E247),'原始数据'!E247,VALUE(SUBSTITUTE('原始数据'!E247,"'","")))</x:f>
        <x:v>-0.0687</x:v>
      </x:c>
      <x:c r="E250" s="9" t="n">
        <x:f>IF(ISNUMBER('原始数据'!H247),'原始数据'!H247,VALUE(SUBSTITUTE('原始数据'!H247,"'","")))</x:f>
        <x:v>-0.1447</x:v>
      </x:c>
      <x:c r="F250" s="10" t="n">
        <x:f>'原始数据'!L247</x:f>
        <x:v>14321</x:v>
      </x:c>
      <x:c r="G250" s="9" t="n">
        <x:f>F250/'原始数据'!G247</x:f>
        <x:v>0.21688954853170578</x:v>
      </x:c>
      <x:c r="H250" s="9" t="n">
        <x:f>'原始数据'!P247/'原始数据'!O247</x:f>
        <x:v>0.4106473101826799</x:v>
      </x:c>
      <x:c r="I250" s="9" t="n">
        <x:f>F250/C250</x:f>
        <x:v>0.08334642805179689</x:v>
      </x:c>
      <x:c r="J250" s="9" t="n">
        <x:f>'原始数据'!G247/'原始数据'!F247</x:f>
        <x:v>0.010809703767393524</x:v>
      </x:c>
      <x:c r="K250" s="2" t="str">
        <x:v>待拆分产品市场</x:v>
      </x:c>
      <x:c r="L250" s="15" t="str">
        <x:v>暂无自动识别标签，仍需核验</x:v>
      </x:c>
      <x:c r="M250" s="2" t="str">
        <x:f>IF(AND(C250&gt;='核验与方法'!$B$7,F250&gt;='核验与方法'!$B$8,G250&gt;='核验与方法'!$B$9,D250&gt;='核验与方法'!$B$10,E250&gt;='核验与方法'!$B$11),"通过需求门槛","未通过需求门槛")</x:f>
        <x:v>未通过需求门槛</x:v>
      </x:c>
      <x:c r="N250" s="2" t="str">
        <x:v>待确认具体产品形态</x:v>
      </x:c>
      <x:c r="O250" s="9" t="n">
        <x:f>G250-'原始数据'!J247</x:f>
        <x:v>0.00008954853170578536</x:v>
      </x:c>
      <x:c r="P250" s="2" t="str">
        <x:v>DATA HOLD</x:v>
      </x:c>
    </x:row>
    <x:row r="251" ht="48" customHeight="1">
      <x:c r="A251" s="2" t="n">
        <x:v>246</x:v>
      </x:c>
      <x:c r="B251" s="2" t="str">
        <x:v>retro phone handset for iphone</x:v>
      </x:c>
      <x:c r="C251" s="10" t="n">
        <x:f>'原始数据'!D248</x:f>
        <x:v>170991</x:v>
      </x:c>
      <x:c r="D251" s="9" t="n">
        <x:f>IF(ISNUMBER('原始数据'!E248),'原始数据'!E248,VALUE(SUBSTITUTE('原始数据'!E248,"'","")))</x:f>
        <x:v>9.1834</x:v>
      </x:c>
      <x:c r="E251" s="9" t="n">
        <x:f>IF(ISNUMBER('原始数据'!H248),'原始数据'!H248,VALUE(SUBSTITUTE('原始数据'!H248,"'","")))</x:f>
        <x:v>11.4069</x:v>
      </x:c>
      <x:c r="F251" s="10" t="n">
        <x:f>'原始数据'!L248</x:f>
        <x:v>1927</x:v>
      </x:c>
      <x:c r="G251" s="9" t="n">
        <x:f>F251/'原始数据'!G248</x:f>
        <x:v>0.024692465402357765</x:v>
      </x:c>
      <x:c r="H251" s="9" t="n">
        <x:f>'原始数据'!P248/'原始数据'!O248</x:f>
        <x:v>0.060092870800327776</x:v>
      </x:c>
      <x:c r="I251" s="9" t="n">
        <x:f>F251/C251</x:f>
        <x:v>0.011269598984741887</x:v>
      </x:c>
      <x:c r="J251" s="9" t="n">
        <x:f>'原始数据'!G248/'原始数据'!F248</x:f>
        <x:v>0.18398110209489502</x:v>
      </x:c>
      <x:c r="K251" s="2" t="str">
        <x:v>待拆分产品市场</x:v>
      </x:c>
      <x:c r="L251" s="15" t="str">
        <x:v>暂无自动识别标签，仍需核验</x:v>
      </x:c>
      <x:c r="M251" s="2" t="str">
        <x:f>IF(AND(C251&gt;='核验与方法'!$B$7,F251&gt;='核验与方法'!$B$8,G251&gt;='核验与方法'!$B$9,D251&gt;='核验与方法'!$B$10,E251&gt;='核验与方法'!$B$11),"通过需求门槛","未通过需求门槛")</x:f>
        <x:v>未通过需求门槛</x:v>
      </x:c>
      <x:c r="N251" s="2" t="str">
        <x:v>待确认具体产品形态</x:v>
      </x:c>
      <x:c r="O251" s="9" t="n">
        <x:f>G251-'原始数据'!J248</x:f>
        <x:v>0.00009246540235776507</x:v>
      </x:c>
      <x:c r="P251" s="2" t="str">
        <x:v>DATA HOLD</x:v>
      </x:c>
    </x:row>
    <x:row r="252" ht="48" customHeight="1">
      <x:c r="A252" s="2" t="n">
        <x:v>247</x:v>
      </x:c>
      <x:c r="B252" s="2" t="str">
        <x:v>protein pasta</x:v>
      </x:c>
      <x:c r="C252" s="10" t="n">
        <x:f>'原始数据'!D249</x:f>
        <x:v>170916</x:v>
      </x:c>
      <x:c r="D252" s="9" t="n">
        <x:f>IF(ISNUMBER('原始数据'!E249),'原始数据'!E249,VALUE(SUBSTITUTE('原始数据'!E249,"'","")))</x:f>
        <x:v>0.0652</x:v>
      </x:c>
      <x:c r="E252" s="9" t="n">
        <x:f>IF(ISNUMBER('原始数据'!H249),'原始数据'!H249,VALUE(SUBSTITUTE('原始数据'!H249,"'","")))</x:f>
        <x:v>0.0713</x:v>
      </x:c>
      <x:c r="F252" s="10" t="n">
        <x:f>'原始数据'!L249</x:f>
        <x:v>20552</x:v>
      </x:c>
      <x:c r="G252" s="9" t="n">
        <x:f>F252/'原始数据'!G249</x:f>
        <x:v>0.24981463248611263</x:v>
      </x:c>
      <x:c r="H252" s="9" t="n">
        <x:f>'原始数据'!P249/'原始数据'!O249</x:f>
        <x:v>0.3917989046482236</x:v>
      </x:c>
      <x:c r="I252" s="9" t="n">
        <x:f>F252/C252</x:f>
        <x:v>0.12024620281307777</x:v>
      </x:c>
      <x:c r="J252" s="9" t="n">
        <x:f>'原始数据'!G249/'原始数据'!F249</x:f>
        <x:v>0.01565815884307506</x:v>
      </x:c>
      <x:c r="K252" s="2" t="str">
        <x:v>专业供给</x:v>
      </x:c>
      <x:c r="L252" s="15" t="str">
        <x:v>食品/补剂或耗材需独立供应链</x:v>
      </x:c>
      <x:c r="M252" s="2" t="str">
        <x:f>IF(AND(C252&gt;='核验与方法'!$B$7,F252&gt;='核验与方法'!$B$8,G252&gt;='核验与方法'!$B$9,D252&gt;='核验与方法'!$B$10,E252&gt;='核验与方法'!$B$11),"通过需求门槛","未通过需求门槛")</x:f>
        <x:v>通过需求门槛</x:v>
      </x:c>
      <x:c r="N252" s="2" t="str">
        <x:v>先核验风险标签</x:v>
      </x:c>
      <x:c r="O252" s="9" t="n">
        <x:f>G252-'原始数据'!J249</x:f>
        <x:v>0.000014632486112636789</x:v>
      </x:c>
      <x:c r="P252" s="2" t="str">
        <x:v>DATA HOLD</x:v>
      </x:c>
    </x:row>
    <x:row r="253" ht="48" customHeight="1">
      <x:c r="A253" s="2" t="n">
        <x:v>248</x:v>
      </x:c>
      <x:c r="B253" s="2" t="str">
        <x:v>my mini baby</x:v>
      </x:c>
      <x:c r="C253" s="10" t="n">
        <x:f>'原始数据'!D250</x:f>
        <x:v>170809</x:v>
      </x:c>
      <x:c r="D253" s="9" t="n">
        <x:f>IF(ISNUMBER('原始数据'!E250),'原始数据'!E250,VALUE(SUBSTITUTE('原始数据'!E250,"'","")))</x:f>
        <x:v>0.0701</x:v>
      </x:c>
      <x:c r="E253" s="9" t="n">
        <x:f>IF(ISNUMBER('原始数据'!H250),'原始数据'!H250,VALUE(SUBSTITUTE('原始数据'!H250,"'","")))</x:f>
        <x:v>0.0595</x:v>
      </x:c>
      <x:c r="F253" s="10" t="n">
        <x:f>'原始数据'!L250</x:f>
        <x:v>4798</x:v>
      </x:c>
      <x:c r="G253" s="9" t="n">
        <x:f>F253/'原始数据'!G250</x:f>
        <x:v>0.04802418224766786</x:v>
      </x:c>
      <x:c r="H253" s="9" t="n">
        <x:f>'原始数据'!P250/'原始数据'!O250</x:f>
        <x:v>0.15578060992262174</x:v>
      </x:c>
      <x:c r="I253" s="9" t="n">
        <x:f>F253/C253</x:f>
        <x:v>0.028089854750042446</x:v>
      </x:c>
      <x:c r="J253" s="9" t="n">
        <x:f>'原始数据'!G250/'原始数据'!F250</x:f>
        <x:v>0.02950894722929038</x:v>
      </x:c>
      <x:c r="K253" s="2" t="str">
        <x:v>待拆分产品市场</x:v>
      </x:c>
      <x:c r="L253" s="15" t="str">
        <x:v>暂无自动识别标签，仍需核验</x:v>
      </x:c>
      <x:c r="M253" s="2" t="str">
        <x:f>IF(AND(C253&gt;='核验与方法'!$B$7,F253&gt;='核验与方法'!$B$8,G253&gt;='核验与方法'!$B$9,D253&gt;='核验与方法'!$B$10,E253&gt;='核验与方法'!$B$11),"通过需求门槛","未通过需求门槛")</x:f>
        <x:v>未通过需求门槛</x:v>
      </x:c>
      <x:c r="N253" s="2" t="str">
        <x:v>待确认具体产品形态</x:v>
      </x:c>
      <x:c r="O253" s="9" t="n">
        <x:f>G253-'原始数据'!J250</x:f>
        <x:v>0.000024182247667856038</x:v>
      </x:c>
      <x:c r="P253" s="2" t="str">
        <x:v>DATA HOLD</x:v>
      </x:c>
    </x:row>
    <x:row r="254" ht="48" customHeight="1">
      <x:c r="A254" s="2" t="n">
        <x:v>249</x:v>
      </x:c>
      <x:c r="B254" s="2" t="str">
        <x:v>beer</x:v>
      </x:c>
      <x:c r="C254" s="10" t="n">
        <x:f>'原始数据'!D251</x:f>
        <x:v>170727</x:v>
      </x:c>
      <x:c r="D254" s="9" t="n">
        <x:f>IF(ISNUMBER('原始数据'!E251),'原始数据'!E251,VALUE(SUBSTITUTE('原始数据'!E251,"'","")))</x:f>
        <x:v>0.0509</x:v>
      </x:c>
      <x:c r="E254" s="9" t="n">
        <x:f>IF(ISNUMBER('原始数据'!H251),'原始数据'!H251,VALUE(SUBSTITUTE('原始数据'!H251,"'","")))</x:f>
        <x:v>0.0725</x:v>
      </x:c>
      <x:c r="F254" s="10" t="n">
        <x:f>'原始数据'!L251</x:f>
        <x:v>5916</x:v>
      </x:c>
      <x:c r="G254" s="9" t="n">
        <x:f>F254/'原始数据'!G251</x:f>
        <x:v>0.20764451932189112</x:v>
      </x:c>
      <x:c r="H254" s="9" t="n">
        <x:f>'原始数据'!P251/'原始数据'!O251</x:f>
        <x:v>0.3187336184301283</x:v>
      </x:c>
      <x:c r="I254" s="9" t="n">
        <x:f>F254/C254</x:f>
        <x:v>0.03465181254283154</x:v>
      </x:c>
      <x:c r="J254" s="9" t="n">
        <x:f>'原始数据'!G251/'原始数据'!F251</x:f>
        <x:v>0.010910252251955563</x:v>
      </x:c>
      <x:c r="K254" s="2" t="str">
        <x:v>专业供给</x:v>
      </x:c>
      <x:c r="L254" s="15" t="str">
        <x:v>食品/补剂或耗材需独立供应链</x:v>
      </x:c>
      <x:c r="M254" s="2" t="str">
        <x:f>IF(AND(C254&gt;='核验与方法'!$B$7,F254&gt;='核验与方法'!$B$8,G254&gt;='核验与方法'!$B$9,D254&gt;='核验与方法'!$B$10,E254&gt;='核验与方法'!$B$11),"通过需求门槛","未通过需求门槛")</x:f>
        <x:v>通过需求门槛</x:v>
      </x:c>
      <x:c r="N254" s="2" t="str">
        <x:v>先核验风险标签</x:v>
      </x:c>
      <x:c r="O254" s="9" t="n">
        <x:f>G254-'原始数据'!J251</x:f>
        <x:v>0.000044519321891117736</x:v>
      </x:c>
      <x:c r="P254" s="2" t="str">
        <x:v>DATA HOLD</x:v>
      </x:c>
    </x:row>
    <x:row r="255" ht="48" customHeight="1">
      <x:c r="A255" s="2" t="n">
        <x:v>250</x:v>
      </x:c>
      <x:c r="B255" s="2" t="str">
        <x:v>brown skirt</x:v>
      </x:c>
      <x:c r="C255" s="10" t="n">
        <x:f>'原始数据'!D252</x:f>
        <x:v>170544</x:v>
      </x:c>
      <x:c r="D255" s="9" t="n">
        <x:f>IF(ISNUMBER('原始数据'!E252),'原始数据'!E252,VALUE(SUBSTITUTE('原始数据'!E252,"'","")))</x:f>
        <x:v>0.6496</x:v>
      </x:c>
      <x:c r="E255" s="9" t="n">
        <x:f>IF(ISNUMBER('原始数据'!H252),'原始数据'!H252,VALUE(SUBSTITUTE('原始数据'!H252,"'","")))</x:f>
        <x:v>0.7481</x:v>
      </x:c>
      <x:c r="F255" s="10" t="n">
        <x:f>'原始数据'!L252</x:f>
        <x:v>899</x:v>
      </x:c>
      <x:c r="G255" s="9" t="n">
        <x:f>F255/'原始数据'!G252</x:f>
        <x:v>0.019421460822225584</x:v>
      </x:c>
      <x:c r="H255" s="9" t="n">
        <x:f>'原始数据'!P252/'原始数据'!O252</x:f>
        <x:v>0.11990341875651649</x:v>
      </x:c>
      <x:c r="I255" s="9" t="n">
        <x:f>F255/C255</x:f>
        <x:v>0.005271366919973731</x:v>
      </x:c>
      <x:c r="J255" s="9" t="n">
        <x:f>'原始数据'!G252/'原始数据'!F252</x:f>
        <x:v>0.012395576592875376</x:v>
      </x:c>
      <x:c r="K255" s="2" t="str">
        <x:v>待拆分产品市场</x:v>
      </x:c>
      <x:c r="L255" s="15" t="str">
        <x:v>尺码/颜色变体及退货待核验</x:v>
      </x:c>
      <x:c r="M255" s="2" t="str">
        <x:f>IF(AND(C255&gt;='核验与方法'!$B$7,F255&gt;='核验与方法'!$B$8,G255&gt;='核验与方法'!$B$9,D255&gt;='核验与方法'!$B$10,E255&gt;='核验与方法'!$B$11),"通过需求门槛","未通过需求门槛")</x:f>
        <x:v>未通过需求门槛</x:v>
      </x:c>
      <x:c r="N255" s="2" t="str">
        <x:v>先核验风险标签</x:v>
      </x:c>
      <x:c r="O255" s="9" t="n">
        <x:f>G255-'原始数据'!J252</x:f>
        <x:v>0.00002146082222558368</x:v>
      </x:c>
      <x:c r="P255" s="2" t="str">
        <x:v>DATA HOLD</x:v>
      </x:c>
    </x:row>
    <x:row r="256" ht="48" customHeight="1">
      <x:c r="A256" s="2" t="n">
        <x:v>251</x:v>
      </x:c>
      <x:c r="B256" s="2" t="str">
        <x:v>wine</x:v>
      </x:c>
      <x:c r="C256" s="10" t="n">
        <x:f>'原始数据'!D253</x:f>
        <x:v>170294</x:v>
      </x:c>
      <x:c r="D256" s="9" t="n">
        <x:f>IF(ISNUMBER('原始数据'!E253),'原始数据'!E253,VALUE(SUBSTITUTE('原始数据'!E253,"'","")))</x:f>
        <x:v>0.4671</x:v>
      </x:c>
      <x:c r="E256" s="9" t="n">
        <x:f>IF(ISNUMBER('原始数据'!H253),'原始数据'!H253,VALUE(SUBSTITUTE('原始数据'!H253,"'","")))</x:f>
        <x:v>0.4675</x:v>
      </x:c>
      <x:c r="F256" s="10" t="n">
        <x:f>'原始数据'!L253</x:f>
        <x:v>4756</x:v>
      </x:c>
      <x:c r="G256" s="9" t="n">
        <x:f>F256/'原始数据'!G253</x:f>
        <x:v>0.16124766909645702</x:v>
      </x:c>
      <x:c r="H256" s="9" t="n">
        <x:f>'原始数据'!P253/'原始数据'!O253</x:f>
        <x:v>0.27963800904977376</x:v>
      </x:c>
      <x:c r="I256" s="9" t="n">
        <x:f>F256/C256</x:f>
        <x:v>0.027928171280256497</x:v>
      </x:c>
      <x:c r="J256" s="9" t="n">
        <x:f>'原始数据'!G253/'原始数据'!F253</x:f>
        <x:v>0.015103721266060025</x:v>
      </x:c>
      <x:c r="K256" s="2" t="str">
        <x:v>专业供给</x:v>
      </x:c>
      <x:c r="L256" s="15" t="str">
        <x:v>食品/补剂或耗材需独立供应链</x:v>
      </x:c>
      <x:c r="M256" s="2" t="str">
        <x:f>IF(AND(C256&gt;='核验与方法'!$B$7,F256&gt;='核验与方法'!$B$8,G256&gt;='核验与方法'!$B$9,D256&gt;='核验与方法'!$B$10,E256&gt;='核验与方法'!$B$11),"通过需求门槛","未通过需求门槛")</x:f>
        <x:v>通过需求门槛</x:v>
      </x:c>
      <x:c r="N256" s="2" t="str">
        <x:v>先核验风险标签</x:v>
      </x:c>
      <x:c r="O256" s="9" t="n">
        <x:f>G256-'原始数据'!J253</x:f>
        <x:v>0.00004766909645700923</x:v>
      </x:c>
      <x:c r="P256" s="2" t="str">
        <x:v>DATA HOLD</x:v>
      </x:c>
    </x:row>
    <x:row r="257" ht="48" customHeight="1">
      <x:c r="A257" s="2" t="n">
        <x:v>252</x:v>
      </x:c>
      <x:c r="B257" s="2" t="str">
        <x:v>petite dresses for women 5 ft</x:v>
      </x:c>
      <x:c r="C257" s="10" t="n">
        <x:f>'原始数据'!D254</x:f>
        <x:v>170223</x:v>
      </x:c>
      <x:c r="D257" s="9" t="n">
        <x:f>IF(ISNUMBER('原始数据'!E254),'原始数据'!E254,VALUE(SUBSTITUTE('原始数据'!E254,"'","")))</x:f>
        <x:v>-0.0305</x:v>
      </x:c>
      <x:c r="E257" s="9" t="n">
        <x:f>IF(ISNUMBER('原始数据'!H254),'原始数据'!H254,VALUE(SUBSTITUTE('原始数据'!H254,"'","")))</x:f>
        <x:v>-0.0288</x:v>
      </x:c>
      <x:c r="F257" s="10" t="n">
        <x:f>'原始数据'!L254</x:f>
        <x:v>252</x:v>
      </x:c>
      <x:c r="G257" s="9" t="n">
        <x:f>F257/'原始数据'!G254</x:f>
        <x:v>0.005175813342096615</x:v>
      </x:c>
      <x:c r="H257" s="9" t="n">
        <x:f>'原始数据'!P254/'原始数据'!O254</x:f>
        <x:v>0.08925925925925926</x:v>
      </x:c>
      <x:c r="I257" s="9" t="n">
        <x:f>F257/C257</x:f>
        <x:v>0.0014804109902892089</x:v>
      </x:c>
      <x:c r="J257" s="9" t="n">
        <x:f>'原始数据'!G254/'原始数据'!F254</x:f>
        <x:v>0.00760990306470215</x:v>
      </x:c>
      <x:c r="K257" s="2" t="str">
        <x:v>待拆分产品市场</x:v>
      </x:c>
      <x:c r="L257" s="15" t="str">
        <x:v>尺码/颜色变体及退货待核验</x:v>
      </x:c>
      <x:c r="M257" s="2" t="str">
        <x:f>IF(AND(C257&gt;='核验与方法'!$B$7,F257&gt;='核验与方法'!$B$8,G257&gt;='核验与方法'!$B$9,D257&gt;='核验与方法'!$B$10,E257&gt;='核验与方法'!$B$11),"通过需求门槛","未通过需求门槛")</x:f>
        <x:v>未通过需求门槛</x:v>
      </x:c>
      <x:c r="N257" s="2" t="str">
        <x:v>先核验风险标签</x:v>
      </x:c>
      <x:c r="O257" s="9" t="n">
        <x:f>G257-'原始数据'!J254</x:f>
        <x:v>0.00007581334209661502</x:v>
      </x:c>
      <x:c r="P257" s="2" t="str">
        <x:v>DATA HOLD</x:v>
      </x:c>
    </x:row>
    <x:row r="258" ht="48" customHeight="1">
      <x:c r="A258" s="2" t="n">
        <x:v>253</x:v>
      </x:c>
      <x:c r="B258" s="2" t="str">
        <x:v>compression socks for flying</x:v>
      </x:c>
      <x:c r="C258" s="10" t="n">
        <x:f>'原始数据'!D255</x:f>
        <x:v>169802</x:v>
      </x:c>
      <x:c r="D258" s="9" t="n">
        <x:f>IF(ISNUMBER('原始数据'!E255),'原始数据'!E255,VALUE(SUBSTITUTE('原始数据'!E255,"'","")))</x:f>
        <x:v>0.1828</x:v>
      </x:c>
      <x:c r="E258" s="9" t="n">
        <x:f>IF(ISNUMBER('原始数据'!H255),'原始数据'!H255,VALUE(SUBSTITUTE('原始数据'!H255,"'","")))</x:f>
        <x:v>0.2157</x:v>
      </x:c>
      <x:c r="F258" s="10" t="n">
        <x:f>'原始数据'!L255</x:f>
        <x:v>5617</x:v>
      </x:c>
      <x:c r="G258" s="9" t="n">
        <x:f>F258/'原始数据'!G255</x:f>
        <x:v>0.07347093601213833</x:v>
      </x:c>
      <x:c r="H258" s="9" t="n">
        <x:f>'原始数据'!P255/'原始数据'!O255</x:f>
        <x:v>0.3261721218248452</x:v>
      </x:c>
      <x:c r="I258" s="9" t="n">
        <x:f>F258/C258</x:f>
        <x:v>0.033079704597118995</x:v>
      </x:c>
      <x:c r="J258" s="9" t="n">
        <x:f>'原始数据'!G255/'原始数据'!F255</x:f>
        <x:v>0.01357882447932476</x:v>
      </x:c>
      <x:c r="K258" s="2" t="str">
        <x:v>待拆分产品市场</x:v>
      </x:c>
      <x:c r="L258" s="15" t="str">
        <x:v>尺码/颜色变体及退货待核验</x:v>
      </x:c>
      <x:c r="M258" s="2" t="str">
        <x:f>IF(AND(C258&gt;='核验与方法'!$B$7,F258&gt;='核验与方法'!$B$8,G258&gt;='核验与方法'!$B$9,D258&gt;='核验与方法'!$B$10,E258&gt;='核验与方法'!$B$11),"通过需求门槛","未通过需求门槛")</x:f>
        <x:v>通过需求门槛</x:v>
      </x:c>
      <x:c r="N258" s="2" t="str">
        <x:v>先核验风险标签</x:v>
      </x:c>
      <x:c r="O258" s="9" t="n">
        <x:f>G258-'原始数据'!J255</x:f>
        <x:v>0.00007093601213832568</x:v>
      </x:c>
      <x:c r="P258" s="2" t="str">
        <x:v>DATA HOLD</x:v>
      </x:c>
    </x:row>
    <x:row r="259" ht="48" customHeight="1">
      <x:c r="A259" s="2" t="n">
        <x:v>254</x:v>
      </x:c>
      <x:c r="B259" s="2" t="str">
        <x:v>wall decor for bedroom</x:v>
      </x:c>
      <x:c r="C259" s="10" t="n">
        <x:f>'原始数据'!D256</x:f>
        <x:v>169727</x:v>
      </x:c>
      <x:c r="D259" s="9" t="n">
        <x:f>IF(ISNUMBER('原始数据'!E256),'原始数据'!E256,VALUE(SUBSTITUTE('原始数据'!E256,"'","")))</x:f>
        <x:v>-0.1763</x:v>
      </x:c>
      <x:c r="E259" s="9" t="n">
        <x:f>IF(ISNUMBER('原始数据'!H256),'原始数据'!H256,VALUE(SUBSTITUTE('原始数据'!H256,"'","")))</x:f>
        <x:v>-0.1683</x:v>
      </x:c>
      <x:c r="F259" s="10" t="n">
        <x:f>'原始数据'!L256</x:f>
        <x:v>781</x:v>
      </x:c>
      <x:c r="G259" s="9" t="n">
        <x:f>F259/'原始数据'!G256</x:f>
        <x:v>0.017416319157951075</x:v>
      </x:c>
      <x:c r="H259" s="9" t="n">
        <x:f>'原始数据'!P256/'原始数据'!O256</x:f>
        <x:v>0.05383657438451959</x:v>
      </x:c>
      <x:c r="I259" s="9" t="n">
        <x:f>F259/C259</x:f>
        <x:v>0.0046015071261496406</x:v>
      </x:c>
      <x:c r="J259" s="9" t="n">
        <x:f>'原始数据'!G256/'原始数据'!F256</x:f>
        <x:v>0.008032474533439207</x:v>
      </x:c>
      <x:c r="K259" s="2" t="str">
        <x:v>待拆分产品市场</x:v>
      </x:c>
      <x:c r="L259" s="15" t="str">
        <x:v>暂无自动识别标签，仍需核验</x:v>
      </x:c>
      <x:c r="M259" s="2" t="str">
        <x:f>IF(AND(C259&gt;='核验与方法'!$B$7,F259&gt;='核验与方法'!$B$8,G259&gt;='核验与方法'!$B$9,D259&gt;='核验与方法'!$B$10,E259&gt;='核验与方法'!$B$11),"通过需求门槛","未通过需求门槛")</x:f>
        <x:v>未通过需求门槛</x:v>
      </x:c>
      <x:c r="N259" s="2" t="str">
        <x:v>待确认具体产品形态</x:v>
      </x:c>
      <x:c r="O259" s="9" t="n">
        <x:f>G259-'原始数据'!J256</x:f>
        <x:v>0.00001631915795107658</x:v>
      </x:c>
      <x:c r="P259" s="2" t="str">
        <x:v>DATA HOLD</x:v>
      </x:c>
    </x:row>
    <x:row r="260" ht="48" customHeight="1">
      <x:c r="A260" s="2" t="n">
        <x:v>255</x:v>
      </x:c>
      <x:c r="B260" s="2" t="str">
        <x:v>onion powder</x:v>
      </x:c>
      <x:c r="C260" s="10" t="n">
        <x:f>'原始数据'!D257</x:f>
        <x:v>168827</x:v>
      </x:c>
      <x:c r="D260" s="9" t="n">
        <x:f>IF(ISNUMBER('原始数据'!E257),'原始数据'!E257,VALUE(SUBSTITUTE('原始数据'!E257,"'","")))</x:f>
        <x:v>0.1322</x:v>
      </x:c>
      <x:c r="E260" s="9" t="n">
        <x:f>IF(ISNUMBER('原始数据'!H257),'原始数据'!H257,VALUE(SUBSTITUTE('原始数据'!H257,"'","")))</x:f>
        <x:v>0.1157</x:v>
      </x:c>
      <x:c r="F260" s="10" t="n">
        <x:f>'原始数据'!L257</x:f>
        <x:v>44786</x:v>
      </x:c>
      <x:c r="G260" s="9" t="n">
        <x:f>F260/'原始数据'!G257</x:f>
        <x:v>0.42113478645177066</x:v>
      </x:c>
      <x:c r="H260" s="9" t="n">
        <x:f>'原始数据'!P257/'原始数据'!O257</x:f>
        <x:v>0.5447716025207391</x:v>
      </x:c>
      <x:c r="I260" s="9" t="n">
        <x:f>F260/C260</x:f>
        <x:v>0.26527747338991986</x:v>
      </x:c>
      <x:c r="J260" s="9" t="n">
        <x:f>'原始数据'!G257/'原始数据'!F257</x:f>
        <x:v>0.019677098418982353</x:v>
      </x:c>
      <x:c r="K260" s="2" t="str">
        <x:v>专业供给</x:v>
      </x:c>
      <x:c r="L260" s="15" t="str">
        <x:v>食品/补剂或耗材需独立供应链</x:v>
      </x:c>
      <x:c r="M260" s="2" t="str">
        <x:f>IF(AND(C260&gt;='核验与方法'!$B$7,F260&gt;='核验与方法'!$B$8,G260&gt;='核验与方法'!$B$9,D260&gt;='核验与方法'!$B$10,E260&gt;='核验与方法'!$B$11),"通过需求门槛","未通过需求门槛")</x:f>
        <x:v>通过需求门槛</x:v>
      </x:c>
      <x:c r="N260" s="2" t="str">
        <x:v>先核验风险标签</x:v>
      </x:c>
      <x:c r="O260" s="9" t="n">
        <x:f>G260-'原始数据'!J257</x:f>
        <x:v>0.00003478645177068529</x:v>
      </x:c>
      <x:c r="P260" s="2" t="str">
        <x:v>DATA HOLD</x:v>
      </x:c>
    </x:row>
    <x:row r="261" ht="48" customHeight="1">
      <x:c r="A261" s="2" t="n">
        <x:v>256</x:v>
      </x:c>
      <x:c r="B261" s="2" t="str">
        <x:v>basil</x:v>
      </x:c>
      <x:c r="C261" s="10" t="n">
        <x:f>'原始数据'!D258</x:f>
        <x:v>168632</x:v>
      </x:c>
      <x:c r="D261" s="9" t="n">
        <x:f>IF(ISNUMBER('原始数据'!E258),'原始数据'!E258,VALUE(SUBSTITUTE('原始数据'!E258,"'","")))</x:f>
        <x:v>0.0807</x:v>
      </x:c>
      <x:c r="E261" s="9" t="n">
        <x:f>IF(ISNUMBER('原始数据'!H258),'原始数据'!H258,VALUE(SUBSTITUTE('原始数据'!H258,"'","")))</x:f>
        <x:v>-0.0035</x:v>
      </x:c>
      <x:c r="F261" s="10" t="n">
        <x:f>'原始数据'!L258</x:f>
        <x:v>45108</x:v>
      </x:c>
      <x:c r="G261" s="9" t="n">
        <x:f>F261/'原始数据'!G258</x:f>
        <x:v>0.5105082674090925</x:v>
      </x:c>
      <x:c r="H261" s="9" t="n">
        <x:f>'原始数据'!P258/'原始数据'!O258</x:f>
        <x:v>0.6240719131092674</x:v>
      </x:c>
      <x:c r="I261" s="9" t="n">
        <x:f>F261/C261</x:f>
        <x:v>0.2674937141230609</x:v>
      </x:c>
      <x:c r="J261" s="9" t="n">
        <x:f>'原始数据'!G258/'原始数据'!F258</x:f>
        <x:v>0.023552043381457062</x:v>
      </x:c>
      <x:c r="K261" s="2" t="str">
        <x:v>专业供给</x:v>
      </x:c>
      <x:c r="L261" s="15" t="str">
        <x:v>食品/补剂或耗材需独立供应链</x:v>
      </x:c>
      <x:c r="M261" s="2" t="str">
        <x:f>IF(AND(C261&gt;='核验与方法'!$B$7,F261&gt;='核验与方法'!$B$8,G261&gt;='核验与方法'!$B$9,D261&gt;='核验与方法'!$B$10,E261&gt;='核验与方法'!$B$11),"通过需求门槛","未通过需求门槛")</x:f>
        <x:v>未通过需求门槛</x:v>
      </x:c>
      <x:c r="N261" s="2" t="str">
        <x:v>先核验风险标签</x:v>
      </x:c>
      <x:c r="O261" s="9" t="n">
        <x:f>G261-'原始数据'!J258</x:f>
        <x:v>0.000008267409092543865</x:v>
      </x:c>
      <x:c r="P261" s="2" t="str">
        <x:v>DATA HOLD</x:v>
      </x:c>
    </x:row>
    <x:row r="262" ht="48" customHeight="1">
      <x:c r="A262" s="2" t="n">
        <x:v>257</x:v>
      </x:c>
      <x:c r="B262" s="2" t="str">
        <x:v>red sandals for women</x:v>
      </x:c>
      <x:c r="C262" s="10" t="n">
        <x:f>'原始数据'!D259</x:f>
        <x:v>168543</x:v>
      </x:c>
      <x:c r="D262" s="9" t="n">
        <x:f>IF(ISNUMBER('原始数据'!E259),'原始数据'!E259,VALUE(SUBSTITUTE('原始数据'!E259,"'","")))</x:f>
        <x:v>-0.2754</x:v>
      </x:c>
      <x:c r="E262" s="9" t="n">
        <x:f>IF(ISNUMBER('原始数据'!H259),'原始数据'!H259,VALUE(SUBSTITUTE('原始数据'!H259,"'","")))</x:f>
        <x:v>-0.2937</x:v>
      </x:c>
      <x:c r="F262" s="10" t="n">
        <x:f>'原始数据'!L259</x:f>
        <x:v>543</x:v>
      </x:c>
      <x:c r="G262" s="9" t="n">
        <x:f>F262/'原始数据'!G259</x:f>
        <x:v>0.012612361507908856</x:v>
      </x:c>
      <x:c r="H262" s="9" t="n">
        <x:f>'原始数据'!P259/'原始数据'!O259</x:f>
        <x:v>0.1252827627808777</x:v>
      </x:c>
      <x:c r="I262" s="9" t="n">
        <x:f>F262/C262</x:f>
        <x:v>0.003221729766291095</x:v>
      </x:c>
      <x:c r="J262" s="9" t="n">
        <x:f>'原始数据'!G259/'原始数据'!F259</x:f>
        <x:v>0.005105066327443529</x:v>
      </x:c>
      <x:c r="K262" s="2" t="str">
        <x:v>待拆分产品市场</x:v>
      </x:c>
      <x:c r="L262" s="15" t="str">
        <x:v>尺码/颜色变体及退货待核验</x:v>
      </x:c>
      <x:c r="M262" s="2" t="str">
        <x:f>IF(AND(C262&gt;='核验与方法'!$B$7,F262&gt;='核验与方法'!$B$8,G262&gt;='核验与方法'!$B$9,D262&gt;='核验与方法'!$B$10,E262&gt;='核验与方法'!$B$11),"通过需求门槛","未通过需求门槛")</x:f>
        <x:v>未通过需求门槛</x:v>
      </x:c>
      <x:c r="N262" s="2" t="str">
        <x:v>先核验风险标签</x:v>
      </x:c>
      <x:c r="O262" s="9" t="n">
        <x:f>G262-'原始数据'!J259</x:f>
        <x:v>0.000012361507908856262</x:v>
      </x:c>
      <x:c r="P262" s="2" t="str">
        <x:v>DATA HOLD</x:v>
      </x:c>
    </x:row>
    <x:row r="263" ht="48" customHeight="1">
      <x:c r="A263" s="2" t="n">
        <x:v>258</x:v>
      </x:c>
      <x:c r="B263" s="2" t="str">
        <x:v>halloween sweaters for women</x:v>
      </x:c>
      <x:c r="C263" s="10" t="n">
        <x:f>'原始数据'!D260</x:f>
        <x:v>168152</x:v>
      </x:c>
      <x:c r="D263" s="9" t="n">
        <x:f>IF(ISNUMBER('原始数据'!E260),'原始数据'!E260,VALUE(SUBSTITUTE('原始数据'!E260,"'","")))</x:f>
        <x:v>1.9793</x:v>
      </x:c>
      <x:c r="E263" s="9" t="n">
        <x:f>IF(ISNUMBER('原始数据'!H260),'原始数据'!H260,VALUE(SUBSTITUTE('原始数据'!H260,"'","")))</x:f>
        <x:v>1.927</x:v>
      </x:c>
      <x:c r="F263" s="10" t="n">
        <x:f>'原始数据'!L260</x:f>
        <x:v>914</x:v>
      </x:c>
      <x:c r="G263" s="9" t="n">
        <x:f>F263/'原始数据'!G260</x:f>
        <x:v>0.017530736329286305</x:v>
      </x:c>
      <x:c r="H263" s="9" t="n">
        <x:f>'原始数据'!P260/'原始数据'!O260</x:f>
        <x:v>0.09316060201943227</x:v>
      </x:c>
      <x:c r="I263" s="9" t="n">
        <x:f>F263/C263</x:f>
        <x:v>0.005435558304391265</x:v>
      </x:c>
      <x:c r="J263" s="9" t="n">
        <x:f>'原始数据'!G260/'原始数据'!F260</x:f>
        <x:v>0.01919378518510883</x:v>
      </x:c>
      <x:c r="K263" s="2" t="str">
        <x:v>待拆分产品市场</x:v>
      </x:c>
      <x:c r="L263" s="15" t="str">
        <x:v>季节/事件影响待核验；尺码/颜色变体及退货待核验</x:v>
      </x:c>
      <x:c r="M263" s="2" t="str">
        <x:f>IF(AND(C263&gt;='核验与方法'!$B$7,F263&gt;='核验与方法'!$B$8,G263&gt;='核验与方法'!$B$9,D263&gt;='核验与方法'!$B$10,E263&gt;='核验与方法'!$B$11),"通过需求门槛","未通过需求门槛")</x:f>
        <x:v>未通过需求门槛</x:v>
      </x:c>
      <x:c r="N263" s="2" t="str">
        <x:v>先核验风险标签</x:v>
      </x:c>
      <x:c r="O263" s="9" t="n">
        <x:f>G263-'原始数据'!J260</x:f>
        <x:v>0.000030736329286303044</x:v>
      </x:c>
      <x:c r="P263" s="2" t="str">
        <x:v>DATA HOLD</x:v>
      </x:c>
    </x:row>
    <x:row r="264" ht="48" customHeight="1">
      <x:c r="A264" s="2" t="n">
        <x:v>259</x:v>
      </x:c>
      <x:c r="B264" s="2" t="str">
        <x:v>starter</x:v>
      </x:c>
      <x:c r="C264" s="10" t="n">
        <x:f>'原始数据'!D261</x:f>
        <x:v>168084</x:v>
      </x:c>
      <x:c r="D264" s="9" t="n">
        <x:f>IF(ISNUMBER('原始数据'!E261),'原始数据'!E261,VALUE(SUBSTITUTE('原始数据'!E261,"'","")))</x:f>
        <x:v>0.0621</x:v>
      </x:c>
      <x:c r="E264" s="9" t="n">
        <x:f>IF(ISNUMBER('原始数据'!H261),'原始数据'!H261,VALUE(SUBSTITUTE('原始数据'!H261,"'","")))</x:f>
        <x:v>0.0987</x:v>
      </x:c>
      <x:c r="F264" s="10" t="n">
        <x:f>'原始数据'!L261</x:f>
        <x:v>5330</x:v>
      </x:c>
      <x:c r="G264" s="9" t="n">
        <x:f>F264/'原始数据'!G261</x:f>
        <x:v>0.10111741382254179</x:v>
      </x:c>
      <x:c r="H264" s="9" t="n">
        <x:f>'原始数据'!P261/'原始数据'!O261</x:f>
        <x:v>0.2449279623640106</x:v>
      </x:c>
      <x:c r="I264" s="9" t="n">
        <x:f>F264/C264</x:f>
        <x:v>0.03171033530853621</x:v>
      </x:c>
      <x:c r="J264" s="9" t="n">
        <x:f>'原始数据'!G261/'原始数据'!F261</x:f>
        <x:v>0.015474016709624767</x:v>
      </x:c>
      <x:c r="K264" s="2" t="str">
        <x:v>待拆分产品市场</x:v>
      </x:c>
      <x:c r="L264" s="15" t="str">
        <x:v>暂无自动识别标签，仍需核验</x:v>
      </x:c>
      <x:c r="M264" s="2" t="str">
        <x:f>IF(AND(C264&gt;='核验与方法'!$B$7,F264&gt;='核验与方法'!$B$8,G264&gt;='核验与方法'!$B$9,D264&gt;='核验与方法'!$B$10,E264&gt;='核验与方法'!$B$11),"通过需求门槛","未通过需求门槛")</x:f>
        <x:v>通过需求门槛</x:v>
      </x:c>
      <x:c r="N264" s="2" t="str">
        <x:v>待确认具体产品形态</x:v>
      </x:c>
      <x:c r="O264" s="9" t="n">
        <x:f>G264-'原始数据'!J261</x:f>
        <x:v>0.000017413822541792467</x:v>
      </x:c>
      <x:c r="P264" s="2" t="str">
        <x:v>DATA HOLD</x:v>
      </x:c>
    </x:row>
    <x:row r="265" ht="48" customHeight="1">
      <x:c r="A265" s="2" t="n">
        <x:v>260</x:v>
      </x:c>
      <x:c r="B265" s="2" t="str">
        <x:v>cute keychain</x:v>
      </x:c>
      <x:c r="C265" s="10" t="n">
        <x:f>'原始数据'!D262</x:f>
        <x:v>168075</x:v>
      </x:c>
      <x:c r="D265" s="9" t="n">
        <x:f>IF(ISNUMBER('原始数据'!E262),'原始数据'!E262,VALUE(SUBSTITUTE('原始数据'!E262,"'","")))</x:f>
        <x:v>-0.3003</x:v>
      </x:c>
      <x:c r="E265" s="9" t="n">
        <x:f>IF(ISNUMBER('原始数据'!H262),'原始数据'!H262,VALUE(SUBSTITUTE('原始数据'!H262,"'","")))</x:f>
        <x:v>-0.304</x:v>
      </x:c>
      <x:c r="F265" s="10" t="n">
        <x:f>'原始数据'!L262</x:f>
        <x:v>1735</x:v>
      </x:c>
      <x:c r="G265" s="9" t="n">
        <x:f>F265/'原始数据'!G262</x:f>
        <x:v>0.035318066157760813</x:v>
      </x:c>
      <x:c r="H265" s="9" t="n">
        <x:f>'原始数据'!P262/'原始数据'!O262</x:f>
        <x:v>0.1325608890990778</x:v>
      </x:c>
      <x:c r="I265" s="9" t="n">
        <x:f>F265/C265</x:f>
        <x:v>0.010322772571768555</x:v>
      </x:c>
      <x:c r="J265" s="9" t="n">
        <x:f>'原始数据'!G262/'原始数据'!F262</x:f>
        <x:v>0.009913387765315553</x:v>
      </x:c>
      <x:c r="K265" s="2" t="str">
        <x:v>待拆分产品市场</x:v>
      </x:c>
      <x:c r="L265" s="15" t="str">
        <x:v>暂无自动识别标签，仍需核验</x:v>
      </x:c>
      <x:c r="M265" s="2" t="str">
        <x:f>IF(AND(C265&gt;='核验与方法'!$B$7,F265&gt;='核验与方法'!$B$8,G265&gt;='核验与方法'!$B$9,D265&gt;='核验与方法'!$B$10,E265&gt;='核验与方法'!$B$11),"通过需求门槛","未通过需求门槛")</x:f>
        <x:v>未通过需求门槛</x:v>
      </x:c>
      <x:c r="N265" s="2" t="str">
        <x:v>待确认具体产品形态</x:v>
      </x:c>
      <x:c r="O265" s="9" t="n">
        <x:f>G265-'原始数据'!J262</x:f>
        <x:v>0.000018066157760815438</x:v>
      </x:c>
      <x:c r="P265" s="2" t="str">
        <x:v>DATA HOLD</x:v>
      </x:c>
    </x:row>
    <x:row r="266" ht="48" customHeight="1">
      <x:c r="A266" s="2" t="n">
        <x:v>261</x:v>
      </x:c>
      <x:c r="B266" s="2" t="str">
        <x:v>ascended heroes pokemon</x:v>
      </x:c>
      <x:c r="C266" s="10" t="n">
        <x:f>'原始数据'!D263</x:f>
        <x:v>167899</x:v>
      </x:c>
      <x:c r="D266" s="9" t="n">
        <x:f>IF(ISNUMBER('原始数据'!E263),'原始数据'!E263,VALUE(SUBSTITUTE('原始数据'!E263,"'","")))</x:f>
        <x:v>-0.0158</x:v>
      </x:c>
      <x:c r="E266" s="9" t="n">
        <x:f>IF(ISNUMBER('原始数据'!H263),'原始数据'!H263,VALUE(SUBSTITUTE('原始数据'!H263,"'","")))</x:f>
        <x:v>-0.0235</x:v>
      </x:c>
      <x:c r="F266" s="10" t="n">
        <x:f>'原始数据'!L263</x:f>
        <x:v>2518</x:v>
      </x:c>
      <x:c r="G266" s="9" t="n">
        <x:f>F266/'原始数据'!G263</x:f>
        <x:v>0.03638255140227427</x:v>
      </x:c>
      <x:c r="H266" s="9" t="n">
        <x:f>'原始数据'!P263/'原始数据'!O263</x:f>
        <x:v>0.09208067279239994</x:v>
      </x:c>
      <x:c r="I266" s="9" t="n">
        <x:f>F266/C266</x:f>
        <x:v>0.014997111358614404</x:v>
      </x:c>
      <x:c r="J266" s="9" t="n">
        <x:f>'原始数据'!G263/'原始数据'!F263</x:f>
        <x:v>0.018979720392675547</x:v>
      </x:c>
      <x:c r="K266" s="2" t="str">
        <x:v>待拆分产品市场</x:v>
      </x:c>
      <x:c r="L266" s="15" t="str">
        <x:v>品牌或IP需核验</x:v>
      </x:c>
      <x:c r="M266" s="2" t="str">
        <x:f>IF(AND(C266&gt;='核验与方法'!$B$7,F266&gt;='核验与方法'!$B$8,G266&gt;='核验与方法'!$B$9,D266&gt;='核验与方法'!$B$10,E266&gt;='核验与方法'!$B$11),"通过需求门槛","未通过需求门槛")</x:f>
        <x:v>未通过需求门槛</x:v>
      </x:c>
      <x:c r="N266" s="2" t="str">
        <x:v>先核验风险标签</x:v>
      </x:c>
      <x:c r="O266" s="9" t="n">
        <x:f>G266-'原始数据'!J263</x:f>
        <x:v>0.0000825514022742696</x:v>
      </x:c>
      <x:c r="P266" s="2" t="str">
        <x:v>DATA HOLD</x:v>
      </x:c>
    </x:row>
    <x:row r="267" ht="48" customHeight="1">
      <x:c r="A267" s="2" t="n">
        <x:v>262</x:v>
      </x:c>
      <x:c r="B267" s="2" t="str">
        <x:v>scary halloween costumes</x:v>
      </x:c>
      <x:c r="C267" s="10" t="n">
        <x:f>'原始数据'!D264</x:f>
        <x:v>167688</x:v>
      </x:c>
      <x:c r="D267" s="9" t="n">
        <x:f>IF(ISNUMBER('原始数据'!E264),'原始数据'!E264,VALUE(SUBSTITUTE('原始数据'!E264,"'","")))</x:f>
        <x:v>1.9817</x:v>
      </x:c>
      <x:c r="E267" s="9" t="n">
        <x:f>IF(ISNUMBER('原始数据'!H264),'原始数据'!H264,VALUE(SUBSTITUTE('原始数据'!H264,"'","")))</x:f>
        <x:v>1.9809</x:v>
      </x:c>
      <x:c r="F267" s="10" t="n">
        <x:f>'原始数据'!L264</x:f>
        <x:v>210</x:v>
      </x:c>
      <x:c r="G267" s="9" t="n">
        <x:f>F267/'原始数据'!G264</x:f>
        <x:v>0.004689907765147285</x:v>
      </x:c>
      <x:c r="H267" s="9" t="n">
        <x:f>'原始数据'!P264/'原始数据'!O264</x:f>
        <x:v>0.02225102613955498</x:v>
      </x:c>
      <x:c r="I267" s="9" t="n">
        <x:f>F267/C267</x:f>
        <x:v>0.0012523257478173752</x:v>
      </x:c>
      <x:c r="J267" s="9" t="n">
        <x:f>'原始数据'!G264/'原始数据'!F264</x:f>
        <x:v>0.033953608286509396</x:v>
      </x:c>
      <x:c r="K267" s="2" t="str">
        <x:v>待拆分产品市场</x:v>
      </x:c>
      <x:c r="L267" s="15" t="str">
        <x:v>季节/事件影响待核验</x:v>
      </x:c>
      <x:c r="M267" s="2" t="str">
        <x:f>IF(AND(C267&gt;='核验与方法'!$B$7,F267&gt;='核验与方法'!$B$8,G267&gt;='核验与方法'!$B$9,D267&gt;='核验与方法'!$B$10,E267&gt;='核验与方法'!$B$11),"通过需求门槛","未通过需求门槛")</x:f>
        <x:v>未通过需求门槛</x:v>
      </x:c>
      <x:c r="N267" s="2" t="str">
        <x:v>先核验风险标签</x:v>
      </x:c>
      <x:c r="O267" s="9" t="n">
        <x:f>G267-'原始数据'!J264</x:f>
        <x:v>0.00008990776514728512</x:v>
      </x:c>
      <x:c r="P267" s="2" t="str">
        <x:v>DATA HOLD</x:v>
      </x:c>
    </x:row>
    <x:row r="268" ht="48" customHeight="1">
      <x:c r="A268" s="2" t="n">
        <x:v>263</x:v>
      </x:c>
      <x:c r="B268" s="2" t="str">
        <x:v>bacteriostatic water for injection</x:v>
      </x:c>
      <x:c r="C268" s="10" t="n">
        <x:f>'原始数据'!D265</x:f>
        <x:v>167443</x:v>
      </x:c>
      <x:c r="D268" s="9" t="n">
        <x:f>IF(ISNUMBER('原始数据'!E265),'原始数据'!E265,VALUE(SUBSTITUTE('原始数据'!E265,"'","")))</x:f>
        <x:v>-0.0643</x:v>
      </x:c>
      <x:c r="E268" s="9" t="n">
        <x:f>IF(ISNUMBER('原始数据'!H265),'原始数据'!H265,VALUE(SUBSTITUTE('原始数据'!H265,"'","")))</x:f>
        <x:v>-0.091</x:v>
      </x:c>
      <x:c r="F268" s="10" t="n">
        <x:f>'原始数据'!L265</x:f>
        <x:v>3605</x:v>
      </x:c>
      <x:c r="G268" s="9" t="n">
        <x:f>F268/'原始数据'!G265</x:f>
        <x:v>0.06982780328122881</x:v>
      </x:c>
      <x:c r="H268" s="9" t="n">
        <x:f>'原始数据'!P265/'原始数据'!O265</x:f>
        <x:v>0.14314942853111332</x:v>
      </x:c>
      <x:c r="I268" s="9" t="n">
        <x:f>F268/C268</x:f>
        <x:v>0.02152971458944238</x:v>
      </x:c>
      <x:c r="J268" s="9" t="n">
        <x:f>'原始数据'!G265/'原始数据'!F265</x:f>
        <x:v>0.015797696945662312</x:v>
      </x:c>
      <x:c r="K268" s="2" t="str">
        <x:v>专业供给</x:v>
      </x:c>
      <x:c r="L268" s="15" t="str">
        <x:v>食品/补剂或耗材需独立供应链</x:v>
      </x:c>
      <x:c r="M268" s="2" t="str">
        <x:f>IF(AND(C268&gt;='核验与方法'!$B$7,F268&gt;='核验与方法'!$B$8,G268&gt;='核验与方法'!$B$9,D268&gt;='核验与方法'!$B$10,E268&gt;='核验与方法'!$B$11),"通过需求门槛","未通过需求门槛")</x:f>
        <x:v>未通过需求门槛</x:v>
      </x:c>
      <x:c r="N268" s="2" t="str">
        <x:v>先核验风险标签</x:v>
      </x:c>
      <x:c r="O268" s="9" t="n">
        <x:f>G268-'原始数据'!J265</x:f>
        <x:v>0.000027803281228810928</x:v>
      </x:c>
      <x:c r="P268" s="2" t="str">
        <x:v>DATA HOLD</x:v>
      </x:c>
    </x:row>
    <x:row r="269" ht="48" customHeight="1">
      <x:c r="A269" s="2" t="n">
        <x:v>264</x:v>
      </x:c>
      <x:c r="B269" s="2" t="str">
        <x:v>biblia reina valera 1960 letra grande</x:v>
      </x:c>
      <x:c r="C269" s="10" t="n">
        <x:f>'原始数据'!D266</x:f>
        <x:v>166710</x:v>
      </x:c>
      <x:c r="D269" s="9" t="n">
        <x:f>IF(ISNUMBER('原始数据'!E266),'原始数据'!E266,VALUE(SUBSTITUTE('原始数据'!E266,"'","")))</x:f>
        <x:v>0.0045</x:v>
      </x:c>
      <x:c r="E269" s="9" t="n">
        <x:f>IF(ISNUMBER('原始数据'!H266),'原始数据'!H266,VALUE(SUBSTITUTE('原始数据'!H266,"'","")))</x:f>
        <x:v>0.0185</x:v>
      </x:c>
      <x:c r="F269" s="10" t="n">
        <x:f>'原始数据'!L266</x:f>
        <x:v>4016</x:v>
      </x:c>
      <x:c r="G269" s="9" t="n">
        <x:f>F269/'原始数据'!G266</x:f>
        <x:v>0.04917832039381842</x:v>
      </x:c>
      <x:c r="H269" s="9" t="n">
        <x:f>'原始数据'!P266/'原始数据'!O266</x:f>
        <x:v>0.17581660311480682</x:v>
      </x:c>
      <x:c r="I269" s="9" t="n">
        <x:f>F269/C269</x:f>
        <x:v>0.0240897366684662</x:v>
      </x:c>
      <x:c r="J269" s="9" t="n">
        <x:f>'原始数据'!G266/'原始数据'!F266</x:f>
        <x:v>0.019329043460642476</x:v>
      </x:c>
      <x:c r="K269" s="2" t="str">
        <x:v>待拆分产品市场</x:v>
      </x:c>
      <x:c r="L269" s="15" t="str">
        <x:v>内容/导航或宽泛需求需拆分</x:v>
      </x:c>
      <x:c r="M269" s="2" t="str">
        <x:f>IF(AND(C269&gt;='核验与方法'!$B$7,F269&gt;='核验与方法'!$B$8,G269&gt;='核验与方法'!$B$9,D269&gt;='核验与方法'!$B$10,E269&gt;='核验与方法'!$B$11),"通过需求门槛","未通过需求门槛")</x:f>
        <x:v>未通过需求门槛</x:v>
      </x:c>
      <x:c r="N269" s="2" t="str">
        <x:v>先核验风险标签</x:v>
      </x:c>
      <x:c r="O269" s="9" t="n">
        <x:f>G269-'原始数据'!J266</x:f>
        <x:v>0.0000783203938184221</x:v>
      </x:c>
      <x:c r="P269" s="2" t="str">
        <x:v>DATA HOLD</x:v>
      </x:c>
    </x:row>
    <x:row r="270" ht="48" customHeight="1">
      <x:c r="A270" s="2" t="n">
        <x:v>265</x:v>
      </x:c>
      <x:c r="B270" s="2" t="str">
        <x:v>pork</x:v>
      </x:c>
      <x:c r="C270" s="10" t="n">
        <x:f>'原始数据'!D267</x:f>
        <x:v>166300</x:v>
      </x:c>
      <x:c r="D270" s="9" t="n">
        <x:f>IF(ISNUMBER('原始数据'!E267),'原始数据'!E267,VALUE(SUBSTITUTE('原始数据'!E267,"'","")))</x:f>
        <x:v>0.222</x:v>
      </x:c>
      <x:c r="E270" s="9" t="n">
        <x:f>IF(ISNUMBER('原始数据'!H267),'原始数据'!H267,VALUE(SUBSTITUTE('原始数据'!H267,"'","")))</x:f>
        <x:v>0.1289</x:v>
      </x:c>
      <x:c r="F270" s="10" t="n">
        <x:f>'原始数据'!L267</x:f>
        <x:v>15230</x:v>
      </x:c>
      <x:c r="G270" s="9" t="n">
        <x:f>F270/'原始数据'!G267</x:f>
        <x:v>0.3003648555369293</x:v>
      </x:c>
      <x:c r="H270" s="9" t="n">
        <x:f>'原始数据'!P267/'原始数据'!O267</x:f>
        <x:v>0.45179870004504796</x:v>
      </x:c>
      <x:c r="I270" s="9" t="n">
        <x:f>F270/C270</x:f>
        <x:v>0.0915814792543596</x:v>
      </x:c>
      <x:c r="J270" s="9" t="n">
        <x:f>'原始数据'!G267/'原始数据'!F267</x:f>
        <x:v>0.018082186309461613</x:v>
      </x:c>
      <x:c r="K270" s="2" t="str">
        <x:v>专业供给</x:v>
      </x:c>
      <x:c r="L270" s="15" t="str">
        <x:v>食品/补剂或耗材需独立供应链</x:v>
      </x:c>
      <x:c r="M270" s="2" t="str">
        <x:f>IF(AND(C270&gt;='核验与方法'!$B$7,F270&gt;='核验与方法'!$B$8,G270&gt;='核验与方法'!$B$9,D270&gt;='核验与方法'!$B$10,E270&gt;='核验与方法'!$B$11),"通过需求门槛","未通过需求门槛")</x:f>
        <x:v>通过需求门槛</x:v>
      </x:c>
      <x:c r="N270" s="2" t="str">
        <x:v>先核验风险标签</x:v>
      </x:c>
      <x:c r="O270" s="9" t="n">
        <x:f>G270-'原始数据'!J267</x:f>
        <x:v>0.00006485553692930912</x:v>
      </x:c>
      <x:c r="P270" s="2" t="str">
        <x:v>DATA HOLD</x:v>
      </x:c>
    </x:row>
    <x:row r="271" ht="48" customHeight="1">
      <x:c r="A271" s="2" t="n">
        <x:v>266</x:v>
      </x:c>
      <x:c r="B271" s="2" t="str">
        <x:v>18650 rechargeable battery</x:v>
      </x:c>
      <x:c r="C271" s="10" t="n">
        <x:f>'原始数据'!D268</x:f>
        <x:v>165871</x:v>
      </x:c>
      <x:c r="D271" s="9" t="n">
        <x:f>IF(ISNUMBER('原始数据'!E268),'原始数据'!E268,VALUE(SUBSTITUTE('原始数据'!E268,"'","")))</x:f>
        <x:v>0.047</x:v>
      </x:c>
      <x:c r="E271" s="9" t="n">
        <x:f>IF(ISNUMBER('原始数据'!H268),'原始数据'!H268,VALUE(SUBSTITUTE('原始数据'!H268,"'","")))</x:f>
        <x:v>0.1472</x:v>
      </x:c>
      <x:c r="F271" s="10" t="n">
        <x:f>'原始数据'!L268</x:f>
        <x:v>5854</x:v>
      </x:c>
      <x:c r="G271" s="9" t="n">
        <x:f>F271/'原始数据'!G268</x:f>
        <x:v>0.11518180387218636</x:v>
      </x:c>
      <x:c r="H271" s="9" t="n">
        <x:f>'原始数据'!P268/'原始数据'!O268</x:f>
        <x:v>0.20546427022599142</x:v>
      </x:c>
      <x:c r="I271" s="9" t="n">
        <x:f>F271/C271</x:f>
        <x:v>0.03529248632973817</x:v>
      </x:c>
      <x:c r="J271" s="9" t="n">
        <x:f>'原始数据'!G268/'原始数据'!F268</x:f>
        <x:v>0.013230937443053132</x:v>
      </x:c>
      <x:c r="K271" s="2" t="str">
        <x:v>待拆分产品市场</x:v>
      </x:c>
      <x:c r="L271" s="15" t="str">
        <x:v>专业类目适配与规则待核验</x:v>
      </x:c>
      <x:c r="M271" s="2" t="str">
        <x:f>IF(AND(C271&gt;='核验与方法'!$B$7,F271&gt;='核验与方法'!$B$8,G271&gt;='核验与方法'!$B$9,D271&gt;='核验与方法'!$B$10,E271&gt;='核验与方法'!$B$11),"通过需求门槛","未通过需求门槛")</x:f>
        <x:v>通过需求门槛</x:v>
      </x:c>
      <x:c r="N271" s="2" t="str">
        <x:v>先核验风险标签</x:v>
      </x:c>
      <x:c r="O271" s="9" t="n">
        <x:f>G271-'原始数据'!J268</x:f>
        <x:v>0.00008180387218637009</x:v>
      </x:c>
      <x:c r="P271" s="2" t="str">
        <x:v>DATA HOLD</x:v>
      </x:c>
    </x:row>
    <x:row r="272" ht="48" customHeight="1">
      <x:c r="A272" s="2" t="n">
        <x:v>267</x:v>
      </x:c>
      <x:c r="B272" s="2" t="str">
        <x:v>inflatable halloween costumes</x:v>
      </x:c>
      <x:c r="C272" s="10" t="n">
        <x:f>'原始数据'!D269</x:f>
        <x:v>165856</x:v>
      </x:c>
      <x:c r="D272" s="9" t="n">
        <x:f>IF(ISNUMBER('原始数据'!E269),'原始数据'!E269,VALUE(SUBSTITUTE('原始数据'!E269,"'","")))</x:f>
        <x:v>1.6232</x:v>
      </x:c>
      <x:c r="E272" s="9" t="n">
        <x:f>IF(ISNUMBER('原始数据'!H269),'原始数据'!H269,VALUE(SUBSTITUTE('原始数据'!H269,"'","")))</x:f>
        <x:v>1.6551</x:v>
      </x:c>
      <x:c r="F272" s="10" t="n">
        <x:f>'原始数据'!L269</x:f>
        <x:v>437</x:v>
      </x:c>
      <x:c r="G272" s="9" t="n">
        <x:f>F272/'原始数据'!G269</x:f>
        <x:v>0.009830165335732763</x:v>
      </x:c>
      <x:c r="H272" s="9" t="n">
        <x:f>'原始数据'!P269/'原始数据'!O269</x:f>
        <x:v>0.03892806770098731</x:v>
      </x:c>
      <x:c r="I272" s="9" t="n">
        <x:f>F272/C272</x:f>
        <x:v>0.0026348157437777347</x:v>
      </x:c>
      <x:c r="J272" s="9" t="n">
        <x:f>'原始数据'!G269/'原始数据'!F269</x:f>
        <x:v>0.02244413074999899</x:v>
      </x:c>
      <x:c r="K272" s="2" t="str">
        <x:v>待拆分产品市场</x:v>
      </x:c>
      <x:c r="L272" s="15" t="str">
        <x:v>季节/事件影响待核验</x:v>
      </x:c>
      <x:c r="M272" s="2" t="str">
        <x:f>IF(AND(C272&gt;='核验与方法'!$B$7,F272&gt;='核验与方法'!$B$8,G272&gt;='核验与方法'!$B$9,D272&gt;='核验与方法'!$B$10,E272&gt;='核验与方法'!$B$11),"通过需求门槛","未通过需求门槛")</x:f>
        <x:v>未通过需求门槛</x:v>
      </x:c>
      <x:c r="N272" s="2" t="str">
        <x:v>先核验风险标签</x:v>
      </x:c>
      <x:c r="O272" s="9" t="n">
        <x:f>G272-'原始数据'!J269</x:f>
        <x:v>0.00003016533573276317</x:v>
      </x:c>
      <x:c r="P272" s="2" t="str">
        <x:v>DATA HOLD</x:v>
      </x:c>
    </x:row>
    <x:row r="273" ht="48" customHeight="1">
      <x:c r="A273" s="2" t="n">
        <x:v>268</x:v>
      </x:c>
      <x:c r="B273" s="2" t="str">
        <x:v>pink homecoming dress</x:v>
      </x:c>
      <x:c r="C273" s="10" t="n">
        <x:f>'原始数据'!D270</x:f>
        <x:v>165795</x:v>
      </x:c>
      <x:c r="D273" s="9" t="n">
        <x:f>IF(ISNUMBER('原始数据'!E270),'原始数据'!E270,VALUE(SUBSTITUTE('原始数据'!E270,"'","")))</x:f>
        <x:v>2.97</x:v>
      </x:c>
      <x:c r="E273" s="9" t="n">
        <x:f>IF(ISNUMBER('原始数据'!H270),'原始数据'!H270,VALUE(SUBSTITUTE('原始数据'!H270,"'","")))</x:f>
        <x:v>3.1121</x:v>
      </x:c>
      <x:c r="F273" s="10" t="n">
        <x:f>'原始数据'!L270</x:f>
        <x:v>216</x:v>
      </x:c>
      <x:c r="G273" s="9" t="n">
        <x:f>F273/'原始数据'!G270</x:f>
        <x:v>0.0042028252325174145</x:v>
      </x:c>
      <x:c r="H273" s="9" t="n">
        <x:f>'原始数据'!P270/'原始数据'!O270</x:f>
        <x:v>0.04274246040355825</x:v>
      </x:c>
      <x:c r="I273" s="9" t="n">
        <x:f>F273/C273</x:f>
        <x:v>0.001302813715733285</x:v>
      </x:c>
      <x:c r="J273" s="9" t="n">
        <x:f>'原始数据'!G270/'原始数据'!F270</x:f>
        <x:v>0.03739886029312778</x:v>
      </x:c>
      <x:c r="K273" s="2" t="str">
        <x:v>待拆分产品市场</x:v>
      </x:c>
      <x:c r="L273" s="15" t="str">
        <x:v>季节/事件影响待核验；尺码/颜色变体及退货待核验</x:v>
      </x:c>
      <x:c r="M273" s="2" t="str">
        <x:f>IF(AND(C273&gt;='核验与方法'!$B$7,F273&gt;='核验与方法'!$B$8,G273&gt;='核验与方法'!$B$9,D273&gt;='核验与方法'!$B$10,E273&gt;='核验与方法'!$B$11),"通过需求门槛","未通过需求门槛")</x:f>
        <x:v>未通过需求门槛</x:v>
      </x:c>
      <x:c r="N273" s="2" t="str">
        <x:v>先核验风险标签</x:v>
      </x:c>
      <x:c r="O273" s="9" t="n">
        <x:f>G273-'原始数据'!J270</x:f>
        <x:v>0.000002825232517414747</x:v>
      </x:c>
      <x:c r="P273" s="2" t="str">
        <x:v>DATA HOLD</x:v>
      </x:c>
    </x:row>
    <x:row r="274" ht="48" customHeight="1">
      <x:c r="A274" s="2" t="n">
        <x:v>269</x:v>
      </x:c>
      <x:c r="B274" s="2" t="str">
        <x:v>halloween solar lights</x:v>
      </x:c>
      <x:c r="C274" s="10" t="n">
        <x:f>'原始数据'!D271</x:f>
        <x:v>165245</x:v>
      </x:c>
      <x:c r="D274" s="9" t="n">
        <x:f>IF(ISNUMBER('原始数据'!E271),'原始数据'!E271,VALUE(SUBSTITUTE('原始数据'!E271,"'","")))</x:f>
        <x:v>1.5905</x:v>
      </x:c>
      <x:c r="E274" s="9" t="n">
        <x:f>IF(ISNUMBER('原始数据'!H271),'原始数据'!H271,VALUE(SUBSTITUTE('原始数据'!H271,"'","")))</x:f>
        <x:v>1.712</x:v>
      </x:c>
      <x:c r="F274" s="10" t="n">
        <x:f>'原始数据'!L271</x:f>
        <x:v>4471</x:v>
      </x:c>
      <x:c r="G274" s="9" t="n">
        <x:f>F274/'原始数据'!G271</x:f>
        <x:v>0.06014016114496321</x:v>
      </x:c>
      <x:c r="H274" s="9" t="n">
        <x:f>'原始数据'!P271/'原始数据'!O271</x:f>
        <x:v>0.12473829945296144</x:v>
      </x:c>
      <x:c r="I274" s="9" t="n">
        <x:f>F274/C274</x:f>
        <x:v>0.027056794456715785</x:v>
      </x:c>
      <x:c r="J274" s="9" t="n">
        <x:f>'原始数据'!G271/'原始数据'!F271</x:f>
        <x:v>0.026010981271379734</x:v>
      </x:c>
      <x:c r="K274" s="2" t="str">
        <x:v>待拆分产品市场</x:v>
      </x:c>
      <x:c r="L274" s="15" t="str">
        <x:v>季节/事件影响待核验</x:v>
      </x:c>
      <x:c r="M274" s="2" t="str">
        <x:f>IF(AND(C274&gt;='核验与方法'!$B$7,F274&gt;='核验与方法'!$B$8,G274&gt;='核验与方法'!$B$9,D274&gt;='核验与方法'!$B$10,E274&gt;='核验与方法'!$B$11),"通过需求门槛","未通过需求门槛")</x:f>
        <x:v>通过需求门槛</x:v>
      </x:c>
      <x:c r="N274" s="2" t="str">
        <x:v>先核验风险标签</x:v>
      </x:c>
      <x:c r="O274" s="9" t="n">
        <x:f>G274-'原始数据'!J271</x:f>
        <x:v>0.000040161144963211937</x:v>
      </x:c>
      <x:c r="P274" s="2" t="str">
        <x:v>DATA HOLD</x:v>
      </x:c>
    </x:row>
    <x:row r="275" ht="48" customHeight="1">
      <x:c r="A275" s="2" t="n">
        <x:v>270</x:v>
      </x:c>
      <x:c r="B275" s="2" t="str">
        <x:v>raspberries</x:v>
      </x:c>
      <x:c r="C275" s="10" t="n">
        <x:f>'原始数据'!D272</x:f>
        <x:v>164555</x:v>
      </x:c>
      <x:c r="D275" s="9" t="n">
        <x:f>IF(ISNUMBER('原始数据'!E272),'原始数据'!E272,VALUE(SUBSTITUTE('原始数据'!E272,"'","")))</x:f>
        <x:v>0.0236</x:v>
      </x:c>
      <x:c r="E275" s="9" t="n">
        <x:f>IF(ISNUMBER('原始数据'!H272),'原始数据'!H272,VALUE(SUBSTITUTE('原始数据'!H272,"'","")))</x:f>
        <x:v>0.0107</x:v>
      </x:c>
      <x:c r="F275" s="10" t="n">
        <x:f>'原始数据'!L272</x:f>
        <x:v>46780</x:v>
      </x:c>
      <x:c r="G275" s="9" t="n">
        <x:f>F275/'原始数据'!G272</x:f>
        <x:v>0.4828006151115148</x:v>
      </x:c>
      <x:c r="H275" s="9" t="n">
        <x:f>'原始数据'!P272/'原始数据'!O272</x:f>
        <x:v>0.5677716675702889</x:v>
      </x:c>
      <x:c r="I275" s="9" t="n">
        <x:f>F275/C275</x:f>
        <x:v>0.2842818510528395</x:v>
      </x:c>
      <x:c r="J275" s="9" t="n">
        <x:f>'原始数据'!G272/'原始数据'!F272</x:f>
        <x:v>0.023643851507837564</x:v>
      </x:c>
      <x:c r="K275" s="2" t="str">
        <x:v>专业供给</x:v>
      </x:c>
      <x:c r="L275" s="15" t="str">
        <x:v>食品/补剂或耗材需独立供应链</x:v>
      </x:c>
      <x:c r="M275" s="2" t="str">
        <x:f>IF(AND(C275&gt;='核验与方法'!$B$7,F275&gt;='核验与方法'!$B$8,G275&gt;='核验与方法'!$B$9,D275&gt;='核验与方法'!$B$10,E275&gt;='核验与方法'!$B$11),"通过需求门槛","未通过需求门槛")</x:f>
        <x:v>通过需求门槛</x:v>
      </x:c>
      <x:c r="N275" s="2" t="str">
        <x:v>先核验风险标签</x:v>
      </x:c>
      <x:c r="O275" s="9" t="n">
        <x:f>G275-'原始数据'!J272</x:f>
        <x:v>6.151115147789987e-7</x:v>
      </x:c>
      <x:c r="P275" s="2" t="str">
        <x:v>DATA HOLD</x:v>
      </x:c>
    </x:row>
    <x:row r="276" ht="48" customHeight="1">
      <x:c r="A276" s="2" t="n">
        <x:v>271</x:v>
      </x:c>
      <x:c r="B276" s="2" t="str">
        <x:v>burgundy heels</x:v>
      </x:c>
      <x:c r="C276" s="10" t="n">
        <x:f>'原始数据'!D273</x:f>
        <x:v>164524</x:v>
      </x:c>
      <x:c r="D276" s="9" t="n">
        <x:f>IF(ISNUMBER('原始数据'!E273),'原始数据'!E273,VALUE(SUBSTITUTE('原始数据'!E273,"'","")))</x:f>
        <x:v>0.8364</x:v>
      </x:c>
      <x:c r="E276" s="9" t="n">
        <x:f>IF(ISNUMBER('原始数据'!H273),'原始数据'!H273,VALUE(SUBSTITUTE('原始数据'!H273,"'","")))</x:f>
        <x:v>0.8138</x:v>
      </x:c>
      <x:c r="F276" s="10" t="n">
        <x:f>'原始数据'!L273</x:f>
        <x:v>475</x:v>
      </x:c>
      <x:c r="G276" s="9" t="n">
        <x:f>F276/'原始数据'!G273</x:f>
        <x:v>0.012176365034606512</x:v>
      </x:c>
      <x:c r="H276" s="9" t="n">
        <x:f>'原始数据'!P273/'原始数据'!O273</x:f>
        <x:v>0.10473985290111686</x:v>
      </x:c>
      <x:c r="I276" s="9" t="n">
        <x:f>F276/C276</x:f>
        <x:v>0.0028871167732367315</x:v>
      </x:c>
      <x:c r="J276" s="9" t="n">
        <x:f>'原始数据'!G273/'原始数据'!F273</x:f>
        <x:v>0.010703794373003499</x:v>
      </x:c>
      <x:c r="K276" s="2" t="str">
        <x:v>待拆分产品市场</x:v>
      </x:c>
      <x:c r="L276" s="15" t="str">
        <x:v>尺码/颜色变体及退货待核验</x:v>
      </x:c>
      <x:c r="M276" s="2" t="str">
        <x:f>IF(AND(C276&gt;='核验与方法'!$B$7,F276&gt;='核验与方法'!$B$8,G276&gt;='核验与方法'!$B$9,D276&gt;='核验与方法'!$B$10,E276&gt;='核验与方法'!$B$11),"通过需求门槛","未通过需求门槛")</x:f>
        <x:v>未通过需求门槛</x:v>
      </x:c>
      <x:c r="N276" s="2" t="str">
        <x:v>先核验风险标签</x:v>
      </x:c>
      <x:c r="O276" s="9" t="n">
        <x:f>G276-'原始数据'!J273</x:f>
        <x:v>0.00007636503460651221</x:v>
      </x:c>
      <x:c r="P276" s="2" t="str">
        <x:v>DATA HOLD</x:v>
      </x:c>
    </x:row>
    <x:row r="277" ht="48" customHeight="1">
      <x:c r="A277" s="2" t="n">
        <x:v>272</x:v>
      </x:c>
      <x:c r="B277" s="2" t="str">
        <x:v>wall art for living room</x:v>
      </x:c>
      <x:c r="C277" s="10" t="n">
        <x:f>'原始数据'!D274</x:f>
        <x:v>164403</x:v>
      </x:c>
      <x:c r="D277" s="9" t="n">
        <x:f>IF(ISNUMBER('原始数据'!E274),'原始数据'!E274,VALUE(SUBSTITUTE('原始数据'!E274,"'","")))</x:f>
        <x:v>0.0768</x:v>
      </x:c>
      <x:c r="E277" s="9" t="n">
        <x:f>IF(ISNUMBER('原始数据'!H274),'原始数据'!H274,VALUE(SUBSTITUTE('原始数据'!H274,"'","")))</x:f>
        <x:v>0.0981</x:v>
      </x:c>
      <x:c r="F277" s="10" t="n">
        <x:f>'原始数据'!L274</x:f>
        <x:v>373</x:v>
      </x:c>
      <x:c r="G277" s="9" t="n">
        <x:f>F277/'原始数据'!G274</x:f>
        <x:v>0.00644770959377701</x:v>
      </x:c>
      <x:c r="H277" s="9" t="n">
        <x:f>'原始数据'!P274/'原始数据'!O274</x:f>
        <x:v>0.0341969588200744</x:v>
      </x:c>
      <x:c r="I277" s="9" t="n">
        <x:f>F277/C277</x:f>
        <x:v>0.0022688150459541493</x:v>
      </x:c>
      <x:c r="J277" s="9" t="n">
        <x:f>'原始数据'!G274/'原始数据'!F274</x:f>
        <x:v>0.014675399692184442</x:v>
      </x:c>
      <x:c r="K277" s="2" t="str">
        <x:v>待拆分产品市场</x:v>
      </x:c>
      <x:c r="L277" s="15" t="str">
        <x:v>暂无自动识别标签，仍需核验</x:v>
      </x:c>
      <x:c r="M277" s="2" t="str">
        <x:f>IF(AND(C277&gt;='核验与方法'!$B$7,F277&gt;='核验与方法'!$B$8,G277&gt;='核验与方法'!$B$9,D277&gt;='核验与方法'!$B$10,E277&gt;='核验与方法'!$B$11),"通过需求门槛","未通过需求门槛")</x:f>
        <x:v>未通过需求门槛</x:v>
      </x:c>
      <x:c r="N277" s="2" t="str">
        <x:v>待确认具体产品形态</x:v>
      </x:c>
      <x:c r="O277" s="9" t="n">
        <x:f>G277-'原始数据'!J274</x:f>
        <x:v>0.00004770959377700928</x:v>
      </x:c>
      <x:c r="P277" s="2" t="str">
        <x:v>DATA HOLD</x:v>
      </x:c>
    </x:row>
    <x:row r="278" ht="48" customHeight="1">
      <x:c r="A278" s="2" t="n">
        <x:v>273</x:v>
      </x:c>
      <x:c r="B278" s="2" t="str">
        <x:v>leather jacket men</x:v>
      </x:c>
      <x:c r="C278" s="10" t="n">
        <x:f>'原始数据'!D275</x:f>
        <x:v>164291</x:v>
      </x:c>
      <x:c r="D278" s="9" t="n">
        <x:f>IF(ISNUMBER('原始数据'!E275),'原始数据'!E275,VALUE(SUBSTITUTE('原始数据'!E275,"'","")))</x:f>
        <x:v>0.5601</x:v>
      </x:c>
      <x:c r="E278" s="9" t="n">
        <x:f>IF(ISNUMBER('原始数据'!H275),'原始数据'!H275,VALUE(SUBSTITUTE('原始数据'!H275,"'","")))</x:f>
        <x:v>0.593</x:v>
      </x:c>
      <x:c r="F278" s="10" t="n">
        <x:f>'原始数据'!L275</x:f>
        <x:v>294</x:v>
      </x:c>
      <x:c r="G278" s="9" t="n">
        <x:f>F278/'原始数据'!G275</x:f>
        <x:v>0.005565335907774433</x:v>
      </x:c>
      <x:c r="H278" s="9" t="n">
        <x:f>'原始数据'!P275/'原始数据'!O275</x:f>
        <x:v>0.049113425274415985</x:v>
      </x:c>
      <x:c r="I278" s="9" t="n">
        <x:f>F278/C278</x:f>
        <x:v>0.0017895076419280423</x:v>
      </x:c>
      <x:c r="J278" s="9" t="n">
        <x:f>'原始数据'!G275/'原始数据'!F275</x:f>
        <x:v>0.01770325804692786</x:v>
      </x:c>
      <x:c r="K278" s="2" t="str">
        <x:v>待拆分产品市场</x:v>
      </x:c>
      <x:c r="L278" s="15" t="str">
        <x:v>尺码/颜色变体及退货待核验</x:v>
      </x:c>
      <x:c r="M278" s="2" t="str">
        <x:f>IF(AND(C278&gt;='核验与方法'!$B$7,F278&gt;='核验与方法'!$B$8,G278&gt;='核验与方法'!$B$9,D278&gt;='核验与方法'!$B$10,E278&gt;='核验与方法'!$B$11),"通过需求门槛","未通过需求门槛")</x:f>
        <x:v>未通过需求门槛</x:v>
      </x:c>
      <x:c r="N278" s="2" t="str">
        <x:v>先核验风险标签</x:v>
      </x:c>
      <x:c r="O278" s="9" t="n">
        <x:f>G278-'原始数据'!J275</x:f>
        <x:v>0.00006533590777443345</x:v>
      </x:c>
      <x:c r="P278" s="2" t="str">
        <x:v>DATA HOLD</x:v>
      </x:c>
    </x:row>
    <x:row r="279" ht="48" customHeight="1">
      <x:c r="A279" s="2" t="n">
        <x:v>274</x:v>
      </x:c>
      <x:c r="B279" s="2" t="str">
        <x:v>washing soda</x:v>
      </x:c>
      <x:c r="C279" s="10" t="n">
        <x:f>'原始数据'!D276</x:f>
        <x:v>163487</x:v>
      </x:c>
      <x:c r="D279" s="9" t="n">
        <x:f>IF(ISNUMBER('原始数据'!E276),'原始数据'!E276,VALUE(SUBSTITUTE('原始数据'!E276,"'","")))</x:f>
        <x:v>0.0467</x:v>
      </x:c>
      <x:c r="E279" s="9" t="n">
        <x:f>IF(ISNUMBER('原始数据'!H276),'原始数据'!H276,VALUE(SUBSTITUTE('原始数据'!H276,"'","")))</x:f>
        <x:v>0.0249</x:v>
      </x:c>
      <x:c r="F279" s="10" t="n">
        <x:f>'原始数据'!L276</x:f>
        <x:v>19980</x:v>
      </x:c>
      <x:c r="G279" s="9" t="n">
        <x:f>F279/'原始数据'!G276</x:f>
        <x:v>0.22958919850617637</x:v>
      </x:c>
      <x:c r="H279" s="9" t="n">
        <x:f>'原始数据'!P276/'原始数据'!O276</x:f>
        <x:v>0.35208872350940434</x:v>
      </x:c>
      <x:c r="I279" s="9" t="n">
        <x:f>F279/C279</x:f>
        <x:v>0.12221155198884315</x:v>
      </x:c>
      <x:c r="J279" s="9" t="n">
        <x:f>'原始数据'!G276/'原始数据'!F276</x:f>
        <x:v>0.013975876216374989</x:v>
      </x:c>
      <x:c r="K279" s="2" t="str">
        <x:v>专业供给</x:v>
      </x:c>
      <x:c r="L279" s="15" t="str">
        <x:v>食品/补剂或耗材需独立供应链</x:v>
      </x:c>
      <x:c r="M279" s="2" t="str">
        <x:f>IF(AND(C279&gt;='核验与方法'!$B$7,F279&gt;='核验与方法'!$B$8,G279&gt;='核验与方法'!$B$9,D279&gt;='核验与方法'!$B$10,E279&gt;='核验与方法'!$B$11),"通过需求门槛","未通过需求门槛")</x:f>
        <x:v>通过需求门槛</x:v>
      </x:c>
      <x:c r="N279" s="2" t="str">
        <x:v>先核验风险标签</x:v>
      </x:c>
      <x:c r="O279" s="9" t="n">
        <x:f>G279-'原始数据'!J276</x:f>
        <x:v>0.00008919850617636338</x:v>
      </x:c>
      <x:c r="P279" s="2" t="str">
        <x:v>DATA HOLD</x:v>
      </x:c>
    </x:row>
    <x:row r="280" ht="48" customHeight="1">
      <x:c r="A280" s="2" t="n">
        <x:v>275</x:v>
      </x:c>
      <x:c r="B280" s="2" t="str">
        <x:v>bowling shoes women</x:v>
      </x:c>
      <x:c r="C280" s="10" t="n">
        <x:f>'原始数据'!D277</x:f>
        <x:v>163394</x:v>
      </x:c>
      <x:c r="D280" s="9" t="n">
        <x:f>IF(ISNUMBER('原始数据'!E277),'原始数据'!E277,VALUE(SUBSTITUTE('原始数据'!E277,"'","")))</x:f>
        <x:v>0.5456</x:v>
      </x:c>
      <x:c r="E280" s="9" t="n">
        <x:f>IF(ISNUMBER('原始数据'!H277),'原始数据'!H277,VALUE(SUBSTITUTE('原始数据'!H277,"'","")))</x:f>
        <x:v>0.6707</x:v>
      </x:c>
      <x:c r="F280" s="10" t="n">
        <x:f>'原始数据'!L277</x:f>
        <x:v>548</x:v>
      </x:c>
      <x:c r="G280" s="9" t="n">
        <x:f>F280/'原始数据'!G277</x:f>
        <x:v>0.007427487123881811</x:v>
      </x:c>
      <x:c r="H280" s="9" t="n">
        <x:f>'原始数据'!P277/'原始数据'!O277</x:f>
        <x:v>0.1488</x:v>
      </x:c>
      <x:c r="I280" s="9" t="n">
        <x:f>F280/C280</x:f>
        <x:v>0.0033538563227535896</x:v>
      </x:c>
      <x:c r="J280" s="9" t="n">
        <x:f>'原始数据'!G277/'原始数据'!F277</x:f>
        <x:v>0.01749283441057233</x:v>
      </x:c>
      <x:c r="K280" s="2" t="str">
        <x:v>待拆分产品市场</x:v>
      </x:c>
      <x:c r="L280" s="15" t="str">
        <x:v>尺码/颜色变体及退货待核验</x:v>
      </x:c>
      <x:c r="M280" s="2" t="str">
        <x:f>IF(AND(C280&gt;='核验与方法'!$B$7,F280&gt;='核验与方法'!$B$8,G280&gt;='核验与方法'!$B$9,D280&gt;='核验与方法'!$B$10,E280&gt;='核验与方法'!$B$11),"通过需求门槛","未通过需求门槛")</x:f>
        <x:v>未通过需求门槛</x:v>
      </x:c>
      <x:c r="N280" s="2" t="str">
        <x:v>先核验风险标签</x:v>
      </x:c>
      <x:c r="O280" s="9" t="n">
        <x:f>G280-'原始数据'!J277</x:f>
        <x:v>0.00002748712388181071</x:v>
      </x:c>
      <x:c r="P280" s="2" t="str">
        <x:v>DATA HOLD</x:v>
      </x:c>
    </x:row>
    <x:row r="281" ht="48" customHeight="1">
      <x:c r="A281" s="2" t="n">
        <x:v>276</x:v>
      </x:c>
      <x:c r="B281" s="2" t="str">
        <x:v>accessories for women</x:v>
      </x:c>
      <x:c r="C281" s="10" t="n">
        <x:f>'原始数据'!D278</x:f>
        <x:v>163144</x:v>
      </x:c>
      <x:c r="D281" s="9" t="n">
        <x:f>IF(ISNUMBER('原始数据'!E278),'原始数据'!E278,VALUE(SUBSTITUTE('原始数据'!E278,"'","")))</x:f>
        <x:v>-0.0427</x:v>
      </x:c>
      <x:c r="E281" s="9" t="n">
        <x:f>IF(ISNUMBER('原始数据'!H278),'原始数据'!H278,VALUE(SUBSTITUTE('原始数据'!H278,"'","")))</x:f>
        <x:v>-0.0719</x:v>
      </x:c>
      <x:c r="F281" s="10" t="n">
        <x:f>'原始数据'!L278</x:f>
        <x:v>1645</x:v>
      </x:c>
      <x:c r="G281" s="9" t="n">
        <x:f>F281/'原始数据'!G278</x:f>
        <x:v>0.04185111687783036</x:v>
      </x:c>
      <x:c r="H281" s="9" t="n">
        <x:f>'原始数据'!P278/'原始数据'!O278</x:f>
        <x:v>0.1068062827225131</x:v>
      </x:c>
      <x:c r="I281" s="9" t="n">
        <x:f>F281/C281</x:f>
        <x:v>0.010083116755749522</x:v>
      </x:c>
      <x:c r="J281" s="9" t="n">
        <x:f>'原始数据'!G278/'原始数据'!F278</x:f>
        <x:v>0.008508512300499892</x:v>
      </x:c>
      <x:c r="K281" s="2" t="str">
        <x:v>待拆分产品市场</x:v>
      </x:c>
      <x:c r="L281" s="15" t="str">
        <x:v>暂无自动识别标签，仍需核验</x:v>
      </x:c>
      <x:c r="M281" s="2" t="str">
        <x:f>IF(AND(C281&gt;='核验与方法'!$B$7,F281&gt;='核验与方法'!$B$8,G281&gt;='核验与方法'!$B$9,D281&gt;='核验与方法'!$B$10,E281&gt;='核验与方法'!$B$11),"通过需求门槛","未通过需求门槛")</x:f>
        <x:v>未通过需求门槛</x:v>
      </x:c>
      <x:c r="N281" s="2" t="str">
        <x:v>待确认具体产品形态</x:v>
      </x:c>
      <x:c r="O281" s="9" t="n">
        <x:f>G281-'原始数据'!J278</x:f>
        <x:v>0.00005111687783036084</x:v>
      </x:c>
      <x:c r="P281" s="2" t="str">
        <x:v>DATA HOLD</x:v>
      </x:c>
    </x:row>
    <x:row r="282" ht="48" customHeight="1">
      <x:c r="A282" s="2" t="n">
        <x:v>277</x:v>
      </x:c>
      <x:c r="B282" s="2" t="str">
        <x:v>baskets</x:v>
      </x:c>
      <x:c r="C282" s="10" t="n">
        <x:f>'原始数据'!D279</x:f>
        <x:v>163026</x:v>
      </x:c>
      <x:c r="D282" s="9" t="n">
        <x:f>IF(ISNUMBER('原始数据'!E279),'原始数据'!E279,VALUE(SUBSTITUTE('原始数据'!E279,"'","")))</x:f>
        <x:v>0.0543</x:v>
      </x:c>
      <x:c r="E282" s="9" t="n">
        <x:f>IF(ISNUMBER('原始数据'!H279),'原始数据'!H279,VALUE(SUBSTITUTE('原始数据'!H279,"'","")))</x:f>
        <x:v>0.0261</x:v>
      </x:c>
      <x:c r="F282" s="10" t="n">
        <x:f>'原始数据'!L279</x:f>
        <x:v>2310</x:v>
      </x:c>
      <x:c r="G282" s="9" t="n">
        <x:f>F282/'原始数据'!G279</x:f>
        <x:v>0.048851668569978426</x:v>
      </x:c>
      <x:c r="H282" s="9" t="n">
        <x:f>'原始数据'!P279/'原始数据'!O279</x:f>
        <x:v>0.1563400246924871</x:v>
      </x:c>
      <x:c r="I282" s="9" t="n">
        <x:f>F282/C282</x:f>
        <x:v>0.014169518972433844</x:v>
      </x:c>
      <x:c r="J282" s="9" t="n">
        <x:f>'原始数据'!G279/'原始数据'!F279</x:f>
        <x:v>0.011380080887475918</x:v>
      </x:c>
      <x:c r="K282" s="2" t="str">
        <x:v>待拆分产品市场</x:v>
      </x:c>
      <x:c r="L282" s="15" t="str">
        <x:v>暂无自动识别标签，仍需核验</x:v>
      </x:c>
      <x:c r="M282" s="2" t="str">
        <x:f>IF(AND(C282&gt;='核验与方法'!$B$7,F282&gt;='核验与方法'!$B$8,G282&gt;='核验与方法'!$B$9,D282&gt;='核验与方法'!$B$10,E282&gt;='核验与方法'!$B$11),"通过需求门槛","未通过需求门槛")</x:f>
        <x:v>未通过需求门槛</x:v>
      </x:c>
      <x:c r="N282" s="2" t="str">
        <x:v>待确认具体产品形态</x:v>
      </x:c>
      <x:c r="O282" s="9" t="n">
        <x:f>G282-'原始数据'!J279</x:f>
        <x:v>0.00005166856997842334</x:v>
      </x:c>
      <x:c r="P282" s="2" t="str">
        <x:v>DATA HOLD</x:v>
      </x:c>
    </x:row>
    <x:row r="283" ht="48" customHeight="1">
      <x:c r="A283" s="2" t="n">
        <x:v>278</x:v>
      </x:c>
      <x:c r="B283" s="2" t="str">
        <x:v>fursuit</x:v>
      </x:c>
      <x:c r="C283" s="10" t="n">
        <x:f>'原始数据'!D280</x:f>
        <x:v>162638</x:v>
      </x:c>
      <x:c r="D283" s="9" t="n">
        <x:f>IF(ISNUMBER('原始数据'!E280),'原始数据'!E280,VALUE(SUBSTITUTE('原始数据'!E280,"'","")))</x:f>
        <x:v>0.6831</x:v>
      </x:c>
      <x:c r="E283" s="9" t="n">
        <x:f>IF(ISNUMBER('原始数据'!H280),'原始数据'!H280,VALUE(SUBSTITUTE('原始数据'!H280,"'","")))</x:f>
        <x:v>0.6711</x:v>
      </x:c>
      <x:c r="F283" s="10" t="n">
        <x:f>'原始数据'!L280</x:f>
        <x:v>492</x:v>
      </x:c>
      <x:c r="G283" s="9" t="n">
        <x:f>F283/'原始数据'!G280</x:f>
        <x:v>0.009127506817802349</x:v>
      </x:c>
      <x:c r="H283" s="9" t="n">
        <x:f>'原始数据'!P280/'原始数据'!O280</x:f>
        <x:v>0.04969160944955196</x:v>
      </x:c>
      <x:c r="I283" s="9" t="n">
        <x:f>F283/C283</x:f>
        <x:v>0.0030251232799222813</x:v>
      </x:c>
      <x:c r="J283" s="9" t="n">
        <x:f>'原始数据'!G280/'原始数据'!F280</x:f>
        <x:v>0.029355223087278733</x:v>
      </x:c>
      <x:c r="K283" s="2" t="str">
        <x:v>待拆分产品市场</x:v>
      </x:c>
      <x:c r="L283" s="15" t="str">
        <x:v>暂无自动识别标签，仍需核验</x:v>
      </x:c>
      <x:c r="M283" s="2" t="str">
        <x:f>IF(AND(C283&gt;='核验与方法'!$B$7,F283&gt;='核验与方法'!$B$8,G283&gt;='核验与方法'!$B$9,D283&gt;='核验与方法'!$B$10,E283&gt;='核验与方法'!$B$11),"通过需求门槛","未通过需求门槛")</x:f>
        <x:v>未通过需求门槛</x:v>
      </x:c>
      <x:c r="N283" s="2" t="str">
        <x:v>待确认具体产品形态</x:v>
      </x:c>
      <x:c r="O283" s="9" t="n">
        <x:f>G283-'原始数据'!J280</x:f>
        <x:v>0.000027506817802348468</x:v>
      </x:c>
      <x:c r="P283" s="2" t="str">
        <x:v>DATA HOLD</x:v>
      </x:c>
    </x:row>
    <x:row r="284" ht="48" customHeight="1">
      <x:c r="A284" s="2" t="n">
        <x:v>279</x:v>
      </x:c>
      <x:c r="B284" s="2" t="str">
        <x:v>bread slicer</x:v>
      </x:c>
      <x:c r="C284" s="10" t="n">
        <x:f>'原始数据'!D281</x:f>
        <x:v>162439</x:v>
      </x:c>
      <x:c r="D284" s="9" t="n">
        <x:f>IF(ISNUMBER('原始数据'!E281),'原始数据'!E281,VALUE(SUBSTITUTE('原始数据'!E281,"'","")))</x:f>
        <x:v>0.0368</x:v>
      </x:c>
      <x:c r="E284" s="9" t="n">
        <x:f>IF(ISNUMBER('原始数据'!H281),'原始数据'!H281,VALUE(SUBSTITUTE('原始数据'!H281,"'","")))</x:f>
        <x:v>0.0539</x:v>
      </x:c>
      <x:c r="F284" s="10" t="n">
        <x:f>'原始数据'!L281</x:f>
        <x:v>5185</x:v>
      </x:c>
      <x:c r="G284" s="9" t="n">
        <x:f>F284/'原始数据'!G281</x:f>
        <x:v>0.07349501764730897</x:v>
      </x:c>
      <x:c r="H284" s="9" t="n">
        <x:f>'原始数据'!P281/'原始数据'!O281</x:f>
        <x:v>0.18144344466952467</x:v>
      </x:c>
      <x:c r="I284" s="9" t="n">
        <x:f>F284/C284</x:f>
        <x:v>0.03191967446241358</x:v>
      </x:c>
      <x:c r="J284" s="9" t="n">
        <x:f>'原始数据'!G281/'原始数据'!F281</x:f>
        <x:v>0.011775773410544333</x:v>
      </x:c>
      <x:c r="K284" s="2" t="str">
        <x:v>已选候选</x:v>
      </x:c>
      <x:c r="L284" s="15" t="str">
        <x:v>暂无自动识别标签，仍需核验</x:v>
      </x:c>
      <x:c r="M284" s="2" t="str">
        <x:f>IF(AND(C284&gt;='核验与方法'!$B$7,F284&gt;='核验与方法'!$B$8,G284&gt;='核验与方法'!$B$9,D284&gt;='核验与方法'!$B$10,E284&gt;='核验与方法'!$B$11),"通过需求门槛","未通过需求门槛")</x:f>
        <x:v>通过需求门槛</x:v>
      </x:c>
      <x:c r="N284" s="2" t="str">
        <x:v>候选研究</x:v>
      </x:c>
      <x:c r="O284" s="9" t="n">
        <x:f>G284-'原始数据'!J281</x:f>
        <x:v>0.00009501764730895923</x:v>
      </x:c>
      <x:c r="P284" s="2" t="str">
        <x:v>DATA HOLD</x:v>
      </x:c>
    </x:row>
    <x:row r="285" ht="48" customHeight="1">
      <x:c r="A285" s="2" t="n">
        <x:v>280</x:v>
      </x:c>
      <x:c r="B285" s="2" t="str">
        <x:v>license plate frames for women</x:v>
      </x:c>
      <x:c r="C285" s="10" t="n">
        <x:f>'原始数据'!D282</x:f>
        <x:v>162174</x:v>
      </x:c>
      <x:c r="D285" s="9" t="n">
        <x:f>IF(ISNUMBER('原始数据'!E282),'原始数据'!E282,VALUE(SUBSTITUTE('原始数据'!E282,"'","")))</x:f>
        <x:v>-0.0188</x:v>
      </x:c>
      <x:c r="E285" s="9" t="n">
        <x:f>IF(ISNUMBER('原始数据'!H282),'原始数据'!H282,VALUE(SUBSTITUTE('原始数据'!H282,"'","")))</x:f>
        <x:v>-0.0176</x:v>
      </x:c>
      <x:c r="F285" s="10" t="n">
        <x:f>'原始数据'!L282</x:f>
        <x:v>2605</x:v>
      </x:c>
      <x:c r="G285" s="9" t="n">
        <x:f>F285/'原始数据'!G282</x:f>
        <x:v>0.04196874496536169</x:v>
      </x:c>
      <x:c r="H285" s="9" t="n">
        <x:f>'原始数据'!P282/'原始数据'!O282</x:f>
        <x:v>0.1533685064935065</x:v>
      </x:c>
      <x:c r="I285" s="9" t="n">
        <x:f>F285/C285</x:f>
        <x:v>0.016062994068099697</x:v>
      </x:c>
      <x:c r="J285" s="9" t="n">
        <x:f>'原始数据'!G282/'原始数据'!F282</x:f>
        <x:v>0.012745361556975175</x:v>
      </x:c>
      <x:c r="K285" s="2" t="str">
        <x:v>待拆分产品市场</x:v>
      </x:c>
      <x:c r="L285" s="15" t="str">
        <x:v>暂无自动识别标签，仍需核验</x:v>
      </x:c>
      <x:c r="M285" s="2" t="str">
        <x:f>IF(AND(C285&gt;='核验与方法'!$B$7,F285&gt;='核验与方法'!$B$8,G285&gt;='核验与方法'!$B$9,D285&gt;='核验与方法'!$B$10,E285&gt;='核验与方法'!$B$11),"通过需求门槛","未通过需求门槛")</x:f>
        <x:v>未通过需求门槛</x:v>
      </x:c>
      <x:c r="N285" s="2" t="str">
        <x:v>待确认具体产品形态</x:v>
      </x:c>
      <x:c r="O285" s="9" t="n">
        <x:f>G285-'原始数据'!J282</x:f>
        <x:v>0.00006874496536168895</x:v>
      </x:c>
      <x:c r="P285" s="2" t="str">
        <x:v>DATA HOLD</x:v>
      </x:c>
    </x:row>
    <x:row r="286" ht="48" customHeight="1">
      <x:c r="A286" s="2" t="n">
        <x:v>281</x:v>
      </x:c>
      <x:c r="B286" s="2" t="str">
        <x:v>gel blaster</x:v>
      </x:c>
      <x:c r="C286" s="10" t="n">
        <x:f>'原始数据'!D283</x:f>
        <x:v>161707</x:v>
      </x:c>
      <x:c r="D286" s="9" t="n">
        <x:f>IF(ISNUMBER('原始数据'!E283),'原始数据'!E283,VALUE(SUBSTITUTE('原始数据'!E283,"'","")))</x:f>
        <x:v>-0.186</x:v>
      </x:c>
      <x:c r="E286" s="9" t="n">
        <x:f>IF(ISNUMBER('原始数据'!H283),'原始数据'!H283,VALUE(SUBSTITUTE('原始数据'!H283,"'","")))</x:f>
        <x:v>-0.1834</x:v>
      </x:c>
      <x:c r="F286" s="10" t="n">
        <x:f>'原始数据'!L283</x:f>
        <x:v>1241</x:v>
      </x:c>
      <x:c r="G286" s="9" t="n">
        <x:f>F286/'原始数据'!G283</x:f>
        <x:v>0.020498166562056094</x:v>
      </x:c>
      <x:c r="H286" s="9" t="n">
        <x:f>'原始数据'!P283/'原始数据'!O283</x:f>
        <x:v>0.09555283557731538</x:v>
      </x:c>
      <x:c r="I286" s="9" t="n">
        <x:f>F286/C286</x:f>
        <x:v>0.007674374022151174</x:v>
      </x:c>
      <x:c r="J286" s="9" t="n">
        <x:f>'原始数据'!G283/'原始数据'!F283</x:f>
        <x:v>0.02716736003819639</x:v>
      </x:c>
      <x:c r="K286" s="2" t="str">
        <x:v>待拆分产品市场</x:v>
      </x:c>
      <x:c r="L286" s="15" t="str">
        <x:v>暂无自动识别标签，仍需核验</x:v>
      </x:c>
      <x:c r="M286" s="2" t="str">
        <x:f>IF(AND(C286&gt;='核验与方法'!$B$7,F286&gt;='核验与方法'!$B$8,G286&gt;='核验与方法'!$B$9,D286&gt;='核验与方法'!$B$10,E286&gt;='核验与方法'!$B$11),"通过需求门槛","未通过需求门槛")</x:f>
        <x:v>未通过需求门槛</x:v>
      </x:c>
      <x:c r="N286" s="2" t="str">
        <x:v>待确认具体产品形态</x:v>
      </x:c>
      <x:c r="O286" s="9" t="n">
        <x:f>G286-'原始数据'!J283</x:f>
        <x:v>0.00009816656205609287</x:v>
      </x:c>
      <x:c r="P286" s="2" t="str">
        <x:v>DATA HOLD</x:v>
      </x:c>
    </x:row>
    <x:row r="287" ht="48" customHeight="1">
      <x:c r="A287" s="2" t="n">
        <x:v>282</x:v>
      </x:c>
      <x:c r="B287" s="2" t="str">
        <x:v>miles morales costume</x:v>
      </x:c>
      <x:c r="C287" s="10" t="n">
        <x:f>'原始数据'!D284</x:f>
        <x:v>161483</x:v>
      </x:c>
      <x:c r="D287" s="9" t="n">
        <x:f>IF(ISNUMBER('原始数据'!E284),'原始数据'!E284,VALUE(SUBSTITUTE('原始数据'!E284,"'","")))</x:f>
        <x:v>0.3026</x:v>
      </x:c>
      <x:c r="E287" s="9" t="n">
        <x:f>IF(ISNUMBER('原始数据'!H284),'原始数据'!H284,VALUE(SUBSTITUTE('原始数据'!H284,"'","")))</x:f>
        <x:v>0.3369</x:v>
      </x:c>
      <x:c r="F287" s="10" t="n">
        <x:f>'原始数据'!L284</x:f>
        <x:v>412</x:v>
      </x:c>
      <x:c r="G287" s="9" t="n">
        <x:f>F287/'原始数据'!G284</x:f>
        <x:v>0.006909853249475891</x:v>
      </x:c>
      <x:c r="H287" s="9" t="n">
        <x:f>'原始数据'!P284/'原始数据'!O284</x:f>
        <x:v>0.06296870959400051</x:v>
      </x:c>
      <x:c r="I287" s="9" t="n">
        <x:f>F287/C287</x:f>
        <x:v>0.0025513521547159764</x:v>
      </x:c>
      <x:c r="J287" s="9" t="n">
        <x:f>'原始数据'!G284/'原始数据'!F284</x:f>
        <x:v>0.025981886539879418</x:v>
      </x:c>
      <x:c r="K287" s="2" t="str">
        <x:v>待拆分产品市场</x:v>
      </x:c>
      <x:c r="L287" s="15" t="str">
        <x:v>品牌或IP需核验；季节/事件影响待核验</x:v>
      </x:c>
      <x:c r="M287" s="2" t="str">
        <x:f>IF(AND(C287&gt;='核验与方法'!$B$7,F287&gt;='核验与方法'!$B$8,G287&gt;='核验与方法'!$B$9,D287&gt;='核验与方法'!$B$10,E287&gt;='核验与方法'!$B$11),"通过需求门槛","未通过需求门槛")</x:f>
        <x:v>未通过需求门槛</x:v>
      </x:c>
      <x:c r="N287" s="2" t="str">
        <x:v>先核验风险标签</x:v>
      </x:c>
      <x:c r="O287" s="9" t="n">
        <x:f>G287-'原始数据'!J284</x:f>
        <x:v>0.000009853249475891106</x:v>
      </x:c>
      <x:c r="P287" s="2" t="str">
        <x:v>DATA HOLD</x:v>
      </x:c>
    </x:row>
    <x:row r="288" ht="48" customHeight="1">
      <x:c r="A288" s="2" t="n">
        <x:v>283</x:v>
      </x:c>
      <x:c r="B288" s="2" t="str">
        <x:v>yellow tops for women</x:v>
      </x:c>
      <x:c r="C288" s="10" t="n">
        <x:f>'原始数据'!D285</x:f>
        <x:v>161278</x:v>
      </x:c>
      <x:c r="D288" s="9" t="n">
        <x:f>IF(ISNUMBER('原始数据'!E285),'原始数据'!E285,VALUE(SUBSTITUTE('原始数据'!E285,"'","")))</x:f>
        <x:v>0.0835</x:v>
      </x:c>
      <x:c r="E288" s="9" t="n">
        <x:f>IF(ISNUMBER('原始数据'!H285),'原始数据'!H285,VALUE(SUBSTITUTE('原始数据'!H285,"'","")))</x:f>
        <x:v>0.074</x:v>
      </x:c>
      <x:c r="F288" s="10" t="n">
        <x:f>'原始数据'!L285</x:f>
        <x:v>1470</x:v>
      </x:c>
      <x:c r="G288" s="9" t="n">
        <x:f>F288/'原始数据'!G285</x:f>
        <x:v>0.034593933118395974</x:v>
      </x:c>
      <x:c r="H288" s="9" t="n">
        <x:f>'原始数据'!P285/'原始数据'!O285</x:f>
        <x:v>0.1991906688883599</x:v>
      </x:c>
      <x:c r="I288" s="9" t="n">
        <x:f>F288/C288</x:f>
        <x:v>0.009114696362802118</x:v>
      </x:c>
      <x:c r="J288" s="9" t="n">
        <x:f>'原始数据'!G285/'原始数据'!F285</x:f>
        <x:v>0.0073491464592378595</x:v>
      </x:c>
      <x:c r="K288" s="2" t="str">
        <x:v>待拆分产品市场</x:v>
      </x:c>
      <x:c r="L288" s="15" t="str">
        <x:v>尺码/颜色变体及退货待核验</x:v>
      </x:c>
      <x:c r="M288" s="2" t="str">
        <x:f>IF(AND(C288&gt;='核验与方法'!$B$7,F288&gt;='核验与方法'!$B$8,G288&gt;='核验与方法'!$B$9,D288&gt;='核验与方法'!$B$10,E288&gt;='核验与方法'!$B$11),"通过需求门槛","未通过需求门槛")</x:f>
        <x:v>未通过需求门槛</x:v>
      </x:c>
      <x:c r="N288" s="2" t="str">
        <x:v>先核验风险标签</x:v>
      </x:c>
      <x:c r="O288" s="9" t="n">
        <x:f>G288-'原始数据'!J285</x:f>
        <x:v>0.00009393311839597102</x:v>
      </x:c>
      <x:c r="P288" s="2" t="str">
        <x:v>DATA HOLD</x:v>
      </x:c>
    </x:row>
    <x:row r="289" ht="48" customHeight="1">
      <x:c r="A289" s="2" t="n">
        <x:v>284</x:v>
      </x:c>
      <x:c r="B289" s="2" t="str">
        <x:v>bathroom wall art</x:v>
      </x:c>
      <x:c r="C289" s="10" t="n">
        <x:f>'原始数据'!D286</x:f>
        <x:v>160758</x:v>
      </x:c>
      <x:c r="D289" s="9" t="n">
        <x:f>IF(ISNUMBER('原始数据'!E286),'原始数据'!E286,VALUE(SUBSTITUTE('原始数据'!E286,"'","")))</x:f>
        <x:v>-0.0496</x:v>
      </x:c>
      <x:c r="E289" s="9" t="n">
        <x:f>IF(ISNUMBER('原始数据'!H286),'原始数据'!H286,VALUE(SUBSTITUTE('原始数据'!H286,"'","")))</x:f>
        <x:v>-0.042</x:v>
      </x:c>
      <x:c r="F289" s="10" t="n">
        <x:f>'原始数据'!L286</x:f>
        <x:v>1181</x:v>
      </x:c>
      <x:c r="G289" s="9" t="n">
        <x:f>F289/'原始数据'!G286</x:f>
        <x:v>0.022097896864007184</x:v>
      </x:c>
      <x:c r="H289" s="9" t="n">
        <x:f>'原始数据'!P286/'原始数据'!O286</x:f>
        <x:v>0.08298796624556848</x:v>
      </x:c>
      <x:c r="I289" s="9" t="n">
        <x:f>F289/C289</x:f>
        <x:v>0.007346446211075032</x:v>
      </x:c>
      <x:c r="J289" s="9" t="n">
        <x:f>'原始数据'!G286/'原始数据'!F286</x:f>
        <x:v>0.009581557169772522</x:v>
      </x:c>
      <x:c r="K289" s="2" t="str">
        <x:v>待拆分产品市场</x:v>
      </x:c>
      <x:c r="L289" s="15" t="str">
        <x:v>暂无自动识别标签，仍需核验</x:v>
      </x:c>
      <x:c r="M289" s="2" t="str">
        <x:f>IF(AND(C289&gt;='核验与方法'!$B$7,F289&gt;='核验与方法'!$B$8,G289&gt;='核验与方法'!$B$9,D289&gt;='核验与方法'!$B$10,E289&gt;='核验与方法'!$B$11),"通过需求门槛","未通过需求门槛")</x:f>
        <x:v>未通过需求门槛</x:v>
      </x:c>
      <x:c r="N289" s="2" t="str">
        <x:v>待确认具体产品形态</x:v>
      </x:c>
      <x:c r="O289" s="9" t="n">
        <x:f>G289-'原始数据'!J286</x:f>
        <x:v>0.00009789686400718534</x:v>
      </x:c>
      <x:c r="P289" s="2" t="str">
        <x:v>DATA HOLD</x:v>
      </x:c>
    </x:row>
    <x:row r="290" ht="48" customHeight="1">
      <x:c r="A290" s="2" t="n">
        <x:v>285</x:v>
      </x:c>
      <x:c r="B290" s="2" t="str">
        <x:v>dtf printer</x:v>
      </x:c>
      <x:c r="C290" s="10" t="n">
        <x:f>'原始数据'!D287</x:f>
        <x:v>160645</x:v>
      </x:c>
      <x:c r="D290" s="9" t="n">
        <x:f>IF(ISNUMBER('原始数据'!E287),'原始数据'!E287,VALUE(SUBSTITUTE('原始数据'!E287,"'","")))</x:f>
        <x:v>0.1926</x:v>
      </x:c>
      <x:c r="E290" s="9" t="n">
        <x:f>IF(ISNUMBER('原始数据'!H287),'原始数据'!H287,VALUE(SUBSTITUTE('原始数据'!H287,"'","")))</x:f>
        <x:v>0.2009</x:v>
      </x:c>
      <x:c r="F290" s="10" t="n">
        <x:f>'原始数据'!L287</x:f>
        <x:v>158</x:v>
      </x:c>
      <x:c r="G290" s="9" t="n">
        <x:f>F290/'原始数据'!G287</x:f>
        <x:v>0.00282733568348156</x:v>
      </x:c>
      <x:c r="H290" s="9" t="n">
        <x:f>'原始数据'!P287/'原始数据'!O287</x:f>
        <x:v>0.007610498585227827</x:v>
      </x:c>
      <x:c r="I290" s="9" t="n">
        <x:f>F290/C290</x:f>
        <x:v>0.000983535124031249</x:v>
      </x:c>
      <x:c r="J290" s="9" t="n">
        <x:f>'原始数据'!G287/'原始数据'!F287</x:f>
        <x:v>0.01547705431079846</x:v>
      </x:c>
      <x:c r="K290" s="2" t="str">
        <x:v>待拆分产品市场</x:v>
      </x:c>
      <x:c r="L290" s="15" t="str">
        <x:v>体积/安装/售后成本待核验</x:v>
      </x:c>
      <x:c r="M290" s="2" t="str">
        <x:f>IF(AND(C290&gt;='核验与方法'!$B$7,F290&gt;='核验与方法'!$B$8,G290&gt;='核验与方法'!$B$9,D290&gt;='核验与方法'!$B$10,E290&gt;='核验与方法'!$B$11),"通过需求门槛","未通过需求门槛")</x:f>
        <x:v>未通过需求门槛</x:v>
      </x:c>
      <x:c r="N290" s="2" t="str">
        <x:v>先核验风险标签</x:v>
      </x:c>
      <x:c r="O290" s="9" t="n">
        <x:f>G290-'原始数据'!J287</x:f>
        <x:v>0.000027335683481559837</x:v>
      </x:c>
      <x:c r="P290" s="2" t="str">
        <x:v>DATA HOLD</x:v>
      </x:c>
    </x:row>
    <x:row r="291" ht="48" customHeight="1">
      <x:c r="A291" s="2" t="n">
        <x:v>286</x:v>
      </x:c>
      <x:c r="B291" s="2" t="str">
        <x:v>mens work boots</x:v>
      </x:c>
      <x:c r="C291" s="10" t="n">
        <x:f>'原始数据'!D288</x:f>
        <x:v>160578</x:v>
      </x:c>
      <x:c r="D291" s="9" t="n">
        <x:f>IF(ISNUMBER('原始数据'!E288),'原始数据'!E288,VALUE(SUBSTITUTE('原始数据'!E288,"'","")))</x:f>
        <x:v>0.1761</x:v>
      </x:c>
      <x:c r="E291" s="9" t="n">
        <x:f>IF(ISNUMBER('原始数据'!H288),'原始数据'!H288,VALUE(SUBSTITUTE('原始数据'!H288,"'","")))</x:f>
        <x:v>0.2</x:v>
      </x:c>
      <x:c r="F291" s="10" t="n">
        <x:f>'原始数据'!L288</x:f>
        <x:v>404</x:v>
      </x:c>
      <x:c r="G291" s="9" t="n">
        <x:f>F291/'原始数据'!G288</x:f>
        <x:v>0.010454404305972467</x:v>
      </x:c>
      <x:c r="H291" s="9" t="n">
        <x:f>'原始数据'!P288/'原始数据'!O288</x:f>
        <x:v>0.14993860272733148</x:v>
      </x:c>
      <x:c r="I291" s="9" t="n">
        <x:f>F291/C291</x:f>
        <x:v>0.0025159112705351915</x:v>
      </x:c>
      <x:c r="J291" s="9" t="n">
        <x:f>'原始数据'!G288/'原始数据'!F288</x:f>
        <x:v>0.010571080146426038</x:v>
      </x:c>
      <x:c r="K291" s="2" t="str">
        <x:v>待拆分产品市场</x:v>
      </x:c>
      <x:c r="L291" s="15" t="str">
        <x:v>尺码/颜色变体及退货待核验</x:v>
      </x:c>
      <x:c r="M291" s="2" t="str">
        <x:f>IF(AND(C291&gt;='核验与方法'!$B$7,F291&gt;='核验与方法'!$B$8,G291&gt;='核验与方法'!$B$9,D291&gt;='核验与方法'!$B$10,E291&gt;='核验与方法'!$B$11),"通过需求门槛","未通过需求门槛")</x:f>
        <x:v>未通过需求门槛</x:v>
      </x:c>
      <x:c r="N291" s="2" t="str">
        <x:v>先核验风险标签</x:v>
      </x:c>
      <x:c r="O291" s="9" t="n">
        <x:f>G291-'原始数据'!J288</x:f>
        <x:v>0.000054404305972467065</x:v>
      </x:c>
      <x:c r="P291" s="2" t="str">
        <x:v>DATA HOLD</x:v>
      </x:c>
    </x:row>
    <x:row r="292" ht="48" customHeight="1">
      <x:c r="A292" s="2" t="n">
        <x:v>287</x:v>
      </x:c>
      <x:c r="B292" s="2" t="str">
        <x:v>chicago bears womens apparel</x:v>
      </x:c>
      <x:c r="C292" s="10" t="n">
        <x:f>'原始数据'!D289</x:f>
        <x:v>160543</x:v>
      </x:c>
      <x:c r="D292" s="9" t="n">
        <x:f>IF(ISNUMBER('原始数据'!E289),'原始数据'!E289,VALUE(SUBSTITUTE('原始数据'!E289,"'","")))</x:f>
        <x:v>2.0521</x:v>
      </x:c>
      <x:c r="E292" s="9" t="n">
        <x:f>IF(ISNUMBER('原始数据'!H289),'原始数据'!H289,VALUE(SUBSTITUTE('原始数据'!H289,"'","")))</x:f>
        <x:v>2.0378</x:v>
      </x:c>
      <x:c r="F292" s="10" t="n">
        <x:f>'原始数据'!L289</x:f>
        <x:v>1044</x:v>
      </x:c>
      <x:c r="G292" s="9" t="n">
        <x:f>F292/'原始数据'!G289</x:f>
        <x:v>0.030211830072925105</x:v>
      </x:c>
      <x:c r="H292" s="9" t="n">
        <x:f>'原始数据'!P289/'原始数据'!O289</x:f>
        <x:v>0.10030638071133609</x:v>
      </x:c>
      <x:c r="I292" s="9" t="n">
        <x:f>F292/C292</x:f>
        <x:v>0.006502930679008116</x:v>
      </x:c>
      <x:c r="J292" s="9" t="n">
        <x:f>'原始数据'!G289/'原始数据'!F289</x:f>
        <x:v>0.01658398509956102</x:v>
      </x:c>
      <x:c r="K292" s="2" t="str">
        <x:v>待拆分产品市场</x:v>
      </x:c>
      <x:c r="L292" s="15" t="str">
        <x:v>品牌或IP需核验</x:v>
      </x:c>
      <x:c r="M292" s="2" t="str">
        <x:f>IF(AND(C292&gt;='核验与方法'!$B$7,F292&gt;='核验与方法'!$B$8,G292&gt;='核验与方法'!$B$9,D292&gt;='核验与方法'!$B$10,E292&gt;='核验与方法'!$B$11),"通过需求门槛","未通过需求门槛")</x:f>
        <x:v>未通过需求门槛</x:v>
      </x:c>
      <x:c r="N292" s="2" t="str">
        <x:v>先核验风险标签</x:v>
      </x:c>
      <x:c r="O292" s="9" t="n">
        <x:f>G292-'原始数据'!J289</x:f>
        <x:v>0.000011830072925104324</x:v>
      </x:c>
      <x:c r="P292" s="2" t="str">
        <x:v>DATA HOLD</x:v>
      </x:c>
    </x:row>
    <x:row r="293" ht="48" customHeight="1">
      <x:c r="A293" s="2" t="n">
        <x:v>288</x:v>
      </x:c>
      <x:c r="B293" s="2" t="str">
        <x:v>placemats</x:v>
      </x:c>
      <x:c r="C293" s="10" t="n">
        <x:f>'原始数据'!D290</x:f>
        <x:v>160363</x:v>
      </x:c>
      <x:c r="D293" s="9" t="n">
        <x:f>IF(ISNUMBER('原始数据'!E290),'原始数据'!E290,VALUE(SUBSTITUTE('原始数据'!E290,"'","")))</x:f>
        <x:v>-0.0817</x:v>
      </x:c>
      <x:c r="E293" s="9" t="n">
        <x:f>IF(ISNUMBER('原始数据'!H290),'原始数据'!H290,VALUE(SUBSTITUTE('原始数据'!H290,"'","")))</x:f>
        <x:v>-0.0899</x:v>
      </x:c>
      <x:c r="F293" s="10" t="n">
        <x:f>'原始数据'!L290</x:f>
        <x:v>2255</x:v>
      </x:c>
      <x:c r="G293" s="9" t="n">
        <x:f>F293/'原始数据'!G290</x:f>
        <x:v>0.03661784287616511</x:v>
      </x:c>
      <x:c r="H293" s="9" t="n">
        <x:f>'原始数据'!P290/'原始数据'!O290</x:f>
        <x:v>0.22187077972848107</x:v>
      </x:c>
      <x:c r="I293" s="9" t="n">
        <x:f>F293/C293</x:f>
        <x:v>0.014061847184200844</x:v>
      </x:c>
      <x:c r="J293" s="9" t="n">
        <x:f>'原始数据'!G290/'原始数据'!F290</x:f>
        <x:v>0.011174666449398624</x:v>
      </x:c>
      <x:c r="K293" s="2" t="str">
        <x:v>待拆分产品市场</x:v>
      </x:c>
      <x:c r="L293" s="15" t="str">
        <x:v>暂无自动识别标签，仍需核验</x:v>
      </x:c>
      <x:c r="M293" s="2" t="str">
        <x:f>IF(AND(C293&gt;='核验与方法'!$B$7,F293&gt;='核验与方法'!$B$8,G293&gt;='核验与方法'!$B$9,D293&gt;='核验与方法'!$B$10,E293&gt;='核验与方法'!$B$11),"通过需求门槛","未通过需求门槛")</x:f>
        <x:v>未通过需求门槛</x:v>
      </x:c>
      <x:c r="N293" s="2" t="str">
        <x:v>待确认具体产品形态</x:v>
      </x:c>
      <x:c r="O293" s="9" t="n">
        <x:f>G293-'原始数据'!J290</x:f>
        <x:v>0.000017842876165109767</x:v>
      </x:c>
      <x:c r="P293" s="2" t="str">
        <x:v>DATA HOLD</x:v>
      </x:c>
    </x:row>
    <x:row r="294" ht="48" customHeight="1">
      <x:c r="A294" s="2" t="n">
        <x:v>289</x:v>
      </x:c>
      <x:c r="B294" s="2" t="str">
        <x:v>poison ivy costume</x:v>
      </x:c>
      <x:c r="C294" s="10" t="n">
        <x:f>'原始数据'!D291</x:f>
        <x:v>160080</x:v>
      </x:c>
      <x:c r="D294" s="9" t="n">
        <x:f>IF(ISNUMBER('原始数据'!E291),'原始数据'!E291,VALUE(SUBSTITUTE('原始数据'!E291,"'","")))</x:f>
        <x:v>1.7982</x:v>
      </x:c>
      <x:c r="E294" s="9" t="n">
        <x:f>IF(ISNUMBER('原始数据'!H291),'原始数据'!H291,VALUE(SUBSTITUTE('原始数据'!H291,"'","")))</x:f>
        <x:v>1.9372</x:v>
      </x:c>
      <x:c r="F294" s="10" t="n">
        <x:f>'原始数据'!L291</x:f>
        <x:v>396</x:v>
      </x:c>
      <x:c r="G294" s="9" t="n">
        <x:f>F294/'原始数据'!G291</x:f>
        <x:v>0.005813270698766882</x:v>
      </x:c>
      <x:c r="H294" s="9" t="n">
        <x:f>'原始数据'!P291/'原始数据'!O291</x:f>
        <x:v>0.020477815699658702</x:v>
      </x:c>
      <x:c r="I294" s="9" t="n">
        <x:f>F294/C294</x:f>
        <x:v>0.0024737631184407797</x:v>
      </x:c>
      <x:c r="J294" s="9" t="n">
        <x:f>'原始数据'!G291/'原始数据'!F291</x:f>
        <x:v>0.028371192827069416</x:v>
      </x:c>
      <x:c r="K294" s="2" t="str">
        <x:v>待拆分产品市场</x:v>
      </x:c>
      <x:c r="L294" s="15" t="str">
        <x:v>季节/事件影响待核验</x:v>
      </x:c>
      <x:c r="M294" s="2" t="str">
        <x:f>IF(AND(C294&gt;='核验与方法'!$B$7,F294&gt;='核验与方法'!$B$8,G294&gt;='核验与方法'!$B$9,D294&gt;='核验与方法'!$B$10,E294&gt;='核验与方法'!$B$11),"通过需求门槛","未通过需求门槛")</x:f>
        <x:v>未通过需求门槛</x:v>
      </x:c>
      <x:c r="N294" s="2" t="str">
        <x:v>先核验风险标签</x:v>
      </x:c>
      <x:c r="O294" s="9" t="n">
        <x:f>G294-'原始数据'!J291</x:f>
        <x:v>0.000013270698766882152</x:v>
      </x:c>
      <x:c r="P294" s="2" t="str">
        <x:v>DATA HOLD</x:v>
      </x:c>
    </x:row>
    <x:row r="295" ht="48" customHeight="1">
      <x:c r="A295" s="2" t="n">
        <x:v>290</x:v>
      </x:c>
      <x:c r="B295" s="2" t="str">
        <x:v>coach wallet</x:v>
      </x:c>
      <x:c r="C295" s="10" t="n">
        <x:f>'原始数据'!D292</x:f>
        <x:v>159746</x:v>
      </x:c>
      <x:c r="D295" s="9" t="n">
        <x:f>IF(ISNUMBER('原始数据'!E292),'原始数据'!E292,VALUE(SUBSTITUTE('原始数据'!E292,"'","")))</x:f>
        <x:v>0.0372</x:v>
      </x:c>
      <x:c r="E295" s="9" t="n">
        <x:f>IF(ISNUMBER('原始数据'!H292),'原始数据'!H292,VALUE(SUBSTITUTE('原始数据'!H292,"'","")))</x:f>
        <x:v>0.0553</x:v>
      </x:c>
      <x:c r="F295" s="10" t="n">
        <x:f>'原始数据'!L292</x:f>
        <x:v>524</x:v>
      </x:c>
      <x:c r="G295" s="9" t="n">
        <x:f>F295/'原始数据'!G292</x:f>
        <x:v>0.007815879361007114</x:v>
      </x:c>
      <x:c r="H295" s="9" t="n">
        <x:f>'原始数据'!P292/'原始数据'!O292</x:f>
        <x:v>0.04411022972167454</x:v>
      </x:c>
      <x:c r="I295" s="9" t="n">
        <x:f>F295/C295</x:f>
        <x:v>0.0032802073291350016</x:v>
      </x:c>
      <x:c r="J295" s="9" t="n">
        <x:f>'原始数据'!G292/'原始数据'!F292</x:f>
        <x:v>0.018886203321839858</x:v>
      </x:c>
      <x:c r="K295" s="2" t="str">
        <x:v>待拆分产品市场</x:v>
      </x:c>
      <x:c r="L295" s="15" t="str">
        <x:v>品牌或IP需核验</x:v>
      </x:c>
      <x:c r="M295" s="2" t="str">
        <x:f>IF(AND(C295&gt;='核验与方法'!$B$7,F295&gt;='核验与方法'!$B$8,G295&gt;='核验与方法'!$B$9,D295&gt;='核验与方法'!$B$10,E295&gt;='核验与方法'!$B$11),"通过需求门槛","未通过需求门槛")</x:f>
        <x:v>未通过需求门槛</x:v>
      </x:c>
      <x:c r="N295" s="2" t="str">
        <x:v>先核验风险标签</x:v>
      </x:c>
      <x:c r="O295" s="9" t="n">
        <x:f>G295-'原始数据'!J292</x:f>
        <x:v>0.00001587936100711472</x:v>
      </x:c>
      <x:c r="P295" s="2" t="str">
        <x:v>DATA HOLD</x:v>
      </x:c>
    </x:row>
    <x:row r="296" ht="48" customHeight="1">
      <x:c r="A296" s="2" t="n">
        <x:v>291</x:v>
      </x:c>
      <x:c r="B296" s="2" t="str">
        <x:v>milk gallon</x:v>
      </x:c>
      <x:c r="C296" s="10" t="n">
        <x:f>'原始数据'!D293</x:f>
        <x:v>159587</x:v>
      </x:c>
      <x:c r="D296" s="9" t="n">
        <x:f>IF(ISNUMBER('原始数据'!E293),'原始数据'!E293,VALUE(SUBSTITUTE('原始数据'!E293,"'","")))</x:f>
        <x:v>0.1299</x:v>
      </x:c>
      <x:c r="E296" s="9" t="n">
        <x:f>IF(ISNUMBER('原始数据'!H293),'原始数据'!H293,VALUE(SUBSTITUTE('原始数据'!H293,"'","")))</x:f>
        <x:v>0.03</x:v>
      </x:c>
      <x:c r="F296" s="10" t="n">
        <x:f>'原始数据'!L293</x:f>
        <x:v>17274</x:v>
      </x:c>
      <x:c r="G296" s="9" t="n">
        <x:f>F296/'原始数据'!G293</x:f>
        <x:v>0.3405958554330895</x:v>
      </x:c>
      <x:c r="H296" s="9" t="n">
        <x:f>'原始数据'!P293/'原始数据'!O293</x:f>
        <x:v>0.4597347534965487</x:v>
      </x:c>
      <x:c r="I296" s="9" t="n">
        <x:f>F296/C296</x:f>
        <x:v>0.10824189940283356</x:v>
      </x:c>
      <x:c r="J296" s="9" t="n">
        <x:f>'原始数据'!G293/'原始数据'!F293</x:f>
        <x:v>0.016791946010965075</x:v>
      </x:c>
      <x:c r="K296" s="2" t="str">
        <x:v>专业供给</x:v>
      </x:c>
      <x:c r="L296" s="15" t="str">
        <x:v>食品/补剂或耗材需独立供应链</x:v>
      </x:c>
      <x:c r="M296" s="2" t="str">
        <x:f>IF(AND(C296&gt;='核验与方法'!$B$7,F296&gt;='核验与方法'!$B$8,G296&gt;='核验与方法'!$B$9,D296&gt;='核验与方法'!$B$10,E296&gt;='核验与方法'!$B$11),"通过需求门槛","未通过需求门槛")</x:f>
        <x:v>通过需求门槛</x:v>
      </x:c>
      <x:c r="N296" s="2" t="str">
        <x:v>先核验风险标签</x:v>
      </x:c>
      <x:c r="O296" s="9" t="n">
        <x:f>G296-'原始数据'!J293</x:f>
        <x:v>0.00009585543308948674</x:v>
      </x:c>
      <x:c r="P296" s="2" t="str">
        <x:v>DATA HOLD</x:v>
      </x:c>
    </x:row>
    <x:row r="297" ht="48" customHeight="1">
      <x:c r="A297" s="2" t="n">
        <x:v>292</x:v>
      </x:c>
      <x:c r="B297" s="2" t="str">
        <x:v>vinyl record storage</x:v>
      </x:c>
      <x:c r="C297" s="10" t="n">
        <x:f>'原始数据'!D294</x:f>
        <x:v>159490</x:v>
      </x:c>
      <x:c r="D297" s="9" t="n">
        <x:f>IF(ISNUMBER('原始数据'!E294),'原始数据'!E294,VALUE(SUBSTITUTE('原始数据'!E294,"'","")))</x:f>
        <x:v>-0.0642</x:v>
      </x:c>
      <x:c r="E297" s="9" t="n">
        <x:f>IF(ISNUMBER('原始数据'!H294),'原始数据'!H294,VALUE(SUBSTITUTE('原始数据'!H294,"'","")))</x:f>
        <x:v>-0.0754</x:v>
      </x:c>
      <x:c r="F297" s="10" t="n">
        <x:f>'原始数据'!L294</x:f>
        <x:v>3246</x:v>
      </x:c>
      <x:c r="G297" s="9" t="n">
        <x:f>F297/'原始数据'!G294</x:f>
        <x:v>0.05748286670562609</x:v>
      </x:c>
      <x:c r="H297" s="9" t="n">
        <x:f>'原始数据'!P294/'原始数据'!O294</x:f>
        <x:v>0.17300312792235015</x:v>
      </x:c>
      <x:c r="I297" s="9" t="n">
        <x:f>F297/C297</x:f>
        <x:v>0.020352373189541664</x:v>
      </x:c>
      <x:c r="J297" s="9" t="n">
        <x:f>'原始数据'!G294/'原始数据'!F294</x:f>
        <x:v>0.010797423028039571</x:v>
      </x:c>
      <x:c r="K297" s="2" t="str">
        <x:v>待拆分产品市场</x:v>
      </x:c>
      <x:c r="L297" s="15" t="str">
        <x:v>暂无自动识别标签，仍需核验</x:v>
      </x:c>
      <x:c r="M297" s="2" t="str">
        <x:f>IF(AND(C297&gt;='核验与方法'!$B$7,F297&gt;='核验与方法'!$B$8,G297&gt;='核验与方法'!$B$9,D297&gt;='核验与方法'!$B$10,E297&gt;='核验与方法'!$B$11),"通过需求门槛","未通过需求门槛")</x:f>
        <x:v>未通过需求门槛</x:v>
      </x:c>
      <x:c r="N297" s="2" t="str">
        <x:v>待确认具体产品形态</x:v>
      </x:c>
      <x:c r="O297" s="9" t="n">
        <x:f>G297-'原始数据'!J294</x:f>
        <x:v>0.00008286670562609316</x:v>
      </x:c>
      <x:c r="P297" s="2" t="str">
        <x:v>DATA HOLD</x:v>
      </x:c>
    </x:row>
    <x:row r="298" ht="48" customHeight="1">
      <x:c r="A298" s="2" t="n">
        <x:v>293</x:v>
      </x:c>
      <x:c r="B298" s="2" t="str">
        <x:v>bandage dress</x:v>
      </x:c>
      <x:c r="C298" s="10" t="n">
        <x:f>'原始数据'!D295</x:f>
        <x:v>159330</x:v>
      </x:c>
      <x:c r="D298" s="9" t="n">
        <x:f>IF(ISNUMBER('原始数据'!E295),'原始数据'!E295,VALUE(SUBSTITUTE('原始数据'!E295,"'","")))</x:f>
        <x:v>0.2417</x:v>
      </x:c>
      <x:c r="E298" s="9" t="n">
        <x:f>IF(ISNUMBER('原始数据'!H295),'原始数据'!H295,VALUE(SUBSTITUTE('原始数据'!H295,"'","")))</x:f>
        <x:v>0.2436</x:v>
      </x:c>
      <x:c r="F298" s="10" t="n">
        <x:f>'原始数据'!L295</x:f>
        <x:v>240</x:v>
      </x:c>
      <x:c r="G298" s="9" t="n">
        <x:f>F298/'原始数据'!G295</x:f>
        <x:v>0.00517821696729093</x:v>
      </x:c>
      <x:c r="H298" s="9" t="n">
        <x:f>'原始数据'!P295/'原始数据'!O295</x:f>
        <x:v>0.04328600206357785</x:v>
      </x:c>
      <x:c r="I298" s="9" t="n">
        <x:f>F298/C298</x:f>
        <x:v>0.0015063076633402373</x:v>
      </x:c>
      <x:c r="J298" s="9" t="n">
        <x:f>'原始数据'!G295/'原始数据'!F295</x:f>
        <x:v>0.011071767017992458</x:v>
      </x:c>
      <x:c r="K298" s="2" t="str">
        <x:v>待拆分产品市场</x:v>
      </x:c>
      <x:c r="L298" s="15" t="str">
        <x:v>尺码/颜色变体及退货待核验</x:v>
      </x:c>
      <x:c r="M298" s="2" t="str">
        <x:f>IF(AND(C298&gt;='核验与方法'!$B$7,F298&gt;='核验与方法'!$B$8,G298&gt;='核验与方法'!$B$9,D298&gt;='核验与方法'!$B$10,E298&gt;='核验与方法'!$B$11),"通过需求门槛","未通过需求门槛")</x:f>
        <x:v>未通过需求门槛</x:v>
      </x:c>
      <x:c r="N298" s="2" t="str">
        <x:v>先核验风险标签</x:v>
      </x:c>
      <x:c r="O298" s="9" t="n">
        <x:f>G298-'原始数据'!J295</x:f>
        <x:v>0.00007821696729092952</x:v>
      </x:c>
      <x:c r="P298" s="2" t="str">
        <x:v>DATA HOLD</x:v>
      </x:c>
    </x:row>
    <x:row r="299" ht="48" customHeight="1">
      <x:c r="A299" s="2" t="n">
        <x:v>294</x:v>
      </x:c>
      <x:c r="B299" s="2" t="str">
        <x:v>festival outfits for women</x:v>
      </x:c>
      <x:c r="C299" s="10" t="n">
        <x:f>'原始数据'!D296</x:f>
        <x:v>158793</x:v>
      </x:c>
      <x:c r="D299" s="9" t="n">
        <x:f>IF(ISNUMBER('原始数据'!E296),'原始数据'!E296,VALUE(SUBSTITUTE('原始数据'!E296,"'","")))</x:f>
        <x:v>0.0351</x:v>
      </x:c>
      <x:c r="E299" s="9" t="n">
        <x:f>IF(ISNUMBER('原始数据'!H296),'原始数据'!H296,VALUE(SUBSTITUTE('原始数据'!H296,"'","")))</x:f>
        <x:v>0.0627</x:v>
      </x:c>
      <x:c r="F299" s="10" t="n">
        <x:f>'原始数据'!L296</x:f>
        <x:v>894</x:v>
      </x:c>
      <x:c r="G299" s="9" t="n">
        <x:f>F299/'原始数据'!G296</x:f>
        <x:v>0.021168781966281493</x:v>
      </x:c>
      <x:c r="H299" s="9" t="n">
        <x:f>'原始数据'!P296/'原始数据'!O296</x:f>
        <x:v>0.10312953915225143</x:v>
      </x:c>
      <x:c r="I299" s="9" t="n">
        <x:f>F299/C299</x:f>
        <x:v>0.00562997109444371</x:v>
      </x:c>
      <x:c r="J299" s="9" t="n">
        <x:f>'原始数据'!G296/'原始数据'!F296</x:f>
        <x:v>0.00756286524285712</x:v>
      </x:c>
      <x:c r="K299" s="2" t="str">
        <x:v>待拆分产品市场</x:v>
      </x:c>
      <x:c r="L299" s="15" t="str">
        <x:v>尺码/颜色变体及退货待核验</x:v>
      </x:c>
      <x:c r="M299" s="2" t="str">
        <x:f>IF(AND(C299&gt;='核验与方法'!$B$7,F299&gt;='核验与方法'!$B$8,G299&gt;='核验与方法'!$B$9,D299&gt;='核验与方法'!$B$10,E299&gt;='核验与方法'!$B$11),"通过需求门槛","未通过需求门槛")</x:f>
        <x:v>未通过需求门槛</x:v>
      </x:c>
      <x:c r="N299" s="2" t="str">
        <x:v>先核验风险标签</x:v>
      </x:c>
      <x:c r="O299" s="9" t="n">
        <x:f>G299-'原始数据'!J296</x:f>
        <x:v>0.00006878196628149272</x:v>
      </x:c>
      <x:c r="P299" s="2" t="str">
        <x:v>DATA HOLD</x:v>
      </x:c>
    </x:row>
    <x:row r="300" ht="48" customHeight="1">
      <x:c r="A300" s="2" t="n">
        <x:v>295</x:v>
      </x:c>
      <x:c r="B300" s="2" t="str">
        <x:v>desk accessories for women</x:v>
      </x:c>
      <x:c r="C300" s="10" t="n">
        <x:f>'原始数据'!D297</x:f>
        <x:v>158624</x:v>
      </x:c>
      <x:c r="D300" s="9" t="n">
        <x:f>IF(ISNUMBER('原始数据'!E297),'原始数据'!E297,VALUE(SUBSTITUTE('原始数据'!E297,"'","")))</x:f>
        <x:v>-0.1216</x:v>
      </x:c>
      <x:c r="E300" s="9" t="n">
        <x:f>IF(ISNUMBER('原始数据'!H297),'原始数据'!H297,VALUE(SUBSTITUTE('原始数据'!H297,"'","")))</x:f>
        <x:v>-0.1251</x:v>
      </x:c>
      <x:c r="F300" s="10" t="n">
        <x:f>'原始数据'!L297</x:f>
        <x:v>1603</x:v>
      </x:c>
      <x:c r="G300" s="9" t="n">
        <x:f>F300/'原始数据'!G297</x:f>
        <x:v>0.031292702924296256</x:v>
      </x:c>
      <x:c r="H300" s="9" t="n">
        <x:f>'原始数据'!P297/'原始数据'!O297</x:f>
        <x:v>0.09071415252657095</x:v>
      </x:c>
      <x:c r="I300" s="9" t="n">
        <x:f>F300/C300</x:f>
        <x:v>0.010105658664514827</x:v>
      </x:c>
      <x:c r="J300" s="9" t="n">
        <x:f>'原始数据'!G297/'原始数据'!F297</x:f>
        <x:v>0.008311349991619857</x:v>
      </x:c>
      <x:c r="K300" s="2" t="str">
        <x:v>待拆分产品市场</x:v>
      </x:c>
      <x:c r="L300" s="15" t="str">
        <x:v>暂无自动识别标签，仍需核验</x:v>
      </x:c>
      <x:c r="M300" s="2" t="str">
        <x:f>IF(AND(C300&gt;='核验与方法'!$B$7,F300&gt;='核验与方法'!$B$8,G300&gt;='核验与方法'!$B$9,D300&gt;='核验与方法'!$B$10,E300&gt;='核验与方法'!$B$11),"通过需求门槛","未通过需求门槛")</x:f>
        <x:v>未通过需求门槛</x:v>
      </x:c>
      <x:c r="N300" s="2" t="str">
        <x:v>待确认具体产品形态</x:v>
      </x:c>
      <x:c r="O300" s="9" t="n">
        <x:f>G300-'原始数据'!J297</x:f>
        <x:v>0.00009270292429625765</x:v>
      </x:c>
      <x:c r="P300" s="2" t="str">
        <x:v>DATA HOLD</x:v>
      </x:c>
    </x:row>
    <x:row r="301" ht="48" customHeight="1">
      <x:c r="A301" s="2" t="n">
        <x:v>296</x:v>
      </x:c>
      <x:c r="B301" s="2" t="str">
        <x:v>optimus prime</x:v>
      </x:c>
      <x:c r="C301" s="10" t="n">
        <x:f>'原始数据'!D298</x:f>
        <x:v>158600</x:v>
      </x:c>
      <x:c r="D301" s="9" t="n">
        <x:f>IF(ISNUMBER('原始数据'!E298),'原始数据'!E298,VALUE(SUBSTITUTE('原始数据'!E298,"'","")))</x:f>
        <x:v>1.9874</x:v>
      </x:c>
      <x:c r="E301" s="9" t="n">
        <x:f>IF(ISNUMBER('原始数据'!H298),'原始数据'!H298,VALUE(SUBSTITUTE('原始数据'!H298,"'","")))</x:f>
        <x:v>2.1205</x:v>
      </x:c>
      <x:c r="F301" s="10" t="n">
        <x:f>'原始数据'!L298</x:f>
        <x:v>1368</x:v>
      </x:c>
      <x:c r="G301" s="9" t="n">
        <x:f>F301/'原始数据'!G298</x:f>
        <x:v>0.020456686555111927</x:v>
      </x:c>
      <x:c r="H301" s="9" t="n">
        <x:f>'原始数据'!P298/'原始数据'!O298</x:f>
        <x:v>0.08547987025376837</x:v>
      </x:c>
      <x:c r="I301" s="9" t="n">
        <x:f>F301/C301</x:f>
        <x:v>0.00862547288776797</x:v>
      </x:c>
      <x:c r="J301" s="9" t="n">
        <x:f>'原始数据'!G298/'原始数据'!F298</x:f>
        <x:v>0.03750473204696434</x:v>
      </x:c>
      <x:c r="K301" s="2" t="str">
        <x:v>待拆分产品市场</x:v>
      </x:c>
      <x:c r="L301" s="15" t="str">
        <x:v>品牌或IP需核验</x:v>
      </x:c>
      <x:c r="M301" s="2" t="str">
        <x:f>IF(AND(C301&gt;='核验与方法'!$B$7,F301&gt;='核验与方法'!$B$8,G301&gt;='核验与方法'!$B$9,D301&gt;='核验与方法'!$B$10,E301&gt;='核验与方法'!$B$11),"通过需求门槛","未通过需求门槛")</x:f>
        <x:v>未通过需求门槛</x:v>
      </x:c>
      <x:c r="N301" s="2" t="str">
        <x:v>先核验风险标签</x:v>
      </x:c>
      <x:c r="O301" s="9" t="n">
        <x:f>G301-'原始数据'!J298</x:f>
        <x:v>0.00005668655511192541</x:v>
      </x:c>
      <x:c r="P301" s="2" t="str">
        <x:v>DATA HOLD</x:v>
      </x:c>
    </x:row>
    <x:row r="302" ht="48" customHeight="1">
      <x:c r="A302" s="2" t="n">
        <x:v>297</x:v>
      </x:c>
      <x:c r="B302" s="2" t="str">
        <x:v>water bottles 40 pack</x:v>
      </x:c>
      <x:c r="C302" s="10" t="n">
        <x:f>'原始数据'!D299</x:f>
        <x:v>158589</x:v>
      </x:c>
      <x:c r="D302" s="9" t="n">
        <x:f>IF(ISNUMBER('原始数据'!E299),'原始数据'!E299,VALUE(SUBSTITUTE('原始数据'!E299,"'","")))</x:f>
        <x:v>0.1111</x:v>
      </x:c>
      <x:c r="E302" s="9" t="n">
        <x:f>IF(ISNUMBER('原始数据'!H299),'原始数据'!H299,VALUE(SUBSTITUTE('原始数据'!H299,"'","")))</x:f>
        <x:v>0.0982</x:v>
      </x:c>
      <x:c r="F302" s="10" t="n">
        <x:f>'原始数据'!L299</x:f>
        <x:v>6822</x:v>
      </x:c>
      <x:c r="G302" s="9" t="n">
        <x:f>F302/'原始数据'!G299</x:f>
        <x:v>0.15500318095064983</x:v>
      </x:c>
      <x:c r="H302" s="9" t="n">
        <x:f>'原始数据'!P299/'原始数据'!O299</x:f>
        <x:v>0.23397811645173897</x:v>
      </x:c>
      <x:c r="I302" s="9" t="n">
        <x:f>F302/C302</x:f>
        <x:v>0.04301685488905283</x:v>
      </x:c>
      <x:c r="J302" s="9" t="n">
        <x:f>'原始数据'!G299/'原始数据'!F299</x:f>
        <x:v>0.011734809098716428</x:v>
      </x:c>
      <x:c r="K302" s="2" t="str">
        <x:v>专业供给</x:v>
      </x:c>
      <x:c r="L302" s="15" t="str">
        <x:v>食品/补剂或耗材需独立供应链</x:v>
      </x:c>
      <x:c r="M302" s="2" t="str">
        <x:f>IF(AND(C302&gt;='核验与方法'!$B$7,F302&gt;='核验与方法'!$B$8,G302&gt;='核验与方法'!$B$9,D302&gt;='核验与方法'!$B$10,E302&gt;='核验与方法'!$B$11),"通过需求门槛","未通过需求门槛")</x:f>
        <x:v>通过需求门槛</x:v>
      </x:c>
      <x:c r="N302" s="2" t="str">
        <x:v>先核验风险标签</x:v>
      </x:c>
      <x:c r="O302" s="9" t="n">
        <x:f>G302-'原始数据'!J299</x:f>
        <x:v>0.0000031809506498281515</x:v>
      </x:c>
      <x:c r="P302" s="2" t="str">
        <x:v>DATA HOLD</x:v>
      </x:c>
    </x:row>
    <x:row r="303" ht="48" customHeight="1">
      <x:c r="A303" s="2" t="n">
        <x:v>298</x:v>
      </x:c>
      <x:c r="B303" s="2" t="str">
        <x:v>jewelry making supplies</x:v>
      </x:c>
      <x:c r="C303" s="10" t="n">
        <x:f>'原始数据'!D300</x:f>
        <x:v>157781</x:v>
      </x:c>
      <x:c r="D303" s="9" t="n">
        <x:f>IF(ISNUMBER('原始数据'!E300),'原始数据'!E300,VALUE(SUBSTITUTE('原始数据'!E300,"'","")))</x:f>
        <x:v>-0.0006</x:v>
      </x:c>
      <x:c r="E303" s="9" t="n">
        <x:f>IF(ISNUMBER('原始数据'!H300),'原始数据'!H300,VALUE(SUBSTITUTE('原始数据'!H300,"'","")))</x:f>
        <x:v>-0.0233</x:v>
      </x:c>
      <x:c r="F303" s="10" t="n">
        <x:f>'原始数据'!L300</x:f>
        <x:v>3220</x:v>
      </x:c>
      <x:c r="G303" s="9" t="n">
        <x:f>F303/'原始数据'!G300</x:f>
        <x:v>0.050508219349981176</x:v>
      </x:c>
      <x:c r="H303" s="9" t="n">
        <x:f>'原始数据'!P300/'原始数据'!O300</x:f>
        <x:v>0.1436454486204649</x:v>
      </x:c>
      <x:c r="I303" s="9" t="n">
        <x:f>F303/C303</x:f>
        <x:v>0.02040803392043402</x:v>
      </x:c>
      <x:c r="J303" s="9" t="n">
        <x:f>'原始数据'!G300/'原始数据'!F300</x:f>
        <x:v>0.013016963992021412</x:v>
      </x:c>
      <x:c r="K303" s="2" t="str">
        <x:v>待拆分产品市场</x:v>
      </x:c>
      <x:c r="L303" s="15" t="str">
        <x:v>暂无自动识别标签，仍需核验</x:v>
      </x:c>
      <x:c r="M303" s="2" t="str">
        <x:f>IF(AND(C303&gt;='核验与方法'!$B$7,F303&gt;='核验与方法'!$B$8,G303&gt;='核验与方法'!$B$9,D303&gt;='核验与方法'!$B$10,E303&gt;='核验与方法'!$B$11),"通过需求门槛","未通过需求门槛")</x:f>
        <x:v>未通过需求门槛</x:v>
      </x:c>
      <x:c r="N303" s="2" t="str">
        <x:v>待确认具体产品形态</x:v>
      </x:c>
      <x:c r="O303" s="9" t="n">
        <x:f>G303-'原始数据'!J300</x:f>
        <x:v>0.000008219349981172797</x:v>
      </x:c>
      <x:c r="P303" s="2" t="str">
        <x:v>DATA HOLD</x:v>
      </x:c>
    </x:row>
    <x:row r="304" ht="48" customHeight="1">
      <x:c r="A304" s="2" t="n">
        <x:v>299</x:v>
      </x:c>
      <x:c r="B304" s="2" t="str">
        <x:v>cabinet knobs</x:v>
      </x:c>
      <x:c r="C304" s="10" t="n">
        <x:f>'原始数据'!D301</x:f>
        <x:v>157612</x:v>
      </x:c>
      <x:c r="D304" s="9" t="n">
        <x:f>IF(ISNUMBER('原始数据'!E301),'原始数据'!E301,VALUE(SUBSTITUTE('原始数据'!E301,"'","")))</x:f>
        <x:v>-0.0184</x:v>
      </x:c>
      <x:c r="E304" s="9" t="n">
        <x:f>IF(ISNUMBER('原始数据'!H301),'原始数据'!H301,VALUE(SUBSTITUTE('原始数据'!H301,"'","")))</x:f>
        <x:v>-0.0191</x:v>
      </x:c>
      <x:c r="F304" s="10" t="n">
        <x:f>'原始数据'!L301</x:f>
        <x:v>2417</x:v>
      </x:c>
      <x:c r="G304" s="9" t="n">
        <x:f>F304/'原始数据'!G301</x:f>
        <x:v>0.0425723042237644</x:v>
      </x:c>
      <x:c r="H304" s="9" t="n">
        <x:f>'原始数据'!P301/'原始数据'!O301</x:f>
        <x:v>0.19249036652029752</x:v>
      </x:c>
      <x:c r="I304" s="9" t="n">
        <x:f>F304/C304</x:f>
        <x:v>0.015335126766997437</x:v>
      </x:c>
      <x:c r="J304" s="9" t="n">
        <x:f>'原始数据'!G301/'原始数据'!F301</x:f>
        <x:v>0.01175993444562558</x:v>
      </x:c>
      <x:c r="K304" s="2" t="str">
        <x:v>已选候选</x:v>
      </x:c>
      <x:c r="L304" s="15" t="str">
        <x:v>暂无自动识别标签，仍需核验</x:v>
      </x:c>
      <x:c r="M304" s="2" t="str">
        <x:f>IF(AND(C304&gt;='核验与方法'!$B$7,F304&gt;='核验与方法'!$B$8,G304&gt;='核验与方法'!$B$9,D304&gt;='核验与方法'!$B$10,E304&gt;='核验与方法'!$B$11),"通过需求门槛","未通过需求门槛")</x:f>
        <x:v>未通过需求门槛</x:v>
      </x:c>
      <x:c r="N304" s="2" t="str">
        <x:v>候选研究</x:v>
      </x:c>
      <x:c r="O304" s="9" t="n">
        <x:f>G304-'原始数据'!J301</x:f>
        <x:v>0.0000723042237643981</x:v>
      </x:c>
      <x:c r="P304" s="2" t="str">
        <x:v>DATA HOLD</x:v>
      </x:c>
    </x:row>
    <x:row r="305" ht="48" customHeight="1">
      <x:c r="A305" s="2" t="n">
        <x:v>300</x:v>
      </x:c>
      <x:c r="B305" s="2" t="str">
        <x:v>bar cabinet</x:v>
      </x:c>
      <x:c r="C305" s="10" t="n">
        <x:f>'原始数据'!D302</x:f>
        <x:v>156838</x:v>
      </x:c>
      <x:c r="D305" s="9" t="n">
        <x:f>IF(ISNUMBER('原始数据'!E302),'原始数据'!E302,VALUE(SUBSTITUTE('原始数据'!E302,"'","")))</x:f>
        <x:v>0.04</x:v>
      </x:c>
      <x:c r="E305" s="9" t="n">
        <x:f>IF(ISNUMBER('原始数据'!H302),'原始数据'!H302,VALUE(SUBSTITUTE('原始数据'!H302,"'","")))</x:f>
        <x:v>0.056</x:v>
      </x:c>
      <x:c r="F305" s="10" t="n">
        <x:f>'原始数据'!L302</x:f>
        <x:v>350</x:v>
      </x:c>
      <x:c r="G305" s="9" t="n">
        <x:f>F305/'原始数据'!G302</x:f>
        <x:v>0.006154495419296981</x:v>
      </x:c>
      <x:c r="H305" s="9" t="n">
        <x:f>'原始数据'!P302/'原始数据'!O302</x:f>
        <x:v>0.022529274004683842</x:v>
      </x:c>
      <x:c r="I305" s="9" t="n">
        <x:f>F305/C305</x:f>
        <x:v>0.002231602035221056</x:v>
      </x:c>
      <x:c r="J305" s="9" t="n">
        <x:f>'原始数据'!G302/'原始数据'!F302</x:f>
        <x:v>0.013371423868893317</x:v>
      </x:c>
      <x:c r="K305" s="2" t="str">
        <x:v>待拆分产品市场</x:v>
      </x:c>
      <x:c r="L305" s="15" t="str">
        <x:v>体积/安装/售后成本待核验</x:v>
      </x:c>
      <x:c r="M305" s="2" t="str">
        <x:f>IF(AND(C305&gt;='核验与方法'!$B$7,F305&gt;='核验与方法'!$B$8,G305&gt;='核验与方法'!$B$9,D305&gt;='核验与方法'!$B$10,E305&gt;='核验与方法'!$B$11),"通过需求门槛","未通过需求门槛")</x:f>
        <x:v>未通过需求门槛</x:v>
      </x:c>
      <x:c r="N305" s="2" t="str">
        <x:v>先核验风险标签</x:v>
      </x:c>
      <x:c r="O305" s="9" t="n">
        <x:f>G305-'原始数据'!J302</x:f>
        <x:v>0.00005449541929698071</x:v>
      </x:c>
      <x:c r="P305" s="2" t="str">
        <x:v>DATA HOLD</x:v>
      </x:c>
    </x:row>
    <x:row r="306" ht="48" customHeight="1">
      <x:c r="A306" s="2" t="n">
        <x:v>301</x:v>
      </x:c>
      <x:c r="B306" s="2" t="str">
        <x:v>black lace top</x:v>
      </x:c>
      <x:c r="C306" s="10" t="n">
        <x:f>'原始数据'!D303</x:f>
        <x:v>156206</x:v>
      </x:c>
      <x:c r="D306" s="9" t="n">
        <x:f>IF(ISNUMBER('原始数据'!E303),'原始数据'!E303,VALUE(SUBSTITUTE('原始数据'!E303,"'","")))</x:f>
        <x:v>0.4532</x:v>
      </x:c>
      <x:c r="E306" s="9" t="n">
        <x:f>IF(ISNUMBER('原始数据'!H303),'原始数据'!H303,VALUE(SUBSTITUTE('原始数据'!H303,"'","")))</x:f>
        <x:v>0.5096</x:v>
      </x:c>
      <x:c r="F306" s="10" t="n">
        <x:f>'原始数据'!L303</x:f>
        <x:v>1228</x:v>
      </x:c>
      <x:c r="G306" s="9" t="n">
        <x:f>F306/'原始数据'!G303</x:f>
        <x:v>0.028315808891348458</x:v>
      </x:c>
      <x:c r="H306" s="9" t="n">
        <x:f>'原始数据'!P303/'原始数据'!O303</x:f>
        <x:v>0.14806306776652398</x:v>
      </x:c>
      <x:c r="I306" s="9" t="n">
        <x:f>F306/C306</x:f>
        <x:v>0.007861413774118791</x:v>
      </x:c>
      <x:c r="J306" s="9" t="n">
        <x:f>'原始数据'!G303/'原始数据'!F303</x:f>
        <x:v>0.010453785604350441</x:v>
      </x:c>
      <x:c r="K306" s="2" t="str">
        <x:v>待拆分产品市场</x:v>
      </x:c>
      <x:c r="L306" s="15" t="str">
        <x:v>尺码/颜色变体及退货待核验</x:v>
      </x:c>
      <x:c r="M306" s="2" t="str">
        <x:f>IF(AND(C306&gt;='核验与方法'!$B$7,F306&gt;='核验与方法'!$B$8,G306&gt;='核验与方法'!$B$9,D306&gt;='核验与方法'!$B$10,E306&gt;='核验与方法'!$B$11),"通过需求门槛","未通过需求门槛")</x:f>
        <x:v>未通过需求门槛</x:v>
      </x:c>
      <x:c r="N306" s="2" t="str">
        <x:v>先核验风险标签</x:v>
      </x:c>
      <x:c r="O306" s="9" t="n">
        <x:f>G306-'原始数据'!J303</x:f>
        <x:v>0.00001580889134845942</x:v>
      </x:c>
      <x:c r="P306" s="2" t="str">
        <x:v>DATA HOLD</x:v>
      </x:c>
    </x:row>
    <x:row r="307" ht="48" customHeight="1">
      <x:c r="A307" s="2" t="n">
        <x:v>302</x:v>
      </x:c>
      <x:c r="B307" s="2" t="str">
        <x:v>gallon water bottle</x:v>
      </x:c>
      <x:c r="C307" s="10" t="n">
        <x:f>'原始数据'!D304</x:f>
        <x:v>155826</x:v>
      </x:c>
      <x:c r="D307" s="9" t="n">
        <x:f>IF(ISNUMBER('原始数据'!E304),'原始数据'!E304,VALUE(SUBSTITUTE('原始数据'!E304,"'","")))</x:f>
        <x:v>-0.0957</x:v>
      </x:c>
      <x:c r="E307" s="9" t="n">
        <x:f>IF(ISNUMBER('原始数据'!H304),'原始数据'!H304,VALUE(SUBSTITUTE('原始数据'!H304,"'","")))</x:f>
        <x:v>-0.0912</x:v>
      </x:c>
      <x:c r="F307" s="10" t="n">
        <x:f>'原始数据'!L304</x:f>
        <x:v>5900</x:v>
      </x:c>
      <x:c r="G307" s="9" t="n">
        <x:f>F307/'原始数据'!G304</x:f>
        <x:v>0.08851549021078689</x:v>
      </x:c>
      <x:c r="H307" s="9" t="n">
        <x:f>'原始数据'!P304/'原始数据'!O304</x:f>
        <x:v>0.2714958775029446</x:v>
      </x:c>
      <x:c r="I307" s="9" t="n">
        <x:f>F307/C307</x:f>
        <x:v>0.0378627443430493</x:v>
      </x:c>
      <x:c r="J307" s="9" t="n">
        <x:f>'原始数据'!G304/'原始数据'!F304</x:f>
        <x:v>0.012604654276392053</x:v>
      </x:c>
      <x:c r="K307" s="2" t="str">
        <x:v>待拆分产品市场</x:v>
      </x:c>
      <x:c r="L307" s="15" t="str">
        <x:v>暂无自动识别标签，仍需核验</x:v>
      </x:c>
      <x:c r="M307" s="2" t="str">
        <x:f>IF(AND(C307&gt;='核验与方法'!$B$7,F307&gt;='核验与方法'!$B$8,G307&gt;='核验与方法'!$B$9,D307&gt;='核验与方法'!$B$10,E307&gt;='核验与方法'!$B$11),"通过需求门槛","未通过需求门槛")</x:f>
        <x:v>未通过需求门槛</x:v>
      </x:c>
      <x:c r="N307" s="2" t="str">
        <x:v>待确认具体产品形态</x:v>
      </x:c>
      <x:c r="O307" s="9" t="n">
        <x:f>G307-'原始数据'!J304</x:f>
        <x:v>0.00001549021078689483</x:v>
      </x:c>
      <x:c r="P307" s="2" t="str">
        <x:v>DATA HOLD</x:v>
      </x:c>
    </x:row>
    <x:row r="308" ht="48" customHeight="1">
      <x:c r="A308" s="2" t="n">
        <x:v>303</x:v>
      </x:c>
      <x:c r="B308" s="2" t="str">
        <x:v>power rangers toys</x:v>
      </x:c>
      <x:c r="C308" s="10" t="n">
        <x:f>'原始数据'!D305</x:f>
        <x:v>155824</x:v>
      </x:c>
      <x:c r="D308" s="9" t="n">
        <x:f>IF(ISNUMBER('原始数据'!E305),'原始数据'!E305,VALUE(SUBSTITUTE('原始数据'!E305,"'","")))</x:f>
        <x:v>0.0488</x:v>
      </x:c>
      <x:c r="E308" s="9" t="n">
        <x:f>IF(ISNUMBER('原始数据'!H305),'原始数据'!H305,VALUE(SUBSTITUTE('原始数据'!H305,"'","")))</x:f>
        <x:v>0.0852</x:v>
      </x:c>
      <x:c r="F308" s="10" t="n">
        <x:f>'原始数据'!L305</x:f>
        <x:v>2177</x:v>
      </x:c>
      <x:c r="G308" s="9" t="n">
        <x:f>F308/'原始数据'!G305</x:f>
        <x:v>0.035286489991085176</x:v>
      </x:c>
      <x:c r="H308" s="9" t="n">
        <x:f>'原始数据'!P305/'原始数据'!O305</x:f>
        <x:v>0.10915289123303532</x:v>
      </x:c>
      <x:c r="I308" s="9" t="n">
        <x:f>F308/C308</x:f>
        <x:v>0.013970890235137078</x:v>
      </x:c>
      <x:c r="J308" s="9" t="n">
        <x:f>'原始数据'!G305/'原始数据'!F305</x:f>
        <x:v>0.018081531750020884</x:v>
      </x:c>
      <x:c r="K308" s="2" t="str">
        <x:v>待拆分产品市场</x:v>
      </x:c>
      <x:c r="L308" s="15" t="str">
        <x:v>品牌或IP需核验</x:v>
      </x:c>
      <x:c r="M308" s="2" t="str">
        <x:f>IF(AND(C308&gt;='核验与方法'!$B$7,F308&gt;='核验与方法'!$B$8,G308&gt;='核验与方法'!$B$9,D308&gt;='核验与方法'!$B$10,E308&gt;='核验与方法'!$B$11),"通过需求门槛","未通过需求门槛")</x:f>
        <x:v>未通过需求门槛</x:v>
      </x:c>
      <x:c r="N308" s="2" t="str">
        <x:v>先核验风险标签</x:v>
      </x:c>
      <x:c r="O308" s="9" t="n">
        <x:f>G308-'原始数据'!J305</x:f>
        <x:v>0.00008648999108517436</x:v>
      </x:c>
      <x:c r="P308" s="2" t="str">
        <x:v>DATA HOLD</x:v>
      </x:c>
    </x:row>
    <x:row r="309" ht="48" customHeight="1">
      <x:c r="A309" s="2" t="n">
        <x:v>304</x:v>
      </x:c>
      <x:c r="B309" s="2" t="str">
        <x:v>cpu</x:v>
      </x:c>
      <x:c r="C309" s="10" t="n">
        <x:f>'原始数据'!D306</x:f>
        <x:v>154749</x:v>
      </x:c>
      <x:c r="D309" s="9" t="n">
        <x:f>IF(ISNUMBER('原始数据'!E306),'原始数据'!E306,VALUE(SUBSTITUTE('原始数据'!E306,"'","")))</x:f>
        <x:v>-0.4883</x:v>
      </x:c>
      <x:c r="E309" s="9" t="n">
        <x:f>IF(ISNUMBER('原始数据'!H306),'原始数据'!H306,VALUE(SUBSTITUTE('原始数据'!H306,"'","")))</x:f>
        <x:v>-0.0109</x:v>
      </x:c>
      <x:c r="F309" s="10" t="n">
        <x:f>'原始数据'!L306</x:f>
        <x:v>384</x:v>
      </x:c>
      <x:c r="G309" s="9" t="n">
        <x:f>F309/'原始数据'!G306</x:f>
        <x:v>0.01252405335768566</x:v>
      </x:c>
      <x:c r="H309" s="9" t="n">
        <x:f>'原始数据'!P306/'原始数据'!O306</x:f>
        <x:v>0.030812854442344044</x:v>
      </x:c>
      <x:c r="I309" s="9" t="n">
        <x:f>F309/C309</x:f>
        <x:v>0.0024814376829575637</x:v>
      </x:c>
      <x:c r="J309" s="9" t="n">
        <x:f>'原始数据'!G306/'原始数据'!F306</x:f>
        <x:v>0.02051568569067557</x:v>
      </x:c>
      <x:c r="K309" s="2" t="str">
        <x:v>待拆分产品市场</x:v>
      </x:c>
      <x:c r="L309" s="15" t="str">
        <x:v>内容/导航或宽泛需求需拆分</x:v>
      </x:c>
      <x:c r="M309" s="2" t="str">
        <x:f>IF(AND(C309&gt;='核验与方法'!$B$7,F309&gt;='核验与方法'!$B$8,G309&gt;='核验与方法'!$B$9,D309&gt;='核验与方法'!$B$10,E309&gt;='核验与方法'!$B$11),"通过需求门槛","未通过需求门槛")</x:f>
        <x:v>未通过需求门槛</x:v>
      </x:c>
      <x:c r="N309" s="2" t="str">
        <x:v>先核验风险标签</x:v>
      </x:c>
      <x:c r="O309" s="9" t="n">
        <x:f>G309-'原始数据'!J306</x:f>
        <x:v>0.000024053357685658444</x:v>
      </x:c>
      <x:c r="P309" s="2" t="str">
        <x:v>DATA HOLD</x:v>
      </x:c>
    </x:row>
    <x:row r="310" ht="48" customHeight="1">
      <x:c r="A310" s="2" t="n">
        <x:v>305</x:v>
      </x:c>
      <x:c r="B310" s="2" t="str">
        <x:v>creatine gummies for women</x:v>
      </x:c>
      <x:c r="C310" s="10" t="n">
        <x:f>'原始数据'!D307</x:f>
        <x:v>154261</x:v>
      </x:c>
      <x:c r="D310" s="9" t="n">
        <x:f>IF(ISNUMBER('原始数据'!E307),'原始数据'!E307,VALUE(SUBSTITUTE('原始数据'!E307,"'","")))</x:f>
        <x:v>-0.1645</x:v>
      </x:c>
      <x:c r="E310" s="9" t="n">
        <x:f>IF(ISNUMBER('原始数据'!H307),'原始数据'!H307,VALUE(SUBSTITUTE('原始数据'!H307,"'","")))</x:f>
        <x:v>-0.1583</x:v>
      </x:c>
      <x:c r="F310" s="10" t="n">
        <x:f>'原始数据'!L307</x:f>
        <x:v>10702</x:v>
      </x:c>
      <x:c r="G310" s="9" t="n">
        <x:f>F310/'原始数据'!G307</x:f>
        <x:v>0.13244721665305315</x:v>
      </x:c>
      <x:c r="H310" s="9" t="n">
        <x:f>'原始数据'!P307/'原始数据'!O307</x:f>
        <x:v>0.2935957145223938</x:v>
      </x:c>
      <x:c r="I310" s="9" t="n">
        <x:f>F310/C310</x:f>
        <x:v>0.06937592781065856</x:v>
      </x:c>
      <x:c r="J310" s="9" t="n">
        <x:f>'原始数据'!G307/'原始数据'!F307</x:f>
        <x:v>0.011285898535020478</x:v>
      </x:c>
      <x:c r="K310" s="2" t="str">
        <x:v>专业供给</x:v>
      </x:c>
      <x:c r="L310" s="15" t="str">
        <x:v>食品/补剂或耗材需独立供应链</x:v>
      </x:c>
      <x:c r="M310" s="2" t="str">
        <x:f>IF(AND(C310&gt;='核验与方法'!$B$7,F310&gt;='核验与方法'!$B$8,G310&gt;='核验与方法'!$B$9,D310&gt;='核验与方法'!$B$10,E310&gt;='核验与方法'!$B$11),"通过需求门槛","未通过需求门槛")</x:f>
        <x:v>未通过需求门槛</x:v>
      </x:c>
      <x:c r="N310" s="2" t="str">
        <x:v>先核验风险标签</x:v>
      </x:c>
      <x:c r="O310" s="9" t="n">
        <x:f>G310-'原始数据'!J307</x:f>
        <x:v>0.00004721665305315592</x:v>
      </x:c>
      <x:c r="P310" s="2" t="str">
        <x:v>DATA HOLD</x:v>
      </x:c>
    </x:row>
    <x:row r="311" ht="48" customHeight="1">
      <x:c r="A311" s="2" t="n">
        <x:v>306</x:v>
      </x:c>
      <x:c r="B311" s="2" t="str">
        <x:v>wrap top</x:v>
      </x:c>
      <x:c r="C311" s="10" t="n">
        <x:f>'原始数据'!D308</x:f>
        <x:v>153898</x:v>
      </x:c>
      <x:c r="D311" s="9" t="n">
        <x:f>IF(ISNUMBER('原始数据'!E308),'原始数据'!E308,VALUE(SUBSTITUTE('原始数据'!E308,"'","")))</x:f>
        <x:v>0.1329</x:v>
      </x:c>
      <x:c r="E311" s="9" t="n">
        <x:f>IF(ISNUMBER('原始数据'!H308),'原始数据'!H308,VALUE(SUBSTITUTE('原始数据'!H308,"'","")))</x:f>
        <x:v>0.1677</x:v>
      </x:c>
      <x:c r="F311" s="10" t="n">
        <x:f>'原始数据'!L308</x:f>
        <x:v>915</x:v>
      </x:c>
      <x:c r="G311" s="9" t="n">
        <x:f>F311/'原始数据'!G308</x:f>
        <x:v>0.016684901531728667</x:v>
      </x:c>
      <x:c r="H311" s="9" t="n">
        <x:f>'原始数据'!P308/'原始数据'!O308</x:f>
        <x:v>0.12180610308074172</x:v>
      </x:c>
      <x:c r="I311" s="9" t="n">
        <x:f>F311/C311</x:f>
        <x:v>0.005945496367724077</x:v>
      </x:c>
      <x:c r="J311" s="9" t="n">
        <x:f>'原始数据'!G308/'原始数据'!F308</x:f>
        <x:v>0.010381611296495525</x:v>
      </x:c>
      <x:c r="K311" s="2" t="str">
        <x:v>待拆分产品市场</x:v>
      </x:c>
      <x:c r="L311" s="15" t="str">
        <x:v>尺码/颜色变体及退货待核验</x:v>
      </x:c>
      <x:c r="M311" s="2" t="str">
        <x:f>IF(AND(C311&gt;='核验与方法'!$B$7,F311&gt;='核验与方法'!$B$8,G311&gt;='核验与方法'!$B$9,D311&gt;='核验与方法'!$B$10,E311&gt;='核验与方法'!$B$11),"通过需求门槛","未通过需求门槛")</x:f>
        <x:v>未通过需求门槛</x:v>
      </x:c>
      <x:c r="N311" s="2" t="str">
        <x:v>先核验风险标签</x:v>
      </x:c>
      <x:c r="O311" s="9" t="n">
        <x:f>G311-'原始数据'!J308</x:f>
        <x:v>0.00008490153172866638</x:v>
      </x:c>
      <x:c r="P311" s="2" t="str">
        <x:v>DATA HOLD</x:v>
      </x:c>
    </x:row>
    <x:row r="312" ht="48" customHeight="1">
      <x:c r="A312" s="2" t="n">
        <x:v>307</x:v>
      </x:c>
      <x:c r="B312" s="2" t="str">
        <x:v>pomegranate</x:v>
      </x:c>
      <x:c r="C312" s="10" t="n">
        <x:f>'原始数据'!D309</x:f>
        <x:v>153812</x:v>
      </x:c>
      <x:c r="D312" s="9" t="n">
        <x:f>IF(ISNUMBER('原始数据'!E309),'原始数据'!E309,VALUE(SUBSTITUTE('原始数据'!E309,"'","")))</x:f>
        <x:v>0.2112</x:v>
      </x:c>
      <x:c r="E312" s="9" t="n">
        <x:f>IF(ISNUMBER('原始数据'!H309),'原始数据'!H309,VALUE(SUBSTITUTE('原始数据'!H309,"'","")))</x:f>
        <x:v>0.1498</x:v>
      </x:c>
      <x:c r="F312" s="10" t="n">
        <x:f>'原始数据'!L309</x:f>
        <x:v>12462</x:v>
      </x:c>
      <x:c r="G312" s="9" t="n">
        <x:f>F312/'原始数据'!G309</x:f>
        <x:v>0.21536706760680216</x:v>
      </x:c>
      <x:c r="H312" s="9" t="n">
        <x:f>'原始数据'!P309/'原始数据'!O309</x:f>
        <x:v>0.35146516423198676</x:v>
      </x:c>
      <x:c r="I312" s="9" t="n">
        <x:f>F312/C312</x:f>
        <x:v>0.08102098665903831</x:v>
      </x:c>
      <x:c r="J312" s="9" t="n">
        <x:f>'原始数据'!G309/'原始数据'!F309</x:f>
        <x:v>0.01586194646017408</x:v>
      </x:c>
      <x:c r="K312" s="2" t="str">
        <x:v>专业供给</x:v>
      </x:c>
      <x:c r="L312" s="15" t="str">
        <x:v>食品/补剂或耗材需独立供应链</x:v>
      </x:c>
      <x:c r="M312" s="2" t="str">
        <x:f>IF(AND(C312&gt;='核验与方法'!$B$7,F312&gt;='核验与方法'!$B$8,G312&gt;='核验与方法'!$B$9,D312&gt;='核验与方法'!$B$10,E312&gt;='核验与方法'!$B$11),"通过需求门槛","未通过需求门槛")</x:f>
        <x:v>通过需求门槛</x:v>
      </x:c>
      <x:c r="N312" s="2" t="str">
        <x:v>先核验风险标签</x:v>
      </x:c>
      <x:c r="O312" s="9" t="n">
        <x:f>G312-'原始数据'!J309</x:f>
        <x:v>0.00006706760680216806</x:v>
      </x:c>
      <x:c r="P312" s="2" t="str">
        <x:v>DATA HOLD</x:v>
      </x:c>
    </x:row>
    <x:row r="313" ht="48" customHeight="1">
      <x:c r="A313" s="2" t="n">
        <x:v>308</x:v>
      </x:c>
      <x:c r="B313" s="2" t="str">
        <x:v>tv stand for 75 inch tv</x:v>
      </x:c>
      <x:c r="C313" s="10" t="n">
        <x:f>'原始数据'!D310</x:f>
        <x:v>153584</x:v>
      </x:c>
      <x:c r="D313" s="9" t="n">
        <x:f>IF(ISNUMBER('原始数据'!E310),'原始数据'!E310,VALUE(SUBSTITUTE('原始数据'!E310,"'","")))</x:f>
        <x:v>0.1028</x:v>
      </x:c>
      <x:c r="E313" s="9" t="n">
        <x:f>IF(ISNUMBER('原始数据'!H310),'原始数据'!H310,VALUE(SUBSTITUTE('原始数据'!H310,"'","")))</x:f>
        <x:v>0.0856</x:v>
      </x:c>
      <x:c r="F313" s="10" t="n">
        <x:f>'原始数据'!L310</x:f>
        <x:v>1211</x:v>
      </x:c>
      <x:c r="G313" s="9" t="n">
        <x:f>F313/'原始数据'!G310</x:f>
        <x:v>0.019267792079680515</x:v>
      </x:c>
      <x:c r="H313" s="9" t="n">
        <x:f>'原始数据'!P310/'原始数据'!O310</x:f>
        <x:v>0.073214709371293</x:v>
      </x:c>
      <x:c r="I313" s="9" t="n">
        <x:f>F313/C313</x:f>
        <x:v>0.007884935930826127</x:v>
      </x:c>
      <x:c r="J313" s="9" t="n">
        <x:f>'原始数据'!G310/'原始数据'!F310</x:f>
        <x:v>0.015393240209589652</x:v>
      </x:c>
      <x:c r="K313" s="2" t="str">
        <x:v>待拆分产品市场</x:v>
      </x:c>
      <x:c r="L313" s="15" t="str">
        <x:v>体积/安装/售后成本待核验</x:v>
      </x:c>
      <x:c r="M313" s="2" t="str">
        <x:f>IF(AND(C313&gt;='核验与方法'!$B$7,F313&gt;='核验与方法'!$B$8,G313&gt;='核验与方法'!$B$9,D313&gt;='核验与方法'!$B$10,E313&gt;='核验与方法'!$B$11),"通过需求门槛","未通过需求门槛")</x:f>
        <x:v>未通过需求门槛</x:v>
      </x:c>
      <x:c r="N313" s="2" t="str">
        <x:v>先核验风险标签</x:v>
      </x:c>
      <x:c r="O313" s="9" t="n">
        <x:f>G313-'原始数据'!J310</x:f>
        <x:v>0.0000677920796805162</x:v>
      </x:c>
      <x:c r="P313" s="2" t="str">
        <x:v>DATA HOLD</x:v>
      </x:c>
    </x:row>
    <x:row r="314" ht="48" customHeight="1">
      <x:c r="A314" s="2" t="n">
        <x:v>309</x:v>
      </x:c>
      <x:c r="B314" s="2" t="str">
        <x:v>toilet paper bulk</x:v>
      </x:c>
      <x:c r="C314" s="10" t="n">
        <x:f>'原始数据'!D311</x:f>
        <x:v>153426</x:v>
      </x:c>
      <x:c r="D314" s="9" t="n">
        <x:f>IF(ISNUMBER('原始数据'!E311),'原始数据'!E311,VALUE(SUBSTITUTE('原始数据'!E311,"'","")))</x:f>
        <x:v>-0.0421</x:v>
      </x:c>
      <x:c r="E314" s="9" t="n">
        <x:f>IF(ISNUMBER('原始数据'!H311),'原始数据'!H311,VALUE(SUBSTITUTE('原始数据'!H311,"'","")))</x:f>
        <x:v>-0.0521</x:v>
      </x:c>
      <x:c r="F314" s="10" t="n">
        <x:f>'原始数据'!L311</x:f>
        <x:v>23106</x:v>
      </x:c>
      <x:c r="G314" s="9" t="n">
        <x:f>F314/'原始数据'!G311</x:f>
        <x:v>0.3184004189116565</x:v>
      </x:c>
      <x:c r="H314" s="9" t="n">
        <x:f>'原始数据'!P311/'原始数据'!O311</x:f>
        <x:v>0.49249681237126886</x:v>
      </x:c>
      <x:c r="I314" s="9" t="n">
        <x:f>F314/C314</x:f>
        <x:v>0.15060028939032497</x:v>
      </x:c>
      <x:c r="J314" s="9" t="n">
        <x:f>'原始数据'!G311/'原始数据'!F311</x:f>
        <x:v>0.01011917984011838</x:v>
      </x:c>
      <x:c r="K314" s="2" t="str">
        <x:v>专业供给</x:v>
      </x:c>
      <x:c r="L314" s="15" t="str">
        <x:v>食品/补剂或耗材需独立供应链</x:v>
      </x:c>
      <x:c r="M314" s="2" t="str">
        <x:f>IF(AND(C314&gt;='核验与方法'!$B$7,F314&gt;='核验与方法'!$B$8,G314&gt;='核验与方法'!$B$9,D314&gt;='核验与方法'!$B$10,E314&gt;='核验与方法'!$B$11),"通过需求门槛","未通过需求门槛")</x:f>
        <x:v>未通过需求门槛</x:v>
      </x:c>
      <x:c r="N314" s="2" t="str">
        <x:v>先核验风险标签</x:v>
      </x:c>
      <x:c r="O314" s="9" t="n">
        <x:f>G314-'原始数据'!J311</x:f>
        <x:v>4.189116564745632e-7</x:v>
      </x:c>
      <x:c r="P314" s="2" t="str">
        <x:v>DATA HOLD</x:v>
      </x:c>
    </x:row>
    <x:row r="315" ht="48" customHeight="1">
      <x:c r="A315" s="2" t="n">
        <x:v>310</x:v>
      </x:c>
      <x:c r="B315" s="2" t="str">
        <x:v>insulin syringe 100 units</x:v>
      </x:c>
      <x:c r="C315" s="10" t="n">
        <x:f>'原始数据'!D312</x:f>
        <x:v>153302</x:v>
      </x:c>
      <x:c r="D315" s="9" t="n">
        <x:f>IF(ISNUMBER('原始数据'!E312),'原始数据'!E312,VALUE(SUBSTITUTE('原始数据'!E312,"'","")))</x:f>
        <x:v>0.2437</x:v>
      </x:c>
      <x:c r="E315" s="9" t="n">
        <x:f>IF(ISNUMBER('原始数据'!H312),'原始数据'!H312,VALUE(SUBSTITUTE('原始数据'!H312,"'","")))</x:f>
        <x:v>0.2376</x:v>
      </x:c>
      <x:c r="F315" s="10" t="n">
        <x:f>'原始数据'!L312</x:f>
        <x:v>21751</x:v>
      </x:c>
      <x:c r="G315" s="9" t="n">
        <x:f>F315/'原始数据'!G312</x:f>
        <x:v>0.26813693462690613</x:v>
      </x:c>
      <x:c r="H315" s="9" t="n">
        <x:f>'原始数据'!P312/'原始数据'!O312</x:f>
        <x:v>0.47161089564354647</x:v>
      </x:c>
      <x:c r="I315" s="9" t="n">
        <x:f>F315/C315</x:f>
        <x:v>0.1418833413784556</x:v>
      </x:c>
      <x:c r="J315" s="9" t="n">
        <x:f>'原始数据'!G312/'原始数据'!F312</x:f>
        <x:v>0.04317332077289287</x:v>
      </x:c>
      <x:c r="K315" s="2" t="str">
        <x:v>待拆分产品市场</x:v>
      </x:c>
      <x:c r="L315" s="15" t="str">
        <x:v>专业类目适配与规则待核验</x:v>
      </x:c>
      <x:c r="M315" s="2" t="str">
        <x:f>IF(AND(C315&gt;='核验与方法'!$B$7,F315&gt;='核验与方法'!$B$8,G315&gt;='核验与方法'!$B$9,D315&gt;='核验与方法'!$B$10,E315&gt;='核验与方法'!$B$11),"通过需求门槛","未通过需求门槛")</x:f>
        <x:v>通过需求门槛</x:v>
      </x:c>
      <x:c r="N315" s="2" t="str">
        <x:v>先核验风险标签</x:v>
      </x:c>
      <x:c r="O315" s="9" t="n">
        <x:f>G315-'原始数据'!J312</x:f>
        <x:v>0.00003693462690612659</x:v>
      </x:c>
      <x:c r="P315" s="2" t="str">
        <x:v>DATA HOLD</x:v>
      </x:c>
    </x:row>
    <x:row r="316" ht="48" customHeight="1">
      <x:c r="A316" s="2" t="n">
        <x:v>311</x:v>
      </x:c>
      <x:c r="B316" s="2" t="str">
        <x:v>gazebo</x:v>
      </x:c>
      <x:c r="C316" s="10" t="n">
        <x:f>'原始数据'!D313</x:f>
        <x:v>153244</x:v>
      </x:c>
      <x:c r="D316" s="9" t="n">
        <x:f>IF(ISNUMBER('原始数据'!E313),'原始数据'!E313,VALUE(SUBSTITUTE('原始数据'!E313,"'","")))</x:f>
        <x:v>-0.187</x:v>
      </x:c>
      <x:c r="E316" s="9" t="n">
        <x:f>IF(ISNUMBER('原始数据'!H313),'原始数据'!H313,VALUE(SUBSTITUTE('原始数据'!H313,"'","")))</x:f>
        <x:v>-0.1902</x:v>
      </x:c>
      <x:c r="F316" s="10" t="n">
        <x:f>'原始数据'!L313</x:f>
        <x:v>302</x:v>
      </x:c>
      <x:c r="G316" s="9" t="n">
        <x:f>F316/'原始数据'!G313</x:f>
        <x:v>0.005232427187830275</x:v>
      </x:c>
      <x:c r="H316" s="9" t="n">
        <x:f>'原始数据'!P313/'原始数据'!O313</x:f>
        <x:v>0.017037420244869806</x:v>
      </x:c>
      <x:c r="I316" s="9" t="n">
        <x:f>F316/C316</x:f>
        <x:v>0.0019707133721385502</x:v>
      </x:c>
      <x:c r="J316" s="9" t="n">
        <x:f>'原始数据'!G313/'原始数据'!F313</x:f>
        <x:v>0.012193545197686402</x:v>
      </x:c>
      <x:c r="K316" s="2" t="str">
        <x:v>待拆分产品市场</x:v>
      </x:c>
      <x:c r="L316" s="15" t="str">
        <x:v>体积/安装/售后成本待核验</x:v>
      </x:c>
      <x:c r="M316" s="2" t="str">
        <x:f>IF(AND(C316&gt;='核验与方法'!$B$7,F316&gt;='核验与方法'!$B$8,G316&gt;='核验与方法'!$B$9,D316&gt;='核验与方法'!$B$10,E316&gt;='核验与方法'!$B$11),"通过需求门槛","未通过需求门槛")</x:f>
        <x:v>未通过需求门槛</x:v>
      </x:c>
      <x:c r="N316" s="2" t="str">
        <x:v>先核验风险标签</x:v>
      </x:c>
      <x:c r="O316" s="9" t="n">
        <x:f>G316-'原始数据'!J313</x:f>
        <x:v>0.00003242718783027544</x:v>
      </x:c>
      <x:c r="P316" s="2" t="str">
        <x:v>DATA HOLD</x:v>
      </x:c>
    </x:row>
    <x:row r="317" ht="48" customHeight="1">
      <x:c r="A317" s="2" t="n">
        <x:v>312</x:v>
      </x:c>
      <x:c r="B317" s="2" t="str">
        <x:v>suede purse</x:v>
      </x:c>
      <x:c r="C317" s="10" t="n">
        <x:f>'原始数据'!D314</x:f>
        <x:v>152569</x:v>
      </x:c>
      <x:c r="D317" s="9" t="n">
        <x:f>IF(ISNUMBER('原始数据'!E314),'原始数据'!E314,VALUE(SUBSTITUTE('原始数据'!E314,"'","")))</x:f>
        <x:v>1.1175</x:v>
      </x:c>
      <x:c r="E317" s="9" t="n">
        <x:f>IF(ISNUMBER('原始数据'!H314),'原始数据'!H314,VALUE(SUBSTITUTE('原始数据'!H314,"'","")))</x:f>
        <x:v>1.1268</x:v>
      </x:c>
      <x:c r="F317" s="10" t="n">
        <x:f>'原始数据'!L314</x:f>
        <x:v>683</x:v>
      </x:c>
      <x:c r="G317" s="9" t="n">
        <x:f>F317/'原始数据'!G314</x:f>
        <x:v>0.009173942243116186</x:v>
      </x:c>
      <x:c r="H317" s="9" t="n">
        <x:f>'原始数据'!P314/'原始数据'!O314</x:f>
        <x:v>0.046791990192071926</x:v>
      </x:c>
      <x:c r="I317" s="9" t="n">
        <x:f>F317/C317</x:f>
        <x:v>0.004476663018044295</x:v>
      </x:c>
      <x:c r="J317" s="9" t="n">
        <x:f>'原始数据'!G314/'原始数据'!F314</x:f>
        <x:v>0.02117137266421748</x:v>
      </x:c>
      <x:c r="K317" s="2" t="str">
        <x:v>待拆分产品市场</x:v>
      </x:c>
      <x:c r="L317" s="15" t="str">
        <x:v>暂无自动识别标签，仍需核验</x:v>
      </x:c>
      <x:c r="M317" s="2" t="str">
        <x:f>IF(AND(C317&gt;='核验与方法'!$B$7,F317&gt;='核验与方法'!$B$8,G317&gt;='核验与方法'!$B$9,D317&gt;='核验与方法'!$B$10,E317&gt;='核验与方法'!$B$11),"通过需求门槛","未通过需求门槛")</x:f>
        <x:v>未通过需求门槛</x:v>
      </x:c>
      <x:c r="N317" s="2" t="str">
        <x:v>待确认具体产品形态</x:v>
      </x:c>
      <x:c r="O317" s="9" t="n">
        <x:f>G317-'原始数据'!J314</x:f>
        <x:v>0.00007394224311618562</x:v>
      </x:c>
      <x:c r="P317" s="2" t="str">
        <x:v>DATA HOLD</x:v>
      </x:c>
    </x:row>
    <x:row r="318" ht="48" customHeight="1">
      <x:c r="A318" s="2" t="n">
        <x:v>313</x:v>
      </x:c>
      <x:c r="B318" s="2" t="str">
        <x:v>pita bread</x:v>
      </x:c>
      <x:c r="C318" s="10" t="n">
        <x:f>'原始数据'!D315</x:f>
        <x:v>152521</x:v>
      </x:c>
      <x:c r="D318" s="9" t="n">
        <x:f>IF(ISNUMBER('原始数据'!E315),'原始数据'!E315,VALUE(SUBSTITUTE('原始数据'!E315,"'","")))</x:f>
        <x:v>0.0593</x:v>
      </x:c>
      <x:c r="E318" s="9" t="n">
        <x:f>IF(ISNUMBER('原始数据'!H315),'原始数据'!H315,VALUE(SUBSTITUTE('原始数据'!H315,"'","")))</x:f>
        <x:v>0.0019</x:v>
      </x:c>
      <x:c r="F318" s="10" t="n">
        <x:f>'原始数据'!L315</x:f>
        <x:v>24330</x:v>
      </x:c>
      <x:c r="G318" s="9" t="n">
        <x:f>F318/'原始数据'!G315</x:f>
        <x:v>0.35087972310354776</x:v>
      </x:c>
      <x:c r="H318" s="9" t="n">
        <x:f>'原始数据'!P315/'原始数据'!O315</x:f>
        <x:v>0.5125530698889614</x:v>
      </x:c>
      <x:c r="I318" s="9" t="n">
        <x:f>F318/C318</x:f>
        <x:v>0.15951901705338936</x:v>
      </x:c>
      <x:c r="J318" s="9" t="n">
        <x:f>'原始数据'!G315/'原始数据'!F315</x:f>
        <x:v>0.019770125954006942</x:v>
      </x:c>
      <x:c r="K318" s="2" t="str">
        <x:v>专业供给</x:v>
      </x:c>
      <x:c r="L318" s="15" t="str">
        <x:v>食品/补剂或耗材需独立供应链</x:v>
      </x:c>
      <x:c r="M318" s="2" t="str">
        <x:f>IF(AND(C318&gt;='核验与方法'!$B$7,F318&gt;='核验与方法'!$B$8,G318&gt;='核验与方法'!$B$9,D318&gt;='核验与方法'!$B$10,E318&gt;='核验与方法'!$B$11),"通过需求门槛","未通过需求门槛")</x:f>
        <x:v>通过需求门槛</x:v>
      </x:c>
      <x:c r="N318" s="2" t="str">
        <x:v>先核验风险标签</x:v>
      </x:c>
      <x:c r="O318" s="9" t="n">
        <x:f>G318-'原始数据'!J315</x:f>
        <x:v>0.00007972310354775747</x:v>
      </x:c>
      <x:c r="P318" s="2" t="str">
        <x:v>DATA HOLD</x:v>
      </x:c>
    </x:row>
    <x:row r="319" ht="48" customHeight="1">
      <x:c r="A319" s="2" t="n">
        <x:v>314</x:v>
      </x:c>
      <x:c r="B319" s="2" t="str">
        <x:v>iron man costume</x:v>
      </x:c>
      <x:c r="C319" s="10" t="n">
        <x:f>'原始数据'!D316</x:f>
        <x:v>151743</x:v>
      </x:c>
      <x:c r="D319" s="9" t="n">
        <x:f>IF(ISNUMBER('原始数据'!E316),'原始数据'!E316,VALUE(SUBSTITUTE('原始数据'!E316,"'","")))</x:f>
        <x:v>0.7538</x:v>
      </x:c>
      <x:c r="E319" s="9" t="n">
        <x:f>IF(ISNUMBER('原始数据'!H316),'原始数据'!H316,VALUE(SUBSTITUTE('原始数据'!H316,"'","")))</x:f>
        <x:v>0.8029</x:v>
      </x:c>
      <x:c r="F319" s="10" t="n">
        <x:f>'原始数据'!L316</x:f>
        <x:v>886</x:v>
      </x:c>
      <x:c r="G319" s="9" t="n">
        <x:f>F319/'原始数据'!G316</x:f>
        <x:v>0.015255346258479975</x:v>
      </x:c>
      <x:c r="H319" s="9" t="n">
        <x:f>'原始数据'!P316/'原始数据'!O316</x:f>
        <x:v>0.05185449358059915</x:v>
      </x:c>
      <x:c r="I319" s="9" t="n">
        <x:f>F319/C319</x:f>
        <x:v>0.0058388195831109175</x:v>
      </x:c>
      <x:c r="J319" s="9" t="n">
        <x:f>'原始数据'!G316/'原始数据'!F316</x:f>
        <x:v>0.028498609369142322</x:v>
      </x:c>
      <x:c r="K319" s="2" t="str">
        <x:v>待拆分产品市场</x:v>
      </x:c>
      <x:c r="L319" s="15" t="str">
        <x:v>品牌或IP需核验；季节/事件影响待核验</x:v>
      </x:c>
      <x:c r="M319" s="2" t="str">
        <x:f>IF(AND(C319&gt;='核验与方法'!$B$7,F319&gt;='核验与方法'!$B$8,G319&gt;='核验与方法'!$B$9,D319&gt;='核验与方法'!$B$10,E319&gt;='核验与方法'!$B$11),"通过需求门槛","未通过需求门槛")</x:f>
        <x:v>未通过需求门槛</x:v>
      </x:c>
      <x:c r="N319" s="2" t="str">
        <x:v>先核验风险标签</x:v>
      </x:c>
      <x:c r="O319" s="9" t="n">
        <x:f>G319-'原始数据'!J316</x:f>
        <x:v>0.00005534625847997479</x:v>
      </x:c>
      <x:c r="P319" s="2" t="str">
        <x:v>DATA HOLD</x:v>
      </x:c>
    </x:row>
    <x:row r="320" ht="48" customHeight="1">
      <x:c r="A320" s="2" t="n">
        <x:v>315</x:v>
      </x:c>
      <x:c r="B320" s="2" t="str">
        <x:v>batman knightfall</x:v>
      </x:c>
      <x:c r="C320" s="10" t="n">
        <x:f>'原始数据'!D317</x:f>
        <x:v>151547</x:v>
      </x:c>
      <x:c r="D320" s="9" t="n">
        <x:f>IF(ISNUMBER('原始数据'!E317),'原始数据'!E317,VALUE(SUBSTITUTE('原始数据'!E317,"'","")))</x:f>
        <x:v>8.6006</x:v>
      </x:c>
      <x:c r="E320" s="9" t="n">
        <x:f>IF(ISNUMBER('原始数据'!H317),'原始数据'!H317,VALUE(SUBSTITUTE('原始数据'!H317,"'","")))</x:f>
        <x:v>4.097</x:v>
      </x:c>
      <x:c r="F320" s="10" t="n">
        <x:f>'原始数据'!L317</x:f>
        <x:v>3120</x:v>
      </x:c>
      <x:c r="G320" s="9" t="n">
        <x:f>F320/'原始数据'!G317</x:f>
        <x:v>0.08084996112982638</x:v>
      </x:c>
      <x:c r="H320" s="9" t="n">
        <x:f>'原始数据'!P317/'原始数据'!O317</x:f>
        <x:v>0.04945603907637655</x:v>
      </x:c>
      <x:c r="I320" s="9" t="n">
        <x:f>F320/C320</x:f>
        <x:v>0.020587672471246543</x:v>
      </x:c>
      <x:c r="J320" s="9" t="n">
        <x:f>'原始数据'!G317/'原始数据'!F317</x:f>
        <x:v>0.020349898013208714</x:v>
      </x:c>
      <x:c r="K320" s="2" t="str">
        <x:v>待拆分产品市场</x:v>
      </x:c>
      <x:c r="L320" s="15" t="str">
        <x:v>内容/导航或宽泛需求需拆分；品牌或IP需核验</x:v>
      </x:c>
      <x:c r="M320" s="2" t="str">
        <x:f>IF(AND(C320&gt;='核验与方法'!$B$7,F320&gt;='核验与方法'!$B$8,G320&gt;='核验与方法'!$B$9,D320&gt;='核验与方法'!$B$10,E320&gt;='核验与方法'!$B$11),"通过需求门槛","未通过需求门槛")</x:f>
        <x:v>通过需求门槛</x:v>
      </x:c>
      <x:c r="N320" s="2" t="str">
        <x:v>先核验风险标签</x:v>
      </x:c>
      <x:c r="O320" s="9" t="n">
        <x:f>G320-'原始数据'!J317</x:f>
        <x:v>0.000049961129826386896</x:v>
      </x:c>
      <x:c r="P320" s="2" t="str">
        <x:v>DATA HOLD</x:v>
      </x:c>
    </x:row>
    <x:row r="321" ht="48" customHeight="1">
      <x:c r="A321" s="2" t="n">
        <x:v>316</x:v>
      </x:c>
      <x:c r="B321" s="2" t="str">
        <x:v>light blue dress for women</x:v>
      </x:c>
      <x:c r="C321" s="10" t="n">
        <x:f>'原始数据'!D318</x:f>
        <x:v>151197</x:v>
      </x:c>
      <x:c r="D321" s="9" t="n">
        <x:f>IF(ISNUMBER('原始数据'!E318),'原始数据'!E318,VALUE(SUBSTITUTE('原始数据'!E318,"'","")))</x:f>
        <x:v>-0.0437</x:v>
      </x:c>
      <x:c r="E321" s="9" t="n">
        <x:f>IF(ISNUMBER('原始数据'!H318),'原始数据'!H318,VALUE(SUBSTITUTE('原始数据'!H318,"'","")))</x:f>
        <x:v>-0.0175</x:v>
      </x:c>
      <x:c r="F321" s="10" t="n">
        <x:f>'原始数据'!L318</x:f>
        <x:v>591</x:v>
      </x:c>
      <x:c r="G321" s="9" t="n">
        <x:f>F321/'原始数据'!G318</x:f>
        <x:v>0.015162399302170455</x:v>
      </x:c>
      <x:c r="H321" s="9" t="n">
        <x:f>'原始数据'!P318/'原始数据'!O318</x:f>
        <x:v>0.12644380614801687</x:v>
      </x:c>
      <x:c r="I321" s="9" t="n">
        <x:f>F321/C321</x:f>
        <x:v>0.003908807714438778</x:v>
      </x:c>
      <x:c r="J321" s="9" t="n">
        <x:f>'原始数据'!G318/'原始数据'!F318</x:f>
        <x:v>0.007795314691482292</x:v>
      </x:c>
      <x:c r="K321" s="2" t="str">
        <x:v>待拆分产品市场</x:v>
      </x:c>
      <x:c r="L321" s="15" t="str">
        <x:v>尺码/颜色变体及退货待核验</x:v>
      </x:c>
      <x:c r="M321" s="2" t="str">
        <x:f>IF(AND(C321&gt;='核验与方法'!$B$7,F321&gt;='核验与方法'!$B$8,G321&gt;='核验与方法'!$B$9,D321&gt;='核验与方法'!$B$10,E321&gt;='核验与方法'!$B$11),"通过需求门槛","未通过需求门槛")</x:f>
        <x:v>未通过需求门槛</x:v>
      </x:c>
      <x:c r="N321" s="2" t="str">
        <x:v>先核验风险标签</x:v>
      </x:c>
      <x:c r="O321" s="9" t="n">
        <x:f>G321-'原始数据'!J318</x:f>
        <x:v>0.00006239930217045477</x:v>
      </x:c>
      <x:c r="P321" s="2" t="str">
        <x:v>DATA HOLD</x:v>
      </x:c>
    </x:row>
    <x:row r="322" ht="48" customHeight="1">
      <x:c r="A322" s="2" t="n">
        <x:v>317</x:v>
      </x:c>
      <x:c r="B322" s="2" t="str">
        <x:v>pumpkin dutch oven</x:v>
      </x:c>
      <x:c r="C322" s="10" t="n">
        <x:f>'原始数据'!D319</x:f>
        <x:v>150976</x:v>
      </x:c>
      <x:c r="D322" s="9" t="n">
        <x:f>IF(ISNUMBER('原始数据'!E319),'原始数据'!E319,VALUE(SUBSTITUTE('原始数据'!E319,"'","")))</x:f>
        <x:v>1.3157</x:v>
      </x:c>
      <x:c r="E322" s="9" t="n">
        <x:f>IF(ISNUMBER('原始数据'!H319),'原始数据'!H319,VALUE(SUBSTITUTE('原始数据'!H319,"'","")))</x:f>
        <x:v>1.1487</x:v>
      </x:c>
      <x:c r="F322" s="10" t="n">
        <x:f>'原始数据'!L319</x:f>
        <x:v>616</x:v>
      </x:c>
      <x:c r="G322" s="9" t="n">
        <x:f>F322/'原始数据'!G319</x:f>
        <x:v>0.009651995424703467</x:v>
      </x:c>
      <x:c r="H322" s="9" t="n">
        <x:f>'原始数据'!P319/'原始数据'!O319</x:f>
        <x:v>0.016998856802027933</x:v>
      </x:c>
      <x:c r="I322" s="9" t="n">
        <x:f>F322/C322</x:f>
        <x:v>0.004080118694362018</x:v>
      </x:c>
      <x:c r="J322" s="9" t="n">
        <x:f>'原始数据'!G319/'原始数据'!F319</x:f>
        <x:v>0.024373765958990695</x:v>
      </x:c>
      <x:c r="K322" s="2" t="str">
        <x:v>待拆分产品市场</x:v>
      </x:c>
      <x:c r="L322" s="15" t="str">
        <x:v>暂无自动识别标签，仍需核验</x:v>
      </x:c>
      <x:c r="M322" s="2" t="str">
        <x:f>IF(AND(C322&gt;='核验与方法'!$B$7,F322&gt;='核验与方法'!$B$8,G322&gt;='核验与方法'!$B$9,D322&gt;='核验与方法'!$B$10,E322&gt;='核验与方法'!$B$11),"通过需求门槛","未通过需求门槛")</x:f>
        <x:v>未通过需求门槛</x:v>
      </x:c>
      <x:c r="N322" s="2" t="str">
        <x:v>待确认具体产品形态</x:v>
      </x:c>
      <x:c r="O322" s="9" t="n">
        <x:f>G322-'原始数据'!J319</x:f>
        <x:v>0.0000519954247034677</x:v>
      </x:c>
      <x:c r="P322" s="2" t="str">
        <x:v>DATA HOLD</x:v>
      </x:c>
    </x:row>
    <x:row r="323" ht="48" customHeight="1">
      <x:c r="A323" s="2" t="n">
        <x:v>318</x:v>
      </x:c>
      <x:c r="B323" s="2" t="str">
        <x:v>pet dog supplies</x:v>
      </x:c>
      <x:c r="C323" s="10" t="n">
        <x:f>'原始数据'!D320</x:f>
        <x:v>150740</x:v>
      </x:c>
      <x:c r="D323" s="9" t="n">
        <x:f>IF(ISNUMBER('原始数据'!E320),'原始数据'!E320,VALUE(SUBSTITUTE('原始数据'!E320,"'","")))</x:f>
        <x:v>-0.0363</x:v>
      </x:c>
      <x:c r="E323" s="9" t="n">
        <x:f>IF(ISNUMBER('原始数据'!H320),'原始数据'!H320,VALUE(SUBSTITUTE('原始数据'!H320,"'","")))</x:f>
        <x:v>-0.0387</x:v>
      </x:c>
      <x:c r="F323" s="10" t="n">
        <x:f>'原始数据'!L320</x:f>
        <x:v>1322</x:v>
      </x:c>
      <x:c r="G323" s="9" t="n">
        <x:f>F323/'原始数据'!G320</x:f>
        <x:v>0.03529568815912428</x:v>
      </x:c>
      <x:c r="H323" s="9" t="n">
        <x:f>'原始数据'!P320/'原始数据'!O320</x:f>
        <x:v>0.11070075757575758</x:v>
      </x:c>
      <x:c r="I323" s="9" t="n">
        <x:f>F323/C323</x:f>
        <x:v>0.008770067666180178</x:v>
      </x:c>
      <x:c r="J323" s="9" t="n">
        <x:f>'原始数据'!G320/'原始数据'!F320</x:f>
        <x:v>0.013736414867234828</x:v>
      </x:c>
      <x:c r="K323" s="2" t="str">
        <x:v>待拆分产品市场</x:v>
      </x:c>
      <x:c r="L323" s="15" t="str">
        <x:v>暂无自动识别标签，仍需核验</x:v>
      </x:c>
      <x:c r="M323" s="2" t="str">
        <x:f>IF(AND(C323&gt;='核验与方法'!$B$7,F323&gt;='核验与方法'!$B$8,G323&gt;='核验与方法'!$B$9,D323&gt;='核验与方法'!$B$10,E323&gt;='核验与方法'!$B$11),"通过需求门槛","未通过需求门槛")</x:f>
        <x:v>未通过需求门槛</x:v>
      </x:c>
      <x:c r="N323" s="2" t="str">
        <x:v>待确认具体产品形态</x:v>
      </x:c>
      <x:c r="O323" s="9" t="n">
        <x:f>G323-'原始数据'!J320</x:f>
        <x:v>0.00009568815912427975</x:v>
      </x:c>
      <x:c r="P323" s="2" t="str">
        <x:v>DATA HOLD</x:v>
      </x:c>
    </x:row>
    <x:row r="324" ht="48" customHeight="1">
      <x:c r="A324" s="2" t="n">
        <x:v>319</x:v>
      </x:c>
      <x:c r="B324" s="2" t="str">
        <x:v>leather jacket</x:v>
      </x:c>
      <x:c r="C324" s="10" t="n">
        <x:f>'原始数据'!D321</x:f>
        <x:v>150405</x:v>
      </x:c>
      <x:c r="D324" s="9" t="n">
        <x:f>IF(ISNUMBER('原始数据'!E321),'原始数据'!E321,VALUE(SUBSTITUTE('原始数据'!E321,"'","")))</x:f>
        <x:v>0.2533</x:v>
      </x:c>
      <x:c r="E324" s="9" t="n">
        <x:f>IF(ISNUMBER('原始数据'!H321),'原始数据'!H321,VALUE(SUBSTITUTE('原始数据'!H321,"'","")))</x:f>
        <x:v>0.2308</x:v>
      </x:c>
      <x:c r="F324" s="10" t="n">
        <x:f>'原始数据'!L321</x:f>
        <x:v>553</x:v>
      </x:c>
      <x:c r="G324" s="9" t="n">
        <x:f>F324/'原始数据'!G321</x:f>
        <x:v>0.012892847150983867</x:v>
      </x:c>
      <x:c r="H324" s="9" t="n">
        <x:f>'原始数据'!P321/'原始数据'!O321</x:f>
        <x:v>0.08546964193046186</x:v>
      </x:c>
      <x:c r="I324" s="9" t="n">
        <x:f>F324/C324</x:f>
        <x:v>0.0036767394700974038</x:v>
      </x:c>
      <x:c r="J324" s="9" t="n">
        <x:f>'原始数据'!G321/'原始数据'!F321</x:f>
        <x:v>0.013083885790842683</x:v>
      </x:c>
      <x:c r="K324" s="2" t="str">
        <x:v>待拆分产品市场</x:v>
      </x:c>
      <x:c r="L324" s="15" t="str">
        <x:v>尺码/颜色变体及退货待核验</x:v>
      </x:c>
      <x:c r="M324" s="2" t="str">
        <x:f>IF(AND(C324&gt;='核验与方法'!$B$7,F324&gt;='核验与方法'!$B$8,G324&gt;='核验与方法'!$B$9,D324&gt;='核验与方法'!$B$10,E324&gt;='核验与方法'!$B$11),"通过需求门槛","未通过需求门槛")</x:f>
        <x:v>未通过需求门槛</x:v>
      </x:c>
      <x:c r="N324" s="2" t="str">
        <x:v>先核验风险标签</x:v>
      </x:c>
      <x:c r="O324" s="9" t="n">
        <x:f>G324-'原始数据'!J321</x:f>
        <x:v>0.0000928471509838661</x:v>
      </x:c>
      <x:c r="P324" s="2" t="str">
        <x:v>DATA HOLD</x:v>
      </x:c>
    </x:row>
    <x:row r="325" ht="48" customHeight="1">
      <x:c r="A325" s="2" t="n">
        <x:v>320</x:v>
      </x:c>
      <x:c r="B325" s="2" t="str">
        <x:v>shrek costume</x:v>
      </x:c>
      <x:c r="C325" s="10" t="n">
        <x:f>'原始数据'!D322</x:f>
        <x:v>150324</x:v>
      </x:c>
      <x:c r="D325" s="9" t="n">
        <x:f>IF(ISNUMBER('原始数据'!E322),'原始数据'!E322,VALUE(SUBSTITUTE('原始数据'!E322,"'","")))</x:f>
        <x:v>1.3553</x:v>
      </x:c>
      <x:c r="E325" s="9" t="n">
        <x:f>IF(ISNUMBER('原始数据'!H322),'原始数据'!H322,VALUE(SUBSTITUTE('原始数据'!H322,"'","")))</x:f>
        <x:v>1.5261</x:v>
      </x:c>
      <x:c r="F325" s="10" t="n">
        <x:f>'原始数据'!L322</x:f>
        <x:v>705</x:v>
      </x:c>
      <x:c r="G325" s="9" t="n">
        <x:f>F325/'原始数据'!G322</x:f>
        <x:v>0.015357804160766802</x:v>
      </x:c>
      <x:c r="H325" s="9" t="n">
        <x:f>'原始数据'!P322/'原始数据'!O322</x:f>
        <x:v>0.06162383177570094</x:v>
      </x:c>
      <x:c r="I325" s="9" t="n">
        <x:f>F325/C325</x:f>
        <x:v>0.004689869881056917</x:v>
      </x:c>
      <x:c r="J325" s="9" t="n">
        <x:f>'原始数据'!G322/'原始数据'!F322</x:f>
        <x:v>0.021380060677362055</x:v>
      </x:c>
      <x:c r="K325" s="2" t="str">
        <x:v>待拆分产品市场</x:v>
      </x:c>
      <x:c r="L325" s="15" t="str">
        <x:v>品牌或IP需核验；季节/事件影响待核验</x:v>
      </x:c>
      <x:c r="M325" s="2" t="str">
        <x:f>IF(AND(C325&gt;='核验与方法'!$B$7,F325&gt;='核验与方法'!$B$8,G325&gt;='核验与方法'!$B$9,D325&gt;='核验与方法'!$B$10,E325&gt;='核验与方法'!$B$11),"通过需求门槛","未通过需求门槛")</x:f>
        <x:v>未通过需求门槛</x:v>
      </x:c>
      <x:c r="N325" s="2" t="str">
        <x:v>先核验风险标签</x:v>
      </x:c>
      <x:c r="O325" s="9" t="n">
        <x:f>G325-'原始数据'!J322</x:f>
        <x:v>0.00005780416076680249</x:v>
      </x:c>
      <x:c r="P325" s="2" t="str">
        <x:v>DATA HOLD</x:v>
      </x:c>
    </x:row>
    <x:row r="326" ht="48" customHeight="1">
      <x:c r="A326" s="2" t="n">
        <x:v>321</x:v>
      </x:c>
      <x:c r="B326" s="2" t="str">
        <x:v>air cannon toy</x:v>
      </x:c>
      <x:c r="C326" s="10" t="n">
        <x:f>'原始数据'!D323</x:f>
        <x:v>149909</x:v>
      </x:c>
      <x:c r="D326" s="9" t="n">
        <x:f>IF(ISNUMBER('原始数据'!E323),'原始数据'!E323,VALUE(SUBSTITUTE('原始数据'!E323,"'","")))</x:f>
        <x:v>-0.4271</x:v>
      </x:c>
      <x:c r="E326" s="9" t="n">
        <x:f>IF(ISNUMBER('原始数据'!H323),'原始数据'!H323,VALUE(SUBSTITUTE('原始数据'!H323,"'","")))</x:f>
        <x:v>-0.3387</x:v>
      </x:c>
      <x:c r="F326" s="10" t="n">
        <x:f>'原始数据'!L323</x:f>
        <x:v>1592</x:v>
      </x:c>
      <x:c r="G326" s="9" t="n">
        <x:f>F326/'原始数据'!G323</x:f>
        <x:v>0.025429685004153088</x:v>
      </x:c>
      <x:c r="H326" s="9" t="n">
        <x:f>'原始数据'!P323/'原始数据'!O323</x:f>
        <x:v>0.062473221936589544</x:v>
      </x:c>
      <x:c r="I326" s="9" t="n">
        <x:f>F326/C326</x:f>
        <x:v>0.010619775997438446</x:v>
      </x:c>
      <x:c r="J326" s="9" t="n">
        <x:f>'原始数据'!G323/'原始数据'!F323</x:f>
        <x:v>0.016531513891525868</x:v>
      </x:c>
      <x:c r="K326" s="2" t="str">
        <x:v>待拆分产品市场</x:v>
      </x:c>
      <x:c r="L326" s="15" t="str">
        <x:v>暂无自动识别标签，仍需核验</x:v>
      </x:c>
      <x:c r="M326" s="2" t="str">
        <x:f>IF(AND(C326&gt;='核验与方法'!$B$7,F326&gt;='核验与方法'!$B$8,G326&gt;='核验与方法'!$B$9,D326&gt;='核验与方法'!$B$10,E326&gt;='核验与方法'!$B$11),"通过需求门槛","未通过需求门槛")</x:f>
        <x:v>未通过需求门槛</x:v>
      </x:c>
      <x:c r="N326" s="2" t="str">
        <x:v>待确认具体产品形态</x:v>
      </x:c>
      <x:c r="O326" s="9" t="n">
        <x:f>G326-'原始数据'!J323</x:f>
        <x:v>0.000029685004153089112</x:v>
      </x:c>
      <x:c r="P326" s="2" t="str">
        <x:v>DATA HOLD</x:v>
      </x:c>
    </x:row>
    <x:row r="327" ht="48" customHeight="1">
      <x:c r="A327" s="2" t="n">
        <x:v>322</x:v>
      </x:c>
      <x:c r="B327" s="2" t="str">
        <x:v>ambient lighting</x:v>
      </x:c>
      <x:c r="C327" s="10" t="n">
        <x:f>'原始数据'!D324</x:f>
        <x:v>149813</x:v>
      </x:c>
      <x:c r="D327" s="9" t="n">
        <x:f>IF(ISNUMBER('原始数据'!E324),'原始数据'!E324,VALUE(SUBSTITUTE('原始数据'!E324,"'","")))</x:f>
        <x:v>0.0713</x:v>
      </x:c>
      <x:c r="E327" s="9" t="n">
        <x:f>IF(ISNUMBER('原始数据'!H324),'原始数据'!H324,VALUE(SUBSTITUTE('原始数据'!H324,"'","")))</x:f>
        <x:v>0.0965</x:v>
      </x:c>
      <x:c r="F327" s="10" t="n">
        <x:f>'原始数据'!L324</x:f>
        <x:v>1636</x:v>
      </x:c>
      <x:c r="G327" s="9" t="n">
        <x:f>F327/'原始数据'!G324</x:f>
        <x:v>0.033292633292633295</x:v>
      </x:c>
      <x:c r="H327" s="9" t="n">
        <x:f>'原始数据'!P324/'原始数据'!O324</x:f>
        <x:v>0.08802371713824825</x:v>
      </x:c>
      <x:c r="I327" s="9" t="n">
        <x:f>F327/C327</x:f>
        <x:v>0.010920280616501906</x:v>
      </x:c>
      <x:c r="J327" s="9" t="n">
        <x:f>'原始数据'!G324/'原始数据'!F324</x:f>
        <x:v>0.011936510589220073</x:v>
      </x:c>
      <x:c r="K327" s="2" t="str">
        <x:v>已选候选</x:v>
      </x:c>
      <x:c r="L327" s="15" t="str">
        <x:v>暂无自动识别标签，仍需核验</x:v>
      </x:c>
      <x:c r="M327" s="2" t="str">
        <x:f>IF(AND(C327&gt;='核验与方法'!$B$7,F327&gt;='核验与方法'!$B$8,G327&gt;='核验与方法'!$B$9,D327&gt;='核验与方法'!$B$10,E327&gt;='核验与方法'!$B$11),"通过需求门槛","未通过需求门槛")</x:f>
        <x:v>未通过需求门槛</x:v>
      </x:c>
      <x:c r="N327" s="2" t="str">
        <x:v>候选研究</x:v>
      </x:c>
      <x:c r="O327" s="9" t="n">
        <x:f>G327-'原始数据'!J324</x:f>
        <x:v>0.00009263329263329428</x:v>
      </x:c>
      <x:c r="P327" s="2" t="str">
        <x:v>DATA HOLD</x:v>
      </x:c>
    </x:row>
    <x:row r="328" ht="48" customHeight="1">
      <x:c r="A328" s="2" t="n">
        <x:v>323</x:v>
      </x:c>
      <x:c r="B328" s="2" t="str">
        <x:v>practical magic</x:v>
      </x:c>
      <x:c r="C328" s="10" t="n">
        <x:f>'原始数据'!D325</x:f>
        <x:v>149205</x:v>
      </x:c>
      <x:c r="D328" s="9" t="n">
        <x:f>IF(ISNUMBER('原始数据'!E325),'原始数据'!E325,VALUE(SUBSTITUTE('原始数据'!E325,"'","")))</x:f>
        <x:v>2.6798</x:v>
      </x:c>
      <x:c r="E328" s="9" t="n">
        <x:f>IF(ISNUMBER('原始数据'!H325),'原始数据'!H325,VALUE(SUBSTITUTE('原始数据'!H325,"'","")))</x:f>
        <x:v>2.0828</x:v>
      </x:c>
      <x:c r="F328" s="10" t="n">
        <x:f>'原始数据'!L325</x:f>
        <x:v>1997</x:v>
      </x:c>
      <x:c r="G328" s="9" t="n">
        <x:f>F328/'原始数据'!G325</x:f>
        <x:v>0.04842151205082198</x:v>
      </x:c>
      <x:c r="H328" s="9" t="n">
        <x:f>'原始数据'!P325/'原始数据'!O325</x:f>
        <x:v>0.06470480716505209</x:v>
      </x:c>
      <x:c r="I328" s="9" t="n">
        <x:f>F328/C328</x:f>
        <x:v>0.013384269964143292</x:v>
      </x:c>
      <x:c r="J328" s="9" t="n">
        <x:f>'原始数据'!G325/'原始数据'!F325</x:f>
        <x:v>0.03592502452086321</x:v>
      </x:c>
      <x:c r="K328" s="2" t="str">
        <x:v>待拆分产品市场</x:v>
      </x:c>
      <x:c r="L328" s="15" t="str">
        <x:v>内容/导航或宽泛需求需拆分；品牌或IP需核验</x:v>
      </x:c>
      <x:c r="M328" s="2" t="str">
        <x:f>IF(AND(C328&gt;='核验与方法'!$B$7,F328&gt;='核验与方法'!$B$8,G328&gt;='核验与方法'!$B$9,D328&gt;='核验与方法'!$B$10,E328&gt;='核验与方法'!$B$11),"通过需求门槛","未通过需求门槛")</x:f>
        <x:v>未通过需求门槛</x:v>
      </x:c>
      <x:c r="N328" s="2" t="str">
        <x:v>先核验风险标签</x:v>
      </x:c>
      <x:c r="O328" s="9" t="n">
        <x:f>G328-'原始数据'!J325</x:f>
        <x:v>0.000021512050821979878</x:v>
      </x:c>
      <x:c r="P328" s="2" t="str">
        <x:v>DATA HOLD</x:v>
      </x:c>
    </x:row>
    <x:row r="329" ht="48" customHeight="1">
      <x:c r="A329" s="2" t="n">
        <x:v>324</x:v>
      </x:c>
      <x:c r="B329" s="2" t="str">
        <x:v>fall table decor</x:v>
      </x:c>
      <x:c r="C329" s="10" t="n">
        <x:f>'原始数据'!D326</x:f>
        <x:v>149073</x:v>
      </x:c>
      <x:c r="D329" s="9" t="n">
        <x:f>IF(ISNUMBER('原始数据'!E326),'原始数据'!E326,VALUE(SUBSTITUTE('原始数据'!E326,"'","")))</x:f>
        <x:v>0.9787</x:v>
      </x:c>
      <x:c r="E329" s="9" t="n">
        <x:f>IF(ISNUMBER('原始数据'!H326),'原始数据'!H326,VALUE(SUBSTITUTE('原始数据'!H326,"'","")))</x:f>
        <x:v>1.0407</x:v>
      </x:c>
      <x:c r="F329" s="10" t="n">
        <x:f>'原始数据'!L326</x:f>
        <x:v>2643</x:v>
      </x:c>
      <x:c r="G329" s="9" t="n">
        <x:f>F329/'原始数据'!G326</x:f>
        <x:v>0.05608369053176591</x:v>
      </x:c>
      <x:c r="H329" s="9" t="n">
        <x:f>'原始数据'!P326/'原始数据'!O326</x:f>
        <x:v>0.10164880461665293</x:v>
      </x:c>
      <x:c r="I329" s="9" t="n">
        <x:f>F329/C329</x:f>
        <x:v>0.017729568734780946</x:v>
      </x:c>
      <x:c r="J329" s="9" t="n">
        <x:f>'原始数据'!G326/'原始数据'!F326</x:f>
        <x:v>0.016686323948943232</x:v>
      </x:c>
      <x:c r="K329" s="2" t="str">
        <x:v>待拆分产品市场</x:v>
      </x:c>
      <x:c r="L329" s="15" t="str">
        <x:v>季节/事件影响待核验</x:v>
      </x:c>
      <x:c r="M329" s="2" t="str">
        <x:f>IF(AND(C329&gt;='核验与方法'!$B$7,F329&gt;='核验与方法'!$B$8,G329&gt;='核验与方法'!$B$9,D329&gt;='核验与方法'!$B$10,E329&gt;='核验与方法'!$B$11),"通过需求门槛","未通过需求门槛")</x:f>
        <x:v>通过需求门槛</x:v>
      </x:c>
      <x:c r="N329" s="2" t="str">
        <x:v>先核验风险标签</x:v>
      </x:c>
      <x:c r="O329" s="9" t="n">
        <x:f>G329-'原始数据'!J326</x:f>
        <x:v>0.00008369053176590646</x:v>
      </x:c>
      <x:c r="P329" s="2" t="str">
        <x:v>DATA HOLD</x:v>
      </x:c>
    </x:row>
    <x:row r="330" ht="48" customHeight="1">
      <x:c r="A330" s="2" t="n">
        <x:v>325</x:v>
      </x:c>
      <x:c r="B330" s="2" t="str">
        <x:v>watch bands</x:v>
      </x:c>
      <x:c r="C330" s="10" t="n">
        <x:f>'原始数据'!D327</x:f>
        <x:v>149049</x:v>
      </x:c>
      <x:c r="D330" s="9" t="n">
        <x:f>IF(ISNUMBER('原始数据'!E327),'原始数据'!E327,VALUE(SUBSTITUTE('原始数据'!E327,"'","")))</x:f>
        <x:v>0.0628</x:v>
      </x:c>
      <x:c r="E330" s="9" t="n">
        <x:f>IF(ISNUMBER('原始数据'!H327),'原始数据'!H327,VALUE(SUBSTITUTE('原始数据'!H327,"'","")))</x:f>
        <x:v>0.0596</x:v>
      </x:c>
      <x:c r="F330" s="10" t="n">
        <x:f>'原始数据'!L327</x:f>
        <x:v>2149</x:v>
      </x:c>
      <x:c r="G330" s="9" t="n">
        <x:f>F330/'原始数据'!G327</x:f>
        <x:v>0.04541132219005557</x:v>
      </x:c>
      <x:c r="H330" s="9" t="n">
        <x:f>'原始数据'!P327/'原始数据'!O327</x:f>
        <x:v>0.213502827686302</x:v>
      </x:c>
      <x:c r="I330" s="9" t="n">
        <x:f>F330/C330</x:f>
        <x:v>0.014418077276600313</x:v>
      </x:c>
      <x:c r="J330" s="9" t="n">
        <x:f>'原始数据'!G327/'原始数据'!F327</x:f>
        <x:v>0.013454312115135682</x:v>
      </x:c>
      <x:c r="K330" s="2" t="str">
        <x:v>待拆分产品市场</x:v>
      </x:c>
      <x:c r="L330" s="15" t="str">
        <x:v>暂无自动识别标签，仍需核验</x:v>
      </x:c>
      <x:c r="M330" s="2" t="str">
        <x:f>IF(AND(C330&gt;='核验与方法'!$B$7,F330&gt;='核验与方法'!$B$8,G330&gt;='核验与方法'!$B$9,D330&gt;='核验与方法'!$B$10,E330&gt;='核验与方法'!$B$11),"通过需求门槛","未通过需求门槛")</x:f>
        <x:v>未通过需求门槛</x:v>
      </x:c>
      <x:c r="N330" s="2" t="str">
        <x:v>待确认具体产品形态</x:v>
      </x:c>
      <x:c r="O330" s="9" t="n">
        <x:f>G330-'原始数据'!J327</x:f>
        <x:v>0.000011322190055569614</x:v>
      </x:c>
      <x:c r="P330" s="2" t="str">
        <x:v>DATA HOLD</x:v>
      </x:c>
    </x:row>
    <x:row r="331" ht="48" customHeight="1">
      <x:c r="A331" s="2" t="n">
        <x:v>326</x:v>
      </x:c>
      <x:c r="B331" s="2" t="str">
        <x:v>sword</x:v>
      </x:c>
      <x:c r="C331" s="10" t="n">
        <x:f>'原始数据'!D328</x:f>
        <x:v>148777</x:v>
      </x:c>
      <x:c r="D331" s="9" t="n">
        <x:f>IF(ISNUMBER('原始数据'!E328),'原始数据'!E328,VALUE(SUBSTITUTE('原始数据'!E328,"'","")))</x:f>
        <x:v>-0.0414</x:v>
      </x:c>
      <x:c r="E331" s="9" t="n">
        <x:f>IF(ISNUMBER('原始数据'!H328),'原始数据'!H328,VALUE(SUBSTITUTE('原始数据'!H328,"'","")))</x:f>
        <x:v>-0.0379</x:v>
      </x:c>
      <x:c r="F331" s="10" t="n">
        <x:f>'原始数据'!L328</x:f>
        <x:v>655</x:v>
      </x:c>
      <x:c r="G331" s="9" t="n">
        <x:f>F331/'原始数据'!G328</x:f>
        <x:v>0.015185588760345908</x:v>
      </x:c>
      <x:c r="H331" s="9" t="n">
        <x:f>'原始数据'!P328/'原始数据'!O328</x:f>
        <x:v>0.05076066790352505</x:v>
      </x:c>
      <x:c r="I331" s="9" t="n">
        <x:f>F331/C331</x:f>
        <x:v>0.004402562223999678</x:v>
      </x:c>
      <x:c r="J331" s="9" t="n">
        <x:f>'原始数据'!G328/'原始数据'!F328</x:f>
        <x:v>0.01618793056600148</x:v>
      </x:c>
      <x:c r="K331" s="2" t="str">
        <x:v>待拆分产品市场</x:v>
      </x:c>
      <x:c r="L331" s="15" t="str">
        <x:v>暂无自动识别标签，仍需核验</x:v>
      </x:c>
      <x:c r="M331" s="2" t="str">
        <x:f>IF(AND(C331&gt;='核验与方法'!$B$7,F331&gt;='核验与方法'!$B$8,G331&gt;='核验与方法'!$B$9,D331&gt;='核验与方法'!$B$10,E331&gt;='核验与方法'!$B$11),"通过需求门槛","未通过需求门槛")</x:f>
        <x:v>未通过需求门槛</x:v>
      </x:c>
      <x:c r="N331" s="2" t="str">
        <x:v>待确认具体产品形态</x:v>
      </x:c>
      <x:c r="O331" s="9" t="n">
        <x:f>G331-'原始数据'!J328</x:f>
        <x:v>0.00008558876034590705</x:v>
      </x:c>
      <x:c r="P331" s="2" t="str">
        <x:v>DATA HOLD</x:v>
      </x:c>
    </x:row>
    <x:row r="332" ht="48" customHeight="1">
      <x:c r="A332" s="2" t="n">
        <x:v>327</x:v>
      </x:c>
      <x:c r="B332" s="2" t="str">
        <x:v>romaine lettuce</x:v>
      </x:c>
      <x:c r="C332" s="10" t="n">
        <x:f>'原始数据'!D329</x:f>
        <x:v>148666</x:v>
      </x:c>
      <x:c r="D332" s="9" t="n">
        <x:f>IF(ISNUMBER('原始数据'!E329),'原始数据'!E329,VALUE(SUBSTITUTE('原始数据'!E329,"'","")))</x:f>
        <x:v>-0.0646</x:v>
      </x:c>
      <x:c r="E332" s="9" t="n">
        <x:f>IF(ISNUMBER('原始数据'!H329),'原始数据'!H329,VALUE(SUBSTITUTE('原始数据'!H329,"'","")))</x:f>
        <x:v>0.008</x:v>
      </x:c>
      <x:c r="F332" s="10" t="n">
        <x:f>'原始数据'!L329</x:f>
        <x:v>36244</x:v>
      </x:c>
      <x:c r="G332" s="9" t="n">
        <x:f>F332/'原始数据'!G329</x:f>
        <x:v>0.4764934791754312</x:v>
      </x:c>
      <x:c r="H332" s="9" t="n">
        <x:f>'原始数据'!P329/'原始数据'!O329</x:f>
        <x:v>0.5687287922583888</x:v>
      </x:c>
      <x:c r="I332" s="9" t="n">
        <x:f>F332/C332</x:f>
        <x:v>0.24379481522338664</x:v>
      </x:c>
      <x:c r="J332" s="9" t="n">
        <x:f>'原始数据'!G329/'原始数据'!F329</x:f>
        <x:v>0.02321657489591854</x:v>
      </x:c>
      <x:c r="K332" s="2" t="str">
        <x:v>专业供给</x:v>
      </x:c>
      <x:c r="L332" s="15" t="str">
        <x:v>食品/补剂或耗材需独立供应链</x:v>
      </x:c>
      <x:c r="M332" s="2" t="str">
        <x:f>IF(AND(C332&gt;='核验与方法'!$B$7,F332&gt;='核验与方法'!$B$8,G332&gt;='核验与方法'!$B$9,D332&gt;='核验与方法'!$B$10,E332&gt;='核验与方法'!$B$11),"通过需求门槛","未通过需求门槛")</x:f>
        <x:v>未通过需求门槛</x:v>
      </x:c>
      <x:c r="N332" s="2" t="str">
        <x:v>先核验风险标签</x:v>
      </x:c>
      <x:c r="O332" s="9" t="n">
        <x:f>G332-'原始数据'!J329</x:f>
        <x:v>0.00009347917543123252</x:v>
      </x:c>
      <x:c r="P332" s="2" t="str">
        <x:v>DATA HOLD</x:v>
      </x:c>
    </x:row>
    <x:row r="333" ht="48" customHeight="1">
      <x:c r="A333" s="2" t="n">
        <x:v>328</x:v>
      </x:c>
      <x:c r="B333" s="2" t="str">
        <x:v>flipper zero</x:v>
      </x:c>
      <x:c r="C333" s="10" t="n">
        <x:f>'原始数据'!D330</x:f>
        <x:v>148646</x:v>
      </x:c>
      <x:c r="D333" s="9" t="n">
        <x:f>IF(ISNUMBER('原始数据'!E330),'原始数据'!E330,VALUE(SUBSTITUTE('原始数据'!E330,"'","")))</x:f>
        <x:v>0.1359</x:v>
      </x:c>
      <x:c r="E333" s="9" t="n">
        <x:f>IF(ISNUMBER('原始数据'!H330),'原始数据'!H330,VALUE(SUBSTITUTE('原始数据'!H330,"'","")))</x:f>
        <x:v>0.0689</x:v>
      </x:c>
      <x:c r="F333" s="10" t="n">
        <x:f>'原始数据'!L330</x:f>
        <x:v>848</x:v>
      </x:c>
      <x:c r="G333" s="9" t="n">
        <x:f>F333/'原始数据'!G330</x:f>
        <x:v>0.018361734837494315</x:v>
      </x:c>
      <x:c r="H333" s="9" t="n">
        <x:f>'原始数据'!P330/'原始数据'!O330</x:f>
        <x:v>0.027153757619676883</x:v>
      </x:c>
      <x:c r="I333" s="9" t="n">
        <x:f>F333/C333</x:f>
        <x:v>0.005704828922406254</x:v>
      </x:c>
      <x:c r="J333" s="9" t="n">
        <x:f>'原始数据'!G330/'原始数据'!F330</x:f>
        <x:v>0.03121177346779611</x:v>
      </x:c>
      <x:c r="K333" s="2" t="str">
        <x:v>待拆分产品市场</x:v>
      </x:c>
      <x:c r="L333" s="15" t="str">
        <x:v>暂无自动识别标签，仍需核验</x:v>
      </x:c>
      <x:c r="M333" s="2" t="str">
        <x:f>IF(AND(C333&gt;='核验与方法'!$B$7,F333&gt;='核验与方法'!$B$8,G333&gt;='核验与方法'!$B$9,D333&gt;='核验与方法'!$B$10,E333&gt;='核验与方法'!$B$11),"通过需求门槛","未通过需求门槛")</x:f>
        <x:v>未通过需求门槛</x:v>
      </x:c>
      <x:c r="N333" s="2" t="str">
        <x:v>待确认具体产品形态</x:v>
      </x:c>
      <x:c r="O333" s="9" t="n">
        <x:f>G333-'原始数据'!J330</x:f>
        <x:v>0.00006173483749431427</x:v>
      </x:c>
      <x:c r="P333" s="2" t="str">
        <x:v>DATA HOLD</x:v>
      </x:c>
    </x:row>
    <x:row r="334" ht="48" customHeight="1">
      <x:c r="A334" s="2" t="n">
        <x:v>329</x:v>
      </x:c>
      <x:c r="B334" s="2" t="str">
        <x:v>spring water</x:v>
      </x:c>
      <x:c r="C334" s="10" t="n">
        <x:f>'原始数据'!D331</x:f>
        <x:v>148565</x:v>
      </x:c>
      <x:c r="D334" s="9" t="n">
        <x:f>IF(ISNUMBER('原始数据'!E331),'原始数据'!E331,VALUE(SUBSTITUTE('原始数据'!E331,"'","")))</x:f>
        <x:v>0.0699</x:v>
      </x:c>
      <x:c r="E334" s="9" t="n">
        <x:f>IF(ISNUMBER('原始数据'!H331),'原始数据'!H331,VALUE(SUBSTITUTE('原始数据'!H331,"'","")))</x:f>
        <x:v>0.0582</x:v>
      </x:c>
      <x:c r="F334" s="10" t="n">
        <x:f>'原始数据'!L331</x:f>
        <x:v>8309</x:v>
      </x:c>
      <x:c r="G334" s="9" t="n">
        <x:f>F334/'原始数据'!G331</x:f>
        <x:v>0.18503095354741014</x:v>
      </x:c>
      <x:c r="H334" s="9" t="n">
        <x:f>'原始数据'!P331/'原始数据'!O331</x:f>
        <x:v>0.3033531696539928</x:v>
      </x:c>
      <x:c r="I334" s="9" t="n">
        <x:f>F334/C334</x:f>
        <x:v>0.055928381516507926</x:v>
      </x:c>
      <x:c r="J334" s="9" t="n">
        <x:f>'原始数据'!G331/'原始数据'!F331</x:f>
        <x:v>0.011330648488241796</x:v>
      </x:c>
      <x:c r="K334" s="2" t="str">
        <x:v>专业供给</x:v>
      </x:c>
      <x:c r="L334" s="15" t="str">
        <x:v>食品/补剂或耗材需独立供应链</x:v>
      </x:c>
      <x:c r="M334" s="2" t="str">
        <x:f>IF(AND(C334&gt;='核验与方法'!$B$7,F334&gt;='核验与方法'!$B$8,G334&gt;='核验与方法'!$B$9,D334&gt;='核验与方法'!$B$10,E334&gt;='核验与方法'!$B$11),"通过需求门槛","未通过需求门槛")</x:f>
        <x:v>通过需求门槛</x:v>
      </x:c>
      <x:c r="N334" s="2" t="str">
        <x:v>先核验风险标签</x:v>
      </x:c>
      <x:c r="O334" s="9" t="n">
        <x:f>G334-'原始数据'!J331</x:f>
        <x:v>0.00003095354741014522</x:v>
      </x:c>
      <x:c r="P334" s="2" t="str">
        <x:v>DATA HOLD</x:v>
      </x:c>
    </x:row>
    <x:row r="335" ht="48" customHeight="1">
      <x:c r="A335" s="2" t="n">
        <x:v>330</x:v>
      </x:c>
      <x:c r="B335" s="2" t="str">
        <x:v>medieval dress for women</x:v>
      </x:c>
      <x:c r="C335" s="10" t="n">
        <x:f>'原始数据'!D332</x:f>
        <x:v>148061</x:v>
      </x:c>
      <x:c r="D335" s="9" t="n">
        <x:f>IF(ISNUMBER('原始数据'!E332),'原始数据'!E332,VALUE(SUBSTITUTE('原始数据'!E332,"'","")))</x:f>
        <x:v>0.4678</x:v>
      </x:c>
      <x:c r="E335" s="9" t="n">
        <x:f>IF(ISNUMBER('原始数据'!H332),'原始数据'!H332,VALUE(SUBSTITUTE('原始数据'!H332,"'","")))</x:f>
        <x:v>0.5674</x:v>
      </x:c>
      <x:c r="F335" s="10" t="n">
        <x:f>'原始数据'!L332</x:f>
        <x:v>261</x:v>
      </x:c>
      <x:c r="G335" s="9" t="n">
        <x:f>F335/'原始数据'!G332</x:f>
        <x:v>0.004809818664307829</x:v>
      </x:c>
      <x:c r="H335" s="9" t="n">
        <x:f>'原始数据'!P332/'原始数据'!O332</x:f>
        <x:v>0.06919471069754425</x:v>
      </x:c>
      <x:c r="I335" s="9" t="n">
        <x:f>F335/C335</x:f>
        <x:v>0.0017627869594288841</x:v>
      </x:c>
      <x:c r="J335" s="9" t="n">
        <x:f>'原始数据'!G332/'原始数据'!F332</x:f>
        <x:v>0.01537791428394107</x:v>
      </x:c>
      <x:c r="K335" s="2" t="str">
        <x:v>待拆分产品市场</x:v>
      </x:c>
      <x:c r="L335" s="15" t="str">
        <x:v>尺码/颜色变体及退货待核验</x:v>
      </x:c>
      <x:c r="M335" s="2" t="str">
        <x:f>IF(AND(C335&gt;='核验与方法'!$B$7,F335&gt;='核验与方法'!$B$8,G335&gt;='核验与方法'!$B$9,D335&gt;='核验与方法'!$B$10,E335&gt;='核验与方法'!$B$11),"通过需求门槛","未通过需求门槛")</x:f>
        <x:v>未通过需求门槛</x:v>
      </x:c>
      <x:c r="N335" s="2" t="str">
        <x:v>先核验风险标签</x:v>
      </x:c>
      <x:c r="O335" s="9" t="n">
        <x:f>G335-'原始数据'!J332</x:f>
        <x:v>0.000009818664307829211</x:v>
      </x:c>
      <x:c r="P335" s="2" t="str">
        <x:v>DATA HOLD</x:v>
      </x:c>
    </x:row>
    <x:row r="336" ht="48" customHeight="1">
      <x:c r="A336" s="2" t="n">
        <x:v>331</x:v>
      </x:c>
      <x:c r="B336" s="2" t="str">
        <x:v>the amazing digital circus</x:v>
      </x:c>
      <x:c r="C336" s="10" t="n">
        <x:f>'原始数据'!D333</x:f>
        <x:v>148047</x:v>
      </x:c>
      <x:c r="D336" s="9" t="n">
        <x:f>IF(ISNUMBER('原始数据'!E333),'原始数据'!E333,VALUE(SUBSTITUTE('原始数据'!E333,"'","")))</x:f>
        <x:v>-0.2847</x:v>
      </x:c>
      <x:c r="E336" s="9" t="n">
        <x:f>IF(ISNUMBER('原始数据'!H333),'原始数据'!H333,VALUE(SUBSTITUTE('原始数据'!H333,"'","")))</x:f>
        <x:v>-0.2057</x:v>
      </x:c>
      <x:c r="F336" s="10" t="n">
        <x:f>'原始数据'!L333</x:f>
        <x:v>1847</x:v>
      </x:c>
      <x:c r="G336" s="9" t="n">
        <x:f>F336/'原始数据'!G333</x:f>
        <x:v>0.0425203738662001</x:v>
      </x:c>
      <x:c r="H336" s="9" t="n">
        <x:f>'原始数据'!P333/'原始数据'!O333</x:f>
        <x:v>0.10806558463067241</x:v>
      </x:c>
      <x:c r="I336" s="9" t="n">
        <x:f>F336/C336</x:f>
        <x:v>0.012475767830486265</x:v>
      </x:c>
      <x:c r="J336" s="9" t="n">
        <x:f>'原始数据'!G333/'原始数据'!F333</x:f>
        <x:v>0.017366412595226817</x:v>
      </x:c>
      <x:c r="K336" s="2" t="str">
        <x:v>待拆分产品市场</x:v>
      </x:c>
      <x:c r="L336" s="15" t="str">
        <x:v>品牌或IP需核验</x:v>
      </x:c>
      <x:c r="M336" s="2" t="str">
        <x:f>IF(AND(C336&gt;='核验与方法'!$B$7,F336&gt;='核验与方法'!$B$8,G336&gt;='核验与方法'!$B$9,D336&gt;='核验与方法'!$B$10,E336&gt;='核验与方法'!$B$11),"通过需求门槛","未通过需求门槛")</x:f>
        <x:v>未通过需求门槛</x:v>
      </x:c>
      <x:c r="N336" s="2" t="str">
        <x:v>先核验风险标签</x:v>
      </x:c>
      <x:c r="O336" s="9" t="n">
        <x:f>G336-'原始数据'!J333</x:f>
        <x:v>0.000020373866200094903</x:v>
      </x:c>
      <x:c r="P336" s="2" t="str">
        <x:v>DATA HOLD</x:v>
      </x:c>
    </x:row>
    <x:row r="337" ht="48" customHeight="1">
      <x:c r="A337" s="2" t="n">
        <x:v>332</x:v>
      </x:c>
      <x:c r="B337" s="2" t="str">
        <x:v>iwatch bands for women</x:v>
      </x:c>
      <x:c r="C337" s="10" t="n">
        <x:f>'原始数据'!D334</x:f>
        <x:v>147998</x:v>
      </x:c>
      <x:c r="D337" s="9" t="n">
        <x:f>IF(ISNUMBER('原始数据'!E334),'原始数据'!E334,VALUE(SUBSTITUTE('原始数据'!E334,"'","")))</x:f>
        <x:v>0.0332</x:v>
      </x:c>
      <x:c r="E337" s="9" t="n">
        <x:f>IF(ISNUMBER('原始数据'!H334),'原始数据'!H334,VALUE(SUBSTITUTE('原始数据'!H334,"'","")))</x:f>
        <x:v>0.015</x:v>
      </x:c>
      <x:c r="F337" s="10" t="n">
        <x:f>'原始数据'!L334</x:f>
        <x:v>2680</x:v>
      </x:c>
      <x:c r="G337" s="9" t="n">
        <x:f>F337/'原始数据'!G334</x:f>
        <x:v>0.04467485705712714</x:v>
      </x:c>
      <x:c r="H337" s="9" t="n">
        <x:f>'原始数据'!P334/'原始数据'!O334</x:f>
        <x:v>0.25421619533965584</x:v>
      </x:c>
      <x:c r="I337" s="9" t="n">
        <x:f>F337/C337</x:f>
        <x:v>0.01810835281557859</x:v>
      </x:c>
      <x:c r="J337" s="9" t="n">
        <x:f>'原始数据'!G334/'原始数据'!F334</x:f>
        <x:v>0.012698358266898158</x:v>
      </x:c>
      <x:c r="K337" s="2" t="str">
        <x:v>待拆分产品市场</x:v>
      </x:c>
      <x:c r="L337" s="15" t="str">
        <x:v>品牌或IP需核验</x:v>
      </x:c>
      <x:c r="M337" s="2" t="str">
        <x:f>IF(AND(C337&gt;='核验与方法'!$B$7,F337&gt;='核验与方法'!$B$8,G337&gt;='核验与方法'!$B$9,D337&gt;='核验与方法'!$B$10,E337&gt;='核验与方法'!$B$11),"通过需求门槛","未通过需求门槛")</x:f>
        <x:v>未通过需求门槛</x:v>
      </x:c>
      <x:c r="N337" s="2" t="str">
        <x:v>先核验风险标签</x:v>
      </x:c>
      <x:c r="O337" s="9" t="n">
        <x:f>G337-'原始数据'!J334</x:f>
        <x:v>0.00007485705712714091</x:v>
      </x:c>
      <x:c r="P337" s="2" t="str">
        <x:v>DATA HOLD</x:v>
      </x:c>
    </x:row>
    <x:row r="338" ht="48" customHeight="1">
      <x:c r="A338" s="2" t="n">
        <x:v>333</x:v>
      </x:c>
      <x:c r="B338" s="2" t="str">
        <x:v>warmies</x:v>
      </x:c>
      <x:c r="C338" s="10" t="n">
        <x:f>'原始数据'!D335</x:f>
        <x:v>147829</x:v>
      </x:c>
      <x:c r="D338" s="9" t="n">
        <x:f>IF(ISNUMBER('原始数据'!E335),'原始数据'!E335,VALUE(SUBSTITUTE('原始数据'!E335,"'","")))</x:f>
        <x:v>0.0491</x:v>
      </x:c>
      <x:c r="E338" s="9" t="n">
        <x:f>IF(ISNUMBER('原始数据'!H335),'原始数据'!H335,VALUE(SUBSTITUTE('原始数据'!H335,"'","")))</x:f>
        <x:v>0.0476</x:v>
      </x:c>
      <x:c r="F338" s="10" t="n">
        <x:f>'原始数据'!L335</x:f>
        <x:v>2704</x:v>
      </x:c>
      <x:c r="G338" s="9" t="n">
        <x:f>F338/'原始数据'!G335</x:f>
        <x:v>0.053691275167785234</x:v>
      </x:c>
      <x:c r="H338" s="9" t="n">
        <x:f>'原始数据'!P335/'原始数据'!O335</x:f>
        <x:v>0.1316156596041503</x:v>
      </x:c>
      <x:c r="I338" s="9" t="n">
        <x:f>F338/C338</x:f>
        <x:v>0.018291404257621983</x:v>
      </x:c>
      <x:c r="J338" s="9" t="n">
        <x:f>'原始数据'!G335/'原始数据'!F335</x:f>
        <x:v>0.013215157361975184</x:v>
      </x:c>
      <x:c r="K338" s="2" t="str">
        <x:v>待拆分产品市场</x:v>
      </x:c>
      <x:c r="L338" s="15" t="str">
        <x:v>品牌或IP需核验</x:v>
      </x:c>
      <x:c r="M338" s="2" t="str">
        <x:f>IF(AND(C338&gt;='核验与方法'!$B$7,F338&gt;='核验与方法'!$B$8,G338&gt;='核验与方法'!$B$9,D338&gt;='核验与方法'!$B$10,E338&gt;='核验与方法'!$B$11),"通过需求门槛","未通过需求门槛")</x:f>
        <x:v>通过需求门槛</x:v>
      </x:c>
      <x:c r="N338" s="2" t="str">
        <x:v>先核验风险标签</x:v>
      </x:c>
      <x:c r="O338" s="9" t="n">
        <x:f>G338-'原始数据'!J335</x:f>
        <x:v>0.00009127516778523193</x:v>
      </x:c>
      <x:c r="P338" s="2" t="str">
        <x:v>DATA HOLD</x:v>
      </x:c>
    </x:row>
    <x:row r="339" ht="48" customHeight="1">
      <x:c r="A339" s="2" t="n">
        <x:v>334</x:v>
      </x:c>
      <x:c r="B339" s="2" t="str">
        <x:v>brown flats</x:v>
      </x:c>
      <x:c r="C339" s="10" t="n">
        <x:f>'原始数据'!D336</x:f>
        <x:v>147582</x:v>
      </x:c>
      <x:c r="D339" s="9" t="n">
        <x:f>IF(ISNUMBER('原始数据'!E336),'原始数据'!E336,VALUE(SUBSTITUTE('原始数据'!E336,"'","")))</x:f>
        <x:v>0.6028</x:v>
      </x:c>
      <x:c r="E339" s="9" t="n">
        <x:f>IF(ISNUMBER('原始数据'!H336),'原始数据'!H336,VALUE(SUBSTITUTE('原始数据'!H336,"'","")))</x:f>
        <x:v>0.6834</x:v>
      </x:c>
      <x:c r="F339" s="10" t="n">
        <x:f>'原始数据'!L336</x:f>
        <x:v>457</x:v>
      </x:c>
      <x:c r="G339" s="9" t="n">
        <x:f>F339/'原始数据'!G336</x:f>
        <x:v>0.012738675958188153</x:v>
      </x:c>
      <x:c r="H339" s="9" t="n">
        <x:f>'原始数据'!P336/'原始数据'!O336</x:f>
        <x:v>0.1251045025677774</x:v>
      </x:c>
      <x:c r="I339" s="9" t="n">
        <x:f>F339/C339</x:f>
        <x:v>0.0030965835942052553</x:v>
      </x:c>
      <x:c r="J339" s="9" t="n">
        <x:f>'原始数据'!G336/'原始数据'!F336</x:f>
        <x:v>0.009169033789582752</x:v>
      </x:c>
      <x:c r="K339" s="2" t="str">
        <x:v>待拆分产品市场</x:v>
      </x:c>
      <x:c r="L339" s="15" t="str">
        <x:v>尺码/颜色变体及退货待核验</x:v>
      </x:c>
      <x:c r="M339" s="2" t="str">
        <x:f>IF(AND(C339&gt;='核验与方法'!$B$7,F339&gt;='核验与方法'!$B$8,G339&gt;='核验与方法'!$B$9,D339&gt;='核验与方法'!$B$10,E339&gt;='核验与方法'!$B$11),"通过需求门槛","未通过需求门槛")</x:f>
        <x:v>未通过需求门槛</x:v>
      </x:c>
      <x:c r="N339" s="2" t="str">
        <x:v>先核验风险标签</x:v>
      </x:c>
      <x:c r="O339" s="9" t="n">
        <x:f>G339-'原始数据'!J336</x:f>
        <x:v>0.00003867595818815399</x:v>
      </x:c>
      <x:c r="P339" s="2" t="str">
        <x:v>DATA HOLD</x:v>
      </x:c>
    </x:row>
    <x:row r="340" ht="48" customHeight="1">
      <x:c r="A340" s="2" t="n">
        <x:v>335</x:v>
      </x:c>
      <x:c r="B340" s="2" t="str">
        <x:v>fleece jacket women</x:v>
      </x:c>
      <x:c r="C340" s="10" t="n">
        <x:f>'原始数据'!D337</x:f>
        <x:v>147304</x:v>
      </x:c>
      <x:c r="D340" s="9" t="n">
        <x:f>IF(ISNUMBER('原始数据'!E337),'原始数据'!E337,VALUE(SUBSTITUTE('原始数据'!E337,"'","")))</x:f>
        <x:v>0.5654</x:v>
      </x:c>
      <x:c r="E340" s="9" t="n">
        <x:f>IF(ISNUMBER('原始数据'!H337),'原始数据'!H337,VALUE(SUBSTITUTE('原始数据'!H337,"'","")))</x:f>
        <x:v>0.693</x:v>
      </x:c>
      <x:c r="F340" s="10" t="n">
        <x:f>'原始数据'!L337</x:f>
        <x:v>401</x:v>
      </x:c>
      <x:c r="G340" s="9" t="n">
        <x:f>F340/'原始数据'!G337</x:f>
        <x:v>0.007840760221340164</x:v>
      </x:c>
      <x:c r="H340" s="9" t="n">
        <x:f>'原始数据'!P337/'原始数据'!O337</x:f>
        <x:v>0.09933742570398518</x:v>
      </x:c>
      <x:c r="I340" s="9" t="n">
        <x:f>F340/C340</x:f>
        <x:v>0.0027222614457176994</x:v>
      </x:c>
      <x:c r="J340" s="9" t="n">
        <x:f>'原始数据'!G337/'原始数据'!F337</x:f>
        <x:v>0.013325808367147477</x:v>
      </x:c>
      <x:c r="K340" s="2" t="str">
        <x:v>待拆分产品市场</x:v>
      </x:c>
      <x:c r="L340" s="15" t="str">
        <x:v>尺码/颜色变体及退货待核验</x:v>
      </x:c>
      <x:c r="M340" s="2" t="str">
        <x:f>IF(AND(C340&gt;='核验与方法'!$B$7,F340&gt;='核验与方法'!$B$8,G340&gt;='核验与方法'!$B$9,D340&gt;='核验与方法'!$B$10,E340&gt;='核验与方法'!$B$11),"通过需求门槛","未通过需求门槛")</x:f>
        <x:v>未通过需求门槛</x:v>
      </x:c>
      <x:c r="N340" s="2" t="str">
        <x:v>先核验风险标签</x:v>
      </x:c>
      <x:c r="O340" s="9" t="n">
        <x:f>G340-'原始数据'!J337</x:f>
        <x:v>0.00004076022134016401</x:v>
      </x:c>
      <x:c r="P340" s="2" t="str">
        <x:v>DATA HOLD</x:v>
      </x:c>
    </x:row>
    <x:row r="341" ht="48" customHeight="1">
      <x:c r="A341" s="2" t="n">
        <x:v>336</x:v>
      </x:c>
      <x:c r="B341" s="2" t="str">
        <x:v>wrestling shoes</x:v>
      </x:c>
      <x:c r="C341" s="10" t="n">
        <x:f>'原始数据'!D338</x:f>
        <x:v>146518</x:v>
      </x:c>
      <x:c r="D341" s="9" t="n">
        <x:f>IF(ISNUMBER('原始数据'!E338),'原始数据'!E338,VALUE(SUBSTITUTE('原始数据'!E338,"'","")))</x:f>
        <x:v>0.4299</x:v>
      </x:c>
      <x:c r="E341" s="9" t="n">
        <x:f>IF(ISNUMBER('原始数据'!H338),'原始数据'!H338,VALUE(SUBSTITUTE('原始数据'!H338,"'","")))</x:f>
        <x:v>0.5932</x:v>
      </x:c>
      <x:c r="F341" s="10" t="n">
        <x:f>'原始数据'!L338</x:f>
        <x:v>402</x:v>
      </x:c>
      <x:c r="G341" s="9" t="n">
        <x:f>F341/'原始数据'!G338</x:f>
        <x:v>0.007416837327724581</x:v>
      </x:c>
      <x:c r="H341" s="9" t="n">
        <x:f>'原始数据'!P338/'原始数据'!O338</x:f>
        <x:v>0.1786577285836776</x:v>
      </x:c>
      <x:c r="I341" s="9" t="n">
        <x:f>F341/C341</x:f>
        <x:v>0.0027436901950613577</x:v>
      </x:c>
      <x:c r="J341" s="9" t="n">
        <x:f>'原始数据'!G338/'原始数据'!F338</x:f>
        <x:v>0.018979821880109268</x:v>
      </x:c>
      <x:c r="K341" s="2" t="str">
        <x:v>待拆分产品市场</x:v>
      </x:c>
      <x:c r="L341" s="15" t="str">
        <x:v>尺码/颜色变体及退货待核验</x:v>
      </x:c>
      <x:c r="M341" s="2" t="str">
        <x:f>IF(AND(C341&gt;='核验与方法'!$B$7,F341&gt;='核验与方法'!$B$8,G341&gt;='核验与方法'!$B$9,D341&gt;='核验与方法'!$B$10,E341&gt;='核验与方法'!$B$11),"通过需求门槛","未通过需求门槛")</x:f>
        <x:v>未通过需求门槛</x:v>
      </x:c>
      <x:c r="N341" s="2" t="str">
        <x:v>先核验风险标签</x:v>
      </x:c>
      <x:c r="O341" s="9" t="n">
        <x:f>G341-'原始数据'!J338</x:f>
        <x:v>0.00001683732772458056</x:v>
      </x:c>
      <x:c r="P341" s="2" t="str">
        <x:v>DATA HOLD</x:v>
      </x:c>
    </x:row>
    <x:row r="342" ht="48" customHeight="1">
      <x:c r="A342" s="2" t="n">
        <x:v>337</x:v>
      </x:c>
      <x:c r="B342" s="2" t="str">
        <x:v>olive green dress</x:v>
      </x:c>
      <x:c r="C342" s="10" t="n">
        <x:f>'原始数据'!D339</x:f>
        <x:v>146054</x:v>
      </x:c>
      <x:c r="D342" s="9" t="n">
        <x:f>IF(ISNUMBER('原始数据'!E339),'原始数据'!E339,VALUE(SUBSTITUTE('原始数据'!E339,"'","")))</x:f>
        <x:v>0.3329</x:v>
      </x:c>
      <x:c r="E342" s="9" t="n">
        <x:f>IF(ISNUMBER('原始数据'!H339),'原始数据'!H339,VALUE(SUBSTITUTE('原始数据'!H339,"'","")))</x:f>
        <x:v>0.355</x:v>
      </x:c>
      <x:c r="F342" s="10" t="n">
        <x:f>'原始数据'!L339</x:f>
        <x:v>456</x:v>
      </x:c>
      <x:c r="G342" s="9" t="n">
        <x:f>F342/'原始数据'!G339</x:f>
        <x:v>0.012997007268063274</x:v>
      </x:c>
      <x:c r="H342" s="9" t="n">
        <x:f>'原始数据'!P339/'原始数据'!O339</x:f>
        <x:v>0.0796663350424734</x:v>
      </x:c>
      <x:c r="I342" s="9" t="n">
        <x:f>F342/C342</x:f>
        <x:v>0.0031221329097457103</x:v>
      </x:c>
      <x:c r="J342" s="9" t="n">
        <x:f>'原始数据'!G339/'原始数据'!F339</x:f>
        <x:v>0.00956223575074248</x:v>
      </x:c>
      <x:c r="K342" s="2" t="str">
        <x:v>待拆分产品市场</x:v>
      </x:c>
      <x:c r="L342" s="15" t="str">
        <x:v>尺码/颜色变体及退货待核验</x:v>
      </x:c>
      <x:c r="M342" s="2" t="str">
        <x:f>IF(AND(C342&gt;='核验与方法'!$B$7,F342&gt;='核验与方法'!$B$8,G342&gt;='核验与方法'!$B$9,D342&gt;='核验与方法'!$B$10,E342&gt;='核验与方法'!$B$11),"通过需求门槛","未通过需求门槛")</x:f>
        <x:v>未通过需求门槛</x:v>
      </x:c>
      <x:c r="N342" s="2" t="str">
        <x:v>先核验风险标签</x:v>
      </x:c>
      <x:c r="O342" s="9" t="n">
        <x:f>G342-'原始数据'!J339</x:f>
        <x:v>0.00009700726806327435</x:v>
      </x:c>
      <x:c r="P342" s="2" t="str">
        <x:v>DATA HOLD</x:v>
      </x:c>
    </x:row>
    <x:row r="343" ht="48" customHeight="1">
      <x:c r="A343" s="2" t="n">
        <x:v>338</x:v>
      </x:c>
      <x:c r="B343" s="2" t="str">
        <x:v>scalp oil applicator</x:v>
      </x:c>
      <x:c r="C343" s="10" t="n">
        <x:f>'原始数据'!D340</x:f>
        <x:v>145942</x:v>
      </x:c>
      <x:c r="D343" s="9" t="n">
        <x:f>IF(ISNUMBER('原始数据'!E340),'原始数据'!E340,VALUE(SUBSTITUTE('原始数据'!E340,"'","")))</x:f>
        <x:v>-0.0248</x:v>
      </x:c>
      <x:c r="E343" s="9" t="n">
        <x:f>IF(ISNUMBER('原始数据'!H340),'原始数据'!H340,VALUE(SUBSTITUTE('原始数据'!H340,"'","")))</x:f>
        <x:v>-0.028</x:v>
      </x:c>
      <x:c r="F343" s="10" t="n">
        <x:f>'原始数据'!L340</x:f>
        <x:v>7091</x:v>
      </x:c>
      <x:c r="G343" s="9" t="n">
        <x:f>F343/'原始数据'!G340</x:f>
        <x:v>0.10927892246759852</x:v>
      </x:c>
      <x:c r="H343" s="9" t="n">
        <x:f>'原始数据'!P340/'原始数据'!O340</x:f>
        <x:v>0.21903411868217812</x:v>
      </x:c>
      <x:c r="I343" s="9" t="n">
        <x:f>F343/C343</x:f>
        <x:v>0.04858779515149854</x:v>
      </x:c>
      <x:c r="J343" s="9" t="n">
        <x:f>'原始数据'!G340/'原始数据'!F340</x:f>
        <x:v>0.013460493289356317</x:v>
      </x:c>
      <x:c r="K343" s="2" t="str">
        <x:v>已选候选</x:v>
      </x:c>
      <x:c r="L343" s="15" t="str">
        <x:v>暂无自动识别标签，仍需核验</x:v>
      </x:c>
      <x:c r="M343" s="2" t="str">
        <x:f>IF(AND(C343&gt;='核验与方法'!$B$7,F343&gt;='核验与方法'!$B$8,G343&gt;='核验与方法'!$B$9,D343&gt;='核验与方法'!$B$10,E343&gt;='核验与方法'!$B$11),"通过需求门槛","未通过需求门槛")</x:f>
        <x:v>未通过需求门槛</x:v>
      </x:c>
      <x:c r="N343" s="2" t="str">
        <x:v>候选研究</x:v>
      </x:c>
      <x:c r="O343" s="9" t="n">
        <x:f>G343-'原始数据'!J340</x:f>
        <x:v>0.00007892246759851063</x:v>
      </x:c>
      <x:c r="P343" s="2" t="str">
        <x:v>DATA HOLD</x:v>
      </x:c>
    </x:row>
    <x:row r="344" ht="48" customHeight="1">
      <x:c r="A344" s="2" t="n">
        <x:v>339</x:v>
      </x:c>
      <x:c r="B344" s="2" t="str">
        <x:v>labor and delivery gown</x:v>
      </x:c>
      <x:c r="C344" s="10" t="n">
        <x:f>'原始数据'!D341</x:f>
        <x:v>145642</x:v>
      </x:c>
      <x:c r="D344" s="9" t="n">
        <x:f>IF(ISNUMBER('原始数据'!E341),'原始数据'!E341,VALUE(SUBSTITUTE('原始数据'!E341,"'","")))</x:f>
        <x:v>0.0213</x:v>
      </x:c>
      <x:c r="E344" s="9" t="n">
        <x:f>IF(ISNUMBER('原始数据'!H341),'原始数据'!H341,VALUE(SUBSTITUTE('原始数据'!H341,"'","")))</x:f>
        <x:v>0.0438</x:v>
      </x:c>
      <x:c r="F344" s="10" t="n">
        <x:f>'原始数据'!L341</x:f>
        <x:v>1324</x:v>
      </x:c>
      <x:c r="G344" s="9" t="n">
        <x:f>F344/'原始数据'!G341</x:f>
        <x:v>0.022005418252530457</x:v>
      </x:c>
      <x:c r="H344" s="9" t="n">
        <x:f>'原始数据'!P341/'原始数据'!O341</x:f>
        <x:v>0.10768712070128118</x:v>
      </x:c>
      <x:c r="I344" s="9" t="n">
        <x:f>F344/C344</x:f>
        <x:v>0.009090784251795499</x:v>
      </x:c>
      <x:c r="J344" s="9" t="n">
        <x:f>'原始数据'!G341/'原始数据'!F341</x:f>
        <x:v>0.012467958215648202</x:v>
      </x:c>
      <x:c r="K344" s="2" t="str">
        <x:v>待拆分产品市场</x:v>
      </x:c>
      <x:c r="L344" s="15" t="str">
        <x:v>尺码/颜色变体及退货待核验</x:v>
      </x:c>
      <x:c r="M344" s="2" t="str">
        <x:f>IF(AND(C344&gt;='核验与方法'!$B$7,F344&gt;='核验与方法'!$B$8,G344&gt;='核验与方法'!$B$9,D344&gt;='核验与方法'!$B$10,E344&gt;='核验与方法'!$B$11),"通过需求门槛","未通过需求门槛")</x:f>
        <x:v>未通过需求门槛</x:v>
      </x:c>
      <x:c r="N344" s="2" t="str">
        <x:v>先核验风险标签</x:v>
      </x:c>
      <x:c r="O344" s="9" t="n">
        <x:f>G344-'原始数据'!J341</x:f>
        <x:v>0.0000054182525304584395</x:v>
      </x:c>
      <x:c r="P344" s="2" t="str">
        <x:v>DATA HOLD</x:v>
      </x:c>
    </x:row>
    <x:row r="345" ht="48" customHeight="1">
      <x:c r="A345" s="2" t="n">
        <x:v>340</x:v>
      </x:c>
      <x:c r="B345" s="2" t="str">
        <x:v>sand and fog perfume oil</x:v>
      </x:c>
      <x:c r="C345" s="10" t="n">
        <x:f>'原始数据'!D342</x:f>
        <x:v>145195</x:v>
      </x:c>
      <x:c r="D345" s="9" t="n">
        <x:f>IF(ISNUMBER('原始数据'!E342),'原始数据'!E342,VALUE(SUBSTITUTE('原始数据'!E342,"'","")))</x:f>
        <x:v>0.2852</x:v>
      </x:c>
      <x:c r="E345" s="9" t="n">
        <x:f>IF(ISNUMBER('原始数据'!H342),'原始数据'!H342,VALUE(SUBSTITUTE('原始数据'!H342,"'","")))</x:f>
        <x:v>0.12</x:v>
      </x:c>
      <x:c r="F345" s="10" t="n">
        <x:f>'原始数据'!L342</x:f>
        <x:v>1034</x:v>
      </x:c>
      <x:c r="G345" s="9" t="n">
        <x:f>F345/'原始数据'!G342</x:f>
        <x:v>0.021653543307086614</x:v>
      </x:c>
      <x:c r="H345" s="9" t="n">
        <x:f>'原始数据'!P342/'原始数据'!O342</x:f>
        <x:v>0.05770014259523325</x:v>
      </x:c>
      <x:c r="I345" s="9" t="n">
        <x:f>F345/C345</x:f>
        <x:v>0.007121457350459727</x:v>
      </x:c>
      <x:c r="J345" s="9" t="n">
        <x:f>'原始数据'!G342/'原始数据'!F342</x:f>
        <x:v>0.015316802357694422</x:v>
      </x:c>
      <x:c r="K345" s="2" t="str">
        <x:v>专业供给</x:v>
      </x:c>
      <x:c r="L345" s="15" t="str">
        <x:v>食品/补剂或耗材需独立供应链</x:v>
      </x:c>
      <x:c r="M345" s="2" t="str">
        <x:f>IF(AND(C345&gt;='核验与方法'!$B$7,F345&gt;='核验与方法'!$B$8,G345&gt;='核验与方法'!$B$9,D345&gt;='核验与方法'!$B$10,E345&gt;='核验与方法'!$B$11),"通过需求门槛","未通过需求门槛")</x:f>
        <x:v>未通过需求门槛</x:v>
      </x:c>
      <x:c r="N345" s="2" t="str">
        <x:v>先核验风险标签</x:v>
      </x:c>
      <x:c r="O345" s="9" t="n">
        <x:f>G345-'原始数据'!J342</x:f>
        <x:v>0.00005354330708661273</x:v>
      </x:c>
      <x:c r="P345" s="2" t="str">
        <x:v>DATA HOLD</x:v>
      </x:c>
    </x:row>
    <x:row r="346" ht="48" customHeight="1">
      <x:c r="A346" s="2" t="n">
        <x:v>341</x:v>
      </x:c>
      <x:c r="B346" s="2" t="str">
        <x:v>poppy playtime</x:v>
      </x:c>
      <x:c r="C346" s="10" t="n">
        <x:f>'原始数据'!D343</x:f>
        <x:v>144822</x:v>
      </x:c>
      <x:c r="D346" s="9" t="n">
        <x:f>IF(ISNUMBER('原始数据'!E343),'原始数据'!E343,VALUE(SUBSTITUTE('原始数据'!E343,"'","")))</x:f>
        <x:v>-0.0521</x:v>
      </x:c>
      <x:c r="E346" s="9" t="n">
        <x:f>IF(ISNUMBER('原始数据'!H343),'原始数据'!H343,VALUE(SUBSTITUTE('原始数据'!H343,"'","")))</x:f>
        <x:v>0.001</x:v>
      </x:c>
      <x:c r="F346" s="10" t="n">
        <x:f>'原始数据'!L343</x:f>
        <x:v>1154</x:v>
      </x:c>
      <x:c r="G346" s="9" t="n">
        <x:f>F346/'原始数据'!G343</x:f>
        <x:v>0.023715090113232362</x:v>
      </x:c>
      <x:c r="H346" s="9" t="n">
        <x:f>'原始数据'!P343/'原始数据'!O343</x:f>
        <x:v>0.10157600406710728</x:v>
      </x:c>
      <x:c r="I346" s="9" t="n">
        <x:f>F346/C346</x:f>
        <x:v>0.007968402590766597</x:v>
      </x:c>
      <x:c r="J346" s="9" t="n">
        <x:f>'原始数据'!G343/'原始数据'!F343</x:f>
        <x:v>0.020124741053338568</x:v>
      </x:c>
      <x:c r="K346" s="2" t="str">
        <x:v>待拆分产品市场</x:v>
      </x:c>
      <x:c r="L346" s="15" t="str">
        <x:v>品牌或IP需核验</x:v>
      </x:c>
      <x:c r="M346" s="2" t="str">
        <x:f>IF(AND(C346&gt;='核验与方法'!$B$7,F346&gt;='核验与方法'!$B$8,G346&gt;='核验与方法'!$B$9,D346&gt;='核验与方法'!$B$10,E346&gt;='核验与方法'!$B$11),"通过需求门槛","未通过需求门槛")</x:f>
        <x:v>未通过需求门槛</x:v>
      </x:c>
      <x:c r="N346" s="2" t="str">
        <x:v>先核验风险标签</x:v>
      </x:c>
      <x:c r="O346" s="9" t="n">
        <x:f>G346-'原始数据'!J343</x:f>
        <x:v>0.000015090113232363311</x:v>
      </x:c>
      <x:c r="P346" s="2" t="str">
        <x:v>DATA HOLD</x:v>
      </x:c>
    </x:row>
    <x:row r="347" ht="48" customHeight="1">
      <x:c r="A347" s="2" t="n">
        <x:v>342</x:v>
      </x:c>
      <x:c r="B347" s="2" t="str">
        <x:v>cinnamon rolls</x:v>
      </x:c>
      <x:c r="C347" s="10" t="n">
        <x:f>'原始数据'!D344</x:f>
        <x:v>144787</x:v>
      </x:c>
      <x:c r="D347" s="9" t="n">
        <x:f>IF(ISNUMBER('原始数据'!E344),'原始数据'!E344,VALUE(SUBSTITUTE('原始数据'!E344,"'","")))</x:f>
        <x:v>0.1058</x:v>
      </x:c>
      <x:c r="E347" s="9" t="n">
        <x:f>IF(ISNUMBER('原始数据'!H344),'原始数据'!H344,VALUE(SUBSTITUTE('原始数据'!H344,"'","")))</x:f>
        <x:v>0.1107</x:v>
      </x:c>
      <x:c r="F347" s="10" t="n">
        <x:f>'原始数据'!L344</x:f>
        <x:v>13296</x:v>
      </x:c>
      <x:c r="G347" s="9" t="n">
        <x:f>F347/'原始数据'!G344</x:f>
        <x:v>0.265989157180867</x:v>
      </x:c>
      <x:c r="H347" s="9" t="n">
        <x:f>'原始数据'!P344/'原始数据'!O344</x:f>
        <x:v>0.3805257242757243</x:v>
      </x:c>
      <x:c r="I347" s="9" t="n">
        <x:f>F347/C347</x:f>
        <x:v>0.09183144895605268</x:v>
      </x:c>
      <x:c r="J347" s="9" t="n">
        <x:f>'原始数据'!G344/'原始数据'!F344</x:f>
        <x:v>0.016295250231371232</x:v>
      </x:c>
      <x:c r="K347" s="2" t="str">
        <x:v>专业供给</x:v>
      </x:c>
      <x:c r="L347" s="15" t="str">
        <x:v>食品/补剂或耗材需独立供应链</x:v>
      </x:c>
      <x:c r="M347" s="2" t="str">
        <x:f>IF(AND(C347&gt;='核验与方法'!$B$7,F347&gt;='核验与方法'!$B$8,G347&gt;='核验与方法'!$B$9,D347&gt;='核验与方法'!$B$10,E347&gt;='核验与方法'!$B$11),"通过需求门槛","未通过需求门槛")</x:f>
        <x:v>通过需求门槛</x:v>
      </x:c>
      <x:c r="N347" s="2" t="str">
        <x:v>先核验风险标签</x:v>
      </x:c>
      <x:c r="O347" s="9" t="n">
        <x:f>G347-'原始数据'!J344</x:f>
        <x:v>0.00008915718086699442</x:v>
      </x:c>
      <x:c r="P347" s="2" t="str">
        <x:v>DATA HOLD</x:v>
      </x:c>
    </x:row>
    <x:row r="348" ht="48" customHeight="1">
      <x:c r="A348" s="2" t="n">
        <x:v>343</x:v>
      </x:c>
      <x:c r="B348" s="2" t="str">
        <x:v>bowling ball</x:v>
      </x:c>
      <x:c r="C348" s="10" t="n">
        <x:f>'原始数据'!D345</x:f>
        <x:v>144778</x:v>
      </x:c>
      <x:c r="D348" s="9" t="n">
        <x:f>IF(ISNUMBER('原始数据'!E345),'原始数据'!E345,VALUE(SUBSTITUTE('原始数据'!E345,"'","")))</x:f>
        <x:v>0.1808</x:v>
      </x:c>
      <x:c r="E348" s="9" t="n">
        <x:f>IF(ISNUMBER('原始数据'!H345),'原始数据'!H345,VALUE(SUBSTITUTE('原始数据'!H345,"'","")))</x:f>
        <x:v>0.1763</x:v>
      </x:c>
      <x:c r="F348" s="10" t="n">
        <x:f>'原始数据'!L345</x:f>
        <x:v>273</x:v>
      </x:c>
      <x:c r="G348" s="9" t="n">
        <x:f>F348/'原始数据'!G345</x:f>
        <x:v>0.006148648648648648</x:v>
      </x:c>
      <x:c r="H348" s="9" t="n">
        <x:f>'原始数据'!P345/'原始数据'!O345</x:f>
        <x:v>0.035401657758153224</x:v>
      </x:c>
      <x:c r="I348" s="9" t="n">
        <x:f>F348/C348</x:f>
        <x:v>0.0018856456091395101</x:v>
      </x:c>
      <x:c r="J348" s="9" t="n">
        <x:f>'原始数据'!G345/'原始数据'!F345</x:f>
        <x:v>0.015248174340207376</x:v>
      </x:c>
      <x:c r="K348" s="2" t="str">
        <x:v>待拆分产品市场</x:v>
      </x:c>
      <x:c r="L348" s="15" t="str">
        <x:v>体积/安装/售后成本待核验</x:v>
      </x:c>
      <x:c r="M348" s="2" t="str">
        <x:f>IF(AND(C348&gt;='核验与方法'!$B$7,F348&gt;='核验与方法'!$B$8,G348&gt;='核验与方法'!$B$9,D348&gt;='核验与方法'!$B$10,E348&gt;='核验与方法'!$B$11),"通过需求门槛","未通过需求门槛")</x:f>
        <x:v>未通过需求门槛</x:v>
      </x:c>
      <x:c r="N348" s="2" t="str">
        <x:v>先核验风险标签</x:v>
      </x:c>
      <x:c r="O348" s="9" t="n">
        <x:f>G348-'原始数据'!J345</x:f>
        <x:v>0.00004864864864864791</x:v>
      </x:c>
      <x:c r="P348" s="2" t="str">
        <x:v>DATA HOLD</x:v>
      </x:c>
    </x:row>
    <x:row r="349" ht="48" customHeight="1">
      <x:c r="A349" s="2" t="n">
        <x:v>344</x:v>
      </x:c>
      <x:c r="B349" s="2" t="str">
        <x:v>caramel sauce</x:v>
      </x:c>
      <x:c r="C349" s="10" t="n">
        <x:f>'原始数据'!D346</x:f>
        <x:v>144304</x:v>
      </x:c>
      <x:c r="D349" s="9" t="n">
        <x:f>IF(ISNUMBER('原始数据'!E346),'原始数据'!E346,VALUE(SUBSTITUTE('原始数据'!E346,"'","")))</x:f>
        <x:v>0.1523</x:v>
      </x:c>
      <x:c r="E349" s="9" t="n">
        <x:f>IF(ISNUMBER('原始数据'!H346),'原始数据'!H346,VALUE(SUBSTITUTE('原始数据'!H346,"'","")))</x:f>
        <x:v>0.0957</x:v>
      </x:c>
      <x:c r="F349" s="10" t="n">
        <x:f>'原始数据'!L346</x:f>
        <x:v>12955</x:v>
      </x:c>
      <x:c r="G349" s="9" t="n">
        <x:f>F349/'原始数据'!G346</x:f>
        <x:v>0.24113990023080933</x:v>
      </x:c>
      <x:c r="H349" s="9" t="n">
        <x:f>'原始数据'!P346/'原始数据'!O346</x:f>
        <x:v>0.3664399936248207</x:v>
      </x:c>
      <x:c r="I349" s="9" t="n">
        <x:f>F349/C349</x:f>
        <x:v>0.08977575119192815</x:v>
      </x:c>
      <x:c r="J349" s="9" t="n">
        <x:f>'原始数据'!G346/'原始数据'!F346</x:f>
        <x:v>0.013608426666882818</x:v>
      </x:c>
      <x:c r="K349" s="2" t="str">
        <x:v>专业供给</x:v>
      </x:c>
      <x:c r="L349" s="15" t="str">
        <x:v>食品/补剂或耗材需独立供应链</x:v>
      </x:c>
      <x:c r="M349" s="2" t="str">
        <x:f>IF(AND(C349&gt;='核验与方法'!$B$7,F349&gt;='核验与方法'!$B$8,G349&gt;='核验与方法'!$B$9,D349&gt;='核验与方法'!$B$10,E349&gt;='核验与方法'!$B$11),"通过需求门槛","未通过需求门槛")</x:f>
        <x:v>通过需求门槛</x:v>
      </x:c>
      <x:c r="N349" s="2" t="str">
        <x:v>先核验风险标签</x:v>
      </x:c>
      <x:c r="O349" s="9" t="n">
        <x:f>G349-'原始数据'!J346</x:f>
        <x:v>0.000039900230809325476</x:v>
      </x:c>
      <x:c r="P349" s="2" t="str">
        <x:v>DATA HOLD</x:v>
      </x:c>
    </x:row>
    <x:row r="350" ht="48" customHeight="1">
      <x:c r="A350" s="2" t="n">
        <x:v>345</x:v>
      </x:c>
      <x:c r="B350" s="2" t="str">
        <x:v>pink corset</x:v>
      </x:c>
      <x:c r="C350" s="10" t="n">
        <x:f>'原始数据'!D347</x:f>
        <x:v>144195</x:v>
      </x:c>
      <x:c r="D350" s="9" t="n">
        <x:f>IF(ISNUMBER('原始数据'!E347),'原始数据'!E347,VALUE(SUBSTITUTE('原始数据'!E347,"'","")))</x:f>
        <x:v>0.98</x:v>
      </x:c>
      <x:c r="E350" s="9" t="n">
        <x:f>IF(ISNUMBER('原始数据'!H347),'原始数据'!H347,VALUE(SUBSTITUTE('原始数据'!H347,"'","")))</x:f>
        <x:v>1.0589</x:v>
      </x:c>
      <x:c r="F350" s="10" t="n">
        <x:f>'原始数据'!L347</x:f>
        <x:v>446</x:v>
      </x:c>
      <x:c r="G350" s="9" t="n">
        <x:f>F350/'原始数据'!G347</x:f>
        <x:v>0.01095796172084224</x:v>
      </x:c>
      <x:c r="H350" s="9" t="n">
        <x:f>'原始数据'!P347/'原始数据'!O347</x:f>
        <x:v>0.06879323597232898</x:v>
      </x:c>
      <x:c r="I350" s="9" t="n">
        <x:f>F350/C350</x:f>
        <x:v>0.003093033739033947</x:v>
      </x:c>
      <x:c r="J350" s="9" t="n">
        <x:f>'原始数据'!G347/'原始数据'!F347</x:f>
        <x:v>0.018160433448108616</x:v>
      </x:c>
      <x:c r="K350" s="2" t="str">
        <x:v>待拆分产品市场</x:v>
      </x:c>
      <x:c r="L350" s="15" t="str">
        <x:v>尺码/颜色变体及退货待核验</x:v>
      </x:c>
      <x:c r="M350" s="2" t="str">
        <x:f>IF(AND(C350&gt;='核验与方法'!$B$7,F350&gt;='核验与方法'!$B$8,G350&gt;='核验与方法'!$B$9,D350&gt;='核验与方法'!$B$10,E350&gt;='核验与方法'!$B$11),"通过需求门槛","未通过需求门槛")</x:f>
        <x:v>未通过需求门槛</x:v>
      </x:c>
      <x:c r="N350" s="2" t="str">
        <x:v>先核验风险标签</x:v>
      </x:c>
      <x:c r="O350" s="9" t="n">
        <x:f>G350-'原始数据'!J347</x:f>
        <x:v>0.000057961720842240536</x:v>
      </x:c>
      <x:c r="P350" s="2" t="str">
        <x:v>DATA HOLD</x:v>
      </x:c>
    </x:row>
    <x:row r="351" ht="48" customHeight="1">
      <x:c r="A351" s="2" t="n">
        <x:v>346</x:v>
      </x:c>
      <x:c r="B351" s="2" t="str">
        <x:v>baby bath essentials</x:v>
      </x:c>
      <x:c r="C351" s="10" t="n">
        <x:f>'原始数据'!D348</x:f>
        <x:v>143141</x:v>
      </x:c>
      <x:c r="D351" s="9" t="n">
        <x:f>IF(ISNUMBER('原始数据'!E348),'原始数据'!E348,VALUE(SUBSTITUTE('原始数据'!E348,"'","")))</x:f>
        <x:v>-0.0401</x:v>
      </x:c>
      <x:c r="E351" s="9" t="n">
        <x:f>IF(ISNUMBER('原始数据'!H348),'原始数据'!H348,VALUE(SUBSTITUTE('原始数据'!H348,"'","")))</x:f>
        <x:v>-0.0726</x:v>
      </x:c>
      <x:c r="F351" s="10" t="n">
        <x:f>'原始数据'!L348</x:f>
        <x:v>3041</x:v>
      </x:c>
      <x:c r="G351" s="9" t="n">
        <x:f>F351/'原始数据'!G348</x:f>
        <x:v>0.054755302675645504</x:v>
      </x:c>
      <x:c r="H351" s="9" t="n">
        <x:f>'原始数据'!P348/'原始数据'!O348</x:f>
        <x:v>0.12202169274537696</x:v>
      </x:c>
      <x:c r="I351" s="9" t="n">
        <x:f>F351/C351</x:f>
        <x:v>0.0212447866090079</x:v>
      </x:c>
      <x:c r="J351" s="9" t="n">
        <x:f>'原始数据'!G348/'原始数据'!F348</x:f>
        <x:v>0.012258991446429876</x:v>
      </x:c>
      <x:c r="K351" s="2" t="str">
        <x:v>待拆分产品市场</x:v>
      </x:c>
      <x:c r="L351" s="15" t="str">
        <x:v>暂无自动识别标签，仍需核验</x:v>
      </x:c>
      <x:c r="M351" s="2" t="str">
        <x:f>IF(AND(C351&gt;='核验与方法'!$B$7,F351&gt;='核验与方法'!$B$8,G351&gt;='核验与方法'!$B$9,D351&gt;='核验与方法'!$B$10,E351&gt;='核验与方法'!$B$11),"通过需求门槛","未通过需求门槛")</x:f>
        <x:v>未通过需求门槛</x:v>
      </x:c>
      <x:c r="N351" s="2" t="str">
        <x:v>待确认具体产品形态</x:v>
      </x:c>
      <x:c r="O351" s="9" t="n">
        <x:f>G351-'原始数据'!J348</x:f>
        <x:v>0.00005530267564550495</x:v>
      </x:c>
      <x:c r="P351" s="2" t="str">
        <x:v>DATA HOLD</x:v>
      </x:c>
    </x:row>
    <x:row r="352" ht="48" customHeight="1">
      <x:c r="A352" s="2" t="n">
        <x:v>347</x:v>
      </x:c>
      <x:c r="B352" s="2" t="str">
        <x:v>red homecoming dress</x:v>
      </x:c>
      <x:c r="C352" s="10" t="n">
        <x:f>'原始数据'!D349</x:f>
        <x:v>142707</x:v>
      </x:c>
      <x:c r="D352" s="9" t="n">
        <x:f>IF(ISNUMBER('原始数据'!E349),'原始数据'!E349,VALUE(SUBSTITUTE('原始数据'!E349,"'","")))</x:f>
        <x:v>2.3736</x:v>
      </x:c>
      <x:c r="E352" s="9" t="n">
        <x:f>IF(ISNUMBER('原始数据'!H349),'原始数据'!H349,VALUE(SUBSTITUTE('原始数据'!H349,"'","")))</x:f>
        <x:v>2.5516</x:v>
      </x:c>
      <x:c r="F352" s="10" t="n">
        <x:f>'原始数据'!L349</x:f>
        <x:v>242</x:v>
      </x:c>
      <x:c r="G352" s="9" t="n">
        <x:f>F352/'原始数据'!G349</x:f>
        <x:v>0.00604274870155813</x:v>
      </x:c>
      <x:c r="H352" s="9" t="n">
        <x:f>'原始数据'!P349/'原始数据'!O349</x:f>
        <x:v>0.05528115501519757</x:v>
      </x:c>
      <x:c r="I352" s="9" t="n">
        <x:f>F352/C352</x:f>
        <x:v>0.001695782267162788</x:v>
      </x:c>
      <x:c r="J352" s="9" t="n">
        <x:f>'原始数据'!G349/'原始数据'!F349</x:f>
        <x:v>0.027442241646315223</x:v>
      </x:c>
      <x:c r="K352" s="2" t="str">
        <x:v>待拆分产品市场</x:v>
      </x:c>
      <x:c r="L352" s="15" t="str">
        <x:v>季节/事件影响待核验；尺码/颜色变体及退货待核验</x:v>
      </x:c>
      <x:c r="M352" s="2" t="str">
        <x:f>IF(AND(C352&gt;='核验与方法'!$B$7,F352&gt;='核验与方法'!$B$8,G352&gt;='核验与方法'!$B$9,D352&gt;='核验与方法'!$B$10,E352&gt;='核验与方法'!$B$11),"通过需求门槛","未通过需求门槛")</x:f>
        <x:v>未通过需求门槛</x:v>
      </x:c>
      <x:c r="N352" s="2" t="str">
        <x:v>先核验风险标签</x:v>
      </x:c>
      <x:c r="O352" s="9" t="n">
        <x:f>G352-'原始数据'!J349</x:f>
        <x:v>0.00004274870155812974</x:v>
      </x:c>
      <x:c r="P352" s="2" t="str">
        <x:v>DATA HOLD</x:v>
      </x:c>
    </x:row>
    <x:row r="353" ht="48" customHeight="1">
      <x:c r="A353" s="2" t="n">
        <x:v>348</x:v>
      </x:c>
      <x:c r="B353" s="2" t="str">
        <x:v>pea</x:v>
      </x:c>
      <x:c r="C353" s="10" t="n">
        <x:f>'原始数据'!D350</x:f>
        <x:v>142688</x:v>
      </x:c>
      <x:c r="D353" s="9" t="n">
        <x:f>IF(ISNUMBER('原始数据'!E350),'原始数据'!E350,VALUE(SUBSTITUTE('原始数据'!E350,"'","")))</x:f>
        <x:v>0.0555</x:v>
      </x:c>
      <x:c r="E353" s="9" t="n">
        <x:f>IF(ISNUMBER('原始数据'!H350),'原始数据'!H350,VALUE(SUBSTITUTE('原始数据'!H350,"'","")))</x:f>
        <x:v>0.2721</x:v>
      </x:c>
      <x:c r="F353" s="10" t="n">
        <x:f>'原始数据'!L350</x:f>
        <x:v>3316</x:v>
      </x:c>
      <x:c r="G353" s="9" t="n">
        <x:f>F353/'原始数据'!G350</x:f>
        <x:v>0.19763976636071046</x:v>
      </x:c>
      <x:c r="H353" s="9" t="n">
        <x:f>'原始数据'!P350/'原始数据'!O350</x:f>
        <x:v>0.32670759037318525</x:v>
      </x:c>
      <x:c r="I353" s="9" t="n">
        <x:f>F353/C353</x:f>
        <x:v>0.023239515586454363</x:v>
      </x:c>
      <x:c r="J353" s="9" t="n">
        <x:f>'原始数据'!G350/'原始数据'!F350</x:f>
        <x:v>0.01911900778981626</x:v>
      </x:c>
      <x:c r="K353" s="2" t="str">
        <x:v>专业供给</x:v>
      </x:c>
      <x:c r="L353" s="15" t="str">
        <x:v>食品/补剂或耗材需独立供应链</x:v>
      </x:c>
      <x:c r="M353" s="2" t="str">
        <x:f>IF(AND(C353&gt;='核验与方法'!$B$7,F353&gt;='核验与方法'!$B$8,G353&gt;='核验与方法'!$B$9,D353&gt;='核验与方法'!$B$10,E353&gt;='核验与方法'!$B$11),"通过需求门槛","未通过需求门槛")</x:f>
        <x:v>通过需求门槛</x:v>
      </x:c>
      <x:c r="N353" s="2" t="str">
        <x:v>先核验风险标签</x:v>
      </x:c>
      <x:c r="O353" s="9" t="n">
        <x:f>G353-'原始数据'!J350</x:f>
        <x:v>0.00003976636071045814</x:v>
      </x:c>
      <x:c r="P353" s="2" t="str">
        <x:v>DATA HOLD</x:v>
      </x:c>
    </x:row>
    <x:row r="354" ht="48" customHeight="1">
      <x:c r="A354" s="2" t="n">
        <x:v>349</x:v>
      </x:c>
      <x:c r="B354" s="2" t="str">
        <x:v>rocking chair</x:v>
      </x:c>
      <x:c r="C354" s="10" t="n">
        <x:f>'原始数据'!D351</x:f>
        <x:v>142290</x:v>
      </x:c>
      <x:c r="D354" s="9" t="n">
        <x:f>IF(ISNUMBER('原始数据'!E351),'原始数据'!E351,VALUE(SUBSTITUTE('原始数据'!E351,"'","")))</x:f>
        <x:v>-0.0498</x:v>
      </x:c>
      <x:c r="E354" s="9" t="n">
        <x:f>IF(ISNUMBER('原始数据'!H351),'原始数据'!H351,VALUE(SUBSTITUTE('原始数据'!H351,"'","")))</x:f>
        <x:v>-0.0392</x:v>
      </x:c>
      <x:c r="F354" s="10" t="n">
        <x:f>'原始数据'!L351</x:f>
        <x:v>460</x:v>
      </x:c>
      <x:c r="G354" s="9" t="n">
        <x:f>F354/'原始数据'!G351</x:f>
        <x:v>0.011131007114165417</x:v>
      </x:c>
      <x:c r="H354" s="9" t="n">
        <x:f>'原始数据'!P351/'原始数据'!O351</x:f>
        <x:v>0.038642176238084164</x:v>
      </x:c>
      <x:c r="I354" s="9" t="n">
        <x:f>F354/C354</x:f>
        <x:v>0.0032328343523789446</x:v>
      </x:c>
      <x:c r="J354" s="9" t="n">
        <x:f>'原始数据'!G351/'原始数据'!F351</x:f>
        <x:v>0.010253946836588174</x:v>
      </x:c>
      <x:c r="K354" s="2" t="str">
        <x:v>待拆分产品市场</x:v>
      </x:c>
      <x:c r="L354" s="15" t="str">
        <x:v>体积/安装/售后成本待核验</x:v>
      </x:c>
      <x:c r="M354" s="2" t="str">
        <x:f>IF(AND(C354&gt;='核验与方法'!$B$7,F354&gt;='核验与方法'!$B$8,G354&gt;='核验与方法'!$B$9,D354&gt;='核验与方法'!$B$10,E354&gt;='核验与方法'!$B$11),"通过需求门槛","未通过需求门槛")</x:f>
        <x:v>未通过需求门槛</x:v>
      </x:c>
      <x:c r="N354" s="2" t="str">
        <x:v>先核验风险标签</x:v>
      </x:c>
      <x:c r="O354" s="9" t="n">
        <x:f>G354-'原始数据'!J351</x:f>
        <x:v>0.000031007114165416266</x:v>
      </x:c>
      <x:c r="P354" s="2" t="str">
        <x:v>DATA HOLD</x:v>
      </x:c>
    </x:row>
    <x:row r="355" ht="48" customHeight="1">
      <x:c r="A355" s="2" t="n">
        <x:v>350</x:v>
      </x:c>
      <x:c r="B355" s="2" t="str">
        <x:v>pregnancy must haves</x:v>
      </x:c>
      <x:c r="C355" s="10" t="n">
        <x:f>'原始数据'!D352</x:f>
        <x:v>142117</x:v>
      </x:c>
      <x:c r="D355" s="9" t="n">
        <x:f>IF(ISNUMBER('原始数据'!E352),'原始数据'!E352,VALUE(SUBSTITUTE('原始数据'!E352,"'","")))</x:f>
        <x:v>-0.1322</x:v>
      </x:c>
      <x:c r="E355" s="9" t="n">
        <x:f>IF(ISNUMBER('原始数据'!H352),'原始数据'!H352,VALUE(SUBSTITUTE('原始数据'!H352,"'","")))</x:f>
        <x:v>-0.1336</x:v>
      </x:c>
      <x:c r="F355" s="10" t="n">
        <x:f>'原始数据'!L352</x:f>
        <x:v>2147</x:v>
      </x:c>
      <x:c r="G355" s="9" t="n">
        <x:f>F355/'原始数据'!G352</x:f>
        <x:v>0.05311858284470175</x:v>
      </x:c>
      <x:c r="H355" s="9" t="n">
        <x:f>'原始数据'!P352/'原始数据'!O352</x:f>
        <x:v>0.12612314646381126</x:v>
      </x:c>
      <x:c r="I355" s="9" t="n">
        <x:f>F355/C355</x:f>
        <x:v>0.015107270769858638</x:v>
      </x:c>
      <x:c r="J355" s="9" t="n">
        <x:f>'原始数据'!G352/'原始数据'!F352</x:f>
        <x:v>0.00822529481146474</x:v>
      </x:c>
      <x:c r="K355" s="2" t="str">
        <x:v>待拆分产品市场</x:v>
      </x:c>
      <x:c r="L355" s="15" t="str">
        <x:v>暂无自动识别标签，仍需核验</x:v>
      </x:c>
      <x:c r="M355" s="2" t="str">
        <x:f>IF(AND(C355&gt;='核验与方法'!$B$7,F355&gt;='核验与方法'!$B$8,G355&gt;='核验与方法'!$B$9,D355&gt;='核验与方法'!$B$10,E355&gt;='核验与方法'!$B$11),"通过需求门槛","未通过需求门槛")</x:f>
        <x:v>未通过需求门槛</x:v>
      </x:c>
      <x:c r="N355" s="2" t="str">
        <x:v>待确认具体产品形态</x:v>
      </x:c>
      <x:c r="O355" s="9" t="n">
        <x:f>G355-'原始数据'!J352</x:f>
        <x:v>0.000018582844701749146</x:v>
      </x:c>
      <x:c r="P355" s="2" t="str">
        <x:v>DATA HOLD</x:v>
      </x:c>
    </x:row>
    <x:row r="356" ht="48" customHeight="1">
      <x:c r="A356" s="2" t="n">
        <x:v>351</x:v>
      </x:c>
      <x:c r="B356" s="2" t="str">
        <x:v>car seat cover baby</x:v>
      </x:c>
      <x:c r="C356" s="10" t="n">
        <x:f>'原始数据'!D353</x:f>
        <x:v>142092</x:v>
      </x:c>
      <x:c r="D356" s="9" t="n">
        <x:f>IF(ISNUMBER('原始数据'!E353),'原始数据'!E353,VALUE(SUBSTITUTE('原始数据'!E353,"'","")))</x:f>
        <x:v>0.0675</x:v>
      </x:c>
      <x:c r="E356" s="9" t="n">
        <x:f>IF(ISNUMBER('原始数据'!H353),'原始数据'!H353,VALUE(SUBSTITUTE('原始数据'!H353,"'","")))</x:f>
        <x:v>0.0553</x:v>
      </x:c>
      <x:c r="F356" s="10" t="n">
        <x:f>'原始数据'!L353</x:f>
        <x:v>1633</x:v>
      </x:c>
      <x:c r="G356" s="9" t="n">
        <x:f>F356/'原始数据'!G353</x:f>
        <x:v>0.029675801410191174</x:v>
      </x:c>
      <x:c r="H356" s="9" t="n">
        <x:f>'原始数据'!P353/'原始数据'!O353</x:f>
        <x:v>0.10250030591018477</x:v>
      </x:c>
      <x:c r="I356" s="9" t="n">
        <x:f>F356/C356</x:f>
        <x:v>0.011492554119866003</x:v>
      </x:c>
      <x:c r="J356" s="9" t="n">
        <x:f>'原始数据'!G353/'原始数据'!F353</x:f>
        <x:v>0.015431170077416645</x:v>
      </x:c>
      <x:c r="K356" s="2" t="str">
        <x:v>待拆分产品市场</x:v>
      </x:c>
      <x:c r="L356" s="15" t="str">
        <x:v>暂无自动识别标签，仍需核验</x:v>
      </x:c>
      <x:c r="M356" s="2" t="str">
        <x:f>IF(AND(C356&gt;='核验与方法'!$B$7,F356&gt;='核验与方法'!$B$8,G356&gt;='核验与方法'!$B$9,D356&gt;='核验与方法'!$B$10,E356&gt;='核验与方法'!$B$11),"通过需求门槛","未通过需求门槛")</x:f>
        <x:v>未通过需求门槛</x:v>
      </x:c>
      <x:c r="N356" s="2" t="str">
        <x:v>待确认具体产品形态</x:v>
      </x:c>
      <x:c r="O356" s="9" t="n">
        <x:f>G356-'原始数据'!J353</x:f>
        <x:v>0.00007580141019117304</x:v>
      </x:c>
      <x:c r="P356" s="2" t="str">
        <x:v>DATA HOLD</x:v>
      </x:c>
    </x:row>
    <x:row r="357" ht="48" customHeight="1">
      <x:c r="A357" s="2" t="n">
        <x:v>352</x:v>
      </x:c>
      <x:c r="B357" s="2" t="str">
        <x:v>beaded necklaces for women</x:v>
      </x:c>
      <x:c r="C357" s="10" t="n">
        <x:f>'原始数据'!D354</x:f>
        <x:v>142038</x:v>
      </x:c>
      <x:c r="D357" s="9" t="n">
        <x:f>IF(ISNUMBER('原始数据'!E354),'原始数据'!E354,VALUE(SUBSTITUTE('原始数据'!E354,"'","")))</x:f>
        <x:v>-0.3</x:v>
      </x:c>
      <x:c r="E357" s="9" t="n">
        <x:f>IF(ISNUMBER('原始数据'!H354),'原始数据'!H354,VALUE(SUBSTITUTE('原始数据'!H354,"'","")))</x:f>
        <x:v>-0.314</x:v>
      </x:c>
      <x:c r="F357" s="10" t="n">
        <x:f>'原始数据'!L354</x:f>
        <x:v>2326</x:v>
      </x:c>
      <x:c r="G357" s="9" t="n">
        <x:f>F357/'原始数据'!G354</x:f>
        <x:v>0.03479275425186604</x:v>
      </x:c>
      <x:c r="H357" s="9" t="n">
        <x:f>'原始数据'!P354/'原始数据'!O354</x:f>
        <x:v>0.15441783649876134</x:v>
      </x:c>
      <x:c r="I357" s="9" t="n">
        <x:f>F357/C357</x:f>
        <x:v>0.01637589940720089</x:v>
      </x:c>
      <x:c r="J357" s="9" t="n">
        <x:f>'原始数据'!G354/'原始数据'!F354</x:f>
        <x:v>0.009031783561432489</x:v>
      </x:c>
      <x:c r="K357" s="2" t="str">
        <x:v>待拆分产品市场</x:v>
      </x:c>
      <x:c r="L357" s="15" t="str">
        <x:v>暂无自动识别标签，仍需核验</x:v>
      </x:c>
      <x:c r="M357" s="2" t="str">
        <x:f>IF(AND(C357&gt;='核验与方法'!$B$7,F357&gt;='核验与方法'!$B$8,G357&gt;='核验与方法'!$B$9,D357&gt;='核验与方法'!$B$10,E357&gt;='核验与方法'!$B$11),"通过需求门槛","未通过需求门槛")</x:f>
        <x:v>未通过需求门槛</x:v>
      </x:c>
      <x:c r="N357" s="2" t="str">
        <x:v>待确认具体产品形态</x:v>
      </x:c>
      <x:c r="O357" s="9" t="n">
        <x:f>G357-'原始数据'!J354</x:f>
        <x:v>0.00009275425186603542</x:v>
      </x:c>
      <x:c r="P357" s="2" t="str">
        <x:v>DATA HOLD</x:v>
      </x:c>
    </x:row>
    <x:row r="358" ht="48" customHeight="1">
      <x:c r="A358" s="2" t="n">
        <x:v>353</x:v>
      </x:c>
      <x:c r="B358" s="2" t="str">
        <x:v>halloween squishies bulk</x:v>
      </x:c>
      <x:c r="C358" s="10" t="n">
        <x:f>'原始数据'!D355</x:f>
        <x:v>141192</x:v>
      </x:c>
      <x:c r="D358" s="9" t="n">
        <x:f>IF(ISNUMBER('原始数据'!E355),'原始数据'!E355,VALUE(SUBSTITUTE('原始数据'!E355,"'","")))</x:f>
        <x:v>3.94</x:v>
      </x:c>
      <x:c r="E358" s="9" t="n">
        <x:f>IF(ISNUMBER('原始数据'!H355),'原始数据'!H355,VALUE(SUBSTITUTE('原始数据'!H355,"'","")))</x:f>
        <x:v>4.121</x:v>
      </x:c>
      <x:c r="F358" s="10" t="n">
        <x:f>'原始数据'!L355</x:f>
        <x:v>3010</x:v>
      </x:c>
      <x:c r="G358" s="9" t="n">
        <x:f>F358/'原始数据'!G355</x:f>
        <x:v>0.03691349243334723</x:v>
      </x:c>
      <x:c r="H358" s="9" t="n">
        <x:f>'原始数据'!P355/'原始数据'!O355</x:f>
        <x:v>0.09567408651826964</x:v>
      </x:c>
      <x:c r="I358" s="9" t="n">
        <x:f>F358/C358</x:f>
        <x:v>0.021318488299620374</x:v>
      </x:c>
      <x:c r="J358" s="9" t="n">
        <x:f>'原始数据'!G355/'原始数据'!F355</x:f>
        <x:v>0.043917892682254246</x:v>
      </x:c>
      <x:c r="K358" s="2" t="str">
        <x:v>待拆分产品市场</x:v>
      </x:c>
      <x:c r="L358" s="15" t="str">
        <x:v>季节/事件影响待核验</x:v>
      </x:c>
      <x:c r="M358" s="2" t="str">
        <x:f>IF(AND(C358&gt;='核验与方法'!$B$7,F358&gt;='核验与方法'!$B$8,G358&gt;='核验与方法'!$B$9,D358&gt;='核验与方法'!$B$10,E358&gt;='核验与方法'!$B$11),"通过需求门槛","未通过需求门槛")</x:f>
        <x:v>未通过需求门槛</x:v>
      </x:c>
      <x:c r="N358" s="2" t="str">
        <x:v>先核验风险标签</x:v>
      </x:c>
      <x:c r="O358" s="9" t="n">
        <x:f>G358-'原始数据'!J355</x:f>
        <x:v>0.000013492433347229993</x:v>
      </x:c>
      <x:c r="P358" s="2" t="str">
        <x:v>DATA HOLD</x:v>
      </x:c>
    </x:row>
    <x:row r="359" ht="48" customHeight="1">
      <x:c r="A359" s="2" t="n">
        <x:v>354</x:v>
      </x:c>
      <x:c r="B359" s="2" t="str">
        <x:v>womens business casual tops</x:v>
      </x:c>
      <x:c r="C359" s="10" t="n">
        <x:f>'原始数据'!D356</x:f>
        <x:v>141091</x:v>
      </x:c>
      <x:c r="D359" s="9" t="n">
        <x:f>IF(ISNUMBER('原始数据'!E356),'原始数据'!E356,VALUE(SUBSTITUTE('原始数据'!E356,"'","")))</x:f>
        <x:v>0.008</x:v>
      </x:c>
      <x:c r="E359" s="9" t="n">
        <x:f>IF(ISNUMBER('原始数据'!H356),'原始数据'!H356,VALUE(SUBSTITUTE('原始数据'!H356,"'","")))</x:f>
        <x:v>0.0154</x:v>
      </x:c>
      <x:c r="F359" s="10" t="n">
        <x:f>'原始数据'!L356</x:f>
        <x:v>687</x:v>
      </x:c>
      <x:c r="G359" s="9" t="n">
        <x:f>F359/'原始数据'!G356</x:f>
        <x:v>0.016325657660226707</x:v>
      </x:c>
      <x:c r="H359" s="9" t="n">
        <x:f>'原始数据'!P356/'原始数据'!O356</x:f>
        <x:v>0.17752184273232724</x:v>
      </x:c>
      <x:c r="I359" s="9" t="n">
        <x:f>F359/C359</x:f>
        <x:v>0.004869197893558058</x:v>
      </x:c>
      <x:c r="J359" s="9" t="n">
        <x:f>'原始数据'!G356/'原始数据'!F356</x:f>
        <x:v>0.007211370388294277</x:v>
      </x:c>
      <x:c r="K359" s="2" t="str">
        <x:v>待拆分产品市场</x:v>
      </x:c>
      <x:c r="L359" s="15" t="str">
        <x:v>尺码/颜色变体及退货待核验</x:v>
      </x:c>
      <x:c r="M359" s="2" t="str">
        <x:f>IF(AND(C359&gt;='核验与方法'!$B$7,F359&gt;='核验与方法'!$B$8,G359&gt;='核验与方法'!$B$9,D359&gt;='核验与方法'!$B$10,E359&gt;='核验与方法'!$B$11),"通过需求门槛","未通过需求门槛")</x:f>
        <x:v>未通过需求门槛</x:v>
      </x:c>
      <x:c r="N359" s="2" t="str">
        <x:v>先核验风险标签</x:v>
      </x:c>
      <x:c r="O359" s="9" t="n">
        <x:f>G359-'原始数据'!J356</x:f>
        <x:v>0.000025657660226708484</x:v>
      </x:c>
      <x:c r="P359" s="2" t="str">
        <x:v>DATA HOLD</x:v>
      </x:c>
    </x:row>
    <x:row r="360" ht="48" customHeight="1">
      <x:c r="A360" s="2" t="n">
        <x:v>355</x:v>
      </x:c>
      <x:c r="B360" s="2" t="str">
        <x:v>karambit knife</x:v>
      </x:c>
      <x:c r="C360" s="10" t="n">
        <x:f>'原始数据'!D357</x:f>
        <x:v>141068</x:v>
      </x:c>
      <x:c r="D360" s="9" t="n">
        <x:f>IF(ISNUMBER('原始数据'!E357),'原始数据'!E357,VALUE(SUBSTITUTE('原始数据'!E357,"'","")))</x:f>
        <x:v>0.4241</x:v>
      </x:c>
      <x:c r="E360" s="9" t="n">
        <x:f>IF(ISNUMBER('原始数据'!H357),'原始数据'!H357,VALUE(SUBSTITUTE('原始数据'!H357,"'","")))</x:f>
        <x:v>0.4852</x:v>
      </x:c>
      <x:c r="F360" s="10" t="n">
        <x:f>'原始数据'!L357</x:f>
        <x:v>1969</x:v>
      </x:c>
      <x:c r="G360" s="9" t="n">
        <x:f>F360/'原始数据'!G357</x:f>
        <x:v>0.03252126517466347</x:v>
      </x:c>
      <x:c r="H360" s="9" t="n">
        <x:f>'原始数据'!P357/'原始数据'!O357</x:f>
        <x:v>0.10523097826086956</x:v>
      </x:c>
      <x:c r="I360" s="9" t="n">
        <x:f>F360/C360</x:f>
        <x:v>0.013957807582158959</x:v>
      </x:c>
      <x:c r="J360" s="9" t="n">
        <x:f>'原始数据'!G357/'原始数据'!F357</x:f>
        <x:v>0.021474846107872574</x:v>
      </x:c>
      <x:c r="K360" s="2" t="str">
        <x:v>待拆分产品市场</x:v>
      </x:c>
      <x:c r="L360" s="15" t="str">
        <x:v>暂无自动识别标签，仍需核验</x:v>
      </x:c>
      <x:c r="M360" s="2" t="str">
        <x:f>IF(AND(C360&gt;='核验与方法'!$B$7,F360&gt;='核验与方法'!$B$8,G360&gt;='核验与方法'!$B$9,D360&gt;='核验与方法'!$B$10,E360&gt;='核验与方法'!$B$11),"通过需求门槛","未通过需求门槛")</x:f>
        <x:v>未通过需求门槛</x:v>
      </x:c>
      <x:c r="N360" s="2" t="str">
        <x:v>待确认具体产品形态</x:v>
      </x:c>
      <x:c r="O360" s="9" t="n">
        <x:f>G360-'原始数据'!J357</x:f>
        <x:v>0.000021265174663470665</x:v>
      </x:c>
      <x:c r="P360" s="2" t="str">
        <x:v>DATA HOLD</x:v>
      </x:c>
    </x:row>
    <x:row r="361" ht="48" customHeight="1">
      <x:c r="A361" s="2" t="n">
        <x:v>356</x:v>
      </x:c>
      <x:c r="B361" s="2" t="str">
        <x:v>leather wallets for men</x:v>
      </x:c>
      <x:c r="C361" s="10" t="n">
        <x:f>'原始数据'!D358</x:f>
        <x:v>141059</x:v>
      </x:c>
      <x:c r="D361" s="9" t="n">
        <x:f>IF(ISNUMBER('原始数据'!E358),'原始数据'!E358,VALUE(SUBSTITUTE('原始数据'!E358,"'","")))</x:f>
        <x:v>-0.0055</x:v>
      </x:c>
      <x:c r="E361" s="9" t="n">
        <x:f>IF(ISNUMBER('原始数据'!H358),'原始数据'!H358,VALUE(SUBSTITUTE('原始数据'!H358,"'","")))</x:f>
        <x:v>-0.0187</x:v>
      </x:c>
      <x:c r="F361" s="10" t="n">
        <x:f>'原始数据'!L358</x:f>
        <x:v>2874</x:v>
      </x:c>
      <x:c r="G361" s="9" t="n">
        <x:f>F361/'原始数据'!G358</x:f>
        <x:v>0.04883768352365416</x:v>
      </x:c>
      <x:c r="H361" s="9" t="n">
        <x:f>'原始数据'!P358/'原始数据'!O358</x:f>
        <x:v>0.22272767423372494</x:v>
      </x:c>
      <x:c r="I361" s="9" t="n">
        <x:f>F361/C361</x:f>
        <x:v>0.020374453242969253</x:v>
      </x:c>
      <x:c r="J361" s="9" t="n">
        <x:f>'原始数据'!G358/'原始数据'!F358</x:f>
        <x:v>0.01255916989282193</x:v>
      </x:c>
      <x:c r="K361" s="2" t="str">
        <x:v>待拆分产品市场</x:v>
      </x:c>
      <x:c r="L361" s="15" t="str">
        <x:v>暂无自动识别标签，仍需核验</x:v>
      </x:c>
      <x:c r="M361" s="2" t="str">
        <x:f>IF(AND(C361&gt;='核验与方法'!$B$7,F361&gt;='核验与方法'!$B$8,G361&gt;='核验与方法'!$B$9,D361&gt;='核验与方法'!$B$10,E361&gt;='核验与方法'!$B$11),"通过需求门槛","未通过需求门槛")</x:f>
        <x:v>未通过需求门槛</x:v>
      </x:c>
      <x:c r="N361" s="2" t="str">
        <x:v>待确认具体产品形态</x:v>
      </x:c>
      <x:c r="O361" s="9" t="n">
        <x:f>G361-'原始数据'!J358</x:f>
        <x:v>0.00003768352365415839</x:v>
      </x:c>
      <x:c r="P361" s="2" t="str">
        <x:v>DATA HOLD</x:v>
      </x:c>
    </x:row>
    <x:row r="362" ht="48" customHeight="1">
      <x:c r="A362" s="2" t="n">
        <x:v>357</x:v>
      </x:c>
      <x:c r="B362" s="2" t="str">
        <x:v>organic snacks</x:v>
      </x:c>
      <x:c r="C362" s="10" t="n">
        <x:f>'原始数据'!D359</x:f>
        <x:v>140955</x:v>
      </x:c>
      <x:c r="D362" s="9" t="n">
        <x:f>IF(ISNUMBER('原始数据'!E359),'原始数据'!E359,VALUE(SUBSTITUTE('原始数据'!E359,"'","")))</x:f>
        <x:v>0.1327</x:v>
      </x:c>
      <x:c r="E362" s="9" t="n">
        <x:f>IF(ISNUMBER('原始数据'!H359),'原始数据'!H359,VALUE(SUBSTITUTE('原始数据'!H359,"'","")))</x:f>
        <x:v>0.0927</x:v>
      </x:c>
      <x:c r="F362" s="10" t="n">
        <x:f>'原始数据'!L359</x:f>
        <x:v>12425</x:v>
      </x:c>
      <x:c r="G362" s="9" t="n">
        <x:f>F362/'原始数据'!G359</x:f>
        <x:v>0.23704141786061775</x:v>
      </x:c>
      <x:c r="H362" s="9" t="n">
        <x:f>'原始数据'!P359/'原始数据'!O359</x:f>
        <x:v>0.36365076013513514</x:v>
      </x:c>
      <x:c r="I362" s="9" t="n">
        <x:f>F362/C362</x:f>
        <x:v>0.08814869993969707</x:v>
      </x:c>
      <x:c r="J362" s="9" t="n">
        <x:f>'原始数据'!G359/'原始数据'!F359</x:f>
        <x:v>0.012514005052203958</x:v>
      </x:c>
      <x:c r="K362" s="2" t="str">
        <x:v>专业供给</x:v>
      </x:c>
      <x:c r="L362" s="15" t="str">
        <x:v>食品/补剂或耗材需独立供应链</x:v>
      </x:c>
      <x:c r="M362" s="2" t="str">
        <x:f>IF(AND(C362&gt;='核验与方法'!$B$7,F362&gt;='核验与方法'!$B$8,G362&gt;='核验与方法'!$B$9,D362&gt;='核验与方法'!$B$10,E362&gt;='核验与方法'!$B$11),"通过需求门槛","未通过需求门槛")</x:f>
        <x:v>通过需求门槛</x:v>
      </x:c>
      <x:c r="N362" s="2" t="str">
        <x:v>先核验风险标签</x:v>
      </x:c>
      <x:c r="O362" s="9" t="n">
        <x:f>G362-'原始数据'!J359</x:f>
        <x:v>0.00004141786061775954</x:v>
      </x:c>
      <x:c r="P362" s="2" t="str">
        <x:v>DATA HOLD</x:v>
      </x:c>
    </x:row>
    <x:row r="363" ht="48" customHeight="1">
      <x:c r="A363" s="2" t="n">
        <x:v>358</x:v>
      </x:c>
      <x:c r="B363" s="2" t="str">
        <x:v>keycaps</x:v>
      </x:c>
      <x:c r="C363" s="10" t="n">
        <x:f>'原始数据'!D360</x:f>
        <x:v>139784</x:v>
      </x:c>
      <x:c r="D363" s="9" t="n">
        <x:f>IF(ISNUMBER('原始数据'!E360),'原始数据'!E360,VALUE(SUBSTITUTE('原始数据'!E360,"'","")))</x:f>
        <x:v>-0.0438</x:v>
      </x:c>
      <x:c r="E363" s="9" t="n">
        <x:f>IF(ISNUMBER('原始数据'!H360),'原始数据'!H360,VALUE(SUBSTITUTE('原始数据'!H360,"'","")))</x:f>
        <x:v>-0.0412</x:v>
      </x:c>
      <x:c r="F363" s="10" t="n">
        <x:f>'原始数据'!L360</x:f>
        <x:v>669</x:v>
      </x:c>
      <x:c r="G363" s="9" t="n">
        <x:f>F363/'原始数据'!G360</x:f>
        <x:v>0.012724437005477785</x:v>
      </x:c>
      <x:c r="H363" s="9" t="n">
        <x:f>'原始数据'!P360/'原始数据'!O360</x:f>
        <x:v>0.08683473389355742</x:v>
      </x:c>
      <x:c r="I363" s="9" t="n">
        <x:f>F363/C363</x:f>
        <x:v>0.004785955474160133</x:v>
      </x:c>
      <x:c r="J363" s="9" t="n">
        <x:f>'原始数据'!G360/'原始数据'!F360</x:f>
        <x:v>0.019156328700680906</x:v>
      </x:c>
      <x:c r="K363" s="2" t="str">
        <x:v>待拆分产品市场</x:v>
      </x:c>
      <x:c r="L363" s="15" t="str">
        <x:v>暂无自动识别标签，仍需核验</x:v>
      </x:c>
      <x:c r="M363" s="2" t="str">
        <x:f>IF(AND(C363&gt;='核验与方法'!$B$7,F363&gt;='核验与方法'!$B$8,G363&gt;='核验与方法'!$B$9,D363&gt;='核验与方法'!$B$10,E363&gt;='核验与方法'!$B$11),"通过需求门槛","未通过需求门槛")</x:f>
        <x:v>未通过需求门槛</x:v>
      </x:c>
      <x:c r="N363" s="2" t="str">
        <x:v>待确认具体产品形态</x:v>
      </x:c>
      <x:c r="O363" s="9" t="n">
        <x:f>G363-'原始数据'!J360</x:f>
        <x:v>0.00002443700547778531</x:v>
      </x:c>
      <x:c r="P363" s="2" t="str">
        <x:v>DATA HOLD</x:v>
      </x:c>
    </x:row>
    <x:row r="364" ht="48" customHeight="1">
      <x:c r="A364" s="2" t="n">
        <x:v>359</x:v>
      </x:c>
      <x:c r="B364" s="2" t="str">
        <x:v>the chosen</x:v>
      </x:c>
      <x:c r="C364" s="10" t="n">
        <x:f>'原始数据'!D361</x:f>
        <x:v>139684</x:v>
      </x:c>
      <x:c r="D364" s="9" t="n">
        <x:f>IF(ISNUMBER('原始数据'!E361),'原始数据'!E361,VALUE(SUBSTITUTE('原始数据'!E361,"'","")))</x:f>
        <x:v>0.4234</x:v>
      </x:c>
      <x:c r="E364" s="9" t="n">
        <x:f>IF(ISNUMBER('原始数据'!H361),'原始数据'!H361,VALUE(SUBSTITUTE('原始数据'!H361,"'","")))</x:f>
        <x:v>0.0565</x:v>
      </x:c>
      <x:c r="F364" s="10" t="n">
        <x:f>'原始数据'!L361</x:f>
        <x:v>653</x:v>
      </x:c>
      <x:c r="G364" s="9" t="n">
        <x:f>F364/'原始数据'!G361</x:f>
        <x:v>0.11354547035298208</x:v>
      </x:c>
      <x:c r="H364" s="9" t="n">
        <x:f>'原始数据'!P361/'原始数据'!O361</x:f>
        <x:v>0.006726038487886903</x:v>
      </x:c>
      <x:c r="I364" s="9" t="n">
        <x:f>F364/C364</x:f>
        <x:v>0.004674837490335328</x:v>
      </x:c>
      <x:c r="J364" s="9" t="n">
        <x:f>'原始数据'!G361/'原始数据'!F361</x:f>
        <x:v>0.005139332110236037</x:v>
      </x:c>
      <x:c r="K364" s="2" t="str">
        <x:v>待拆分产品市场</x:v>
      </x:c>
      <x:c r="L364" s="15" t="str">
        <x:v>内容/导航或宽泛需求需拆分</x:v>
      </x:c>
      <x:c r="M364" s="2" t="str">
        <x:f>IF(AND(C364&gt;='核验与方法'!$B$7,F364&gt;='核验与方法'!$B$8,G364&gt;='核验与方法'!$B$9,D364&gt;='核验与方法'!$B$10,E364&gt;='核验与方法'!$B$11),"通过需求门槛","未通过需求门槛")</x:f>
        <x:v>未通过需求门槛</x:v>
      </x:c>
      <x:c r="N364" s="2" t="str">
        <x:v>先核验风险标签</x:v>
      </x:c>
      <x:c r="O364" s="9" t="n">
        <x:f>G364-'原始数据'!J361</x:f>
        <x:v>0.00004547035298207991</x:v>
      </x:c>
      <x:c r="P364" s="2" t="str">
        <x:v>DATA HOLD</x:v>
      </x:c>
    </x:row>
    <x:row r="365" ht="48" customHeight="1">
      <x:c r="A365" s="2" t="n">
        <x:v>360</x:v>
      </x:c>
      <x:c r="B365" s="2" t="str">
        <x:v>nail art</x:v>
      </x:c>
      <x:c r="C365" s="10" t="n">
        <x:f>'原始数据'!D362</x:f>
        <x:v>139595</x:v>
      </x:c>
      <x:c r="D365" s="9" t="n">
        <x:f>IF(ISNUMBER('原始数据'!E362),'原始数据'!E362,VALUE(SUBSTITUTE('原始数据'!E362,"'","")))</x:f>
        <x:v>-0.0818</x:v>
      </x:c>
      <x:c r="E365" s="9" t="n">
        <x:f>IF(ISNUMBER('原始数据'!H362),'原始数据'!H362,VALUE(SUBSTITUTE('原始数据'!H362,"'","")))</x:f>
        <x:v>-0.1226</x:v>
      </x:c>
      <x:c r="F365" s="10" t="n">
        <x:f>'原始数据'!L362</x:f>
        <x:v>3895</x:v>
      </x:c>
      <x:c r="G365" s="9" t="n">
        <x:f>F365/'原始数据'!G362</x:f>
        <x:v>0.06505762485385001</x:v>
      </x:c>
      <x:c r="H365" s="9" t="n">
        <x:f>'原始数据'!P362/'原始数据'!O362</x:f>
        <x:v>0.16458801031013554</x:v>
      </x:c>
      <x:c r="I365" s="9" t="n">
        <x:f>F365/C365</x:f>
        <x:v>0.02790214549231706</x:v>
      </x:c>
      <x:c r="J365" s="9" t="n">
        <x:f>'原始数据'!G362/'原始数据'!F362</x:f>
        <x:v>0.0128256294937636</x:v>
      </x:c>
      <x:c r="K365" s="2" t="str">
        <x:v>待拆分产品市场</x:v>
      </x:c>
      <x:c r="L365" s="15" t="str">
        <x:v>暂无自动识别标签，仍需核验</x:v>
      </x:c>
      <x:c r="M365" s="2" t="str">
        <x:f>IF(AND(C365&gt;='核验与方法'!$B$7,F365&gt;='核验与方法'!$B$8,G365&gt;='核验与方法'!$B$9,D365&gt;='核验与方法'!$B$10,E365&gt;='核验与方法'!$B$11),"通过需求门槛","未通过需求门槛")</x:f>
        <x:v>未通过需求门槛</x:v>
      </x:c>
      <x:c r="N365" s="2" t="str">
        <x:v>待确认具体产品形态</x:v>
      </x:c>
      <x:c r="O365" s="9" t="n">
        <x:f>G365-'原始数据'!J362</x:f>
        <x:v>0.000057624853850010704</x:v>
      </x:c>
      <x:c r="P365" s="2" t="str">
        <x:v>DATA HOLD</x:v>
      </x:c>
    </x:row>
    <x:row r="366" ht="48" customHeight="1">
      <x:c r="A366" s="2" t="n">
        <x:v>361</x:v>
      </x:c>
      <x:c r="B366" s="2" t="str">
        <x:v>345 cream</x:v>
      </x:c>
      <x:c r="C366" s="10" t="n">
        <x:f>'原始数据'!D363</x:f>
        <x:v>139580</x:v>
      </x:c>
      <x:c r="D366" s="9" t="n">
        <x:f>IF(ISNUMBER('原始数据'!E363),'原始数据'!E363,VALUE(SUBSTITUTE('原始数据'!E363,"'","")))</x:f>
        <x:v>-0.0139</x:v>
      </x:c>
      <x:c r="E366" s="9" t="n">
        <x:f>IF(ISNUMBER('原始数据'!H363),'原始数据'!H363,VALUE(SUBSTITUTE('原始数据'!H363,"'","")))</x:f>
        <x:v>-0.0326</x:v>
      </x:c>
      <x:c r="F366" s="10" t="n">
        <x:f>'原始数据'!L363</x:f>
        <x:v>10862</x:v>
      </x:c>
      <x:c r="G366" s="9" t="n">
        <x:f>F366/'原始数据'!G363</x:f>
        <x:v>0.131700515307669</x:v>
      </x:c>
      <x:c r="H366" s="9" t="n">
        <x:f>'原始数据'!P363/'原始数据'!O363</x:f>
        <x:v>0.2576844262295082</x:v>
      </x:c>
      <x:c r="I366" s="9" t="n">
        <x:f>F366/C366</x:f>
        <x:v>0.07781917180111764</x:v>
      </x:c>
      <x:c r="J366" s="9" t="n">
        <x:f>'原始数据'!G363/'原始数据'!F363</x:f>
        <x:v>0.020491212692203723</x:v>
      </x:c>
      <x:c r="K366" s="2" t="str">
        <x:v>待拆分产品市场</x:v>
      </x:c>
      <x:c r="L366" s="15" t="str">
        <x:v>暂无自动识别标签，仍需核验</x:v>
      </x:c>
      <x:c r="M366" s="2" t="str">
        <x:f>IF(AND(C366&gt;='核验与方法'!$B$7,F366&gt;='核验与方法'!$B$8,G366&gt;='核验与方法'!$B$9,D366&gt;='核验与方法'!$B$10,E366&gt;='核验与方法'!$B$11),"通过需求门槛","未通过需求门槛")</x:f>
        <x:v>未通过需求门槛</x:v>
      </x:c>
      <x:c r="N366" s="2" t="str">
        <x:v>待确认具体产品形态</x:v>
      </x:c>
      <x:c r="O366" s="9" t="n">
        <x:f>G366-'原始数据'!J363</x:f>
        <x:v>5.153076689801139e-7</x:v>
      </x:c>
      <x:c r="P366" s="2" t="str">
        <x:v>DATA HOLD</x:v>
      </x:c>
    </x:row>
    <x:row r="367" ht="48" customHeight="1">
      <x:c r="A367" s="2" t="n">
        <x:v>362</x:v>
      </x:c>
      <x:c r="B367" s="2" t="str">
        <x:v>tinted moisturizer</x:v>
      </x:c>
      <x:c r="C367" s="10" t="n">
        <x:f>'原始数据'!D364</x:f>
        <x:v>139262</x:v>
      </x:c>
      <x:c r="D367" s="9" t="n">
        <x:f>IF(ISNUMBER('原始数据'!E364),'原始数据'!E364,VALUE(SUBSTITUTE('原始数据'!E364,"'","")))</x:f>
        <x:v>0.0153</x:v>
      </x:c>
      <x:c r="E367" s="9" t="n">
        <x:f>IF(ISNUMBER('原始数据'!H364),'原始数据'!H364,VALUE(SUBSTITUTE('原始数据'!H364,"'","")))</x:f>
        <x:v>0.0207</x:v>
      </x:c>
      <x:c r="F367" s="10" t="n">
        <x:f>'原始数据'!L364</x:f>
        <x:v>4549</x:v>
      </x:c>
      <x:c r="G367" s="9" t="n">
        <x:f>F367/'原始数据'!G364</x:f>
        <x:v>0.06977207889812571</x:v>
      </x:c>
      <x:c r="H367" s="9" t="n">
        <x:f>'原始数据'!P364/'原始数据'!O364</x:f>
        <x:v>0.24769797421731124</x:v>
      </x:c>
      <x:c r="I367" s="9" t="n">
        <x:f>F367/C367</x:f>
        <x:v>0.03266504861340495</x:v>
      </x:c>
      <x:c r="J367" s="9" t="n">
        <x:f>'原始数据'!G364/'原始数据'!F364</x:f>
        <x:v>0.010788455072317961</x:v>
      </x:c>
      <x:c r="K367" s="2" t="str">
        <x:v>待拆分产品市场</x:v>
      </x:c>
      <x:c r="L367" s="15" t="str">
        <x:v>暂无自动识别标签，仍需核验</x:v>
      </x:c>
      <x:c r="M367" s="2" t="str">
        <x:f>IF(AND(C367&gt;='核验与方法'!$B$7,F367&gt;='核验与方法'!$B$8,G367&gt;='核验与方法'!$B$9,D367&gt;='核验与方法'!$B$10,E367&gt;='核验与方法'!$B$11),"通过需求门槛","未通过需求门槛")</x:f>
        <x:v>通过需求门槛</x:v>
      </x:c>
      <x:c r="N367" s="2" t="str">
        <x:v>待确认具体产品形态</x:v>
      </x:c>
      <x:c r="O367" s="9" t="n">
        <x:f>G367-'原始数据'!J364</x:f>
        <x:v>0.00007207889812571588</x:v>
      </x:c>
      <x:c r="P367" s="2" t="str">
        <x:v>DATA HOLD</x:v>
      </x:c>
    </x:row>
    <x:row r="368" ht="48" customHeight="1">
      <x:c r="A368" s="2" t="n">
        <x:v>363</x:v>
      </x:c>
      <x:c r="B368" s="2" t="str">
        <x:v>poster board</x:v>
      </x:c>
      <x:c r="C368" s="10" t="n">
        <x:f>'原始数据'!D365</x:f>
        <x:v>138943</x:v>
      </x:c>
      <x:c r="D368" s="9" t="n">
        <x:f>IF(ISNUMBER('原始数据'!E365),'原始数据'!E365,VALUE(SUBSTITUTE('原始数据'!E365,"'","")))</x:f>
        <x:v>0.2582</x:v>
      </x:c>
      <x:c r="E368" s="9" t="n">
        <x:f>IF(ISNUMBER('原始数据'!H365),'原始数据'!H365,VALUE(SUBSTITUTE('原始数据'!H365,"'","")))</x:f>
        <x:v>0.2849</x:v>
      </x:c>
      <x:c r="F368" s="10" t="n">
        <x:f>'原始数据'!L365</x:f>
        <x:v>7364</x:v>
      </x:c>
      <x:c r="G368" s="9" t="n">
        <x:f>F368/'原始数据'!G365</x:f>
        <x:v>0.16585959143223947</x:v>
      </x:c>
      <x:c r="H368" s="9" t="n">
        <x:f>'原始数据'!P365/'原始数据'!O365</x:f>
        <x:v>0.2918349748105115</x:v>
      </x:c>
      <x:c r="I368" s="9" t="n">
        <x:f>F368/C368</x:f>
        <x:v>0.05300015114111542</x:v>
      </x:c>
      <x:c r="J368" s="9" t="n">
        <x:f>'原始数据'!G365/'原始数据'!F365</x:f>
        <x:v>0.01244739874345726</x:v>
      </x:c>
      <x:c r="K368" s="2" t="str">
        <x:v>待拆分产品市场</x:v>
      </x:c>
      <x:c r="L368" s="15" t="str">
        <x:v>暂无自动识别标签，仍需核验</x:v>
      </x:c>
      <x:c r="M368" s="2" t="str">
        <x:f>IF(AND(C368&gt;='核验与方法'!$B$7,F368&gt;='核验与方法'!$B$8,G368&gt;='核验与方法'!$B$9,D368&gt;='核验与方法'!$B$10,E368&gt;='核验与方法'!$B$11),"通过需求门槛","未通过需求门槛")</x:f>
        <x:v>通过需求门槛</x:v>
      </x:c>
      <x:c r="N368" s="2" t="str">
        <x:v>待确认具体产品形态</x:v>
      </x:c>
      <x:c r="O368" s="9" t="n">
        <x:f>G368-'原始数据'!J365</x:f>
        <x:v>0.00005959143223946417</x:v>
      </x:c>
      <x:c r="P368" s="2" t="str">
        <x:v>DATA HOLD</x:v>
      </x:c>
    </x:row>
    <x:row r="369" ht="48" customHeight="1">
      <x:c r="A369" s="2" t="n">
        <x:v>364</x:v>
      </x:c>
      <x:c r="B369" s="2" t="str">
        <x:v>halloween village</x:v>
      </x:c>
      <x:c r="C369" s="10" t="n">
        <x:f>'原始数据'!D366</x:f>
        <x:v>138859</x:v>
      </x:c>
      <x:c r="D369" s="9" t="n">
        <x:f>IF(ISNUMBER('原始数据'!E366),'原始数据'!E366,VALUE(SUBSTITUTE('原始数据'!E366,"'","")))</x:f>
        <x:v>0.545</x:v>
      </x:c>
      <x:c r="E369" s="9" t="n">
        <x:f>IF(ISNUMBER('原始数据'!H366),'原始数据'!H366,VALUE(SUBSTITUTE('原始数据'!H366,"'","")))</x:f>
        <x:v>0.5804</x:v>
      </x:c>
      <x:c r="F369" s="10" t="n">
        <x:f>'原始数据'!L366</x:f>
        <x:v>2486</x:v>
      </x:c>
      <x:c r="G369" s="9" t="n">
        <x:f>F369/'原始数据'!G366</x:f>
        <x:v>0.03478041887600207</x:v>
      </x:c>
      <x:c r="H369" s="9" t="n">
        <x:f>'原始数据'!P366/'原始数据'!O366</x:f>
        <x:v>0.06389236085581942</x:v>
      </x:c>
      <x:c r="I369" s="9" t="n">
        <x:f>F369/C369</x:f>
        <x:v>0.01790305273694899</x:v>
      </x:c>
      <x:c r="J369" s="9" t="n">
        <x:f>'原始数据'!G366/'原始数据'!F366</x:f>
        <x:v>0.022108875626168627</x:v>
      </x:c>
      <x:c r="K369" s="2" t="str">
        <x:v>待拆分产品市场</x:v>
      </x:c>
      <x:c r="L369" s="15" t="str">
        <x:v>季节/事件影响待核验</x:v>
      </x:c>
      <x:c r="M369" s="2" t="str">
        <x:f>IF(AND(C369&gt;='核验与方法'!$B$7,F369&gt;='核验与方法'!$B$8,G369&gt;='核验与方法'!$B$9,D369&gt;='核验与方法'!$B$10,E369&gt;='核验与方法'!$B$11),"通过需求门槛","未通过需求门槛")</x:f>
        <x:v>未通过需求门槛</x:v>
      </x:c>
      <x:c r="N369" s="2" t="str">
        <x:v>先核验风险标签</x:v>
      </x:c>
      <x:c r="O369" s="9" t="n">
        <x:f>G369-'原始数据'!J366</x:f>
        <x:v>0.00008041887600206826</x:v>
      </x:c>
      <x:c r="P369" s="2" t="str">
        <x:v>DATA HOLD</x:v>
      </x:c>
    </x:row>
    <x:row r="370" ht="48" customHeight="1">
      <x:c r="A370" s="2" t="n">
        <x:v>365</x:v>
      </x:c>
      <x:c r="B370" s="2" t="str">
        <x:v>fall shoes for women 2026</x:v>
      </x:c>
      <x:c r="C370" s="10" t="n">
        <x:f>'原始数据'!D367</x:f>
        <x:v>138669</x:v>
      </x:c>
      <x:c r="D370" s="9" t="n">
        <x:f>IF(ISNUMBER('原始数据'!E367),'原始数据'!E367,VALUE(SUBSTITUTE('原始数据'!E367,"'","")))</x:f>
        <x:v>0.3804</x:v>
      </x:c>
      <x:c r="E370" s="9" t="n">
        <x:f>IF(ISNUMBER('原始数据'!H367),'原始数据'!H367,VALUE(SUBSTITUTE('原始数据'!H367,"'","")))</x:f>
        <x:v>0.3727</x:v>
      </x:c>
      <x:c r="F370" s="10" t="n">
        <x:f>'原始数据'!L367</x:f>
        <x:v>243</x:v>
      </x:c>
      <x:c r="G370" s="9" t="n">
        <x:f>F370/'原始数据'!G367</x:f>
        <x:v>0.00771477554130421</x:v>
      </x:c>
      <x:c r="H370" s="9" t="n">
        <x:f>'原始数据'!P367/'原始数据'!O367</x:f>
        <x:v>0.08823156023866954</x:v>
      </x:c>
      <x:c r="I370" s="9" t="n">
        <x:f>F370/C370</x:f>
        <x:v>0.001752374359085304</x:v>
      </x:c>
      <x:c r="J370" s="9" t="n">
        <x:f>'原始数据'!G367/'原始数据'!F367</x:f>
        <x:v>0.008135167021709619</x:v>
      </x:c>
      <x:c r="K370" s="2" t="str">
        <x:v>待拆分产品市场</x:v>
      </x:c>
      <x:c r="L370" s="15" t="str">
        <x:v>季节/事件影响待核验；尺码/颜色变体及退货待核验</x:v>
      </x:c>
      <x:c r="M370" s="2" t="str">
        <x:f>IF(AND(C370&gt;='核验与方法'!$B$7,F370&gt;='核验与方法'!$B$8,G370&gt;='核验与方法'!$B$9,D370&gt;='核验与方法'!$B$10,E370&gt;='核验与方法'!$B$11),"通过需求门槛","未通过需求门槛")</x:f>
        <x:v>未通过需求门槛</x:v>
      </x:c>
      <x:c r="N370" s="2" t="str">
        <x:v>先核验风险标签</x:v>
      </x:c>
      <x:c r="O370" s="9" t="n">
        <x:f>G370-'原始数据'!J367</x:f>
        <x:v>0.000014775541304209647</x:v>
      </x:c>
      <x:c r="P370" s="2" t="str">
        <x:v>DATA HOLD</x:v>
      </x:c>
    </x:row>
    <x:row r="371" ht="48" customHeight="1">
      <x:c r="A371" s="2" t="n">
        <x:v>366</x:v>
      </x:c>
      <x:c r="B371" s="2" t="str">
        <x:v>high protein snacks</x:v>
      </x:c>
      <x:c r="C371" s="10" t="n">
        <x:f>'原始数据'!D368</x:f>
        <x:v>138488</x:v>
      </x:c>
      <x:c r="D371" s="9" t="n">
        <x:f>IF(ISNUMBER('原始数据'!E368),'原始数据'!E368,VALUE(SUBSTITUTE('原始数据'!E368,"'","")))</x:f>
        <x:v>0.0524</x:v>
      </x:c>
      <x:c r="E371" s="9" t="n">
        <x:f>IF(ISNUMBER('原始数据'!H368),'原始数据'!H368,VALUE(SUBSTITUTE('原始数据'!H368,"'","")))</x:f>
        <x:v>0.0134</x:v>
      </x:c>
      <x:c r="F371" s="10" t="n">
        <x:f>'原始数据'!L368</x:f>
        <x:v>5971</x:v>
      </x:c>
      <x:c r="G371" s="9" t="n">
        <x:f>F371/'原始数据'!G368</x:f>
        <x:v>0.10401532967511541</x:v>
      </x:c>
      <x:c r="H371" s="9" t="n">
        <x:f>'原始数据'!P368/'原始数据'!O368</x:f>
        <x:v>0.23359917674298944</x:v>
      </x:c>
      <x:c r="I371" s="9" t="n">
        <x:f>F371/C371</x:f>
        <x:v>0.04311564900930045</x:v>
      </x:c>
      <x:c r="J371" s="9" t="n">
        <x:f>'原始数据'!G368/'原始数据'!F368</x:f>
        <x:v>0.01094665856608212</x:v>
      </x:c>
      <x:c r="K371" s="2" t="str">
        <x:v>专业供给</x:v>
      </x:c>
      <x:c r="L371" s="15" t="str">
        <x:v>食品/补剂或耗材需独立供应链</x:v>
      </x:c>
      <x:c r="M371" s="2" t="str">
        <x:f>IF(AND(C371&gt;='核验与方法'!$B$7,F371&gt;='核验与方法'!$B$8,G371&gt;='核验与方法'!$B$9,D371&gt;='核验与方法'!$B$10,E371&gt;='核验与方法'!$B$11),"通过需求门槛","未通过需求门槛")</x:f>
        <x:v>通过需求门槛</x:v>
      </x:c>
      <x:c r="N371" s="2" t="str">
        <x:v>先核验风险标签</x:v>
      </x:c>
      <x:c r="O371" s="9" t="n">
        <x:f>G371-'原始数据'!J368</x:f>
        <x:v>0.000015329675115416386</x:v>
      </x:c>
      <x:c r="P371" s="2" t="str">
        <x:v>DATA HOLD</x:v>
      </x:c>
    </x:row>
    <x:row r="372" ht="48" customHeight="1">
      <x:c r="A372" s="2" t="n">
        <x:v>367</x:v>
      </x:c>
      <x:c r="B372" s="2" t="str">
        <x:v>magazine holder</x:v>
      </x:c>
      <x:c r="C372" s="10" t="n">
        <x:f>'原始数据'!D369</x:f>
        <x:v>138425</x:v>
      </x:c>
      <x:c r="D372" s="9" t="n">
        <x:f>IF(ISNUMBER('原始数据'!E369),'原始数据'!E369,VALUE(SUBSTITUTE('原始数据'!E369,"'","")))</x:f>
        <x:v>-0.1115</x:v>
      </x:c>
      <x:c r="E372" s="9" t="n">
        <x:f>IF(ISNUMBER('原始数据'!H369),'原始数据'!H369,VALUE(SUBSTITUTE('原始数据'!H369,"'","")))</x:f>
        <x:v>-0.105</x:v>
      </x:c>
      <x:c r="F372" s="10" t="n">
        <x:f>'原始数据'!L369</x:f>
        <x:v>3295</x:v>
      </x:c>
      <x:c r="G372" s="9" t="n">
        <x:f>F372/'原始数据'!G369</x:f>
        <x:v>0.0663137981001449</x:v>
      </x:c>
      <x:c r="H372" s="9" t="n">
        <x:f>'原始数据'!P369/'原始数据'!O369</x:f>
        <x:v>0.20469881646352234</x:v>
      </x:c>
      <x:c r="I372" s="9" t="n">
        <x:f>F372/C372</x:f>
        <x:v>0.0238035037023659</x:v>
      </x:c>
      <x:c r="J372" s="9" t="n">
        <x:f>'原始数据'!G369/'原始数据'!F369</x:f>
        <x:v>0.009896533345230631</x:v>
      </x:c>
      <x:c r="K372" s="2" t="str">
        <x:v>待拆分产品市场</x:v>
      </x:c>
      <x:c r="L372" s="15" t="str">
        <x:v>暂无自动识别标签，仍需核验</x:v>
      </x:c>
      <x:c r="M372" s="2" t="str">
        <x:f>IF(AND(C372&gt;='核验与方法'!$B$7,F372&gt;='核验与方法'!$B$8,G372&gt;='核验与方法'!$B$9,D372&gt;='核验与方法'!$B$10,E372&gt;='核验与方法'!$B$11),"通过需求门槛","未通过需求门槛")</x:f>
        <x:v>未通过需求门槛</x:v>
      </x:c>
      <x:c r="N372" s="2" t="str">
        <x:v>待确认具体产品形态</x:v>
      </x:c>
      <x:c r="O372" s="9" t="n">
        <x:f>G372-'原始数据'!J369</x:f>
        <x:v>0.000013798100144901682</x:v>
      </x:c>
      <x:c r="P372" s="2" t="str">
        <x:v>DATA HOLD</x:v>
      </x:c>
    </x:row>
    <x:row r="373" ht="48" customHeight="1">
      <x:c r="A373" s="2" t="n">
        <x:v>368</x:v>
      </x:c>
      <x:c r="B373" s="2" t="str">
        <x:v>mad hatter costume women</x:v>
      </x:c>
      <x:c r="C373" s="10" t="n">
        <x:f>'原始数据'!D370</x:f>
        <x:v>138100</x:v>
      </x:c>
      <x:c r="D373" s="9" t="n">
        <x:f>IF(ISNUMBER('原始数据'!E370),'原始数据'!E370,VALUE(SUBSTITUTE('原始数据'!E370,"'","")))</x:f>
        <x:v>1.294</x:v>
      </x:c>
      <x:c r="E373" s="9" t="n">
        <x:f>IF(ISNUMBER('原始数据'!H370),'原始数据'!H370,VALUE(SUBSTITUTE('原始数据'!H370,"'","")))</x:f>
        <x:v>1.4011</x:v>
      </x:c>
      <x:c r="F373" s="10" t="n">
        <x:f>'原始数据'!L370</x:f>
        <x:v>380</x:v>
      </x:c>
      <x:c r="G373" s="9" t="n">
        <x:f>F373/'原始数据'!G370</x:f>
        <x:v>0.007805599490581928</x:v>
      </x:c>
      <x:c r="H373" s="9" t="n">
        <x:f>'原始数据'!P370/'原始数据'!O370</x:f>
        <x:v>0.03813874428981196</x:v>
      </x:c>
      <x:c r="I373" s="9" t="n">
        <x:f>F373/C373</x:f>
        <x:v>0.0027516292541636496</x:v>
      </x:c>
      <x:c r="J373" s="9" t="n">
        <x:f>'原始数据'!G370/'原始数据'!F370</x:f>
        <x:v>0.02563050958821027</x:v>
      </x:c>
      <x:c r="K373" s="2" t="str">
        <x:v>待拆分产品市场</x:v>
      </x:c>
      <x:c r="L373" s="15" t="str">
        <x:v>季节/事件影响待核验</x:v>
      </x:c>
      <x:c r="M373" s="2" t="str">
        <x:f>IF(AND(C373&gt;='核验与方法'!$B$7,F373&gt;='核验与方法'!$B$8,G373&gt;='核验与方法'!$B$9,D373&gt;='核验与方法'!$B$10,E373&gt;='核验与方法'!$B$11),"通过需求门槛","未通过需求门槛")</x:f>
        <x:v>未通过需求门槛</x:v>
      </x:c>
      <x:c r="N373" s="2" t="str">
        <x:v>先核验风险标签</x:v>
      </x:c>
      <x:c r="O373" s="9" t="n">
        <x:f>G373-'原始数据'!J370</x:f>
        <x:v>0.000005599490581928608</x:v>
      </x:c>
      <x:c r="P373" s="2" t="str">
        <x:v>DATA HOLD</x:v>
      </x:c>
    </x:row>
    <x:row r="374" ht="48" customHeight="1">
      <x:c r="A374" s="2" t="n">
        <x:v>369</x:v>
      </x:c>
      <x:c r="B374" s="2" t="str">
        <x:v>serene herbs soursop bitters</x:v>
      </x:c>
      <x:c r="C374" s="10" t="n">
        <x:f>'原始数据'!D371</x:f>
        <x:v>137759</x:v>
      </x:c>
      <x:c r="D374" s="9" t="n">
        <x:f>IF(ISNUMBER('原始数据'!E371),'原始数据'!E371,VALUE(SUBSTITUTE('原始数据'!E371,"'","")))</x:f>
        <x:v>0.1043</x:v>
      </x:c>
      <x:c r="E374" s="9" t="n">
        <x:f>IF(ISNUMBER('原始数据'!H371),'原始数据'!H371,VALUE(SUBSTITUTE('原始数据'!H371,"'","")))</x:f>
        <x:v>0.2337</x:v>
      </x:c>
      <x:c r="F374" s="10" t="n">
        <x:f>'原始数据'!L371</x:f>
        <x:v>7347</x:v>
      </x:c>
      <x:c r="G374" s="9" t="n">
        <x:f>F374/'原始数据'!G371</x:f>
        <x:v>0.10830213154868952</x:v>
      </x:c>
      <x:c r="H374" s="9" t="n">
        <x:f>'原始数据'!P371/'原始数据'!O371</x:f>
        <x:v>0.18396420156077736</x:v>
      </x:c>
      <x:c r="I374" s="9" t="n">
        <x:f>F374/C374</x:f>
        <x:v>0.05333226867210128</x:v>
      </x:c>
      <x:c r="J374" s="9" t="n">
        <x:f>'原始数据'!G371/'原始数据'!F371</x:f>
        <x:v>0.0169502621071516</x:v>
      </x:c>
      <x:c r="K374" s="2" t="str">
        <x:v>专业供给</x:v>
      </x:c>
      <x:c r="L374" s="15" t="str">
        <x:v>食品/补剂或耗材需独立供应链</x:v>
      </x:c>
      <x:c r="M374" s="2" t="str">
        <x:f>IF(AND(C374&gt;='核验与方法'!$B$7,F374&gt;='核验与方法'!$B$8,G374&gt;='核验与方法'!$B$9,D374&gt;='核验与方法'!$B$10,E374&gt;='核验与方法'!$B$11),"通过需求门槛","未通过需求门槛")</x:f>
        <x:v>通过需求门槛</x:v>
      </x:c>
      <x:c r="N374" s="2" t="str">
        <x:v>先核验风险标签</x:v>
      </x:c>
      <x:c r="O374" s="9" t="n">
        <x:f>G374-'原始数据'!J371</x:f>
        <x:v>0.0000021315486895268076</x:v>
      </x:c>
      <x:c r="P374" s="2" t="str">
        <x:v>DATA HOLD</x:v>
      </x:c>
    </x:row>
    <x:row r="375" ht="48" customHeight="1">
      <x:c r="A375" s="2" t="n">
        <x:v>370</x:v>
      </x:c>
      <x:c r="B375" s="2" t="str">
        <x:v>decoracion de cumpleaños para mujer</x:v>
      </x:c>
      <x:c r="C375" s="10" t="n">
        <x:f>'原始数据'!D372</x:f>
        <x:v>137465</x:v>
      </x:c>
      <x:c r="D375" s="9" t="n">
        <x:f>IF(ISNUMBER('原始数据'!E372),'原始数据'!E372,VALUE(SUBSTITUTE('原始数据'!E372,"'","")))</x:f>
        <x:v>0.1821</x:v>
      </x:c>
      <x:c r="E375" s="9" t="n">
        <x:f>IF(ISNUMBER('原始数据'!H372),'原始数据'!H372,VALUE(SUBSTITUTE('原始数据'!H372,"'","")))</x:f>
        <x:v>0.1741</x:v>
      </x:c>
      <x:c r="F375" s="10" t="n">
        <x:f>'原始数据'!L372</x:f>
        <x:v>1810</x:v>
      </x:c>
      <x:c r="G375" s="9" t="n">
        <x:f>F375/'原始数据'!G372</x:f>
        <x:v>0.040796087181914485</x:v>
      </x:c>
      <x:c r="H375" s="9" t="n">
        <x:f>'原始数据'!P372/'原始数据'!O372</x:f>
        <x:v>0.14279306220095694</x:v>
      </x:c>
      <x:c r="I375" s="9" t="n">
        <x:f>F375/C375</x:f>
        <x:v>0.013166987960571782</x:v>
      </x:c>
      <x:c r="J375" s="9" t="n">
        <x:f>'原始数据'!G372/'原始数据'!F372</x:f>
        <x:v>0.016066599962410957</x:v>
      </x:c>
      <x:c r="K375" s="2" t="str">
        <x:v>待拆分产品市场</x:v>
      </x:c>
      <x:c r="L375" s="15" t="str">
        <x:v>暂无自动识别标签，仍需核验</x:v>
      </x:c>
      <x:c r="M375" s="2" t="str">
        <x:f>IF(AND(C375&gt;='核验与方法'!$B$7,F375&gt;='核验与方法'!$B$8,G375&gt;='核验与方法'!$B$9,D375&gt;='核验与方法'!$B$10,E375&gt;='核验与方法'!$B$11),"通过需求门槛","未通过需求门槛")</x:f>
        <x:v>未通过需求门槛</x:v>
      </x:c>
      <x:c r="N375" s="2" t="str">
        <x:v>待确认具体产品形态</x:v>
      </x:c>
      <x:c r="O375" s="9" t="n">
        <x:f>G375-'原始数据'!J372</x:f>
        <x:v>0.00009608718191448512</x:v>
      </x:c>
      <x:c r="P375" s="2" t="str">
        <x:v>DATA HOLD</x:v>
      </x:c>
    </x:row>
    <x:row r="376" ht="48" customHeight="1">
      <x:c r="A376" s="2" t="n">
        <x:v>371</x:v>
      </x:c>
      <x:c r="B376" s="2" t="str">
        <x:v>hydro flask</x:v>
      </x:c>
      <x:c r="C376" s="10" t="n">
        <x:f>'原始数据'!D373</x:f>
        <x:v>137374</x:v>
      </x:c>
      <x:c r="D376" s="9" t="n">
        <x:f>IF(ISNUMBER('原始数据'!E373),'原始数据'!E373,VALUE(SUBSTITUTE('原始数据'!E373,"'","")))</x:f>
        <x:v>-0.0528</x:v>
      </x:c>
      <x:c r="E376" s="9" t="n">
        <x:f>IF(ISNUMBER('原始数据'!H373),'原始数据'!H373,VALUE(SUBSTITUTE('原始数据'!H373,"'","")))</x:f>
        <x:v>-0.0013</x:v>
      </x:c>
      <x:c r="F376" s="10" t="n">
        <x:f>'原始数据'!L373</x:f>
        <x:v>1886</x:v>
      </x:c>
      <x:c r="G376" s="9" t="n">
        <x:f>F376/'原始数据'!G373</x:f>
        <x:v>0.02969377312445879</x:v>
      </x:c>
      <x:c r="H376" s="9" t="n">
        <x:f>'原始数据'!P373/'原始数据'!O373</x:f>
        <x:v>0.1507358406421882</x:v>
      </x:c>
      <x:c r="I376" s="9" t="n">
        <x:f>F376/C376</x:f>
        <x:v>0.013728944341724053</x:v>
      </x:c>
      <x:c r="J376" s="9" t="n">
        <x:f>'原始数据'!G373/'原始数据'!F373</x:f>
        <x:v>0.015097144413700025</x:v>
      </x:c>
      <x:c r="K376" s="2" t="str">
        <x:v>待拆分产品市场</x:v>
      </x:c>
      <x:c r="L376" s="15" t="str">
        <x:v>品牌或IP需核验</x:v>
      </x:c>
      <x:c r="M376" s="2" t="str">
        <x:f>IF(AND(C376&gt;='核验与方法'!$B$7,F376&gt;='核验与方法'!$B$8,G376&gt;='核验与方法'!$B$9,D376&gt;='核验与方法'!$B$10,E376&gt;='核验与方法'!$B$11),"通过需求门槛","未通过需求门槛")</x:f>
        <x:v>未通过需求门槛</x:v>
      </x:c>
      <x:c r="N376" s="2" t="str">
        <x:v>先核验风险标签</x:v>
      </x:c>
      <x:c r="O376" s="9" t="n">
        <x:f>G376-'原始数据'!J373</x:f>
        <x:v>0.00009377312445878888</x:v>
      </x:c>
      <x:c r="P376" s="2" t="str">
        <x:v>DATA HOLD</x:v>
      </x:c>
    </x:row>
    <x:row r="377" ht="48" customHeight="1">
      <x:c r="A377" s="2" t="n">
        <x:v>372</x:v>
      </x:c>
      <x:c r="B377" s="2" t="str">
        <x:v>polarized sunglasses men</x:v>
      </x:c>
      <x:c r="C377" s="10" t="n">
        <x:f>'原始数据'!D374</x:f>
        <x:v>137361</x:v>
      </x:c>
      <x:c r="D377" s="9" t="n">
        <x:f>IF(ISNUMBER('原始数据'!E374),'原始数据'!E374,VALUE(SUBSTITUTE('原始数据'!E374,"'","")))</x:f>
        <x:v>-0.1405</x:v>
      </x:c>
      <x:c r="E377" s="9" t="n">
        <x:f>IF(ISNUMBER('原始数据'!H374),'原始数据'!H374,VALUE(SUBSTITUTE('原始数据'!H374,"'","")))</x:f>
        <x:v>-0.164</x:v>
      </x:c>
      <x:c r="F377" s="10" t="n">
        <x:f>'原始数据'!L374</x:f>
        <x:v>4495</x:v>
      </x:c>
      <x:c r="G377" s="9" t="n">
        <x:f>F377/'原始数据'!G374</x:f>
        <x:v>0.08692709340553084</x:v>
      </x:c>
      <x:c r="H377" s="9" t="n">
        <x:f>'原始数据'!P374/'原始数据'!O374</x:f>
        <x:v>0.3157685783376042</x:v>
      </x:c>
      <x:c r="I377" s="9" t="n">
        <x:f>F377/C377</x:f>
        <x:v>0.032723990069961635</x:v>
      </x:c>
      <x:c r="J377" s="9" t="n">
        <x:f>'原始数据'!G374/'原始数据'!F374</x:f>
        <x:v>0.009928002303926275</x:v>
      </x:c>
      <x:c r="K377" s="2" t="str">
        <x:v>待拆分产品市场</x:v>
      </x:c>
      <x:c r="L377" s="15" t="str">
        <x:v>暂无自动识别标签，仍需核验</x:v>
      </x:c>
      <x:c r="M377" s="2" t="str">
        <x:f>IF(AND(C377&gt;='核验与方法'!$B$7,F377&gt;='核验与方法'!$B$8,G377&gt;='核验与方法'!$B$9,D377&gt;='核验与方法'!$B$10,E377&gt;='核验与方法'!$B$11),"通过需求门槛","未通过需求门槛")</x:f>
        <x:v>未通过需求门槛</x:v>
      </x:c>
      <x:c r="N377" s="2" t="str">
        <x:v>待确认具体产品形态</x:v>
      </x:c>
      <x:c r="O377" s="9" t="n">
        <x:f>G377-'原始数据'!J374</x:f>
        <x:v>0.000027093405530836945</x:v>
      </x:c>
      <x:c r="P377" s="2" t="str">
        <x:v>DATA HOLD</x:v>
      </x:c>
    </x:row>
    <x:row r="378" ht="48" customHeight="1">
      <x:c r="A378" s="2" t="n">
        <x:v>373</x:v>
      </x:c>
      <x:c r="B378" s="2" t="str">
        <x:v>texas longhorns womens apparel</x:v>
      </x:c>
      <x:c r="C378" s="10" t="n">
        <x:f>'原始数据'!D375</x:f>
        <x:v>137291</x:v>
      </x:c>
      <x:c r="D378" s="9" t="n">
        <x:f>IF(ISNUMBER('原始数据'!E375),'原始数据'!E375,VALUE(SUBSTITUTE('原始数据'!E375,"'","")))</x:f>
        <x:v>4.6229</x:v>
      </x:c>
      <x:c r="E378" s="9" t="n">
        <x:f>IF(ISNUMBER('原始数据'!H375),'原始数据'!H375,VALUE(SUBSTITUTE('原始数据'!H375,"'","")))</x:f>
        <x:v>4.6112</x:v>
      </x:c>
      <x:c r="F378" s="10" t="n">
        <x:f>'原始数据'!L375</x:f>
        <x:v>1289</x:v>
      </x:c>
      <x:c r="G378" s="9" t="n">
        <x:f>F378/'原始数据'!G375</x:f>
        <x:v>0.0367309719887157</x:v>
      </x:c>
      <x:c r="H378" s="9" t="n">
        <x:f>'原始数据'!P375/'原始数据'!O375</x:f>
        <x:v>0.15487201548720156</x:v>
      </x:c>
      <x:c r="I378" s="9" t="n">
        <x:f>F378/C378</x:f>
        <x:v>0.009388816455557903</x:v>
      </x:c>
      <x:c r="J378" s="9" t="n">
        <x:f>'原始数据'!G375/'原始数据'!F375</x:f>
        <x:v>0.03180623871038495</x:v>
      </x:c>
      <x:c r="K378" s="2" t="str">
        <x:v>待拆分产品市场</x:v>
      </x:c>
      <x:c r="L378" s="15" t="str">
        <x:v>品牌或IP需核验</x:v>
      </x:c>
      <x:c r="M378" s="2" t="str">
        <x:f>IF(AND(C378&gt;='核验与方法'!$B$7,F378&gt;='核验与方法'!$B$8,G378&gt;='核验与方法'!$B$9,D378&gt;='核验与方法'!$B$10,E378&gt;='核验与方法'!$B$11),"通过需求门槛","未通过需求门槛")</x:f>
        <x:v>未通过需求门槛</x:v>
      </x:c>
      <x:c r="N378" s="2" t="str">
        <x:v>先核验风险标签</x:v>
      </x:c>
      <x:c r="O378" s="9" t="n">
        <x:f>G378-'原始数据'!J375</x:f>
        <x:v>0.000030971988715697285</x:v>
      </x:c>
      <x:c r="P378" s="2" t="str">
        <x:v>DATA HOLD</x:v>
      </x:c>
    </x:row>
    <x:row r="379" ht="48" customHeight="1">
      <x:c r="A379" s="2" t="n">
        <x:v>374</x:v>
      </x:c>
      <x:c r="B379" s="2" t="str">
        <x:v>vhs player</x:v>
      </x:c>
      <x:c r="C379" s="10" t="n">
        <x:f>'原始数据'!D376</x:f>
        <x:v>137266</x:v>
      </x:c>
      <x:c r="D379" s="9" t="n">
        <x:f>IF(ISNUMBER('原始数据'!E376),'原始数据'!E376,VALUE(SUBSTITUTE('原始数据'!E376,"'","")))</x:f>
        <x:v>0.0979</x:v>
      </x:c>
      <x:c r="E379" s="9" t="n">
        <x:f>IF(ISNUMBER('原始数据'!H376),'原始数据'!H376,VALUE(SUBSTITUTE('原始数据'!H376,"'","")))</x:f>
        <x:v>0.1636</x:v>
      </x:c>
      <x:c r="F379" s="10" t="n">
        <x:f>'原始数据'!L376</x:f>
        <x:v>541</x:v>
      </x:c>
      <x:c r="G379" s="9" t="n">
        <x:f>F379/'原始数据'!G376</x:f>
        <x:v>0.01258461466886878</x:v>
      </x:c>
      <x:c r="H379" s="9" t="n">
        <x:f>'原始数据'!P376/'原始数据'!O376</x:f>
        <x:v>0.030003174939147</x:v>
      </x:c>
      <x:c r="I379" s="9" t="n">
        <x:f>F379/C379</x:f>
        <x:v>0.003941252750134775</x:v>
      </x:c>
      <x:c r="J379" s="9" t="n">
        <x:f>'原始数据'!G376/'原始数据'!F376</x:f>
        <x:v>0.016134189740083002</x:v>
      </x:c>
      <x:c r="K379" s="2" t="str">
        <x:v>待拆分产品市场</x:v>
      </x:c>
      <x:c r="L379" s="15" t="str">
        <x:v>内容/导航或宽泛需求需拆分</x:v>
      </x:c>
      <x:c r="M379" s="2" t="str">
        <x:f>IF(AND(C379&gt;='核验与方法'!$B$7,F379&gt;='核验与方法'!$B$8,G379&gt;='核验与方法'!$B$9,D379&gt;='核验与方法'!$B$10,E379&gt;='核验与方法'!$B$11),"通过需求门槛","未通过需求门槛")</x:f>
        <x:v>未通过需求门槛</x:v>
      </x:c>
      <x:c r="N379" s="2" t="str">
        <x:v>先核验风险标签</x:v>
      </x:c>
      <x:c r="O379" s="9" t="n">
        <x:f>G379-'原始数据'!J376</x:f>
        <x:v>0.00008461466886878002</x:v>
      </x:c>
      <x:c r="P379" s="2" t="str">
        <x:v>DATA HOLD</x:v>
      </x:c>
    </x:row>
    <x:row r="380" ht="48" customHeight="1">
      <x:c r="A380" s="2" t="n">
        <x:v>375</x:v>
      </x:c>
      <x:c r="B380" s="2" t="str">
        <x:v>trick or treat bucket</x:v>
      </x:c>
      <x:c r="C380" s="10" t="n">
        <x:f>'原始数据'!D377</x:f>
        <x:v>137167</x:v>
      </x:c>
      <x:c r="D380" s="9" t="n">
        <x:f>IF(ISNUMBER('原始数据'!E377),'原始数据'!E377,VALUE(SUBSTITUTE('原始数据'!E377,"'","")))</x:f>
        <x:v>1.4418</x:v>
      </x:c>
      <x:c r="E380" s="9" t="n">
        <x:f>IF(ISNUMBER('原始数据'!H377),'原始数据'!H377,VALUE(SUBSTITUTE('原始数据'!H377,"'","")))</x:f>
        <x:v>1.2649</x:v>
      </x:c>
      <x:c r="F380" s="10" t="n">
        <x:f>'原始数据'!L377</x:f>
        <x:v>1286</x:v>
      </x:c>
      <x:c r="G380" s="9" t="n">
        <x:f>F380/'原始数据'!G377</x:f>
        <x:v>0.031147064522379385</x:v>
      </x:c>
      <x:c r="H380" s="9" t="n">
        <x:f>'原始数据'!P377/'原始数据'!O377</x:f>
        <x:v>0.055798031664527174</x:v>
      </x:c>
      <x:c r="I380" s="9" t="n">
        <x:f>F380/C380</x:f>
        <x:v>0.009375432866505792</x:v>
      </x:c>
      <x:c r="J380" s="9" t="n">
        <x:f>'原始数据'!G377/'原始数据'!F377</x:f>
        <x:v>0.02026979923629869</x:v>
      </x:c>
      <x:c r="K380" s="2" t="str">
        <x:v>待拆分产品市场</x:v>
      </x:c>
      <x:c r="L380" s="15" t="str">
        <x:v>季节/事件影响待核验</x:v>
      </x:c>
      <x:c r="M380" s="2" t="str">
        <x:f>IF(AND(C380&gt;='核验与方法'!$B$7,F380&gt;='核验与方法'!$B$8,G380&gt;='核验与方法'!$B$9,D380&gt;='核验与方法'!$B$10,E380&gt;='核验与方法'!$B$11),"通过需求门槛","未通过需求门槛")</x:f>
        <x:v>未通过需求门槛</x:v>
      </x:c>
      <x:c r="N380" s="2" t="str">
        <x:v>先核验风险标签</x:v>
      </x:c>
      <x:c r="O380" s="9" t="n">
        <x:f>G380-'原始数据'!J377</x:f>
        <x:v>0.000047064522379385715</x:v>
      </x:c>
      <x:c r="P380" s="2" t="str">
        <x:v>DATA HOLD</x:v>
      </x:c>
    </x:row>
    <x:row r="381" ht="48" customHeight="1">
      <x:c r="A381" s="2" t="n">
        <x:v>376</x:v>
      </x:c>
      <x:c r="B381" s="2" t="str">
        <x:v>king size bed frame with storage</x:v>
      </x:c>
      <x:c r="C381" s="10" t="n">
        <x:f>'原始数据'!D378</x:f>
        <x:v>137062</x:v>
      </x:c>
      <x:c r="D381" s="9" t="n">
        <x:f>IF(ISNUMBER('原始数据'!E378),'原始数据'!E378,VALUE(SUBSTITUTE('原始数据'!E378,"'","")))</x:f>
        <x:v>0.0491</x:v>
      </x:c>
      <x:c r="E381" s="9" t="n">
        <x:f>IF(ISNUMBER('原始数据'!H378),'原始数据'!H378,VALUE(SUBSTITUTE('原始数据'!H378,"'","")))</x:f>
        <x:v>-0.0032</x:v>
      </x:c>
      <x:c r="F381" s="10" t="n">
        <x:f>'原始数据'!L378</x:f>
        <x:v>352</x:v>
      </x:c>
      <x:c r="G381" s="9" t="n">
        <x:f>F381/'原始数据'!G378</x:f>
        <x:v>0.005901386490519221</x:v>
      </x:c>
      <x:c r="H381" s="9" t="n">
        <x:f>'原始数据'!P378/'原始数据'!O378</x:f>
        <x:v>0.03487012987012987</x:v>
      </x:c>
      <x:c r="I381" s="9" t="n">
        <x:f>F381/C381</x:f>
        <x:v>0.002568180823277057</x:v>
      </x:c>
      <x:c r="J381" s="9" t="n">
        <x:f>'原始数据'!G378/'原始数据'!F378</x:f>
        <x:v>0.01877548707762866</x:v>
      </x:c>
      <x:c r="K381" s="2" t="str">
        <x:v>待拆分产品市场</x:v>
      </x:c>
      <x:c r="L381" s="15" t="str">
        <x:v>体积/安装/售后成本待核验</x:v>
      </x:c>
      <x:c r="M381" s="2" t="str">
        <x:f>IF(AND(C381&gt;='核验与方法'!$B$7,F381&gt;='核验与方法'!$B$8,G381&gt;='核验与方法'!$B$9,D381&gt;='核验与方法'!$B$10,E381&gt;='核验与方法'!$B$11),"通过需求门槛","未通过需求门槛")</x:f>
        <x:v>未通过需求门槛</x:v>
      </x:c>
      <x:c r="N381" s="2" t="str">
        <x:v>先核验风险标签</x:v>
      </x:c>
      <x:c r="O381" s="9" t="n">
        <x:f>G381-'原始数据'!J378</x:f>
        <x:v>0.0000013864905192215171</x:v>
      </x:c>
      <x:c r="P381" s="2" t="str">
        <x:v>DATA HOLD</x:v>
      </x:c>
    </x:row>
    <x:row r="382" ht="48" customHeight="1">
      <x:c r="A382" s="2" t="n">
        <x:v>377</x:v>
      </x:c>
      <x:c r="B382" s="2" t="str">
        <x:v>calamity club book</x:v>
      </x:c>
      <x:c r="C382" s="10" t="n">
        <x:f>'原始数据'!D379</x:f>
        <x:v>136458</x:v>
      </x:c>
      <x:c r="D382" s="9" t="n">
        <x:f>IF(ISNUMBER('原始数据'!E379),'原始数据'!E379,VALUE(SUBSTITUTE('原始数据'!E379,"'","")))</x:f>
        <x:v>0.0111</x:v>
      </x:c>
      <x:c r="E382" s="9" t="n">
        <x:f>IF(ISNUMBER('原始数据'!H379),'原始数据'!H379,VALUE(SUBSTITUTE('原始数据'!H379,"'","")))</x:f>
        <x:v>0.0182</x:v>
      </x:c>
      <x:c r="F382" s="10" t="n">
        <x:f>'原始数据'!L379</x:f>
        <x:v>13055</x:v>
      </x:c>
      <x:c r="G382" s="9" t="n">
        <x:f>F382/'原始数据'!G379</x:f>
        <x:v>0.15269363026035696</x:v>
      </x:c>
      <x:c r="H382" s="9" t="n">
        <x:f>'原始数据'!P379/'原始数据'!O379</x:f>
        <x:v>0.2235459004905396</x:v>
      </x:c>
      <x:c r="I382" s="9" t="n">
        <x:f>F382/C382</x:f>
        <x:v>0.09567046270647378</x:v>
      </x:c>
      <x:c r="J382" s="9" t="n">
        <x:f>'原始数据'!G379/'原始数据'!F379</x:f>
        <x:v>0.03246906631971423</x:v>
      </x:c>
      <x:c r="K382" s="2" t="str">
        <x:v>待拆分产品市场</x:v>
      </x:c>
      <x:c r="L382" s="15" t="str">
        <x:v>内容/导航或宽泛需求需拆分</x:v>
      </x:c>
      <x:c r="M382" s="2" t="str">
        <x:f>IF(AND(C382&gt;='核验与方法'!$B$7,F382&gt;='核验与方法'!$B$8,G382&gt;='核验与方法'!$B$9,D382&gt;='核验与方法'!$B$10,E382&gt;='核验与方法'!$B$11),"通过需求门槛","未通过需求门槛")</x:f>
        <x:v>通过需求门槛</x:v>
      </x:c>
      <x:c r="N382" s="2" t="str">
        <x:v>先核验风险标签</x:v>
      </x:c>
      <x:c r="O382" s="9" t="n">
        <x:f>G382-'原始数据'!J379</x:f>
        <x:v>0.00009363026035694166</x:v>
      </x:c>
      <x:c r="P382" s="2" t="str">
        <x:v>DATA HOLD</x:v>
      </x:c>
    </x:row>
    <x:row r="383" ht="48" customHeight="1">
      <x:c r="A383" s="2" t="n">
        <x:v>378</x:v>
      </x:c>
      <x:c r="B383" s="2" t="str">
        <x:v>sunflower lecithin</x:v>
      </x:c>
      <x:c r="C383" s="10" t="n">
        <x:f>'原始数据'!D380</x:f>
        <x:v>136399</x:v>
      </x:c>
      <x:c r="D383" s="9" t="n">
        <x:f>IF(ISNUMBER('原始数据'!E380),'原始数据'!E380,VALUE(SUBSTITUTE('原始数据'!E380,"'","")))</x:f>
        <x:v>0.1424</x:v>
      </x:c>
      <x:c r="E383" s="9" t="n">
        <x:f>IF(ISNUMBER('原始数据'!H380),'原始数据'!H380,VALUE(SUBSTITUTE('原始数据'!H380,"'","")))</x:f>
        <x:v>0.1622</x:v>
      </x:c>
      <x:c r="F383" s="10" t="n">
        <x:f>'原始数据'!L380</x:f>
        <x:v>16951</x:v>
      </x:c>
      <x:c r="G383" s="9" t="n">
        <x:f>F383/'原始数据'!G380</x:f>
        <x:v>0.21413863237281927</x:v>
      </x:c>
      <x:c r="H383" s="9" t="n">
        <x:f>'原始数据'!P380/'原始数据'!O380</x:f>
        <x:v>0.3918275473984936</x:v>
      </x:c>
      <x:c r="I383" s="9" t="n">
        <x:f>F383/C383</x:f>
        <x:v>0.1242751046561925</x:v>
      </x:c>
      <x:c r="J383" s="9" t="n">
        <x:f>'原始数据'!G380/'原始数据'!F380</x:f>
        <x:v>0.016110269225618663</x:v>
      </x:c>
      <x:c r="K383" s="2" t="str">
        <x:v>专业供给</x:v>
      </x:c>
      <x:c r="L383" s="15" t="str">
        <x:v>食品/补剂或耗材需独立供应链</x:v>
      </x:c>
      <x:c r="M383" s="2" t="str">
        <x:f>IF(AND(C383&gt;='核验与方法'!$B$7,F383&gt;='核验与方法'!$B$8,G383&gt;='核验与方法'!$B$9,D383&gt;='核验与方法'!$B$10,E383&gt;='核验与方法'!$B$11),"通过需求门槛","未通过需求门槛")</x:f>
        <x:v>通过需求门槛</x:v>
      </x:c>
      <x:c r="N383" s="2" t="str">
        <x:v>先核验风险标签</x:v>
      </x:c>
      <x:c r="O383" s="9" t="n">
        <x:f>G383-'原始数据'!J380</x:f>
        <x:v>0.000038632372819258354</x:v>
      </x:c>
      <x:c r="P383" s="2" t="str">
        <x:v>DATA HOLD</x:v>
      </x:c>
    </x:row>
    <x:row r="384" ht="48" customHeight="1">
      <x:c r="A384" s="2" t="n">
        <x:v>379</x:v>
      </x:c>
      <x:c r="B384" s="2" t="str">
        <x:v>plus size jeans</x:v>
      </x:c>
      <x:c r="C384" s="10" t="n">
        <x:f>'原始数据'!D381</x:f>
        <x:v>136318</x:v>
      </x:c>
      <x:c r="D384" s="9" t="n">
        <x:f>IF(ISNUMBER('原始数据'!E381),'原始数据'!E381,VALUE(SUBSTITUTE('原始数据'!E381,"'","")))</x:f>
        <x:v>0.2007</x:v>
      </x:c>
      <x:c r="E384" s="9" t="n">
        <x:f>IF(ISNUMBER('原始数据'!H381),'原始数据'!H381,VALUE(SUBSTITUTE('原始数据'!H381,"'","")))</x:f>
        <x:v>0.1997</x:v>
      </x:c>
      <x:c r="F384" s="10" t="n">
        <x:f>'原始数据'!L381</x:f>
        <x:v>394</x:v>
      </x:c>
      <x:c r="G384" s="9" t="n">
        <x:f>F384/'原始数据'!G381</x:f>
        <x:v>0.00968439681447252</x:v>
      </x:c>
      <x:c r="H384" s="9" t="n">
        <x:f>'原始数据'!P381/'原始数据'!O381</x:f>
        <x:v>0.10340294281235779</x:v>
      </x:c>
      <x:c r="I384" s="9" t="n">
        <x:f>F384/C384</x:f>
        <x:v>0.002890300620607697</x:v>
      </x:c>
      <x:c r="J384" s="9" t="n">
        <x:f>'原始数据'!G381/'原始数据'!F381</x:f>
        <x:v>0.009811558461540687</x:v>
      </x:c>
      <x:c r="K384" s="2" t="str">
        <x:v>待拆分产品市场</x:v>
      </x:c>
      <x:c r="L384" s="15" t="str">
        <x:v>尺码/颜色变体及退货待核验</x:v>
      </x:c>
      <x:c r="M384" s="2" t="str">
        <x:f>IF(AND(C384&gt;='核验与方法'!$B$7,F384&gt;='核验与方法'!$B$8,G384&gt;='核验与方法'!$B$9,D384&gt;='核验与方法'!$B$10,E384&gt;='核验与方法'!$B$11),"通过需求门槛","未通过需求门槛")</x:f>
        <x:v>未通过需求门槛</x:v>
      </x:c>
      <x:c r="N384" s="2" t="str">
        <x:v>先核验风险标签</x:v>
      </x:c>
      <x:c r="O384" s="9" t="n">
        <x:f>G384-'原始数据'!J381</x:f>
        <x:v>0.00008439681447252115</x:v>
      </x:c>
      <x:c r="P384" s="2" t="str">
        <x:v>DATA HOLD</x:v>
      </x:c>
    </x:row>
    <x:row r="385" ht="48" customHeight="1">
      <x:c r="A385" s="2" t="n">
        <x:v>380</x:v>
      </x:c>
      <x:c r="B385" s="2" t="str">
        <x:v>carport</x:v>
      </x:c>
      <x:c r="C385" s="10" t="n">
        <x:f>'原始数据'!D382</x:f>
        <x:v>136236</x:v>
      </x:c>
      <x:c r="D385" s="9" t="n">
        <x:f>IF(ISNUMBER('原始数据'!E382),'原始数据'!E382,VALUE(SUBSTITUTE('原始数据'!E382,"'","")))</x:f>
        <x:v>-0.0177</x:v>
      </x:c>
      <x:c r="E385" s="9" t="n">
        <x:f>IF(ISNUMBER('原始数据'!H382),'原始数据'!H382,VALUE(SUBSTITUTE('原始数据'!H382,"'","")))</x:f>
        <x:v>0.0029</x:v>
      </x:c>
      <x:c r="F385" s="10" t="n">
        <x:f>'原始数据'!L382</x:f>
        <x:v>324</x:v>
      </x:c>
      <x:c r="G385" s="9" t="n">
        <x:f>F385/'原始数据'!G382</x:f>
        <x:v>0.005400720096012801</x:v>
      </x:c>
      <x:c r="H385" s="9" t="n">
        <x:f>'原始数据'!P382/'原始数据'!O382</x:f>
        <x:v>0.01673534606004541</x:v>
      </x:c>
      <x:c r="I385" s="9" t="n">
        <x:f>F385/C385</x:f>
        <x:v>0.002378226019554303</x:v>
      </x:c>
      <x:c r="J385" s="9" t="n">
        <x:f>'原始数据'!G382/'原始数据'!F382</x:f>
        <x:v>0.015282666406487032</x:v>
      </x:c>
      <x:c r="K385" s="2" t="str">
        <x:v>待拆分产品市场</x:v>
      </x:c>
      <x:c r="L385" s="15" t="str">
        <x:v>体积/安装/售后成本待核验</x:v>
      </x:c>
      <x:c r="M385" s="2" t="str">
        <x:f>IF(AND(C385&gt;='核验与方法'!$B$7,F385&gt;='核验与方法'!$B$8,G385&gt;='核验与方法'!$B$9,D385&gt;='核验与方法'!$B$10,E385&gt;='核验与方法'!$B$11),"通过需求门槛","未通过需求门槛")</x:f>
        <x:v>未通过需求门槛</x:v>
      </x:c>
      <x:c r="N385" s="2" t="str">
        <x:v>先核验风险标签</x:v>
      </x:c>
      <x:c r="O385" s="9" t="n">
        <x:f>G385-'原始数据'!J382</x:f>
        <x:v>7.200960128010692e-7</x:v>
      </x:c>
      <x:c r="P385" s="2" t="str">
        <x:v>DATA HOLD</x:v>
      </x:c>
    </x:row>
    <x:row r="386" ht="48" customHeight="1">
      <x:c r="A386" s="2" t="n">
        <x:v>381</x:v>
      </x:c>
      <x:c r="B386" s="2" t="str">
        <x:v>lady bug costumes for women</x:v>
      </x:c>
      <x:c r="C386" s="10" t="n">
        <x:f>'原始数据'!D383</x:f>
        <x:v>136185</x:v>
      </x:c>
      <x:c r="D386" s="9" t="n">
        <x:f>IF(ISNUMBER('原始数据'!E383),'原始数据'!E383,VALUE(SUBSTITUTE('原始数据'!E383,"'","")))</x:f>
        <x:v>2.9956</x:v>
      </x:c>
      <x:c r="E386" s="9" t="n">
        <x:f>IF(ISNUMBER('原始数据'!H383),'原始数据'!H383,VALUE(SUBSTITUTE('原始数据'!H383,"'","")))</x:f>
        <x:v>3.2557</x:v>
      </x:c>
      <x:c r="F386" s="10" t="n">
        <x:f>'原始数据'!L383</x:f>
        <x:v>659</x:v>
      </x:c>
      <x:c r="G386" s="9" t="n">
        <x:f>F386/'原始数据'!G383</x:f>
        <x:v>0.012157550041509086</x:v>
      </x:c>
      <x:c r="H386" s="9" t="n">
        <x:f>'原始数据'!P383/'原始数据'!O383</x:f>
        <x:v>0.04854517611026034</x:v>
      </x:c>
      <x:c r="I386" s="9" t="n">
        <x:f>F386/C386</x:f>
        <x:v>0.004839005764217792</x:v>
      </x:c>
      <x:c r="J386" s="9" t="n">
        <x:f>'原始数据'!G383/'原始数据'!F383</x:f>
        <x:v>0.04207417411823149</x:v>
      </x:c>
      <x:c r="K386" s="2" t="str">
        <x:v>待拆分产品市场</x:v>
      </x:c>
      <x:c r="L386" s="15" t="str">
        <x:v>季节/事件影响待核验</x:v>
      </x:c>
      <x:c r="M386" s="2" t="str">
        <x:f>IF(AND(C386&gt;='核验与方法'!$B$7,F386&gt;='核验与方法'!$B$8,G386&gt;='核验与方法'!$B$9,D386&gt;='核验与方法'!$B$10,E386&gt;='核验与方法'!$B$11),"通过需求门槛","未通过需求门槛")</x:f>
        <x:v>未通过需求门槛</x:v>
      </x:c>
      <x:c r="N386" s="2" t="str">
        <x:v>先核验风险标签</x:v>
      </x:c>
      <x:c r="O386" s="9" t="n">
        <x:f>G386-'原始数据'!J383</x:f>
        <x:v>0.00005755004150908606</x:v>
      </x:c>
      <x:c r="P386" s="2" t="str">
        <x:v>DATA HOLD</x:v>
      </x:c>
    </x:row>
    <x:row r="387" ht="48" customHeight="1">
      <x:c r="A387" s="2" t="n">
        <x:v>382</x:v>
      </x:c>
      <x:c r="B387" s="2" t="str">
        <x:v>elsa</x:v>
      </x:c>
      <x:c r="C387" s="10" t="n">
        <x:f>'原始数据'!D384</x:f>
        <x:v>136029</x:v>
      </x:c>
      <x:c r="D387" s="9" t="n">
        <x:f>IF(ISNUMBER('原始数据'!E384),'原始数据'!E384,VALUE(SUBSTITUTE('原始数据'!E384,"'","")))</x:f>
        <x:v>0.0844</x:v>
      </x:c>
      <x:c r="E387" s="9" t="n">
        <x:f>IF(ISNUMBER('原始数据'!H384),'原始数据'!H384,VALUE(SUBSTITUTE('原始数据'!H384,"'","")))</x:f>
        <x:v>0.1313</x:v>
      </x:c>
      <x:c r="F387" s="10" t="n">
        <x:f>'原始数据'!L384</x:f>
        <x:v>3173</x:v>
      </x:c>
      <x:c r="G387" s="9" t="n">
        <x:f>F387/'原始数据'!G384</x:f>
        <x:v>0.05783918773583186</x:v>
      </x:c>
      <x:c r="H387" s="9" t="n">
        <x:f>'原始数据'!P384/'原始数据'!O384</x:f>
        <x:v>0.15461925009663702</x:v>
      </x:c>
      <x:c r="I387" s="9" t="n">
        <x:f>F387/C387</x:f>
        <x:v>0.023325908445993134</x:v>
      </x:c>
      <x:c r="J387" s="9" t="n">
        <x:f>'原始数据'!G384/'原始数据'!F384</x:f>
        <x:v>0.01656608360196586</x:v>
      </x:c>
      <x:c r="K387" s="2" t="str">
        <x:v>待拆分产品市场</x:v>
      </x:c>
      <x:c r="L387" s="15" t="str">
        <x:v>品牌或IP需核验</x:v>
      </x:c>
      <x:c r="M387" s="2" t="str">
        <x:f>IF(AND(C387&gt;='核验与方法'!$B$7,F387&gt;='核验与方法'!$B$8,G387&gt;='核验与方法'!$B$9,D387&gt;='核验与方法'!$B$10,E387&gt;='核验与方法'!$B$11),"通过需求门槛","未通过需求门槛")</x:f>
        <x:v>通过需求门槛</x:v>
      </x:c>
      <x:c r="N387" s="2" t="str">
        <x:v>先核验风险标签</x:v>
      </x:c>
      <x:c r="O387" s="9" t="n">
        <x:f>G387-'原始数据'!J384</x:f>
        <x:v>0.000039187735831863746</x:v>
      </x:c>
      <x:c r="P387" s="2" t="str">
        <x:v>DATA HOLD</x:v>
      </x:c>
    </x:row>
    <x:row r="388" ht="48" customHeight="1">
      <x:c r="A388" s="2" t="n">
        <x:v>383</x:v>
      </x:c>
      <x:c r="B388" s="2" t="str">
        <x:v>overalls</x:v>
      </x:c>
      <x:c r="C388" s="10" t="n">
        <x:f>'原始数据'!D385</x:f>
        <x:v>135341</x:v>
      </x:c>
      <x:c r="D388" s="9" t="n">
        <x:f>IF(ISNUMBER('原始数据'!E385),'原始数据'!E385,VALUE(SUBSTITUTE('原始数据'!E385,"'","")))</x:f>
        <x:v>0.1423</x:v>
      </x:c>
      <x:c r="E388" s="9" t="n">
        <x:f>IF(ISNUMBER('原始数据'!H385),'原始数据'!H385,VALUE(SUBSTITUTE('原始数据'!H385,"'","")))</x:f>
        <x:v>0.1471</x:v>
      </x:c>
      <x:c r="F388" s="10" t="n">
        <x:f>'原始数据'!L385</x:f>
        <x:v>448</x:v>
      </x:c>
      <x:c r="G388" s="9" t="n">
        <x:f>F388/'原始数据'!G385</x:f>
        <x:v>0.012300258085772335</x:v>
      </x:c>
      <x:c r="H388" s="9" t="n">
        <x:f>'原始数据'!P385/'原始数据'!O385</x:f>
        <x:v>0.10012876641771826</x:v>
      </x:c>
      <x:c r="I388" s="9" t="n">
        <x:f>F388/C388</x:f>
        <x:v>0.003310157306359492</x:v>
      </x:c>
      <x:c r="J388" s="9" t="n">
        <x:f>'原始数据'!G385/'原始数据'!F385</x:f>
        <x:v>0.010367517124535451</x:v>
      </x:c>
      <x:c r="K388" s="2" t="str">
        <x:v>待拆分产品市场</x:v>
      </x:c>
      <x:c r="L388" s="15" t="str">
        <x:v>尺码/颜色变体及退货待核验</x:v>
      </x:c>
      <x:c r="M388" s="2" t="str">
        <x:f>IF(AND(C388&gt;='核验与方法'!$B$7,F388&gt;='核验与方法'!$B$8,G388&gt;='核验与方法'!$B$9,D388&gt;='核验与方法'!$B$10,E388&gt;='核验与方法'!$B$11),"通过需求门槛","未通过需求门槛")</x:f>
        <x:v>未通过需求门槛</x:v>
      </x:c>
      <x:c r="N388" s="2" t="str">
        <x:v>先核验风险标签</x:v>
      </x:c>
      <x:c r="O388" s="9" t="n">
        <x:f>G388-'原始数据'!J385</x:f>
        <x:v>2.5808577233492336e-7</x:v>
      </x:c>
      <x:c r="P388" s="2" t="str">
        <x:v>DATA HOLD</x:v>
      </x:c>
    </x:row>
    <x:row r="389" ht="48" customHeight="1">
      <x:c r="A389" s="2" t="n">
        <x:v>384</x:v>
      </x:c>
      <x:c r="B389" s="2" t="str">
        <x:v>small cat tree</x:v>
      </x:c>
      <x:c r="C389" s="10" t="n">
        <x:f>'原始数据'!D386</x:f>
        <x:v>135320</x:v>
      </x:c>
      <x:c r="D389" s="9" t="n">
        <x:f>IF(ISNUMBER('原始数据'!E386),'原始数据'!E386,VALUE(SUBSTITUTE('原始数据'!E386,"'","")))</x:f>
        <x:v>0.0563</x:v>
      </x:c>
      <x:c r="E389" s="9" t="n">
        <x:f>IF(ISNUMBER('原始数据'!H386),'原始数据'!H386,VALUE(SUBSTITUTE('原始数据'!H386,"'","")))</x:f>
        <x:v>0.0402</x:v>
      </x:c>
      <x:c r="F389" s="10" t="n">
        <x:f>'原始数据'!L386</x:f>
        <x:v>2439</x:v>
      </x:c>
      <x:c r="G389" s="9" t="n">
        <x:f>F389/'原始数据'!G386</x:f>
        <x:v>0.04880244912659824</x:v>
      </x:c>
      <x:c r="H389" s="9" t="n">
        <x:f>'原始数据'!P386/'原始数据'!O386</x:f>
        <x:v>0.17577369439071566</x:v>
      </x:c>
      <x:c r="I389" s="9" t="n">
        <x:f>F389/C389</x:f>
        <x:v>0.018023943245639964</x:v>
      </x:c>
      <x:c r="J389" s="9" t="n">
        <x:f>'原始数据'!G386/'原始数据'!F386</x:f>
        <x:v>0.013893873679370308</x:v>
      </x:c>
      <x:c r="K389" s="2" t="str">
        <x:v>待拆分产品市场</x:v>
      </x:c>
      <x:c r="L389" s="15" t="str">
        <x:v>体积/安装/售后成本待核验</x:v>
      </x:c>
      <x:c r="M389" s="2" t="str">
        <x:f>IF(AND(C389&gt;='核验与方法'!$B$7,F389&gt;='核验与方法'!$B$8,G389&gt;='核验与方法'!$B$9,D389&gt;='核验与方法'!$B$10,E389&gt;='核验与方法'!$B$11),"通过需求门槛","未通过需求门槛")</x:f>
        <x:v>未通过需求门槛</x:v>
      </x:c>
      <x:c r="N389" s="2" t="str">
        <x:v>先核验风险标签</x:v>
      </x:c>
      <x:c r="O389" s="9" t="n">
        <x:f>G389-'原始数据'!J386</x:f>
        <x:v>0.0000024491265982334864</x:v>
      </x:c>
      <x:c r="P389" s="2" t="str">
        <x:v>DATA HOLD</x:v>
      </x:c>
    </x:row>
    <x:row r="390" ht="48" customHeight="1">
      <x:c r="A390" s="2" t="n">
        <x:v>385</x:v>
      </x:c>
      <x:c r="B390" s="2" t="str">
        <x:v>instant hydration</x:v>
      </x:c>
      <x:c r="C390" s="10" t="n">
        <x:f>'原始数据'!D387</x:f>
        <x:v>135244</x:v>
      </x:c>
      <x:c r="D390" s="9" t="n">
        <x:f>IF(ISNUMBER('原始数据'!E387),'原始数据'!E387,VALUE(SUBSTITUTE('原始数据'!E387,"'","")))</x:f>
        <x:v>-0.0597</x:v>
      </x:c>
      <x:c r="E390" s="9" t="n">
        <x:f>IF(ISNUMBER('原始数据'!H387),'原始数据'!H387,VALUE(SUBSTITUTE('原始数据'!H387,"'","")))</x:f>
        <x:v>-0.1156</x:v>
      </x:c>
      <x:c r="F390" s="10" t="n">
        <x:f>'原始数据'!L387</x:f>
        <x:v>8258</x:v>
      </x:c>
      <x:c r="G390" s="9" t="n">
        <x:f>F390/'原始数据'!G387</x:f>
        <x:v>0.12801116106030072</x:v>
      </x:c>
      <x:c r="H390" s="9" t="n">
        <x:f>'原始数据'!P387/'原始数据'!O387</x:f>
        <x:v>0.25617338781311066</x:v>
      </x:c>
      <x:c r="I390" s="9" t="n">
        <x:f>F390/C390</x:f>
        <x:v>0.06106001005589897</x:v>
      </x:c>
      <x:c r="J390" s="9" t="n">
        <x:f>'原始数据'!G387/'原始数据'!F387</x:f>
        <x:v>0.010907830439120069</x:v>
      </x:c>
      <x:c r="K390" s="2" t="str">
        <x:v>专业供给</x:v>
      </x:c>
      <x:c r="L390" s="15" t="str">
        <x:v>食品/补剂或耗材需独立供应链</x:v>
      </x:c>
      <x:c r="M390" s="2" t="str">
        <x:f>IF(AND(C390&gt;='核验与方法'!$B$7,F390&gt;='核验与方法'!$B$8,G390&gt;='核验与方法'!$B$9,D390&gt;='核验与方法'!$B$10,E390&gt;='核验与方法'!$B$11),"通过需求门槛","未通过需求门槛")</x:f>
        <x:v>未通过需求门槛</x:v>
      </x:c>
      <x:c r="N390" s="2" t="str">
        <x:v>先核验风险标签</x:v>
      </x:c>
      <x:c r="O390" s="9" t="n">
        <x:f>G390-'原始数据'!J387</x:f>
        <x:v>0.000011161060300718395</x:v>
      </x:c>
      <x:c r="P390" s="2" t="str">
        <x:v>DATA HOLD</x:v>
      </x:c>
    </x:row>
    <x:row r="391" ht="48" customHeight="1">
      <x:c r="A391" s="2" t="n">
        <x:v>386</x:v>
      </x:c>
      <x:c r="B391" s="2" t="str">
        <x:v>floating candles</x:v>
      </x:c>
      <x:c r="C391" s="10" t="n">
        <x:f>'原始数据'!D388</x:f>
        <x:v>135221</x:v>
      </x:c>
      <x:c r="D391" s="9" t="n">
        <x:f>IF(ISNUMBER('原始数据'!E388),'原始数据'!E388,VALUE(SUBSTITUTE('原始数据'!E388,"'","")))</x:f>
        <x:v>0.4236</x:v>
      </x:c>
      <x:c r="E391" s="9" t="n">
        <x:f>IF(ISNUMBER('原始数据'!H388),'原始数据'!H388,VALUE(SUBSTITUTE('原始数据'!H388,"'","")))</x:f>
        <x:v>0.4899</x:v>
      </x:c>
      <x:c r="F391" s="10" t="n">
        <x:f>'原始数据'!L388</x:f>
        <x:v>7019</x:v>
      </x:c>
      <x:c r="G391" s="9" t="n">
        <x:f>F391/'原始数据'!G388</x:f>
        <x:v>0.10451783906129013</x:v>
      </x:c>
      <x:c r="H391" s="9" t="n">
        <x:f>'原始数据'!P388/'原始数据'!O388</x:f>
        <x:v>0.20508029012130619</x:v>
      </x:c>
      <x:c r="I391" s="9" t="n">
        <x:f>F391/C391</x:f>
        <x:v>0.0519076178995866</x:v>
      </x:c>
      <x:c r="J391" s="9" t="n">
        <x:f>'原始数据'!G388/'原始数据'!F388</x:f>
        <x:v>0.016413315618801258</x:v>
      </x:c>
      <x:c r="K391" s="2" t="str">
        <x:v>待拆分产品市场</x:v>
      </x:c>
      <x:c r="L391" s="15" t="str">
        <x:v>暂无自动识别标签，仍需核验</x:v>
      </x:c>
      <x:c r="M391" s="2" t="str">
        <x:f>IF(AND(C391&gt;='核验与方法'!$B$7,F391&gt;='核验与方法'!$B$8,G391&gt;='核验与方法'!$B$9,D391&gt;='核验与方法'!$B$10,E391&gt;='核验与方法'!$B$11),"通过需求门槛","未通过需求门槛")</x:f>
        <x:v>通过需求门槛</x:v>
      </x:c>
      <x:c r="N391" s="2" t="str">
        <x:v>待确认具体产品形态</x:v>
      </x:c>
      <x:c r="O391" s="9" t="n">
        <x:f>G391-'原始数据'!J388</x:f>
        <x:v>0.000017839061290131353</x:v>
      </x:c>
      <x:c r="P391" s="2" t="str">
        <x:v>DATA HOLD</x:v>
      </x:c>
    </x:row>
    <x:row r="392" ht="48" customHeight="1">
      <x:c r="A392" s="2" t="n">
        <x:v>387</x:v>
      </x:c>
      <x:c r="B392" s="2" t="str">
        <x:v>winter dresses for women</x:v>
      </x:c>
      <x:c r="C392" s="10" t="n">
        <x:f>'原始数据'!D389</x:f>
        <x:v>135112</x:v>
      </x:c>
      <x:c r="D392" s="9" t="n">
        <x:f>IF(ISNUMBER('原始数据'!E389),'原始数据'!E389,VALUE(SUBSTITUTE('原始数据'!E389,"'","")))</x:f>
        <x:v>1.1941</x:v>
      </x:c>
      <x:c r="E392" s="9" t="n">
        <x:f>IF(ISNUMBER('原始数据'!H389),'原始数据'!H389,VALUE(SUBSTITUTE('原始数据'!H389,"'","")))</x:f>
        <x:v>1.2127</x:v>
      </x:c>
      <x:c r="F392" s="10" t="n">
        <x:f>'原始数据'!L389</x:f>
        <x:v>213</x:v>
      </x:c>
      <x:c r="G392" s="9" t="n">
        <x:f>F392/'原始数据'!G389</x:f>
        <x:v>0.00535498793242156</x:v>
      </x:c>
      <x:c r="H392" s="9" t="n">
        <x:f>'原始数据'!P389/'原始数据'!O389</x:f>
        <x:v>0.04752553024351924</x:v>
      </x:c>
      <x:c r="I392" s="9" t="n">
        <x:f>F392/C392</x:f>
        <x:v>0.0015764698916454498</x:v>
      </x:c>
      <x:c r="J392" s="9" t="n">
        <x:f>'原始数据'!G389/'原始数据'!F389</x:f>
        <x:v>0.01389094546155544</x:v>
      </x:c>
      <x:c r="K392" s="2" t="str">
        <x:v>待拆分产品市场</x:v>
      </x:c>
      <x:c r="L392" s="15" t="str">
        <x:v>季节/事件影响待核验；尺码/颜色变体及退货待核验</x:v>
      </x:c>
      <x:c r="M392" s="2" t="str">
        <x:f>IF(AND(C392&gt;='核验与方法'!$B$7,F392&gt;='核验与方法'!$B$8,G392&gt;='核验与方法'!$B$9,D392&gt;='核验与方法'!$B$10,E392&gt;='核验与方法'!$B$11),"通过需求门槛","未通过需求门槛")</x:f>
        <x:v>未通过需求门槛</x:v>
      </x:c>
      <x:c r="N392" s="2" t="str">
        <x:v>先核验风险标签</x:v>
      </x:c>
      <x:c r="O392" s="9" t="n">
        <x:f>G392-'原始数据'!J389</x:f>
        <x:v>0.000054987932421560366</x:v>
      </x:c>
      <x:c r="P392" s="2" t="str">
        <x:v>DATA HOLD</x:v>
      </x:c>
    </x:row>
    <x:row r="393" ht="48" customHeight="1">
      <x:c r="A393" s="2" t="n">
        <x:v>388</x:v>
      </x:c>
      <x:c r="B393" s="2" t="str">
        <x:v>beef broth</x:v>
      </x:c>
      <x:c r="C393" s="10" t="n">
        <x:f>'原始数据'!D390</x:f>
        <x:v>134959</x:v>
      </x:c>
      <x:c r="D393" s="9" t="n">
        <x:f>IF(ISNUMBER('原始数据'!E390),'原始数据'!E390,VALUE(SUBSTITUTE('原始数据'!E390,"'","")))</x:f>
        <x:v>0.3061</x:v>
      </x:c>
      <x:c r="E393" s="9" t="n">
        <x:f>IF(ISNUMBER('原始数据'!H390),'原始数据'!H390,VALUE(SUBSTITUTE('原始数据'!H390,"'","")))</x:f>
        <x:v>0.3421</x:v>
      </x:c>
      <x:c r="F393" s="10" t="n">
        <x:f>'原始数据'!L390</x:f>
        <x:v>29104</x:v>
      </x:c>
      <x:c r="G393" s="9" t="n">
        <x:f>F393/'原始数据'!G390</x:f>
        <x:v>0.3727315804976756</x:v>
      </x:c>
      <x:c r="H393" s="9" t="n">
        <x:f>'原始数据'!P390/'原始数据'!O390</x:f>
        <x:v>0.4825867796998511</x:v>
      </x:c>
      <x:c r="I393" s="9" t="n">
        <x:f>F393/C393</x:f>
        <x:v>0.2156506790951326</x:v>
      </x:c>
      <x:c r="J393" s="9" t="n">
        <x:f>'原始数据'!G390/'原始数据'!F390</x:f>
        <x:v>0.02405721996968315</x:v>
      </x:c>
      <x:c r="K393" s="2" t="str">
        <x:v>专业供给</x:v>
      </x:c>
      <x:c r="L393" s="15" t="str">
        <x:v>食品/补剂或耗材需独立供应链</x:v>
      </x:c>
      <x:c r="M393" s="2" t="str">
        <x:f>IF(AND(C393&gt;='核验与方法'!$B$7,F393&gt;='核验与方法'!$B$8,G393&gt;='核验与方法'!$B$9,D393&gt;='核验与方法'!$B$10,E393&gt;='核验与方法'!$B$11),"通过需求门槛","未通过需求门槛")</x:f>
        <x:v>通过需求门槛</x:v>
      </x:c>
      <x:c r="N393" s="2" t="str">
        <x:v>先核验风险标签</x:v>
      </x:c>
      <x:c r="O393" s="9" t="n">
        <x:f>G393-'原始数据'!J390</x:f>
        <x:v>0.00003158049767559845</x:v>
      </x:c>
      <x:c r="P393" s="2" t="str">
        <x:v>DATA HOLD</x:v>
      </x:c>
    </x:row>
    <x:row r="394" ht="48" customHeight="1">
      <x:c r="A394" s="2" t="n">
        <x:v>389</x:v>
      </x:c>
      <x:c r="B394" s="2" t="str">
        <x:v>meatballs</x:v>
      </x:c>
      <x:c r="C394" s="10" t="n">
        <x:f>'原始数据'!D391</x:f>
        <x:v>134875</x:v>
      </x:c>
      <x:c r="D394" s="9" t="n">
        <x:f>IF(ISNUMBER('原始数据'!E391),'原始数据'!E391,VALUE(SUBSTITUTE('原始数据'!E391,"'","")))</x:f>
        <x:v>0.163</x:v>
      </x:c>
      <x:c r="E394" s="9" t="n">
        <x:f>IF(ISNUMBER('原始数据'!H391),'原始数据'!H391,VALUE(SUBSTITUTE('原始数据'!H391,"'","")))</x:f>
        <x:v>0.0851</x:v>
      </x:c>
      <x:c r="F394" s="10" t="n">
        <x:f>'原始数据'!L391</x:f>
        <x:v>14944</x:v>
      </x:c>
      <x:c r="G394" s="9" t="n">
        <x:f>F394/'原始数据'!G391</x:f>
        <x:v>0.3079840072544413</x:v>
      </x:c>
      <x:c r="H394" s="9" t="n">
        <x:f>'原始数据'!P391/'原始数据'!O391</x:f>
        <x:v>0.4689086096839483</x:v>
      </x:c>
      <x:c r="I394" s="9" t="n">
        <x:f>F394/C394</x:f>
        <x:v>0.11079888785912882</x:v>
      </x:c>
      <x:c r="J394" s="9" t="n">
        <x:f>'原始数据'!G391/'原始数据'!F391</x:f>
        <x:v>0.017775241120805113</x:v>
      </x:c>
      <x:c r="K394" s="2" t="str">
        <x:v>专业供给</x:v>
      </x:c>
      <x:c r="L394" s="15" t="str">
        <x:v>食品/补剂或耗材需独立供应链</x:v>
      </x:c>
      <x:c r="M394" s="2" t="str">
        <x:f>IF(AND(C394&gt;='核验与方法'!$B$7,F394&gt;='核验与方法'!$B$8,G394&gt;='核验与方法'!$B$9,D394&gt;='核验与方法'!$B$10,E394&gt;='核验与方法'!$B$11),"通过需求门槛","未通过需求门槛")</x:f>
        <x:v>通过需求门槛</x:v>
      </x:c>
      <x:c r="N394" s="2" t="str">
        <x:v>先核验风险标签</x:v>
      </x:c>
      <x:c r="O394" s="9" t="n">
        <x:f>G394-'原始数据'!J391</x:f>
        <x:v>0.00008400725444129842</x:v>
      </x:c>
      <x:c r="P394" s="2" t="str">
        <x:v>DATA HOLD</x:v>
      </x:c>
    </x:row>
    <x:row r="395" ht="48" customHeight="1">
      <x:c r="A395" s="2" t="n">
        <x:v>390</x:v>
      </x:c>
      <x:c r="B395" s="2" t="str">
        <x:v>chucky costume</x:v>
      </x:c>
      <x:c r="C395" s="10" t="n">
        <x:f>'原始数据'!D392</x:f>
        <x:v>134647</x:v>
      </x:c>
      <x:c r="D395" s="9" t="n">
        <x:f>IF(ISNUMBER('原始数据'!E392),'原始数据'!E392,VALUE(SUBSTITUTE('原始数据'!E392,"'","")))</x:f>
        <x:v>1.9587</x:v>
      </x:c>
      <x:c r="E395" s="9" t="n">
        <x:f>IF(ISNUMBER('原始数据'!H392),'原始数据'!H392,VALUE(SUBSTITUTE('原始数据'!H392,"'","")))</x:f>
        <x:v>2.0403</x:v>
      </x:c>
      <x:c r="F395" s="10" t="n">
        <x:f>'原始数据'!L392</x:f>
        <x:v>303</x:v>
      </x:c>
      <x:c r="G395" s="9" t="n">
        <x:f>F395/'原始数据'!G392</x:f>
        <x:v>0.006267841628397667</x:v>
      </x:c>
      <x:c r="H395" s="9" t="n">
        <x:f>'原始数据'!P392/'原始数据'!O392</x:f>
        <x:v>0.02334580162517735</x:v>
      </x:c>
      <x:c r="I395" s="9" t="n">
        <x:f>F395/C395</x:f>
        <x:v>0.002250328637102943</x:v>
      </x:c>
      <x:c r="J395" s="9" t="n">
        <x:f>'原始数据'!G392/'原始数据'!F392</x:f>
        <x:v>0.040507283719410266</x:v>
      </x:c>
      <x:c r="K395" s="2" t="str">
        <x:v>待拆分产品市场</x:v>
      </x:c>
      <x:c r="L395" s="15" t="str">
        <x:v>品牌或IP需核验；季节/事件影响待核验</x:v>
      </x:c>
      <x:c r="M395" s="2" t="str">
        <x:f>IF(AND(C395&gt;='核验与方法'!$B$7,F395&gt;='核验与方法'!$B$8,G395&gt;='核验与方法'!$B$9,D395&gt;='核验与方法'!$B$10,E395&gt;='核验与方法'!$B$11),"通过需求门槛","未通过需求门槛")</x:f>
        <x:v>未通过需求门槛</x:v>
      </x:c>
      <x:c r="N395" s="2" t="str">
        <x:v>先核验风险标签</x:v>
      </x:c>
      <x:c r="O395" s="9" t="n">
        <x:f>G395-'原始数据'!J392</x:f>
        <x:v>0.00006784162839766714</x:v>
      </x:c>
      <x:c r="P395" s="2" t="str">
        <x:v>DATA HOLD</x:v>
      </x:c>
    </x:row>
    <x:row r="396" ht="48" customHeight="1">
      <x:c r="A396" s="2" t="n">
        <x:v>391</x:v>
      </x:c>
      <x:c r="B396" s="2" t="str">
        <x:v>matcha whisk</x:v>
      </x:c>
      <x:c r="C396" s="10" t="n">
        <x:f>'原始数据'!D393</x:f>
        <x:v>134512</x:v>
      </x:c>
      <x:c r="D396" s="9" t="n">
        <x:f>IF(ISNUMBER('原始数据'!E393),'原始数据'!E393,VALUE(SUBSTITUTE('原始数据'!E393,"'","")))</x:f>
        <x:v>-0.0511</x:v>
      </x:c>
      <x:c r="E396" s="9" t="n">
        <x:f>IF(ISNUMBER('原始数据'!H393),'原始数据'!H393,VALUE(SUBSTITUTE('原始数据'!H393,"'","")))</x:f>
        <x:v>-0.079</x:v>
      </x:c>
      <x:c r="F396" s="10" t="n">
        <x:f>'原始数据'!L393</x:f>
        <x:v>13062</x:v>
      </x:c>
      <x:c r="G396" s="9" t="n">
        <x:f>F396/'原始数据'!G393</x:f>
        <x:v>0.20688344393936994</x:v>
      </x:c>
      <x:c r="H396" s="9" t="n">
        <x:f>'原始数据'!P393/'原始数据'!O393</x:f>
        <x:v>0.37817968291250736</x:v>
      </x:c>
      <x:c r="I396" s="9" t="n">
        <x:f>F396/C396</x:f>
        <x:v>0.09710657785179018</x:v>
      </x:c>
      <x:c r="J396" s="9" t="n">
        <x:f>'原始数据'!G393/'原始数据'!F393</x:f>
        <x:v>0.012944267911923131</x:v>
      </x:c>
      <x:c r="K396" s="2" t="str">
        <x:v>已选候选</x:v>
      </x:c>
      <x:c r="L396" s="15" t="str">
        <x:v>暂无自动识别标签，仍需核验</x:v>
      </x:c>
      <x:c r="M396" s="2" t="str">
        <x:f>IF(AND(C396&gt;='核验与方法'!$B$7,F396&gt;='核验与方法'!$B$8,G396&gt;='核验与方法'!$B$9,D396&gt;='核验与方法'!$B$10,E396&gt;='核验与方法'!$B$11),"通过需求门槛","未通过需求门槛")</x:f>
        <x:v>未通过需求门槛</x:v>
      </x:c>
      <x:c r="N396" s="2" t="str">
        <x:v>候选研究</x:v>
      </x:c>
      <x:c r="O396" s="9" t="n">
        <x:f>G396-'原始数据'!J393</x:f>
        <x:v>0.00008344393936993155</x:v>
      </x:c>
      <x:c r="P396" s="2" t="str">
        <x:v>DATA HOLD</x:v>
      </x:c>
    </x:row>
    <x:row r="397" ht="48" customHeight="1">
      <x:c r="A397" s="2" t="n">
        <x:v>392</x:v>
      </x:c>
      <x:c r="B397" s="2" t="str">
        <x:v>saltine crackers</x:v>
      </x:c>
      <x:c r="C397" s="10" t="n">
        <x:f>'原始数据'!D394</x:f>
        <x:v>134507</x:v>
      </x:c>
      <x:c r="D397" s="9" t="n">
        <x:f>IF(ISNUMBER('原始数据'!E394),'原始数据'!E394,VALUE(SUBSTITUTE('原始数据'!E394,"'","")))</x:f>
        <x:v>0.1671</x:v>
      </x:c>
      <x:c r="E397" s="9" t="n">
        <x:f>IF(ISNUMBER('原始数据'!H394),'原始数据'!H394,VALUE(SUBSTITUTE('原始数据'!H394,"'","")))</x:f>
        <x:v>0.1605</x:v>
      </x:c>
      <x:c r="F397" s="10" t="n">
        <x:f>'原始数据'!L394</x:f>
        <x:v>27022</x:v>
      </x:c>
      <x:c r="G397" s="9" t="n">
        <x:f>F397/'原始数据'!G394</x:f>
        <x:v>0.3910055130301408</x:v>
      </x:c>
      <x:c r="H397" s="9" t="n">
        <x:f>'原始数据'!P394/'原始数据'!O394</x:f>
        <x:v>0.521727544787439</x:v>
      </x:c>
      <x:c r="I397" s="9" t="n">
        <x:f>F397/C397</x:f>
        <x:v>0.20089660761149977</x:v>
      </x:c>
      <x:c r="J397" s="9" t="n">
        <x:f>'原始数据'!G394/'原始数据'!F394</x:f>
        <x:v>0.017837089345469233</x:v>
      </x:c>
      <x:c r="K397" s="2" t="str">
        <x:v>专业供给</x:v>
      </x:c>
      <x:c r="L397" s="15" t="str">
        <x:v>食品/补剂或耗材需独立供应链</x:v>
      </x:c>
      <x:c r="M397" s="2" t="str">
        <x:f>IF(AND(C397&gt;='核验与方法'!$B$7,F397&gt;='核验与方法'!$B$8,G397&gt;='核验与方法'!$B$9,D397&gt;='核验与方法'!$B$10,E397&gt;='核验与方法'!$B$11),"通过需求门槛","未通过需求门槛")</x:f>
        <x:v>通过需求门槛</x:v>
      </x:c>
      <x:c r="N397" s="2" t="str">
        <x:v>先核验风险标签</x:v>
      </x:c>
      <x:c r="O397" s="9" t="n">
        <x:f>G397-'原始数据'!J394</x:f>
        <x:v>0.000005513030140791297</x:v>
      </x:c>
      <x:c r="P397" s="2" t="str">
        <x:v>DATA HOLD</x:v>
      </x:c>
    </x:row>
    <x:row r="398" ht="48" customHeight="1">
      <x:c r="A398" s="2" t="n">
        <x:v>393</x:v>
      </x:c>
      <x:c r="B398" s="2" t="str">
        <x:v>tactical boots</x:v>
      </x:c>
      <x:c r="C398" s="10" t="n">
        <x:f>'原始数据'!D395</x:f>
        <x:v>134458</x:v>
      </x:c>
      <x:c r="D398" s="9" t="n">
        <x:f>IF(ISNUMBER('原始数据'!E395),'原始数据'!E395,VALUE(SUBSTITUTE('原始数据'!E395,"'","")))</x:f>
        <x:v>0.0158</x:v>
      </x:c>
      <x:c r="E398" s="9" t="n">
        <x:f>IF(ISNUMBER('原始数据'!H395),'原始数据'!H395,VALUE(SUBSTITUTE('原始数据'!H395,"'","")))</x:f>
        <x:v>0.0126</x:v>
      </x:c>
      <x:c r="F398" s="10" t="n">
        <x:f>'原始数据'!L395</x:f>
        <x:v>230</x:v>
      </x:c>
      <x:c r="G398" s="9" t="n">
        <x:f>F398/'原始数据'!G395</x:f>
        <x:v>0.005452433444752626</x:v>
      </x:c>
      <x:c r="H398" s="9" t="n">
        <x:f>'原始数据'!P395/'原始数据'!O395</x:f>
        <x:v>0.1050575514475061</x:v>
      </x:c>
      <x:c r="I398" s="9" t="n">
        <x:f>F398/C398</x:f>
        <x:v>0.0017105713308244953</x:v>
      </x:c>
      <x:c r="J398" s="9" t="n">
        <x:f>'原始数据'!G395/'原始数据'!F395</x:f>
        <x:v>0.01541017071998153</x:v>
      </x:c>
      <x:c r="K398" s="2" t="str">
        <x:v>待拆分产品市场</x:v>
      </x:c>
      <x:c r="L398" s="15" t="str">
        <x:v>尺码/颜色变体及退货待核验</x:v>
      </x:c>
      <x:c r="M398" s="2" t="str">
        <x:f>IF(AND(C398&gt;='核验与方法'!$B$7,F398&gt;='核验与方法'!$B$8,G398&gt;='核验与方法'!$B$9,D398&gt;='核验与方法'!$B$10,E398&gt;='核验与方法'!$B$11),"通过需求门槛","未通过需求门槛")</x:f>
        <x:v>未通过需求门槛</x:v>
      </x:c>
      <x:c r="N398" s="2" t="str">
        <x:v>先核验风险标签</x:v>
      </x:c>
      <x:c r="O398" s="9" t="n">
        <x:f>G398-'原始数据'!J395</x:f>
        <x:v>0.00005243344475262552</x:v>
      </x:c>
      <x:c r="P398" s="2" t="str">
        <x:v>DATA HOLD</x:v>
      </x:c>
    </x:row>
    <x:row r="399" ht="48" customHeight="1">
      <x:c r="A399" s="2" t="n">
        <x:v>394</x:v>
      </x:c>
      <x:c r="B399" s="2" t="str">
        <x:v>pancake batter dispenser</x:v>
      </x:c>
      <x:c r="C399" s="10" t="n">
        <x:f>'原始数据'!D396</x:f>
        <x:v>134367</x:v>
      </x:c>
      <x:c r="D399" s="9" t="n">
        <x:f>IF(ISNUMBER('原始数据'!E396),'原始数据'!E396,VALUE(SUBSTITUTE('原始数据'!E396,"'","")))</x:f>
        <x:v>0.0284</x:v>
      </x:c>
      <x:c r="E399" s="9" t="n">
        <x:f>IF(ISNUMBER('原始数据'!H396),'原始数据'!H396,VALUE(SUBSTITUTE('原始数据'!H396,"'","")))</x:f>
        <x:v>0.0486</x:v>
      </x:c>
      <x:c r="F399" s="10" t="n">
        <x:f>'原始数据'!L396</x:f>
        <x:v>7973</x:v>
      </x:c>
      <x:c r="G399" s="9" t="n">
        <x:f>F399/'原始数据'!G396</x:f>
        <x:v>0.12194114768138994</x:v>
      </x:c>
      <x:c r="H399" s="9" t="n">
        <x:f>'原始数据'!P396/'原始数据'!O396</x:f>
        <x:v>0.2461994716642576</x:v>
      </x:c>
      <x:c r="I399" s="9" t="n">
        <x:f>F399/C399</x:f>
        <x:v>0.05933748613870966</x:v>
      </x:c>
      <x:c r="J399" s="9" t="n">
        <x:f>'原始数据'!G396/'原始数据'!F396</x:f>
        <x:v>0.015338358070337716</x:v>
      </x:c>
      <x:c r="K399" s="2" t="str">
        <x:v>已选候选</x:v>
      </x:c>
      <x:c r="L399" s="15" t="str">
        <x:v>暂无自动识别标签，仍需核验</x:v>
      </x:c>
      <x:c r="M399" s="2" t="str">
        <x:f>IF(AND(C399&gt;='核验与方法'!$B$7,F399&gt;='核验与方法'!$B$8,G399&gt;='核验与方法'!$B$9,D399&gt;='核验与方法'!$B$10,E399&gt;='核验与方法'!$B$11),"通过需求门槛","未通过需求门槛")</x:f>
        <x:v>通过需求门槛</x:v>
      </x:c>
      <x:c r="N399" s="2" t="str">
        <x:v>候选研究</x:v>
      </x:c>
      <x:c r="O399" s="9" t="n">
        <x:f>G399-'原始数据'!J396</x:f>
        <x:v>0.00004114768138994973</x:v>
      </x:c>
      <x:c r="P399" s="2" t="str">
        <x:v>DATA HOLD</x:v>
      </x:c>
    </x:row>
    <x:row r="400" ht="48" customHeight="1">
      <x:c r="A400" s="2" t="n">
        <x:v>395</x:v>
      </x:c>
      <x:c r="B400" s="2" t="str">
        <x:v>popcorn bags</x:v>
      </x:c>
      <x:c r="C400" s="10" t="n">
        <x:f>'原始数据'!D397</x:f>
        <x:v>134322</x:v>
      </x:c>
      <x:c r="D400" s="9" t="n">
        <x:f>IF(ISNUMBER('原始数据'!E397),'原始数据'!E397,VALUE(SUBSTITUTE('原始数据'!E397,"'","")))</x:f>
        <x:v>0.1618</x:v>
      </x:c>
      <x:c r="E400" s="9" t="n">
        <x:f>IF(ISNUMBER('原始数据'!H397),'原始数据'!H397,VALUE(SUBSTITUTE('原始数据'!H397,"'","")))</x:f>
        <x:v>0.1539</x:v>
      </x:c>
      <x:c r="F400" s="10" t="n">
        <x:f>'原始数据'!L397</x:f>
        <x:v>10839</x:v>
      </x:c>
      <x:c r="G400" s="9" t="n">
        <x:f>F400/'原始数据'!G397</x:f>
        <x:v>0.20995234959129122</x:v>
      </x:c>
      <x:c r="H400" s="9" t="n">
        <x:f>'原始数据'!P397/'原始数据'!O397</x:f>
        <x:v>0.3614874162869637</x:v>
      </x:c>
      <x:c r="I400" s="9" t="n">
        <x:f>F400/C400</x:f>
        <x:v>0.08069415285656854</x:v>
      </x:c>
      <x:c r="J400" s="9" t="n">
        <x:f>'原始数据'!G397/'原始数据'!F397</x:f>
        <x:v>0.014782054461044565</x:v>
      </x:c>
      <x:c r="K400" s="2" t="str">
        <x:v>待拆分产品市场</x:v>
      </x:c>
      <x:c r="L400" s="15" t="str">
        <x:v>暂无自动识别标签，仍需核验</x:v>
      </x:c>
      <x:c r="M400" s="2" t="str">
        <x:f>IF(AND(C400&gt;='核验与方法'!$B$7,F400&gt;='核验与方法'!$B$8,G400&gt;='核验与方法'!$B$9,D400&gt;='核验与方法'!$B$10,E400&gt;='核验与方法'!$B$11),"通过需求门槛","未通过需求门槛")</x:f>
        <x:v>通过需求门槛</x:v>
      </x:c>
      <x:c r="N400" s="2" t="str">
        <x:v>待确认具体产品形态</x:v>
      </x:c>
      <x:c r="O400" s="9" t="n">
        <x:f>G400-'原始数据'!J397</x:f>
        <x:v>0.00005234959129121752</x:v>
      </x:c>
      <x:c r="P400" s="2" t="str">
        <x:v>DATA HOLD</x:v>
      </x:c>
    </x:row>
    <x:row r="401" ht="48" customHeight="1">
      <x:c r="A401" s="2" t="n">
        <x:v>396</x:v>
      </x:c>
      <x:c r="B401" s="2" t="str">
        <x:v>ice cream sandwiches</x:v>
      </x:c>
      <x:c r="C401" s="10" t="n">
        <x:f>'原始数据'!D398</x:f>
        <x:v>134119</x:v>
      </x:c>
      <x:c r="D401" s="9" t="n">
        <x:f>IF(ISNUMBER('原始数据'!E398),'原始数据'!E398,VALUE(SUBSTITUTE('原始数据'!E398,"'","")))</x:f>
        <x:v>-0.0345</x:v>
      </x:c>
      <x:c r="E401" s="9" t="n">
        <x:f>IF(ISNUMBER('原始数据'!H398),'原始数据'!H398,VALUE(SUBSTITUTE('原始数据'!H398,"'","")))</x:f>
        <x:v>-0.1093</x:v>
      </x:c>
      <x:c r="F401" s="10" t="n">
        <x:f>'原始数据'!L398</x:f>
        <x:v>15364</x:v>
      </x:c>
      <x:c r="G401" s="9" t="n">
        <x:f>F401/'原始数据'!G398</x:f>
        <x:v>0.32796123551134543</x:v>
      </x:c>
      <x:c r="H401" s="9" t="n">
        <x:f>'原始数据'!P398/'原始数据'!O398</x:f>
        <x:v>0.479405346426623</x:v>
      </x:c>
      <x:c r="I401" s="9" t="n">
        <x:f>F401/C401</x:f>
        <x:v>0.1145549847523468</x:v>
      </x:c>
      <x:c r="J401" s="9" t="n">
        <x:f>'原始数据'!G398/'原始数据'!F398</x:f>
        <x:v>0.01569536774407106</x:v>
      </x:c>
      <x:c r="K401" s="2" t="str">
        <x:v>专业供给</x:v>
      </x:c>
      <x:c r="L401" s="15" t="str">
        <x:v>食品/补剂或耗材需独立供应链</x:v>
      </x:c>
      <x:c r="M401" s="2" t="str">
        <x:f>IF(AND(C401&gt;='核验与方法'!$B$7,F401&gt;='核验与方法'!$B$8,G401&gt;='核验与方法'!$B$9,D401&gt;='核验与方法'!$B$10,E401&gt;='核验与方法'!$B$11),"通过需求门槛","未通过需求门槛")</x:f>
        <x:v>未通过需求门槛</x:v>
      </x:c>
      <x:c r="N401" s="2" t="str">
        <x:v>先核验风险标签</x:v>
      </x:c>
      <x:c r="O401" s="9" t="n">
        <x:f>G401-'原始数据'!J398</x:f>
        <x:v>0.00006123551134540328</x:v>
      </x:c>
      <x:c r="P401" s="2" t="str">
        <x:v>DATA HOLD</x:v>
      </x:c>
    </x:row>
    <x:row r="402" ht="48" customHeight="1">
      <x:c r="A402" s="2" t="n">
        <x:v>397</x:v>
      </x:c>
      <x:c r="B402" s="2" t="str">
        <x:v>vseebox v6 plus</x:v>
      </x:c>
      <x:c r="C402" s="10" t="n">
        <x:f>'原始数据'!D399</x:f>
        <x:v>133724</x:v>
      </x:c>
      <x:c r="D402" s="9" t="n">
        <x:f>IF(ISNUMBER('原始数据'!E399),'原始数据'!E399,VALUE(SUBSTITUTE('原始数据'!E399,"'","")))</x:f>
        <x:v>0.4199</x:v>
      </x:c>
      <x:c r="E402" s="9" t="n">
        <x:f>IF(ISNUMBER('原始数据'!H399),'原始数据'!H399,VALUE(SUBSTITUTE('原始数据'!H399,"'","")))</x:f>
        <x:v>0.7305</x:v>
      </x:c>
      <x:c r="F402" s="10" t="n">
        <x:f>'原始数据'!L399</x:f>
        <x:v>774</x:v>
      </x:c>
      <x:c r="G402" s="9" t="n">
        <x:f>F402/'原始数据'!G399</x:f>
        <x:v>0.02564017623480306</x:v>
      </x:c>
      <x:c r="H402" s="9" t="n">
        <x:f>'原始数据'!P399/'原始数据'!O399</x:f>
        <x:v>0.03481190342504211</x:v>
      </x:c>
      <x:c r="I402" s="9" t="n">
        <x:f>F402/C402</x:f>
        <x:v>0.005788041039753522</x:v>
      </x:c>
      <x:c r="J402" s="9" t="n">
        <x:f>'原始数据'!G399/'原始数据'!F399</x:f>
        <x:v>0.018006233316929868</x:v>
      </x:c>
      <x:c r="K402" s="2" t="str">
        <x:v>待拆分产品市场</x:v>
      </x:c>
      <x:c r="L402" s="15" t="str">
        <x:v>暂无自动识别标签，仍需核验</x:v>
      </x:c>
      <x:c r="M402" s="2" t="str">
        <x:f>IF(AND(C402&gt;='核验与方法'!$B$7,F402&gt;='核验与方法'!$B$8,G402&gt;='核验与方法'!$B$9,D402&gt;='核验与方法'!$B$10,E402&gt;='核验与方法'!$B$11),"通过需求门槛","未通过需求门槛")</x:f>
        <x:v>未通过需求门槛</x:v>
      </x:c>
      <x:c r="N402" s="2" t="str">
        <x:v>待确认具体产品形态</x:v>
      </x:c>
      <x:c r="O402" s="9" t="n">
        <x:f>G402-'原始数据'!J399</x:f>
        <x:v>0.00004017623480305835</x:v>
      </x:c>
      <x:c r="P402" s="2" t="str">
        <x:v>DATA HOLD</x:v>
      </x:c>
    </x:row>
    <x:row r="403" ht="48" customHeight="1">
      <x:c r="A403" s="2" t="n">
        <x:v>398</x:v>
      </x:c>
      <x:c r="B403" s="2" t="str">
        <x:v>plaid dresses for women</x:v>
      </x:c>
      <x:c r="C403" s="10" t="n">
        <x:f>'原始数据'!D400</x:f>
        <x:v>133080</x:v>
      </x:c>
      <x:c r="D403" s="9" t="n">
        <x:f>IF(ISNUMBER('原始数据'!E400),'原始数据'!E400,VALUE(SUBSTITUTE('原始数据'!E400,"'","")))</x:f>
        <x:v>1.7009</x:v>
      </x:c>
      <x:c r="E403" s="9" t="n">
        <x:f>IF(ISNUMBER('原始数据'!H400),'原始数据'!H400,VALUE(SUBSTITUTE('原始数据'!H400,"'","")))</x:f>
        <x:v>1.8141</x:v>
      </x:c>
      <x:c r="F403" s="10" t="n">
        <x:f>'原始数据'!L400</x:f>
        <x:v>237</x:v>
      </x:c>
      <x:c r="G403" s="9" t="n">
        <x:f>F403/'原始数据'!G400</x:f>
        <x:v>0.006517972553010093</x:v>
      </x:c>
      <x:c r="H403" s="9" t="n">
        <x:f>'原始数据'!P400/'原始数据'!O400</x:f>
        <x:v>0.05608591885441527</x:v>
      </x:c>
      <x:c r="I403" s="9" t="n">
        <x:f>F403/C403</x:f>
        <x:v>0.0017808836789900812</x:v>
      </x:c>
      <x:c r="J403" s="9" t="n">
        <x:f>'原始数据'!G400/'原始数据'!F400</x:f>
        <x:v>0.016496062331261403</x:v>
      </x:c>
      <x:c r="K403" s="2" t="str">
        <x:v>待拆分产品市场</x:v>
      </x:c>
      <x:c r="L403" s="15" t="str">
        <x:v>尺码/颜色变体及退货待核验</x:v>
      </x:c>
      <x:c r="M403" s="2" t="str">
        <x:f>IF(AND(C403&gt;='核验与方法'!$B$7,F403&gt;='核验与方法'!$B$8,G403&gt;='核验与方法'!$B$9,D403&gt;='核验与方法'!$B$10,E403&gt;='核验与方法'!$B$11),"通过需求门槛","未通过需求门槛")</x:f>
        <x:v>未通过需求门槛</x:v>
      </x:c>
      <x:c r="N403" s="2" t="str">
        <x:v>先核验风险标签</x:v>
      </x:c>
      <x:c r="O403" s="9" t="n">
        <x:f>G403-'原始数据'!J400</x:f>
        <x:v>0.000017972553010093227</x:v>
      </x:c>
      <x:c r="P403" s="2" t="str">
        <x:v>DATA HOLD</x:v>
      </x:c>
    </x:row>
    <x:row r="404" ht="48" customHeight="1">
      <x:c r="A404" s="2" t="n">
        <x:v>399</x:v>
      </x:c>
      <x:c r="B404" s="2" t="str">
        <x:v>chris brown and usher shirt</x:v>
      </x:c>
      <x:c r="C404" s="10" t="n">
        <x:f>'原始数据'!D401</x:f>
        <x:v>133045</x:v>
      </x:c>
      <x:c r="D404" s="9" t="n">
        <x:f>IF(ISNUMBER('原始数据'!E401),'原始数据'!E401,VALUE(SUBSTITUTE('原始数据'!E401,"'","")))</x:f>
        <x:v>0.0398</x:v>
      </x:c>
      <x:c r="E404" s="9" t="n">
        <x:f>IF(ISNUMBER('原始数据'!H401),'原始数据'!H401,VALUE(SUBSTITUTE('原始数据'!H401,"'","")))</x:f>
        <x:v>0.0759</x:v>
      </x:c>
      <x:c r="F404" s="10" t="n">
        <x:f>'原始数据'!L401</x:f>
        <x:v>808</x:v>
      </x:c>
      <x:c r="G404" s="9" t="n">
        <x:f>F404/'原始数据'!G401</x:f>
        <x:v>0.015076314512818599</x:v>
      </x:c>
      <x:c r="H404" s="9" t="n">
        <x:f>'原始数据'!P401/'原始数据'!O401</x:f>
        <x:v>0.0789144259175805</x:v>
      </x:c>
      <x:c r="I404" s="9" t="n">
        <x:f>F404/C404</x:f>
        <x:v>0.006073133150437822</x:v>
      </x:c>
      <x:c r="J404" s="9" t="n">
        <x:f>'原始数据'!G401/'原始数据'!F401</x:f>
        <x:v>0.011070770801952309</x:v>
      </x:c>
      <x:c r="K404" s="2" t="str">
        <x:v>待拆分产品市场</x:v>
      </x:c>
      <x:c r="L404" s="15" t="str">
        <x:v>尺码/颜色变体及退货待核验</x:v>
      </x:c>
      <x:c r="M404" s="2" t="str">
        <x:f>IF(AND(C404&gt;='核验与方法'!$B$7,F404&gt;='核验与方法'!$B$8,G404&gt;='核验与方法'!$B$9,D404&gt;='核验与方法'!$B$10,E404&gt;='核验与方法'!$B$11),"通过需求门槛","未通过需求门槛")</x:f>
        <x:v>未通过需求门槛</x:v>
      </x:c>
      <x:c r="N404" s="2" t="str">
        <x:v>先核验风险标签</x:v>
      </x:c>
      <x:c r="O404" s="9" t="n">
        <x:f>G404-'原始数据'!J401</x:f>
        <x:v>0.00007631451281859929</x:v>
      </x:c>
      <x:c r="P404" s="2" t="str">
        <x:v>DATA HOLD</x:v>
      </x:c>
    </x:row>
    <x:row r="405" ht="48" customHeight="1">
      <x:c r="A405" s="2" t="n">
        <x:v>400</x:v>
      </x:c>
      <x:c r="B405" s="2" t="str">
        <x:v>jumper cables</x:v>
      </x:c>
      <x:c r="C405" s="10" t="n">
        <x:f>'原始数据'!D402</x:f>
        <x:v>132787</x:v>
      </x:c>
      <x:c r="D405" s="9" t="n">
        <x:f>IF(ISNUMBER('原始数据'!E402),'原始数据'!E402,VALUE(SUBSTITUTE('原始数据'!E402,"'","")))</x:f>
        <x:v>0.0449</x:v>
      </x:c>
      <x:c r="E405" s="9" t="n">
        <x:f>IF(ISNUMBER('原始数据'!H402),'原始数据'!H402,VALUE(SUBSTITUTE('原始数据'!H402,"'","")))</x:f>
        <x:v>0.0471</x:v>
      </x:c>
      <x:c r="F405" s="10" t="n">
        <x:f>'原始数据'!L402</x:f>
        <x:v>11684</x:v>
      </x:c>
      <x:c r="G405" s="9" t="n">
        <x:f>F405/'原始数据'!G402</x:f>
        <x:v>0.19030245777480984</x:v>
      </x:c>
      <x:c r="H405" s="9" t="n">
        <x:f>'原始数据'!P402/'原始数据'!O402</x:f>
        <x:v>0.3710105052526263</x:v>
      </x:c>
      <x:c r="I405" s="9" t="n">
        <x:f>F405/C405</x:f>
        <x:v>0.08799054124274214</x:v>
      </x:c>
      <x:c r="J405" s="9" t="n">
        <x:f>'原始数据'!G402/'原始数据'!F402</x:f>
        <x:v>0.015466934034333737</x:v>
      </x:c>
      <x:c r="K405" s="2" t="str">
        <x:v>待拆分产品市场</x:v>
      </x:c>
      <x:c r="L405" s="15" t="str">
        <x:v>暂无自动识别标签，仍需核验</x:v>
      </x:c>
      <x:c r="M405" s="2" t="str">
        <x:f>IF(AND(C405&gt;='核验与方法'!$B$7,F405&gt;='核验与方法'!$B$8,G405&gt;='核验与方法'!$B$9,D405&gt;='核验与方法'!$B$10,E405&gt;='核验与方法'!$B$11),"通过需求门槛","未通过需求门槛")</x:f>
        <x:v>通过需求门槛</x:v>
      </x:c>
      <x:c r="N405" s="2" t="str">
        <x:v>待确认具体产品形态</x:v>
      </x:c>
      <x:c r="O405" s="9" t="n">
        <x:f>G405-'原始数据'!J402</x:f>
        <x:v>0.0000024577748098386643</x:v>
      </x:c>
      <x:c r="P405" s="2" t="str">
        <x:v>DATA HOLD</x:v>
      </x:c>
    </x:row>
    <x:row r="406" ht="48" customHeight="1">
      <x:c r="A406" s="2" t="n">
        <x:v>401</x:v>
      </x:c>
      <x:c r="B406" s="2" t="str">
        <x:v>mini purse</x:v>
      </x:c>
      <x:c r="C406" s="10" t="n">
        <x:f>'原始数据'!D403</x:f>
        <x:v>132749</x:v>
      </x:c>
      <x:c r="D406" s="9" t="n">
        <x:f>IF(ISNUMBER('原始数据'!E403),'原始数据'!E403,VALUE(SUBSTITUTE('原始数据'!E403,"'","")))</x:f>
        <x:v>-0.004</x:v>
      </x:c>
      <x:c r="E406" s="9" t="n">
        <x:f>IF(ISNUMBER('原始数据'!H403),'原始数据'!H403,VALUE(SUBSTITUTE('原始数据'!H403,"'","")))</x:f>
        <x:v>0.0106</x:v>
      </x:c>
      <x:c r="F406" s="10" t="n">
        <x:f>'原始数据'!L403</x:f>
        <x:v>796</x:v>
      </x:c>
      <x:c r="G406" s="9" t="n">
        <x:f>F406/'原始数据'!G403</x:f>
        <x:v>0.015221631544727885</x:v>
      </x:c>
      <x:c r="H406" s="9" t="n">
        <x:f>'原始数据'!P403/'原始数据'!O403</x:f>
        <x:v>0.08440006373824827</x:v>
      </x:c>
      <x:c r="I406" s="9" t="n">
        <x:f>F406/C406</x:f>
        <x:v>0.005996278691364907</x:v>
      </x:c>
      <x:c r="J406" s="9" t="n">
        <x:f>'原始数据'!G403/'原始数据'!F403</x:f>
        <x:v>0.012322542684365093</x:v>
      </x:c>
      <x:c r="K406" s="2" t="str">
        <x:v>待拆分产品市场</x:v>
      </x:c>
      <x:c r="L406" s="15" t="str">
        <x:v>暂无自动识别标签，仍需核验</x:v>
      </x:c>
      <x:c r="M406" s="2" t="str">
        <x:f>IF(AND(C406&gt;='核验与方法'!$B$7,F406&gt;='核验与方法'!$B$8,G406&gt;='核验与方法'!$B$9,D406&gt;='核验与方法'!$B$10,E406&gt;='核验与方法'!$B$11),"通过需求门槛","未通过需求门槛")</x:f>
        <x:v>未通过需求门槛</x:v>
      </x:c>
      <x:c r="N406" s="2" t="str">
        <x:v>待确认具体产品形态</x:v>
      </x:c>
      <x:c r="O406" s="9" t="n">
        <x:f>G406-'原始数据'!J403</x:f>
        <x:v>0.00002163154472788545</x:v>
      </x:c>
      <x:c r="P406" s="2" t="str">
        <x:v>DATA HOLD</x:v>
      </x:c>
    </x:row>
    <x:row r="407" ht="48" customHeight="1">
      <x:c r="A407" s="2" t="n">
        <x:v>402</x:v>
      </x:c>
      <x:c r="B407" s="2" t="str">
        <x:v>lsu shirts for women</x:v>
      </x:c>
      <x:c r="C407" s="10" t="n">
        <x:f>'原始数据'!D404</x:f>
        <x:v>132518</x:v>
      </x:c>
      <x:c r="D407" s="9" t="n">
        <x:f>IF(ISNUMBER('原始数据'!E404),'原始数据'!E404,VALUE(SUBSTITUTE('原始数据'!E404,"'","")))</x:f>
        <x:v>3.3945</x:v>
      </x:c>
      <x:c r="E407" s="9" t="n">
        <x:f>IF(ISNUMBER('原始数据'!H404),'原始数据'!H404,VALUE(SUBSTITUTE('原始数据'!H404,"'","")))</x:f>
        <x:v>3.4004</x:v>
      </x:c>
      <x:c r="F407" s="10" t="n">
        <x:f>'原始数据'!L404</x:f>
        <x:v>1285</x:v>
      </x:c>
      <x:c r="G407" s="9" t="n">
        <x:f>F407/'原始数据'!G404</x:f>
        <x:v>0.03858047857807668</x:v>
      </x:c>
      <x:c r="H407" s="9" t="n">
        <x:f>'原始数据'!P404/'原始数据'!O404</x:f>
        <x:v>0.14189071986123156</x:v>
      </x:c>
      <x:c r="I407" s="9" t="n">
        <x:f>F407/C407</x:f>
        <x:v>0.009696795906971128</x:v>
      </x:c>
      <x:c r="J407" s="9" t="n">
        <x:f>'原始数据'!G404/'原始数据'!F404</x:f>
        <x:v>0.021933076689051704</x:v>
      </x:c>
      <x:c r="K407" s="2" t="str">
        <x:v>待拆分产品市场</x:v>
      </x:c>
      <x:c r="L407" s="15" t="str">
        <x:v>品牌或IP需核验；尺码/颜色变体及退货待核验</x:v>
      </x:c>
      <x:c r="M407" s="2" t="str">
        <x:f>IF(AND(C407&gt;='核验与方法'!$B$7,F407&gt;='核验与方法'!$B$8,G407&gt;='核验与方法'!$B$9,D407&gt;='核验与方法'!$B$10,E407&gt;='核验与方法'!$B$11),"通过需求门槛","未通过需求门槛")</x:f>
        <x:v>未通过需求门槛</x:v>
      </x:c>
      <x:c r="N407" s="2" t="str">
        <x:v>先核验风险标签</x:v>
      </x:c>
      <x:c r="O407" s="9" t="n">
        <x:f>G407-'原始数据'!J404</x:f>
        <x:v>0.00008047857807667869</x:v>
      </x:c>
      <x:c r="P407" s="2" t="str">
        <x:v>DATA HOLD</x:v>
      </x:c>
    </x:row>
    <x:row r="408" ht="48" customHeight="1">
      <x:c r="A408" s="2" t="n">
        <x:v>403</x:v>
      </x:c>
      <x:c r="B408" s="2" t="str">
        <x:v>round brush</x:v>
      </x:c>
      <x:c r="C408" s="10" t="n">
        <x:f>'原始数据'!D405</x:f>
        <x:v>132363</x:v>
      </x:c>
      <x:c r="D408" s="9" t="n">
        <x:f>IF(ISNUMBER('原始数据'!E405),'原始数据'!E405,VALUE(SUBSTITUTE('原始数据'!E405,"'","")))</x:f>
        <x:v>0.0467</x:v>
      </x:c>
      <x:c r="E408" s="9" t="n">
        <x:f>IF(ISNUMBER('原始数据'!H405),'原始数据'!H405,VALUE(SUBSTITUTE('原始数据'!H405,"'","")))</x:f>
        <x:v>0.0467</x:v>
      </x:c>
      <x:c r="F408" s="10" t="n">
        <x:f>'原始数据'!L405</x:f>
        <x:v>7655</x:v>
      </x:c>
      <x:c r="G408" s="9" t="n">
        <x:f>F408/'原始数据'!G405</x:f>
        <x:v>0.12443512467895575</x:v>
      </x:c>
      <x:c r="H408" s="9" t="n">
        <x:f>'原始数据'!P405/'原始数据'!O405</x:f>
        <x:v>0.3302991686388737</x:v>
      </x:c>
      <x:c r="I408" s="9" t="n">
        <x:f>F408/C408</x:f>
        <x:v>0.05783338244071228</x:v>
      </x:c>
      <x:c r="J408" s="9" t="n">
        <x:f>'原始数据'!G405/'原始数据'!F405</x:f>
        <x:v>0.014246586509257456</x:v>
      </x:c>
      <x:c r="K408" s="2" t="str">
        <x:v>待拆分产品市场</x:v>
      </x:c>
      <x:c r="L408" s="15" t="str">
        <x:v>暂无自动识别标签，仍需核验</x:v>
      </x:c>
      <x:c r="M408" s="2" t="str">
        <x:f>IF(AND(C408&gt;='核验与方法'!$B$7,F408&gt;='核验与方法'!$B$8,G408&gt;='核验与方法'!$B$9,D408&gt;='核验与方法'!$B$10,E408&gt;='核验与方法'!$B$11),"通过需求门槛","未通过需求门槛")</x:f>
        <x:v>通过需求门槛</x:v>
      </x:c>
      <x:c r="N408" s="2" t="str">
        <x:v>待确认具体产品形态</x:v>
      </x:c>
      <x:c r="O408" s="9" t="n">
        <x:f>G408-'原始数据'!J405</x:f>
        <x:v>0.00003512467895575022</x:v>
      </x:c>
      <x:c r="P408" s="2" t="str">
        <x:v>DATA HOLD</x:v>
      </x:c>
    </x:row>
    <x:row r="409" ht="48" customHeight="1">
      <x:c r="A409" s="2" t="n">
        <x:v>404</x:v>
      </x:c>
      <x:c r="B409" s="2" t="str">
        <x:v>vest for women</x:v>
      </x:c>
      <x:c r="C409" s="10" t="n">
        <x:f>'原始数据'!D406</x:f>
        <x:v>132350</x:v>
      </x:c>
      <x:c r="D409" s="9" t="n">
        <x:f>IF(ISNUMBER('原始数据'!E406),'原始数据'!E406,VALUE(SUBSTITUTE('原始数据'!E406,"'","")))</x:f>
        <x:v>0.5708</x:v>
      </x:c>
      <x:c r="E409" s="9" t="n">
        <x:f>IF(ISNUMBER('原始数据'!H406),'原始数据'!H406,VALUE(SUBSTITUTE('原始数据'!H406,"'","")))</x:f>
        <x:v>0.6162</x:v>
      </x:c>
      <x:c r="F409" s="10" t="n">
        <x:f>'原始数据'!L406</x:f>
        <x:v>411</x:v>
      </x:c>
      <x:c r="G409" s="9" t="n">
        <x:f>F409/'原始数据'!G406</x:f>
        <x:v>0.010249120969551882</x:v>
      </x:c>
      <x:c r="H409" s="9" t="n">
        <x:f>'原始数据'!P406/'原始数据'!O406</x:f>
        <x:v>0.09183541017653167</x:v>
      </x:c>
      <x:c r="I409" s="9" t="n">
        <x:f>F409/C409</x:f>
        <x:v>0.003105402342274273</x:v>
      </x:c>
      <x:c r="J409" s="9" t="n">
        <x:f>'原始数据'!G406/'原始数据'!F406</x:f>
        <x:v>0.012357080523015028</x:v>
      </x:c>
      <x:c r="K409" s="2" t="str">
        <x:v>待拆分产品市场</x:v>
      </x:c>
      <x:c r="L409" s="15" t="str">
        <x:v>尺码/颜色变体及退货待核验</x:v>
      </x:c>
      <x:c r="M409" s="2" t="str">
        <x:f>IF(AND(C409&gt;='核验与方法'!$B$7,F409&gt;='核验与方法'!$B$8,G409&gt;='核验与方法'!$B$9,D409&gt;='核验与方法'!$B$10,E409&gt;='核验与方法'!$B$11),"通过需求门槛","未通过需求门槛")</x:f>
        <x:v>未通过需求门槛</x:v>
      </x:c>
      <x:c r="N409" s="2" t="str">
        <x:v>先核验风险标签</x:v>
      </x:c>
      <x:c r="O409" s="9" t="n">
        <x:f>G409-'原始数据'!J406</x:f>
        <x:v>0.00004912096955188121</x:v>
      </x:c>
      <x:c r="P409" s="2" t="str">
        <x:v>DATA HOLD</x:v>
      </x:c>
    </x:row>
    <x:row r="410" ht="48" customHeight="1">
      <x:c r="A410" s="2" t="n">
        <x:v>405</x:v>
      </x:c>
      <x:c r="B410" s="2" t="str">
        <x:v>dose liver drink</x:v>
      </x:c>
      <x:c r="C410" s="10" t="n">
        <x:f>'原始数据'!D407</x:f>
        <x:v>132189</x:v>
      </x:c>
      <x:c r="D410" s="9" t="n">
        <x:f>IF(ISNUMBER('原始数据'!E407),'原始数据'!E407,VALUE(SUBSTITUTE('原始数据'!E407,"'","")))</x:f>
        <x:v>-0.0584</x:v>
      </x:c>
      <x:c r="E410" s="9" t="n">
        <x:f>IF(ISNUMBER('原始数据'!H407),'原始数据'!H407,VALUE(SUBSTITUTE('原始数据'!H407,"'","")))</x:f>
        <x:v>-0.0068</x:v>
      </x:c>
      <x:c r="F410" s="10" t="n">
        <x:f>'原始数据'!L407</x:f>
        <x:v>11448</x:v>
      </x:c>
      <x:c r="G410" s="9" t="n">
        <x:f>F410/'原始数据'!G407</x:f>
        <x:v>0.19280842105263157</x:v>
      </x:c>
      <x:c r="H410" s="9" t="n">
        <x:f>'原始数据'!P407/'原始数据'!O407</x:f>
        <x:v>0.2596735468741276</x:v>
      </x:c>
      <x:c r="I410" s="9" t="n">
        <x:f>F410/C410</x:f>
        <x:v>0.08660327258697774</x:v>
      </x:c>
      <x:c r="J410" s="9" t="n">
        <x:f>'原始数据'!G407/'原始数据'!F407</x:f>
        <x:v>0.009884897341907404</x:v>
      </x:c>
      <x:c r="K410" s="2" t="str">
        <x:v>专业供给</x:v>
      </x:c>
      <x:c r="L410" s="15" t="str">
        <x:v>食品/补剂或耗材需独立供应链</x:v>
      </x:c>
      <x:c r="M410" s="2" t="str">
        <x:f>IF(AND(C410&gt;='核验与方法'!$B$7,F410&gt;='核验与方法'!$B$8,G410&gt;='核验与方法'!$B$9,D410&gt;='核验与方法'!$B$10,E410&gt;='核验与方法'!$B$11),"通过需求门槛","未通过需求门槛")</x:f>
        <x:v>未通过需求门槛</x:v>
      </x:c>
      <x:c r="N410" s="2" t="str">
        <x:v>先核验风险标签</x:v>
      </x:c>
      <x:c r="O410" s="9" t="n">
        <x:f>G410-'原始数据'!J407</x:f>
        <x:v>0.000008421052631574222</x:v>
      </x:c>
      <x:c r="P410" s="2" t="str">
        <x:v>DATA HOLD</x:v>
      </x:c>
    </x:row>
    <x:row r="411" ht="48" customHeight="1">
      <x:c r="A411" s="2" t="n">
        <x:v>406</x:v>
      </x:c>
      <x:c r="B411" s="2" t="str">
        <x:v>smelling salts</x:v>
      </x:c>
      <x:c r="C411" s="10" t="n">
        <x:f>'原始数据'!D408</x:f>
        <x:v>132014</x:v>
      </x:c>
      <x:c r="D411" s="9" t="n">
        <x:f>IF(ISNUMBER('原始数据'!E408),'原始数据'!E408,VALUE(SUBSTITUTE('原始数据'!E408,"'","")))</x:f>
        <x:v>0.2229</x:v>
      </x:c>
      <x:c r="E411" s="9" t="n">
        <x:f>IF(ISNUMBER('原始数据'!H408),'原始数据'!H408,VALUE(SUBSTITUTE('原始数据'!H408,"'","")))</x:f>
        <x:v>0.2152</x:v>
      </x:c>
      <x:c r="F411" s="10" t="n">
        <x:f>'原始数据'!L408</x:f>
        <x:v>7946</x:v>
      </x:c>
      <x:c r="G411" s="9" t="n">
        <x:f>F411/'原始数据'!G408</x:f>
        <x:v>0.18592788450288977</x:v>
      </x:c>
      <x:c r="H411" s="9" t="n">
        <x:f>'原始数据'!P408/'原始数据'!O408</x:f>
        <x:v>0.3489902427955525</x:v>
      </x:c>
      <x:c r="I411" s="9" t="n">
        <x:f>F411/C411</x:f>
        <x:v>0.06019058584695563</x:v>
      </x:c>
      <x:c r="J411" s="9" t="n">
        <x:f>'原始数据'!G408/'原始数据'!F408</x:f>
        <x:v>0.012335665651707444</x:v>
      </x:c>
      <x:c r="K411" s="2" t="str">
        <x:v>专业供给</x:v>
      </x:c>
      <x:c r="L411" s="15" t="str">
        <x:v>食品/补剂或耗材需独立供应链</x:v>
      </x:c>
      <x:c r="M411" s="2" t="str">
        <x:f>IF(AND(C411&gt;='核验与方法'!$B$7,F411&gt;='核验与方法'!$B$8,G411&gt;='核验与方法'!$B$9,D411&gt;='核验与方法'!$B$10,E411&gt;='核验与方法'!$B$11),"通过需求门槛","未通过需求门槛")</x:f>
        <x:v>通过需求门槛</x:v>
      </x:c>
      <x:c r="N411" s="2" t="str">
        <x:v>先核验风险标签</x:v>
      </x:c>
      <x:c r="O411" s="9" t="n">
        <x:f>G411-'原始数据'!J408</x:f>
        <x:v>0.000027884502889763407</x:v>
      </x:c>
      <x:c r="P411" s="2" t="str">
        <x:v>DATA HOLD</x:v>
      </x:c>
    </x:row>
    <x:row r="412" ht="48" customHeight="1">
      <x:c r="A412" s="2" t="n">
        <x:v>407</x:v>
      </x:c>
      <x:c r="B412" s="2" t="str">
        <x:v>syrup</x:v>
      </x:c>
      <x:c r="C412" s="10" t="n">
        <x:f>'原始数据'!D409</x:f>
        <x:v>131924</x:v>
      </x:c>
      <x:c r="D412" s="9" t="n">
        <x:f>IF(ISNUMBER('原始数据'!E409),'原始数据'!E409,VALUE(SUBSTITUTE('原始数据'!E409,"'","")))</x:f>
        <x:v>0.084</x:v>
      </x:c>
      <x:c r="E412" s="9" t="n">
        <x:f>IF(ISNUMBER('原始数据'!H409),'原始数据'!H409,VALUE(SUBSTITUTE('原始数据'!H409,"'","")))</x:f>
        <x:v>0.0786</x:v>
      </x:c>
      <x:c r="F412" s="10" t="n">
        <x:f>'原始数据'!L409</x:f>
        <x:v>19053</x:v>
      </x:c>
      <x:c r="G412" s="9" t="n">
        <x:f>F412/'原始数据'!G409</x:f>
        <x:v>0.39091897658958946</x:v>
      </x:c>
      <x:c r="H412" s="9" t="n">
        <x:f>'原始数据'!P409/'原始数据'!O409</x:f>
        <x:v>0.5411174396528343</x:v>
      </x:c>
      <x:c r="I412" s="9" t="n">
        <x:f>F412/C412</x:f>
        <x:v>0.1444240623389224</x:v>
      </x:c>
      <x:c r="J412" s="9" t="n">
        <x:f>'原始数据'!G409/'原始数据'!F409</x:f>
        <x:v>0.016674221651274454</x:v>
      </x:c>
      <x:c r="K412" s="2" t="str">
        <x:v>待拆分产品市场</x:v>
      </x:c>
      <x:c r="L412" s="15" t="str">
        <x:v>暂无自动识别标签，仍需核验</x:v>
      </x:c>
      <x:c r="M412" s="2" t="str">
        <x:f>IF(AND(C412&gt;='核验与方法'!$B$7,F412&gt;='核验与方法'!$B$8,G412&gt;='核验与方法'!$B$9,D412&gt;='核验与方法'!$B$10,E412&gt;='核验与方法'!$B$11),"通过需求门槛","未通过需求门槛")</x:f>
        <x:v>通过需求门槛</x:v>
      </x:c>
      <x:c r="N412" s="2" t="str">
        <x:v>待确认具体产品形态</x:v>
      </x:c>
      <x:c r="O412" s="9" t="n">
        <x:f>G412-'原始数据'!J409</x:f>
        <x:v>0.00001897658958943671</x:v>
      </x:c>
      <x:c r="P412" s="2" t="str">
        <x:v>DATA HOLD</x:v>
      </x:c>
    </x:row>
    <x:row r="413" ht="48" customHeight="1">
      <x:c r="A413" s="2" t="n">
        <x:v>408</x:v>
      </x:c>
      <x:c r="B413" s="2" t="str">
        <x:v>ricotta cheese</x:v>
      </x:c>
      <x:c r="C413" s="10" t="n">
        <x:f>'原始数据'!D410</x:f>
        <x:v>131906</x:v>
      </x:c>
      <x:c r="D413" s="9" t="n">
        <x:f>IF(ISNUMBER('原始数据'!E410),'原始数据'!E410,VALUE(SUBSTITUTE('原始数据'!E410,"'","")))</x:f>
        <x:v>0.1332</x:v>
      </x:c>
      <x:c r="E413" s="9" t="n">
        <x:f>IF(ISNUMBER('原始数据'!H410),'原始数据'!H410,VALUE(SUBSTITUTE('原始数据'!H410,"'","")))</x:f>
        <x:v>0.1137</x:v>
      </x:c>
      <x:c r="F413" s="10" t="n">
        <x:f>'原始数据'!L410</x:f>
        <x:v>31667</x:v>
      </x:c>
      <x:c r="G413" s="9" t="n">
        <x:f>F413/'原始数据'!G410</x:f>
        <x:v>0.4325029364363954</x:v>
      </x:c>
      <x:c r="H413" s="9" t="n">
        <x:f>'原始数据'!P410/'原始数据'!O410</x:f>
        <x:v>0.5587370211559588</x:v>
      </x:c>
      <x:c r="I413" s="9" t="n">
        <x:f>F413/C413</x:f>
        <x:v>0.24007247585401725</x:v>
      </x:c>
      <x:c r="J413" s="9" t="n">
        <x:f>'原始数据'!G410/'原始数据'!F410</x:f>
        <x:v>0.025039473643712278</x:v>
      </x:c>
      <x:c r="K413" s="2" t="str">
        <x:v>专业供给</x:v>
      </x:c>
      <x:c r="L413" s="15" t="str">
        <x:v>食品/补剂或耗材需独立供应链</x:v>
      </x:c>
      <x:c r="M413" s="2" t="str">
        <x:f>IF(AND(C413&gt;='核验与方法'!$B$7,F413&gt;='核验与方法'!$B$8,G413&gt;='核验与方法'!$B$9,D413&gt;='核验与方法'!$B$10,E413&gt;='核验与方法'!$B$11),"通过需求门槛","未通过需求门槛")</x:f>
        <x:v>通过需求门槛</x:v>
      </x:c>
      <x:c r="N413" s="2" t="str">
        <x:v>先核验风险标签</x:v>
      </x:c>
      <x:c r="O413" s="9" t="n">
        <x:f>G413-'原始数据'!J410</x:f>
        <x:v>0.000002936436395428732</x:v>
      </x:c>
      <x:c r="P413" s="2" t="str">
        <x:v>DATA HOLD</x:v>
      </x:c>
    </x:row>
    <x:row r="414" ht="48" customHeight="1">
      <x:c r="A414" s="2" t="n">
        <x:v>409</x:v>
      </x:c>
      <x:c r="B414" s="2" t="str">
        <x:v>male masterburbatar hands free</x:v>
      </x:c>
      <x:c r="C414" s="10" t="n">
        <x:f>'原始数据'!D411</x:f>
        <x:v>131776</x:v>
      </x:c>
      <x:c r="D414" s="9" t="n">
        <x:f>IF(ISNUMBER('原始数据'!E411),'原始数据'!E411,VALUE(SUBSTITUTE('原始数据'!E411,"'","")))</x:f>
        <x:v>0.0403</x:v>
      </x:c>
      <x:c r="E414" s="9" t="n">
        <x:f>IF(ISNUMBER('原始数据'!H411),'原始数据'!H411,VALUE(SUBSTITUTE('原始数据'!H411,"'","")))</x:f>
        <x:v>0.0621</x:v>
      </x:c>
      <x:c r="F414" s="10" t="n">
        <x:f>'原始数据'!L411</x:f>
        <x:v>912</x:v>
      </x:c>
      <x:c r="G414" s="9" t="n">
        <x:f>F414/'原始数据'!G411</x:f>
        <x:v>0.024216675517790758</x:v>
      </x:c>
      <x:c r="H414" s="9" t="n">
        <x:f>'原始数据'!P411/'原始数据'!O411</x:f>
        <x:v>0.08498710617782262</x:v>
      </x:c>
      <x:c r="I414" s="9" t="n">
        <x:f>F414/C414</x:f>
        <x:v>0.006920835356969403</x:v>
      </x:c>
      <x:c r="J414" s="9" t="n">
        <x:f>'原始数据'!G411/'原始数据'!F411</x:f>
        <x:v>0.02903943919799947</x:v>
      </x:c>
      <x:c r="K414" s="2" t="str">
        <x:v>待拆分产品市场</x:v>
      </x:c>
      <x:c r="L414" s="15" t="str">
        <x:v>专业类目适配与规则待核验</x:v>
      </x:c>
      <x:c r="M414" s="2" t="str">
        <x:f>IF(AND(C414&gt;='核验与方法'!$B$7,F414&gt;='核验与方法'!$B$8,G414&gt;='核验与方法'!$B$9,D414&gt;='核验与方法'!$B$10,E414&gt;='核验与方法'!$B$11),"通过需求门槛","未通过需求门槛")</x:f>
        <x:v>未通过需求门槛</x:v>
      </x:c>
      <x:c r="N414" s="2" t="str">
        <x:v>先核验风险标签</x:v>
      </x:c>
      <x:c r="O414" s="9" t="n">
        <x:f>G414-'原始数据'!J411</x:f>
        <x:v>0.000016675517790758904</x:v>
      </x:c>
      <x:c r="P414" s="2" t="str">
        <x:v>DATA HOLD</x:v>
      </x:c>
    </x:row>
    <x:row r="415" ht="48" customHeight="1">
      <x:c r="A415" s="2" t="n">
        <x:v>410</x:v>
      </x:c>
      <x:c r="B415" s="2" t="str">
        <x:v>coraline costume</x:v>
      </x:c>
      <x:c r="C415" s="10" t="n">
        <x:f>'原始数据'!D412</x:f>
        <x:v>131650</x:v>
      </x:c>
      <x:c r="D415" s="9" t="n">
        <x:f>IF(ISNUMBER('原始数据'!E412),'原始数据'!E412,VALUE(SUBSTITUTE('原始数据'!E412,"'","")))</x:f>
        <x:v>2.6743</x:v>
      </x:c>
      <x:c r="E415" s="9" t="n">
        <x:f>IF(ISNUMBER('原始数据'!H412),'原始数据'!H412,VALUE(SUBSTITUTE('原始数据'!H412,"'","")))</x:f>
        <x:v>3.055</x:v>
      </x:c>
      <x:c r="F415" s="10" t="n">
        <x:f>'原始数据'!L412</x:f>
        <x:v>633</x:v>
      </x:c>
      <x:c r="G415" s="9" t="n">
        <x:f>F415/'原始数据'!G412</x:f>
        <x:v>0.012204056450990977</x:v>
      </x:c>
      <x:c r="H415" s="9" t="n">
        <x:f>'原始数据'!P412/'原始数据'!O412</x:f>
        <x:v>0.02768729641693811</x:v>
      </x:c>
      <x:c r="I415" s="9" t="n">
        <x:f>F415/C415</x:f>
        <x:v>0.004808203570072161</x:v>
      </x:c>
      <x:c r="J415" s="9" t="n">
        <x:f>'原始数据'!G412/'原始数据'!F412</x:f>
        <x:v>0.051503560803752645</x:v>
      </x:c>
      <x:c r="K415" s="2" t="str">
        <x:v>待拆分产品市场</x:v>
      </x:c>
      <x:c r="L415" s="15" t="str">
        <x:v>季节/事件影响待核验</x:v>
      </x:c>
      <x:c r="M415" s="2" t="str">
        <x:f>IF(AND(C415&gt;='核验与方法'!$B$7,F415&gt;='核验与方法'!$B$8,G415&gt;='核验与方法'!$B$9,D415&gt;='核验与方法'!$B$10,E415&gt;='核验与方法'!$B$11),"通过需求门槛","未通过需求门槛")</x:f>
        <x:v>未通过需求门槛</x:v>
      </x:c>
      <x:c r="N415" s="2" t="str">
        <x:v>先核验风险标签</x:v>
      </x:c>
      <x:c r="O415" s="9" t="n">
        <x:f>G415-'原始数据'!J412</x:f>
        <x:v>0.000004056450990976013</x:v>
      </x:c>
      <x:c r="P415" s="2" t="str">
        <x:v>DATA HOLD</x:v>
      </x:c>
    </x:row>
    <x:row r="416" ht="48" customHeight="1">
      <x:c r="A416" s="2" t="n">
        <x:v>411</x:v>
      </x:c>
      <x:c r="B416" s="2" t="str">
        <x:v>spinach fresh</x:v>
      </x:c>
      <x:c r="C416" s="10" t="n">
        <x:f>'原始数据'!D413</x:f>
        <x:v>131489</x:v>
      </x:c>
      <x:c r="D416" s="9" t="n">
        <x:f>IF(ISNUMBER('原始数据'!E413),'原始数据'!E413,VALUE(SUBSTITUTE('原始数据'!E413,"'","")))</x:f>
        <x:v>0.0664</x:v>
      </x:c>
      <x:c r="E416" s="9" t="n">
        <x:f>IF(ISNUMBER('原始数据'!H413),'原始数据'!H413,VALUE(SUBSTITUTE('原始数据'!H413,"'","")))</x:f>
        <x:v>0.0539</x:v>
      </x:c>
      <x:c r="F416" s="10" t="n">
        <x:f>'原始数据'!L413</x:f>
        <x:v>41008</x:v>
      </x:c>
      <x:c r="G416" s="9" t="n">
        <x:f>F416/'原始数据'!G413</x:f>
        <x:v>0.5185372515300187</x:v>
      </x:c>
      <x:c r="H416" s="9" t="n">
        <x:f>'原始数据'!P413/'原始数据'!O413</x:f>
        <x:v>0.6142664988935653</x:v>
      </x:c>
      <x:c r="I416" s="9" t="n">
        <x:f>F416/C416</x:f>
        <x:v>0.3118739970643932</x:v>
      </x:c>
      <x:c r="J416" s="9" t="n">
        <x:f>'原始数据'!G413/'原始数据'!F413</x:f>
        <x:v>0.027026639099157597</x:v>
      </x:c>
      <x:c r="K416" s="2" t="str">
        <x:v>专业供给</x:v>
      </x:c>
      <x:c r="L416" s="15" t="str">
        <x:v>食品/补剂或耗材需独立供应链</x:v>
      </x:c>
      <x:c r="M416" s="2" t="str">
        <x:f>IF(AND(C416&gt;='核验与方法'!$B$7,F416&gt;='核验与方法'!$B$8,G416&gt;='核验与方法'!$B$9,D416&gt;='核验与方法'!$B$10,E416&gt;='核验与方法'!$B$11),"通过需求门槛","未通过需求门槛")</x:f>
        <x:v>通过需求门槛</x:v>
      </x:c>
      <x:c r="N416" s="2" t="str">
        <x:v>先核验风险标签</x:v>
      </x:c>
      <x:c r="O416" s="9" t="n">
        <x:f>G416-'原始数据'!J413</x:f>
        <x:v>0.00003725153001876702</x:v>
      </x:c>
      <x:c r="P416" s="2" t="str">
        <x:v>DATA HOLD</x:v>
      </x:c>
    </x:row>
    <x:row r="417" ht="48" customHeight="1">
      <x:c r="A417" s="2" t="n">
        <x:v>412</x:v>
      </x:c>
      <x:c r="B417" s="2" t="str">
        <x:v>fluffy hair shaping spray</x:v>
      </x:c>
      <x:c r="C417" s="10" t="n">
        <x:f>'原始数据'!D414</x:f>
        <x:v>131386</x:v>
      </x:c>
      <x:c r="D417" s="9" t="n">
        <x:f>IF(ISNUMBER('原始数据'!E414),'原始数据'!E414,VALUE(SUBSTITUTE('原始数据'!E414,"'","")))</x:f>
        <x:v>28.3468</x:v>
      </x:c>
      <x:c r="E417" s="9" t="n">
        <x:f>IF(ISNUMBER('原始数据'!H414),'原始数据'!H414,VALUE(SUBSTITUTE('原始数据'!H414,"'","")))</x:f>
        <x:v>30.4033</x:v>
      </x:c>
      <x:c r="F417" s="10" t="n">
        <x:f>'原始数据'!L414</x:f>
        <x:v>12062</x:v>
      </x:c>
      <x:c r="G417" s="9" t="n">
        <x:f>F417/'原始数据'!G414</x:f>
        <x:v>0.1754676907858369</x:v>
      </x:c>
      <x:c r="H417" s="9" t="n">
        <x:f>'原始数据'!P414/'原始数据'!O414</x:f>
        <x:v>0.3178391959798995</x:v>
      </x:c>
      <x:c r="I417" s="9" t="n">
        <x:f>F417/C417</x:f>
        <x:v>0.09180582406040218</x:v>
      </x:c>
      <x:c r="J417" s="9" t="n">
        <x:f>'原始数据'!G414/'原始数据'!F414</x:f>
        <x:v>0.1393756057208433</x:v>
      </x:c>
      <x:c r="K417" s="2" t="str">
        <x:v>待拆分产品市场</x:v>
      </x:c>
      <x:c r="L417" s="15" t="str">
        <x:v>暂无自动识别标签，仍需核验</x:v>
      </x:c>
      <x:c r="M417" s="2" t="str">
        <x:f>IF(AND(C417&gt;='核验与方法'!$B$7,F417&gt;='核验与方法'!$B$8,G417&gt;='核验与方法'!$B$9,D417&gt;='核验与方法'!$B$10,E417&gt;='核验与方法'!$B$11),"通过需求门槛","未通过需求门槛")</x:f>
        <x:v>通过需求门槛</x:v>
      </x:c>
      <x:c r="N417" s="2" t="str">
        <x:v>待确认具体产品形态</x:v>
      </x:c>
      <x:c r="O417" s="9" t="n">
        <x:f>G417-'原始数据'!J414</x:f>
        <x:v>0.00006769078583690469</x:v>
      </x:c>
      <x:c r="P417" s="2" t="str">
        <x:v>DATA HOLD</x:v>
      </x:c>
    </x:row>
    <x:row r="418" ht="48" customHeight="1">
      <x:c r="A418" s="2" t="n">
        <x:v>413</x:v>
      </x:c>
      <x:c r="B418" s="2" t="str">
        <x:v>pregnant halloween costume</x:v>
      </x:c>
      <x:c r="C418" s="10" t="n">
        <x:f>'原始数据'!D415</x:f>
        <x:v>131106</x:v>
      </x:c>
      <x:c r="D418" s="9" t="n">
        <x:f>IF(ISNUMBER('原始数据'!E415),'原始数据'!E415,VALUE(SUBSTITUTE('原始数据'!E415,"'","")))</x:f>
        <x:v>1.8589</x:v>
      </x:c>
      <x:c r="E418" s="9" t="n">
        <x:f>IF(ISNUMBER('原始数据'!H415),'原始数据'!H415,VALUE(SUBSTITUTE('原始数据'!H415,"'","")))</x:f>
        <x:v>2.1211</x:v>
      </x:c>
      <x:c r="F418" s="10" t="n">
        <x:f>'原始数据'!L415</x:f>
        <x:v>124</x:v>
      </x:c>
      <x:c r="G418" s="9" t="n">
        <x:f>F418/'原始数据'!G415</x:f>
        <x:v>0.0041362286934187266</x:v>
      </x:c>
      <x:c r="H418" s="9" t="n">
        <x:f>'原始数据'!P415/'原始数据'!O415</x:f>
        <x:v>0.017388825541619156</x:v>
      </x:c>
      <x:c r="I418" s="9" t="n">
        <x:f>F418/C418</x:f>
        <x:v>0.000945799582017604</x:v>
      </x:c>
      <x:c r="J418" s="9" t="n">
        <x:f>'原始数据'!G415/'原始数据'!F415</x:f>
        <x:v>0.016780555847866144</x:v>
      </x:c>
      <x:c r="K418" s="2" t="str">
        <x:v>待拆分产品市场</x:v>
      </x:c>
      <x:c r="L418" s="15" t="str">
        <x:v>季节/事件影响待核验</x:v>
      </x:c>
      <x:c r="M418" s="2" t="str">
        <x:f>IF(AND(C418&gt;='核验与方法'!$B$7,F418&gt;='核验与方法'!$B$8,G418&gt;='核验与方法'!$B$9,D418&gt;='核验与方法'!$B$10,E418&gt;='核验与方法'!$B$11),"通过需求门槛","未通过需求门槛")</x:f>
        <x:v>未通过需求门槛</x:v>
      </x:c>
      <x:c r="N418" s="2" t="str">
        <x:v>先核验风险标签</x:v>
      </x:c>
      <x:c r="O418" s="9" t="n">
        <x:f>G418-'原始数据'!J415</x:f>
        <x:v>0.00003622869341872621</x:v>
      </x:c>
      <x:c r="P418" s="2" t="str">
        <x:v>DATA HOLD</x:v>
      </x:c>
    </x:row>
    <x:row r="419" ht="48" customHeight="1">
      <x:c r="A419" s="2" t="n">
        <x:v>414</x:v>
      </x:c>
      <x:c r="B419" s="2" t="str">
        <x:v>red flats</x:v>
      </x:c>
      <x:c r="C419" s="10" t="n">
        <x:f>'原始数据'!D416</x:f>
        <x:v>131063</x:v>
      </x:c>
      <x:c r="D419" s="9" t="n">
        <x:f>IF(ISNUMBER('原始数据'!E416),'原始数据'!E416,VALUE(SUBSTITUTE('原始数据'!E416,"'","")))</x:f>
        <x:v>0.2522</x:v>
      </x:c>
      <x:c r="E419" s="9" t="n">
        <x:f>IF(ISNUMBER('原始数据'!H416),'原始数据'!H416,VALUE(SUBSTITUTE('原始数据'!H416,"'","")))</x:f>
        <x:v>0.3077</x:v>
      </x:c>
      <x:c r="F419" s="10" t="n">
        <x:f>'原始数据'!L416</x:f>
        <x:v>499</x:v>
      </x:c>
      <x:c r="G419" s="9" t="n">
        <x:f>F419/'原始数据'!G416</x:f>
        <x:v>0.014549801726148823</x:v>
      </x:c>
      <x:c r="H419" s="9" t="n">
        <x:f>'原始数据'!P416/'原始数据'!O416</x:f>
        <x:v>0.11675817256837757</x:v>
      </x:c>
      <x:c r="I419" s="9" t="n">
        <x:f>F419/C419</x:f>
        <x:v>0.0038073292996497867</x:v>
      </x:c>
      <x:c r="J419" s="9" t="n">
        <x:f>'原始数据'!G416/'原始数据'!F416</x:f>
        <x:v>0.00821329075015728</x:v>
      </x:c>
      <x:c r="K419" s="2" t="str">
        <x:v>待拆分产品市场</x:v>
      </x:c>
      <x:c r="L419" s="15" t="str">
        <x:v>尺码/颜色变体及退货待核验</x:v>
      </x:c>
      <x:c r="M419" s="2" t="str">
        <x:f>IF(AND(C419&gt;='核验与方法'!$B$7,F419&gt;='核验与方法'!$B$8,G419&gt;='核验与方法'!$B$9,D419&gt;='核验与方法'!$B$10,E419&gt;='核验与方法'!$B$11),"通过需求门槛","未通过需求门槛")</x:f>
        <x:v>未通过需求门槛</x:v>
      </x:c>
      <x:c r="N419" s="2" t="str">
        <x:v>先核验风险标签</x:v>
      </x:c>
      <x:c r="O419" s="9" t="n">
        <x:f>G419-'原始数据'!J416</x:f>
        <x:v>0.00004980172614882199</x:v>
      </x:c>
      <x:c r="P419" s="2" t="str">
        <x:v>DATA HOLD</x:v>
      </x:c>
    </x:row>
    <x:row r="420" ht="48" customHeight="1">
      <x:c r="A420" s="2" t="n">
        <x:v>415</x:v>
      </x:c>
      <x:c r="B420" s="2" t="str">
        <x:v>one piece cards</x:v>
      </x:c>
      <x:c r="C420" s="10" t="n">
        <x:f>'原始数据'!D417</x:f>
        <x:v>130993</x:v>
      </x:c>
      <x:c r="D420" s="9" t="n">
        <x:f>IF(ISNUMBER('原始数据'!E417),'原始数据'!E417,VALUE(SUBSTITUTE('原始数据'!E417,"'","")))</x:f>
        <x:v>0.0567</x:v>
      </x:c>
      <x:c r="E420" s="9" t="n">
        <x:f>IF(ISNUMBER('原始数据'!H417),'原始数据'!H417,VALUE(SUBSTITUTE('原始数据'!H417,"'","")))</x:f>
        <x:v>0.0621</x:v>
      </x:c>
      <x:c r="F420" s="10" t="n">
        <x:f>'原始数据'!L417</x:f>
        <x:v>1785</x:v>
      </x:c>
      <x:c r="G420" s="9" t="n">
        <x:f>F420/'原始数据'!G417</x:f>
        <x:v>0.03626574563185697</x:v>
      </x:c>
      <x:c r="H420" s="9" t="n">
        <x:f>'原始数据'!P417/'原始数据'!O417</x:f>
        <x:v>0.0895285428315041</x:v>
      </x:c>
      <x:c r="I420" s="9" t="n">
        <x:f>F420/C420</x:f>
        <x:v>0.013626682341804523</x:v>
      </x:c>
      <x:c r="J420" s="9" t="n">
        <x:f>'原始数据'!G417/'原始数据'!F417</x:f>
        <x:v>0.01799900241205648</x:v>
      </x:c>
      <x:c r="K420" s="2" t="str">
        <x:v>待拆分产品市场</x:v>
      </x:c>
      <x:c r="L420" s="15" t="str">
        <x:v>品牌或IP需核验</x:v>
      </x:c>
      <x:c r="M420" s="2" t="str">
        <x:f>IF(AND(C420&gt;='核验与方法'!$B$7,F420&gt;='核验与方法'!$B$8,G420&gt;='核验与方法'!$B$9,D420&gt;='核验与方法'!$B$10,E420&gt;='核验与方法'!$B$11),"通过需求门槛","未通过需求门槛")</x:f>
        <x:v>未通过需求门槛</x:v>
      </x:c>
      <x:c r="N420" s="2" t="str">
        <x:v>先核验风险标签</x:v>
      </x:c>
      <x:c r="O420" s="9" t="n">
        <x:f>G420-'原始数据'!J417</x:f>
        <x:v>0.00006574563185696852</x:v>
      </x:c>
      <x:c r="P420" s="2" t="str">
        <x:v>DATA HOLD</x:v>
      </x:c>
    </x:row>
    <x:row r="421" ht="48" customHeight="1">
      <x:c r="A421" s="2" t="n">
        <x:v>416</x:v>
      </x:c>
      <x:c r="B421" s="2" t="str">
        <x:v>burgundy purse</x:v>
      </x:c>
      <x:c r="C421" s="10" t="n">
        <x:f>'原始数据'!D418</x:f>
        <x:v>130862</x:v>
      </x:c>
      <x:c r="D421" s="9" t="n">
        <x:f>IF(ISNUMBER('原始数据'!E418),'原始数据'!E418,VALUE(SUBSTITUTE('原始数据'!E418,"'","")))</x:f>
        <x:v>1.0458</x:v>
      </x:c>
      <x:c r="E421" s="9" t="n">
        <x:f>IF(ISNUMBER('原始数据'!H418),'原始数据'!H418,VALUE(SUBSTITUTE('原始数据'!H418,"'","")))</x:f>
        <x:v>1.1052</x:v>
      </x:c>
      <x:c r="F421" s="10" t="n">
        <x:f>'原始数据'!L418</x:f>
        <x:v>1787</x:v>
      </x:c>
      <x:c r="G421" s="9" t="n">
        <x:f>F421/'原始数据'!G418</x:f>
        <x:v>0.03154679942096529</x:v>
      </x:c>
      <x:c r="H421" s="9" t="n">
        <x:f>'原始数据'!P418/'原始数据'!O418</x:f>
        <x:v>0.10284642361960689</x:v>
      </x:c>
      <x:c r="I421" s="9" t="n">
        <x:f>F421/C421</x:f>
        <x:v>0.013655606669621434</x:v>
      </x:c>
      <x:c r="J421" s="9" t="n">
        <x:f>'原始数据'!G418/'原始数据'!F418</x:f>
        <x:v>0.019694784042656385</x:v>
      </x:c>
      <x:c r="K421" s="2" t="str">
        <x:v>待拆分产品市场</x:v>
      </x:c>
      <x:c r="L421" s="15" t="str">
        <x:v>暂无自动识别标签，仍需核验</x:v>
      </x:c>
      <x:c r="M421" s="2" t="str">
        <x:f>IF(AND(C421&gt;='核验与方法'!$B$7,F421&gt;='核验与方法'!$B$8,G421&gt;='核验与方法'!$B$9,D421&gt;='核验与方法'!$B$10,E421&gt;='核验与方法'!$B$11),"通过需求门槛","未通过需求门槛")</x:f>
        <x:v>未通过需求门槛</x:v>
      </x:c>
      <x:c r="N421" s="2" t="str">
        <x:v>待确认具体产品形态</x:v>
      </x:c>
      <x:c r="O421" s="9" t="n">
        <x:f>G421-'原始数据'!J418</x:f>
        <x:v>0.00004679942096529055</x:v>
      </x:c>
      <x:c r="P421" s="2" t="str">
        <x:v>DATA HOLD</x:v>
      </x:c>
    </x:row>
    <x:row r="422" ht="48" customHeight="1">
      <x:c r="A422" s="2" t="n">
        <x:v>417</x:v>
      </x:c>
      <x:c r="B422" s="2" t="str">
        <x:v>shirts for teens</x:v>
      </x:c>
      <x:c r="C422" s="10" t="n">
        <x:f>'原始数据'!D419</x:f>
        <x:v>130804</x:v>
      </x:c>
      <x:c r="D422" s="9" t="n">
        <x:f>IF(ISNUMBER('原始数据'!E419),'原始数据'!E419,VALUE(SUBSTITUTE('原始数据'!E419,"'","")))</x:f>
        <x:v>-0.55</x:v>
      </x:c>
      <x:c r="E422" s="9" t="n">
        <x:f>IF(ISNUMBER('原始数据'!H419),'原始数据'!H419,VALUE(SUBSTITUTE('原始数据'!H419,"'","")))</x:f>
        <x:v>-0.5484</x:v>
      </x:c>
      <x:c r="F422" s="10" t="n">
        <x:f>'原始数据'!L419</x:f>
        <x:v>311</x:v>
      </x:c>
      <x:c r="G422" s="9" t="n">
        <x:f>F422/'原始数据'!G419</x:f>
        <x:v>0.009567758806337487</x:v>
      </x:c>
      <x:c r="H422" s="9" t="n">
        <x:f>'原始数据'!P419/'原始数据'!O419</x:f>
        <x:v>0.11443446304614129</x:v>
      </x:c>
      <x:c r="I422" s="9" t="n">
        <x:f>F422/C422</x:f>
        <x:v>0.0023776031314027093</x:v>
      </x:c>
      <x:c r="J422" s="9" t="n">
        <x:f>'原始数据'!G419/'原始数据'!F419</x:f>
        <x:v>0.0060948787268200535</x:v>
      </x:c>
      <x:c r="K422" s="2" t="str">
        <x:v>待拆分产品市场</x:v>
      </x:c>
      <x:c r="L422" s="15" t="str">
        <x:v>尺码/颜色变体及退货待核验</x:v>
      </x:c>
      <x:c r="M422" s="2" t="str">
        <x:f>IF(AND(C422&gt;='核验与方法'!$B$7,F422&gt;='核验与方法'!$B$8,G422&gt;='核验与方法'!$B$9,D422&gt;='核验与方法'!$B$10,E422&gt;='核验与方法'!$B$11),"通过需求门槛","未通过需求门槛")</x:f>
        <x:v>未通过需求门槛</x:v>
      </x:c>
      <x:c r="N422" s="2" t="str">
        <x:v>先核验风险标签</x:v>
      </x:c>
      <x:c r="O422" s="9" t="n">
        <x:f>G422-'原始数据'!J419</x:f>
        <x:v>0.00006775880633748746</x:v>
      </x:c>
      <x:c r="P422" s="2" t="str">
        <x:v>DATA HOLD</x:v>
      </x:c>
    </x:row>
    <x:row r="423" ht="48" customHeight="1">
      <x:c r="A423" s="2" t="n">
        <x:v>418</x:v>
      </x:c>
      <x:c r="B423" s="2" t="str">
        <x:v>baby halloween toys</x:v>
      </x:c>
      <x:c r="C423" s="10" t="n">
        <x:f>'原始数据'!D420</x:f>
        <x:v>130773</x:v>
      </x:c>
      <x:c r="D423" s="9" t="n">
        <x:f>IF(ISNUMBER('原始数据'!E420),'原始数据'!E420,VALUE(SUBSTITUTE('原始数据'!E420,"'","")))</x:f>
        <x:v>1.8727</x:v>
      </x:c>
      <x:c r="E423" s="9" t="n">
        <x:f>IF(ISNUMBER('原始数据'!H420),'原始数据'!H420,VALUE(SUBSTITUTE('原始数据'!H420,"'","")))</x:f>
        <x:v>2.0057</x:v>
      </x:c>
      <x:c r="F423" s="10" t="n">
        <x:f>'原始数据'!L420</x:f>
        <x:v>4171</x:v>
      </x:c>
      <x:c r="G423" s="9" t="n">
        <x:f>F423/'原始数据'!G420</x:f>
        <x:v>0.08613141700739273</x:v>
      </x:c>
      <x:c r="H423" s="9" t="n">
        <x:f>'原始数据'!P420/'原始数据'!O420</x:f>
        <x:v>0.1304650353705207</x:v>
      </x:c>
      <x:c r="I423" s="9" t="n">
        <x:f>F423/C423</x:f>
        <x:v>0.03189496302753626</x:v>
      </x:c>
      <x:c r="J423" s="9" t="n">
        <x:f>'原始数据'!G420/'原始数据'!F420</x:f>
        <x:v>0.027337452072240514</x:v>
      </x:c>
      <x:c r="K423" s="2" t="str">
        <x:v>待拆分产品市场</x:v>
      </x:c>
      <x:c r="L423" s="15" t="str">
        <x:v>季节/事件影响待核验</x:v>
      </x:c>
      <x:c r="M423" s="2" t="str">
        <x:f>IF(AND(C423&gt;='核验与方法'!$B$7,F423&gt;='核验与方法'!$B$8,G423&gt;='核验与方法'!$B$9,D423&gt;='核验与方法'!$B$10,E423&gt;='核验与方法'!$B$11),"通过需求门槛","未通过需求门槛")</x:f>
        <x:v>通过需求门槛</x:v>
      </x:c>
      <x:c r="N423" s="2" t="str">
        <x:v>先核验风险标签</x:v>
      </x:c>
      <x:c r="O423" s="9" t="n">
        <x:f>G423-'原始数据'!J420</x:f>
        <x:v>0.00003141700739273112</x:v>
      </x:c>
      <x:c r="P423" s="2" t="str">
        <x:v>DATA HOLD</x:v>
      </x:c>
    </x:row>
    <x:row r="424" ht="48" customHeight="1">
      <x:c r="A424" s="2" t="n">
        <x:v>419</x:v>
      </x:c>
      <x:c r="B424" s="2" t="str">
        <x:v>funny bathroom wall art</x:v>
      </x:c>
      <x:c r="C424" s="10" t="n">
        <x:f>'原始数据'!D421</x:f>
        <x:v>130456</x:v>
      </x:c>
      <x:c r="D424" s="9" t="n">
        <x:f>IF(ISNUMBER('原始数据'!E421),'原始数据'!E421,VALUE(SUBSTITUTE('原始数据'!E421,"'","")))</x:f>
        <x:v>-0.0726</x:v>
      </x:c>
      <x:c r="E424" s="9" t="n">
        <x:f>IF(ISNUMBER('原始数据'!H421),'原始数据'!H421,VALUE(SUBSTITUTE('原始数据'!H421,"'","")))</x:f>
        <x:v>-0.0391</x:v>
      </x:c>
      <x:c r="F424" s="10" t="n">
        <x:f>'原始数据'!L421</x:f>
        <x:v>1346</x:v>
      </x:c>
      <x:c r="G424" s="9" t="n">
        <x:f>F424/'原始数据'!G421</x:f>
        <x:v>0.02779441220806575</x:v>
      </x:c>
      <x:c r="H424" s="9" t="n">
        <x:f>'原始数据'!P421/'原始数据'!O421</x:f>
        <x:v>0.09471825333119281</x:v>
      </x:c>
      <x:c r="I424" s="9" t="n">
        <x:f>F424/C424</x:f>
        <x:v>0.010317654994787515</x:v>
      </x:c>
      <x:c r="J424" s="9" t="n">
        <x:f>'原始数据'!G421/'原始数据'!F421</x:f>
        <x:v>0.010199536179846464</x:v>
      </x:c>
      <x:c r="K424" s="2" t="str">
        <x:v>待拆分产品市场</x:v>
      </x:c>
      <x:c r="L424" s="15" t="str">
        <x:v>暂无自动识别标签，仍需核验</x:v>
      </x:c>
      <x:c r="M424" s="2" t="str">
        <x:f>IF(AND(C424&gt;='核验与方法'!$B$7,F424&gt;='核验与方法'!$B$8,G424&gt;='核验与方法'!$B$9,D424&gt;='核验与方法'!$B$10,E424&gt;='核验与方法'!$B$11),"通过需求门槛","未通过需求门槛")</x:f>
        <x:v>未通过需求门槛</x:v>
      </x:c>
      <x:c r="N424" s="2" t="str">
        <x:v>待确认具体产品形态</x:v>
      </x:c>
      <x:c r="O424" s="9" t="n">
        <x:f>G424-'原始数据'!J421</x:f>
        <x:v>0.00009441220806575071</x:v>
      </x:c>
      <x:c r="P424" s="2" t="str">
        <x:v>DATA HOLD</x:v>
      </x:c>
    </x:row>
    <x:row r="425" ht="48" customHeight="1">
      <x:c r="A425" s="2" t="n">
        <x:v>420</x:v>
      </x:c>
      <x:c r="B425" s="2" t="str">
        <x:v>low calorie snacks</x:v>
      </x:c>
      <x:c r="C425" s="10" t="n">
        <x:f>'原始数据'!D422</x:f>
        <x:v>130311</x:v>
      </x:c>
      <x:c r="D425" s="9" t="n">
        <x:f>IF(ISNUMBER('原始数据'!E422),'原始数据'!E422,VALUE(SUBSTITUTE('原始数据'!E422,"'","")))</x:f>
        <x:v>0.0624</x:v>
      </x:c>
      <x:c r="E425" s="9" t="n">
        <x:f>IF(ISNUMBER('原始数据'!H422),'原始数据'!H422,VALUE(SUBSTITUTE('原始数据'!H422,"'","")))</x:f>
        <x:v>0.0357</x:v>
      </x:c>
      <x:c r="F425" s="10" t="n">
        <x:f>'原始数据'!L422</x:f>
        <x:v>4686</x:v>
      </x:c>
      <x:c r="G425" s="9" t="n">
        <x:f>F425/'原始数据'!G422</x:f>
        <x:v>0.08904682274247491</x:v>
      </x:c>
      <x:c r="H425" s="9" t="n">
        <x:f>'原始数据'!P422/'原始数据'!O422</x:f>
        <x:v>0.20699658703071672</x:v>
      </x:c>
      <x:c r="I425" s="9" t="n">
        <x:f>F425/C425</x:f>
        <x:v>0.03596012615972558</x:v>
      </x:c>
      <x:c r="J425" s="9" t="n">
        <x:f>'原始数据'!G422/'原始数据'!F422</x:f>
        <x:v>0.012426255707331264</x:v>
      </x:c>
      <x:c r="K425" s="2" t="str">
        <x:v>专业供给</x:v>
      </x:c>
      <x:c r="L425" s="15" t="str">
        <x:v>食品/补剂或耗材需独立供应链</x:v>
      </x:c>
      <x:c r="M425" s="2" t="str">
        <x:f>IF(AND(C425&gt;='核验与方法'!$B$7,F425&gt;='核验与方法'!$B$8,G425&gt;='核验与方法'!$B$9,D425&gt;='核验与方法'!$B$10,E425&gt;='核验与方法'!$B$11),"通过需求门槛","未通过需求门槛")</x:f>
        <x:v>通过需求门槛</x:v>
      </x:c>
      <x:c r="N425" s="2" t="str">
        <x:v>先核验风险标签</x:v>
      </x:c>
      <x:c r="O425" s="9" t="n">
        <x:f>G425-'原始数据'!J422</x:f>
        <x:v>0.0000468227424749168</x:v>
      </x:c>
      <x:c r="P425" s="2" t="str">
        <x:v>DATA HOLD</x:v>
      </x:c>
    </x:row>
    <x:row r="426" ht="48" customHeight="1">
      <x:c r="A426" s="2" t="n">
        <x:v>421</x:v>
      </x:c>
      <x:c r="B426" s="2" t="str">
        <x:v>moissanite rings for women</x:v>
      </x:c>
      <x:c r="C426" s="10" t="n">
        <x:f>'原始数据'!D423</x:f>
        <x:v>130260</x:v>
      </x:c>
      <x:c r="D426" s="9" t="n">
        <x:f>IF(ISNUMBER('原始数据'!E423),'原始数据'!E423,VALUE(SUBSTITUTE('原始数据'!E423,"'","")))</x:f>
        <x:v>-0.1655</x:v>
      </x:c>
      <x:c r="E426" s="9" t="n">
        <x:f>IF(ISNUMBER('原始数据'!H423),'原始数据'!H423,VALUE(SUBSTITUTE('原始数据'!H423,"'","")))</x:f>
        <x:v>-0.1515</x:v>
      </x:c>
      <x:c r="F426" s="10" t="n">
        <x:f>'原始数据'!L423</x:f>
        <x:v>186</x:v>
      </x:c>
      <x:c r="G426" s="9" t="n">
        <x:f>F426/'原始数据'!G423</x:f>
        <x:v>0.003890806401004079</x:v>
      </x:c>
      <x:c r="H426" s="9" t="n">
        <x:f>'原始数据'!P423/'原始数据'!O423</x:f>
        <x:v>0.06157990352690597</x:v>
      </x:c>
      <x:c r="I426" s="9" t="n">
        <x:f>F426/C426</x:f>
        <x:v>0.0014279134039613083</x:v>
      </x:c>
      <x:c r="J426" s="9" t="n">
        <x:f>'原始数据'!G423/'原始数据'!F423</x:f>
        <x:v>0.010108673794016502</x:v>
      </x:c>
      <x:c r="K426" s="2" t="str">
        <x:v>待拆分产品市场</x:v>
      </x:c>
      <x:c r="L426" s="15" t="str">
        <x:v>暂无自动识别标签，仍需核验</x:v>
      </x:c>
      <x:c r="M426" s="2" t="str">
        <x:f>IF(AND(C426&gt;='核验与方法'!$B$7,F426&gt;='核验与方法'!$B$8,G426&gt;='核验与方法'!$B$9,D426&gt;='核验与方法'!$B$10,E426&gt;='核验与方法'!$B$11),"通过需求门槛","未通过需求门槛")</x:f>
        <x:v>未通过需求门槛</x:v>
      </x:c>
      <x:c r="N426" s="2" t="str">
        <x:v>待确认具体产品形态</x:v>
      </x:c>
      <x:c r="O426" s="9" t="n">
        <x:f>G426-'原始数据'!J423</x:f>
        <x:v>0.00009080640100407903</x:v>
      </x:c>
      <x:c r="P426" s="2" t="str">
        <x:v>DATA HOLD</x:v>
      </x:c>
    </x:row>
    <x:row r="427" ht="48" customHeight="1">
      <x:c r="A427" s="2" t="n">
        <x:v>422</x:v>
      </x:c>
      <x:c r="B427" s="2" t="str">
        <x:v>chicken drumsticks</x:v>
      </x:c>
      <x:c r="C427" s="10" t="n">
        <x:f>'原始数据'!D424</x:f>
        <x:v>130167</x:v>
      </x:c>
      <x:c r="D427" s="9" t="n">
        <x:f>IF(ISNUMBER('原始数据'!E424),'原始数据'!E424,VALUE(SUBSTITUTE('原始数据'!E424,"'","")))</x:f>
        <x:v>0.3743</x:v>
      </x:c>
      <x:c r="E427" s="9" t="n">
        <x:f>IF(ISNUMBER('原始数据'!H424),'原始数据'!H424,VALUE(SUBSTITUTE('原始数据'!H424,"'","")))</x:f>
        <x:v>0.1704</x:v>
      </x:c>
      <x:c r="F427" s="10" t="n">
        <x:f>'原始数据'!L424</x:f>
        <x:v>14605</x:v>
      </x:c>
      <x:c r="G427" s="9" t="n">
        <x:f>F427/'原始数据'!G424</x:f>
        <x:v>0.3505508484746658</x:v>
      </x:c>
      <x:c r="H427" s="9" t="n">
        <x:f>'原始数据'!P424/'原始数据'!O424</x:f>
        <x:v>0.5066097782751626</x:v>
      </x:c>
      <x:c r="I427" s="9" t="n">
        <x:f>F427/C427</x:f>
        <x:v>0.11220201740840613</x:v>
      </x:c>
      <x:c r="J427" s="9" t="n">
        <x:f>'原始数据'!G424/'原始数据'!F424</x:f>
        <x:v>0.02367553554512604</x:v>
      </x:c>
      <x:c r="K427" s="2" t="str">
        <x:v>专业供给</x:v>
      </x:c>
      <x:c r="L427" s="15" t="str">
        <x:v>食品/补剂或耗材需独立供应链</x:v>
      </x:c>
      <x:c r="M427" s="2" t="str">
        <x:f>IF(AND(C427&gt;='核验与方法'!$B$7,F427&gt;='核验与方法'!$B$8,G427&gt;='核验与方法'!$B$9,D427&gt;='核验与方法'!$B$10,E427&gt;='核验与方法'!$B$11),"通过需求门槛","未通过需求门槛")</x:f>
        <x:v>通过需求门槛</x:v>
      </x:c>
      <x:c r="N427" s="2" t="str">
        <x:v>先核验风险标签</x:v>
      </x:c>
      <x:c r="O427" s="9" t="n">
        <x:f>G427-'原始数据'!J424</x:f>
        <x:v>0.00005084847466579889</x:v>
      </x:c>
      <x:c r="P427" s="2" t="str">
        <x:v>DATA HOLD</x:v>
      </x:c>
    </x:row>
    <x:row r="428" ht="48" customHeight="1">
      <x:c r="A428" s="2" t="n">
        <x:v>423</x:v>
      </x:c>
      <x:c r="B428" s="2" t="str">
        <x:v>mens sunglasses polarized</x:v>
      </x:c>
      <x:c r="C428" s="10" t="n">
        <x:f>'原始数据'!D425</x:f>
        <x:v>130014</x:v>
      </x:c>
      <x:c r="D428" s="9" t="n">
        <x:f>IF(ISNUMBER('原始数据'!E425),'原始数据'!E425,VALUE(SUBSTITUTE('原始数据'!E425,"'","")))</x:f>
        <x:v>-0.1373</x:v>
      </x:c>
      <x:c r="E428" s="9" t="n">
        <x:f>IF(ISNUMBER('原始数据'!H425),'原始数据'!H425,VALUE(SUBSTITUTE('原始数据'!H425,"'","")))</x:f>
        <x:v>-0.1736</x:v>
      </x:c>
      <x:c r="F428" s="10" t="n">
        <x:f>'原始数据'!L425</x:f>
        <x:v>4196</x:v>
      </x:c>
      <x:c r="G428" s="9" t="n">
        <x:f>F428/'原始数据'!G425</x:f>
        <x:v>0.0813162535609775</x:v>
      </x:c>
      <x:c r="H428" s="9" t="n">
        <x:f>'原始数据'!P425/'原始数据'!O425</x:f>
        <x:v>0.3141922725889869</x:v>
      </x:c>
      <x:c r="I428" s="9" t="n">
        <x:f>F428/C428</x:f>
        <x:v>0.03227344747488732</x:v>
      </x:c>
      <x:c r="J428" s="9" t="n">
        <x:f>'原始数据'!G425/'原始数据'!F425</x:f>
        <x:v>0.009708595383501842</x:v>
      </x:c>
      <x:c r="K428" s="2" t="str">
        <x:v>待拆分产品市场</x:v>
      </x:c>
      <x:c r="L428" s="15" t="str">
        <x:v>暂无自动识别标签，仍需核验</x:v>
      </x:c>
      <x:c r="M428" s="2" t="str">
        <x:f>IF(AND(C428&gt;='核验与方法'!$B$7,F428&gt;='核验与方法'!$B$8,G428&gt;='核验与方法'!$B$9,D428&gt;='核验与方法'!$B$10,E428&gt;='核验与方法'!$B$11),"通过需求门槛","未通过需求门槛")</x:f>
        <x:v>未通过需求门槛</x:v>
      </x:c>
      <x:c r="N428" s="2" t="str">
        <x:v>待确认具体产品形态</x:v>
      </x:c>
      <x:c r="O428" s="9" t="n">
        <x:f>G428-'原始数据'!J425</x:f>
        <x:v>0.000016253560977508297</x:v>
      </x:c>
      <x:c r="P428" s="2" t="str">
        <x:v>DATA HOLD</x:v>
      </x:c>
    </x:row>
    <x:row r="429" ht="48" customHeight="1">
      <x:c r="A429" s="2" t="n">
        <x:v>424</x:v>
      </x:c>
      <x:c r="B429" s="2" t="str">
        <x:v>3d printer stand</x:v>
      </x:c>
      <x:c r="C429" s="10" t="n">
        <x:f>'原始数据'!D426</x:f>
        <x:v>129947</x:v>
      </x:c>
      <x:c r="D429" s="9" t="n">
        <x:f>IF(ISNUMBER('原始数据'!E426),'原始数据'!E426,VALUE(SUBSTITUTE('原始数据'!E426,"'","")))</x:f>
        <x:v>0.1077</x:v>
      </x:c>
      <x:c r="E429" s="9" t="n">
        <x:f>IF(ISNUMBER('原始数据'!H426),'原始数据'!H426,VALUE(SUBSTITUTE('原始数据'!H426,"'","")))</x:f>
        <x:v>0.1204</x:v>
      </x:c>
      <x:c r="F429" s="10" t="n">
        <x:f>'原始数据'!L426</x:f>
        <x:v>1541</x:v>
      </x:c>
      <x:c r="G429" s="9" t="n">
        <x:f>F429/'原始数据'!G426</x:f>
        <x:v>0.03237599008340862</x:v>
      </x:c>
      <x:c r="H429" s="9" t="n">
        <x:f>'原始数据'!P426/'原始数据'!O426</x:f>
        <x:v>0.10651533340608971</x:v>
      </x:c>
      <x:c r="I429" s="9" t="n">
        <x:f>F429/C429</x:f>
        <x:v>0.011858680846806776</x:v>
      </x:c>
      <x:c r="J429" s="9" t="n">
        <x:f>'原始数据'!G426/'原始数据'!F426</x:f>
        <x:v>0.013944696418594608</x:v>
      </x:c>
      <x:c r="K429" s="2" t="str">
        <x:v>待拆分产品市场</x:v>
      </x:c>
      <x:c r="L429" s="15" t="str">
        <x:v>体积/安装/售后成本待核验</x:v>
      </x:c>
      <x:c r="M429" s="2" t="str">
        <x:f>IF(AND(C429&gt;='核验与方法'!$B$7,F429&gt;='核验与方法'!$B$8,G429&gt;='核验与方法'!$B$9,D429&gt;='核验与方法'!$B$10,E429&gt;='核验与方法'!$B$11),"通过需求门槛","未通过需求门槛")</x:f>
        <x:v>未通过需求门槛</x:v>
      </x:c>
      <x:c r="N429" s="2" t="str">
        <x:v>先核验风险标签</x:v>
      </x:c>
      <x:c r="O429" s="9" t="n">
        <x:f>G429-'原始数据'!J426</x:f>
        <x:v>0.00007599008340861829</x:v>
      </x:c>
      <x:c r="P429" s="2" t="str">
        <x:v>DATA HOLD</x:v>
      </x:c>
    </x:row>
    <x:row r="430" ht="48" customHeight="1">
      <x:c r="A430" s="2" t="n">
        <x:v>425</x:v>
      </x:c>
      <x:c r="B430" s="2" t="str">
        <x:v>yellow top</x:v>
      </x:c>
      <x:c r="C430" s="10" t="n">
        <x:f>'原始数据'!D427</x:f>
        <x:v>129926</x:v>
      </x:c>
      <x:c r="D430" s="9" t="n">
        <x:f>IF(ISNUMBER('原始数据'!E427),'原始数据'!E427,VALUE(SUBSTITUTE('原始数据'!E427,"'","")))</x:f>
        <x:v>0.0449</x:v>
      </x:c>
      <x:c r="E430" s="9" t="n">
        <x:f>IF(ISNUMBER('原始数据'!H427),'原始数据'!H427,VALUE(SUBSTITUTE('原始数据'!H427,"'","")))</x:f>
        <x:v>0.0871</x:v>
      </x:c>
      <x:c r="F430" s="10" t="n">
        <x:f>'原始数据'!L427</x:f>
        <x:v>647</x:v>
      </x:c>
      <x:c r="G430" s="9" t="n">
        <x:f>F430/'原始数据'!G427</x:f>
        <x:v>0.02111894503198851</x:v>
      </x:c>
      <x:c r="H430" s="9" t="n">
        <x:f>'原始数据'!P427/'原始数据'!O427</x:f>
        <x:v>0.12059894779441521</x:v>
      </x:c>
      <x:c r="I430" s="9" t="n">
        <x:f>F430/C430</x:f>
        <x:v>0.004979757708233918</x:v>
      </x:c>
      <x:c r="J430" s="9" t="n">
        <x:f>'原始数据'!G427/'原始数据'!F427</x:f>
        <x:v>0.008278400255085841</x:v>
      </x:c>
      <x:c r="K430" s="2" t="str">
        <x:v>待拆分产品市场</x:v>
      </x:c>
      <x:c r="L430" s="15" t="str">
        <x:v>尺码/颜色变体及退货待核验</x:v>
      </x:c>
      <x:c r="M430" s="2" t="str">
        <x:f>IF(AND(C430&gt;='核验与方法'!$B$7,F430&gt;='核验与方法'!$B$8,G430&gt;='核验与方法'!$B$9,D430&gt;='核验与方法'!$B$10,E430&gt;='核验与方法'!$B$11),"通过需求门槛","未通过需求门槛")</x:f>
        <x:v>未通过需求门槛</x:v>
      </x:c>
      <x:c r="N430" s="2" t="str">
        <x:v>先核验风险标签</x:v>
      </x:c>
      <x:c r="O430" s="9" t="n">
        <x:f>G430-'原始数据'!J427</x:f>
        <x:v>0.000018945031988508443</x:v>
      </x:c>
      <x:c r="P430" s="2" t="str">
        <x:v>DATA HOLD</x:v>
      </x:c>
    </x:row>
    <x:row r="431" ht="48" customHeight="1">
      <x:c r="A431" s="2" t="n">
        <x:v>426</x:v>
      </x:c>
      <x:c r="B431" s="2" t="str">
        <x:v>baking powder</x:v>
      </x:c>
      <x:c r="C431" s="10" t="n">
        <x:f>'原始数据'!D428</x:f>
        <x:v>129634</x:v>
      </x:c>
      <x:c r="D431" s="9" t="n">
        <x:f>IF(ISNUMBER('原始数据'!E428),'原始数据'!E428,VALUE(SUBSTITUTE('原始数据'!E428,"'","")))</x:f>
        <x:v>0.1917</x:v>
      </x:c>
      <x:c r="E431" s="9" t="n">
        <x:f>IF(ISNUMBER('原始数据'!H428),'原始数据'!H428,VALUE(SUBSTITUTE('原始数据'!H428,"'","")))</x:f>
        <x:v>0.1973</x:v>
      </x:c>
      <x:c r="F431" s="10" t="n">
        <x:f>'原始数据'!L428</x:f>
        <x:v>26954</x:v>
      </x:c>
      <x:c r="G431" s="9" t="n">
        <x:f>F431/'原始数据'!G428</x:f>
        <x:v>0.3607527169548691</x:v>
      </x:c>
      <x:c r="H431" s="9" t="n">
        <x:f>'原始数据'!P428/'原始数据'!O428</x:f>
        <x:v>0.5011140522938051</x:v>
      </x:c>
      <x:c r="I431" s="9" t="n">
        <x:f>F431/C431</x:f>
        <x:v>0.20792384713886788</x:v>
      </x:c>
      <x:c r="J431" s="9" t="n">
        <x:f>'原始数据'!G428/'原始数据'!F428</x:f>
        <x:v>0.020396285668112392</x:v>
      </x:c>
      <x:c r="K431" s="2" t="str">
        <x:v>专业供给</x:v>
      </x:c>
      <x:c r="L431" s="15" t="str">
        <x:v>食品/补剂或耗材需独立供应链</x:v>
      </x:c>
      <x:c r="M431" s="2" t="str">
        <x:f>IF(AND(C431&gt;='核验与方法'!$B$7,F431&gt;='核验与方法'!$B$8,G431&gt;='核验与方法'!$B$9,D431&gt;='核验与方法'!$B$10,E431&gt;='核验与方法'!$B$11),"通过需求门槛","未通过需求门槛")</x:f>
        <x:v>通过需求门槛</x:v>
      </x:c>
      <x:c r="N431" s="2" t="str">
        <x:v>先核验风险标签</x:v>
      </x:c>
      <x:c r="O431" s="9" t="n">
        <x:f>G431-'原始数据'!J428</x:f>
        <x:v>0.0000527169548690809</x:v>
      </x:c>
      <x:c r="P431" s="2" t="str">
        <x:v>DATA HOLD</x:v>
      </x:c>
    </x:row>
    <x:row r="432" ht="48" customHeight="1">
      <x:c r="A432" s="2" t="n">
        <x:v>427</x:v>
      </x:c>
      <x:c r="B432" s="2" t="str">
        <x:v>cookie jar</x:v>
      </x:c>
      <x:c r="C432" s="10" t="n">
        <x:f>'原始数据'!D429</x:f>
        <x:v>129291</x:v>
      </x:c>
      <x:c r="D432" s="9" t="n">
        <x:f>IF(ISNUMBER('原始数据'!E429),'原始数据'!E429,VALUE(SUBSTITUTE('原始数据'!E429,"'","")))</x:f>
        <x:v>0.0603</x:v>
      </x:c>
      <x:c r="E432" s="9" t="n">
        <x:f>IF(ISNUMBER('原始数据'!H429),'原始数据'!H429,VALUE(SUBSTITUTE('原始数据'!H429,"'","")))</x:f>
        <x:v>0.0893</x:v>
      </x:c>
      <x:c r="F432" s="10" t="n">
        <x:f>'原始数据'!L429</x:f>
        <x:v>1523</x:v>
      </x:c>
      <x:c r="G432" s="9" t="n">
        <x:f>F432/'原始数据'!G429</x:f>
        <x:v>0.042305555555555555</x:v>
      </x:c>
      <x:c r="H432" s="9" t="n">
        <x:f>'原始数据'!P429/'原始数据'!O429</x:f>
        <x:v>0.12131288872467516</x:v>
      </x:c>
      <x:c r="I432" s="9" t="n">
        <x:f>F432/C432</x:f>
        <x:v>0.011779628899149979</x:v>
      </x:c>
      <x:c r="J432" s="9" t="n">
        <x:f>'原始数据'!G429/'原始数据'!F429</x:f>
        <x:v>0.009437041173024218</x:v>
      </x:c>
      <x:c r="K432" s="2" t="str">
        <x:v>待拆分产品市场</x:v>
      </x:c>
      <x:c r="L432" s="15" t="str">
        <x:v>暂无自动识别标签，仍需核验</x:v>
      </x:c>
      <x:c r="M432" s="2" t="str">
        <x:f>IF(AND(C432&gt;='核验与方法'!$B$7,F432&gt;='核验与方法'!$B$8,G432&gt;='核验与方法'!$B$9,D432&gt;='核验与方法'!$B$10,E432&gt;='核验与方法'!$B$11),"通过需求门槛","未通过需求门槛")</x:f>
        <x:v>未通过需求门槛</x:v>
      </x:c>
      <x:c r="N432" s="2" t="str">
        <x:v>待确认具体产品形态</x:v>
      </x:c>
      <x:c r="O432" s="9" t="n">
        <x:f>G432-'原始数据'!J429</x:f>
        <x:v>0.000005555555555557257</x:v>
      </x:c>
      <x:c r="P432" s="2" t="str">
        <x:v>DATA HOLD</x:v>
      </x:c>
    </x:row>
    <x:row r="433" ht="48" customHeight="1">
      <x:c r="A433" s="2" t="n">
        <x:v>428</x:v>
      </x:c>
      <x:c r="B433" s="2" t="str">
        <x:v>heavy cream powder</x:v>
      </x:c>
      <x:c r="C433" s="10" t="n">
        <x:f>'原始数据'!D430</x:f>
        <x:v>129158</x:v>
      </x:c>
      <x:c r="D433" s="9" t="n">
        <x:f>IF(ISNUMBER('原始数据'!E430),'原始数据'!E430,VALUE(SUBSTITUTE('原始数据'!E430,"'","")))</x:f>
        <x:v>1.3326</x:v>
      </x:c>
      <x:c r="E433" s="9" t="n">
        <x:f>IF(ISNUMBER('原始数据'!H430),'原始数据'!H430,VALUE(SUBSTITUTE('原始数据'!H430,"'","")))</x:f>
        <x:v>1.2863</x:v>
      </x:c>
      <x:c r="F433" s="10" t="n">
        <x:f>'原始数据'!L430</x:f>
        <x:v>5853</x:v>
      </x:c>
      <x:c r="G433" s="9" t="n">
        <x:f>F433/'原始数据'!G430</x:f>
        <x:v>0.08305779846457308</x:v>
      </x:c>
      <x:c r="H433" s="9" t="n">
        <x:f>'原始数据'!P430/'原始数据'!O430</x:f>
        <x:v>0.19917301078177532</x:v>
      </x:c>
      <x:c r="I433" s="9" t="n">
        <x:f>F433/C433</x:f>
        <x:v>0.04531658898403506</x:v>
      </x:c>
      <x:c r="J433" s="9" t="n">
        <x:f>'原始数据'!G430/'原始数据'!F430</x:f>
        <x:v>0.025712288291128385</x:v>
      </x:c>
      <x:c r="K433" s="2" t="str">
        <x:v>专业供给</x:v>
      </x:c>
      <x:c r="L433" s="15" t="str">
        <x:v>食品/补剂或耗材需独立供应链</x:v>
      </x:c>
      <x:c r="M433" s="2" t="str">
        <x:f>IF(AND(C433&gt;='核验与方法'!$B$7,F433&gt;='核验与方法'!$B$8,G433&gt;='核验与方法'!$B$9,D433&gt;='核验与方法'!$B$10,E433&gt;='核验与方法'!$B$11),"通过需求门槛","未通过需求门槛")</x:f>
        <x:v>通过需求门槛</x:v>
      </x:c>
      <x:c r="N433" s="2" t="str">
        <x:v>先核验风险标签</x:v>
      </x:c>
      <x:c r="O433" s="9" t="n">
        <x:f>G433-'原始数据'!J430</x:f>
        <x:v>0.00005779846457307225</x:v>
      </x:c>
      <x:c r="P433" s="2" t="str">
        <x:v>DATA HOLD</x:v>
      </x:c>
    </x:row>
    <x:row r="434" ht="48" customHeight="1">
      <x:c r="A434" s="2" t="n">
        <x:v>429</x:v>
      </x:c>
      <x:c r="B434" s="2" t="str">
        <x:v>pineapple juice</x:v>
      </x:c>
      <x:c r="C434" s="10" t="n">
        <x:f>'原始数据'!D431</x:f>
        <x:v>128853</x:v>
      </x:c>
      <x:c r="D434" s="9" t="n">
        <x:f>IF(ISNUMBER('原始数据'!E431),'原始数据'!E431,VALUE(SUBSTITUTE('原始数据'!E431,"'","")))</x:f>
        <x:v>0.0666</x:v>
      </x:c>
      <x:c r="E434" s="9" t="n">
        <x:f>IF(ISNUMBER('原始数据'!H431),'原始数据'!H431,VALUE(SUBSTITUTE('原始数据'!H431,"'","")))</x:f>
        <x:v>0.0477</x:v>
      </x:c>
      <x:c r="F434" s="10" t="n">
        <x:f>'原始数据'!L431</x:f>
        <x:v>14998</x:v>
      </x:c>
      <x:c r="G434" s="9" t="n">
        <x:f>F434/'原始数据'!G431</x:f>
        <x:v>0.294309262166405</x:v>
      </x:c>
      <x:c r="H434" s="9" t="n">
        <x:f>'原始数据'!P431/'原始数据'!O431</x:f>
        <x:v>0.434312431874247</x:v>
      </x:c>
      <x:c r="I434" s="9" t="n">
        <x:f>F434/C434</x:f>
        <x:v>0.11639620342560902</x:v>
      </x:c>
      <x:c r="J434" s="9" t="n">
        <x:f>'原始数据'!G431/'原始数据'!F431</x:f>
        <x:v>0.015039821883176943</x:v>
      </x:c>
      <x:c r="K434" s="2" t="str">
        <x:v>专业供给</x:v>
      </x:c>
      <x:c r="L434" s="15" t="str">
        <x:v>食品/补剂或耗材需独立供应链</x:v>
      </x:c>
      <x:c r="M434" s="2" t="str">
        <x:f>IF(AND(C434&gt;='核验与方法'!$B$7,F434&gt;='核验与方法'!$B$8,G434&gt;='核验与方法'!$B$9,D434&gt;='核验与方法'!$B$10,E434&gt;='核验与方法'!$B$11),"通过需求门槛","未通过需求门槛")</x:f>
        <x:v>通过需求门槛</x:v>
      </x:c>
      <x:c r="N434" s="2" t="str">
        <x:v>先核验风险标签</x:v>
      </x:c>
      <x:c r="O434" s="9" t="n">
        <x:f>G434-'原始数据'!J431</x:f>
        <x:v>0.000009262166405010763</x:v>
      </x:c>
      <x:c r="P434" s="2" t="str">
        <x:v>DATA HOLD</x:v>
      </x:c>
    </x:row>
    <x:row r="435" ht="48" customHeight="1">
      <x:c r="A435" s="2" t="n">
        <x:v>430</x:v>
      </x:c>
      <x:c r="B435" s="2" t="str">
        <x:v>cheesecake</x:v>
      </x:c>
      <x:c r="C435" s="10" t="n">
        <x:f>'原始数据'!D432</x:f>
        <x:v>128702</x:v>
      </x:c>
      <x:c r="D435" s="9" t="n">
        <x:f>IF(ISNUMBER('原始数据'!E432),'原始数据'!E432,VALUE(SUBSTITUTE('原始数据'!E432,"'","")))</x:f>
        <x:v>0.1309</x:v>
      </x:c>
      <x:c r="E435" s="9" t="n">
        <x:f>IF(ISNUMBER('原始数据'!H432),'原始数据'!H432,VALUE(SUBSTITUTE('原始数据'!H432,"'","")))</x:f>
        <x:v>0.0388</x:v>
      </x:c>
      <x:c r="F435" s="10" t="n">
        <x:f>'原始数据'!L432</x:f>
        <x:v>8250</x:v>
      </x:c>
      <x:c r="G435" s="9" t="n">
        <x:f>F435/'原始数据'!G432</x:f>
        <x:v>0.20840701258020514</x:v>
      </x:c>
      <x:c r="H435" s="9" t="n">
        <x:f>'原始数据'!P432/'原始数据'!O432</x:f>
        <x:v>0.3343775172290343</x:v>
      </x:c>
      <x:c r="I435" s="9" t="n">
        <x:f>F435/C435</x:f>
        <x:v>0.06410156796320181</x:v>
      </x:c>
      <x:c r="J435" s="9" t="n">
        <x:f>'原始数据'!G432/'原始数据'!F432</x:f>
        <x:v>0.01455095351641917</x:v>
      </x:c>
      <x:c r="K435" s="2" t="str">
        <x:v>专业供给</x:v>
      </x:c>
      <x:c r="L435" s="15" t="str">
        <x:v>食品/补剂或耗材需独立供应链</x:v>
      </x:c>
      <x:c r="M435" s="2" t="str">
        <x:f>IF(AND(C435&gt;='核验与方法'!$B$7,F435&gt;='核验与方法'!$B$8,G435&gt;='核验与方法'!$B$9,D435&gt;='核验与方法'!$B$10,E435&gt;='核验与方法'!$B$11),"通过需求门槛","未通过需求门槛")</x:f>
        <x:v>通过需求门槛</x:v>
      </x:c>
      <x:c r="N435" s="2" t="str">
        <x:v>先核验风险标签</x:v>
      </x:c>
      <x:c r="O435" s="9" t="n">
        <x:f>G435-'原始数据'!J432</x:f>
        <x:v>0.000007012580205134622</x:v>
      </x:c>
      <x:c r="P435" s="2" t="str">
        <x:v>DATA HOLD</x:v>
      </x:c>
    </x:row>
    <x:row r="436" ht="48" customHeight="1">
      <x:c r="A436" s="2" t="n">
        <x:v>431</x:v>
      </x:c>
      <x:c r="B436" s="2" t="str">
        <x:v>fortnite costumes</x:v>
      </x:c>
      <x:c r="C436" s="10" t="n">
        <x:f>'原始数据'!D433</x:f>
        <x:v>128685</x:v>
      </x:c>
      <x:c r="D436" s="9" t="n">
        <x:f>IF(ISNUMBER('原始数据'!E433),'原始数据'!E433,VALUE(SUBSTITUTE('原始数据'!E433,"'","")))</x:f>
        <x:v>1.9122</x:v>
      </x:c>
      <x:c r="E436" s="9" t="n">
        <x:f>IF(ISNUMBER('原始数据'!H433),'原始数据'!H433,VALUE(SUBSTITUTE('原始数据'!H433,"'","")))</x:f>
        <x:v>1.9707</x:v>
      </x:c>
      <x:c r="F436" s="10" t="n">
        <x:f>'原始数据'!L433</x:f>
        <x:v>222</x:v>
      </x:c>
      <x:c r="G436" s="9" t="n">
        <x:f>F436/'原始数据'!G433</x:f>
        <x:v>0.005537126181627715</x:v>
      </x:c>
      <x:c r="H436" s="9" t="n">
        <x:f>'原始数据'!P433/'原始数据'!O433</x:f>
        <x:v>0.028409090909090908</x:v>
      </x:c>
      <x:c r="I436" s="9" t="n">
        <x:f>F436/C436</x:f>
        <x:v>0.0017251427905350275</x:v>
      </x:c>
      <x:c r="J436" s="9" t="n">
        <x:f>'原始数据'!G433/'原始数据'!F433</x:f>
        <x:v>0.03332352569600979</x:v>
      </x:c>
      <x:c r="K436" s="2" t="str">
        <x:v>待拆分产品市场</x:v>
      </x:c>
      <x:c r="L436" s="15" t="str">
        <x:v>品牌或IP需核验；季节/事件影响待核验</x:v>
      </x:c>
      <x:c r="M436" s="2" t="str">
        <x:f>IF(AND(C436&gt;='核验与方法'!$B$7,F436&gt;='核验与方法'!$B$8,G436&gt;='核验与方法'!$B$9,D436&gt;='核验与方法'!$B$10,E436&gt;='核验与方法'!$B$11),"通过需求门槛","未通过需求门槛")</x:f>
        <x:v>未通过需求门槛</x:v>
      </x:c>
      <x:c r="N436" s="2" t="str">
        <x:v>先核验风险标签</x:v>
      </x:c>
      <x:c r="O436" s="9" t="n">
        <x:f>G436-'原始数据'!J433</x:f>
        <x:v>0.000037126181627715645</x:v>
      </x:c>
      <x:c r="P436" s="2" t="str">
        <x:v>DATA HOLD</x:v>
      </x:c>
    </x:row>
    <x:row r="437" ht="48" customHeight="1">
      <x:c r="A437" s="2" t="n">
        <x:v>432</x:v>
      </x:c>
      <x:c r="B437" s="2" t="str">
        <x:v>bible study supplies</x:v>
      </x:c>
      <x:c r="C437" s="10" t="n">
        <x:f>'原始数据'!D434</x:f>
        <x:v>128668</x:v>
      </x:c>
      <x:c r="D437" s="9" t="n">
        <x:f>IF(ISNUMBER('原始数据'!E434),'原始数据'!E434,VALUE(SUBSTITUTE('原始数据'!E434,"'","")))</x:f>
        <x:v>0.0976</x:v>
      </x:c>
      <x:c r="E437" s="9" t="n">
        <x:f>IF(ISNUMBER('原始数据'!H434),'原始数据'!H434,VALUE(SUBSTITUTE('原始数据'!H434,"'","")))</x:f>
        <x:v>0.1202</x:v>
      </x:c>
      <x:c r="F437" s="10" t="n">
        <x:f>'原始数据'!L434</x:f>
        <x:v>2631</x:v>
      </x:c>
      <x:c r="G437" s="9" t="n">
        <x:f>F437/'原始数据'!G434</x:f>
        <x:v>0.04724621545423528</x:v>
      </x:c>
      <x:c r="H437" s="9" t="n">
        <x:f>'原始数据'!P434/'原始数据'!O434</x:f>
        <x:v>0.15589392997721152</x:v>
      </x:c>
      <x:c r="I437" s="9" t="n">
        <x:f>F437/C437</x:f>
        <x:v>0.02044797463238723</x:v>
      </x:c>
      <x:c r="J437" s="9" t="n">
        <x:f>'原始数据'!G434/'原始数据'!F434</x:f>
        <x:v>0.014933053731319269</x:v>
      </x:c>
      <x:c r="K437" s="2" t="str">
        <x:v>已选候选</x:v>
      </x:c>
      <x:c r="L437" s="15" t="str">
        <x:v>暂无自动识别标签，仍需核验</x:v>
      </x:c>
      <x:c r="M437" s="2" t="str">
        <x:f>IF(AND(C437&gt;='核验与方法'!$B$7,F437&gt;='核验与方法'!$B$8,G437&gt;='核验与方法'!$B$9,D437&gt;='核验与方法'!$B$10,E437&gt;='核验与方法'!$B$11),"通过需求门槛","未通过需求门槛")</x:f>
        <x:v>未通过需求门槛</x:v>
      </x:c>
      <x:c r="N437" s="2" t="str">
        <x:v>候选研究</x:v>
      </x:c>
      <x:c r="O437" s="9" t="n">
        <x:f>G437-'原始数据'!J434</x:f>
        <x:v>0.00004621545423528356</x:v>
      </x:c>
      <x:c r="P437" s="2" t="str">
        <x:v>DATA HOLD</x:v>
      </x:c>
    </x:row>
    <x:row r="438" ht="48" customHeight="1">
      <x:c r="A438" s="2" t="n">
        <x:v>433</x:v>
      </x:c>
      <x:c r="B438" s="2" t="str">
        <x:v>coin purse</x:v>
      </x:c>
      <x:c r="C438" s="10" t="n">
        <x:f>'原始数据'!D435</x:f>
        <x:v>128449</x:v>
      </x:c>
      <x:c r="D438" s="9" t="n">
        <x:f>IF(ISNUMBER('原始数据'!E435),'原始数据'!E435,VALUE(SUBSTITUTE('原始数据'!E435,"'","")))</x:f>
        <x:v>-0.0006</x:v>
      </x:c>
      <x:c r="E438" s="9" t="n">
        <x:f>IF(ISNUMBER('原始数据'!H435),'原始数据'!H435,VALUE(SUBSTITUTE('原始数据'!H435,"'","")))</x:f>
        <x:v>0.0052</x:v>
      </x:c>
      <x:c r="F438" s="10" t="n">
        <x:f>'原始数据'!L435</x:f>
        <x:v>2025</x:v>
      </x:c>
      <x:c r="G438" s="9" t="n">
        <x:f>F438/'原始数据'!G435</x:f>
        <x:v>0.03841629989376233</x:v>
      </x:c>
      <x:c r="H438" s="9" t="n">
        <x:f>'原始数据'!P435/'原始数据'!O435</x:f>
        <x:v>0.1983418052608202</x:v>
      </x:c>
      <x:c r="I438" s="9" t="n">
        <x:f>F438/C438</x:f>
        <x:v>0.01576501179456438</x:v>
      </x:c>
      <x:c r="J438" s="9" t="n">
        <x:f>'原始数据'!G435/'原始数据'!F435</x:f>
        <x:v>0.011924124635967188</x:v>
      </x:c>
      <x:c r="K438" s="2" t="str">
        <x:v>待拆分产品市场</x:v>
      </x:c>
      <x:c r="L438" s="15" t="str">
        <x:v>暂无自动识别标签，仍需核验</x:v>
      </x:c>
      <x:c r="M438" s="2" t="str">
        <x:f>IF(AND(C438&gt;='核验与方法'!$B$7,F438&gt;='核验与方法'!$B$8,G438&gt;='核验与方法'!$B$9,D438&gt;='核验与方法'!$B$10,E438&gt;='核验与方法'!$B$11),"通过需求门槛","未通过需求门槛")</x:f>
        <x:v>未通过需求门槛</x:v>
      </x:c>
      <x:c r="N438" s="2" t="str">
        <x:v>待确认具体产品形态</x:v>
      </x:c>
      <x:c r="O438" s="9" t="n">
        <x:f>G438-'原始数据'!J435</x:f>
        <x:v>0.000016299893762332374</x:v>
      </x:c>
      <x:c r="P438" s="2" t="str">
        <x:v>DATA HOLD</x:v>
      </x:c>
    </x:row>
    <x:row r="439" ht="48" customHeight="1">
      <x:c r="A439" s="2" t="n">
        <x:v>434</x:v>
      </x:c>
      <x:c r="B439" s="2" t="str">
        <x:v>birthday cake</x:v>
      </x:c>
      <x:c r="C439" s="10" t="n">
        <x:f>'原始数据'!D436</x:f>
        <x:v>128243</x:v>
      </x:c>
      <x:c r="D439" s="9" t="n">
        <x:f>IF(ISNUMBER('原始数据'!E436),'原始数据'!E436,VALUE(SUBSTITUTE('原始数据'!E436,"'","")))</x:f>
        <x:v>0.2213</x:v>
      </x:c>
      <x:c r="E439" s="9" t="n">
        <x:f>IF(ISNUMBER('原始数据'!H436),'原始数据'!H436,VALUE(SUBSTITUTE('原始数据'!H436,"'","")))</x:f>
        <x:v>0.0858</x:v>
      </x:c>
      <x:c r="F439" s="10" t="n">
        <x:f>'原始数据'!L436</x:f>
        <x:v>3267</x:v>
      </x:c>
      <x:c r="G439" s="9" t="n">
        <x:f>F439/'原始数据'!G436</x:f>
        <x:v>0.12172131147540984</x:v>
      </x:c>
      <x:c r="H439" s="9" t="n">
        <x:f>'原始数据'!P436/'原始数据'!O436</x:f>
        <x:v>0.2457505477071844</x:v>
      </x:c>
      <x:c r="I439" s="9" t="n">
        <x:f>F439/C439</x:f>
        <x:v>0.025475074662944568</x:v>
      </x:c>
      <x:c r="J439" s="9" t="n">
        <x:f>'原始数据'!G436/'原始数据'!F436</x:f>
        <x:v>0.010570279163278126</x:v>
      </x:c>
      <x:c r="K439" s="2" t="str">
        <x:v>专业供给</x:v>
      </x:c>
      <x:c r="L439" s="15" t="str">
        <x:v>食品/补剂或耗材需独立供应链</x:v>
      </x:c>
      <x:c r="M439" s="2" t="str">
        <x:f>IF(AND(C439&gt;='核验与方法'!$B$7,F439&gt;='核验与方法'!$B$8,G439&gt;='核验与方法'!$B$9,D439&gt;='核验与方法'!$B$10,E439&gt;='核验与方法'!$B$11),"通过需求门槛","未通过需求门槛")</x:f>
        <x:v>通过需求门槛</x:v>
      </x:c>
      <x:c r="N439" s="2" t="str">
        <x:v>先核验风险标签</x:v>
      </x:c>
      <x:c r="O439" s="9" t="n">
        <x:f>G439-'原始数据'!J436</x:f>
        <x:v>0.00002131147540983258</x:v>
      </x:c>
      <x:c r="P439" s="2" t="str">
        <x:v>DATA HOLD</x:v>
      </x:c>
    </x:row>
    <x:row r="440" ht="48" customHeight="1">
      <x:c r="A440" s="2" t="n">
        <x:v>435</x:v>
      </x:c>
      <x:c r="B440" s="2" t="str">
        <x:v>beige dress for women</x:v>
      </x:c>
      <x:c r="C440" s="10" t="n">
        <x:f>'原始数据'!D437</x:f>
        <x:v>128013</x:v>
      </x:c>
      <x:c r="D440" s="9" t="n">
        <x:f>IF(ISNUMBER('原始数据'!E437),'原始数据'!E437,VALUE(SUBSTITUTE('原始数据'!E437,"'","")))</x:f>
        <x:v>0.0796</x:v>
      </x:c>
      <x:c r="E440" s="9" t="n">
        <x:f>IF(ISNUMBER('原始数据'!H437),'原始数据'!H437,VALUE(SUBSTITUTE('原始数据'!H437,"'","")))</x:f>
        <x:v>0.1013</x:v>
      </x:c>
      <x:c r="F440" s="10" t="n">
        <x:f>'原始数据'!L437</x:f>
        <x:v>402</x:v>
      </x:c>
      <x:c r="G440" s="9" t="n">
        <x:f>F440/'原始数据'!G437</x:f>
        <x:v>0.012088044262689439</x:v>
      </x:c>
      <x:c r="H440" s="9" t="n">
        <x:f>'原始数据'!P437/'原始数据'!O437</x:f>
        <x:v>0.10497940846125046</x:v>
      </x:c>
      <x:c r="I440" s="9" t="n">
        <x:f>F440/C440</x:f>
        <x:v>0.0031403060626655106</x:v>
      </x:c>
      <x:c r="J440" s="9" t="n">
        <x:f>'原始数据'!G437/'原始数据'!F437</x:f>
        <x:v>0.008878613210594747</x:v>
      </x:c>
      <x:c r="K440" s="2" t="str">
        <x:v>待拆分产品市场</x:v>
      </x:c>
      <x:c r="L440" s="15" t="str">
        <x:v>尺码/颜色变体及退货待核验</x:v>
      </x:c>
      <x:c r="M440" s="2" t="str">
        <x:f>IF(AND(C440&gt;='核验与方法'!$B$7,F440&gt;='核验与方法'!$B$8,G440&gt;='核验与方法'!$B$9,D440&gt;='核验与方法'!$B$10,E440&gt;='核验与方法'!$B$11),"通过需求门槛","未通过需求门槛")</x:f>
        <x:v>未通过需求门槛</x:v>
      </x:c>
      <x:c r="N440" s="2" t="str">
        <x:v>先核验风险标签</x:v>
      </x:c>
      <x:c r="O440" s="9" t="n">
        <x:f>G440-'原始数据'!J437</x:f>
        <x:v>0.00008804426268943857</x:v>
      </x:c>
      <x:c r="P440" s="2" t="str">
        <x:v>DATA HOLD</x:v>
      </x:c>
    </x:row>
    <x:row r="441" ht="48" customHeight="1">
      <x:c r="A441" s="2" t="n">
        <x:v>436</x:v>
      </x:c>
      <x:c r="B441" s="2" t="str">
        <x:v>essentials hoodie</x:v>
      </x:c>
      <x:c r="C441" s="10" t="n">
        <x:f>'原始数据'!D438</x:f>
        <x:v>127969</x:v>
      </x:c>
      <x:c r="D441" s="9" t="n">
        <x:f>IF(ISNUMBER('原始数据'!E438),'原始数据'!E438,VALUE(SUBSTITUTE('原始数据'!E438,"'","")))</x:f>
        <x:v>-0.2252</x:v>
      </x:c>
      <x:c r="E441" s="9" t="n">
        <x:f>IF(ISNUMBER('原始数据'!H438),'原始数据'!H438,VALUE(SUBSTITUTE('原始数据'!H438,"'","")))</x:f>
        <x:v>-0.2608</x:v>
      </x:c>
      <x:c r="F441" s="10" t="n">
        <x:f>'原始数据'!L438</x:f>
        <x:v>257</x:v>
      </x:c>
      <x:c r="G441" s="9" t="n">
        <x:f>F441/'原始数据'!G438</x:f>
        <x:v>0.004961581528244334</x:v>
      </x:c>
      <x:c r="H441" s="9" t="n">
        <x:f>'原始数据'!P438/'原始数据'!O438</x:f>
        <x:v>0.05842352807842693</x:v>
      </x:c>
      <x:c r="I441" s="9" t="n">
        <x:f>F441/C441</x:f>
        <x:v>0.0020082988848861834</x:v>
      </x:c>
      <x:c r="J441" s="9" t="n">
        <x:f>'原始数据'!G438/'原始数据'!F438</x:f>
        <x:v>0.018200709573978024</x:v>
      </x:c>
      <x:c r="K441" s="2" t="str">
        <x:v>待拆分产品市场</x:v>
      </x:c>
      <x:c r="L441" s="15" t="str">
        <x:v>品牌或IP需核验；尺码/颜色变体及退货待核验</x:v>
      </x:c>
      <x:c r="M441" s="2" t="str">
        <x:f>IF(AND(C441&gt;='核验与方法'!$B$7,F441&gt;='核验与方法'!$B$8,G441&gt;='核验与方法'!$B$9,D441&gt;='核验与方法'!$B$10,E441&gt;='核验与方法'!$B$11),"通过需求门槛","未通过需求门槛")</x:f>
        <x:v>未通过需求门槛</x:v>
      </x:c>
      <x:c r="N441" s="2" t="str">
        <x:v>先核验风险标签</x:v>
      </x:c>
      <x:c r="O441" s="9" t="n">
        <x:f>G441-'原始数据'!J438</x:f>
        <x:v>0.00006158152824433435</x:v>
      </x:c>
      <x:c r="P441" s="2" t="str">
        <x:v>DATA HOLD</x:v>
      </x:c>
    </x:row>
    <x:row r="442" ht="48" customHeight="1">
      <x:c r="A442" s="2" t="n">
        <x:v>437</x:v>
      </x:c>
      <x:c r="B442" s="2" t="str">
        <x:v>spices</x:v>
      </x:c>
      <x:c r="C442" s="10" t="n">
        <x:f>'原始数据'!D439</x:f>
        <x:v>127910</x:v>
      </x:c>
      <x:c r="D442" s="9" t="n">
        <x:f>IF(ISNUMBER('原始数据'!E439),'原始数据'!E439,VALUE(SUBSTITUTE('原始数据'!E439,"'","")))</x:f>
        <x:v>0.181</x:v>
      </x:c>
      <x:c r="E442" s="9" t="n">
        <x:f>IF(ISNUMBER('原始数据'!H439),'原始数据'!H439,VALUE(SUBSTITUTE('原始数据'!H439,"'","")))</x:f>
        <x:v>0.1516</x:v>
      </x:c>
      <x:c r="F442" s="10" t="n">
        <x:f>'原始数据'!L439</x:f>
        <x:v>8659</x:v>
      </x:c>
      <x:c r="G442" s="9" t="n">
        <x:f>F442/'原始数据'!G439</x:f>
        <x:v>0.20851996339642634</x:v>
      </x:c>
      <x:c r="H442" s="9" t="n">
        <x:f>'原始数据'!P439/'原始数据'!O439</x:f>
        <x:v>0.2588815789473684</x:v>
      </x:c>
      <x:c r="I442" s="9" t="n">
        <x:f>F442/C442</x:f>
        <x:v>0.06769603627550622</x:v>
      </x:c>
      <x:c r="J442" s="9" t="n">
        <x:f>'原始数据'!G439/'原始数据'!F439</x:f>
        <x:v>0.014080447688115677</x:v>
      </x:c>
      <x:c r="K442" s="2" t="str">
        <x:v>专业供给</x:v>
      </x:c>
      <x:c r="L442" s="15" t="str">
        <x:v>食品/补剂或耗材需独立供应链</x:v>
      </x:c>
      <x:c r="M442" s="2" t="str">
        <x:f>IF(AND(C442&gt;='核验与方法'!$B$7,F442&gt;='核验与方法'!$B$8,G442&gt;='核验与方法'!$B$9,D442&gt;='核验与方法'!$B$10,E442&gt;='核验与方法'!$B$11),"通过需求门槛","未通过需求门槛")</x:f>
        <x:v>通过需求门槛</x:v>
      </x:c>
      <x:c r="N442" s="2" t="str">
        <x:v>先核验风险标签</x:v>
      </x:c>
      <x:c r="O442" s="9" t="n">
        <x:f>G442-'原始数据'!J439</x:f>
        <x:v>0.000019963396426347924</x:v>
      </x:c>
      <x:c r="P442" s="2" t="str">
        <x:v>DATA HOLD</x:v>
      </x:c>
    </x:row>
    <x:row r="443" ht="48" customHeight="1">
      <x:c r="A443" s="2" t="n">
        <x:v>438</x:v>
      </x:c>
      <x:c r="B443" s="2" t="str">
        <x:v>freddy krueger costume</x:v>
      </x:c>
      <x:c r="C443" s="10" t="n">
        <x:f>'原始数据'!D440</x:f>
        <x:v>127894</x:v>
      </x:c>
      <x:c r="D443" s="9" t="n">
        <x:f>IF(ISNUMBER('原始数据'!E440),'原始数据'!E440,VALUE(SUBSTITUTE('原始数据'!E440,"'","")))</x:f>
        <x:v>2.079</x:v>
      </x:c>
      <x:c r="E443" s="9" t="n">
        <x:f>IF(ISNUMBER('原始数据'!H440),'原始数据'!H440,VALUE(SUBSTITUTE('原始数据'!H440,"'","")))</x:f>
        <x:v>2.0204</x:v>
      </x:c>
      <x:c r="F443" s="10" t="n">
        <x:f>'原始数据'!L440</x:f>
        <x:v>319</x:v>
      </x:c>
      <x:c r="G443" s="9" t="n">
        <x:f>F443/'原始数据'!G440</x:f>
        <x:v>0.00733822548365577</x:v>
      </x:c>
      <x:c r="H443" s="9" t="n">
        <x:f>'原始数据'!P440/'原始数据'!O440</x:f>
        <x:v>0.027078454332552692</x:v>
      </x:c>
      <x:c r="I443" s="9" t="n">
        <x:f>F443/C443</x:f>
        <x:v>0.002494253053309772</x:v>
      </x:c>
      <x:c r="J443" s="9" t="n">
        <x:f>'原始数据'!G440/'原始数据'!F440</x:f>
        <x:v>0.03915339817018142</x:v>
      </x:c>
      <x:c r="K443" s="2" t="str">
        <x:v>待拆分产品市场</x:v>
      </x:c>
      <x:c r="L443" s="15" t="str">
        <x:v>品牌或IP需核验；季节/事件影响待核验</x:v>
      </x:c>
      <x:c r="M443" s="2" t="str">
        <x:f>IF(AND(C443&gt;='核验与方法'!$B$7,F443&gt;='核验与方法'!$B$8,G443&gt;='核验与方法'!$B$9,D443&gt;='核验与方法'!$B$10,E443&gt;='核验与方法'!$B$11),"通过需求门槛","未通过需求门槛")</x:f>
        <x:v>未通过需求门槛</x:v>
      </x:c>
      <x:c r="N443" s="2" t="str">
        <x:v>先核验风险标签</x:v>
      </x:c>
      <x:c r="O443" s="9" t="n">
        <x:f>G443-'原始数据'!J440</x:f>
        <x:v>0.000038225483655770186</x:v>
      </x:c>
      <x:c r="P443" s="2" t="str">
        <x:v>DATA HOLD</x:v>
      </x:c>
    </x:row>
    <x:row r="444" ht="48" customHeight="1">
      <x:c r="A444" s="2" t="n">
        <x:v>439</x:v>
      </x:c>
      <x:c r="B444" s="2" t="str">
        <x:v>football helmet</x:v>
      </x:c>
      <x:c r="C444" s="10" t="n">
        <x:f>'原始数据'!D441</x:f>
        <x:v>127826</x:v>
      </x:c>
      <x:c r="D444" s="9" t="n">
        <x:f>IF(ISNUMBER('原始数据'!E441),'原始数据'!E441,VALUE(SUBSTITUTE('原始数据'!E441,"'","")))</x:f>
        <x:v>0.2386</x:v>
      </x:c>
      <x:c r="E444" s="9" t="n">
        <x:f>IF(ISNUMBER('原始数据'!H441),'原始数据'!H441,VALUE(SUBSTITUTE('原始数据'!H441,"'","")))</x:f>
        <x:v>0.0365</x:v>
      </x:c>
      <x:c r="F444" s="10" t="n">
        <x:f>'原始数据'!L441</x:f>
        <x:v>168</x:v>
      </x:c>
      <x:c r="G444" s="9" t="n">
        <x:f>F444/'原始数据'!G441</x:f>
        <x:v>0.005223230941425196</x:v>
      </x:c>
      <x:c r="H444" s="9" t="n">
        <x:f>'原始数据'!P441/'原始数据'!O441</x:f>
        <x:v>0.048267666148642474</x:v>
      </x:c>
      <x:c r="I444" s="9" t="n">
        <x:f>F444/C444</x:f>
        <x:v>0.001314286608358237</x:v>
      </x:c>
      <x:c r="J444" s="9" t="n">
        <x:f>'原始数据'!G441/'原始数据'!F441</x:f>
        <x:v>0.01669777209025851</x:v>
      </x:c>
      <x:c r="K444" s="2" t="str">
        <x:v>待拆分产品市场</x:v>
      </x:c>
      <x:c r="L444" s="15" t="str">
        <x:v>体积/安装/售后成本待核验</x:v>
      </x:c>
      <x:c r="M444" s="2" t="str">
        <x:f>IF(AND(C444&gt;='核验与方法'!$B$7,F444&gt;='核验与方法'!$B$8,G444&gt;='核验与方法'!$B$9,D444&gt;='核验与方法'!$B$10,E444&gt;='核验与方法'!$B$11),"通过需求门槛","未通过需求门槛")</x:f>
        <x:v>未通过需求门槛</x:v>
      </x:c>
      <x:c r="N444" s="2" t="str">
        <x:v>先核验风险标签</x:v>
      </x:c>
      <x:c r="O444" s="9" t="n">
        <x:f>G444-'原始数据'!J441</x:f>
        <x:v>0.00002323094142519643</x:v>
      </x:c>
      <x:c r="P444" s="2" t="str">
        <x:v>DATA HOLD</x:v>
      </x:c>
    </x:row>
    <x:row r="445" ht="48" customHeight="1">
      <x:c r="A445" s="2" t="n">
        <x:v>440</x:v>
      </x:c>
      <x:c r="B445" s="2" t="str">
        <x:v>azo</x:v>
      </x:c>
      <x:c r="C445" s="10" t="n">
        <x:f>'原始数据'!D442</x:f>
        <x:v>127781</x:v>
      </x:c>
      <x:c r="D445" s="9" t="n">
        <x:f>IF(ISNUMBER('原始数据'!E442),'原始数据'!E442,VALUE(SUBSTITUTE('原始数据'!E442,"'","")))</x:f>
        <x:v>0.0565</x:v>
      </x:c>
      <x:c r="E445" s="9" t="n">
        <x:f>IF(ISNUMBER('原始数据'!H442),'原始数据'!H442,VALUE(SUBSTITUTE('原始数据'!H442,"'","")))</x:f>
        <x:v>0.062</x:v>
      </x:c>
      <x:c r="F445" s="10" t="n">
        <x:f>'原始数据'!L442</x:f>
        <x:v>24867</x:v>
      </x:c>
      <x:c r="G445" s="9" t="n">
        <x:f>F445/'原始数据'!G442</x:f>
        <x:v>0.35304891034286934</x:v>
      </x:c>
      <x:c r="H445" s="9" t="n">
        <x:f>'原始数据'!P442/'原始数据'!O442</x:f>
        <x:v>0.5104650277798919</x:v>
      </x:c>
      <x:c r="I445" s="9" t="n">
        <x:f>F445/C445</x:f>
        <x:v>0.19460639688216558</x:v>
      </x:c>
      <x:c r="J445" s="9" t="n">
        <x:f>'原始数据'!G442/'原始数据'!F442</x:f>
        <x:v>0.015933126788192906</x:v>
      </x:c>
      <x:c r="K445" s="2" t="str">
        <x:v>专业供给</x:v>
      </x:c>
      <x:c r="L445" s="15" t="str">
        <x:v>食品/补剂或耗材需独立供应链</x:v>
      </x:c>
      <x:c r="M445" s="2" t="str">
        <x:f>IF(AND(C445&gt;='核验与方法'!$B$7,F445&gt;='核验与方法'!$B$8,G445&gt;='核验与方法'!$B$9,D445&gt;='核验与方法'!$B$10,E445&gt;='核验与方法'!$B$11),"通过需求门槛","未通过需求门槛")</x:f>
        <x:v>通过需求门槛</x:v>
      </x:c>
      <x:c r="N445" s="2" t="str">
        <x:v>先核验风险标签</x:v>
      </x:c>
      <x:c r="O445" s="9" t="n">
        <x:f>G445-'原始数据'!J442</x:f>
        <x:v>0.00004891034286935714</x:v>
      </x:c>
      <x:c r="P445" s="2" t="str">
        <x:v>DATA HOLD</x:v>
      </x:c>
    </x:row>
    <x:row r="446" ht="48" customHeight="1">
      <x:c r="A446" s="2" t="n">
        <x:v>441</x:v>
      </x:c>
      <x:c r="B446" s="2" t="str">
        <x:v>notre dame apparel</x:v>
      </x:c>
      <x:c r="C446" s="10" t="n">
        <x:f>'原始数据'!D443</x:f>
        <x:v>127600</x:v>
      </x:c>
      <x:c r="D446" s="9" t="n">
        <x:f>IF(ISNUMBER('原始数据'!E443),'原始数据'!E443,VALUE(SUBSTITUTE('原始数据'!E443,"'","")))</x:f>
        <x:v>2.244</x:v>
      </x:c>
      <x:c r="E446" s="9" t="n">
        <x:f>IF(ISNUMBER('原始数据'!H443),'原始数据'!H443,VALUE(SUBSTITUTE('原始数据'!H443,"'","")))</x:f>
        <x:v>2.4128</x:v>
      </x:c>
      <x:c r="F446" s="10" t="n">
        <x:f>'原始数据'!L443</x:f>
        <x:v>1884</x:v>
      </x:c>
      <x:c r="G446" s="9" t="n">
        <x:f>F446/'原始数据'!G443</x:f>
        <x:v>0.05574954133869918</x:v>
      </x:c>
      <x:c r="H446" s="9" t="n">
        <x:f>'原始数据'!P443/'原始数据'!O443</x:f>
        <x:v>0.15253419147224456</x:v>
      </x:c>
      <x:c r="I446" s="9" t="n">
        <x:f>F446/C446</x:f>
        <x:v>0.014764890282131661</x:v>
      </x:c>
      <x:c r="J446" s="9" t="n">
        <x:f>'原始数据'!G443/'原始数据'!F443</x:f>
        <x:v>0.019829483109674164</x:v>
      </x:c>
      <x:c r="K446" s="2" t="str">
        <x:v>待拆分产品市场</x:v>
      </x:c>
      <x:c r="L446" s="15" t="str">
        <x:v>品牌或IP需核验</x:v>
      </x:c>
      <x:c r="M446" s="2" t="str">
        <x:f>IF(AND(C446&gt;='核验与方法'!$B$7,F446&gt;='核验与方法'!$B$8,G446&gt;='核验与方法'!$B$9,D446&gt;='核验与方法'!$B$10,E446&gt;='核验与方法'!$B$11),"通过需求门槛","未通过需求门槛")</x:f>
        <x:v>未通过需求门槛</x:v>
      </x:c>
      <x:c r="N446" s="2" t="str">
        <x:v>先核验风险标签</x:v>
      </x:c>
      <x:c r="O446" s="9" t="n">
        <x:f>G446-'原始数据'!J443</x:f>
        <x:v>0.00004954133869917998</x:v>
      </x:c>
      <x:c r="P446" s="2" t="str">
        <x:v>DATA HOLD</x:v>
      </x:c>
    </x:row>
    <x:row r="447" ht="48" customHeight="1">
      <x:c r="A447" s="2" t="n">
        <x:v>442</x:v>
      </x:c>
      <x:c r="B447" s="2" t="str">
        <x:v>headlights assembly</x:v>
      </x:c>
      <x:c r="C447" s="10" t="n">
        <x:f>'原始数据'!D444</x:f>
        <x:v>127358</x:v>
      </x:c>
      <x:c r="D447" s="9" t="n">
        <x:f>IF(ISNUMBER('原始数据'!E444),'原始数据'!E444,VALUE(SUBSTITUTE('原始数据'!E444,"'","")))</x:f>
        <x:v>-0.0859</x:v>
      </x:c>
      <x:c r="E447" s="9" t="n">
        <x:f>IF(ISNUMBER('原始数据'!H444),'原始数据'!H444,VALUE(SUBSTITUTE('原始数据'!H444,"'","")))</x:f>
        <x:v>-0.0642</x:v>
      </x:c>
      <x:c r="F447" s="10" t="n">
        <x:f>'原始数据'!L444</x:f>
        <x:v>1183</x:v>
      </x:c>
      <x:c r="G447" s="9" t="n">
        <x:f>F447/'原始数据'!G444</x:f>
        <x:v>0.0339678984695782</x:v>
      </x:c>
      <x:c r="H447" s="9" t="n">
        <x:f>'原始数据'!P444/'原始数据'!O444</x:f>
        <x:v>0.09877800407331976</x:v>
      </x:c>
      <x:c r="I447" s="9" t="n">
        <x:f>F447/C447</x:f>
        <x:v>0.00928877651973178</x:v>
      </x:c>
      <x:c r="J447" s="9" t="n">
        <x:f>'原始数据'!G444/'原始数据'!F444</x:f>
        <x:v>0.011648102680699107</x:v>
      </x:c>
      <x:c r="K447" s="2" t="str">
        <x:v>待拆分产品市场</x:v>
      </x:c>
      <x:c r="L447" s="15" t="str">
        <x:v>体积/安装/售后成本待核验</x:v>
      </x:c>
      <x:c r="M447" s="2" t="str">
        <x:f>IF(AND(C447&gt;='核验与方法'!$B$7,F447&gt;='核验与方法'!$B$8,G447&gt;='核验与方法'!$B$9,D447&gt;='核验与方法'!$B$10,E447&gt;='核验与方法'!$B$11),"通过需求门槛","未通过需求门槛")</x:f>
        <x:v>未通过需求门槛</x:v>
      </x:c>
      <x:c r="N447" s="2" t="str">
        <x:v>先核验风险标签</x:v>
      </x:c>
      <x:c r="O447" s="9" t="n">
        <x:f>G447-'原始数据'!J444</x:f>
        <x:v>0.0000678984695781995</x:v>
      </x:c>
      <x:c r="P447" s="2" t="str">
        <x:v>DATA HOLD</x:v>
      </x:c>
    </x:row>
    <x:row r="448" ht="48" customHeight="1">
      <x:c r="A448" s="2" t="n">
        <x:v>443</x:v>
      </x:c>
      <x:c r="B448" s="2" t="str">
        <x:v>korean drama</x:v>
      </x:c>
      <x:c r="C448" s="10" t="n">
        <x:f>'原始数据'!D445</x:f>
        <x:v>126993</x:v>
      </x:c>
      <x:c r="D448" s="9" t="n">
        <x:f>IF(ISNUMBER('原始数据'!E445),'原始数据'!E445,VALUE(SUBSTITUTE('原始数据'!E445,"'","")))</x:f>
        <x:v>0.141</x:v>
      </x:c>
      <x:c r="E448" s="9" t="n">
        <x:f>IF(ISNUMBER('原始数据'!H445),'原始数据'!H445,VALUE(SUBSTITUTE('原始数据'!H445,"'","")))</x:f>
        <x:v>0.6068</x:v>
      </x:c>
      <x:c r="F448" s="10" t="n">
        <x:f>'原始数据'!L445</x:f>
        <x:v>9</x:v>
      </x:c>
      <x:c r="G448" s="9" t="n">
        <x:f>F448/'原始数据'!G445</x:f>
        <x:v>0.008670520231213872</x:v>
      </x:c>
      <x:c r="H448" s="9" t="n">
        <x:f>'原始数据'!P445/'原始数据'!O445</x:f>
        <x:v>0.0008434073657576609</x:v>
      </x:c>
      <x:c r="I448" s="9" t="n">
        <x:f>F448/C448</x:f>
        <x:v>0.00007087004795539912</x:v>
      </x:c>
      <x:c r="J448" s="9" t="n">
        <x:f>'原始数据'!G445/'原始数据'!F445</x:f>
        <x:v>0.0013404791115128817</x:v>
      </x:c>
      <x:c r="K448" s="2" t="str">
        <x:v>待拆分产品市场</x:v>
      </x:c>
      <x:c r="L448" s="15" t="str">
        <x:v>内容/导航或宽泛需求需拆分</x:v>
      </x:c>
      <x:c r="M448" s="2" t="str">
        <x:f>IF(AND(C448&gt;='核验与方法'!$B$7,F448&gt;='核验与方法'!$B$8,G448&gt;='核验与方法'!$B$9,D448&gt;='核验与方法'!$B$10,E448&gt;='核验与方法'!$B$11),"通过需求门槛","未通过需求门槛")</x:f>
        <x:v>未通过需求门槛</x:v>
      </x:c>
      <x:c r="N448" s="2" t="str">
        <x:v>先核验风险标签</x:v>
      </x:c>
      <x:c r="O448" s="9" t="n">
        <x:f>G448-'原始数据'!J445</x:f>
        <x:v>0.00007052023121387196</x:v>
      </x:c>
      <x:c r="P448" s="2" t="str">
        <x:v>DATA HOLD</x:v>
      </x:c>
    </x:row>
    <x:row r="449" ht="48" customHeight="1">
      <x:c r="A449" s="2" t="n">
        <x:v>444</x:v>
      </x:c>
      <x:c r="B449" s="2" t="str">
        <x:v>counter height stools</x:v>
      </x:c>
      <x:c r="C449" s="10" t="n">
        <x:f>'原始数据'!D446</x:f>
        <x:v>126904</x:v>
      </x:c>
      <x:c r="D449" s="9" t="n">
        <x:f>IF(ISNUMBER('原始数据'!E446),'原始数据'!E446,VALUE(SUBSTITUTE('原始数据'!E446,"'","")))</x:f>
        <x:v>-0.0201</x:v>
      </x:c>
      <x:c r="E449" s="9" t="n">
        <x:f>IF(ISNUMBER('原始数据'!H446),'原始数据'!H446,VALUE(SUBSTITUTE('原始数据'!H446,"'","")))</x:f>
        <x:v>-0.0169</x:v>
      </x:c>
      <x:c r="F449" s="10" t="n">
        <x:f>'原始数据'!L446</x:f>
        <x:v>314</x:v>
      </x:c>
      <x:c r="G449" s="9" t="n">
        <x:f>F449/'原始数据'!G446</x:f>
        <x:v>0.006696809418188022</x:v>
      </x:c>
      <x:c r="H449" s="9" t="n">
        <x:f>'原始数据'!P446/'原始数据'!O446</x:f>
        <x:v>0.04389898513098891</x:v>
      </x:c>
      <x:c r="I449" s="9" t="n">
        <x:f>F449/C449</x:f>
        <x:v>0.002474311290424258</x:v>
      </x:c>
      <x:c r="J449" s="9" t="n">
        <x:f>'原始数据'!G446/'原始数据'!F446</x:f>
        <x:v>0.011781549843684905</x:v>
      </x:c>
      <x:c r="K449" s="2" t="str">
        <x:v>待拆分产品市场</x:v>
      </x:c>
      <x:c r="L449" s="15" t="str">
        <x:v>体积/安装/售后成本待核验</x:v>
      </x:c>
      <x:c r="M449" s="2" t="str">
        <x:f>IF(AND(C449&gt;='核验与方法'!$B$7,F449&gt;='核验与方法'!$B$8,G449&gt;='核验与方法'!$B$9,D449&gt;='核验与方法'!$B$10,E449&gt;='核验与方法'!$B$11),"通过需求门槛","未通过需求门槛")</x:f>
        <x:v>未通过需求门槛</x:v>
      </x:c>
      <x:c r="N449" s="2" t="str">
        <x:v>先核验风险标签</x:v>
      </x:c>
      <x:c r="O449" s="9" t="n">
        <x:f>G449-'原始数据'!J446</x:f>
        <x:v>0.00009680941818802219</x:v>
      </x:c>
      <x:c r="P449" s="2" t="str">
        <x:v>DATA HOLD</x:v>
      </x:c>
    </x:row>
    <x:row r="450" ht="48" customHeight="1">
      <x:c r="A450" s="2" t="n">
        <x:v>445</x:v>
      </x:c>
      <x:c r="B450" s="2" t="str">
        <x:v>white romper</x:v>
      </x:c>
      <x:c r="C450" s="10" t="n">
        <x:f>'原始数据'!D447</x:f>
        <x:v>126809</x:v>
      </x:c>
      <x:c r="D450" s="9" t="n">
        <x:f>IF(ISNUMBER('原始数据'!E447),'原始数据'!E447,VALUE(SUBSTITUTE('原始数据'!E447,"'","")))</x:f>
        <x:v>-0.0752</x:v>
      </x:c>
      <x:c r="E450" s="9" t="n">
        <x:f>IF(ISNUMBER('原始数据'!H447),'原始数据'!H447,VALUE(SUBSTITUTE('原始数据'!H447,"'","")))</x:f>
        <x:v>-0.0992</x:v>
      </x:c>
      <x:c r="F450" s="10" t="n">
        <x:f>'原始数据'!L447</x:f>
        <x:v>516</x:v>
      </x:c>
      <x:c r="G450" s="9" t="n">
        <x:f>F450/'原始数据'!G447</x:f>
        <x:v>0.011886935888870971</x:v>
      </x:c>
      <x:c r="H450" s="9" t="n">
        <x:f>'原始数据'!P447/'原始数据'!O447</x:f>
        <x:v>0.10425457102672292</x:v>
      </x:c>
      <x:c r="I450" s="9" t="n">
        <x:f>F450/C450</x:f>
        <x:v>0.004069111813830248</x:v>
      </x:c>
      <x:c r="J450" s="9" t="n">
        <x:f>'原始数据'!G447/'原始数据'!F447</x:f>
        <x:v>0.009302179065821987</x:v>
      </x:c>
      <x:c r="K450" s="2" t="str">
        <x:v>待拆分产品市场</x:v>
      </x:c>
      <x:c r="L450" s="15" t="str">
        <x:v>尺码/颜色变体及退货待核验</x:v>
      </x:c>
      <x:c r="M450" s="2" t="str">
        <x:f>IF(AND(C450&gt;='核验与方法'!$B$7,F450&gt;='核验与方法'!$B$8,G450&gt;='核验与方法'!$B$9,D450&gt;='核验与方法'!$B$10,E450&gt;='核验与方法'!$B$11),"通过需求门槛","未通过需求门槛")</x:f>
        <x:v>未通过需求门槛</x:v>
      </x:c>
      <x:c r="N450" s="2" t="str">
        <x:v>先核验风险标签</x:v>
      </x:c>
      <x:c r="O450" s="9" t="n">
        <x:f>G450-'原始数据'!J447</x:f>
        <x:v>0.00008693588887097141</x:v>
      </x:c>
      <x:c r="P450" s="2" t="str">
        <x:v>DATA HOLD</x:v>
      </x:c>
    </x:row>
    <x:row r="451" ht="48" customHeight="1">
      <x:c r="A451" s="2" t="n">
        <x:v>446</x:v>
      </x:c>
      <x:c r="B451" s="2" t="str">
        <x:v>halloween dresses for women</x:v>
      </x:c>
      <x:c r="C451" s="10" t="n">
        <x:f>'原始数据'!D448</x:f>
        <x:v>126808</x:v>
      </x:c>
      <x:c r="D451" s="9" t="n">
        <x:f>IF(ISNUMBER('原始数据'!E448),'原始数据'!E448,VALUE(SUBSTITUTE('原始数据'!E448,"'","")))</x:f>
        <x:v>1.7114</x:v>
      </x:c>
      <x:c r="E451" s="9" t="n">
        <x:f>IF(ISNUMBER('原始数据'!H448),'原始数据'!H448,VALUE(SUBSTITUTE('原始数据'!H448,"'","")))</x:f>
        <x:v>1.9597</x:v>
      </x:c>
      <x:c r="F451" s="10" t="n">
        <x:f>'原始数据'!L448</x:f>
        <x:v>449</x:v>
      </x:c>
      <x:c r="G451" s="9" t="n">
        <x:f>F451/'原始数据'!G448</x:f>
        <x:v>0.011190031152647975</x:v>
      </x:c>
      <x:c r="H451" s="9" t="n">
        <x:f>'原始数据'!P448/'原始数据'!O448</x:f>
        <x:v>0.0589873417721519</x:v>
      </x:c>
      <x:c r="I451" s="9" t="n">
        <x:f>F451/C451</x:f>
        <x:v>0.0035407860702794777</x:v>
      </x:c>
      <x:c r="J451" s="9" t="n">
        <x:f>'原始数据'!G448/'原始数据'!F448</x:f>
        <x:v>0.017754856865985675</x:v>
      </x:c>
      <x:c r="K451" s="2" t="str">
        <x:v>待拆分产品市场</x:v>
      </x:c>
      <x:c r="L451" s="15" t="str">
        <x:v>季节/事件影响待核验；尺码/颜色变体及退货待核验</x:v>
      </x:c>
      <x:c r="M451" s="2" t="str">
        <x:f>IF(AND(C451&gt;='核验与方法'!$B$7,F451&gt;='核验与方法'!$B$8,G451&gt;='核验与方法'!$B$9,D451&gt;='核验与方法'!$B$10,E451&gt;='核验与方法'!$B$11),"通过需求门槛","未通过需求门槛")</x:f>
        <x:v>未通过需求门槛</x:v>
      </x:c>
      <x:c r="N451" s="2" t="str">
        <x:v>先核验风险标签</x:v>
      </x:c>
      <x:c r="O451" s="9" t="n">
        <x:f>G451-'原始数据'!J448</x:f>
        <x:v>0.00009003115264797495</x:v>
      </x:c>
      <x:c r="P451" s="2" t="str">
        <x:v>DATA HOLD</x:v>
      </x:c>
    </x:row>
    <x:row r="452" ht="48" customHeight="1">
      <x:c r="A452" s="2" t="n">
        <x:v>447</x:v>
      </x:c>
      <x:c r="B452" s="2" t="str">
        <x:v>baby essentials for newborn boy</x:v>
      </x:c>
      <x:c r="C452" s="10" t="n">
        <x:f>'原始数据'!D449</x:f>
        <x:v>126702</x:v>
      </x:c>
      <x:c r="D452" s="9" t="n">
        <x:f>IF(ISNUMBER('原始数据'!E449),'原始数据'!E449,VALUE(SUBSTITUTE('原始数据'!E449,"'","")))</x:f>
        <x:v>-0.0381</x:v>
      </x:c>
      <x:c r="E452" s="9" t="n">
        <x:f>IF(ISNUMBER('原始数据'!H449),'原始数据'!H449,VALUE(SUBSTITUTE('原始数据'!H449,"'","")))</x:f>
        <x:v>-0.0505</x:v>
      </x:c>
      <x:c r="F452" s="10" t="n">
        <x:f>'原始数据'!L449</x:f>
        <x:v>1475</x:v>
      </x:c>
      <x:c r="G452" s="9" t="n">
        <x:f>F452/'原始数据'!G449</x:f>
        <x:v>0.03323494288096258</x:v>
      </x:c>
      <x:c r="H452" s="9" t="n">
        <x:f>'原始数据'!P449/'原始数据'!O449</x:f>
        <x:v>0.10381203548309757</x:v>
      </x:c>
      <x:c r="I452" s="9" t="n">
        <x:f>F452/C452</x:f>
        <x:v>0.011641489479250524</x:v>
      </x:c>
      <x:c r="J452" s="9" t="n">
        <x:f>'原始数据'!G449/'原始数据'!F449</x:f>
        <x:v>0.0119509467505494</x:v>
      </x:c>
      <x:c r="K452" s="2" t="str">
        <x:v>待拆分产品市场</x:v>
      </x:c>
      <x:c r="L452" s="15" t="str">
        <x:v>暂无自动识别标签，仍需核验</x:v>
      </x:c>
      <x:c r="M452" s="2" t="str">
        <x:f>IF(AND(C452&gt;='核验与方法'!$B$7,F452&gt;='核验与方法'!$B$8,G452&gt;='核验与方法'!$B$9,D452&gt;='核验与方法'!$B$10,E452&gt;='核验与方法'!$B$11),"通过需求门槛","未通过需求门槛")</x:f>
        <x:v>未通过需求门槛</x:v>
      </x:c>
      <x:c r="N452" s="2" t="str">
        <x:v>待确认具体产品形态</x:v>
      </x:c>
      <x:c r="O452" s="9" t="n">
        <x:f>G452-'原始数据'!J449</x:f>
        <x:v>0.000034942880962576806</x:v>
      </x:c>
      <x:c r="P452" s="2" t="str">
        <x:v>DATA HOLD</x:v>
      </x:c>
    </x:row>
    <x:row r="453" ht="48" customHeight="1">
      <x:c r="A453" s="2" t="n">
        <x:v>448</x:v>
      </x:c>
      <x:c r="B453" s="2" t="str">
        <x:v>scooby doo costume</x:v>
      </x:c>
      <x:c r="C453" s="10" t="n">
        <x:f>'原始数据'!D450</x:f>
        <x:v>126303</x:v>
      </x:c>
      <x:c r="D453" s="9" t="n">
        <x:f>IF(ISNUMBER('原始数据'!E450),'原始数据'!E450,VALUE(SUBSTITUTE('原始数据'!E450,"'","")))</x:f>
        <x:v>1.5426</x:v>
      </x:c>
      <x:c r="E453" s="9" t="n">
        <x:f>IF(ISNUMBER('原始数据'!H450),'原始数据'!H450,VALUE(SUBSTITUTE('原始数据'!H450,"'","")))</x:f>
        <x:v>1.5897</x:v>
      </x:c>
      <x:c r="F453" s="10" t="n">
        <x:f>'原始数据'!L450</x:f>
        <x:v>504</x:v>
      </x:c>
      <x:c r="G453" s="9" t="n">
        <x:f>F453/'原始数据'!G450</x:f>
        <x:v>0.011325842696629214</x:v>
      </x:c>
      <x:c r="H453" s="9" t="n">
        <x:f>'原始数据'!P450/'原始数据'!O450</x:f>
        <x:v>0.03970528039295947</x:v>
      </x:c>
      <x:c r="I453" s="9" t="n">
        <x:f>F453/C453</x:f>
        <x:v>0.003990404028407876</x:v>
      </x:c>
      <x:c r="J453" s="9" t="n">
        <x:f>'原始数据'!G450/'原始数据'!F450</x:f>
        <x:v>0.02770879981668605</x:v>
      </x:c>
      <x:c r="K453" s="2" t="str">
        <x:v>待拆分产品市场</x:v>
      </x:c>
      <x:c r="L453" s="15" t="str">
        <x:v>品牌或IP需核验；季节/事件影响待核验</x:v>
      </x:c>
      <x:c r="M453" s="2" t="str">
        <x:f>IF(AND(C453&gt;='核验与方法'!$B$7,F453&gt;='核验与方法'!$B$8,G453&gt;='核验与方法'!$B$9,D453&gt;='核验与方法'!$B$10,E453&gt;='核验与方法'!$B$11),"通过需求门槛","未通过需求门槛")</x:f>
        <x:v>未通过需求门槛</x:v>
      </x:c>
      <x:c r="N453" s="2" t="str">
        <x:v>先核验风险标签</x:v>
      </x:c>
      <x:c r="O453" s="9" t="n">
        <x:f>G453-'原始数据'!J450</x:f>
        <x:v>0.000025842696629214262</x:v>
      </x:c>
      <x:c r="P453" s="2" t="str">
        <x:v>DATA HOLD</x:v>
      </x:c>
    </x:row>
    <x:row r="454" ht="48" customHeight="1">
      <x:c r="A454" s="2" t="n">
        <x:v>449</x:v>
      </x:c>
      <x:c r="B454" s="2" t="str">
        <x:v>michael myers mask</x:v>
      </x:c>
      <x:c r="C454" s="10" t="n">
        <x:f>'原始数据'!D451</x:f>
        <x:v>126165</x:v>
      </x:c>
      <x:c r="D454" s="9" t="n">
        <x:f>IF(ISNUMBER('原始数据'!E451),'原始数据'!E451,VALUE(SUBSTITUTE('原始数据'!E451,"'","")))</x:f>
        <x:v>2.0385</x:v>
      </x:c>
      <x:c r="E454" s="9" t="n">
        <x:f>IF(ISNUMBER('原始数据'!H451),'原始数据'!H451,VALUE(SUBSTITUTE('原始数据'!H451,"'","")))</x:f>
        <x:v>2.1766</x:v>
      </x:c>
      <x:c r="F454" s="10" t="n">
        <x:f>'原始数据'!L451</x:f>
        <x:v>2437</x:v>
      </x:c>
      <x:c r="G454" s="9" t="n">
        <x:f>F454/'原始数据'!G451</x:f>
        <x:v>0.04488360100191543</x:v>
      </x:c>
      <x:c r="H454" s="9" t="n">
        <x:f>'原始数据'!P451/'原始数据'!O451</x:f>
        <x:v>0.1330450895614577</x:v>
      </x:c>
      <x:c r="I454" s="9" t="n">
        <x:f>F454/C454</x:f>
        <x:v>0.019315975111956565</x:v>
      </x:c>
      <x:c r="J454" s="9" t="n">
        <x:f>'原始数据'!G451/'原始数据'!F451</x:f>
        <x:v>0.04236582581603138</x:v>
      </x:c>
      <x:c r="K454" s="2" t="str">
        <x:v>待拆分产品市场</x:v>
      </x:c>
      <x:c r="L454" s="15" t="str">
        <x:v>品牌或IP需核验</x:v>
      </x:c>
      <x:c r="M454" s="2" t="str">
        <x:f>IF(AND(C454&gt;='核验与方法'!$B$7,F454&gt;='核验与方法'!$B$8,G454&gt;='核验与方法'!$B$9,D454&gt;='核验与方法'!$B$10,E454&gt;='核验与方法'!$B$11),"通过需求门槛","未通过需求门槛")</x:f>
        <x:v>未通过需求门槛</x:v>
      </x:c>
      <x:c r="N454" s="2" t="str">
        <x:v>先核验风险标签</x:v>
      </x:c>
      <x:c r="O454" s="9" t="n">
        <x:f>G454-'原始数据'!J451</x:f>
        <x:v>0.00008360100191542874</x:v>
      </x:c>
      <x:c r="P454" s="2" t="str">
        <x:v>DATA HOLD</x:v>
      </x:c>
    </x:row>
    <x:row r="455" ht="48" customHeight="1">
      <x:c r="A455" s="2" t="n">
        <x:v>450</x:v>
      </x:c>
      <x:c r="B455" s="2" t="str">
        <x:v>salt and stone deodorant</x:v>
      </x:c>
      <x:c r="C455" s="10" t="n">
        <x:f>'原始数据'!D452</x:f>
        <x:v>125943</x:v>
      </x:c>
      <x:c r="D455" s="9" t="n">
        <x:f>IF(ISNUMBER('原始数据'!E452),'原始数据'!E452,VALUE(SUBSTITUTE('原始数据'!E452,"'","")))</x:f>
        <x:v>0.0866</x:v>
      </x:c>
      <x:c r="E455" s="9" t="n">
        <x:f>IF(ISNUMBER('原始数据'!H452),'原始数据'!H452,VALUE(SUBSTITUTE('原始数据'!H452,"'","")))</x:f>
        <x:v>0.0778</x:v>
      </x:c>
      <x:c r="F455" s="10" t="n">
        <x:f>'原始数据'!L452</x:f>
        <x:v>15446</x:v>
      </x:c>
      <x:c r="G455" s="9" t="n">
        <x:f>F455/'原始数据'!G452</x:f>
        <x:v>0.21836740464274607</x:v>
      </x:c>
      <x:c r="H455" s="9" t="n">
        <x:f>'原始数据'!P452/'原始数据'!O452</x:f>
        <x:v>0.3935537368857483</x:v>
      </x:c>
      <x:c r="I455" s="9" t="n">
        <x:f>F455/C455</x:f>
        <x:v>0.1226427828462082</x:v>
      </x:c>
      <x:c r="J455" s="9" t="n">
        <x:f>'原始数据'!G452/'原始数据'!F452</x:f>
        <x:v>0.013742912299026374</x:v>
      </x:c>
      <x:c r="K455" s="2" t="str">
        <x:v>待拆分产品市场</x:v>
      </x:c>
      <x:c r="L455" s="15" t="str">
        <x:v>品牌或IP需核验</x:v>
      </x:c>
      <x:c r="M455" s="2" t="str">
        <x:f>IF(AND(C455&gt;='核验与方法'!$B$7,F455&gt;='核验与方法'!$B$8,G455&gt;='核验与方法'!$B$9,D455&gt;='核验与方法'!$B$10,E455&gt;='核验与方法'!$B$11),"通过需求门槛","未通过需求门槛")</x:f>
        <x:v>通过需求门槛</x:v>
      </x:c>
      <x:c r="N455" s="2" t="str">
        <x:v>先核验风险标签</x:v>
      </x:c>
      <x:c r="O455" s="9" t="n">
        <x:f>G455-'原始数据'!J452</x:f>
        <x:v>0.00006740464274607172</x:v>
      </x:c>
      <x:c r="P455" s="2" t="str">
        <x:v>DATA HOLD</x:v>
      </x:c>
    </x:row>
    <x:row r="456" ht="48" customHeight="1">
      <x:c r="A456" s="2" t="n">
        <x:v>451</x:v>
      </x:c>
      <x:c r="B456" s="2" t="str">
        <x:v>sexy panties</x:v>
      </x:c>
      <x:c r="C456" s="10" t="n">
        <x:f>'原始数据'!D453</x:f>
        <x:v>125738</x:v>
      </x:c>
      <x:c r="D456" s="9" t="n">
        <x:f>IF(ISNUMBER('原始数据'!E453),'原始数据'!E453,VALUE(SUBSTITUTE('原始数据'!E453,"'","")))</x:f>
        <x:v>0.1433</x:v>
      </x:c>
      <x:c r="E456" s="9" t="n">
        <x:f>IF(ISNUMBER('原始数据'!H453),'原始数据'!H453,VALUE(SUBSTITUTE('原始数据'!H453,"'","")))</x:f>
        <x:v>0.1668</x:v>
      </x:c>
      <x:c r="F456" s="10" t="n">
        <x:f>'原始数据'!L453</x:f>
        <x:v>649</x:v>
      </x:c>
      <x:c r="G456" s="9" t="n">
        <x:f>F456/'原始数据'!G453</x:f>
        <x:v>0.01555683398053598</x:v>
      </x:c>
      <x:c r="H456" s="9" t="n">
        <x:f>'原始数据'!P453/'原始数据'!O453</x:f>
        <x:v>0.13989724585193294</x:v>
      </x:c>
      <x:c r="I456" s="9" t="n">
        <x:f>F456/C456</x:f>
        <x:v>0.005161526348438817</x:v>
      </x:c>
      <x:c r="J456" s="9" t="n">
        <x:f>'原始数据'!G453/'原始数据'!F453</x:f>
        <x:v>0.014872562905721897</x:v>
      </x:c>
      <x:c r="K456" s="2" t="str">
        <x:v>待拆分产品市场</x:v>
      </x:c>
      <x:c r="L456" s="15" t="str">
        <x:v>尺码/颜色变体及退货待核验；专业类目适配与规则待核验</x:v>
      </x:c>
      <x:c r="M456" s="2" t="str">
        <x:f>IF(AND(C456&gt;='核验与方法'!$B$7,F456&gt;='核验与方法'!$B$8,G456&gt;='核验与方法'!$B$9,D456&gt;='核验与方法'!$B$10,E456&gt;='核验与方法'!$B$11),"通过需求门槛","未通过需求门槛")</x:f>
        <x:v>未通过需求门槛</x:v>
      </x:c>
      <x:c r="N456" s="2" t="str">
        <x:v>先核验风险标签</x:v>
      </x:c>
      <x:c r="O456" s="9" t="n">
        <x:f>G456-'原始数据'!J453</x:f>
        <x:v>0.000056833980535979725</x:v>
      </x:c>
      <x:c r="P456" s="2" t="str">
        <x:v>DATA HOLD</x:v>
      </x:c>
    </x:row>
    <x:row r="457" ht="48" customHeight="1">
      <x:c r="A457" s="2" t="n">
        <x:v>452</x:v>
      </x:c>
      <x:c r="B457" s="2" t="str">
        <x:v>steamer for cooking</x:v>
      </x:c>
      <x:c r="C457" s="10" t="n">
        <x:f>'原始数据'!D454</x:f>
        <x:v>125690</x:v>
      </x:c>
      <x:c r="D457" s="9" t="n">
        <x:f>IF(ISNUMBER('原始数据'!E454),'原始数据'!E454,VALUE(SUBSTITUTE('原始数据'!E454,"'","")))</x:f>
        <x:v>0.0203</x:v>
      </x:c>
      <x:c r="E457" s="9" t="n">
        <x:f>IF(ISNUMBER('原始数据'!H454),'原始数据'!H454,VALUE(SUBSTITUTE('原始数据'!H454,"'","")))</x:f>
        <x:v>0.012</x:v>
      </x:c>
      <x:c r="F457" s="10" t="n">
        <x:f>'原始数据'!L454</x:f>
        <x:v>4792</x:v>
      </x:c>
      <x:c r="G457" s="9" t="n">
        <x:f>F457/'原始数据'!G454</x:f>
        <x:v>0.0913301187367779</x:v>
      </x:c>
      <x:c r="H457" s="9" t="n">
        <x:f>'原始数据'!P454/'原始数据'!O454</x:f>
        <x:v>0.22626310290201895</x:v>
      </x:c>
      <x:c r="I457" s="9" t="n">
        <x:f>F457/C457</x:f>
        <x:v>0.03812554698066672</x:v>
      </x:c>
      <x:c r="J457" s="9" t="n">
        <x:f>'原始数据'!G454/'原始数据'!F454</x:f>
        <x:v>0.012101152525861027</x:v>
      </x:c>
      <x:c r="K457" s="2" t="str">
        <x:v>待拆分产品市场</x:v>
      </x:c>
      <x:c r="L457" s="15" t="str">
        <x:v>暂无自动识别标签，仍需核验</x:v>
      </x:c>
      <x:c r="M457" s="2" t="str">
        <x:f>IF(AND(C457&gt;='核验与方法'!$B$7,F457&gt;='核验与方法'!$B$8,G457&gt;='核验与方法'!$B$9,D457&gt;='核验与方法'!$B$10,E457&gt;='核验与方法'!$B$11),"通过需求门槛","未通过需求门槛")</x:f>
        <x:v>通过需求门槛</x:v>
      </x:c>
      <x:c r="N457" s="2" t="str">
        <x:v>待确认具体产品形态</x:v>
      </x:c>
      <x:c r="O457" s="9" t="n">
        <x:f>G457-'原始数据'!J454</x:f>
        <x:v>0.000030118736777898225</x:v>
      </x:c>
      <x:c r="P457" s="2" t="str">
        <x:v>DATA HOLD</x:v>
      </x:c>
    </x:row>
    <x:row r="458" ht="48" customHeight="1">
      <x:c r="A458" s="2" t="n">
        <x:v>453</x:v>
      </x:c>
      <x:c r="B458" s="2" t="str">
        <x:v>oled tv</x:v>
      </x:c>
      <x:c r="C458" s="10" t="n">
        <x:f>'原始数据'!D455</x:f>
        <x:v>125677</x:v>
      </x:c>
      <x:c r="D458" s="9" t="n">
        <x:f>IF(ISNUMBER('原始数据'!E455),'原始数据'!E455,VALUE(SUBSTITUTE('原始数据'!E455,"'","")))</x:f>
        <x:v>0.1383</x:v>
      </x:c>
      <x:c r="E458" s="9" t="n">
        <x:f>IF(ISNUMBER('原始数据'!H455),'原始数据'!H455,VALUE(SUBSTITUTE('原始数据'!H455,"'","")))</x:f>
        <x:v>0.1812</x:v>
      </x:c>
      <x:c r="F458" s="10" t="n">
        <x:f>'原始数据'!L455</x:f>
        <x:v>173</x:v>
      </x:c>
      <x:c r="G458" s="9" t="n">
        <x:f>F458/'原始数据'!G455</x:f>
        <x:v>0.005080166793915546</x:v>
      </x:c>
      <x:c r="H458" s="9" t="n">
        <x:f>'原始数据'!P455/'原始数据'!O455</x:f>
        <x:v>0.013304047693755884</x:v>
      </x:c>
      <x:c r="I458" s="9" t="n">
        <x:f>F458/C458</x:f>
        <x:v>0.0013765446342608432</x:v>
      </x:c>
      <x:c r="J458" s="9" t="n">
        <x:f>'原始数据'!G455/'原始数据'!F455</x:f>
        <x:v>0.012172437261226637</x:v>
      </x:c>
      <x:c r="K458" s="2" t="str">
        <x:v>待拆分产品市场</x:v>
      </x:c>
      <x:c r="L458" s="15" t="str">
        <x:v>体积/安装/售后成本待核验</x:v>
      </x:c>
      <x:c r="M458" s="2" t="str">
        <x:f>IF(AND(C458&gt;='核验与方法'!$B$7,F458&gt;='核验与方法'!$B$8,G458&gt;='核验与方法'!$B$9,D458&gt;='核验与方法'!$B$10,E458&gt;='核验与方法'!$B$11),"通过需求门槛","未通过需求门槛")</x:f>
        <x:v>未通过需求门槛</x:v>
      </x:c>
      <x:c r="N458" s="2" t="str">
        <x:v>先核验风险标签</x:v>
      </x:c>
      <x:c r="O458" s="9" t="n">
        <x:f>G458-'原始数据'!J455</x:f>
        <x:v>0.00008016679391554572</x:v>
      </x:c>
      <x:c r="P458" s="2" t="str">
        <x:v>DATA HOLD</x:v>
      </x:c>
    </x:row>
    <x:row r="459" ht="48" customHeight="1">
      <x:c r="A459" s="2" t="n">
        <x:v>454</x:v>
      </x:c>
      <x:c r="B459" s="2" t="str">
        <x:v>combination wrenches</x:v>
      </x:c>
      <x:c r="C459" s="10" t="n">
        <x:f>'原始数据'!D456</x:f>
        <x:v>125596</x:v>
      </x:c>
      <x:c r="D459" s="9" t="n">
        <x:f>IF(ISNUMBER('原始数据'!E456),'原始数据'!E456,VALUE(SUBSTITUTE('原始数据'!E456,"'","")))</x:f>
        <x:v>0.5306</x:v>
      </x:c>
      <x:c r="E459" s="9" t="n">
        <x:f>IF(ISNUMBER('原始数据'!H456),'原始数据'!H456,VALUE(SUBSTITUTE('原始数据'!H456,"'","")))</x:f>
        <x:v>0.0716</x:v>
      </x:c>
      <x:c r="F459" s="10" t="n">
        <x:f>'原始数据'!L456</x:f>
        <x:v>2268</x:v>
      </x:c>
      <x:c r="G459" s="9" t="n">
        <x:f>F459/'原始数据'!G456</x:f>
        <x:v>0.06545643452913504</x:v>
      </x:c>
      <x:c r="H459" s="9" t="n">
        <x:f>'原始数据'!P456/'原始数据'!O456</x:f>
        <x:v>0.1951945080091533</x:v>
      </x:c>
      <x:c r="I459" s="9" t="n">
        <x:f>F459/C459</x:f>
        <x:v>0.01805789993311889</x:v>
      </x:c>
      <x:c r="J459" s="9" t="n">
        <x:f>'原始数据'!G456/'原始数据'!F456</x:f>
        <x:v>0.016065465531742845</x:v>
      </x:c>
      <x:c r="K459" s="2" t="str">
        <x:v>待拆分产品市场</x:v>
      </x:c>
      <x:c r="L459" s="15" t="str">
        <x:v>暂无自动识别标签，仍需核验</x:v>
      </x:c>
      <x:c r="M459" s="2" t="str">
        <x:f>IF(AND(C459&gt;='核验与方法'!$B$7,F459&gt;='核验与方法'!$B$8,G459&gt;='核验与方法'!$B$9,D459&gt;='核验与方法'!$B$10,E459&gt;='核验与方法'!$B$11),"通过需求门槛","未通过需求门槛")</x:f>
        <x:v>通过需求门槛</x:v>
      </x:c>
      <x:c r="N459" s="2" t="str">
        <x:v>待确认具体产品形态</x:v>
      </x:c>
      <x:c r="O459" s="9" t="n">
        <x:f>G459-'原始数据'!J456</x:f>
        <x:v>0.00005643452913503544</x:v>
      </x:c>
      <x:c r="P459" s="2" t="str">
        <x:v>DATA HOLD</x:v>
      </x:c>
    </x:row>
    <x:row r="460" ht="48" customHeight="1">
      <x:c r="A460" s="2" t="n">
        <x:v>455</x:v>
      </x:c>
      <x:c r="B460" s="2" t="str">
        <x:v>plums</x:v>
      </x:c>
      <x:c r="C460" s="10" t="n">
        <x:f>'原始数据'!D457</x:f>
        <x:v>125317</x:v>
      </x:c>
      <x:c r="D460" s="9" t="n">
        <x:f>IF(ISNUMBER('原始数据'!E457),'原始数据'!E457,VALUE(SUBSTITUTE('原始数据'!E457,"'","")))</x:f>
        <x:v>-0.0522</x:v>
      </x:c>
      <x:c r="E460" s="9" t="n">
        <x:f>IF(ISNUMBER('原始数据'!H457),'原始数据'!H457,VALUE(SUBSTITUTE('原始数据'!H457,"'","")))</x:f>
        <x:v>-0.1648</x:v>
      </x:c>
      <x:c r="F460" s="10" t="n">
        <x:f>'原始数据'!L457</x:f>
        <x:v>21186</x:v>
      </x:c>
      <x:c r="G460" s="9" t="n">
        <x:f>F460/'原始数据'!G457</x:f>
        <x:v>0.3540618680749369</x:v>
      </x:c>
      <x:c r="H460" s="9" t="n">
        <x:f>'原始数据'!P457/'原始数据'!O457</x:f>
        <x:v>0.4290020224019913</x:v>
      </x:c>
      <x:c r="I460" s="9" t="n">
        <x:f>F460/C460</x:f>
        <x:v>0.16905926570217927</x:v>
      </x:c>
      <x:c r="J460" s="9" t="n">
        <x:f>'原始数据'!G457/'原始数据'!F457</x:f>
        <x:v>0.022778378184954935</x:v>
      </x:c>
      <x:c r="K460" s="2" t="str">
        <x:v>专业供给</x:v>
      </x:c>
      <x:c r="L460" s="15" t="str">
        <x:v>食品/补剂或耗材需独立供应链</x:v>
      </x:c>
      <x:c r="M460" s="2" t="str">
        <x:f>IF(AND(C460&gt;='核验与方法'!$B$7,F460&gt;='核验与方法'!$B$8,G460&gt;='核验与方法'!$B$9,D460&gt;='核验与方法'!$B$10,E460&gt;='核验与方法'!$B$11),"通过需求门槛","未通过需求门槛")</x:f>
        <x:v>未通过需求门槛</x:v>
      </x:c>
      <x:c r="N460" s="2" t="str">
        <x:v>先核验风险标签</x:v>
      </x:c>
      <x:c r="O460" s="9" t="n">
        <x:f>G460-'原始数据'!J457</x:f>
        <x:v>0.00006186807493691049</x:v>
      </x:c>
      <x:c r="P460" s="2" t="str">
        <x:v>DATA HOLD</x:v>
      </x:c>
    </x:row>
    <x:row r="461" ht="48" customHeight="1">
      <x:c r="A461" s="2" t="n">
        <x:v>456</x:v>
      </x:c>
      <x:c r="B461" s="2" t="str">
        <x:v>garlic bread</x:v>
      </x:c>
      <x:c r="C461" s="10" t="n">
        <x:f>'原始数据'!D458</x:f>
        <x:v>124964</x:v>
      </x:c>
      <x:c r="D461" s="9" t="n">
        <x:f>IF(ISNUMBER('原始数据'!E458),'原始数据'!E458,VALUE(SUBSTITUTE('原始数据'!E458,"'","")))</x:f>
        <x:v>0.166</x:v>
      </x:c>
      <x:c r="E461" s="9" t="n">
        <x:f>IF(ISNUMBER('原始数据'!H458),'原始数据'!H458,VALUE(SUBSTITUTE('原始数据'!H458,"'","")))</x:f>
        <x:v>0.0602</x:v>
      </x:c>
      <x:c r="F461" s="10" t="n">
        <x:f>'原始数据'!L458</x:f>
        <x:v>19955</x:v>
      </x:c>
      <x:c r="G461" s="9" t="n">
        <x:f>F461/'原始数据'!G458</x:f>
        <x:v>0.40808605492954864</x:v>
      </x:c>
      <x:c r="H461" s="9" t="n">
        <x:f>'原始数据'!P458/'原始数据'!O458</x:f>
        <x:v>0.5518178253319141</x:v>
      </x:c>
      <x:c r="I461" s="9" t="n">
        <x:f>F461/C461</x:f>
        <x:v>0.15968598956499472</x:v>
      </x:c>
      <x:c r="J461" s="9" t="n">
        <x:f>'原始数据'!G458/'原始数据'!F458</x:f>
        <x:v>0.02046538997409757</x:v>
      </x:c>
      <x:c r="K461" s="2" t="str">
        <x:v>专业供给</x:v>
      </x:c>
      <x:c r="L461" s="15" t="str">
        <x:v>食品/补剂或耗材需独立供应链</x:v>
      </x:c>
      <x:c r="M461" s="2" t="str">
        <x:f>IF(AND(C461&gt;='核验与方法'!$B$7,F461&gt;='核验与方法'!$B$8,G461&gt;='核验与方法'!$B$9,D461&gt;='核验与方法'!$B$10,E461&gt;='核验与方法'!$B$11),"通过需求门槛","未通过需求门槛")</x:f>
        <x:v>通过需求门槛</x:v>
      </x:c>
      <x:c r="N461" s="2" t="str">
        <x:v>先核验风险标签</x:v>
      </x:c>
      <x:c r="O461" s="9" t="n">
        <x:f>G461-'原始数据'!J458</x:f>
        <x:v>0.00008605492954866234</x:v>
      </x:c>
      <x:c r="P461" s="2" t="str">
        <x:v>DATA HOLD</x:v>
      </x:c>
    </x:row>
    <x:row r="462" ht="48" customHeight="1">
      <x:c r="A462" s="2" t="n">
        <x:v>457</x:v>
      </x:c>
      <x:c r="B462" s="2" t="str">
        <x:v>rope</x:v>
      </x:c>
      <x:c r="C462" s="10" t="n">
        <x:f>'原始数据'!D459</x:f>
        <x:v>124712</x:v>
      </x:c>
      <x:c r="D462" s="9" t="n">
        <x:f>IF(ISNUMBER('原始数据'!E459),'原始数据'!E459,VALUE(SUBSTITUTE('原始数据'!E459,"'","")))</x:f>
        <x:v>0.0323</x:v>
      </x:c>
      <x:c r="E462" s="9" t="n">
        <x:f>IF(ISNUMBER('原始数据'!H459),'原始数据'!H459,VALUE(SUBSTITUTE('原始数据'!H459,"'","")))</x:f>
        <x:v>0.0094</x:v>
      </x:c>
      <x:c r="F462" s="10" t="n">
        <x:f>'原始数据'!L459</x:f>
        <x:v>6505</x:v>
      </x:c>
      <x:c r="G462" s="9" t="n">
        <x:f>F462/'原始数据'!G459</x:f>
        <x:v>0.14355386856159244</x:v>
      </x:c>
      <x:c r="H462" s="9" t="n">
        <x:f>'原始数据'!P459/'原始数据'!O459</x:f>
        <x:v>0.3467630445945412</x:v>
      </x:c>
      <x:c r="I462" s="9" t="n">
        <x:f>F462/C462</x:f>
        <x:v>0.05216017704791841</x:v>
      </x:c>
      <x:c r="J462" s="9" t="n">
        <x:f>'原始数据'!G459/'原始数据'!F459</x:f>
        <x:v>0.01386110811168785</x:v>
      </x:c>
      <x:c r="K462" s="2" t="str">
        <x:v>待拆分产品市场</x:v>
      </x:c>
      <x:c r="L462" s="15" t="str">
        <x:v>暂无自动识别标签，仍需核验</x:v>
      </x:c>
      <x:c r="M462" s="2" t="str">
        <x:f>IF(AND(C462&gt;='核验与方法'!$B$7,F462&gt;='核验与方法'!$B$8,G462&gt;='核验与方法'!$B$9,D462&gt;='核验与方法'!$B$10,E462&gt;='核验与方法'!$B$11),"通过需求门槛","未通过需求门槛")</x:f>
        <x:v>通过需求门槛</x:v>
      </x:c>
      <x:c r="N462" s="2" t="str">
        <x:v>待确认具体产品形态</x:v>
      </x:c>
      <x:c r="O462" s="9" t="n">
        <x:f>G462-'原始数据'!J459</x:f>
        <x:v>0.00005386856159245168</x:v>
      </x:c>
      <x:c r="P462" s="2" t="str">
        <x:v>DATA HOLD</x:v>
      </x:c>
    </x:row>
    <x:row r="463" ht="48" customHeight="1">
      <x:c r="A463" s="2" t="n">
        <x:v>458</x:v>
      </x:c>
      <x:c r="B463" s="2" t="str">
        <x:v>ladybug costume</x:v>
      </x:c>
      <x:c r="C463" s="10" t="n">
        <x:f>'原始数据'!D460</x:f>
        <x:v>124624</x:v>
      </x:c>
      <x:c r="D463" s="9" t="n">
        <x:f>IF(ISNUMBER('原始数据'!E460),'原始数据'!E460,VALUE(SUBSTITUTE('原始数据'!E460,"'","")))</x:f>
        <x:v>1.3804</x:v>
      </x:c>
      <x:c r="E463" s="9" t="n">
        <x:f>IF(ISNUMBER('原始数据'!H460),'原始数据'!H460,VALUE(SUBSTITUTE('原始数据'!H460,"'","")))</x:f>
        <x:v>1.6946</x:v>
      </x:c>
      <x:c r="F463" s="10" t="n">
        <x:f>'原始数据'!L460</x:f>
        <x:v>318</x:v>
      </x:c>
      <x:c r="G463" s="9" t="n">
        <x:f>F463/'原始数据'!G460</x:f>
        <x:v>0.006231384229503057</x:v>
      </x:c>
      <x:c r="H463" s="9" t="n">
        <x:f>'原始数据'!P460/'原始数据'!O460</x:f>
        <x:v>0.040987094029215715</x:v>
      </x:c>
      <x:c r="I463" s="9" t="n">
        <x:f>F463/C463</x:f>
        <x:v>0.002551675439722686</x:v>
      </x:c>
      <x:c r="J463" s="9" t="n">
        <x:f>'原始数据'!G460/'原始数据'!F460</x:f>
        <x:v>0.03992077175569414</x:v>
      </x:c>
      <x:c r="K463" s="2" t="str">
        <x:v>待拆分产品市场</x:v>
      </x:c>
      <x:c r="L463" s="15" t="str">
        <x:v>季节/事件影响待核验</x:v>
      </x:c>
      <x:c r="M463" s="2" t="str">
        <x:f>IF(AND(C463&gt;='核验与方法'!$B$7,F463&gt;='核验与方法'!$B$8,G463&gt;='核验与方法'!$B$9,D463&gt;='核验与方法'!$B$10,E463&gt;='核验与方法'!$B$11),"通过需求门槛","未通过需求门槛")</x:f>
        <x:v>未通过需求门槛</x:v>
      </x:c>
      <x:c r="N463" s="2" t="str">
        <x:v>先核验风险标签</x:v>
      </x:c>
      <x:c r="O463" s="9" t="n">
        <x:f>G463-'原始数据'!J460</x:f>
        <x:v>0.000031384229503056936</x:v>
      </x:c>
      <x:c r="P463" s="2" t="str">
        <x:v>DATA HOLD</x:v>
      </x:c>
    </x:row>
    <x:row r="464" ht="48" customHeight="1">
      <x:c r="A464" s="2" t="n">
        <x:v>459</x:v>
      </x:c>
      <x:c r="B464" s="2" t="str">
        <x:v>pillar candles</x:v>
      </x:c>
      <x:c r="C464" s="10" t="n">
        <x:f>'原始数据'!D461</x:f>
        <x:v>124600</x:v>
      </x:c>
      <x:c r="D464" s="9" t="n">
        <x:f>IF(ISNUMBER('原始数据'!E461),'原始数据'!E461,VALUE(SUBSTITUTE('原始数据'!E461,"'","")))</x:f>
        <x:v>0.2825</x:v>
      </x:c>
      <x:c r="E464" s="9" t="n">
        <x:f>IF(ISNUMBER('原始数据'!H461),'原始数据'!H461,VALUE(SUBSTITUTE('原始数据'!H461,"'","")))</x:f>
        <x:v>0.2768</x:v>
      </x:c>
      <x:c r="F464" s="10" t="n">
        <x:f>'原始数据'!L461</x:f>
        <x:v>3418</x:v>
      </x:c>
      <x:c r="G464" s="9" t="n">
        <x:f>F464/'原始数据'!G461</x:f>
        <x:v>0.07843227242479175</x:v>
      </x:c>
      <x:c r="H464" s="9" t="n">
        <x:f>'原始数据'!P461/'原始数据'!O461</x:f>
        <x:v>0.1960588176452936</x:v>
      </x:c>
      <x:c r="I464" s="9" t="n">
        <x:f>F464/C464</x:f>
        <x:v>0.027431781701444623</x:v>
      </x:c>
      <x:c r="J464" s="9" t="n">
        <x:f>'原始数据'!G461/'原始数据'!F461</x:f>
        <x:v>0.011886422328439368</x:v>
      </x:c>
      <x:c r="K464" s="2" t="str">
        <x:v>待拆分产品市场</x:v>
      </x:c>
      <x:c r="L464" s="15" t="str">
        <x:v>暂无自动识别标签，仍需核验</x:v>
      </x:c>
      <x:c r="M464" s="2" t="str">
        <x:f>IF(AND(C464&gt;='核验与方法'!$B$7,F464&gt;='核验与方法'!$B$8,G464&gt;='核验与方法'!$B$9,D464&gt;='核验与方法'!$B$10,E464&gt;='核验与方法'!$B$11),"通过需求门槛","未通过需求门槛")</x:f>
        <x:v>通过需求门槛</x:v>
      </x:c>
      <x:c r="N464" s="2" t="str">
        <x:v>待确认具体产品形态</x:v>
      </x:c>
      <x:c r="O464" s="9" t="n">
        <x:f>G464-'原始数据'!J461</x:f>
        <x:v>0.00003227242479175718</x:v>
      </x:c>
      <x:c r="P464" s="2" t="str">
        <x:v>DATA HOLD</x:v>
      </x:c>
    </x:row>
    <x:row r="465" ht="48" customHeight="1">
      <x:c r="A465" s="2" t="n">
        <x:v>460</x:v>
      </x:c>
      <x:c r="B465" s="2" t="str">
        <x:v>belly fanny pack</x:v>
      </x:c>
      <x:c r="C465" s="10" t="n">
        <x:f>'原始数据'!D462</x:f>
        <x:v>124551</x:v>
      </x:c>
      <x:c r="D465" s="9" t="n">
        <x:f>IF(ISNUMBER('原始数据'!E462),'原始数据'!E462,VALUE(SUBSTITUTE('原始数据'!E462,"'","")))</x:f>
        <x:v>21.8282</x:v>
      </x:c>
      <x:c r="E465" s="9" t="n">
        <x:f>IF(ISNUMBER('原始数据'!H462),'原始数据'!H462,VALUE(SUBSTITUTE('原始数据'!H462,"'","")))</x:f>
        <x:v>27.7983</x:v>
      </x:c>
      <x:c r="F465" s="10" t="n">
        <x:f>'原始数据'!L462</x:f>
        <x:v>2662</x:v>
      </x:c>
      <x:c r="G465" s="9" t="n">
        <x:f>F465/'原始数据'!G462</x:f>
        <x:v>0.046033859615750426</x:v>
      </x:c>
      <x:c r="H465" s="9" t="n">
        <x:f>'原始数据'!P462/'原始数据'!O462</x:f>
        <x:v>0.10012180267965895</x:v>
      </x:c>
      <x:c r="I465" s="9" t="n">
        <x:f>F465/C465</x:f>
        <x:v>0.021372770993408324</x:v>
      </x:c>
      <x:c r="J465" s="9" t="n">
        <x:f>'原始数据'!G462/'原始数据'!F462</x:f>
        <x:v>0.06277076248234718</x:v>
      </x:c>
      <x:c r="K465" s="2" t="str">
        <x:v>待拆分产品市场</x:v>
      </x:c>
      <x:c r="L465" s="15" t="str">
        <x:v>暂无自动识别标签，仍需核验</x:v>
      </x:c>
      <x:c r="M465" s="2" t="str">
        <x:f>IF(AND(C465&gt;='核验与方法'!$B$7,F465&gt;='核验与方法'!$B$8,G465&gt;='核验与方法'!$B$9,D465&gt;='核验与方法'!$B$10,E465&gt;='核验与方法'!$B$11),"通过需求门槛","未通过需求门槛")</x:f>
        <x:v>未通过需求门槛</x:v>
      </x:c>
      <x:c r="N465" s="2" t="str">
        <x:v>待确认具体产品形态</x:v>
      </x:c>
      <x:c r="O465" s="9" t="n">
        <x:f>G465-'原始数据'!J462</x:f>
        <x:v>0.00003385961575042701</x:v>
      </x:c>
      <x:c r="P465" s="2" t="str">
        <x:v>DATA HOLD</x:v>
      </x:c>
    </x:row>
    <x:row r="466" ht="48" customHeight="1">
      <x:c r="A466" s="2" t="n">
        <x:v>461</x:v>
      </x:c>
      <x:c r="B466" s="2" t="str">
        <x:v>cute room decor</x:v>
      </x:c>
      <x:c r="C466" s="10" t="n">
        <x:f>'原始数据'!D463</x:f>
        <x:v>124240</x:v>
      </x:c>
      <x:c r="D466" s="9" t="n">
        <x:f>IF(ISNUMBER('原始数据'!E463),'原始数据'!E463,VALUE(SUBSTITUTE('原始数据'!E463,"'","")))</x:f>
        <x:v>-0.0882</x:v>
      </x:c>
      <x:c r="E466" s="9" t="n">
        <x:f>IF(ISNUMBER('原始数据'!H463),'原始数据'!H463,VALUE(SUBSTITUTE('原始数据'!H463,"'","")))</x:f>
        <x:v>-0.049</x:v>
      </x:c>
      <x:c r="F466" s="10" t="n">
        <x:f>'原始数据'!L463</x:f>
        <x:v>356</x:v>
      </x:c>
      <x:c r="G466" s="9" t="n">
        <x:f>F466/'原始数据'!G463</x:f>
        <x:v>0.009954422168162625</x:v>
      </x:c>
      <x:c r="H466" s="9" t="n">
        <x:f>'原始数据'!P463/'原始数据'!O463</x:f>
        <x:v>0.041666666666666664</x:v>
      </x:c>
      <x:c r="I466" s="9" t="n">
        <x:f>F466/C466</x:f>
        <x:v>0.002865421764327109</x:v>
      </x:c>
      <x:c r="J466" s="9" t="n">
        <x:f>'原始数据'!G463/'原始数据'!F463</x:f>
        <x:v>0.013961697562529572</x:v>
      </x:c>
      <x:c r="K466" s="2" t="str">
        <x:v>待拆分产品市场</x:v>
      </x:c>
      <x:c r="L466" s="15" t="str">
        <x:v>暂无自动识别标签，仍需核验</x:v>
      </x:c>
      <x:c r="M466" s="2" t="str">
        <x:f>IF(AND(C466&gt;='核验与方法'!$B$7,F466&gt;='核验与方法'!$B$8,G466&gt;='核验与方法'!$B$9,D466&gt;='核验与方法'!$B$10,E466&gt;='核验与方法'!$B$11),"通过需求门槛","未通过需求门槛")</x:f>
        <x:v>未通过需求门槛</x:v>
      </x:c>
      <x:c r="N466" s="2" t="str">
        <x:v>待确认具体产品形态</x:v>
      </x:c>
      <x:c r="O466" s="9" t="n">
        <x:f>G466-'原始数据'!J463</x:f>
        <x:v>0.0000544221681626246</x:v>
      </x:c>
      <x:c r="P466" s="2" t="str">
        <x:v>DATA HOLD</x:v>
      </x:c>
    </x:row>
    <x:row r="467" ht="48" customHeight="1">
      <x:c r="A467" s="2" t="n">
        <x:v>462</x:v>
      </x:c>
      <x:c r="B467" s="2" t="str">
        <x:v>rave outfit</x:v>
      </x:c>
      <x:c r="C467" s="10" t="n">
        <x:f>'原始数据'!D464</x:f>
        <x:v>124215</x:v>
      </x:c>
      <x:c r="D467" s="9" t="n">
        <x:f>IF(ISNUMBER('原始数据'!E464),'原始数据'!E464,VALUE(SUBSTITUTE('原始数据'!E464,"'","")))</x:f>
        <x:v>0.3843</x:v>
      </x:c>
      <x:c r="E467" s="9" t="n">
        <x:f>IF(ISNUMBER('原始数据'!H464),'原始数据'!H464,VALUE(SUBSTITUTE('原始数据'!H464,"'","")))</x:f>
        <x:v>0.41</x:v>
      </x:c>
      <x:c r="F467" s="10" t="n">
        <x:f>'原始数据'!L464</x:f>
        <x:v>636</x:v>
      </x:c>
      <x:c r="G467" s="9" t="n">
        <x:f>F467/'原始数据'!G464</x:f>
        <x:v>0.01958188367868469</x:v>
      </x:c>
      <x:c r="H467" s="9" t="n">
        <x:f>'原始数据'!P464/'原始数据'!O464</x:f>
        <x:v>0.0820061331486794</x:v>
      </x:c>
      <x:c r="I467" s="9" t="n">
        <x:f>F467/C467</x:f>
        <x:v>0.005120154570704021</x:v>
      </x:c>
      <x:c r="J467" s="9" t="n">
        <x:f>'原始数据'!G464/'原始数据'!F464</x:f>
        <x:v>0.00955121156790847</x:v>
      </x:c>
      <x:c r="K467" s="2" t="str">
        <x:v>待拆分产品市场</x:v>
      </x:c>
      <x:c r="L467" s="15" t="str">
        <x:v>尺码/颜色变体及退货待核验</x:v>
      </x:c>
      <x:c r="M467" s="2" t="str">
        <x:f>IF(AND(C467&gt;='核验与方法'!$B$7,F467&gt;='核验与方法'!$B$8,G467&gt;='核验与方法'!$B$9,D467&gt;='核验与方法'!$B$10,E467&gt;='核验与方法'!$B$11),"通过需求门槛","未通过需求门槛")</x:f>
        <x:v>未通过需求门槛</x:v>
      </x:c>
      <x:c r="N467" s="2" t="str">
        <x:v>先核验风险标签</x:v>
      </x:c>
      <x:c r="O467" s="9" t="n">
        <x:f>G467-'原始数据'!J464</x:f>
        <x:v>0.00008188367868468965</x:v>
      </x:c>
      <x:c r="P467" s="2" t="str">
        <x:v>DATA HOLD</x:v>
      </x:c>
    </x:row>
    <x:row r="468" ht="48" customHeight="1">
      <x:c r="A468" s="2" t="n">
        <x:v>463</x:v>
      </x:c>
      <x:c r="B468" s="2" t="str">
        <x:v>peptide pen</x:v>
      </x:c>
      <x:c r="C468" s="10" t="n">
        <x:f>'原始数据'!D465</x:f>
        <x:v>123663</x:v>
      </x:c>
      <x:c r="D468" s="9" t="n">
        <x:f>IF(ISNUMBER('原始数据'!E465),'原始数据'!E465,VALUE(SUBSTITUTE('原始数据'!E465,"'","")))</x:f>
        <x:v>0.0735</x:v>
      </x:c>
      <x:c r="E468" s="9" t="n">
        <x:f>IF(ISNUMBER('原始数据'!H465),'原始数据'!H465,VALUE(SUBSTITUTE('原始数据'!H465,"'","")))</x:f>
        <x:v>0.1004</x:v>
      </x:c>
      <x:c r="F468" s="10" t="n">
        <x:f>'原始数据'!L465</x:f>
        <x:v>2804</x:v>
      </x:c>
      <x:c r="G468" s="9" t="n">
        <x:f>F468/'原始数据'!G465</x:f>
        <x:v>0.05435688669186779</x:v>
      </x:c>
      <x:c r="H468" s="9" t="n">
        <x:f>'原始数据'!P465/'原始数据'!O465</x:f>
        <x:v>0.13000041113349506</x:v>
      </x:c>
      <x:c r="I468" s="9" t="n">
        <x:f>F468/C468</x:f>
        <x:v>0.022674526737989534</x:v>
      </x:c>
      <x:c r="J468" s="9" t="n">
        <x:f>'原始数据'!G465/'原始数据'!F465</x:f>
        <x:v>0.015796939279854334</x:v>
      </x:c>
      <x:c r="K468" s="2" t="str">
        <x:v>待拆分产品市场</x:v>
      </x:c>
      <x:c r="L468" s="15" t="str">
        <x:v>专业类目适配与规则待核验</x:v>
      </x:c>
      <x:c r="M468" s="2" t="str">
        <x:f>IF(AND(C468&gt;='核验与方法'!$B$7,F468&gt;='核验与方法'!$B$8,G468&gt;='核验与方法'!$B$9,D468&gt;='核验与方法'!$B$10,E468&gt;='核验与方法'!$B$11),"通过需求门槛","未通过需求门槛")</x:f>
        <x:v>通过需求门槛</x:v>
      </x:c>
      <x:c r="N468" s="2" t="str">
        <x:v>先核验风险标签</x:v>
      </x:c>
      <x:c r="O468" s="9" t="n">
        <x:f>G468-'原始数据'!J465</x:f>
        <x:v>0.00005688669186779127</x:v>
      </x:c>
      <x:c r="P468" s="2" t="str">
        <x:v>DATA HOLD</x:v>
      </x:c>
    </x:row>
    <x:row r="469" ht="48" customHeight="1">
      <x:c r="A469" s="2" t="n">
        <x:v>464</x:v>
      </x:c>
      <x:c r="B469" s="2" t="str">
        <x:v>cotton socks for women</x:v>
      </x:c>
      <x:c r="C469" s="10" t="n">
        <x:f>'原始数据'!D466</x:f>
        <x:v>123496</x:v>
      </x:c>
      <x:c r="D469" s="9" t="n">
        <x:f>IF(ISNUMBER('原始数据'!E466),'原始数据'!E466,VALUE(SUBSTITUTE('原始数据'!E466,"'","")))</x:f>
        <x:v>0.0304</x:v>
      </x:c>
      <x:c r="E469" s="9" t="n">
        <x:f>IF(ISNUMBER('原始数据'!H466),'原始数据'!H466,VALUE(SUBSTITUTE('原始数据'!H466,"'","")))</x:f>
        <x:v>0.039</x:v>
      </x:c>
      <x:c r="F469" s="10" t="n">
        <x:f>'原始数据'!L466</x:f>
        <x:v>3895</x:v>
      </x:c>
      <x:c r="G469" s="9" t="n">
        <x:f>F469/'原始数据'!G466</x:f>
        <x:v>0.06759336387616272</x:v>
      </x:c>
      <x:c r="H469" s="9" t="n">
        <x:f>'原始数据'!P466/'原始数据'!O466</x:f>
        <x:v>0.27369986218901865</x:v>
      </x:c>
      <x:c r="I469" s="9" t="n">
        <x:f>F469/C469</x:f>
        <x:v>0.03153948306018009</x:v>
      </x:c>
      <x:c r="J469" s="9" t="n">
        <x:f>'原始数据'!G466/'原始数据'!F466</x:f>
        <x:v>0.012885625095036627</x:v>
      </x:c>
      <x:c r="K469" s="2" t="str">
        <x:v>待拆分产品市场</x:v>
      </x:c>
      <x:c r="L469" s="15" t="str">
        <x:v>尺码/颜色变体及退货待核验</x:v>
      </x:c>
      <x:c r="M469" s="2" t="str">
        <x:f>IF(AND(C469&gt;='核验与方法'!$B$7,F469&gt;='核验与方法'!$B$8,G469&gt;='核验与方法'!$B$9,D469&gt;='核验与方法'!$B$10,E469&gt;='核验与方法'!$B$11),"通过需求门槛","未通过需求门槛")</x:f>
        <x:v>通过需求门槛</x:v>
      </x:c>
      <x:c r="N469" s="2" t="str">
        <x:v>先核验风险标签</x:v>
      </x:c>
      <x:c r="O469" s="9" t="n">
        <x:f>G469-'原始数据'!J466</x:f>
        <x:v>0.00009336387616271091</x:v>
      </x:c>
      <x:c r="P469" s="2" t="str">
        <x:v>DATA HOLD</x:v>
      </x:c>
    </x:row>
    <x:row r="470" ht="48" customHeight="1">
      <x:c r="A470" s="2" t="n">
        <x:v>465</x:v>
      </x:c>
      <x:c r="B470" s="2" t="str">
        <x:v>paw patrol costume</x:v>
      </x:c>
      <x:c r="C470" s="10" t="n">
        <x:f>'原始数据'!D467</x:f>
        <x:v>123249</x:v>
      </x:c>
      <x:c r="D470" s="9" t="n">
        <x:f>IF(ISNUMBER('原始数据'!E467),'原始数据'!E467,VALUE(SUBSTITUTE('原始数据'!E467,"'","")))</x:f>
        <x:v>1.141</x:v>
      </x:c>
      <x:c r="E470" s="9" t="n">
        <x:f>IF(ISNUMBER('原始数据'!H467),'原始数据'!H467,VALUE(SUBSTITUTE('原始数据'!H467,"'","")))</x:f>
        <x:v>1.2345</x:v>
      </x:c>
      <x:c r="F470" s="10" t="n">
        <x:f>'原始数据'!L467</x:f>
        <x:v>483</x:v>
      </x:c>
      <x:c r="G470" s="9" t="n">
        <x:f>F470/'原始数据'!G467</x:f>
        <x:v>0.010392684238838086</x:v>
      </x:c>
      <x:c r="H470" s="9" t="n">
        <x:f>'原始数据'!P467/'原始数据'!O467</x:f>
        <x:v>0.044814004376367615</x:v>
      </x:c>
      <x:c r="I470" s="9" t="n">
        <x:f>F470/C470</x:f>
        <x:v>0.0039188958936786505</x:v>
      </x:c>
      <x:c r="J470" s="9" t="n">
        <x:f>'原始数据'!G467/'原始数据'!F467</x:f>
        <x:v>0.023953963034357637</x:v>
      </x:c>
      <x:c r="K470" s="2" t="str">
        <x:v>待拆分产品市场</x:v>
      </x:c>
      <x:c r="L470" s="15" t="str">
        <x:v>品牌或IP需核验；季节/事件影响待核验</x:v>
      </x:c>
      <x:c r="M470" s="2" t="str">
        <x:f>IF(AND(C470&gt;='核验与方法'!$B$7,F470&gt;='核验与方法'!$B$8,G470&gt;='核验与方法'!$B$9,D470&gt;='核验与方法'!$B$10,E470&gt;='核验与方法'!$B$11),"通过需求门槛","未通过需求门槛")</x:f>
        <x:v>未通过需求门槛</x:v>
      </x:c>
      <x:c r="N470" s="2" t="str">
        <x:v>先核验风险标签</x:v>
      </x:c>
      <x:c r="O470" s="9" t="n">
        <x:f>G470-'原始数据'!J467</x:f>
        <x:v>0.00009268423883808559</x:v>
      </x:c>
      <x:c r="P470" s="2" t="str">
        <x:v>DATA HOLD</x:v>
      </x:c>
    </x:row>
    <x:row r="471" ht="48" customHeight="1">
      <x:c r="A471" s="2" t="n">
        <x:v>466</x:v>
      </x:c>
      <x:c r="B471" s="2" t="str">
        <x:v>chuck roast</x:v>
      </x:c>
      <x:c r="C471" s="10" t="n">
        <x:f>'原始数据'!D468</x:f>
        <x:v>123183</x:v>
      </x:c>
      <x:c r="D471" s="9" t="n">
        <x:f>IF(ISNUMBER('原始数据'!E468),'原始数据'!E468,VALUE(SUBSTITUTE('原始数据'!E468,"'","")))</x:f>
        <x:v>0.2847</x:v>
      </x:c>
      <x:c r="E471" s="9" t="n">
        <x:f>IF(ISNUMBER('原始数据'!H468),'原始数据'!H468,VALUE(SUBSTITUTE('原始数据'!H468,"'","")))</x:f>
        <x:v>0.2695</x:v>
      </x:c>
      <x:c r="F471" s="10" t="n">
        <x:f>'原始数据'!L468</x:f>
        <x:v>14318</x:v>
      </x:c>
      <x:c r="G471" s="9" t="n">
        <x:f>F471/'原始数据'!G468</x:f>
        <x:v>0.302412030583365</x:v>
      </x:c>
      <x:c r="H471" s="9" t="n">
        <x:f>'原始数据'!P468/'原始数据'!O468</x:f>
        <x:v>0.42852696019091757</x:v>
      </x:c>
      <x:c r="I471" s="9" t="n">
        <x:f>F471/C471</x:f>
        <x:v>0.1162335711908299</x:v>
      </x:c>
      <x:c r="J471" s="9" t="n">
        <x:f>'原始数据'!G468/'原始数据'!F468</x:f>
        <x:v>0.024640047962379508</x:v>
      </x:c>
      <x:c r="K471" s="2" t="str">
        <x:v>专业供给</x:v>
      </x:c>
      <x:c r="L471" s="15" t="str">
        <x:v>食品/补剂或耗材需独立供应链</x:v>
      </x:c>
      <x:c r="M471" s="2" t="str">
        <x:f>IF(AND(C471&gt;='核验与方法'!$B$7,F471&gt;='核验与方法'!$B$8,G471&gt;='核验与方法'!$B$9,D471&gt;='核验与方法'!$B$10,E471&gt;='核验与方法'!$B$11),"通过需求门槛","未通过需求门槛")</x:f>
        <x:v>通过需求门槛</x:v>
      </x:c>
      <x:c r="N471" s="2" t="str">
        <x:v>先核验风险标签</x:v>
      </x:c>
      <x:c r="O471" s="9" t="n">
        <x:f>G471-'原始数据'!J468</x:f>
        <x:v>0.000012030583365019165</x:v>
      </x:c>
      <x:c r="P471" s="2" t="str">
        <x:v>DATA HOLD</x:v>
      </x:c>
    </x:row>
    <x:row r="472" ht="48" customHeight="1">
      <x:c r="A472" s="2" t="n">
        <x:v>467</x:v>
      </x:c>
      <x:c r="B472" s="2" t="str">
        <x:v>dried cranberries</x:v>
      </x:c>
      <x:c r="C472" s="10" t="n">
        <x:f>'原始数据'!D469</x:f>
        <x:v>122965</x:v>
      </x:c>
      <x:c r="D472" s="9" t="n">
        <x:f>IF(ISNUMBER('原始数据'!E469),'原始数据'!E469,VALUE(SUBSTITUTE('原始数据'!E469,"'","")))</x:f>
        <x:v>0.2149</x:v>
      </x:c>
      <x:c r="E472" s="9" t="n">
        <x:f>IF(ISNUMBER('原始数据'!H469),'原始数据'!H469,VALUE(SUBSTITUTE('原始数据'!H469,"'","")))</x:f>
        <x:v>0.2206</x:v>
      </x:c>
      <x:c r="F472" s="10" t="n">
        <x:f>'原始数据'!L469</x:f>
        <x:v>15576</x:v>
      </x:c>
      <x:c r="G472" s="9" t="n">
        <x:f>F472/'原始数据'!G469</x:f>
        <x:v>0.25130281860570175</x:v>
      </x:c>
      <x:c r="H472" s="9" t="n">
        <x:f>'原始数据'!P469/'原始数据'!O469</x:f>
        <x:v>0.4265233949945593</x:v>
      </x:c>
      <x:c r="I472" s="9" t="n">
        <x:f>F472/C472</x:f>
        <x:v>0.12667019070467206</x:v>
      </x:c>
      <x:c r="J472" s="9" t="n">
        <x:f>'原始数据'!G469/'原始数据'!F469</x:f>
        <x:v>0.016838307046655322</x:v>
      </x:c>
      <x:c r="K472" s="2" t="str">
        <x:v>专业供给</x:v>
      </x:c>
      <x:c r="L472" s="15" t="str">
        <x:v>食品/补剂或耗材需独立供应链</x:v>
      </x:c>
      <x:c r="M472" s="2" t="str">
        <x:f>IF(AND(C472&gt;='核验与方法'!$B$7,F472&gt;='核验与方法'!$B$8,G472&gt;='核验与方法'!$B$9,D472&gt;='核验与方法'!$B$10,E472&gt;='核验与方法'!$B$11),"通过需求门槛","未通过需求门槛")</x:f>
        <x:v>通过需求门槛</x:v>
      </x:c>
      <x:c r="N472" s="2" t="str">
        <x:v>先核验风险标签</x:v>
      </x:c>
      <x:c r="O472" s="9" t="n">
        <x:f>G472-'原始数据'!J469</x:f>
        <x:v>0.00000281860570172654</x:v>
      </x:c>
      <x:c r="P472" s="2" t="str">
        <x:v>DATA HOLD</x:v>
      </x:c>
    </x:row>
    <x:row r="473" ht="48" customHeight="1">
      <x:c r="A473" s="2" t="n">
        <x:v>468</x:v>
      </x:c>
      <x:c r="B473" s="2" t="str">
        <x:v>meme shirt</x:v>
      </x:c>
      <x:c r="C473" s="10" t="n">
        <x:f>'原始数据'!D470</x:f>
        <x:v>122905</x:v>
      </x:c>
      <x:c r="D473" s="9" t="n">
        <x:f>IF(ISNUMBER('原始数据'!E470),'原始数据'!E470,VALUE(SUBSTITUTE('原始数据'!E470,"'","")))</x:f>
        <x:v>0.3828</x:v>
      </x:c>
      <x:c r="E473" s="9" t="n">
        <x:f>IF(ISNUMBER('原始数据'!H470),'原始数据'!H470,VALUE(SUBSTITUTE('原始数据'!H470,"'","")))</x:f>
        <x:v>0.4275</x:v>
      </x:c>
      <x:c r="F473" s="10" t="n">
        <x:f>'原始数据'!L470</x:f>
        <x:v>1178</x:v>
      </x:c>
      <x:c r="G473" s="9" t="n">
        <x:f>F473/'原始数据'!G470</x:f>
        <x:v>0.025908900961136648</x:v>
      </x:c>
      <x:c r="H473" s="9" t="n">
        <x:f>'原始数据'!P470/'原始数据'!O470</x:f>
        <x:v>0.1488938053097345</x:v>
      </x:c>
      <x:c r="I473" s="9" t="n">
        <x:f>F473/C473</x:f>
        <x:v>0.009584638541963305</x:v>
      </x:c>
      <x:c r="J473" s="9" t="n">
        <x:f>'原始数据'!G470/'原始数据'!F470</x:f>
        <x:v>0.021156101101846337</x:v>
      </x:c>
      <x:c r="K473" s="2" t="str">
        <x:v>待拆分产品市场</x:v>
      </x:c>
      <x:c r="L473" s="15" t="str">
        <x:v>尺码/颜色变体及退货待核验</x:v>
      </x:c>
      <x:c r="M473" s="2" t="str">
        <x:f>IF(AND(C473&gt;='核验与方法'!$B$7,F473&gt;='核验与方法'!$B$8,G473&gt;='核验与方法'!$B$9,D473&gt;='核验与方法'!$B$10,E473&gt;='核验与方法'!$B$11),"通过需求门槛","未通过需求门槛")</x:f>
        <x:v>未通过需求门槛</x:v>
      </x:c>
      <x:c r="N473" s="2" t="str">
        <x:v>先核验风险标签</x:v>
      </x:c>
      <x:c r="O473" s="9" t="n">
        <x:f>G473-'原始数据'!J470</x:f>
        <x:v>0.000008900961136648622</x:v>
      </x:c>
      <x:c r="P473" s="2" t="str">
        <x:v>DATA HOLD</x:v>
      </x:c>
    </x:row>
    <x:row r="474" ht="48" customHeight="1">
      <x:c r="A474" s="2" t="n">
        <x:v>469</x:v>
      </x:c>
      <x:c r="B474" s="2" t="str">
        <x:v>coffee bar organizer</x:v>
      </x:c>
      <x:c r="C474" s="10" t="n">
        <x:f>'原始数据'!D471</x:f>
        <x:v>122799</x:v>
      </x:c>
      <x:c r="D474" s="9" t="n">
        <x:f>IF(ISNUMBER('原始数据'!E471),'原始数据'!E471,VALUE(SUBSTITUTE('原始数据'!E471,"'","")))</x:f>
        <x:v>0.1104</x:v>
      </x:c>
      <x:c r="E474" s="9" t="n">
        <x:f>IF(ISNUMBER('原始数据'!H471),'原始数据'!H471,VALUE(SUBSTITUTE('原始数据'!H471,"'","")))</x:f>
        <x:v>0.1061</x:v>
      </x:c>
      <x:c r="F474" s="10" t="n">
        <x:f>'原始数据'!L471</x:f>
        <x:v>1676</x:v>
      </x:c>
      <x:c r="G474" s="9" t="n">
        <x:f>F474/'原始数据'!G471</x:f>
        <x:v>0.04035734065351923</x:v>
      </x:c>
      <x:c r="H474" s="9" t="n">
        <x:f>'原始数据'!P471/'原始数据'!O471</x:f>
        <x:v>0.11656642974302897</x:v>
      </x:c>
      <x:c r="I474" s="9" t="n">
        <x:f>F474/C474</x:f>
        <x:v>0.013648319611723223</x:v>
      </x:c>
      <x:c r="J474" s="9" t="n">
        <x:f>'原始数据'!G471/'原始数据'!F471</x:f>
        <x:v>0.012581175224576205</x:v>
      </x:c>
      <x:c r="K474" s="2" t="str">
        <x:v>已选候选</x:v>
      </x:c>
      <x:c r="L474" s="15" t="str">
        <x:v>暂无自动识别标签，仍需核验</x:v>
      </x:c>
      <x:c r="M474" s="2" t="str">
        <x:f>IF(AND(C474&gt;='核验与方法'!$B$7,F474&gt;='核验与方法'!$B$8,G474&gt;='核验与方法'!$B$9,D474&gt;='核验与方法'!$B$10,E474&gt;='核验与方法'!$B$11),"通过需求门槛","未通过需求门槛")</x:f>
        <x:v>未通过需求门槛</x:v>
      </x:c>
      <x:c r="N474" s="2" t="str">
        <x:v>候选研究</x:v>
      </x:c>
      <x:c r="O474" s="9" t="n">
        <x:f>G474-'原始数据'!J471</x:f>
        <x:v>0.00005734065351922779</x:v>
      </x:c>
      <x:c r="P474" s="2" t="str">
        <x:v>DATA HOLD</x:v>
      </x:c>
    </x:row>
    <x:row r="475" ht="48" customHeight="1">
      <x:c r="A475" s="2" t="n">
        <x:v>470</x:v>
      </x:c>
      <x:c r="B475" s="2" t="str">
        <x:v>ptt headset</x:v>
      </x:c>
      <x:c r="C475" s="10" t="n">
        <x:f>'原始数据'!D472</x:f>
        <x:v>122751</x:v>
      </x:c>
      <x:c r="D475" s="9" t="n">
        <x:f>IF(ISNUMBER('原始数据'!E472),'原始数据'!E472,VALUE(SUBSTITUTE('原始数据'!E472,"'","")))</x:f>
        <x:v>30.5717</x:v>
      </x:c>
      <x:c r="E475" s="9" t="n">
        <x:f>IF(ISNUMBER('原始数据'!H472),'原始数据'!H472,VALUE(SUBSTITUTE('原始数据'!H472,"'","")))</x:f>
        <x:v>0.0267</x:v>
      </x:c>
      <x:c r="F475" s="10" t="n">
        <x:f>'原始数据'!L472</x:f>
        <x:v>33</x:v>
      </x:c>
      <x:c r="G475" s="9" t="n">
        <x:f>F475/'原始数据'!G472</x:f>
        <x:v>0.03733031674208145</x:v>
      </x:c>
      <x:c r="H475" s="9" t="n">
        <x:f>'原始数据'!P472/'原始数据'!O472</x:f>
        <x:v>0.051685393258426963</x:v>
      </x:c>
      <x:c r="I475" s="9" t="n">
        <x:f>F475/C475</x:f>
        <x:v>0.00026883691375223013</x:v>
      </x:c>
      <x:c r="J475" s="9" t="n">
        <x:f>'原始数据'!G472/'原始数据'!F472</x:f>
        <x:v>0.015128178800013692</x:v>
      </x:c>
      <x:c r="K475" s="2" t="str">
        <x:v>待拆分产品市场</x:v>
      </x:c>
      <x:c r="L475" s="15" t="str">
        <x:v>暂无自动识别标签，仍需核验</x:v>
      </x:c>
      <x:c r="M475" s="2" t="str">
        <x:f>IF(AND(C475&gt;='核验与方法'!$B$7,F475&gt;='核验与方法'!$B$8,G475&gt;='核验与方法'!$B$9,D475&gt;='核验与方法'!$B$10,E475&gt;='核验与方法'!$B$11),"通过需求门槛","未通过需求门槛")</x:f>
        <x:v>未通过需求门槛</x:v>
      </x:c>
      <x:c r="N475" s="2" t="str">
        <x:v>待确认具体产品形态</x:v>
      </x:c>
      <x:c r="O475" s="9" t="n">
        <x:f>G475-'原始数据'!J472</x:f>
        <x:v>0.000030316742081447356</x:v>
      </x:c>
      <x:c r="P475" s="2" t="str">
        <x:v>DATA HOLD</x:v>
      </x:c>
    </x:row>
    <x:row r="476" ht="48" customHeight="1">
      <x:c r="A476" s="2" t="n">
        <x:v>471</x:v>
      </x:c>
      <x:c r="B476" s="2" t="str">
        <x:v>strawberry shortcake costume</x:v>
      </x:c>
      <x:c r="C476" s="10" t="n">
        <x:f>'原始数据'!D473</x:f>
        <x:v>122162</x:v>
      </x:c>
      <x:c r="D476" s="9" t="n">
        <x:f>IF(ISNUMBER('原始数据'!E473),'原始数据'!E473,VALUE(SUBSTITUTE('原始数据'!E473,"'","")))</x:f>
        <x:v>1.8698</x:v>
      </x:c>
      <x:c r="E476" s="9" t="n">
        <x:f>IF(ISNUMBER('原始数据'!H473),'原始数据'!H473,VALUE(SUBSTITUTE('原始数据'!H473,"'","")))</x:f>
        <x:v>2.0298</x:v>
      </x:c>
      <x:c r="F476" s="10" t="n">
        <x:f>'原始数据'!L473</x:f>
        <x:v>264</x:v>
      </x:c>
      <x:c r="G476" s="9" t="n">
        <x:f>F476/'原始数据'!G473</x:f>
        <x:v>0.00676714856967087</x:v>
      </x:c>
      <x:c r="H476" s="9" t="n">
        <x:f>'原始数据'!P473/'原始数据'!O473</x:f>
        <x:v>0.02503770739064857</x:v>
      </x:c>
      <x:c r="I476" s="9" t="n">
        <x:f>F476/C476</x:f>
        <x:v>0.002161064815572764</x:v>
      </x:c>
      <x:c r="J476" s="9" t="n">
        <x:f>'原始数据'!G473/'原始数据'!F473</x:f>
        <x:v>0.03200693106104798</x:v>
      </x:c>
      <x:c r="K476" s="2" t="str">
        <x:v>待拆分产品市场</x:v>
      </x:c>
      <x:c r="L476" s="15" t="str">
        <x:v>季节/事件影响待核验</x:v>
      </x:c>
      <x:c r="M476" s="2" t="str">
        <x:f>IF(AND(C476&gt;='核验与方法'!$B$7,F476&gt;='核验与方法'!$B$8,G476&gt;='核验与方法'!$B$9,D476&gt;='核验与方法'!$B$10,E476&gt;='核验与方法'!$B$11),"通过需求门槛","未通过需求门槛")</x:f>
        <x:v>未通过需求门槛</x:v>
      </x:c>
      <x:c r="N476" s="2" t="str">
        <x:v>先核验风险标签</x:v>
      </x:c>
      <x:c r="O476" s="9" t="n">
        <x:f>G476-'原始数据'!J473</x:f>
        <x:v>0.00006714856967086989</x:v>
      </x:c>
      <x:c r="P476" s="2" t="str">
        <x:v>DATA HOLD</x:v>
      </x:c>
    </x:row>
    <x:row r="477" ht="48" customHeight="1">
      <x:c r="A477" s="2" t="n">
        <x:v>472</x:v>
      </x:c>
      <x:c r="B477" s="2" t="str">
        <x:v>hiking shoes</x:v>
      </x:c>
      <x:c r="C477" s="10" t="n">
        <x:f>'原始数据'!D474</x:f>
        <x:v>122093</x:v>
      </x:c>
      <x:c r="D477" s="9" t="n">
        <x:f>IF(ISNUMBER('原始数据'!E474),'原始数据'!E474,VALUE(SUBSTITUTE('原始数据'!E474,"'","")))</x:f>
        <x:v>-0.0455</x:v>
      </x:c>
      <x:c r="E477" s="9" t="n">
        <x:f>IF(ISNUMBER('原始数据'!H474),'原始数据'!H474,VALUE(SUBSTITUTE('原始数据'!H474,"'","")))</x:f>
        <x:v>-0.0165</x:v>
      </x:c>
      <x:c r="F477" s="10" t="n">
        <x:f>'原始数据'!L474</x:f>
        <x:v>281</x:v>
      </x:c>
      <x:c r="G477" s="9" t="n">
        <x:f>F477/'原始数据'!G474</x:f>
        <x:v>0.007930684127342515</x:v>
      </x:c>
      <x:c r="H477" s="9" t="n">
        <x:f>'原始数据'!P474/'原始数据'!O474</x:f>
        <x:v>0.12535746097229383</x:v>
      </x:c>
      <x:c r="I477" s="9" t="n">
        <x:f>F477/C477</x:f>
        <x:v>0.0023015242479093806</x:v>
      </x:c>
      <x:c r="J477" s="9" t="n">
        <x:f>'原始数据'!G474/'原始数据'!F474</x:f>
        <x:v>0.008408229110479507</x:v>
      </x:c>
      <x:c r="K477" s="2" t="str">
        <x:v>待拆分产品市场</x:v>
      </x:c>
      <x:c r="L477" s="15" t="str">
        <x:v>尺码/颜色变体及退货待核验</x:v>
      </x:c>
      <x:c r="M477" s="2" t="str">
        <x:f>IF(AND(C477&gt;='核验与方法'!$B$7,F477&gt;='核验与方法'!$B$8,G477&gt;='核验与方法'!$B$9,D477&gt;='核验与方法'!$B$10,E477&gt;='核验与方法'!$B$11),"通过需求门槛","未通过需求门槛")</x:f>
        <x:v>未通过需求门槛</x:v>
      </x:c>
      <x:c r="N477" s="2" t="str">
        <x:v>先核验风险标签</x:v>
      </x:c>
      <x:c r="O477" s="9" t="n">
        <x:f>G477-'原始数据'!J474</x:f>
        <x:v>0.00003068412734251458</x:v>
      </x:c>
      <x:c r="P477" s="2" t="str">
        <x:v>DATA HOLD</x:v>
      </x:c>
    </x:row>
    <x:row r="478" ht="48" customHeight="1">
      <x:c r="A478" s="2" t="n">
        <x:v>473</x:v>
      </x:c>
      <x:c r="B478" s="2" t="str">
        <x:v>toddler costume</x:v>
      </x:c>
      <x:c r="C478" s="10" t="n">
        <x:f>'原始数据'!D475</x:f>
        <x:v>122089</x:v>
      </x:c>
      <x:c r="D478" s="9" t="n">
        <x:f>IF(ISNUMBER('原始数据'!E475),'原始数据'!E475,VALUE(SUBSTITUTE('原始数据'!E475,"'","")))</x:f>
        <x:v>1.9161</x:v>
      </x:c>
      <x:c r="E478" s="9" t="n">
        <x:f>IF(ISNUMBER('原始数据'!H475),'原始数据'!H475,VALUE(SUBSTITUTE('原始数据'!H475,"'","")))</x:f>
        <x:v>2.1193</x:v>
      </x:c>
      <x:c r="F478" s="10" t="n">
        <x:f>'原始数据'!L475</x:f>
        <x:v>586</x:v>
      </x:c>
      <x:c r="G478" s="9" t="n">
        <x:f>F478/'原始数据'!G475</x:f>
        <x:v>0.012484022155943759</x:v>
      </x:c>
      <x:c r="H478" s="9" t="n">
        <x:f>'原始数据'!P475/'原始数据'!O475</x:f>
        <x:v>0.04573090140100449</x:v>
      </x:c>
      <x:c r="I478" s="9" t="n">
        <x:f>F478/C478</x:f>
        <x:v>0.004799777211706214</x:v>
      </x:c>
      <x:c r="J478" s="9" t="n">
        <x:f>'原始数据'!G475/'原始数据'!F475</x:f>
        <x:v>0.02609188188948804</x:v>
      </x:c>
      <x:c r="K478" s="2" t="str">
        <x:v>待拆分产品市场</x:v>
      </x:c>
      <x:c r="L478" s="15" t="str">
        <x:v>季节/事件影响待核验</x:v>
      </x:c>
      <x:c r="M478" s="2" t="str">
        <x:f>IF(AND(C478&gt;='核验与方法'!$B$7,F478&gt;='核验与方法'!$B$8,G478&gt;='核验与方法'!$B$9,D478&gt;='核验与方法'!$B$10,E478&gt;='核验与方法'!$B$11),"通过需求门槛","未通过需求门槛")</x:f>
        <x:v>未通过需求门槛</x:v>
      </x:c>
      <x:c r="N478" s="2" t="str">
        <x:v>先核验风险标签</x:v>
      </x:c>
      <x:c r="O478" s="9" t="n">
        <x:f>G478-'原始数据'!J475</x:f>
        <x:v>0.00008402215594375921</x:v>
      </x:c>
      <x:c r="P478" s="2" t="str">
        <x:v>DATA HOLD</x:v>
      </x:c>
    </x:row>
    <x:row r="479" ht="48" customHeight="1">
      <x:c r="A479" s="2" t="n">
        <x:v>474</x:v>
      </x:c>
      <x:c r="B479" s="2" t="str">
        <x:v>heated jacket</x:v>
      </x:c>
      <x:c r="C479" s="10" t="n">
        <x:f>'原始数据'!D476</x:f>
        <x:v>122064</x:v>
      </x:c>
      <x:c r="D479" s="9" t="n">
        <x:f>IF(ISNUMBER('原始数据'!E476),'原始数据'!E476,VALUE(SUBSTITUTE('原始数据'!E476,"'","")))</x:f>
        <x:v>0.9847</x:v>
      </x:c>
      <x:c r="E479" s="9" t="n">
        <x:f>IF(ISNUMBER('原始数据'!H476),'原始数据'!H476,VALUE(SUBSTITUTE('原始数据'!H476,"'","")))</x:f>
        <x:v>1.1796</x:v>
      </x:c>
      <x:c r="F479" s="10" t="n">
        <x:f>'原始数据'!L476</x:f>
        <x:v>378</x:v>
      </x:c>
      <x:c r="G479" s="9" t="n">
        <x:f>F479/'原始数据'!G476</x:f>
        <x:v>0.009573740597219056</x:v>
      </x:c>
      <x:c r="H479" s="9" t="n">
        <x:f>'原始数据'!P476/'原始数据'!O476</x:f>
        <x:v>0.045984727699924476</x:v>
      </x:c>
      <x:c r="I479" s="9" t="n">
        <x:f>F479/C479</x:f>
        <x:v>0.00309673613841919</x:v>
      </x:c>
      <x:c r="J479" s="9" t="n">
        <x:f>'原始数据'!G476/'原始数据'!F476</x:f>
        <x:v>0.019659412124673425</x:v>
      </x:c>
      <x:c r="K479" s="2" t="str">
        <x:v>待拆分产品市场</x:v>
      </x:c>
      <x:c r="L479" s="15" t="str">
        <x:v>尺码/颜色变体及退货待核验</x:v>
      </x:c>
      <x:c r="M479" s="2" t="str">
        <x:f>IF(AND(C479&gt;='核验与方法'!$B$7,F479&gt;='核验与方法'!$B$8,G479&gt;='核验与方法'!$B$9,D479&gt;='核验与方法'!$B$10,E479&gt;='核验与方法'!$B$11),"通过需求门槛","未通过需求门槛")</x:f>
        <x:v>未通过需求门槛</x:v>
      </x:c>
      <x:c r="N479" s="2" t="str">
        <x:v>先核验风险标签</x:v>
      </x:c>
      <x:c r="O479" s="9" t="n">
        <x:f>G479-'原始数据'!J476</x:f>
        <x:v>0.00007374059721905642</x:v>
      </x:c>
      <x:c r="P479" s="2" t="str">
        <x:v>DATA HOLD</x:v>
      </x:c>
    </x:row>
    <x:row r="480" ht="48" customHeight="1">
      <x:c r="A480" s="2" t="n">
        <x:v>475</x:v>
      </x:c>
      <x:c r="B480" s="2" t="str">
        <x:v>washing machine</x:v>
      </x:c>
      <x:c r="C480" s="10" t="n">
        <x:f>'原始数据'!D477</x:f>
        <x:v>121752</x:v>
      </x:c>
      <x:c r="D480" s="9" t="n">
        <x:f>IF(ISNUMBER('原始数据'!E477),'原始数据'!E477,VALUE(SUBSTITUTE('原始数据'!E477,"'","")))</x:f>
        <x:v>-0.0124</x:v>
      </x:c>
      <x:c r="E480" s="9" t="n">
        <x:f>IF(ISNUMBER('原始数据'!H477),'原始数据'!H477,VALUE(SUBSTITUTE('原始数据'!H477,"'","")))</x:f>
        <x:v>-0.0502</x:v>
      </x:c>
      <x:c r="F480" s="10" t="n">
        <x:f>'原始数据'!L477</x:f>
        <x:v>320</x:v>
      </x:c>
      <x:c r="G480" s="9" t="n">
        <x:f>F480/'原始数据'!G477</x:f>
        <x:v>0.010699478400427979</x:v>
      </x:c>
      <x:c r="H480" s="9" t="n">
        <x:f>'原始数据'!P477/'原始数据'!O477</x:f>
        <x:v>0.029299265605875154</x:v>
      </x:c>
      <x:c r="I480" s="9" t="n">
        <x:f>F480/C480</x:f>
        <x:v>0.0026282935803929298</x:v>
      </x:c>
      <x:c r="J480" s="9" t="n">
        <x:f>'原始数据'!G477/'原始数据'!F477</x:f>
        <x:v>0.011843232789139136</x:v>
      </x:c>
      <x:c r="K480" s="2" t="str">
        <x:v>待拆分产品市场</x:v>
      </x:c>
      <x:c r="L480" s="15" t="str">
        <x:v>体积/安装/售后成本待核验</x:v>
      </x:c>
      <x:c r="M480" s="2" t="str">
        <x:f>IF(AND(C480&gt;='核验与方法'!$B$7,F480&gt;='核验与方法'!$B$8,G480&gt;='核验与方法'!$B$9,D480&gt;='核验与方法'!$B$10,E480&gt;='核验与方法'!$B$11),"通过需求门槛","未通过需求门槛")</x:f>
        <x:v>未通过需求门槛</x:v>
      </x:c>
      <x:c r="N480" s="2" t="str">
        <x:v>先核验风险标签</x:v>
      </x:c>
      <x:c r="O480" s="9" t="n">
        <x:f>G480-'原始数据'!J477</x:f>
        <x:v>0.00009947840042797904</x:v>
      </x:c>
      <x:c r="P480" s="2" t="str">
        <x:v>DATA HOLD</x:v>
      </x:c>
    </x:row>
    <x:row r="481" ht="48" customHeight="1">
      <x:c r="A481" s="2" t="n">
        <x:v>476</x:v>
      </x:c>
      <x:c r="B481" s="2" t="str">
        <x:v>flag pole</x:v>
      </x:c>
      <x:c r="C481" s="10" t="n">
        <x:f>'原始数据'!D478</x:f>
        <x:v>121613</x:v>
      </x:c>
      <x:c r="D481" s="9" t="n">
        <x:f>IF(ISNUMBER('原始数据'!E478),'原始数据'!E478,VALUE(SUBSTITUTE('原始数据'!E478,"'","")))</x:f>
        <x:v>0.1462</x:v>
      </x:c>
      <x:c r="E481" s="9" t="n">
        <x:f>IF(ISNUMBER('原始数据'!H478),'原始数据'!H478,VALUE(SUBSTITUTE('原始数据'!H478,"'","")))</x:f>
        <x:v>0.2151</x:v>
      </x:c>
      <x:c r="F481" s="10" t="n">
        <x:f>'原始数据'!L478</x:f>
        <x:v>6635</x:v>
      </x:c>
      <x:c r="G481" s="9" t="n">
        <x:f>F481/'原始数据'!G478</x:f>
        <x:v>0.14345325607541295</x:v>
      </x:c>
      <x:c r="H481" s="9" t="n">
        <x:f>'原始数据'!P478/'原始数据'!O478</x:f>
        <x:v>0.3011455202752733</x:v>
      </x:c>
      <x:c r="I481" s="9" t="n">
        <x:f>F481/C481</x:f>
        <x:v>0.05455831202256338</x:v>
      </x:c>
      <x:c r="J481" s="9" t="n">
        <x:f>'原始数据'!G478/'原始数据'!F478</x:f>
        <x:v>0.014060410029426786</x:v>
      </x:c>
      <x:c r="K481" s="2" t="str">
        <x:v>待拆分产品市场</x:v>
      </x:c>
      <x:c r="L481" s="15" t="str">
        <x:v>暂无自动识别标签，仍需核验</x:v>
      </x:c>
      <x:c r="M481" s="2" t="str">
        <x:f>IF(AND(C481&gt;='核验与方法'!$B$7,F481&gt;='核验与方法'!$B$8,G481&gt;='核验与方法'!$B$9,D481&gt;='核验与方法'!$B$10,E481&gt;='核验与方法'!$B$11),"通过需求门槛","未通过需求门槛")</x:f>
        <x:v>通过需求门槛</x:v>
      </x:c>
      <x:c r="N481" s="2" t="str">
        <x:v>待确认具体产品形态</x:v>
      </x:c>
      <x:c r="O481" s="9" t="n">
        <x:f>G481-'原始数据'!J478</x:f>
        <x:v>0.000053256075412955184</x:v>
      </x:c>
      <x:c r="P481" s="2" t="str">
        <x:v>DATA HOLD</x:v>
      </x:c>
    </x:row>
    <x:row r="482" ht="48" customHeight="1">
      <x:c r="A482" s="2" t="n">
        <x:v>477</x:v>
      </x:c>
      <x:c r="B482" s="2" t="str">
        <x:v>fall jacket</x:v>
      </x:c>
      <x:c r="C482" s="10" t="n">
        <x:f>'原始数据'!D479</x:f>
        <x:v>121444</x:v>
      </x:c>
      <x:c r="D482" s="9" t="n">
        <x:f>IF(ISNUMBER('原始数据'!E479),'原始数据'!E479,VALUE(SUBSTITUTE('原始数据'!E479,"'","")))</x:f>
        <x:v>1.4488</x:v>
      </x:c>
      <x:c r="E482" s="9" t="n">
        <x:f>IF(ISNUMBER('原始数据'!H479),'原始数据'!H479,VALUE(SUBSTITUTE('原始数据'!H479,"'","")))</x:f>
        <x:v>1.5336</x:v>
      </x:c>
      <x:c r="F482" s="10" t="n">
        <x:f>'原始数据'!L479</x:f>
        <x:v>267</x:v>
      </x:c>
      <x:c r="G482" s="9" t="n">
        <x:f>F482/'原始数据'!G479</x:f>
        <x:v>0.007818676974435562</x:v>
      </x:c>
      <x:c r="H482" s="9" t="n">
        <x:f>'原始数据'!P479/'原始数据'!O479</x:f>
        <x:v>0.04618454813266179</x:v>
      </x:c>
      <x:c r="I482" s="9" t="n">
        <x:f>F482/C482</x:f>
        <x:v>0.0021985441849741443</x:v>
      </x:c>
      <x:c r="J482" s="9" t="n">
        <x:f>'原始数据'!G479/'原始数据'!F479</x:f>
        <x:v>0.01518251563200239</x:v>
      </x:c>
      <x:c r="K482" s="2" t="str">
        <x:v>待拆分产品市场</x:v>
      </x:c>
      <x:c r="L482" s="15" t="str">
        <x:v>季节/事件影响待核验；尺码/颜色变体及退货待核验</x:v>
      </x:c>
      <x:c r="M482" s="2" t="str">
        <x:f>IF(AND(C482&gt;='核验与方法'!$B$7,F482&gt;='核验与方法'!$B$8,G482&gt;='核验与方法'!$B$9,D482&gt;='核验与方法'!$B$10,E482&gt;='核验与方法'!$B$11),"通过需求门槛","未通过需求门槛")</x:f>
        <x:v>未通过需求门槛</x:v>
      </x:c>
      <x:c r="N482" s="2" t="str">
        <x:v>先核验风险标签</x:v>
      </x:c>
      <x:c r="O482" s="9" t="n">
        <x:f>G482-'原始数据'!J479</x:f>
        <x:v>0.00001867697443556221</x:v>
      </x:c>
      <x:c r="P482" s="2" t="str">
        <x:v>DATA HOLD</x:v>
      </x:c>
    </x:row>
    <x:row r="483" ht="48" customHeight="1">
      <x:c r="A483" s="2" t="n">
        <x:v>478</x:v>
      </x:c>
      <x:c r="B483" s="2" t="str">
        <x:v>red going out top</x:v>
      </x:c>
      <x:c r="C483" s="10" t="n">
        <x:f>'原始数据'!D480</x:f>
        <x:v>121244</x:v>
      </x:c>
      <x:c r="D483" s="9" t="n">
        <x:f>IF(ISNUMBER('原始数据'!E480),'原始数据'!E480,VALUE(SUBSTITUTE('原始数据'!E480,"'","")))</x:f>
        <x:v>0.4435</x:v>
      </x:c>
      <x:c r="E483" s="9" t="n">
        <x:f>IF(ISNUMBER('原始数据'!H480),'原始数据'!H480,VALUE(SUBSTITUTE('原始数据'!H480,"'","")))</x:f>
        <x:v>0.4844</x:v>
      </x:c>
      <x:c r="F483" s="10" t="n">
        <x:f>'原始数据'!L480</x:f>
        <x:v>946</x:v>
      </x:c>
      <x:c r="G483" s="9" t="n">
        <x:f>F483/'原始数据'!G480</x:f>
        <x:v>0.028039599264923824</x:v>
      </x:c>
      <x:c r="H483" s="9" t="n">
        <x:f>'原始数据'!P480/'原始数据'!O480</x:f>
        <x:v>0.15267175572519084</x:v>
      </x:c>
      <x:c r="I483" s="9" t="n">
        <x:f>F483/C483</x:f>
        <x:v>0.007802447956187523</x:v>
      </x:c>
      <x:c r="J483" s="9" t="n">
        <x:f>'原始数据'!G480/'原始数据'!F480</x:f>
        <x:v>0.00960704186088099</x:v>
      </x:c>
      <x:c r="K483" s="2" t="str">
        <x:v>待拆分产品市场</x:v>
      </x:c>
      <x:c r="L483" s="15" t="str">
        <x:v>尺码/颜色变体及退货待核验</x:v>
      </x:c>
      <x:c r="M483" s="2" t="str">
        <x:f>IF(AND(C483&gt;='核验与方法'!$B$7,F483&gt;='核验与方法'!$B$8,G483&gt;='核验与方法'!$B$9,D483&gt;='核验与方法'!$B$10,E483&gt;='核验与方法'!$B$11),"通过需求门槛","未通过需求门槛")</x:f>
        <x:v>未通过需求门槛</x:v>
      </x:c>
      <x:c r="N483" s="2" t="str">
        <x:v>先核验风险标签</x:v>
      </x:c>
      <x:c r="O483" s="9" t="n">
        <x:f>G483-'原始数据'!J480</x:f>
        <x:v>0.000039599264923823735</x:v>
      </x:c>
      <x:c r="P483" s="2" t="str">
        <x:v>DATA HOLD</x:v>
      </x:c>
    </x:row>
    <x:row r="484" ht="48" customHeight="1">
      <x:c r="A484" s="2" t="n">
        <x:v>479</x:v>
      </x:c>
      <x:c r="B484" s="2" t="str">
        <x:v>chucky doll</x:v>
      </x:c>
      <x:c r="C484" s="10" t="n">
        <x:f>'原始数据'!D481</x:f>
        <x:v>120845</x:v>
      </x:c>
      <x:c r="D484" s="9" t="n">
        <x:f>IF(ISNUMBER('原始数据'!E481),'原始数据'!E481,VALUE(SUBSTITUTE('原始数据'!E481,"'","")))</x:f>
        <x:v>-0.0992</x:v>
      </x:c>
      <x:c r="E484" s="9" t="n">
        <x:f>IF(ISNUMBER('原始数据'!H481),'原始数据'!H481,VALUE(SUBSTITUTE('原始数据'!H481,"'","")))</x:f>
        <x:v>-0.1285</x:v>
      </x:c>
      <x:c r="F484" s="10" t="n">
        <x:f>'原始数据'!L481</x:f>
        <x:v>498</x:v>
      </x:c>
      <x:c r="G484" s="9" t="n">
        <x:f>F484/'原始数据'!G481</x:f>
        <x:v>0.011528578373498159</x:v>
      </x:c>
      <x:c r="H484" s="9" t="n">
        <x:f>'原始数据'!P481/'原始数据'!O481</x:f>
        <x:v>0.026671459381739756</x:v>
      </x:c>
      <x:c r="I484" s="9" t="n">
        <x:f>F484/C484</x:f>
        <x:v>0.004120981422483346</x:v>
      </x:c>
      <x:c r="J484" s="9" t="n">
        <x:f>'原始数据'!G481/'原始数据'!F481</x:f>
        <x:v>0.020789897718150263</x:v>
      </x:c>
      <x:c r="K484" s="2" t="str">
        <x:v>待拆分产品市场</x:v>
      </x:c>
      <x:c r="L484" s="15" t="str">
        <x:v>品牌或IP需核验</x:v>
      </x:c>
      <x:c r="M484" s="2" t="str">
        <x:f>IF(AND(C484&gt;='核验与方法'!$B$7,F484&gt;='核验与方法'!$B$8,G484&gt;='核验与方法'!$B$9,D484&gt;='核验与方法'!$B$10,E484&gt;='核验与方法'!$B$11),"通过需求门槛","未通过需求门槛")</x:f>
        <x:v>未通过需求门槛</x:v>
      </x:c>
      <x:c r="N484" s="2" t="str">
        <x:v>先核验风险标签</x:v>
      </x:c>
      <x:c r="O484" s="9" t="n">
        <x:f>G484-'原始数据'!J481</x:f>
        <x:v>0.000028578373498159074</x:v>
      </x:c>
      <x:c r="P484" s="2" t="str">
        <x:v>DATA HOLD</x:v>
      </x:c>
    </x:row>
    <x:row r="485" ht="48" customHeight="1">
      <x:c r="A485" s="2" t="n">
        <x:v>480</x:v>
      </x:c>
      <x:c r="B485" s="2" t="str">
        <x:v>bamboo mattress topper</x:v>
      </x:c>
      <x:c r="C485" s="10" t="n">
        <x:f>'原始数据'!D482</x:f>
        <x:v>120639</x:v>
      </x:c>
      <x:c r="D485" s="9" t="n">
        <x:f>IF(ISNUMBER('原始数据'!E482),'原始数据'!E482,VALUE(SUBSTITUTE('原始数据'!E482,"'","")))</x:f>
        <x:v>0.1724</x:v>
      </x:c>
      <x:c r="E485" s="9" t="n">
        <x:f>IF(ISNUMBER('原始数据'!H482),'原始数据'!H482,VALUE(SUBSTITUTE('原始数据'!H482,"'","")))</x:f>
        <x:v>0.2227</x:v>
      </x:c>
      <x:c r="F485" s="10" t="n">
        <x:f>'原始数据'!L482</x:f>
        <x:v>3407</x:v>
      </x:c>
      <x:c r="G485" s="9" t="n">
        <x:f>F485/'原始数据'!G482</x:f>
        <x:v>0.06122852418949033</x:v>
      </x:c>
      <x:c r="H485" s="9" t="n">
        <x:f>'原始数据'!P482/'原始数据'!O482</x:f>
        <x:v>0.21115489394823897</x:v>
      </x:c>
      <x:c r="I485" s="9" t="n">
        <x:f>F485/C485</x:f>
        <x:v>0.028241281840864066</x:v>
      </x:c>
      <x:c r="J485" s="9" t="n">
        <x:f>'原始数据'!G482/'原始数据'!F482</x:f>
        <x:v>0.016152442082969513</x:v>
      </x:c>
      <x:c r="K485" s="2" t="str">
        <x:v>待拆分产品市场</x:v>
      </x:c>
      <x:c r="L485" s="15" t="str">
        <x:v>体积/安装/售后成本待核验</x:v>
      </x:c>
      <x:c r="M485" s="2" t="str">
        <x:f>IF(AND(C485&gt;='核验与方法'!$B$7,F485&gt;='核验与方法'!$B$8,G485&gt;='核验与方法'!$B$9,D485&gt;='核验与方法'!$B$10,E485&gt;='核验与方法'!$B$11),"通过需求门槛","未通过需求门槛")</x:f>
        <x:v>通过需求门槛</x:v>
      </x:c>
      <x:c r="N485" s="2" t="str">
        <x:v>先核验风险标签</x:v>
      </x:c>
      <x:c r="O485" s="9" t="n">
        <x:f>G485-'原始数据'!J482</x:f>
        <x:v>0.00002852418949033514</x:v>
      </x:c>
      <x:c r="P485" s="2" t="str">
        <x:v>DATA HOLD</x:v>
      </x:c>
    </x:row>
    <x:row r="486" ht="48" customHeight="1">
      <x:c r="A486" s="2" t="n">
        <x:v>481</x:v>
      </x:c>
      <x:c r="B486" s="2" t="str">
        <x:v>cartilage earrings for women</x:v>
      </x:c>
      <x:c r="C486" s="10" t="n">
        <x:f>'原始数据'!D483</x:f>
        <x:v>120495</x:v>
      </x:c>
      <x:c r="D486" s="9" t="n">
        <x:f>IF(ISNUMBER('原始数据'!E483),'原始数据'!E483,VALUE(SUBSTITUTE('原始数据'!E483,"'","")))</x:f>
        <x:v>0.0153</x:v>
      </x:c>
      <x:c r="E486" s="9" t="n">
        <x:f>IF(ISNUMBER('原始数据'!H483),'原始数据'!H483,VALUE(SUBSTITUTE('原始数据'!H483,"'","")))</x:f>
        <x:v>-0.01</x:v>
      </x:c>
      <x:c r="F486" s="10" t="n">
        <x:f>'原始数据'!L483</x:f>
        <x:v>3148</x:v>
      </x:c>
      <x:c r="G486" s="9" t="n">
        <x:f>F486/'原始数据'!G483</x:f>
        <x:v>0.0654660400116458</x:v>
      </x:c>
      <x:c r="H486" s="9" t="n">
        <x:f>'原始数据'!P483/'原始数据'!O483</x:f>
        <x:v>0.21521536270320712</x:v>
      </x:c>
      <x:c r="I486" s="9" t="n">
        <x:f>F486/C486</x:f>
        <x:v>0.026125565376156686</x:v>
      </x:c>
      <x:c r="J486" s="9" t="n">
        <x:f>'原始数据'!G483/'原始数据'!F483</x:f>
        <x:v>0.011199603125156485</x:v>
      </x:c>
      <x:c r="K486" s="2" t="str">
        <x:v>待拆分产品市场</x:v>
      </x:c>
      <x:c r="L486" s="15" t="str">
        <x:v>暂无自动识别标签，仍需核验</x:v>
      </x:c>
      <x:c r="M486" s="2" t="str">
        <x:f>IF(AND(C486&gt;='核验与方法'!$B$7,F486&gt;='核验与方法'!$B$8,G486&gt;='核验与方法'!$B$9,D486&gt;='核验与方法'!$B$10,E486&gt;='核验与方法'!$B$11),"通过需求门槛","未通过需求门槛")</x:f>
        <x:v>未通过需求门槛</x:v>
      </x:c>
      <x:c r="N486" s="2" t="str">
        <x:v>待确认具体产品形态</x:v>
      </x:c>
      <x:c r="O486" s="9" t="n">
        <x:f>G486-'原始数据'!J483</x:f>
        <x:v>0.00006604001164579876</x:v>
      </x:c>
      <x:c r="P486" s="2" t="str">
        <x:v>DATA HOLD</x:v>
      </x:c>
    </x:row>
    <x:row r="487" ht="48" customHeight="1">
      <x:c r="A487" s="2" t="n">
        <x:v>482</x:v>
      </x:c>
      <x:c r="B487" s="2" t="str">
        <x:v>black leather shorts</x:v>
      </x:c>
      <x:c r="C487" s="10" t="n">
        <x:f>'原始数据'!D484</x:f>
        <x:v>120352</x:v>
      </x:c>
      <x:c r="D487" s="9" t="n">
        <x:f>IF(ISNUMBER('原始数据'!E484),'原始数据'!E484,VALUE(SUBSTITUTE('原始数据'!E484,"'","")))</x:f>
        <x:v>0.4405</x:v>
      </x:c>
      <x:c r="E487" s="9" t="n">
        <x:f>IF(ISNUMBER('原始数据'!H484),'原始数据'!H484,VALUE(SUBSTITUTE('原始数据'!H484,"'","")))</x:f>
        <x:v>0.3965</x:v>
      </x:c>
      <x:c r="F487" s="10" t="n">
        <x:f>'原始数据'!L484</x:f>
        <x:v>1034</x:v>
      </x:c>
      <x:c r="G487" s="9" t="n">
        <x:f>F487/'原始数据'!G484</x:f>
        <x:v>0.02907025780876606</x:v>
      </x:c>
      <x:c r="H487" s="9" t="n">
        <x:f>'原始数据'!P484/'原始数据'!O484</x:f>
        <x:v>0.16646740677483632</x:v>
      </x:c>
      <x:c r="I487" s="9" t="n">
        <x:f>F487/C487</x:f>
        <x:v>0.008591465035894709</x:v>
      </x:c>
      <x:c r="J487" s="9" t="n">
        <x:f>'原始数据'!G484/'原始数据'!F484</x:f>
        <x:v>0.011442190863168201</x:v>
      </x:c>
      <x:c r="K487" s="2" t="str">
        <x:v>待拆分产品市场</x:v>
      </x:c>
      <x:c r="L487" s="15" t="str">
        <x:v>尺码/颜色变体及退货待核验</x:v>
      </x:c>
      <x:c r="M487" s="2" t="str">
        <x:f>IF(AND(C487&gt;='核验与方法'!$B$7,F487&gt;='核验与方法'!$B$8,G487&gt;='核验与方法'!$B$9,D487&gt;='核验与方法'!$B$10,E487&gt;='核验与方法'!$B$11),"通过需求门槛","未通过需求门槛")</x:f>
        <x:v>未通过需求门槛</x:v>
      </x:c>
      <x:c r="N487" s="2" t="str">
        <x:v>先核验风险标签</x:v>
      </x:c>
      <x:c r="O487" s="9" t="n">
        <x:f>G487-'原始数据'!J484</x:f>
        <x:v>0.00007025780876605825</x:v>
      </x:c>
      <x:c r="P487" s="2" t="str">
        <x:v>DATA HOLD</x:v>
      </x:c>
    </x:row>
    <x:row r="488" ht="48" customHeight="1">
      <x:c r="A488" s="2" t="n">
        <x:v>483</x:v>
      </x:c>
      <x:c r="B488" s="2" t="str">
        <x:v>minnie mouse costume</x:v>
      </x:c>
      <x:c r="C488" s="10" t="n">
        <x:f>'原始数据'!D485</x:f>
        <x:v>120202</x:v>
      </x:c>
      <x:c r="D488" s="9" t="n">
        <x:f>IF(ISNUMBER('原始数据'!E485),'原始数据'!E485,VALUE(SUBSTITUTE('原始数据'!E485,"'","")))</x:f>
        <x:v>1.7915</x:v>
      </x:c>
      <x:c r="E488" s="9" t="n">
        <x:f>IF(ISNUMBER('原始数据'!H485),'原始数据'!H485,VALUE(SUBSTITUTE('原始数据'!H485,"'","")))</x:f>
        <x:v>1.8</x:v>
      </x:c>
      <x:c r="F488" s="10" t="n">
        <x:f>'原始数据'!L485</x:f>
        <x:v>731</x:v>
      </x:c>
      <x:c r="G488" s="9" t="n">
        <x:f>F488/'原始数据'!G485</x:f>
        <x:v>0.015141472306226438</x:v>
      </x:c>
      <x:c r="H488" s="9" t="n">
        <x:f>'原始数据'!P485/'原始数据'!O485</x:f>
        <x:v>0.05362629177916395</x:v>
      </x:c>
      <x:c r="I488" s="9" t="n">
        <x:f>F488/C488</x:f>
        <x:v>0.006081429593517579</x:v>
      </x:c>
      <x:c r="J488" s="9" t="n">
        <x:f>'原始数据'!G485/'原始数据'!F485</x:f>
        <x:v>0.028861610972649082</x:v>
      </x:c>
      <x:c r="K488" s="2" t="str">
        <x:v>待拆分产品市场</x:v>
      </x:c>
      <x:c r="L488" s="15" t="str">
        <x:v>品牌或IP需核验；季节/事件影响待核验</x:v>
      </x:c>
      <x:c r="M488" s="2" t="str">
        <x:f>IF(AND(C488&gt;='核验与方法'!$B$7,F488&gt;='核验与方法'!$B$8,G488&gt;='核验与方法'!$B$9,D488&gt;='核验与方法'!$B$10,E488&gt;='核验与方法'!$B$11),"通过需求门槛","未通过需求门槛")</x:f>
        <x:v>未通过需求门槛</x:v>
      </x:c>
      <x:c r="N488" s="2" t="str">
        <x:v>先核验风险标签</x:v>
      </x:c>
      <x:c r="O488" s="9" t="n">
        <x:f>G488-'原始数据'!J485</x:f>
        <x:v>0.0000414723062264373</x:v>
      </x:c>
      <x:c r="P488" s="2" t="str">
        <x:v>DATA HOLD</x:v>
      </x:c>
    </x:row>
    <x:row r="489" ht="48" customHeight="1">
      <x:c r="A489" s="2" t="n">
        <x:v>484</x:v>
      </x:c>
      <x:c r="B489" s="2" t="str">
        <x:v>womens watches</x:v>
      </x:c>
      <x:c r="C489" s="10" t="n">
        <x:f>'原始数据'!D486</x:f>
        <x:v>120107</x:v>
      </x:c>
      <x:c r="D489" s="9" t="n">
        <x:f>IF(ISNUMBER('原始数据'!E486),'原始数据'!E486,VALUE(SUBSTITUTE('原始数据'!E486,"'","")))</x:f>
        <x:v>0.0827</x:v>
      </x:c>
      <x:c r="E489" s="9" t="n">
        <x:f>IF(ISNUMBER('原始数据'!H486),'原始数据'!H486,VALUE(SUBSTITUTE('原始数据'!H486,"'","")))</x:f>
        <x:v>0.0784</x:v>
      </x:c>
      <x:c r="F489" s="10" t="n">
        <x:f>'原始数据'!L486</x:f>
        <x:v>1081</x:v>
      </x:c>
      <x:c r="G489" s="9" t="n">
        <x:f>F489/'原始数据'!G486</x:f>
        <x:v>0.029544398589740086</x:v>
      </x:c>
      <x:c r="H489" s="9" t="n">
        <x:f>'原始数据'!P486/'原始数据'!O486</x:f>
        <x:v>0.1528646273449383</x:v>
      </x:c>
      <x:c r="I489" s="9" t="n">
        <x:f>F489/C489</x:f>
        <x:v>0.009000308058647705</x:v>
      </x:c>
      <x:c r="J489" s="9" t="n">
        <x:f>'原始数据'!G486/'原始数据'!F486</x:f>
        <x:v>0.009820660023292162</x:v>
      </x:c>
      <x:c r="K489" s="2" t="str">
        <x:v>待拆分产品市场</x:v>
      </x:c>
      <x:c r="L489" s="15" t="str">
        <x:v>暂无自动识别标签，仍需核验</x:v>
      </x:c>
      <x:c r="M489" s="2" t="str">
        <x:f>IF(AND(C489&gt;='核验与方法'!$B$7,F489&gt;='核验与方法'!$B$8,G489&gt;='核验与方法'!$B$9,D489&gt;='核验与方法'!$B$10,E489&gt;='核验与方法'!$B$11),"通过需求门槛","未通过需求门槛")</x:f>
        <x:v>未通过需求门槛</x:v>
      </x:c>
      <x:c r="N489" s="2" t="str">
        <x:v>待确认具体产品形态</x:v>
      </x:c>
      <x:c r="O489" s="9" t="n">
        <x:f>G489-'原始数据'!J486</x:f>
        <x:v>0.000044398589740087674</x:v>
      </x:c>
      <x:c r="P489" s="2" t="str">
        <x:v>DATA HOLD</x:v>
      </x:c>
    </x:row>
    <x:row r="490" ht="48" customHeight="1">
      <x:c r="A490" s="2" t="n">
        <x:v>485</x:v>
      </x:c>
      <x:c r="B490" s="2" t="str">
        <x:v>jackass</x:v>
      </x:c>
      <x:c r="C490" s="10" t="n">
        <x:f>'原始数据'!D487</x:f>
        <x:v>119283</x:v>
      </x:c>
      <x:c r="D490" s="9" t="n">
        <x:f>IF(ISNUMBER('原始数据'!E487),'原始数据'!E487,VALUE(SUBSTITUTE('原始数据'!E487,"'","")))</x:f>
        <x:v>-0.4099</x:v>
      </x:c>
      <x:c r="E490" s="9" t="n">
        <x:f>IF(ISNUMBER('原始数据'!H487),'原始数据'!H487,VALUE(SUBSTITUTE('原始数据'!H487,"'","")))</x:f>
        <x:v>2.7101</x:v>
      </x:c>
      <x:c r="F490" s="10" t="n">
        <x:f>'原始数据'!L487</x:f>
        <x:v>95</x:v>
      </x:c>
      <x:c r="G490" s="9" t="n">
        <x:f>F490/'原始数据'!G487</x:f>
        <x:v>0.00614926532461648</x:v>
      </x:c>
      <x:c r="H490" s="9" t="n">
        <x:f>'原始数据'!P487/'原始数据'!O487</x:f>
        <x:v>0.007979240999026922</x:v>
      </x:c>
      <x:c r="I490" s="9" t="n">
        <x:f>F490/C490</x:f>
        <x:v>0.0007964253078812572</x:v>
      </x:c>
      <x:c r="J490" s="9" t="n">
        <x:f>'原始数据'!G487/'原始数据'!F487</x:f>
        <x:v>0.011818200595002682</x:v>
      </x:c>
      <x:c r="K490" s="2" t="str">
        <x:v>待拆分产品市场</x:v>
      </x:c>
      <x:c r="L490" s="15" t="str">
        <x:v>内容/导航或宽泛需求需拆分</x:v>
      </x:c>
      <x:c r="M490" s="2" t="str">
        <x:f>IF(AND(C490&gt;='核验与方法'!$B$7,F490&gt;='核验与方法'!$B$8,G490&gt;='核验与方法'!$B$9,D490&gt;='核验与方法'!$B$10,E490&gt;='核验与方法'!$B$11),"通过需求门槛","未通过需求门槛")</x:f>
        <x:v>未通过需求门槛</x:v>
      </x:c>
      <x:c r="N490" s="2" t="str">
        <x:v>先核验风险标签</x:v>
      </x:c>
      <x:c r="O490" s="9" t="n">
        <x:f>G490-'原始数据'!J487</x:f>
        <x:v>0.000049265324616479256</x:v>
      </x:c>
      <x:c r="P490" s="2" t="str">
        <x:v>DATA HOLD</x:v>
      </x:c>
    </x:row>
    <x:row r="491" ht="48" customHeight="1">
      <x:c r="A491" s="2" t="n">
        <x:v>486</x:v>
      </x:c>
      <x:c r="B491" s="2" t="str">
        <x:v>throne of glass series</x:v>
      </x:c>
      <x:c r="C491" s="10" t="n">
        <x:f>'原始数据'!D488</x:f>
        <x:v>119241</x:v>
      </x:c>
      <x:c r="D491" s="9" t="n">
        <x:f>IF(ISNUMBER('原始数据'!E488),'原始数据'!E488,VALUE(SUBSTITUTE('原始数据'!E488,"'","")))</x:f>
        <x:v>-0.0638</x:v>
      </x:c>
      <x:c r="E491" s="9" t="n">
        <x:f>IF(ISNUMBER('原始数据'!H488),'原始数据'!H488,VALUE(SUBSTITUTE('原始数据'!H488,"'","")))</x:f>
        <x:v>-0.0807</x:v>
      </x:c>
      <x:c r="F491" s="10" t="n">
        <x:f>'原始数据'!L488</x:f>
        <x:v>6791</x:v>
      </x:c>
      <x:c r="G491" s="9" t="n">
        <x:f>F491/'原始数据'!G488</x:f>
        <x:v>0.0953283360004492</x:v>
      </x:c>
      <x:c r="H491" s="9" t="n">
        <x:f>'原始数据'!P488/'原始数据'!O488</x:f>
        <x:v>0.16969643095248677</x:v>
      </x:c>
      <x:c r="I491" s="9" t="n">
        <x:f>F491/C491</x:f>
        <x:v>0.056951887354181864</x:v>
      </x:c>
      <x:c r="J491" s="9" t="n">
        <x:f>'原始数据'!G488/'原始数据'!F488</x:f>
        <x:v>0.029559753125147824</x:v>
      </x:c>
      <x:c r="K491" s="2" t="str">
        <x:v>待拆分产品市场</x:v>
      </x:c>
      <x:c r="L491" s="15" t="str">
        <x:v>内容/导航或宽泛需求需拆分</x:v>
      </x:c>
      <x:c r="M491" s="2" t="str">
        <x:f>IF(AND(C491&gt;='核验与方法'!$B$7,F491&gt;='核验与方法'!$B$8,G491&gt;='核验与方法'!$B$9,D491&gt;='核验与方法'!$B$10,E491&gt;='核验与方法'!$B$11),"通过需求门槛","未通过需求门槛")</x:f>
        <x:v>未通过需求门槛</x:v>
      </x:c>
      <x:c r="N491" s="2" t="str">
        <x:v>先核验风险标签</x:v>
      </x:c>
      <x:c r="O491" s="9" t="n">
        <x:f>G491-'原始数据'!J488</x:f>
        <x:v>0.00002833600044920004</x:v>
      </x:c>
      <x:c r="P491" s="2" t="str">
        <x:v>DATA HOLD</x:v>
      </x:c>
    </x:row>
    <x:row r="492" ht="48" customHeight="1">
      <x:c r="A492" s="2" t="n">
        <x:v>487</x:v>
      </x:c>
      <x:c r="B492" s="2" t="str">
        <x:v>medias de compresión para mujer</x:v>
      </x:c>
      <x:c r="C492" s="10" t="n">
        <x:f>'原始数据'!D489</x:f>
        <x:v>119240</x:v>
      </x:c>
      <x:c r="D492" s="9" t="n">
        <x:f>IF(ISNUMBER('原始数据'!E489),'原始数据'!E489,VALUE(SUBSTITUTE('原始数据'!E489,"'","")))</x:f>
        <x:v>-0.0064</x:v>
      </x:c>
      <x:c r="E492" s="9" t="n">
        <x:f>IF(ISNUMBER('原始数据'!H489),'原始数据'!H489,VALUE(SUBSTITUTE('原始数据'!H489,"'","")))</x:f>
        <x:v>0.0238</x:v>
      </x:c>
      <x:c r="F492" s="10" t="n">
        <x:f>'原始数据'!L489</x:f>
        <x:v>1771</x:v>
      </x:c>
      <x:c r="G492" s="9" t="n">
        <x:f>F492/'原始数据'!G489</x:f>
        <x:v>0.03381965397395256</x:v>
      </x:c>
      <x:c r="H492" s="9" t="n">
        <x:f>'原始数据'!P489/'原始数据'!O489</x:f>
        <x:v>0.1910443504301944</x:v>
      </x:c>
      <x:c r="I492" s="9" t="n">
        <x:f>F492/C492</x:f>
        <x:v>0.01485239852398524</x:v>
      </x:c>
      <x:c r="J492" s="9" t="n">
        <x:f>'原始数据'!G489/'原始数据'!F489</x:f>
        <x:v>0.016852589243963483</x:v>
      </x:c>
      <x:c r="K492" s="2" t="str">
        <x:v>待拆分产品市场</x:v>
      </x:c>
      <x:c r="L492" s="15" t="str">
        <x:v>尺码/颜色变体及退货待核验</x:v>
      </x:c>
      <x:c r="M492" s="2" t="str">
        <x:f>IF(AND(C492&gt;='核验与方法'!$B$7,F492&gt;='核验与方法'!$B$8,G492&gt;='核验与方法'!$B$9,D492&gt;='核验与方法'!$B$10,E492&gt;='核验与方法'!$B$11),"通过需求门槛","未通过需求门槛")</x:f>
        <x:v>未通过需求门槛</x:v>
      </x:c>
      <x:c r="N492" s="2" t="str">
        <x:v>先核验风险标签</x:v>
      </x:c>
      <x:c r="O492" s="9" t="n">
        <x:f>G492-'原始数据'!J489</x:f>
        <x:v>0.00001965397395256585</x:v>
      </x:c>
      <x:c r="P492" s="2" t="str">
        <x:v>DATA HOLD</x:v>
      </x:c>
    </x:row>
    <x:row r="493" ht="48" customHeight="1">
      <x:c r="A493" s="2" t="n">
        <x:v>488</x:v>
      </x:c>
      <x:c r="B493" s="2" t="str">
        <x:v>turkey lunch meat</x:v>
      </x:c>
      <x:c r="C493" s="10" t="n">
        <x:f>'原始数据'!D490</x:f>
        <x:v>119226</x:v>
      </x:c>
      <x:c r="D493" s="9" t="n">
        <x:f>IF(ISNUMBER('原始数据'!E490),'原始数据'!E490,VALUE(SUBSTITUTE('原始数据'!E490,"'","")))</x:f>
        <x:v>0.008</x:v>
      </x:c>
      <x:c r="E493" s="9" t="n">
        <x:f>IF(ISNUMBER('原始数据'!H490),'原始数据'!H490,VALUE(SUBSTITUTE('原始数据'!H490,"'","")))</x:f>
        <x:v>-0.0387</x:v>
      </x:c>
      <x:c r="F493" s="10" t="n">
        <x:f>'原始数据'!L490</x:f>
        <x:v>21511</x:v>
      </x:c>
      <x:c r="G493" s="9" t="n">
        <x:f>F493/'原始数据'!G490</x:f>
        <x:v>0.4355070556556597</x:v>
      </x:c>
      <x:c r="H493" s="9" t="n">
        <x:f>'原始数据'!P490/'原始数据'!O490</x:f>
        <x:v>0.5859437941329795</x:v>
      </x:c>
      <x:c r="I493" s="9" t="n">
        <x:f>F493/C493</x:f>
        <x:v>0.18042205559190108</x:v>
      </x:c>
      <x:c r="J493" s="9" t="n">
        <x:f>'原始数据'!G490/'原始数据'!F490</x:f>
        <x:v>0.01786137249023904</x:v>
      </x:c>
      <x:c r="K493" s="2" t="str">
        <x:v>专业供给</x:v>
      </x:c>
      <x:c r="L493" s="15" t="str">
        <x:v>食品/补剂或耗材需独立供应链</x:v>
      </x:c>
      <x:c r="M493" s="2" t="str">
        <x:f>IF(AND(C493&gt;='核验与方法'!$B$7,F493&gt;='核验与方法'!$B$8,G493&gt;='核验与方法'!$B$9,D493&gt;='核验与方法'!$B$10,E493&gt;='核验与方法'!$B$11),"通过需求门槛","未通过需求门槛")</x:f>
        <x:v>未通过需求门槛</x:v>
      </x:c>
      <x:c r="N493" s="2" t="str">
        <x:v>先核验风险标签</x:v>
      </x:c>
      <x:c r="O493" s="9" t="n">
        <x:f>G493-'原始数据'!J490</x:f>
        <x:v>0.000007055655659726767</x:v>
      </x:c>
      <x:c r="P493" s="2" t="str">
        <x:v>DATA HOLD</x:v>
      </x:c>
    </x:row>
    <x:row r="494" ht="48" customHeight="1">
      <x:c r="A494" s="2" t="n">
        <x:v>489</x:v>
      </x:c>
      <x:c r="B494" s="2" t="str">
        <x:v>humanoid robot</x:v>
      </x:c>
      <x:c r="C494" s="10" t="n">
        <x:f>'原始数据'!D491</x:f>
        <x:v>118979</x:v>
      </x:c>
      <x:c r="D494" s="9" t="n">
        <x:f>IF(ISNUMBER('原始数据'!E491),'原始数据'!E491,VALUE(SUBSTITUTE('原始数据'!E491,"'","")))</x:f>
        <x:v>3.7096</x:v>
      </x:c>
      <x:c r="E494" s="9" t="n">
        <x:f>IF(ISNUMBER('原始数据'!H491),'原始数据'!H491,VALUE(SUBSTITUTE('原始数据'!H491,"'","")))</x:f>
        <x:v>5.2669</x:v>
      </x:c>
      <x:c r="F494" s="10" t="n">
        <x:f>'原始数据'!L491</x:f>
        <x:v>48</x:v>
      </x:c>
      <x:c r="G494" s="9" t="n">
        <x:f>F494/'原始数据'!G491</x:f>
        <x:v>0.0007975806719617161</x:v>
      </x:c>
      <x:c r="H494" s="9" t="n">
        <x:f>'原始数据'!P491/'原始数据'!O491</x:f>
        <x:v>0.007078080070780801</x:v>
      </x:c>
      <x:c r="I494" s="9" t="n">
        <x:f>F494/C494</x:f>
        <x:v>0.00040343253851520016</x:v>
      </x:c>
      <x:c r="J494" s="9" t="n">
        <x:f>'原始数据'!G491/'原始数据'!F491</x:f>
        <x:v>0.0987631224388987</x:v>
      </x:c>
      <x:c r="K494" s="2" t="str">
        <x:v>待拆分产品市场</x:v>
      </x:c>
      <x:c r="L494" s="15" t="str">
        <x:v>体积/安装/售后成本待核验</x:v>
      </x:c>
      <x:c r="M494" s="2" t="str">
        <x:f>IF(AND(C494&gt;='核验与方法'!$B$7,F494&gt;='核验与方法'!$B$8,G494&gt;='核验与方法'!$B$9,D494&gt;='核验与方法'!$B$10,E494&gt;='核验与方法'!$B$11),"通过需求门槛","未通过需求门槛")</x:f>
        <x:v>未通过需求门槛</x:v>
      </x:c>
      <x:c r="N494" s="2" t="str">
        <x:v>先核验风险标签</x:v>
      </x:c>
      <x:c r="O494" s="9" t="n">
        <x:f>G494-'原始数据'!J491</x:f>
        <x:v>0.00009758067196171609</x:v>
      </x:c>
      <x:c r="P494" s="2" t="str">
        <x:v>DATA HOLD</x:v>
      </x:c>
    </x:row>
    <x:row r="495" ht="48" customHeight="1">
      <x:c r="A495" s="2" t="n">
        <x:v>490</x:v>
      </x:c>
      <x:c r="B495" s="2" t="str">
        <x:v>dairy free yogurt</x:v>
      </x:c>
      <x:c r="C495" s="10" t="n">
        <x:f>'原始数据'!D492</x:f>
        <x:v>118688</x:v>
      </x:c>
      <x:c r="D495" s="9" t="n">
        <x:f>IF(ISNUMBER('原始数据'!E492),'原始数据'!E492,VALUE(SUBSTITUTE('原始数据'!E492,"'","")))</x:f>
        <x:v>0.114</x:v>
      </x:c>
      <x:c r="E495" s="9" t="n">
        <x:f>IF(ISNUMBER('原始数据'!H492),'原始数据'!H492,VALUE(SUBSTITUTE('原始数据'!H492,"'","")))</x:f>
        <x:v>0.0236</x:v>
      </x:c>
      <x:c r="F495" s="10" t="n">
        <x:f>'原始数据'!L492</x:f>
        <x:v>10894</x:v>
      </x:c>
      <x:c r="G495" s="9" t="n">
        <x:f>F495/'原始数据'!G492</x:f>
        <x:v>0.22303660633854722</x:v>
      </x:c>
      <x:c r="H495" s="9" t="n">
        <x:f>'原始数据'!P492/'原始数据'!O492</x:f>
        <x:v>0.38018232263178753</x:v>
      </x:c>
      <x:c r="I495" s="9" t="n">
        <x:f>F495/C495</x:f>
        <x:v>0.09178686977622001</x:v>
      </x:c>
      <x:c r="J495" s="9" t="n">
        <x:f>'原始数据'!G492/'原始数据'!F492</x:f>
        <x:v>0.01817213826212837</x:v>
      </x:c>
      <x:c r="K495" s="2" t="str">
        <x:v>专业供给</x:v>
      </x:c>
      <x:c r="L495" s="15" t="str">
        <x:v>食品/补剂或耗材需独立供应链</x:v>
      </x:c>
      <x:c r="M495" s="2" t="str">
        <x:f>IF(AND(C495&gt;='核验与方法'!$B$7,F495&gt;='核验与方法'!$B$8,G495&gt;='核验与方法'!$B$9,D495&gt;='核验与方法'!$B$10,E495&gt;='核验与方法'!$B$11),"通过需求门槛","未通过需求门槛")</x:f>
        <x:v>通过需求门槛</x:v>
      </x:c>
      <x:c r="N495" s="2" t="str">
        <x:v>先核验风险标签</x:v>
      </x:c>
      <x:c r="O495" s="9" t="n">
        <x:f>G495-'原始数据'!J492</x:f>
        <x:v>0.000036606338547212625</x:v>
      </x:c>
      <x:c r="P495" s="2" t="str">
        <x:v>DATA HOLD</x:v>
      </x:c>
    </x:row>
    <x:row r="496" ht="48" customHeight="1">
      <x:c r="A496" s="2" t="n">
        <x:v>491</x:v>
      </x:c>
      <x:c r="B496" s="2" t="str">
        <x:v>green dress women</x:v>
      </x:c>
      <x:c r="C496" s="10" t="n">
        <x:f>'原始数据'!D493</x:f>
        <x:v>118405</x:v>
      </x:c>
      <x:c r="D496" s="9" t="n">
        <x:f>IF(ISNUMBER('原始数据'!E493),'原始数据'!E493,VALUE(SUBSTITUTE('原始数据'!E493,"'","")))</x:f>
        <x:v>0.0115</x:v>
      </x:c>
      <x:c r="E496" s="9" t="n">
        <x:f>IF(ISNUMBER('原始数据'!H493),'原始数据'!H493,VALUE(SUBSTITUTE('原始数据'!H493,"'","")))</x:f>
        <x:v>0.0428</x:v>
      </x:c>
      <x:c r="F496" s="10" t="n">
        <x:f>'原始数据'!L493</x:f>
        <x:v>419</x:v>
      </x:c>
      <x:c r="G496" s="9" t="n">
        <x:f>F496/'原始数据'!G493</x:f>
        <x:v>0.014387748094224297</x:v>
      </x:c>
      <x:c r="H496" s="9" t="n">
        <x:f>'原始数据'!P493/'原始数据'!O493</x:f>
        <x:v>0.10961227786752827</x:v>
      </x:c>
      <x:c r="I496" s="9" t="n">
        <x:f>F496/C496</x:f>
        <x:v>0.0035387019129259744</x:v>
      </x:c>
      <x:c r="J496" s="9" t="n">
        <x:f>'原始数据'!G493/'原始数据'!F493</x:f>
        <x:v>0.007917003315561172</x:v>
      </x:c>
      <x:c r="K496" s="2" t="str">
        <x:v>待拆分产品市场</x:v>
      </x:c>
      <x:c r="L496" s="15" t="str">
        <x:v>尺码/颜色变体及退货待核验</x:v>
      </x:c>
      <x:c r="M496" s="2" t="str">
        <x:f>IF(AND(C496&gt;='核验与方法'!$B$7,F496&gt;='核验与方法'!$B$8,G496&gt;='核验与方法'!$B$9,D496&gt;='核验与方法'!$B$10,E496&gt;='核验与方法'!$B$11),"通过需求门槛","未通过需求门槛")</x:f>
        <x:v>未通过需求门槛</x:v>
      </x:c>
      <x:c r="N496" s="2" t="str">
        <x:v>先核验风险标签</x:v>
      </x:c>
      <x:c r="O496" s="9" t="n">
        <x:f>G496-'原始数据'!J493</x:f>
        <x:v>0.00008774809422429711</x:v>
      </x:c>
      <x:c r="P496" s="2" t="str">
        <x:v>DATA HOLD</x:v>
      </x:c>
    </x:row>
    <x:row r="497" ht="48" customHeight="1">
      <x:c r="A497" s="2" t="n">
        <x:v>492</x:v>
      </x:c>
      <x:c r="B497" s="2" t="str">
        <x:v>sex games</x:v>
      </x:c>
      <x:c r="C497" s="10" t="n">
        <x:f>'原始数据'!D494</x:f>
        <x:v>118100</x:v>
      </x:c>
      <x:c r="D497" s="9" t="n">
        <x:f>IF(ISNUMBER('原始数据'!E494),'原始数据'!E494,VALUE(SUBSTITUTE('原始数据'!E494,"'","")))</x:f>
        <x:v>-0.0216</x:v>
      </x:c>
      <x:c r="E497" s="9" t="n">
        <x:f>IF(ISNUMBER('原始数据'!H494),'原始数据'!H494,VALUE(SUBSTITUTE('原始数据'!H494,"'","")))</x:f>
        <x:v>-0.0126</x:v>
      </x:c>
      <x:c r="F497" s="10" t="n">
        <x:f>'原始数据'!L494</x:f>
        <x:v>1882</x:v>
      </x:c>
      <x:c r="G497" s="9" t="n">
        <x:f>F497/'原始数据'!G494</x:f>
        <x:v>0.03399750709034088</x:v>
      </x:c>
      <x:c r="H497" s="9" t="n">
        <x:f>'原始数据'!P494/'原始数据'!O494</x:f>
        <x:v>0.13259216872394344</x:v>
      </x:c>
      <x:c r="I497" s="9" t="n">
        <x:f>F497/C497</x:f>
        <x:v>0.015935647756138864</x:v>
      </x:c>
      <x:c r="J497" s="9" t="n">
        <x:f>'原始数据'!G494/'原始数据'!F494</x:f>
        <x:v>0.03827223570780164</x:v>
      </x:c>
      <x:c r="K497" s="2" t="str">
        <x:v>待拆分产品市场</x:v>
      </x:c>
      <x:c r="L497" s="15" t="str">
        <x:v>专业类目适配与规则待核验</x:v>
      </x:c>
      <x:c r="M497" s="2" t="str">
        <x:f>IF(AND(C497&gt;='核验与方法'!$B$7,F497&gt;='核验与方法'!$B$8,G497&gt;='核验与方法'!$B$9,D497&gt;='核验与方法'!$B$10,E497&gt;='核验与方法'!$B$11),"通过需求门槛","未通过需求门槛")</x:f>
        <x:v>未通过需求门槛</x:v>
      </x:c>
      <x:c r="N497" s="2" t="str">
        <x:v>先核验风险标签</x:v>
      </x:c>
      <x:c r="O497" s="9" t="n">
        <x:f>G497-'原始数据'!J494</x:f>
        <x:v>0.00009750709034087729</x:v>
      </x:c>
      <x:c r="P497" s="2" t="str">
        <x:v>DATA HOLD</x:v>
      </x:c>
    </x:row>
    <x:row r="498" ht="48" customHeight="1">
      <x:c r="A498" s="2" t="n">
        <x:v>493</x:v>
      </x:c>
      <x:c r="B498" s="2" t="str">
        <x:v>large wall art</x:v>
      </x:c>
      <x:c r="C498" s="10" t="n">
        <x:f>'原始数据'!D495</x:f>
        <x:v>118093</x:v>
      </x:c>
      <x:c r="D498" s="9" t="n">
        <x:f>IF(ISNUMBER('原始数据'!E495),'原始数据'!E495,VALUE(SUBSTITUTE('原始数据'!E495,"'","")))</x:f>
        <x:v>-0.0965</x:v>
      </x:c>
      <x:c r="E498" s="9" t="n">
        <x:f>IF(ISNUMBER('原始数据'!H495),'原始数据'!H495,VALUE(SUBSTITUTE('原始数据'!H495,"'","")))</x:f>
        <x:v>-0.0709</x:v>
      </x:c>
      <x:c r="F498" s="10" t="n">
        <x:f>'原始数据'!L495</x:f>
        <x:v>242</x:v>
      </x:c>
      <x:c r="G498" s="9" t="n">
        <x:f>F498/'原始数据'!G495</x:f>
        <x:v>0.005502626253439141</x:v>
      </x:c>
      <x:c r="H498" s="9" t="n">
        <x:f>'原始数据'!P495/'原始数据'!O495</x:f>
        <x:v>0.029554599694741224</x:v>
      </x:c>
      <x:c r="I498" s="9" t="n">
        <x:f>F498/C498</x:f>
        <x:v>0.0020492323846459993</x:v>
      </x:c>
      <x:c r="J498" s="9" t="n">
        <x:f>'原始数据'!G495/'原始数据'!F495</x:f>
        <x:v>0.011934020029963266</x:v>
      </x:c>
      <x:c r="K498" s="2" t="str">
        <x:v>待拆分产品市场</x:v>
      </x:c>
      <x:c r="L498" s="15" t="str">
        <x:v>暂无自动识别标签，仍需核验</x:v>
      </x:c>
      <x:c r="M498" s="2" t="str">
        <x:f>IF(AND(C498&gt;='核验与方法'!$B$7,F498&gt;='核验与方法'!$B$8,G498&gt;='核验与方法'!$B$9,D498&gt;='核验与方法'!$B$10,E498&gt;='核验与方法'!$B$11),"通过需求门槛","未通过需求门槛")</x:f>
        <x:v>未通过需求门槛</x:v>
      </x:c>
      <x:c r="N498" s="2" t="str">
        <x:v>待确认具体产品形态</x:v>
      </x:c>
      <x:c r="O498" s="9" t="n">
        <x:f>G498-'原始数据'!J495</x:f>
        <x:v>0.0000026262534391415654</x:v>
      </x:c>
      <x:c r="P498" s="2" t="str">
        <x:v>DATA HOLD</x:v>
      </x:c>
    </x:row>
    <x:row r="499" ht="48" customHeight="1">
      <x:c r="A499" s="2" t="n">
        <x:v>494</x:v>
      </x:c>
      <x:c r="B499" s="2" t="str">
        <x:v>pistachio cream</x:v>
      </x:c>
      <x:c r="C499" s="10" t="n">
        <x:f>'原始数据'!D496</x:f>
        <x:v>117872</x:v>
      </x:c>
      <x:c r="D499" s="9" t="n">
        <x:f>IF(ISNUMBER('原始数据'!E496),'原始数据'!E496,VALUE(SUBSTITUTE('原始数据'!E496,"'","")))</x:f>
        <x:v>0.0022</x:v>
      </x:c>
      <x:c r="E499" s="9" t="n">
        <x:f>IF(ISNUMBER('原始数据'!H496),'原始数据'!H496,VALUE(SUBSTITUTE('原始数据'!H496,"'","")))</x:f>
        <x:v>-0.0859</x:v>
      </x:c>
      <x:c r="F499" s="10" t="n">
        <x:f>'原始数据'!L496</x:f>
        <x:v>6492</x:v>
      </x:c>
      <x:c r="G499" s="9" t="n">
        <x:f>F499/'原始数据'!G496</x:f>
        <x:v>0.1389316897791474</x:v>
      </x:c>
      <x:c r="H499" s="9" t="n">
        <x:f>'原始数据'!P496/'原始数据'!O496</x:f>
        <x:v>0.3014062955406587</x:v>
      </x:c>
      <x:c r="I499" s="9" t="n">
        <x:f>F499/C499</x:f>
        <x:v>0.0550766933622913</x:v>
      </x:c>
      <x:c r="J499" s="9" t="n">
        <x:f>'原始数据'!G496/'原始数据'!F496</x:f>
        <x:v>0.01164529403320733</x:v>
      </x:c>
      <x:c r="K499" s="2" t="str">
        <x:v>专业供给</x:v>
      </x:c>
      <x:c r="L499" s="15" t="str">
        <x:v>食品/补剂或耗材需独立供应链</x:v>
      </x:c>
      <x:c r="M499" s="2" t="str">
        <x:f>IF(AND(C499&gt;='核验与方法'!$B$7,F499&gt;='核验与方法'!$B$8,G499&gt;='核验与方法'!$B$9,D499&gt;='核验与方法'!$B$10,E499&gt;='核验与方法'!$B$11),"通过需求门槛","未通过需求门槛")</x:f>
        <x:v>未通过需求门槛</x:v>
      </x:c>
      <x:c r="N499" s="2" t="str">
        <x:v>先核验风险标签</x:v>
      </x:c>
      <x:c r="O499" s="9" t="n">
        <x:f>G499-'原始数据'!J496</x:f>
        <x:v>0.000031689779147414665</x:v>
      </x:c>
      <x:c r="P499" s="2" t="str">
        <x:v>DATA HOLD</x:v>
      </x:c>
    </x:row>
    <x:row r="500" ht="48" customHeight="1">
      <x:c r="A500" s="2" t="n">
        <x:v>495</x:v>
      </x:c>
      <x:c r="B500" s="2" t="str">
        <x:v>chocolate cake</x:v>
      </x:c>
      <x:c r="C500" s="10" t="n">
        <x:f>'原始数据'!D497</x:f>
        <x:v>117714</x:v>
      </x:c>
      <x:c r="D500" s="9" t="n">
        <x:f>IF(ISNUMBER('原始数据'!E497),'原始数据'!E497,VALUE(SUBSTITUTE('原始数据'!E497,"'","")))</x:f>
        <x:v>0.1861</x:v>
      </x:c>
      <x:c r="E500" s="9" t="n">
        <x:f>IF(ISNUMBER('原始数据'!H497),'原始数据'!H497,VALUE(SUBSTITUTE('原始数据'!H497,"'","")))</x:f>
        <x:v>0.0542</x:v>
      </x:c>
      <x:c r="F500" s="10" t="n">
        <x:f>'原始数据'!L497</x:f>
        <x:v>6098</x:v>
      </x:c>
      <x:c r="G500" s="9" t="n">
        <x:f>F500/'原始数据'!G497</x:f>
        <x:v>0.19323763348860792</x:v>
      </x:c>
      <x:c r="H500" s="9" t="n">
        <x:f>'原始数据'!P497/'原始数据'!O497</x:f>
        <x:v>0.324856018703313</x:v>
      </x:c>
      <x:c r="I500" s="9" t="n">
        <x:f>F500/C500</x:f>
        <x:v>0.05180352379496067</x:v>
      </x:c>
      <x:c r="J500" s="9" t="n">
        <x:f>'原始数据'!G497/'原始数据'!F497</x:f>
        <x:v>0.01232060031546234</x:v>
      </x:c>
      <x:c r="K500" s="2" t="str">
        <x:v>专业供给</x:v>
      </x:c>
      <x:c r="L500" s="15" t="str">
        <x:v>食品/补剂或耗材需独立供应链</x:v>
      </x:c>
      <x:c r="M500" s="2" t="str">
        <x:f>IF(AND(C500&gt;='核验与方法'!$B$7,F500&gt;='核验与方法'!$B$8,G500&gt;='核验与方法'!$B$9,D500&gt;='核验与方法'!$B$10,E500&gt;='核验与方法'!$B$11),"通过需求门槛","未通过需求门槛")</x:f>
        <x:v>通过需求门槛</x:v>
      </x:c>
      <x:c r="N500" s="2" t="str">
        <x:v>先核验风险标签</x:v>
      </x:c>
      <x:c r="O500" s="9" t="n">
        <x:f>G500-'原始数据'!J497</x:f>
        <x:v>0.00003763348860791327</x:v>
      </x:c>
      <x:c r="P500" s="2" t="str">
        <x:v>DATA HOLD</x:v>
      </x:c>
    </x:row>
    <x:row r="501" ht="48" customHeight="1">
      <x:c r="A501" s="2" t="n">
        <x:v>496</x:v>
      </x:c>
      <x:c r="B501" s="2" t="str">
        <x:v>complete series dvd</x:v>
      </x:c>
      <x:c r="C501" s="10" t="n">
        <x:f>'原始数据'!D498</x:f>
        <x:v>117682</x:v>
      </x:c>
      <x:c r="D501" s="9" t="n">
        <x:f>IF(ISNUMBER('原始数据'!E498),'原始数据'!E498,VALUE(SUBSTITUTE('原始数据'!E498,"'","")))</x:f>
        <x:v>0.0862</x:v>
      </x:c>
      <x:c r="E501" s="9" t="n">
        <x:f>IF(ISNUMBER('原始数据'!H498),'原始数据'!H498,VALUE(SUBSTITUTE('原始数据'!H498,"'","")))</x:f>
        <x:v>0.0695</x:v>
      </x:c>
      <x:c r="F501" s="10" t="n">
        <x:f>'原始数据'!L498</x:f>
        <x:v>850</x:v>
      </x:c>
      <x:c r="G501" s="9" t="n">
        <x:f>F501/'原始数据'!G498</x:f>
        <x:v>0.0335345405767941</x:v>
      </x:c>
      <x:c r="H501" s="9" t="n">
        <x:f>'原始数据'!P498/'原始数据'!O498</x:f>
        <x:v>0.0948263227319361</x:v>
      </x:c>
      <x:c r="I501" s="9" t="n">
        <x:f>F501/C501</x:f>
        <x:v>0.0072228548121208</x:v>
      </x:c>
      <x:c r="J501" s="9" t="n">
        <x:f>'原始数据'!G498/'原始数据'!F498</x:f>
        <x:v>0.00979994533032431</x:v>
      </x:c>
      <x:c r="K501" s="2" t="str">
        <x:v>待拆分产品市场</x:v>
      </x:c>
      <x:c r="L501" s="15" t="str">
        <x:v>内容/导航或宽泛需求需拆分</x:v>
      </x:c>
      <x:c r="M501" s="2" t="str">
        <x:f>IF(AND(C501&gt;='核验与方法'!$B$7,F501&gt;='核验与方法'!$B$8,G501&gt;='核验与方法'!$B$9,D501&gt;='核验与方法'!$B$10,E501&gt;='核验与方法'!$B$11),"通过需求门槛","未通过需求门槛")</x:f>
        <x:v>未通过需求门槛</x:v>
      </x:c>
      <x:c r="N501" s="2" t="str">
        <x:v>先核验风险标签</x:v>
      </x:c>
      <x:c r="O501" s="9" t="n">
        <x:f>G501-'原始数据'!J498</x:f>
        <x:v>0.000034540576794098166</x:v>
      </x:c>
      <x:c r="P501" s="2" t="str">
        <x:v>DATA HOLD</x:v>
      </x:c>
    </x:row>
    <x:row r="502" ht="48" customHeight="1">
      <x:c r="A502" s="2" t="n">
        <x:v>497</x:v>
      </x:c>
      <x:c r="B502" s="2" t="str">
        <x:v>teen girl</x:v>
      </x:c>
      <x:c r="C502" s="10" t="n">
        <x:f>'原始数据'!D499</x:f>
        <x:v>117436</x:v>
      </x:c>
      <x:c r="D502" s="9" t="n">
        <x:f>IF(ISNUMBER('原始数据'!E499),'原始数据'!E499,VALUE(SUBSTITUTE('原始数据'!E499,"'","")))</x:f>
        <x:v>0.192</x:v>
      </x:c>
      <x:c r="E502" s="9" t="n">
        <x:f>IF(ISNUMBER('原始数据'!H499),'原始数据'!H499,VALUE(SUBSTITUTE('原始数据'!H499,"'","")))</x:f>
        <x:v>0.2628</x:v>
      </x:c>
      <x:c r="F502" s="10" t="n">
        <x:f>'原始数据'!L499</x:f>
        <x:v>967</x:v>
      </x:c>
      <x:c r="G502" s="9" t="n">
        <x:f>F502/'原始数据'!G499</x:f>
        <x:v>0.035300989303836745</x:v>
      </x:c>
      <x:c r="H502" s="9" t="n">
        <x:f>'原始数据'!P499/'原始数据'!O499</x:f>
        <x:v>0.1417897480451781</x:v>
      </x:c>
      <x:c r="I502" s="9" t="n">
        <x:f>F502/C502</x:f>
        <x:v>0.008234272284478355</x:v>
      </x:c>
      <x:c r="J502" s="9" t="n">
        <x:f>'原始数据'!G499/'原始数据'!F499</x:f>
        <x:v>0.016213135285246538</x:v>
      </x:c>
      <x:c r="K502" s="2" t="str">
        <x:v>待拆分产品市场</x:v>
      </x:c>
      <x:c r="L502" s="15" t="str">
        <x:v>暂无自动识别标签，仍需核验</x:v>
      </x:c>
      <x:c r="M502" s="2" t="str">
        <x:f>IF(AND(C502&gt;='核验与方法'!$B$7,F502&gt;='核验与方法'!$B$8,G502&gt;='核验与方法'!$B$9,D502&gt;='核验与方法'!$B$10,E502&gt;='核验与方法'!$B$11),"通过需求门槛","未通过需求门槛")</x:f>
        <x:v>未通过需求门槛</x:v>
      </x:c>
      <x:c r="N502" s="2" t="str">
        <x:v>待确认具体产品形态</x:v>
      </x:c>
      <x:c r="O502" s="9" t="n">
        <x:f>G502-'原始数据'!J499</x:f>
        <x:v>9.893038367472795e-7</x:v>
      </x:c>
      <x:c r="P502" s="2" t="str">
        <x:v>DATA HOLD</x:v>
      </x:c>
    </x:row>
    <x:row r="503" ht="48" customHeight="1">
      <x:c r="A503" s="2" t="n">
        <x:v>498</x:v>
      </x:c>
      <x:c r="B503" s="2" t="str">
        <x:v>lolita dress</x:v>
      </x:c>
      <x:c r="C503" s="10" t="n">
        <x:f>'原始数据'!D500</x:f>
        <x:v>117404</x:v>
      </x:c>
      <x:c r="D503" s="9" t="n">
        <x:f>IF(ISNUMBER('原始数据'!E500),'原始数据'!E500,VALUE(SUBSTITUTE('原始数据'!E500,"'","")))</x:f>
        <x:v>0.3694</x:v>
      </x:c>
      <x:c r="E503" s="9" t="n">
        <x:f>IF(ISNUMBER('原始数据'!H500),'原始数据'!H500,VALUE(SUBSTITUTE('原始数据'!H500,"'","")))</x:f>
        <x:v>0.387</x:v>
      </x:c>
      <x:c r="F503" s="10" t="n">
        <x:f>'原始数据'!L500</x:f>
        <x:v>128</x:v>
      </x:c>
      <x:c r="G503" s="9" t="n">
        <x:f>F503/'原始数据'!G500</x:f>
        <x:v>0.0036030964109781843</x:v>
      </x:c>
      <x:c r="H503" s="9" t="n">
        <x:f>'原始数据'!P500/'原始数据'!O500</x:f>
        <x:v>0.03904428904428905</x:v>
      </x:c>
      <x:c r="I503" s="9" t="n">
        <x:f>F503/C503</x:f>
        <x:v>0.001090252461585636</x:v>
      </x:c>
      <x:c r="J503" s="9" t="n">
        <x:f>'原始数据'!G500/'原始数据'!F500</x:f>
        <x:v>0.03465938193614478</x:v>
      </x:c>
      <x:c r="K503" s="2" t="str">
        <x:v>待拆分产品市场</x:v>
      </x:c>
      <x:c r="L503" s="15" t="str">
        <x:v>尺码/颜色变体及退货待核验</x:v>
      </x:c>
      <x:c r="M503" s="2" t="str">
        <x:f>IF(AND(C503&gt;='核验与方法'!$B$7,F503&gt;='核验与方法'!$B$8,G503&gt;='核验与方法'!$B$9,D503&gt;='核验与方法'!$B$10,E503&gt;='核验与方法'!$B$11),"通过需求门槛","未通过需求门槛")</x:f>
        <x:v>未通过需求门槛</x:v>
      </x:c>
      <x:c r="N503" s="2" t="str">
        <x:v>先核验风险标签</x:v>
      </x:c>
      <x:c r="O503" s="9" t="n">
        <x:f>G503-'原始数据'!J500</x:f>
        <x:v>0.000003096410978184385</x:v>
      </x:c>
      <x:c r="P503" s="2" t="str">
        <x:v>DATA HOLD</x:v>
      </x:c>
    </x:row>
    <x:row r="504" ht="48" customHeight="1">
      <x:c r="A504" s="2" t="n">
        <x:v>499</x:v>
      </x:c>
      <x:c r="B504" s="2" t="str">
        <x:v>ghost spider costume</x:v>
      </x:c>
      <x:c r="C504" s="10" t="n">
        <x:f>'原始数据'!D501</x:f>
        <x:v>117324</x:v>
      </x:c>
      <x:c r="D504" s="9" t="n">
        <x:f>IF(ISNUMBER('原始数据'!E501),'原始数据'!E501,VALUE(SUBSTITUTE('原始数据'!E501,"'","")))</x:f>
        <x:v>0.5427</x:v>
      </x:c>
      <x:c r="E504" s="9" t="n">
        <x:f>IF(ISNUMBER('原始数据'!H501),'原始数据'!H501,VALUE(SUBSTITUTE('原始数据'!H501,"'","")))</x:f>
        <x:v>0.611</x:v>
      </x:c>
      <x:c r="F504" s="10" t="n">
        <x:f>'原始数据'!L501</x:f>
        <x:v>1208</x:v>
      </x:c>
      <x:c r="G504" s="9" t="n">
        <x:f>F504/'原始数据'!G501</x:f>
        <x:v>0.02070194680559364</x:v>
      </x:c>
      <x:c r="H504" s="9" t="n">
        <x:f>'原始数据'!P501/'原始数据'!O501</x:f>
        <x:v>0.08362108655616943</x:v>
      </x:c>
      <x:c r="I504" s="9" t="n">
        <x:f>F504/C504</x:f>
        <x:v>0.010296273567215575</x:v>
      </x:c>
      <x:c r="J504" s="9" t="n">
        <x:f>'原始数据'!G501/'原始数据'!F501</x:f>
        <x:v>0.021766604347054092</x:v>
      </x:c>
      <x:c r="K504" s="2" t="str">
        <x:v>待拆分产品市场</x:v>
      </x:c>
      <x:c r="L504" s="15" t="str">
        <x:v>品牌或IP需核验；季节/事件影响待核验</x:v>
      </x:c>
      <x:c r="M504" s="2" t="str">
        <x:f>IF(AND(C504&gt;='核验与方法'!$B$7,F504&gt;='核验与方法'!$B$8,G504&gt;='核验与方法'!$B$9,D504&gt;='核验与方法'!$B$10,E504&gt;='核验与方法'!$B$11),"通过需求门槛","未通过需求门槛")</x:f>
        <x:v>未通过需求门槛</x:v>
      </x:c>
      <x:c r="N504" s="2" t="str">
        <x:v>先核验风险标签</x:v>
      </x:c>
      <x:c r="O504" s="9" t="n">
        <x:f>G504-'原始数据'!J501</x:f>
        <x:v>0.0000019468055936396056</x:v>
      </x:c>
      <x:c r="P504" s="2" t="str">
        <x:v>DATA HOLD</x:v>
      </x:c>
    </x:row>
    <x:row r="505" ht="48" customHeight="1">
      <x:c r="A505" s="2" t="n">
        <x:v>500</x:v>
      </x:c>
      <x:c r="B505" s="2" t="str">
        <x:v>digestive enzymes for women</x:v>
      </x:c>
      <x:c r="C505" s="10" t="n">
        <x:f>'原始数据'!D502</x:f>
        <x:v>117270</x:v>
      </x:c>
      <x:c r="D505" s="9" t="n">
        <x:f>IF(ISNUMBER('原始数据'!E502),'原始数据'!E502,VALUE(SUBSTITUTE('原始数据'!E502,"'","")))</x:f>
        <x:v>0.0265</x:v>
      </x:c>
      <x:c r="E505" s="9" t="n">
        <x:f>IF(ISNUMBER('原始数据'!H502),'原始数据'!H502,VALUE(SUBSTITUTE('原始数据'!H502,"'","")))</x:f>
        <x:v>0.0563</x:v>
      </x:c>
      <x:c r="F505" s="10" t="n">
        <x:f>'原始数据'!L502</x:f>
        <x:v>8721</x:v>
      </x:c>
      <x:c r="G505" s="9" t="n">
        <x:f>F505/'原始数据'!G502</x:f>
        <x:v>0.1411781846437764</x:v>
      </x:c>
      <x:c r="H505" s="9" t="n">
        <x:f>'原始数据'!P502/'原始数据'!O502</x:f>
        <x:v>0.2568824668272182</x:v>
      </x:c>
      <x:c r="I505" s="9" t="n">
        <x:f>F505/C505</x:f>
        <x:v>0.07436684574059862</x:v>
      </x:c>
      <x:c r="J505" s="9" t="n">
        <x:f>'原始数据'!G502/'原始数据'!F502</x:f>
        <x:v>0.01611047330725669</x:v>
      </x:c>
      <x:c r="K505" s="2" t="str">
        <x:v>专业供给</x:v>
      </x:c>
      <x:c r="L505" s="15" t="str">
        <x:v>食品/补剂或耗材需独立供应链</x:v>
      </x:c>
      <x:c r="M505" s="2" t="str">
        <x:f>IF(AND(C505&gt;='核验与方法'!$B$7,F505&gt;='核验与方法'!$B$8,G505&gt;='核验与方法'!$B$9,D505&gt;='核验与方法'!$B$10,E505&gt;='核验与方法'!$B$11),"通过需求门槛","未通过需求门槛")</x:f>
        <x:v>通过需求门槛</x:v>
      </x:c>
      <x:c r="N505" s="2" t="str">
        <x:v>先核验风险标签</x:v>
      </x:c>
      <x:c r="O505" s="9" t="n">
        <x:f>G505-'原始数据'!J502</x:f>
        <x:v>0.00007818464377640222</x:v>
      </x:c>
      <x:c r="P505" s="2" t="str">
        <x:v>DATA HOLD</x:v>
      </x:c>
    </x:row>
    <x:row r="506" ht="48" customHeight="1">
      <x:c r="A506" s="2" t="n">
        <x:v>501</x:v>
      </x:c>
      <x:c r="B506" s="2" t="str">
        <x:v>tinkerbell costume for women</x:v>
      </x:c>
      <x:c r="C506" s="10" t="n">
        <x:f>'原始数据'!D503</x:f>
        <x:v>117269</x:v>
      </x:c>
      <x:c r="D506" s="9" t="n">
        <x:f>IF(ISNUMBER('原始数据'!E503),'原始数据'!E503,VALUE(SUBSTITUTE('原始数据'!E503,"'","")))</x:f>
        <x:v>1.5276</x:v>
      </x:c>
      <x:c r="E506" s="9" t="n">
        <x:f>IF(ISNUMBER('原始数据'!H503),'原始数据'!H503,VALUE(SUBSTITUTE('原始数据'!H503,"'","")))</x:f>
        <x:v>1.6216</x:v>
      </x:c>
      <x:c r="F506" s="10" t="n">
        <x:f>'原始数据'!L503</x:f>
        <x:v>404</x:v>
      </x:c>
      <x:c r="G506" s="9" t="n">
        <x:f>F506/'原始数据'!G503</x:f>
        <x:v>0.009289278241475248</x:v>
      </x:c>
      <x:c r="H506" s="9" t="n">
        <x:f>'原始数据'!P503/'原始数据'!O503</x:f>
        <x:v>0.03638341593134292</x:v>
      </x:c>
      <x:c r="I506" s="9" t="n">
        <x:f>F506/C506</x:f>
        <x:v>0.0034450707348063</x:v>
      </x:c>
      <x:c r="J506" s="9" t="n">
        <x:f>'原始数据'!G503/'原始数据'!F503</x:f>
        <x:v>0.02631570985736354</x:v>
      </x:c>
      <x:c r="K506" s="2" t="str">
        <x:v>待拆分产品市场</x:v>
      </x:c>
      <x:c r="L506" s="15" t="str">
        <x:v>品牌或IP需核验；季节/事件影响待核验</x:v>
      </x:c>
      <x:c r="M506" s="2" t="str">
        <x:f>IF(AND(C506&gt;='核验与方法'!$B$7,F506&gt;='核验与方法'!$B$8,G506&gt;='核验与方法'!$B$9,D506&gt;='核验与方法'!$B$10,E506&gt;='核验与方法'!$B$11),"通过需求门槛","未通过需求门槛")</x:f>
        <x:v>未通过需求门槛</x:v>
      </x:c>
      <x:c r="N506" s="2" t="str">
        <x:v>先核验风险标签</x:v>
      </x:c>
      <x:c r="O506" s="9" t="n">
        <x:f>G506-'原始数据'!J503</x:f>
        <x:v>0.00008927824147524771</x:v>
      </x:c>
      <x:c r="P506" s="2" t="str">
        <x:v>DATA HOLD</x:v>
      </x:c>
    </x:row>
  </x:sheetData>
  <x:conditionalFormatting sqref="M7:M506">
    <x:cfRule type="containsText" dxfId="0" priority="1" operator="containsText" text="通过需求门槛"/>
  </x:conditionalFormatting>
  <x:pageMargins left="0.7" right="0.7" top="0.75" bottom="0.75" header="0.3" footer="0.3"/>
  <x:tableParts count="1">
    <x:tablePart xmlns:r="http://schemas.openxmlformats.org/officeDocument/2006/relationships" r:id="Rb836c9fa74b140e0"/>
  </x:tableParts>
</x:worksheet>
</file>

<file path=xl/worksheets/sheet4.xml><?xml version="1.0" encoding="utf-8"?>
<x:worksheet xmlns:x="http://schemas.openxmlformats.org/spreadsheetml/2006/main">
  <x:sheetViews>
    <x:sheetView showGridLines="0" workbookViewId="0">
      <x:pane xSplit="2" ySplit="3" topLeftCell="C4" activePane="bottomRight" state="frozen"/>
    </x:sheetView>
  </x:sheetViews>
  <x:sheetFormatPr defaultRowHeight="15"/>
  <x:cols>
    <x:col min="1" max="1" width="28" hidden="0" customWidth="1"/>
    <x:col min="2" max="2" width="7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s>
  <x:sheetData>
    <x:row r="1" ht="25" customHeight="1">
      <x:c r="A1" s="2" t="str">
        <x:v>来源：用户上传 MarketDemand_2026_9_29.xlsx；原工作表 MarketDemand_2026_9_29。原始文本负数完整保留。</x:v>
      </x:c>
      <x:c r="B1" s="2"/>
      <x:c r="C1" s="2"/>
      <x:c r="D1" s="2"/>
      <x:c r="E1" s="2"/>
      <x:c r="F1" s="2"/>
      <x:c r="G1" s="2"/>
      <x:c r="H1" s="2"/>
      <x:c r="I1" s="2"/>
      <x:c r="J1" s="2"/>
      <x:c r="K1" s="2"/>
      <x:c r="L1" s="2"/>
      <x:c r="M1" s="2"/>
      <x:c r="N1" s="2"/>
      <x:c r="O1" s="2"/>
      <x:c r="P1" s="2"/>
      <x:c r="Q1" s="2"/>
      <x:c r="R1" s="2"/>
      <x:c r="S1" s="2"/>
    </x:row>
    <x:row r="2" ht="25" customHeight="1">
      <x:c r="A2" s="2"/>
      <x:c r="B2" s="2"/>
      <x:c r="C2" s="2"/>
      <x:c r="D2" s="2"/>
      <x:c r="E2" s="2"/>
      <x:c r="F2" s="2"/>
      <x:c r="G2" s="2"/>
      <x:c r="H2" s="2"/>
      <x:c r="I2" s="2"/>
      <x:c r="J2" s="2"/>
      <x:c r="K2" s="2"/>
      <x:c r="L2" s="2"/>
      <x:c r="M2" s="2"/>
      <x:c r="N2" s="2"/>
      <x:c r="O2" s="2"/>
      <x:c r="P2" s="2"/>
      <x:c r="Q2" s="2"/>
      <x:c r="R2" s="2"/>
      <x:c r="S2" s="2"/>
    </x:row>
    <x:row r="3" ht="40" customHeight="1">
      <x:c r="A3" s="8" t="str">
        <x:v>购买意图</x:v>
      </x:c>
      <x:c r="B3" s="8" t="str">
        <x:v>热门关键词</x:v>
      </x:c>
      <x:c r="C3" s="8" t="str">
        <x:v>关键词数量</x:v>
      </x:c>
      <x:c r="D3" s="8" t="str">
        <x:v>搜索量</x:v>
      </x:c>
      <x:c r="E3" s="8" t="str">
        <x:v>搜索量增长率</x:v>
      </x:c>
      <x:c r="F3" s="8" t="str">
        <x:v>展示次数</x:v>
      </x:c>
      <x:c r="G3" s="8" t="str">
        <x:v>点击量</x:v>
      </x:c>
      <x:c r="H3" s="8" t="str">
        <x:v>点击量增长率</x:v>
      </x:c>
      <x:c r="I3" s="8" t="str">
        <x:v>点击率</x:v>
      </x:c>
      <x:c r="J3" s="8" t="str">
        <x:v>购买率</x:v>
      </x:c>
      <x:c r="K3" s="8" t="str">
        <x:v>搜索转化率</x:v>
      </x:c>
      <x:c r="L3" s="8" t="str">
        <x:v>购买量</x:v>
      </x:c>
      <x:c r="M3" s="8" t="str">
        <x:v>会话搜索量</x:v>
      </x:c>
      <x:c r="N3" s="8" t="str">
        <x:v>会话搜索量增长率</x:v>
      </x:c>
      <x:c r="O3" s="8" t="str">
        <x:v>会话点击量</x:v>
      </x:c>
      <x:c r="P3" s="8" t="str">
        <x:v>会话购买点击量</x:v>
      </x:c>
      <x:c r="Q3" s="8" t="str">
        <x:v>会话点击率</x:v>
      </x:c>
      <x:c r="R3" s="8" t="str">
        <x:v>会话购买率</x:v>
      </x:c>
      <x:c r="S3" s="8" t="str">
        <x:v>会话搜索转化率</x:v>
      </x:c>
    </x:row>
    <x:row r="4" ht="71" customHeight="1">
      <x:c r="A4" s="2" t="str">
        <x:v>chicken</x:v>
      </x:c>
      <x:c r="B4" s="15" t="str">
        <x:v>chicken, chicken breast, chicken breasts, pollo, boneless skinless chicken breast, chicken breast boneless skinless, pollo fresco, pechuga de pollo, halal chicken, chiken</x:v>
      </x:c>
      <x:c r="C4" s="10" t="n">
        <x:v>167</x:v>
      </x:c>
      <x:c r="D4" s="10" t="n">
        <x:v>1879571</x:v>
      </x:c>
      <x:c r="E4" s="9" t="n">
        <x:v>0.1265</x:v>
      </x:c>
      <x:c r="F4" s="10" t="n">
        <x:v>36186810</x:v>
      </x:c>
      <x:c r="G4" s="10" t="n">
        <x:v>609888</x:v>
      </x:c>
      <x:c r="H4" s="9" t="n">
        <x:v>0.0158</x:v>
      </x:c>
      <x:c r="I4" s="9" t="n">
        <x:v>0.3244</x:v>
      </x:c>
      <x:c r="J4" s="9" t="n">
        <x:v>0.3865</x:v>
      </x:c>
      <x:c r="K4" s="9" t="n">
        <x:v>0.1254</x:v>
      </x:c>
      <x:c r="L4" s="10" t="n">
        <x:v>235730</x:v>
      </x:c>
      <x:c r="M4" s="10" t="n">
        <x:v>491977</x:v>
      </x:c>
      <x:c r="N4" s="9" t="n">
        <x:v>0.0973</x:v>
      </x:c>
      <x:c r="O4" s="10" t="n">
        <x:v>407346</x:v>
      </x:c>
      <x:c r="P4" s="10" t="n">
        <x:v>228194</x:v>
      </x:c>
      <x:c r="Q4" s="9" t="n">
        <x:v>0.8279</x:v>
      </x:c>
      <x:c r="R4" s="9" t="n">
        <x:v>0.5601</x:v>
      </x:c>
      <x:c r="S4" s="9" t="n">
        <x:v>0.4638</x:v>
      </x:c>
    </x:row>
    <x:row r="5" ht="90" customHeight="1">
      <x:c r="A5" s="2" t="str">
        <x:v>transformers</x:v>
      </x:c>
      <x:c r="B5" s="15" t="str">
        <x:v>transformers, transformers figures, transformers action figures, transformers hasbro, transformers toy, mini transformers, transformers optimus prime action figure, the transformers, transformers action figure, toy transformers</x:v>
      </x:c>
      <x:c r="C5" s="10" t="n">
        <x:v>166</x:v>
      </x:c>
      <x:c r="D5" s="10" t="n">
        <x:v>1333739</x:v>
      </x:c>
      <x:c r="E5" s="9" t="n">
        <x:v>0.4701</x:v>
      </x:c>
      <x:c r="F5" s="10" t="n">
        <x:v>10896016</x:v>
      </x:c>
      <x:c r="G5" s="10" t="n">
        <x:v>275739</x:v>
      </x:c>
      <x:c r="H5" s="9" t="n">
        <x:v>0.8283</x:v>
      </x:c>
      <x:c r="I5" s="9" t="n">
        <x:v>0.2067</x:v>
      </x:c>
      <x:c r="J5" s="9" t="n">
        <x:v>0.0144</x:v>
      </x:c>
      <x:c r="K5" s="9" t="n">
        <x:v>0.0029</x:v>
      </x:c>
      <x:c r="L5" s="10" t="n">
        <x:v>3993</x:v>
      </x:c>
      <x:c r="M5" s="10" t="n">
        <x:v>115834</x:v>
      </x:c>
      <x:c r="N5" s="9" t="n">
        <x:v>0.5878</x:v>
      </x:c>
      <x:c r="O5" s="10" t="n">
        <x:v>75433</x:v>
      </x:c>
      <x:c r="P5" s="10" t="n">
        <x:v>3120</x:v>
      </x:c>
      <x:c r="Q5" s="9" t="n">
        <x:v>0.6512</x:v>
      </x:c>
      <x:c r="R5" s="9" t="n">
        <x:v>0.0413</x:v>
      </x:c>
      <x:c r="S5" s="9" t="n">
        <x:v>0.0269</x:v>
      </x:c>
    </x:row>
    <x:row r="6" ht="71" customHeight="1">
      <x:c r="A6" s="2" t="str">
        <x:v>vacuum</x:v>
      </x:c>
      <x:c r="B6" s="15" t="str">
        <x:v>vacuum, vacuums, professional vacuum, water filter vacuum cleaner, vacuum sweepers, sealed hepa vacuum, hepa sealed vacuum, 3m vacuum, hark vacuum, corded canister vacuum</x:v>
      </x:c>
      <x:c r="C6" s="10" t="n">
        <x:v>21</x:v>
      </x:c>
      <x:c r="D6" s="10" t="n">
        <x:v>1106165</x:v>
      </x:c>
      <x:c r="E6" s="9" t="n">
        <x:v>0.0026</x:v>
      </x:c>
      <x:c r="F6" s="10" t="n">
        <x:v>30424845</x:v>
      </x:c>
      <x:c r="G6" s="10" t="n">
        <x:v>365863</x:v>
      </x:c>
      <x:c r="H6" s="9" t="n">
        <x:v>0.005</x:v>
      </x:c>
      <x:c r="I6" s="9" t="n">
        <x:v>0.3307</x:v>
      </x:c>
      <x:c r="J6" s="9" t="n">
        <x:v>0.0835</x:v>
      </x:c>
      <x:c r="K6" s="9" t="n">
        <x:v>0.0276</x:v>
      </x:c>
      <x:c r="L6" s="10" t="n">
        <x:v>30552</x:v>
      </x:c>
      <x:c r="M6" s="10" t="n">
        <x:v>317462</x:v>
      </x:c>
      <x:c r="N6" s="9" t="str">
        <x:v>'-0.0126</x:v>
      </x:c>
      <x:c r="O6" s="10" t="n">
        <x:v>202465</x:v>
      </x:c>
      <x:c r="P6" s="10" t="n">
        <x:v>39388</x:v>
      </x:c>
      <x:c r="Q6" s="9" t="n">
        <x:v>0.6377</x:v>
      </x:c>
      <x:c r="R6" s="9" t="n">
        <x:v>0.1945</x:v>
      </x:c>
      <x:c r="S6" s="9" t="n">
        <x:v>0.124</x:v>
      </x:c>
    </x:row>
    <x:row r="7" ht="55" customHeight="1">
      <x:c r="A7" s="2" t="str">
        <x:v>pens</x:v>
      </x:c>
      <x:c r="B7" s="15" t="str">
        <x:v>pens, boligrafos, bolígrafos, cheap pens, lapicero, .5 pen, box of pens, bulk pens cheap, .3 pen, misprint pens</x:v>
      </x:c>
      <x:c r="C7" s="10" t="n">
        <x:v>112</x:v>
      </x:c>
      <x:c r="D7" s="10" t="n">
        <x:v>1026065</x:v>
      </x:c>
      <x:c r="E7" s="9" t="str">
        <x:v>'-0.3396</x:v>
      </x:c>
      <x:c r="F7" s="10" t="n">
        <x:v>44698580</x:v>
      </x:c>
      <x:c r="G7" s="10" t="n">
        <x:v>401861</x:v>
      </x:c>
      <x:c r="H7" s="9" t="str">
        <x:v>'-0.3528</x:v>
      </x:c>
      <x:c r="I7" s="9" t="n">
        <x:v>0.3916</x:v>
      </x:c>
      <x:c r="J7" s="9" t="n">
        <x:v>0.2488</x:v>
      </x:c>
      <x:c r="K7" s="9" t="n">
        <x:v>0.0974</x:v>
      </x:c>
      <x:c r="L7" s="10" t="n">
        <x:v>99993</x:v>
      </x:c>
      <x:c r="M7" s="10" t="n">
        <x:v>426291</x:v>
      </x:c>
      <x:c r="N7" s="9" t="str">
        <x:v>'-0.3412</x:v>
      </x:c>
      <x:c r="O7" s="10" t="n">
        <x:v>354459</x:v>
      </x:c>
      <x:c r="P7" s="10" t="n">
        <x:v>145067</x:v>
      </x:c>
      <x:c r="Q7" s="9" t="n">
        <x:v>0.8314</x:v>
      </x:c>
      <x:c r="R7" s="9" t="n">
        <x:v>0.4092</x:v>
      </x:c>
      <x:c r="S7" s="9" t="n">
        <x:v>0.3403</x:v>
      </x:c>
    </x:row>
    <x:row r="8" ht="90" customHeight="1">
      <x:c r="A8" s="2" t="str">
        <x:v>kitchen appliances</x:v>
      </x:c>
      <x:c r="B8" s="15" t="str">
        <x:v>kitchen appliances, home appliances, house appliances, electrodomesticos de cocina, kitchen appliances for cooking, electrodomesticos, kitchen cooking appliances, home appliances for new home, kitchen appliance, household appliances</x:v>
      </x:c>
      <x:c r="C8" s="10" t="n">
        <x:v>87</x:v>
      </x:c>
      <x:c r="D8" s="10" t="n">
        <x:v>1004604</x:v>
      </x:c>
      <x:c r="E8" s="9" t="n">
        <x:v>0.292</x:v>
      </x:c>
      <x:c r="F8" s="10" t="n">
        <x:v>6998719</x:v>
      </x:c>
      <x:c r="G8" s="10" t="n">
        <x:v>215092</x:v>
      </x:c>
      <x:c r="H8" s="9" t="n">
        <x:v>0.2871</x:v>
      </x:c>
      <x:c r="I8" s="9" t="n">
        <x:v>0.2141</x:v>
      </x:c>
      <x:c r="J8" s="9" t="n">
        <x:v>0.0054</x:v>
      </x:c>
      <x:c r="K8" s="9" t="n">
        <x:v>0.0011</x:v>
      </x:c>
      <x:c r="L8" s="10" t="n">
        <x:v>1179</x:v>
      </x:c>
      <x:c r="M8" s="10" t="n">
        <x:v>40182</x:v>
      </x:c>
      <x:c r="N8" s="9" t="n">
        <x:v>0.3885</x:v>
      </x:c>
      <x:c r="O8" s="10" t="n">
        <x:v>23886</x:v>
      </x:c>
      <x:c r="P8" s="10" t="n">
        <x:v>846</x:v>
      </x:c>
      <x:c r="Q8" s="9" t="n">
        <x:v>0.5944</x:v>
      </x:c>
      <x:c r="R8" s="9" t="n">
        <x:v>0.0354</x:v>
      </x:c>
      <x:c r="S8" s="9" t="n">
        <x:v>0.021</x:v>
      </x:c>
    </x:row>
    <x:row r="9" ht="90" customHeight="1">
      <x:c r="A9" s="2" t="str">
        <x:v>shirts for women</x:v>
      </x:c>
      <x:c r="B9" s="15" t="str">
        <x:v>shirts for women, t shirts for women, tshirts shirts for women, short sleeve shirts for women, tshirt women, t shirts women, tshirt for women, puloveres de mujer en oferta, womens tshirt pack, t-shirt women</x:v>
      </x:c>
      <x:c r="C9" s="10" t="n">
        <x:v>164</x:v>
      </x:c>
      <x:c r="D9" s="10" t="n">
        <x:v>963618</x:v>
      </x:c>
      <x:c r="E9" s="9" t="str">
        <x:v>'-0.0942</x:v>
      </x:c>
      <x:c r="F9" s="10" t="n">
        <x:v>33594391</x:v>
      </x:c>
      <x:c r="G9" s="10" t="n">
        <x:v>234999</x:v>
      </x:c>
      <x:c r="H9" s="9" t="str">
        <x:v>'-0.0814</x:v>
      </x:c>
      <x:c r="I9" s="9" t="n">
        <x:v>0.2438</x:v>
      </x:c>
      <x:c r="J9" s="9" t="n">
        <x:v>0.0207</x:v>
      </x:c>
      <x:c r="K9" s="9" t="n">
        <x:v>0.005</x:v>
      </x:c>
      <x:c r="L9" s="10" t="n">
        <x:v>4885</x:v>
      </x:c>
      <x:c r="M9" s="10" t="n">
        <x:v>183749</x:v>
      </x:c>
      <x:c r="N9" s="9" t="str">
        <x:v>'-0.0894</x:v>
      </x:c>
      <x:c r="O9" s="10" t="n">
        <x:v>137561</x:v>
      </x:c>
      <x:c r="P9" s="10" t="n">
        <x:v>25876</x:v>
      </x:c>
      <x:c r="Q9" s="9" t="n">
        <x:v>0.7486</x:v>
      </x:c>
      <x:c r="R9" s="9" t="n">
        <x:v>0.1881</x:v>
      </x:c>
      <x:c r="S9" s="9" t="n">
        <x:v>0.1408</x:v>
      </x:c>
    </x:row>
    <x:row r="10" ht="71" customHeight="1">
      <x:c r="A10" s="2" t="str">
        <x:v>cheese</x:v>
      </x:c>
      <x:c r="B10" s="15" t="str">
        <x:v>cheese, cheeses, canned cheese, cheddar cheese sauce, cheese in a can, liquid cheese, fat free shredded cheese, can cheese, queso de freír, cheese can</x:v>
      </x:c>
      <x:c r="C10" s="10" t="n">
        <x:v>128</x:v>
      </x:c>
      <x:c r="D10" s="10" t="n">
        <x:v>873878</x:v>
      </x:c>
      <x:c r="E10" s="9" t="n">
        <x:v>0.1591</x:v>
      </x:c>
      <x:c r="F10" s="10" t="n">
        <x:v>14842721</x:v>
      </x:c>
      <x:c r="G10" s="10" t="n">
        <x:v>261135</x:v>
      </x:c>
      <x:c r="H10" s="9" t="n">
        <x:v>0.0582</x:v>
      </x:c>
      <x:c r="I10" s="9" t="n">
        <x:v>0.2988</x:v>
      </x:c>
      <x:c r="J10" s="9" t="n">
        <x:v>0.4275</x:v>
      </x:c>
      <x:c r="K10" s="9" t="n">
        <x:v>0.1277</x:v>
      </x:c>
      <x:c r="L10" s="10" t="n">
        <x:v>111653</x:v>
      </x:c>
      <x:c r="M10" s="10" t="n">
        <x:v>170326</x:v>
      </x:c>
      <x:c r="N10" s="9" t="n">
        <x:v>0.1722</x:v>
      </x:c>
      <x:c r="O10" s="10" t="n">
        <x:v>144015</x:v>
      </x:c>
      <x:c r="P10" s="10" t="n">
        <x:v>80972</x:v>
      </x:c>
      <x:c r="Q10" s="9" t="n">
        <x:v>0.8455</x:v>
      </x:c>
      <x:c r="R10" s="9" t="n">
        <x:v>0.5622</x:v>
      </x:c>
      <x:c r="S10" s="9" t="n">
        <x:v>0.4753</x:v>
      </x:c>
    </x:row>
    <x:row r="11" ht="109" customHeight="1">
      <x:c r="A11" s="2" t="str">
        <x:v>michael jackson movie</x:v>
      </x:c>
      <x:c r="B11" s="15" t="str">
        <x:v>michael jackson movie, michael jackson movie 2026, michael jackson movi, this is it michael jackson movie, the michael jackson movie, michael jackson movie new, michael jackson new movie, michael jackson movie thriller, michael jackson the movie, michael jackson video</x:v>
      </x:c>
      <x:c r="C11" s="10" t="n">
        <x:v>45</x:v>
      </x:c>
      <x:c r="D11" s="10" t="n">
        <x:v>872113</x:v>
      </x:c>
      <x:c r="E11" s="9" t="str">
        <x:v>'-0.4568</x:v>
      </x:c>
      <x:c r="F11" s="10" t="n">
        <x:v>5578469</x:v>
      </x:c>
      <x:c r="G11" s="10" t="n">
        <x:v>97669</x:v>
      </x:c>
      <x:c r="H11" s="9" t="n">
        <x:v>12.1222</x:v>
      </x:c>
      <x:c r="I11" s="9" t="n">
        <x:v>0.1119</x:v>
      </x:c>
      <x:c r="J11" s="9" t="n">
        <x:v>0.0023</x:v>
      </x:c>
      <x:c r="K11" s="9" t="n">
        <x:v>0.0002</x:v>
      </x:c>
      <x:c r="L11" s="10" t="n">
        <x:v>228</x:v>
      </x:c>
      <x:c r="M11" s="10" t="n">
        <x:v>167631</x:v>
      </x:c>
      <x:c r="N11" s="9" t="str">
        <x:v>'-0.4323</x:v>
      </x:c>
      <x:c r="O11" s="10" t="n">
        <x:v>120417</x:v>
      </x:c>
      <x:c r="P11" s="10" t="n">
        <x:v>317</x:v>
      </x:c>
      <x:c r="Q11" s="9" t="n">
        <x:v>0.7183</x:v>
      </x:c>
      <x:c r="R11" s="9" t="n">
        <x:v>0.0026</x:v>
      </x:c>
      <x:c r="S11" s="9" t="n">
        <x:v>0.0018</x:v>
      </x:c>
    </x:row>
    <x:row r="12" ht="55" customHeight="1">
      <x:c r="A12" s="2" t="str">
        <x:v>screws</x:v>
      </x:c>
      <x:c r="B12" s="15" t="str">
        <x:v>screws, screw, screw it again, #6 screws, #8 screw, #4 screw, #6 screw, 8 screws, t screws, #8 wood screw</x:v>
      </x:c>
      <x:c r="C12" s="10" t="n">
        <x:v>117</x:v>
      </x:c>
      <x:c r="D12" s="10" t="n">
        <x:v>840992</x:v>
      </x:c>
      <x:c r="E12" s="9" t="str">
        <x:v>'-0.0184</x:v>
      </x:c>
      <x:c r="F12" s="10" t="n">
        <x:v>15668211</x:v>
      </x:c>
      <x:c r="G12" s="10" t="n">
        <x:v>127985</x:v>
      </x:c>
      <x:c r="H12" s="9" t="str">
        <x:v>'-0.0072</x:v>
      </x:c>
      <x:c r="I12" s="9" t="n">
        <x:v>0.1521</x:v>
      </x:c>
      <x:c r="J12" s="9" t="n">
        <x:v>0.1193</x:v>
      </x:c>
      <x:c r="K12" s="9" t="n">
        <x:v>0.0181</x:v>
      </x:c>
      <x:c r="L12" s="10" t="n">
        <x:v>15277</x:v>
      </x:c>
      <x:c r="M12" s="10" t="n">
        <x:v>117263</x:v>
      </x:c>
      <x:c r="N12" s="9" t="str">
        <x:v>'-0.0207</x:v>
      </x:c>
      <x:c r="O12" s="10" t="n">
        <x:v>68942</x:v>
      </x:c>
      <x:c r="P12" s="10" t="n">
        <x:v>18725</x:v>
      </x:c>
      <x:c r="Q12" s="9" t="n">
        <x:v>0.5879</x:v>
      </x:c>
      <x:c r="R12" s="9" t="n">
        <x:v>0.2716</x:v>
      </x:c>
      <x:c r="S12" s="9" t="n">
        <x:v>0.1596</x:v>
      </x:c>
    </x:row>
    <x:row r="13" ht="71" customHeight="1">
      <x:c r="A13" s="2" t="str">
        <x:v>rose adult</x:v>
      </x:c>
      <x:c r="B13" s="15" t="str">
        <x:v>rose adult, rose adult tool for women, rose toys, adult rose for women, adult rose, rose suction, the rose toy, toy rose, suction rose, rose toy vibrator</x:v>
      </x:c>
      <x:c r="C13" s="10" t="n">
        <x:v>106</x:v>
      </x:c>
      <x:c r="D13" s="10" t="n">
        <x:v>840157</x:v>
      </x:c>
      <x:c r="E13" s="9" t="n">
        <x:v>0.0054</x:v>
      </x:c>
      <x:c r="F13" s="10" t="n">
        <x:v>9345885</x:v>
      </x:c>
      <x:c r="G13" s="10" t="n">
        <x:v>252583</x:v>
      </x:c>
      <x:c r="H13" s="9" t="str">
        <x:v>'-0.0017</x:v>
      </x:c>
      <x:c r="I13" s="9" t="n">
        <x:v>0.3006</x:v>
      </x:c>
      <x:c r="J13" s="9" t="n">
        <x:v>0.1</x:v>
      </x:c>
      <x:c r="K13" s="9" t="n">
        <x:v>0.03</x:v>
      </x:c>
      <x:c r="L13" s="10" t="n">
        <x:v>25273</x:v>
      </x:c>
      <x:c r="M13" s="10" t="n">
        <x:v>130541</x:v>
      </x:c>
      <x:c r="N13" s="9" t="n">
        <x:v>0.0089</x:v>
      </x:c>
      <x:c r="O13" s="10" t="n">
        <x:v>98736</x:v>
      </x:c>
      <x:c r="P13" s="10" t="n">
        <x:v>23192</x:v>
      </x:c>
      <x:c r="Q13" s="9" t="n">
        <x:v>0.7563</x:v>
      </x:c>
      <x:c r="R13" s="9" t="n">
        <x:v>0.2348</x:v>
      </x:c>
      <x:c r="S13" s="9" t="n">
        <x:v>0.1776</x:v>
      </x:c>
    </x:row>
    <x:row r="14" ht="71" customHeight="1">
      <x:c r="A14" s="2" t="str">
        <x:v>scary movie</x:v>
      </x:c>
      <x:c r="B14" s="15" t="str">
        <x:v>scary movie, scary movie 6, scary movie 5, scary movie (2026) - extended cut, scary movie 2026, scary movie 4, sacc, scary movie 2, scary movie (2026), scary movie 7</x:v>
      </x:c>
      <x:c r="C14" s="10" t="n">
        <x:v>33</x:v>
      </x:c>
      <x:c r="D14" s="10" t="n">
        <x:v>820658</x:v>
      </x:c>
      <x:c r="E14" s="9" t="str">
        <x:v>'-0.059</x:v>
      </x:c>
      <x:c r="F14" s="10" t="n">
        <x:v>4562779</x:v>
      </x:c>
      <x:c r="G14" s="10" t="n">
        <x:v>151798</x:v>
      </x:c>
      <x:c r="H14" s="9" t="n">
        <x:v>8.0962</x:v>
      </x:c>
      <x:c r="I14" s="9" t="n">
        <x:v>0.1849</x:v>
      </x:c>
      <x:c r="J14" s="9" t="n">
        <x:v>0.0024</x:v>
      </x:c>
      <x:c r="K14" s="9" t="n">
        <x:v>0.0004</x:v>
      </x:c>
      <x:c r="L14" s="10" t="n">
        <x:v>365</x:v>
      </x:c>
      <x:c r="M14" s="10" t="n">
        <x:v>91734</x:v>
      </x:c>
      <x:c r="N14" s="9" t="str">
        <x:v>'-0.0904</x:v>
      </x:c>
      <x:c r="O14" s="10" t="n">
        <x:v>55841</x:v>
      </x:c>
      <x:c r="P14" s="10" t="n">
        <x:v>319</x:v>
      </x:c>
      <x:c r="Q14" s="9" t="n">
        <x:v>0.6087</x:v>
      </x:c>
      <x:c r="R14" s="9" t="n">
        <x:v>0.0057</x:v>
      </x:c>
      <x:c r="S14" s="9" t="n">
        <x:v>0.0034</x:v>
      </x:c>
    </x:row>
    <x:row r="15" ht="90" customHeight="1">
      <x:c r="A15" s="2" t="str">
        <x:v>fall shoes for women</x:v>
      </x:c>
      <x:c r="B15" s="15" t="str">
        <x:v>fall shoes for women, womens fall shoes, fall shoes, fall shoes women, fall womens shoes, women fall shoes, womens shoes fall, fall shoes for women 2026 trendy, cute fall shoes, womens shoes for fall</x:v>
      </x:c>
      <x:c r="C15" s="10" t="n">
        <x:v>168</x:v>
      </x:c>
      <x:c r="D15" s="10" t="n">
        <x:v>799420</x:v>
      </x:c>
      <x:c r="E15" s="9" t="n">
        <x:v>1.7681</x:v>
      </x:c>
      <x:c r="F15" s="10" t="n">
        <x:v>14157288</x:v>
      </x:c>
      <x:c r="G15" s="10" t="n">
        <x:v>161564</x:v>
      </x:c>
      <x:c r="H15" s="9" t="n">
        <x:v>1.7025</x:v>
      </x:c>
      <x:c r="I15" s="9" t="n">
        <x:v>0.2021</x:v>
      </x:c>
      <x:c r="J15" s="9" t="n">
        <x:v>0.0075</x:v>
      </x:c>
      <x:c r="K15" s="9" t="n">
        <x:v>0.0015</x:v>
      </x:c>
      <x:c r="L15" s="10" t="n">
        <x:v>1220</x:v>
      </x:c>
      <x:c r="M15" s="10" t="n">
        <x:v>71408</x:v>
      </x:c>
      <x:c r="N15" s="9" t="n">
        <x:v>1.7762</x:v>
      </x:c>
      <x:c r="O15" s="10" t="n">
        <x:v>53337</x:v>
      </x:c>
      <x:c r="P15" s="10" t="n">
        <x:v>1968</x:v>
      </x:c>
      <x:c r="Q15" s="9" t="n">
        <x:v>0.7469</x:v>
      </x:c>
      <x:c r="R15" s="9" t="n">
        <x:v>0.0368</x:v>
      </x:c>
      <x:c r="S15" s="9" t="n">
        <x:v>0.0275</x:v>
      </x:c>
    </x:row>
    <x:row r="16" ht="90" customHeight="1">
      <x:c r="A16" s="2" t="str">
        <x:v>toothbrush</x:v>
      </x:c>
      <x:c r="B16" s="15" t="str">
        <x:v>toothbrush, 3 in 1 toothbrush, 3 in 1 toothbrush illume, his and hers toothbrush, 1 toothbrush, rolling toothbrush, bidirectional toothbrush, triple brush toothbrush, 2 toothbrush, 3 sided electric toothbrush</x:v>
      </x:c>
      <x:c r="C16" s="10" t="n">
        <x:v>89</x:v>
      </x:c>
      <x:c r="D16" s="10" t="n">
        <x:v>794994</x:v>
      </x:c>
      <x:c r="E16" s="9" t="str">
        <x:v>'-0.0096</x:v>
      </x:c>
      <x:c r="F16" s="10" t="n">
        <x:v>26222892</x:v>
      </x:c>
      <x:c r="G16" s="10" t="n">
        <x:v>331433</x:v>
      </x:c>
      <x:c r="H16" s="9" t="str">
        <x:v>'-0.0026</x:v>
      </x:c>
      <x:c r="I16" s="9" t="n">
        <x:v>0.4169</x:v>
      </x:c>
      <x:c r="J16" s="9" t="n">
        <x:v>0.3382</x:v>
      </x:c>
      <x:c r="K16" s="9" t="n">
        <x:v>0.141</x:v>
      </x:c>
      <x:c r="L16" s="10" t="n">
        <x:v>112123</x:v>
      </x:c>
      <x:c r="M16" s="10" t="n">
        <x:v>294123</x:v>
      </x:c>
      <x:c r="N16" s="9" t="str">
        <x:v>'-0.0035</x:v>
      </x:c>
      <x:c r="O16" s="10" t="n">
        <x:v>239478</x:v>
      </x:c>
      <x:c r="P16" s="10" t="n">
        <x:v>127635</x:v>
      </x:c>
      <x:c r="Q16" s="9" t="n">
        <x:v>0.8142</x:v>
      </x:c>
      <x:c r="R16" s="9" t="n">
        <x:v>0.5329</x:v>
      </x:c>
      <x:c r="S16" s="9" t="n">
        <x:v>0.4339</x:v>
      </x:c>
    </x:row>
    <x:row r="17" ht="109" customHeight="1">
      <x:c r="A17" s="2" t="str">
        <x:v>womens flats</x:v>
      </x:c>
      <x:c r="B17" s="15" t="str">
        <x:v>womens flats, loafers for women, business casual shoes women, penny loafers for women, womens boat shoes, womens slip on loafers, business shoes women, patent leather loafers for women, womens loafers slip on, business casual shoes women comfortable</x:v>
      </x:c>
      <x:c r="C17" s="10" t="n">
        <x:v>63</x:v>
      </x:c>
      <x:c r="D17" s="10" t="n">
        <x:v>790828</x:v>
      </x:c>
      <x:c r="E17" s="9" t="n">
        <x:v>0.2399</x:v>
      </x:c>
      <x:c r="F17" s="10" t="n">
        <x:v>24466835</x:v>
      </x:c>
      <x:c r="G17" s="10" t="n">
        <x:v>197711</x:v>
      </x:c>
      <x:c r="H17" s="9" t="n">
        <x:v>0.2937</x:v>
      </x:c>
      <x:c r="I17" s="9" t="n">
        <x:v>0.25</x:v>
      </x:c>
      <x:c r="J17" s="9" t="n">
        <x:v>0.0099</x:v>
      </x:c>
      <x:c r="K17" s="9" t="n">
        <x:v>0.0024</x:v>
      </x:c>
      <x:c r="L17" s="10" t="n">
        <x:v>1965</x:v>
      </x:c>
      <x:c r="M17" s="10" t="n">
        <x:v>127678</x:v>
      </x:c>
      <x:c r="N17" s="9" t="n">
        <x:v>0.2226</x:v>
      </x:c>
      <x:c r="O17" s="10" t="n">
        <x:v>98294</x:v>
      </x:c>
      <x:c r="P17" s="10" t="n">
        <x:v>10178</x:v>
      </x:c>
      <x:c r="Q17" s="9" t="n">
        <x:v>0.7698</x:v>
      </x:c>
      <x:c r="R17" s="9" t="n">
        <x:v>0.1035</x:v>
      </x:c>
      <x:c r="S17" s="9" t="n">
        <x:v>0.0797</x:v>
      </x:c>
    </x:row>
    <x:row r="18" ht="55" customHeight="1">
      <x:c r="A18" s="2" t="str">
        <x:v>toy</x:v>
      </x:c>
      <x:c r="B18" s="15" t="str">
        <x:v>toy, 5, toy s, toy st, the toy, tuy, toy 5, toyy, train s, toy b</x:v>
      </x:c>
      <x:c r="C18" s="10" t="n">
        <x:v>23</x:v>
      </x:c>
      <x:c r="D18" s="10" t="n">
        <x:v>747197</x:v>
      </x:c>
      <x:c r="E18" s="9" t="str">
        <x:v>'-0.1471</x:v>
      </x:c>
      <x:c r="F18" s="10" t="n">
        <x:v>1825257</x:v>
      </x:c>
      <x:c r="G18" s="10" t="n">
        <x:v>72946</x:v>
      </x:c>
      <x:c r="H18" s="9" t="n">
        <x:v>1.5943</x:v>
      </x:c>
      <x:c r="I18" s="9" t="n">
        <x:v>0.0976</x:v>
      </x:c>
      <x:c r="J18" s="9" t="n">
        <x:v>0.007</x:v>
      </x:c>
      <x:c r="K18" s="9" t="n">
        <x:v>0.0006</x:v>
      </x:c>
      <x:c r="L18" s="10" t="n">
        <x:v>512</x:v>
      </x:c>
      <x:c r="M18" s="10" t="n">
        <x:v>27903</x:v>
      </x:c>
      <x:c r="N18" s="9" t="str">
        <x:v>'-0.1772</x:v>
      </x:c>
      <x:c r="O18" s="10" t="n">
        <x:v>16146</x:v>
      </x:c>
      <x:c r="P18" s="10" t="n">
        <x:v>372</x:v>
      </x:c>
      <x:c r="Q18" s="9" t="n">
        <x:v>0.5786</x:v>
      </x:c>
      <x:c r="R18" s="9" t="n">
        <x:v>0.023</x:v>
      </x:c>
      <x:c r="S18" s="9" t="n">
        <x:v>0.0133</x:v>
      </x:c>
    </x:row>
    <x:row r="19" ht="90" customHeight="1">
      <x:c r="A19" s="2" t="str">
        <x:v>17 pro max case</x:v>
      </x:c>
      <x:c r="B19" s="15" t="str">
        <x:v>17 pro max case, 18 pro max phone case, 15 pro max phone case, 17 pro max phone case, 16 pro max phone case, 15 pro max case, 17 pro max case magsafe, 14 pro max case, 17 pro max case cute, 17 pro max cases</x:v>
      </x:c>
      <x:c r="C19" s="10" t="n">
        <x:v>109</x:v>
      </x:c>
      <x:c r="D19" s="10" t="n">
        <x:v>739499</x:v>
      </x:c>
      <x:c r="E19" s="9" t="n">
        <x:v>0.2493</x:v>
      </x:c>
      <x:c r="F19" s="10" t="n">
        <x:v>15483420</x:v>
      </x:c>
      <x:c r="G19" s="10" t="n">
        <x:v>270648</x:v>
      </x:c>
      <x:c r="H19" s="9" t="n">
        <x:v>0.2722</x:v>
      </x:c>
      <x:c r="I19" s="9" t="n">
        <x:v>0.3659</x:v>
      </x:c>
      <x:c r="J19" s="9" t="n">
        <x:v>0.0639</x:v>
      </x:c>
      <x:c r="K19" s="9" t="n">
        <x:v>0.0233</x:v>
      </x:c>
      <x:c r="L19" s="10" t="n">
        <x:v>17299</x:v>
      </x:c>
      <x:c r="M19" s="10" t="n">
        <x:v>99267</x:v>
      </x:c>
      <x:c r="N19" s="9" t="n">
        <x:v>0.2465</x:v>
      </x:c>
      <x:c r="O19" s="10" t="n">
        <x:v>80740</x:v>
      </x:c>
      <x:c r="P19" s="10" t="n">
        <x:v>25704</x:v>
      </x:c>
      <x:c r="Q19" s="9" t="n">
        <x:v>0.8133</x:v>
      </x:c>
      <x:c r="R19" s="9" t="n">
        <x:v>0.3183</x:v>
      </x:c>
      <x:c r="S19" s="9" t="n">
        <x:v>0.2589</x:v>
      </x:c>
    </x:row>
    <x:row r="20" ht="71" customHeight="1">
      <x:c r="A20" s="2" t="str">
        <x:v>tablet</x:v>
      </x:c>
      <x:c r="B20" s="15" t="str">
        <x:v>tablet, 8 tablet, 7 tablet, 7 android tablet, tablet and keyboard, 7in tablet, senior friendly tablets, tablets., 7 in tablet, tablet 8</x:v>
      </x:c>
      <x:c r="C20" s="10" t="n">
        <x:v>88</x:v>
      </x:c>
      <x:c r="D20" s="10" t="n">
        <x:v>718788</x:v>
      </x:c>
      <x:c r="E20" s="9" t="str">
        <x:v>'-0.041</x:v>
      </x:c>
      <x:c r="F20" s="10" t="n">
        <x:v>13071333</x:v>
      </x:c>
      <x:c r="G20" s="10" t="n">
        <x:v>216666</x:v>
      </x:c>
      <x:c r="H20" s="9" t="str">
        <x:v>'-0.0047</x:v>
      </x:c>
      <x:c r="I20" s="9" t="n">
        <x:v>0.3014</x:v>
      </x:c>
      <x:c r="J20" s="9" t="n">
        <x:v>0.0269</x:v>
      </x:c>
      <x:c r="K20" s="9" t="n">
        <x:v>0.0081</x:v>
      </x:c>
      <x:c r="L20" s="10" t="n">
        <x:v>5832</x:v>
      </x:c>
      <x:c r="M20" s="10" t="n">
        <x:v>109242</x:v>
      </x:c>
      <x:c r="N20" s="9" t="str">
        <x:v>'-0.0949</x:v>
      </x:c>
      <x:c r="O20" s="10" t="n">
        <x:v>68070</x:v>
      </x:c>
      <x:c r="P20" s="10" t="n">
        <x:v>6702</x:v>
      </x:c>
      <x:c r="Q20" s="9" t="n">
        <x:v>0.6231</x:v>
      </x:c>
      <x:c r="R20" s="9" t="n">
        <x:v>0.0984</x:v>
      </x:c>
      <x:c r="S20" s="9" t="n">
        <x:v>0.0613</x:v>
      </x:c>
    </x:row>
    <x:row r="21" ht="71" customHeight="1">
      <x:c r="A21" s="2" t="str">
        <x:v>wall art</x:v>
      </x:c>
      <x:c r="B21" s="15" t="str">
        <x:v>wall art, shell wall art, howdy wall art, bathroom wall art canvas, movie theater wall decor, 5 x 7 wall art, goat art, wall art 3, bathroom wall canvas art, seashell artwork</x:v>
      </x:c>
      <x:c r="C21" s="10" t="n">
        <x:v>98</x:v>
      </x:c>
      <x:c r="D21" s="10" t="n">
        <x:v>690424</x:v>
      </x:c>
      <x:c r="E21" s="9" t="str">
        <x:v>'-0.0645</x:v>
      </x:c>
      <x:c r="F21" s="10" t="n">
        <x:v>18648312</x:v>
      </x:c>
      <x:c r="G21" s="10" t="n">
        <x:v>187267</x:v>
      </x:c>
      <x:c r="H21" s="9" t="str">
        <x:v>'-0.0548</x:v>
      </x:c>
      <x:c r="I21" s="9" t="n">
        <x:v>0.2712</x:v>
      </x:c>
      <x:c r="J21" s="9" t="n">
        <x:v>0.0137</x:v>
      </x:c>
      <x:c r="K21" s="9" t="n">
        <x:v>0.0037</x:v>
      </x:c>
      <x:c r="L21" s="10" t="n">
        <x:v>2566</x:v>
      </x:c>
      <x:c r="M21" s="10" t="n">
        <x:v>97478</x:v>
      </x:c>
      <x:c r="N21" s="9" t="str">
        <x:v>'-0.0794</x:v>
      </x:c>
      <x:c r="O21" s="10" t="n">
        <x:v>64600</x:v>
      </x:c>
      <x:c r="P21" s="10" t="n">
        <x:v>3231</x:v>
      </x:c>
      <x:c r="Q21" s="9" t="n">
        <x:v>0.6627</x:v>
      </x:c>
      <x:c r="R21" s="9" t="n">
        <x:v>0.05</x:v>
      </x:c>
      <x:c r="S21" s="9" t="n">
        <x:v>0.0331</x:v>
      </x:c>
    </x:row>
    <x:row r="22" ht="71" customHeight="1">
      <x:c r="A22" s="2" t="str">
        <x:v>avocado</x:v>
      </x:c>
      <x:c r="B22" s="15" t="str">
        <x:v>avocado, produce, avocados, organic avocado, avocados fresh, avacado, avocados fresh organic, aguacate, fresh produce amazon fresh, avacardo</x:v>
      </x:c>
      <x:c r="C22" s="10" t="n">
        <x:v>167</x:v>
      </x:c>
      <x:c r="D22" s="10" t="n">
        <x:v>685508</x:v>
      </x:c>
      <x:c r="E22" s="9" t="n">
        <x:v>0.0437</x:v>
      </x:c>
      <x:c r="F22" s="10" t="n">
        <x:v>13995501</x:v>
      </x:c>
      <x:c r="G22" s="10" t="n">
        <x:v>352576</x:v>
      </x:c>
      <x:c r="H22" s="9" t="str">
        <x:v>'-0.0302</x:v>
      </x:c>
      <x:c r="I22" s="9" t="n">
        <x:v>0.5143</x:v>
      </x:c>
      <x:c r="J22" s="9" t="n">
        <x:v>0.345</x:v>
      </x:c>
      <x:c r="K22" s="9" t="n">
        <x:v>0.1774</x:v>
      </x:c>
      <x:c r="L22" s="10" t="n">
        <x:v>121669</x:v>
      </x:c>
      <x:c r="M22" s="10" t="n">
        <x:v>341008</x:v>
      </x:c>
      <x:c r="N22" s="9" t="n">
        <x:v>0.0325</x:v>
      </x:c>
      <x:c r="O22" s="10" t="n">
        <x:v>308625</x:v>
      </x:c>
      <x:c r="P22" s="10" t="n">
        <x:v>129966</x:v>
      </x:c>
      <x:c r="Q22" s="9" t="n">
        <x:v>0.905</x:v>
      </x:c>
      <x:c r="R22" s="9" t="n">
        <x:v>0.4211</x:v>
      </x:c>
      <x:c r="S22" s="9" t="n">
        <x:v>0.3811</x:v>
      </x:c>
    </x:row>
    <x:row r="23" ht="90" customHeight="1">
      <x:c r="A23" s="2" t="str">
        <x:v>lanterns</x:v>
      </x:c>
      <x:c r="B23" s="15" t="str">
        <x:v>lanterns, indoor lantern, beach lantern, lanterns for sale, battery operated lantern with timer, light lanterns indoor, battery powered decorative lanterns, lanterns for crafts, beach lanterns, hurrican lanterns</x:v>
      </x:c>
      <x:c r="C23" s="10" t="n">
        <x:v>47</x:v>
      </x:c>
      <x:c r="D23" s="10" t="n">
        <x:v>637870</x:v>
      </x:c>
      <x:c r="E23" s="9" t="n">
        <x:v>1.0582</x:v>
      </x:c>
      <x:c r="F23" s="10" t="n">
        <x:v>3642893</x:v>
      </x:c>
      <x:c r="G23" s="10" t="n">
        <x:v>9695</x:v>
      </x:c>
      <x:c r="H23" s="9" t="n">
        <x:v>0.2736</x:v>
      </x:c>
      <x:c r="I23" s="9" t="n">
        <x:v>0.0151</x:v>
      </x:c>
      <x:c r="J23" s="9" t="n">
        <x:v>0.0431</x:v>
      </x:c>
      <x:c r="K23" s="9" t="n">
        <x:v>0.0006</x:v>
      </x:c>
      <x:c r="L23" s="10" t="n">
        <x:v>418</x:v>
      </x:c>
      <x:c r="M23" s="10" t="n">
        <x:v>83909</x:v>
      </x:c>
      <x:c r="N23" s="9" t="n">
        <x:v>1.1662</x:v>
      </x:c>
      <x:c r="O23" s="10" t="n">
        <x:v>56507</x:v>
      </x:c>
      <x:c r="P23" s="10" t="n">
        <x:v>696</x:v>
      </x:c>
      <x:c r="Q23" s="9" t="n">
        <x:v>0.6734</x:v>
      </x:c>
      <x:c r="R23" s="9" t="n">
        <x:v>0.0123</x:v>
      </x:c>
      <x:c r="S23" s="9" t="n">
        <x:v>0.0082</x:v>
      </x:c>
    </x:row>
    <x:row r="24" ht="71" customHeight="1">
      <x:c r="A24" s="2" t="str">
        <x:v>sugar</x:v>
      </x:c>
      <x:c r="B24" s="15" t="str">
        <x:v>sugar, granulated sugar, white sugar, azucar, suger, sugars, white sugar granulated, sugar granulated, sigar, baking sugar</x:v>
      </x:c>
      <x:c r="C24" s="10" t="n">
        <x:v>157</x:v>
      </x:c>
      <x:c r="D24" s="10" t="n">
        <x:v>629621</x:v>
      </x:c>
      <x:c r="E24" s="9" t="n">
        <x:v>0.064</x:v>
      </x:c>
      <x:c r="F24" s="10" t="n">
        <x:v>15700513</x:v>
      </x:c>
      <x:c r="G24" s="10" t="n">
        <x:v>217822</x:v>
      </x:c>
      <x:c r="H24" s="9" t="n">
        <x:v>0.1283</x:v>
      </x:c>
      <x:c r="I24" s="9" t="n">
        <x:v>0.3459</x:v>
      </x:c>
      <x:c r="J24" s="9" t="n">
        <x:v>0.3446</x:v>
      </x:c>
      <x:c r="K24" s="9" t="n">
        <x:v>0.1192</x:v>
      </x:c>
      <x:c r="L24" s="10" t="n">
        <x:v>75075</x:v>
      </x:c>
      <x:c r="M24" s="10" t="n">
        <x:v>187188</x:v>
      </x:c>
      <x:c r="N24" s="9" t="n">
        <x:v>0.0458</x:v>
      </x:c>
      <x:c r="O24" s="10" t="n">
        <x:v>147266</x:v>
      </x:c>
      <x:c r="P24" s="10" t="n">
        <x:v>69696</x:v>
      </x:c>
      <x:c r="Q24" s="9" t="n">
        <x:v>0.7867</x:v>
      </x:c>
      <x:c r="R24" s="9" t="n">
        <x:v>0.4732</x:v>
      </x:c>
      <x:c r="S24" s="9" t="n">
        <x:v>0.3723</x:v>
      </x:c>
    </x:row>
    <x:row r="25" ht="71" customHeight="1">
      <x:c r="A25" s="2" t="str">
        <x:v>womens boots</x:v>
      </x:c>
      <x:c r="B25" s="15" t="str">
        <x:v>womens boots, fall boots for women, boot, cute boots, womens fashion boots, cute fall boots, botas de otoño para mujer, fall ankle boots, comfortable boots, comfy boots</x:v>
      </x:c>
      <x:c r="C25" s="10" t="n">
        <x:v>83</x:v>
      </x:c>
      <x:c r="D25" s="10" t="n">
        <x:v>619096</x:v>
      </x:c>
      <x:c r="E25" s="9" t="n">
        <x:v>1.048</x:v>
      </x:c>
      <x:c r="F25" s="10" t="n">
        <x:v>10605599</x:v>
      </x:c>
      <x:c r="G25" s="10" t="n">
        <x:v>122477</x:v>
      </x:c>
      <x:c r="H25" s="9" t="n">
        <x:v>1.081</x:v>
      </x:c>
      <x:c r="I25" s="9" t="n">
        <x:v>0.1978</x:v>
      </x:c>
      <x:c r="J25" s="9" t="n">
        <x:v>0.0065</x:v>
      </x:c>
      <x:c r="K25" s="9" t="n">
        <x:v>0.0013</x:v>
      </x:c>
      <x:c r="L25" s="10" t="n">
        <x:v>806</x:v>
      </x:c>
      <x:c r="M25" s="10" t="n">
        <x:v>53646</x:v>
      </x:c>
      <x:c r="N25" s="9" t="n">
        <x:v>0.9207</x:v>
      </x:c>
      <x:c r="O25" s="10" t="n">
        <x:v>37710</x:v>
      </x:c>
      <x:c r="P25" s="10" t="n">
        <x:v>2270</x:v>
      </x:c>
      <x:c r="Q25" s="9" t="n">
        <x:v>0.7029</x:v>
      </x:c>
      <x:c r="R25" s="9" t="n">
        <x:v>0.0601</x:v>
      </x:c>
      <x:c r="S25" s="9" t="n">
        <x:v>0.0423</x:v>
      </x:c>
    </x:row>
    <x:row r="26" ht="109" customHeight="1">
      <x:c r="A26" s="2" t="str">
        <x:v>dolly parton costume</x:v>
      </x:c>
      <x:c r="B26" s="15" t="str">
        <x:v>dolly parton costume, dolly parton outfit, dolly parton costumes for women, dolly parton halloween costume, dolly parton costumes, dolly parton costume adult, dolly parton costume for women, dolly parton halloween costume women, dolly parton womens costume, dolly parton costume ideas</x:v>
      </x:c>
      <x:c r="C26" s="10" t="n">
        <x:v>70</x:v>
      </x:c>
      <x:c r="D26" s="10" t="n">
        <x:v>617623</x:v>
      </x:c>
      <x:c r="E26" s="9" t="n">
        <x:v>55.2703</x:v>
      </x:c>
      <x:c r="F26" s="10" t="n">
        <x:v>5586811</x:v>
      </x:c>
      <x:c r="G26" s="10" t="n">
        <x:v>175431</x:v>
      </x:c>
      <x:c r="H26" s="9" t="n">
        <x:v>55.1379</x:v>
      </x:c>
      <x:c r="I26" s="9" t="n">
        <x:v>0.284</x:v>
      </x:c>
      <x:c r="J26" s="9" t="n">
        <x:v>0.0256</x:v>
      </x:c>
      <x:c r="K26" s="9" t="n">
        <x:v>0.0072</x:v>
      </x:c>
      <x:c r="L26" s="10" t="n">
        <x:v>4508</x:v>
      </x:c>
      <x:c r="M26" s="10" t="n">
        <x:v>39088</x:v>
      </x:c>
      <x:c r="N26" s="9" t="n">
        <x:v>49.7535</x:v>
      </x:c>
      <x:c r="O26" s="10" t="n">
        <x:v>23899</x:v>
      </x:c>
      <x:c r="P26" s="10" t="n">
        <x:v>1923</x:v>
      </x:c>
      <x:c r="Q26" s="9" t="n">
        <x:v>0.6114</x:v>
      </x:c>
      <x:c r="R26" s="9" t="n">
        <x:v>0.0804</x:v>
      </x:c>
      <x:c r="S26" s="9" t="n">
        <x:v>0.0491</x:v>
      </x:c>
    </x:row>
    <x:row r="27" ht="90" customHeight="1">
      <x:c r="A27" s="2" t="str">
        <x:v>mattress topper</x:v>
      </x:c>
      <x:c r="B27" s="15" t="str">
        <x:v>mattress topper, mattress toppers, down mattress topper, 3 mattress topper, 4 mattress topper, 2 mattress topper, latex mattress topper firm, best 3 mattress topper, 4 memory foam, mattress topper down</x:v>
      </x:c>
      <x:c r="C27" s="10" t="n">
        <x:v>124</x:v>
      </x:c>
      <x:c r="D27" s="10" t="n">
        <x:v>607384</x:v>
      </x:c>
      <x:c r="E27" s="9" t="str">
        <x:v>'-0.3128</x:v>
      </x:c>
      <x:c r="F27" s="10" t="n">
        <x:v>20556346</x:v>
      </x:c>
      <x:c r="G27" s="10" t="n">
        <x:v>250453</x:v>
      </x:c>
      <x:c r="H27" s="9" t="str">
        <x:v>'-0.2987</x:v>
      </x:c>
      <x:c r="I27" s="9" t="n">
        <x:v>0.4123</x:v>
      </x:c>
      <x:c r="J27" s="9" t="n">
        <x:v>0.0466</x:v>
      </x:c>
      <x:c r="K27" s="9" t="n">
        <x:v>0.0192</x:v>
      </x:c>
      <x:c r="L27" s="10" t="n">
        <x:v>11695</x:v>
      </x:c>
      <x:c r="M27" s="10" t="n">
        <x:v>215360</x:v>
      </x:c>
      <x:c r="N27" s="9" t="str">
        <x:v>'-0.3302</x:v>
      </x:c>
      <x:c r="O27" s="10" t="n">
        <x:v>158514</x:v>
      </x:c>
      <x:c r="P27" s="10" t="n">
        <x:v>34474</x:v>
      </x:c>
      <x:c r="Q27" s="9" t="n">
        <x:v>0.736</x:v>
      </x:c>
      <x:c r="R27" s="9" t="n">
        <x:v>0.2174</x:v>
      </x:c>
      <x:c r="S27" s="9" t="n">
        <x:v>0.16</x:v>
      </x:c>
    </x:row>
    <x:row r="28" ht="55" customHeight="1">
      <x:c r="A28" s="2" t="str">
        <x:v>vinyl records</x:v>
      </x:c>
      <x:c r="B28" s="15" t="str">
        <x:v>vinyl records, records, vinyl record, record, lp, vinyls records, vinyl lp, albums on vinyl, record vinyl, music vinyl</x:v>
      </x:c>
      <x:c r="C28" s="10" t="n">
        <x:v>176</x:v>
      </x:c>
      <x:c r="D28" s="10" t="n">
        <x:v>595113</x:v>
      </x:c>
      <x:c r="E28" s="9" t="n">
        <x:v>0.0865</x:v>
      </x:c>
      <x:c r="F28" s="10" t="n">
        <x:v>10034526</x:v>
      </x:c>
      <x:c r="G28" s="10" t="n">
        <x:v>123500</x:v>
      </x:c>
      <x:c r="H28" s="9" t="n">
        <x:v>0.1195</x:v>
      </x:c>
      <x:c r="I28" s="9" t="n">
        <x:v>0.2075</x:v>
      </x:c>
      <x:c r="J28" s="9" t="n">
        <x:v>0.0525</x:v>
      </x:c>
      <x:c r="K28" s="9" t="n">
        <x:v>0.0109</x:v>
      </x:c>
      <x:c r="L28" s="10" t="n">
        <x:v>6495</x:v>
      </x:c>
      <x:c r="M28" s="10" t="n">
        <x:v>63140</x:v>
      </x:c>
      <x:c r="N28" s="9" t="n">
        <x:v>0.0642</x:v>
      </x:c>
      <x:c r="O28" s="10" t="n">
        <x:v>36815</x:v>
      </x:c>
      <x:c r="P28" s="10" t="n">
        <x:v>3943</x:v>
      </x:c>
      <x:c r="Q28" s="9" t="n">
        <x:v>0.583</x:v>
      </x:c>
      <x:c r="R28" s="9" t="n">
        <x:v>0.1071</x:v>
      </x:c>
      <x:c r="S28" s="9" t="n">
        <x:v>0.0624</x:v>
      </x:c>
    </x:row>
    <x:row r="29" ht="71" customHeight="1">
      <x:c r="A29" s="2" t="str">
        <x:v>bible</x:v>
      </x:c>
      <x:c r="B29" s="15" t="str">
        <x:v>bible, bibles, bibble, bible book, english bible, whos who in the bible, clearance bibles, the bible is for you, what the bible is all about, bible for her</x:v>
      </x:c>
      <x:c r="C29" s="10" t="n">
        <x:v>119</x:v>
      </x:c>
      <x:c r="D29" s="10" t="n">
        <x:v>587324</x:v>
      </x:c>
      <x:c r="E29" s="9" t="n">
        <x:v>0.0371</x:v>
      </x:c>
      <x:c r="F29" s="10" t="n">
        <x:v>10736917</x:v>
      </x:c>
      <x:c r="G29" s="10" t="n">
        <x:v>199052</x:v>
      </x:c>
      <x:c r="H29" s="9" t="n">
        <x:v>0.0773</x:v>
      </x:c>
      <x:c r="I29" s="9" t="n">
        <x:v>0.3389</x:v>
      </x:c>
      <x:c r="J29" s="9" t="n">
        <x:v>0.0694</x:v>
      </x:c>
      <x:c r="K29" s="9" t="n">
        <x:v>0.0235</x:v>
      </x:c>
      <x:c r="L29" s="10" t="n">
        <x:v>13826</x:v>
      </x:c>
      <x:c r="M29" s="10" t="n">
        <x:v>98279</x:v>
      </x:c>
      <x:c r="N29" s="9" t="n">
        <x:v>0.0311</x:v>
      </x:c>
      <x:c r="O29" s="10" t="n">
        <x:v>67269</x:v>
      </x:c>
      <x:c r="P29" s="10" t="n">
        <x:v>13269</x:v>
      </x:c>
      <x:c r="Q29" s="9" t="n">
        <x:v>0.6844</x:v>
      </x:c>
      <x:c r="R29" s="9" t="n">
        <x:v>0.1972</x:v>
      </x:c>
      <x:c r="S29" s="9" t="n">
        <x:v>0.135</x:v>
      </x:c>
    </x:row>
    <x:row r="30" ht="90" customHeight="1">
      <x:c r="A30" s="2" t="str">
        <x:v>standing desk</x:v>
      </x:c>
      <x:c r="B30" s="15" t="str">
        <x:v>standing desk, wood standing desk, wood computer desk, standing desk wood, wood top desk, standing wood desk, standing desk wood top, light wood standing desk, natural wood standing desk, wood top standing desk</x:v>
      </x:c>
      <x:c r="C30" s="10" t="n">
        <x:v>39</x:v>
      </x:c>
      <x:c r="D30" s="10" t="n">
        <x:v>583272</x:v>
      </x:c>
      <x:c r="E30" s="9" t="str">
        <x:v>'-0.1457</x:v>
      </x:c>
      <x:c r="F30" s="10" t="n">
        <x:v>18693076</x:v>
      </x:c>
      <x:c r="G30" s="10" t="n">
        <x:v>228451</x:v>
      </x:c>
      <x:c r="H30" s="9" t="str">
        <x:v>'-0.1487</x:v>
      </x:c>
      <x:c r="I30" s="9" t="n">
        <x:v>0.3916</x:v>
      </x:c>
      <x:c r="J30" s="9" t="n">
        <x:v>0.0292</x:v>
      </x:c>
      <x:c r="K30" s="9" t="n">
        <x:v>0.0114</x:v>
      </x:c>
      <x:c r="L30" s="10" t="n">
        <x:v>6687</x:v>
      </x:c>
      <x:c r="M30" s="10" t="n">
        <x:v>153441</x:v>
      </x:c>
      <x:c r="N30" s="9" t="str">
        <x:v>'-0.1485</x:v>
      </x:c>
      <x:c r="O30" s="10" t="n">
        <x:v>106621</x:v>
      </x:c>
      <x:c r="P30" s="10" t="n">
        <x:v>11354</x:v>
      </x:c>
      <x:c r="Q30" s="9" t="n">
        <x:v>0.6948</x:v>
      </x:c>
      <x:c r="R30" s="9" t="n">
        <x:v>0.1064</x:v>
      </x:c>
      <x:c r="S30" s="9" t="n">
        <x:v>0.0739</x:v>
      </x:c>
    </x:row>
    <x:row r="31" ht="71" customHeight="1">
      <x:c r="A31" s="2" t="str">
        <x:v>the housemaid</x:v>
      </x:c>
      <x:c r="B31" s="15" t="str">
        <x:v>the housemaid, housemaid, the housemaid book, housemaid book, housemaid book 2, housemaids, housemaid book 3, the housemaid book 1, the housemaids, the housemaid books</x:v>
      </x:c>
      <x:c r="C31" s="10" t="n">
        <x:v>66</x:v>
      </x:c>
      <x:c r="D31" s="10" t="n">
        <x:v>572549</x:v>
      </x:c>
      <x:c r="E31" s="9" t="n">
        <x:v>0.1353</x:v>
      </x:c>
      <x:c r="F31" s="10" t="n">
        <x:v>6164404</x:v>
      </x:c>
      <x:c r="G31" s="10" t="n">
        <x:v>112784</x:v>
      </x:c>
      <x:c r="H31" s="9" t="n">
        <x:v>3.4291</x:v>
      </x:c>
      <x:c r="I31" s="9" t="n">
        <x:v>0.1969</x:v>
      </x:c>
      <x:c r="J31" s="9" t="n">
        <x:v>0.0298</x:v>
      </x:c>
      <x:c r="K31" s="9" t="n">
        <x:v>0.0058</x:v>
      </x:c>
      <x:c r="L31" s="10" t="n">
        <x:v>3367</x:v>
      </x:c>
      <x:c r="M31" s="10" t="n">
        <x:v>126434</x:v>
      </x:c>
      <x:c r="N31" s="9" t="n">
        <x:v>0.1396</x:v>
      </x:c>
      <x:c r="O31" s="10" t="n">
        <x:v>81773</x:v>
      </x:c>
      <x:c r="P31" s="10" t="n">
        <x:v>4397</x:v>
      </x:c>
      <x:c r="Q31" s="9" t="n">
        <x:v>0.6467</x:v>
      </x:c>
      <x:c r="R31" s="9" t="n">
        <x:v>0.0537</x:v>
      </x:c>
      <x:c r="S31" s="9" t="n">
        <x:v>0.0347</x:v>
      </x:c>
    </x:row>
    <x:row r="32" ht="71" customHeight="1">
      <x:c r="A32" s="2" t="str">
        <x:v>football</x:v>
      </x:c>
      <x:c r="B32" s="15" t="str">
        <x:v>football, football ball, personalized football, weighted football, weighted soccer ball, bounce back football, e football, football team, customized football, football trainer</x:v>
      </x:c>
      <x:c r="C32" s="10" t="n">
        <x:v>100</x:v>
      </x:c>
      <x:c r="D32" s="10" t="n">
        <x:v>567506</x:v>
      </x:c>
      <x:c r="E32" s="9" t="n">
        <x:v>0.8801</x:v>
      </x:c>
      <x:c r="F32" s="10" t="n">
        <x:v>5274044</x:v>
      </x:c>
      <x:c r="G32" s="10" t="n">
        <x:v>77718</x:v>
      </x:c>
      <x:c r="H32" s="9" t="n">
        <x:v>0.3796</x:v>
      </x:c>
      <x:c r="I32" s="9" t="n">
        <x:v>0.1369</x:v>
      </x:c>
      <x:c r="J32" s="9" t="n">
        <x:v>0.1116</x:v>
      </x:c>
      <x:c r="K32" s="9" t="n">
        <x:v>0.0152</x:v>
      </x:c>
      <x:c r="L32" s="10" t="n">
        <x:v>8678</x:v>
      </x:c>
      <x:c r="M32" s="10" t="n">
        <x:v>51746</x:v>
      </x:c>
      <x:c r="N32" s="9" t="n">
        <x:v>0.9693</x:v>
      </x:c>
      <x:c r="O32" s="10" t="n">
        <x:v>28494</x:v>
      </x:c>
      <x:c r="P32" s="10" t="n">
        <x:v>8166</x:v>
      </x:c>
      <x:c r="Q32" s="9" t="n">
        <x:v>0.5506</x:v>
      </x:c>
      <x:c r="R32" s="9" t="n">
        <x:v>0.2865</x:v>
      </x:c>
      <x:c r="S32" s="9" t="n">
        <x:v>0.1578</x:v>
      </x:c>
    </x:row>
    <x:row r="33" ht="109" customHeight="1">
      <x:c r="A33" s="2" t="str">
        <x:v>womens halloween costume</x:v>
      </x:c>
      <x:c r="B33" s="15" t="str">
        <x:v>womens halloween costume, skeleton costume women, womens skeleton costume, halloween costumes for woman, dia de los muertos costume women, women skeleton costume, costumes for women halloween, womens cute halloween costumes, skeleton onesie women, goth halloween costumes for women</x:v>
      </x:c>
      <x:c r="C33" s="10" t="n">
        <x:v>126</x:v>
      </x:c>
      <x:c r="D33" s="10" t="n">
        <x:v>548222</x:v>
      </x:c>
      <x:c r="E33" s="9" t="n">
        <x:v>2.7573</x:v>
      </x:c>
      <x:c r="F33" s="10" t="n">
        <x:v>6567111</x:v>
      </x:c>
      <x:c r="G33" s="10" t="n">
        <x:v>148215</x:v>
      </x:c>
      <x:c r="H33" s="9" t="n">
        <x:v>2.9757</x:v>
      </x:c>
      <x:c r="I33" s="9" t="n">
        <x:v>0.2703</x:v>
      </x:c>
      <x:c r="J33" s="9" t="n">
        <x:v>0.0082</x:v>
      </x:c>
      <x:c r="K33" s="9" t="n">
        <x:v>0.0022</x:v>
      </x:c>
      <x:c r="L33" s="10" t="n">
        <x:v>1225</x:v>
      </x:c>
      <x:c r="M33" s="10" t="n">
        <x:v>25279</x:v>
      </x:c>
      <x:c r="N33" s="9" t="n">
        <x:v>2.8612</x:v>
      </x:c>
      <x:c r="O33" s="10" t="n">
        <x:v>19416</x:v>
      </x:c>
      <x:c r="P33" s="10" t="n">
        <x:v>736</x:v>
      </x:c>
      <x:c r="Q33" s="9" t="n">
        <x:v>0.768</x:v>
      </x:c>
      <x:c r="R33" s="9" t="n">
        <x:v>0.0379</x:v>
      </x:c>
      <x:c r="S33" s="9" t="n">
        <x:v>0.0291</x:v>
      </x:c>
    </x:row>
    <x:row r="34" ht="55" customHeight="1">
      <x:c r="A34" s="2" t="str">
        <x:v>condoms</x:v>
      </x:c>
      <x:c r="B34" s="15" t="str">
        <x:v>condoms, condom, hims condoms, bare skin, enz, vaginal condoms, anal condoms, hims condom, comdam, vaginal condom</x:v>
      </x:c>
      <x:c r="C34" s="10" t="n">
        <x:v>105</x:v>
      </x:c>
      <x:c r="D34" s="10" t="n">
        <x:v>542280</x:v>
      </x:c>
      <x:c r="E34" s="9" t="n">
        <x:v>0.0514</x:v>
      </x:c>
      <x:c r="F34" s="10" t="n">
        <x:v>15171014</x:v>
      </x:c>
      <x:c r="G34" s="10" t="n">
        <x:v>236483</x:v>
      </x:c>
      <x:c r="H34" s="9" t="n">
        <x:v>0.0423</x:v>
      </x:c>
      <x:c r="I34" s="9" t="n">
        <x:v>0.436</x:v>
      </x:c>
      <x:c r="J34" s="9" t="n">
        <x:v>0.2237</x:v>
      </x:c>
      <x:c r="K34" s="9" t="n">
        <x:v>0.0975</x:v>
      </x:c>
      <x:c r="L34" s="10" t="n">
        <x:v>52908</x:v>
      </x:c>
      <x:c r="M34" s="10" t="n">
        <x:v>162451</x:v>
      </x:c>
      <x:c r="N34" s="9" t="n">
        <x:v>0.0193</x:v>
      </x:c>
      <x:c r="O34" s="10" t="n">
        <x:v>129983</x:v>
      </x:c>
      <x:c r="P34" s="10" t="n">
        <x:v>64693</x:v>
      </x:c>
      <x:c r="Q34" s="9" t="n">
        <x:v>0.8001</x:v>
      </x:c>
      <x:c r="R34" s="9" t="n">
        <x:v>0.4977</x:v>
      </x:c>
      <x:c r="S34" s="9" t="n">
        <x:v>0.3982</x:v>
      </x:c>
    </x:row>
    <x:row r="35" ht="90" customHeight="1">
      <x:c r="A35" s="2" t="str">
        <x:v>can opener</x:v>
      </x:c>
      <x:c r="B35" s="15" t="str">
        <x:v>can opener, can openers for seniors, can openers for seniors with arthritis, best can opener for seniors arthritis, b can opener, copenhagen snuff can opener, 5 in 1 can opener, can do can opener, multi function can opener, i opener</x:v>
      </x:c>
      <x:c r="C35" s="10" t="n">
        <x:v>18</x:v>
      </x:c>
      <x:c r="D35" s="10" t="n">
        <x:v>539911</x:v>
      </x:c>
      <x:c r="E35" s="9" t="n">
        <x:v>0.0581</x:v>
      </x:c>
      <x:c r="F35" s="10" t="n">
        <x:v>17906785</x:v>
      </x:c>
      <x:c r="G35" s="10" t="n">
        <x:v>234770</x:v>
      </x:c>
      <x:c r="H35" s="9" t="n">
        <x:v>0.0242</x:v>
      </x:c>
      <x:c r="I35" s="9" t="n">
        <x:v>0.4348</x:v>
      </x:c>
      <x:c r="J35" s="9" t="n">
        <x:v>0.2683</x:v>
      </x:c>
      <x:c r="K35" s="9" t="n">
        <x:v>0.1166</x:v>
      </x:c>
      <x:c r="L35" s="10" t="n">
        <x:v>63002</x:v>
      </x:c>
      <x:c r="M35" s="10" t="n">
        <x:v>201093</x:v>
      </x:c>
      <x:c r="N35" s="9" t="n">
        <x:v>0.0556</x:v>
      </x:c>
      <x:c r="O35" s="10" t="n">
        <x:v>164884</x:v>
      </x:c>
      <x:c r="P35" s="10" t="n">
        <x:v>82584</x:v>
      </x:c>
      <x:c r="Q35" s="9" t="n">
        <x:v>0.8199</x:v>
      </x:c>
      <x:c r="R35" s="9" t="n">
        <x:v>0.5008</x:v>
      </x:c>
      <x:c r="S35" s="9" t="n">
        <x:v>0.4106</x:v>
      </x:c>
    </x:row>
    <x:row r="36" ht="71" customHeight="1">
      <x:c r="A36" s="2" t="str">
        <x:v>orange juice</x:v>
      </x:c>
      <x:c r="B36" s="15" t="str">
        <x:v>orange juice, oj, orange juice no pulp, orange juice with pulp, oj juice, juego de naranja, jugo de naranja, light orange juice, orange juice pulp, sugar free orange juice</x:v>
      </x:c>
      <x:c r="C36" s="10" t="n">
        <x:v>170</x:v>
      </x:c>
      <x:c r="D36" s="10" t="n">
        <x:v>525141</x:v>
      </x:c>
      <x:c r="E36" s="9" t="n">
        <x:v>0.2029</x:v>
      </x:c>
      <x:c r="F36" s="10" t="n">
        <x:v>11523166</x:v>
      </x:c>
      <x:c r="G36" s="10" t="n">
        <x:v>202852</x:v>
      </x:c>
      <x:c r="H36" s="9" t="n">
        <x:v>0.1156</x:v>
      </x:c>
      <x:c r="I36" s="9" t="n">
        <x:v>0.3862</x:v>
      </x:c>
      <x:c r="J36" s="9" t="n">
        <x:v>0.3956</x:v>
      </x:c>
      <x:c r="K36" s="9" t="n">
        <x:v>0.1528</x:v>
      </x:c>
      <x:c r="L36" s="10" t="n">
        <x:v>80257</x:v>
      </x:c>
      <x:c r="M36" s="10" t="n">
        <x:v>156685</x:v>
      </x:c>
      <x:c r="N36" s="9" t="n">
        <x:v>0.1578</x:v>
      </x:c>
      <x:c r="O36" s="10" t="n">
        <x:v>137709</x:v>
      </x:c>
      <x:c r="P36" s="10" t="n">
        <x:v>76750</x:v>
      </x:c>
      <x:c r="Q36" s="9" t="n">
        <x:v>0.8788</x:v>
      </x:c>
      <x:c r="R36" s="9" t="n">
        <x:v>0.5573</x:v>
      </x:c>
      <x:c r="S36" s="9" t="n">
        <x:v>0.4898</x:v>
      </x:c>
    </x:row>
    <x:row r="37" ht="109" customHeight="1">
      <x:c r="A37" s="2" t="str">
        <x:v>toddler toys</x:v>
      </x:c>
      <x:c r="B37" s="15" t="str">
        <x:v>toddler toys, baby &amp; toddler toys, toddler stocking stuffers, toddler stocking stuffers 2 year old, spring toys for toddlers 1-3, toddler toys under 10 dollars, stocking stuffers toddler, baby stocking stuffers 12-18 months, 2 year old stocking stuffers, 1 year old stocking stuffers</x:v>
      </x:c>
      <x:c r="C37" s="10" t="n">
        <x:v>109</x:v>
      </x:c>
      <x:c r="D37" s="10" t="n">
        <x:v>516929</x:v>
      </x:c>
      <x:c r="E37" s="9" t="n">
        <x:v>0.1006</x:v>
      </x:c>
      <x:c r="F37" s="10" t="n">
        <x:v>13002404</x:v>
      </x:c>
      <x:c r="G37" s="10" t="n">
        <x:v>148075</x:v>
      </x:c>
      <x:c r="H37" s="9" t="n">
        <x:v>0.1187</x:v>
      </x:c>
      <x:c r="I37" s="9" t="n">
        <x:v>0.2864</x:v>
      </x:c>
      <x:c r="J37" s="9" t="n">
        <x:v>0.0604</x:v>
      </x:c>
      <x:c r="K37" s="9" t="n">
        <x:v>0.0173</x:v>
      </x:c>
      <x:c r="L37" s="10" t="n">
        <x:v>8955</x:v>
      </x:c>
      <x:c r="M37" s="10" t="n">
        <x:v>66259</x:v>
      </x:c>
      <x:c r="N37" s="9" t="n">
        <x:v>0.0923</x:v>
      </x:c>
      <x:c r="O37" s="10" t="n">
        <x:v>49334</x:v>
      </x:c>
      <x:c r="P37" s="10" t="n">
        <x:v>7604</x:v>
      </x:c>
      <x:c r="Q37" s="9" t="n">
        <x:v>0.7445</x:v>
      </x:c>
      <x:c r="R37" s="9" t="n">
        <x:v>0.1541</x:v>
      </x:c>
      <x:c r="S37" s="9" t="n">
        <x:v>0.1147</x:v>
      </x:c>
    </x:row>
    <x:row r="38" ht="71" customHeight="1">
      <x:c r="A38" s="2" t="str">
        <x:v>sandals</x:v>
      </x:c>
      <x:c r="B38" s="15" t="str">
        <x:v>sandals, sandal, chancletas, chancla, very g sandals, chancleta, chancletas de mujer en oferta, sandals women for beach, plantar fasciitis relief sandals, 5t sandals girl</x:v>
      </x:c>
      <x:c r="C38" s="10" t="n">
        <x:v>75</x:v>
      </x:c>
      <x:c r="D38" s="10" t="n">
        <x:v>513561</x:v>
      </x:c>
      <x:c r="E38" s="9" t="str">
        <x:v>'-0.393</x:v>
      </x:c>
      <x:c r="F38" s="10" t="n">
        <x:v>23078506</x:v>
      </x:c>
      <x:c r="G38" s="10" t="n">
        <x:v>102727</x:v>
      </x:c>
      <x:c r="H38" s="9" t="str">
        <x:v>'-0.3876</x:v>
      </x:c>
      <x:c r="I38" s="9" t="n">
        <x:v>0.2</x:v>
      </x:c>
      <x:c r="J38" s="9" t="n">
        <x:v>0.0157</x:v>
      </x:c>
      <x:c r="K38" s="9" t="n">
        <x:v>0.0031</x:v>
      </x:c>
      <x:c r="L38" s="10" t="n">
        <x:v>1623</x:v>
      </x:c>
      <x:c r="M38" s="10" t="n">
        <x:v>134859</x:v>
      </x:c>
      <x:c r="N38" s="9" t="str">
        <x:v>'-0.3738</x:v>
      </x:c>
      <x:c r="O38" s="10" t="n">
        <x:v>88442</x:v>
      </x:c>
      <x:c r="P38" s="10" t="n">
        <x:v>12875</x:v>
      </x:c>
      <x:c r="Q38" s="9" t="n">
        <x:v>0.6558</x:v>
      </x:c>
      <x:c r="R38" s="9" t="n">
        <x:v>0.1455</x:v>
      </x:c>
      <x:c r="S38" s="9" t="n">
        <x:v>0.0954</x:v>
      </x:c>
    </x:row>
    <x:row r="39" ht="90" customHeight="1">
      <x:c r="A39" s="2" t="str">
        <x:v>sneakers for women</x:v>
      </x:c>
      <x:c r="B39" s="15" t="str">
        <x:v>sneakers for women, sneakers for women clearance, womens tennis shoes clearance sale, comfortable shoes, leopard sneakers, travel shoes, calzado mujer, leopard womens shoes, comfortable casual shoes for women, shoe clearance outlet</x:v>
      </x:c>
      <x:c r="C39" s="10" t="n">
        <x:v>164</x:v>
      </x:c>
      <x:c r="D39" s="10" t="n">
        <x:v>510526</x:v>
      </x:c>
      <x:c r="E39" s="9" t="n">
        <x:v>0.0399</x:v>
      </x:c>
      <x:c r="F39" s="10" t="n">
        <x:v>15005781</x:v>
      </x:c>
      <x:c r="G39" s="10" t="n">
        <x:v>123538</x:v>
      </x:c>
      <x:c r="H39" s="9" t="n">
        <x:v>0.0772</x:v>
      </x:c>
      <x:c r="I39" s="9" t="n">
        <x:v>0.2419</x:v>
      </x:c>
      <x:c r="J39" s="9" t="n">
        <x:v>0.0085</x:v>
      </x:c>
      <x:c r="K39" s="9" t="n">
        <x:v>0.002</x:v>
      </x:c>
      <x:c r="L39" s="10" t="n">
        <x:v>1060</x:v>
      </x:c>
      <x:c r="M39" s="10" t="n">
        <x:v>77415</x:v>
      </x:c>
      <x:c r="N39" s="9" t="n">
        <x:v>0.0353</x:v>
      </x:c>
      <x:c r="O39" s="10" t="n">
        <x:v>58118</x:v>
      </x:c>
      <x:c r="P39" s="10" t="n">
        <x:v>6045</x:v>
      </x:c>
      <x:c r="Q39" s="9" t="n">
        <x:v>0.7507</x:v>
      </x:c>
      <x:c r="R39" s="9" t="n">
        <x:v>0.104</x:v>
      </x:c>
      <x:c r="S39" s="9" t="n">
        <x:v>0.078</x:v>
      </x:c>
    </x:row>
    <x:row r="40" ht="71" customHeight="1">
      <x:c r="A40" s="2" t="str">
        <x:v>broccoli</x:v>
      </x:c>
      <x:c r="B40" s="15" t="str">
        <x:v>broccoli, broccolini, organic broccoli, broccoli rabe, broccoli crowns, brocoli, broc, broccoli fresh, broccoli organic, baby broccoli</x:v>
      </x:c>
      <x:c r="C40" s="10" t="n">
        <x:v>146</x:v>
      </x:c>
      <x:c r="D40" s="10" t="n">
        <x:v>506307</x:v>
      </x:c>
      <x:c r="E40" s="9" t="n">
        <x:v>0.1197</x:v>
      </x:c>
      <x:c r="F40" s="10" t="n">
        <x:v>10672100</x:v>
      </x:c>
      <x:c r="G40" s="10" t="n">
        <x:v>285935</x:v>
      </x:c>
      <x:c r="H40" s="9" t="n">
        <x:v>0.0758</x:v>
      </x:c>
      <x:c r="I40" s="9" t="n">
        <x:v>0.5647</x:v>
      </x:c>
      <x:c r="J40" s="9" t="n">
        <x:v>0.4846</x:v>
      </x:c>
      <x:c r="K40" s="9" t="n">
        <x:v>0.2736</x:v>
      </x:c>
      <x:c r="L40" s="10" t="n">
        <x:v>138576</x:v>
      </x:c>
      <x:c r="M40" s="10" t="n">
        <x:v>261467</x:v>
      </x:c>
      <x:c r="N40" s="9" t="n">
        <x:v>0.1095</x:v>
      </x:c>
      <x:c r="O40" s="10" t="n">
        <x:v>242101</x:v>
      </x:c>
      <x:c r="P40" s="10" t="n">
        <x:v>141282</x:v>
      </x:c>
      <x:c r="Q40" s="9" t="n">
        <x:v>0.9259</x:v>
      </x:c>
      <x:c r="R40" s="9" t="n">
        <x:v>0.5835</x:v>
      </x:c>
      <x:c r="S40" s="9" t="n">
        <x:v>0.5403</x:v>
      </x:c>
    </x:row>
    <x:row r="41" ht="71" customHeight="1">
      <x:c r="A41" s="2" t="str">
        <x:v>mens shirts</x:v>
      </x:c>
      <x:c r="B41" s="15" t="str">
        <x:v>mens shirts, tee shirts, camiseta, tee shirt, short sleeve shirts, fitted shirts, plain shirt, fitted t shirts, soft tshirt, poleras</x:v>
      </x:c>
      <x:c r="C41" s="10" t="n">
        <x:v>130</x:v>
      </x:c>
      <x:c r="D41" s="10" t="n">
        <x:v>502305</x:v>
      </x:c>
      <x:c r="E41" s="9" t="str">
        <x:v>'-0.1395</x:v>
      </x:c>
      <x:c r="F41" s="10" t="n">
        <x:v>17462303</x:v>
      </x:c>
      <x:c r="G41" s="10" t="n">
        <x:v>117029</x:v>
      </x:c>
      <x:c r="H41" s="9" t="str">
        <x:v>'-0.1484</x:v>
      </x:c>
      <x:c r="I41" s="9" t="n">
        <x:v>0.2329</x:v>
      </x:c>
      <x:c r="J41" s="9" t="n">
        <x:v>0.0255</x:v>
      </x:c>
      <x:c r="K41" s="9" t="n">
        <x:v>0.0059</x:v>
      </x:c>
      <x:c r="L41" s="10" t="n">
        <x:v>2993</x:v>
      </x:c>
      <x:c r="M41" s="10" t="n">
        <x:v>104185</x:v>
      </x:c>
      <x:c r="N41" s="9" t="str">
        <x:v>'-0.133</x:v>
      </x:c>
      <x:c r="O41" s="10" t="n">
        <x:v>73548</x:v>
      </x:c>
      <x:c r="P41" s="10" t="n">
        <x:v>17496</x:v>
      </x:c>
      <x:c r="Q41" s="9" t="n">
        <x:v>0.7059</x:v>
      </x:c>
      <x:c r="R41" s="9" t="n">
        <x:v>0.2378</x:v>
      </x:c>
      <x:c r="S41" s="9" t="n">
        <x:v>0.1679</x:v>
      </x:c>
    </x:row>
    <x:row r="42" ht="71" customHeight="1">
      <x:c r="A42" s="2" t="str">
        <x:v>magnets</x:v>
      </x:c>
      <x:c r="B42" s="15" t="str">
        <x:v>magnets, magnet, on off magnet, switchable magnet, switch magnet, 2 magnets, electric magnets, electric magnet, 1 magnets, welding magnets on off switch</x:v>
      </x:c>
      <x:c r="C42" s="10" t="n">
        <x:v>116</x:v>
      </x:c>
      <x:c r="D42" s="10" t="n">
        <x:v>496579</x:v>
      </x:c>
      <x:c r="E42" s="9" t="n">
        <x:v>0.0252</x:v>
      </x:c>
      <x:c r="F42" s="10" t="n">
        <x:v>10867609</x:v>
      </x:c>
      <x:c r="G42" s="10" t="n">
        <x:v>154654</x:v>
      </x:c>
      <x:c r="H42" s="9" t="n">
        <x:v>0.0066</x:v>
      </x:c>
      <x:c r="I42" s="9" t="n">
        <x:v>0.3114</x:v>
      </x:c>
      <x:c r="J42" s="9" t="n">
        <x:v>0.1669</x:v>
      </x:c>
      <x:c r="K42" s="9" t="n">
        <x:v>0.0519</x:v>
      </x:c>
      <x:c r="L42" s="10" t="n">
        <x:v>25821</x:v>
      </x:c>
      <x:c r="M42" s="10" t="n">
        <x:v>129725</x:v>
      </x:c>
      <x:c r="N42" s="9" t="n">
        <x:v>0.0074</x:v>
      </x:c>
      <x:c r="O42" s="10" t="n">
        <x:v>92822</x:v>
      </x:c>
      <x:c r="P42" s="10" t="n">
        <x:v>34451</x:v>
      </x:c>
      <x:c r="Q42" s="9" t="n">
        <x:v>0.7155</x:v>
      </x:c>
      <x:c r="R42" s="9" t="n">
        <x:v>0.3711</x:v>
      </x:c>
      <x:c r="S42" s="9" t="n">
        <x:v>0.2655</x:v>
      </x:c>
    </x:row>
    <x:row r="43" ht="71" customHeight="1">
      <x:c r="A43" s="2" t="str">
        <x:v>sex toys for women</x:v>
      </x:c>
      <x:c r="B43" s="15" t="str">
        <x:v>sex toys for women, vibrador, sex toy for women, clitoral vibrator, sex vibrator, vibrator toys, adult toys for her, vibrating rose, vibrator for sex, vibrator for clit</x:v>
      </x:c>
      <x:c r="C43" s="10" t="n">
        <x:v>109</x:v>
      </x:c>
      <x:c r="D43" s="10" t="n">
        <x:v>490356</x:v>
      </x:c>
      <x:c r="E43" s="9" t="n">
        <x:v>0.0216</x:v>
      </x:c>
      <x:c r="F43" s="10" t="n">
        <x:v>4494308</x:v>
      </x:c>
      <x:c r="G43" s="10" t="n">
        <x:v>94693</x:v>
      </x:c>
      <x:c r="H43" s="9" t="n">
        <x:v>0.0666</x:v>
      </x:c>
      <x:c r="I43" s="9" t="n">
        <x:v>0.1931</x:v>
      </x:c>
      <x:c r="J43" s="9" t="n">
        <x:v>0.0361</x:v>
      </x:c>
      <x:c r="K43" s="9" t="n">
        <x:v>0.0069</x:v>
      </x:c>
      <x:c r="L43" s="10" t="n">
        <x:v>3424</x:v>
      </x:c>
      <x:c r="M43" s="10" t="n">
        <x:v>34196</x:v>
      </x:c>
      <x:c r="N43" s="9" t="n">
        <x:v>0.0151</x:v>
      </x:c>
      <x:c r="O43" s="10" t="n">
        <x:v>25339</x:v>
      </x:c>
      <x:c r="P43" s="10" t="n">
        <x:v>3279</x:v>
      </x:c>
      <x:c r="Q43" s="9" t="n">
        <x:v>0.7409</x:v>
      </x:c>
      <x:c r="R43" s="9" t="n">
        <x:v>0.1294</x:v>
      </x:c>
      <x:c r="S43" s="9" t="n">
        <x:v>0.0958</x:v>
      </x:c>
    </x:row>
    <x:row r="44" ht="90" customHeight="1">
      <x:c r="A44" s="2" t="str">
        <x:v>camping</x:v>
      </x:c>
      <x:c r="B44" s="15" t="str">
        <x:v>camping, tent camping essentials, tent camping accessories, glamping tents for camping, luxury tents for camping, luxury camping, 3fulgear, camping set for adults, tent supplies, core camping</x:v>
      </x:c>
      <x:c r="C44" s="10" t="n">
        <x:v>121</x:v>
      </x:c>
      <x:c r="D44" s="10" t="n">
        <x:v>482975</x:v>
      </x:c>
      <x:c r="E44" s="9" t="str">
        <x:v>'-0.1393</x:v>
      </x:c>
      <x:c r="F44" s="10" t="n">
        <x:v>12483738</x:v>
      </x:c>
      <x:c r="G44" s="10" t="n">
        <x:v>138580</x:v>
      </x:c>
      <x:c r="H44" s="9" t="str">
        <x:v>'-0.1447</x:v>
      </x:c>
      <x:c r="I44" s="9" t="n">
        <x:v>0.2869</x:v>
      </x:c>
      <x:c r="J44" s="9" t="n">
        <x:v>0.0394</x:v>
      </x:c>
      <x:c r="K44" s="9" t="n">
        <x:v>0.0113</x:v>
      </x:c>
      <x:c r="L44" s="10" t="n">
        <x:v>5469</x:v>
      </x:c>
      <x:c r="M44" s="10" t="n">
        <x:v>58856</x:v>
      </x:c>
      <x:c r="N44" s="9" t="str">
        <x:v>'-0.1425</x:v>
      </x:c>
      <x:c r="O44" s="10" t="n">
        <x:v>40607</x:v>
      </x:c>
      <x:c r="P44" s="10" t="n">
        <x:v>4267</x:v>
      </x:c>
      <x:c r="Q44" s="9" t="n">
        <x:v>0.6899</x:v>
      </x:c>
      <x:c r="R44" s="9" t="n">
        <x:v>0.105</x:v>
      </x:c>
      <x:c r="S44" s="9" t="n">
        <x:v>0.0724</x:v>
      </x:c>
    </x:row>
    <x:row r="45" ht="55" customHeight="1">
      <x:c r="A45" s="2" t="str">
        <x:v>gloves</x:v>
      </x:c>
      <x:c r="B45" s="15" t="str">
        <x:v>gloves, kitchen gloves, glove, ppe gloves, gloves m, m gloves, canning gloves, gloves l, butchers gloves, trash gloves</x:v>
      </x:c>
      <x:c r="C45" s="10" t="n">
        <x:v>108</x:v>
      </x:c>
      <x:c r="D45" s="10" t="n">
        <x:v>482007</x:v>
      </x:c>
      <x:c r="E45" s="9" t="n">
        <x:v>0.0509</x:v>
      </x:c>
      <x:c r="F45" s="10" t="n">
        <x:v>13586080</x:v>
      </x:c>
      <x:c r="G45" s="10" t="n">
        <x:v>183295</x:v>
      </x:c>
      <x:c r="H45" s="9" t="n">
        <x:v>0.0202</x:v>
      </x:c>
      <x:c r="I45" s="9" t="n">
        <x:v>0.3802</x:v>
      </x:c>
      <x:c r="J45" s="9" t="n">
        <x:v>0.2516</x:v>
      </x:c>
      <x:c r="K45" s="9" t="n">
        <x:v>0.0957</x:v>
      </x:c>
      <x:c r="L45" s="10" t="n">
        <x:v>46129</x:v>
      </x:c>
      <x:c r="M45" s="10" t="n">
        <x:v>175841</x:v>
      </x:c>
      <x:c r="N45" s="9" t="n">
        <x:v>0.0523</x:v>
      </x:c>
      <x:c r="O45" s="10" t="n">
        <x:v>138237</x:v>
      </x:c>
      <x:c r="P45" s="10" t="n">
        <x:v>69752</x:v>
      </x:c>
      <x:c r="Q45" s="9" t="n">
        <x:v>0.7861</x:v>
      </x:c>
      <x:c r="R45" s="9" t="n">
        <x:v>0.5045</x:v>
      </x:c>
      <x:c r="S45" s="9" t="n">
        <x:v>0.3966</x:v>
      </x:c>
    </x:row>
    <x:row r="46" ht="90" customHeight="1">
      <x:c r="A46" s="2" t="str">
        <x:v>water bottles 24 pack</x:v>
      </x:c>
      <x:c r="B46" s="15" t="str">
        <x:v>water bottles 24 pack, bottled water 24 pack, 24 pack water, case of water 24 pack, alkaline water 24 pack, purified water bottles 24 pack, bottle water 24 pack, icelandic water 24 pack, water case 24 pack, bottles of water 24 pack</x:v>
      </x:c>
      <x:c r="C46" s="10" t="n">
        <x:v>145</x:v>
      </x:c>
      <x:c r="D46" s="10" t="n">
        <x:v>476658</x:v>
      </x:c>
      <x:c r="E46" s="9" t="n">
        <x:v>0.0967</x:v>
      </x:c>
      <x:c r="F46" s="10" t="n">
        <x:v>13085652</x:v>
      </x:c>
      <x:c r="G46" s="10" t="n">
        <x:v>167453</x:v>
      </x:c>
      <x:c r="H46" s="9" t="n">
        <x:v>0.124</x:v>
      </x:c>
      <x:c r="I46" s="9" t="n">
        <x:v>0.3513</x:v>
      </x:c>
      <x:c r="J46" s="9" t="n">
        <x:v>0.2502</x:v>
      </x:c>
      <x:c r="K46" s="9" t="n">
        <x:v>0.0879</x:v>
      </x:c>
      <x:c r="L46" s="10" t="n">
        <x:v>41900</x:v>
      </x:c>
      <x:c r="M46" s="10" t="n">
        <x:v>141017</x:v>
      </x:c>
      <x:c r="N46" s="9" t="n">
        <x:v>0.1252</x:v>
      </x:c>
      <x:c r="O46" s="10" t="n">
        <x:v>112122</x:v>
      </x:c>
      <x:c r="P46" s="10" t="n">
        <x:v>41492</x:v>
      </x:c>
      <x:c r="Q46" s="9" t="n">
        <x:v>0.795</x:v>
      </x:c>
      <x:c r="R46" s="9" t="n">
        <x:v>0.37</x:v>
      </x:c>
      <x:c r="S46" s="9" t="n">
        <x:v>0.2942</x:v>
      </x:c>
    </x:row>
    <x:row r="47" ht="90" customHeight="1">
      <x:c r="A47" s="2" t="str">
        <x:v>cake</x:v>
      </x:c>
      <x:c r="B47" s="15" t="str">
        <x:v>cake, birthday cakes for delivery prime, fresh cakes delivered, tortas de cumpleaños, icecream cake, 7 up cake, cake in a can, buttercream cake, ice cream cakes, best cakes delivered</x:v>
      </x:c>
      <x:c r="C47" s="10" t="n">
        <x:v>35</x:v>
      </x:c>
      <x:c r="D47" s="10" t="n">
        <x:v>474427</x:v>
      </x:c>
      <x:c r="E47" s="9" t="n">
        <x:v>0.0979</x:v>
      </x:c>
      <x:c r="F47" s="10" t="n">
        <x:v>9049799</x:v>
      </x:c>
      <x:c r="G47" s="10" t="n">
        <x:v>102353</x:v>
      </x:c>
      <x:c r="H47" s="9" t="n">
        <x:v>0.026</x:v>
      </x:c>
      <x:c r="I47" s="9" t="n">
        <x:v>0.2157</x:v>
      </x:c>
      <x:c r="J47" s="9" t="n">
        <x:v>0.1795</x:v>
      </x:c>
      <x:c r="K47" s="9" t="n">
        <x:v>0.0387</x:v>
      </x:c>
      <x:c r="L47" s="10" t="n">
        <x:v>18374</x:v>
      </x:c>
      <x:c r="M47" s="10" t="n">
        <x:v>73495</x:v>
      </x:c>
      <x:c r="N47" s="9" t="n">
        <x:v>0.05</x:v>
      </x:c>
      <x:c r="O47" s="10" t="n">
        <x:v>50632</x:v>
      </x:c>
      <x:c r="P47" s="10" t="n">
        <x:v>15727</x:v>
      </x:c>
      <x:c r="Q47" s="9" t="n">
        <x:v>0.6889</x:v>
      </x:c>
      <x:c r="R47" s="9" t="n">
        <x:v>0.3106</x:v>
      </x:c>
      <x:c r="S47" s="9" t="n">
        <x:v>0.2139</x:v>
      </x:c>
    </x:row>
    <x:row r="48" ht="90" customHeight="1">
      <x:c r="A48" s="2" t="str">
        <x:v>zelda switch 2</x:v>
      </x:c>
      <x:c r="B48" s="15" t="str">
        <x:v>zelda switch 2, switch 2 zelda, zelda switch, zelda 2 switch, switch 2 games zelda, zelda switch 2 game, switch 2 zelda games, zelda switch 2 games, switch 1 zelda, zelda game switch 2</x:v>
      </x:c>
      <x:c r="C48" s="10" t="n">
        <x:v>25</x:v>
      </x:c>
      <x:c r="D48" s="10" t="n">
        <x:v>469400</x:v>
      </x:c>
      <x:c r="E48" s="9" t="n">
        <x:v>19.9413</x:v>
      </x:c>
      <x:c r="F48" s="10" t="n">
        <x:v>501020</x:v>
      </x:c>
      <x:c r="G48" s="10" t="n">
        <x:v>60187</x:v>
      </x:c>
      <x:c r="H48" s="9" t="n">
        <x:v>8.6919</x:v>
      </x:c>
      <x:c r="I48" s="9" t="n">
        <x:v>0.1282</x:v>
      </x:c>
      <x:c r="J48" s="9" t="n">
        <x:v>0.0375</x:v>
      </x:c>
      <x:c r="K48" s="9" t="n">
        <x:v>0.0048</x:v>
      </x:c>
      <x:c r="L48" s="10" t="n">
        <x:v>2263</x:v>
      </x:c>
      <x:c r="M48" s="10" t="n">
        <x:v>6858</x:v>
      </x:c>
      <x:c r="N48" s="9" t="n">
        <x:v>16.8023</x:v>
      </x:c>
      <x:c r="O48" s="10" t="n">
        <x:v>3804</x:v>
      </x:c>
      <x:c r="P48" s="10" t="n">
        <x:v>334</x:v>
      </x:c>
      <x:c r="Q48" s="9" t="n">
        <x:v>0.5546</x:v>
      </x:c>
      <x:c r="R48" s="9" t="n">
        <x:v>0.0878</x:v>
      </x:c>
      <x:c r="S48" s="9" t="n">
        <x:v>0.0487</x:v>
      </x:c>
    </x:row>
    <x:row r="49" ht="90" customHeight="1">
      <x:c r="A49" s="2" t="str">
        <x:v>raven costume</x:v>
      </x:c>
      <x:c r="B49" s="15" t="str">
        <x:v>raven costume, womens costumes, halloween costumes women, cosplay costumes for women, women costume, women costumes, raven cosplay, raven halloween costume, raven costume women, costumes women</x:v>
      </x:c>
      <x:c r="C49" s="10" t="n">
        <x:v>95</x:v>
      </x:c>
      <x:c r="D49" s="10" t="n">
        <x:v>468192</x:v>
      </x:c>
      <x:c r="E49" s="9" t="n">
        <x:v>1.5683</x:v>
      </x:c>
      <x:c r="F49" s="10" t="n">
        <x:v>5763956</x:v>
      </x:c>
      <x:c r="G49" s="10" t="n">
        <x:v>149152</x:v>
      </x:c>
      <x:c r="H49" s="9" t="n">
        <x:v>1.6514</x:v>
      </x:c>
      <x:c r="I49" s="9" t="n">
        <x:v>0.3185</x:v>
      </x:c>
      <x:c r="J49" s="9" t="n">
        <x:v>0.0063</x:v>
      </x:c>
      <x:c r="K49" s="9" t="n">
        <x:v>0.002</x:v>
      </x:c>
      <x:c r="L49" s="10" t="n">
        <x:v>952</x:v>
      </x:c>
      <x:c r="M49" s="10" t="n">
        <x:v>32904</x:v>
      </x:c>
      <x:c r="N49" s="9" t="n">
        <x:v>1.4724</x:v>
      </x:c>
      <x:c r="O49" s="10" t="n">
        <x:v>24491</x:v>
      </x:c>
      <x:c r="P49" s="10" t="n">
        <x:v>732</x:v>
      </x:c>
      <x:c r="Q49" s="9" t="n">
        <x:v>0.7443</x:v>
      </x:c>
      <x:c r="R49" s="9" t="n">
        <x:v>0.0298</x:v>
      </x:c>
      <x:c r="S49" s="9" t="n">
        <x:v>0.0222</x:v>
      </x:c>
    </x:row>
    <x:row r="50" ht="71" customHeight="1">
      <x:c r="A50" s="2" t="str">
        <x:v>obsession</x:v>
      </x:c>
      <x:c r="B50" s="15" t="str">
        <x:v>obsession, obsession movie, obsessions, obsession 2026 movie, obsession tv series, obsession prime video, obsession film, obsession the movie, obsession movies, obsession 1976</x:v>
      </x:c>
      <x:c r="C50" s="10" t="n">
        <x:v>29</x:v>
      </x:c>
      <x:c r="D50" s="10" t="n">
        <x:v>459891</x:v>
      </x:c>
      <x:c r="E50" s="9" t="str">
        <x:v>'-0.6021</x:v>
      </x:c>
      <x:c r="F50" s="10" t="n">
        <x:v>7691398</x:v>
      </x:c>
      <x:c r="G50" s="10" t="n">
        <x:v>70341</x:v>
      </x:c>
      <x:c r="H50" s="9" t="n">
        <x:v>3.0303</x:v>
      </x:c>
      <x:c r="I50" s="9" t="n">
        <x:v>0.1529</x:v>
      </x:c>
      <x:c r="J50" s="9" t="n">
        <x:v>0.0054</x:v>
      </x:c>
      <x:c r="K50" s="9" t="n">
        <x:v>0.0008</x:v>
      </x:c>
      <x:c r="L50" s="10" t="n">
        <x:v>385</x:v>
      </x:c>
      <x:c r="M50" s="10" t="n">
        <x:v>188756</x:v>
      </x:c>
      <x:c r="N50" s="9" t="str">
        <x:v>'-0.5683</x:v>
      </x:c>
      <x:c r="O50" s="10" t="n">
        <x:v>116390</x:v>
      </x:c>
      <x:c r="P50" s="10" t="n">
        <x:v>597</x:v>
      </x:c>
      <x:c r="Q50" s="9" t="n">
        <x:v>0.6166</x:v>
      </x:c>
      <x:c r="R50" s="9" t="n">
        <x:v>0.0051</x:v>
      </x:c>
      <x:c r="S50" s="9" t="n">
        <x:v>0.0031</x:v>
      </x:c>
    </x:row>
    <x:row r="51" ht="71" customHeight="1">
      <x:c r="A51" s="2" t="str">
        <x:v>lanyard</x:v>
      </x:c>
      <x:c r="B51" s="15" t="str">
        <x:v>lanyard, cute lanyard, cute lanyards, lanyards cute, pretty lanyard, lanyard girly, aka lanyard, fashion lanyard, lanyard for work, key holder necklace</x:v>
      </x:c>
      <x:c r="C51" s="10" t="n">
        <x:v>75</x:v>
      </x:c>
      <x:c r="D51" s="10" t="n">
        <x:v>448452</x:v>
      </x:c>
      <x:c r="E51" s="9" t="str">
        <x:v>'-0.2345</x:v>
      </x:c>
      <x:c r="F51" s="10" t="n">
        <x:v>12908235</x:v>
      </x:c>
      <x:c r="G51" s="10" t="n">
        <x:v>134405</x:v>
      </x:c>
      <x:c r="H51" s="9" t="str">
        <x:v>'-0.2282</x:v>
      </x:c>
      <x:c r="I51" s="9" t="n">
        <x:v>0.2997</x:v>
      </x:c>
      <x:c r="J51" s="9" t="n">
        <x:v>0.0716</x:v>
      </x:c>
      <x:c r="K51" s="9" t="n">
        <x:v>0.0214</x:v>
      </x:c>
      <x:c r="L51" s="10" t="n">
        <x:v>9636</x:v>
      </x:c>
      <x:c r="M51" s="10" t="n">
        <x:v>98559</x:v>
      </x:c>
      <x:c r="N51" s="9" t="str">
        <x:v>'-0.1999</x:v>
      </x:c>
      <x:c r="O51" s="10" t="n">
        <x:v>69120</x:v>
      </x:c>
      <x:c r="P51" s="10" t="n">
        <x:v>18871</x:v>
      </x:c>
      <x:c r="Q51" s="9" t="n">
        <x:v>0.7013</x:v>
      </x:c>
      <x:c r="R51" s="9" t="n">
        <x:v>0.273</x:v>
      </x:c>
      <x:c r="S51" s="9" t="n">
        <x:v>0.1914</x:v>
      </x:c>
    </x:row>
    <x:row r="52" ht="71" customHeight="1">
      <x:c r="A52" s="2" t="str">
        <x:v>camera</x:v>
      </x:c>
      <x:c r="B52" s="15" t="str">
        <x:v>camera, camaras, small camera, cámara, cámaras, apartment camera, camera that connects to phone, camera with screen, camera with wifi, w&amp;o camera</x:v>
      </x:c>
      <x:c r="C52" s="10" t="n">
        <x:v>34</x:v>
      </x:c>
      <x:c r="D52" s="10" t="n">
        <x:v>442848</x:v>
      </x:c>
      <x:c r="E52" s="9" t="n">
        <x:v>0.0275</x:v>
      </x:c>
      <x:c r="F52" s="10" t="n">
        <x:v>6107042</x:v>
      </x:c>
      <x:c r="G52" s="10" t="n">
        <x:v>109468</x:v>
      </x:c>
      <x:c r="H52" s="9" t="n">
        <x:v>0.0433</x:v>
      </x:c>
      <x:c r="I52" s="9" t="n">
        <x:v>0.2471</x:v>
      </x:c>
      <x:c r="J52" s="9" t="n">
        <x:v>0.0228</x:v>
      </x:c>
      <x:c r="K52" s="9" t="n">
        <x:v>0.0056</x:v>
      </x:c>
      <x:c r="L52" s="10" t="n">
        <x:v>2506</x:v>
      </x:c>
      <x:c r="M52" s="10" t="n">
        <x:v>66599</x:v>
      </x:c>
      <x:c r="N52" s="9" t="n">
        <x:v>0.0193</x:v>
      </x:c>
      <x:c r="O52" s="10" t="n">
        <x:v>38990</x:v>
      </x:c>
      <x:c r="P52" s="10" t="n">
        <x:v>2916</x:v>
      </x:c>
      <x:c r="Q52" s="9" t="n">
        <x:v>0.5854</x:v>
      </x:c>
      <x:c r="R52" s="9" t="n">
        <x:v>0.0747</x:v>
      </x:c>
      <x:c r="S52" s="9" t="n">
        <x:v>0.0437</x:v>
      </x:c>
    </x:row>
    <x:row r="53" ht="71" customHeight="1">
      <x:c r="A53" s="2" t="str">
        <x:v>garlic</x:v>
      </x:c>
      <x:c r="B53" s="15" t="str">
        <x:v>garlic, organic garlic, garlic fresh, fresh garlic, ajo, garlic bulbs, elephant garlic, whole garlic, fresh garlic bulbs, garlic organic</x:v>
      </x:c>
      <x:c r="C53" s="10" t="n">
        <x:v>93</x:v>
      </x:c>
      <x:c r="D53" s="10" t="n">
        <x:v>431128</x:v>
      </x:c>
      <x:c r="E53" s="9" t="n">
        <x:v>0.1626</x:v>
      </x:c>
      <x:c r="F53" s="10" t="n">
        <x:v>9331399</x:v>
      </x:c>
      <x:c r="G53" s="10" t="n">
        <x:v>238622</x:v>
      </x:c>
      <x:c r="H53" s="9" t="n">
        <x:v>0.1162</x:v>
      </x:c>
      <x:c r="I53" s="9" t="n">
        <x:v>0.5534</x:v>
      </x:c>
      <x:c r="J53" s="9" t="n">
        <x:v>0.5077</x:v>
      </x:c>
      <x:c r="K53" s="9" t="n">
        <x:v>0.281</x:v>
      </x:c>
      <x:c r="L53" s="10" t="n">
        <x:v>121155</x:v>
      </x:c>
      <x:c r="M53" s="10" t="n">
        <x:v>206816</x:v>
      </x:c>
      <x:c r="N53" s="9" t="n">
        <x:v>0.1467</x:v>
      </x:c>
      <x:c r="O53" s="10" t="n">
        <x:v>191711</x:v>
      </x:c>
      <x:c r="P53" s="10" t="n">
        <x:v>118497</x:v>
      </x:c>
      <x:c r="Q53" s="9" t="n">
        <x:v>0.9269</x:v>
      </x:c>
      <x:c r="R53" s="9" t="n">
        <x:v>0.6181</x:v>
      </x:c>
      <x:c r="S53" s="9" t="n">
        <x:v>0.5729</x:v>
      </x:c>
    </x:row>
    <x:row r="54" ht="90" customHeight="1">
      <x:c r="A54" s="2" t="str">
        <x:v>halloween wreath</x:v>
      </x:c>
      <x:c r="B54" s="15" t="str">
        <x:v>halloween wreath, halloween wreaths for front door, halloween wreaths, halloween reef, ghost wreaths for front door, halloween front door wreath, outdoor halloween wreath, wreath halloween, fall halloween wreath, halloween outdoor wreath</x:v>
      </x:c>
      <x:c r="C54" s="10" t="n">
        <x:v>76</x:v>
      </x:c>
      <x:c r="D54" s="10" t="n">
        <x:v>429508</x:v>
      </x:c>
      <x:c r="E54" s="9" t="n">
        <x:v>1.5947</x:v>
      </x:c>
      <x:c r="F54" s="10" t="n">
        <x:v>7479156</x:v>
      </x:c>
      <x:c r="G54" s="10" t="n">
        <x:v>178157</x:v>
      </x:c>
      <x:c r="H54" s="9" t="n">
        <x:v>1.7484</x:v>
      </x:c>
      <x:c r="I54" s="9" t="n">
        <x:v>0.4147</x:v>
      </x:c>
      <x:c r="J54" s="9" t="n">
        <x:v>0.0378</x:v>
      </x:c>
      <x:c r="K54" s="9" t="n">
        <x:v>0.0156</x:v>
      </x:c>
      <x:c r="L54" s="10" t="n">
        <x:v>6735</x:v>
      </x:c>
      <x:c r="M54" s="10" t="n">
        <x:v>42947</x:v>
      </x:c>
      <x:c r="N54" s="9" t="n">
        <x:v>1.4943</x:v>
      </x:c>
      <x:c r="O54" s="10" t="n">
        <x:v>33164</x:v>
      </x:c>
      <x:c r="P54" s="10" t="n">
        <x:v>2691</x:v>
      </x:c>
      <x:c r="Q54" s="9" t="n">
        <x:v>0.7722</x:v>
      </x:c>
      <x:c r="R54" s="9" t="n">
        <x:v>0.0811</x:v>
      </x:c>
      <x:c r="S54" s="9" t="n">
        <x:v>0.0626</x:v>
      </x:c>
    </x:row>
    <x:row r="55" ht="90" customHeight="1">
      <x:c r="A55" s="2" t="str">
        <x:v>squishy making kit</x:v>
      </x:c>
      <x:c r="B55" s="15" t="str">
        <x:v>squishy making kit, diy squishy making kits, stuff for kids, all squishies, wax cracking squishy kit, squishy ball making kit, squishy kit for kids, squishy making kit dumpling, dumpling maker squishy, squishy ball kit</x:v>
      </x:c>
      <x:c r="C55" s="10" t="n">
        <x:v>86</x:v>
      </x:c>
      <x:c r="D55" s="10" t="n">
        <x:v>419647</x:v>
      </x:c>
      <x:c r="E55" s="9" t="n">
        <x:v>0.299</x:v>
      </x:c>
      <x:c r="F55" s="10" t="n">
        <x:v>7743135</x:v>
      </x:c>
      <x:c r="G55" s="10" t="n">
        <x:v>206107</x:v>
      </x:c>
      <x:c r="H55" s="9" t="n">
        <x:v>0.3583</x:v>
      </x:c>
      <x:c r="I55" s="9" t="n">
        <x:v>0.4911</x:v>
      </x:c>
      <x:c r="J55" s="9" t="n">
        <x:v>0.0386</x:v>
      </x:c>
      <x:c r="K55" s="9" t="n">
        <x:v>0.0189</x:v>
      </x:c>
      <x:c r="L55" s="10" t="n">
        <x:v>7969</x:v>
      </x:c>
      <x:c r="M55" s="10" t="n">
        <x:v>66998</x:v>
      </x:c>
      <x:c r="N55" s="9" t="n">
        <x:v>0.2741</x:v>
      </x:c>
      <x:c r="O55" s="10" t="n">
        <x:v>53877</x:v>
      </x:c>
      <x:c r="P55" s="10" t="n">
        <x:v>7443</x:v>
      </x:c>
      <x:c r="Q55" s="9" t="n">
        <x:v>0.8041</x:v>
      </x:c>
      <x:c r="R55" s="9" t="n">
        <x:v>0.1381</x:v>
      </x:c>
      <x:c r="S55" s="9" t="n">
        <x:v>0.111</x:v>
      </x:c>
    </x:row>
    <x:row r="56" ht="109" customHeight="1">
      <x:c r="A56" s="2" t="str">
        <x:v>halloween costumes for men</x:v>
      </x:c>
      <x:c r="B56" s="15" t="str">
        <x:v>halloween costumes for men, disfraz de halloween para hombre, men halloween costume, halloween costumes adults, disfraces de halloween para hombres, disfraz para hombre, disfraz halloween hombre, trajes de halloween para hombres, traje de halloween para hombre, halloween costume adults</x:v>
      </x:c>
      <x:c r="C56" s="10" t="n">
        <x:v>89</x:v>
      </x:c>
      <x:c r="D56" s="10" t="n">
        <x:v>416079</x:v>
      </x:c>
      <x:c r="E56" s="9" t="n">
        <x:v>3.0748</x:v>
      </x:c>
      <x:c r="F56" s="10" t="n">
        <x:v>3160137</x:v>
      </x:c>
      <x:c r="G56" s="10" t="n">
        <x:v>108616</x:v>
      </x:c>
      <x:c r="H56" s="9" t="n">
        <x:v>3.5785</x:v>
      </x:c>
      <x:c r="I56" s="9" t="n">
        <x:v>0.261</x:v>
      </x:c>
      <x:c r="J56" s="9" t="n">
        <x:v>0.0048</x:v>
      </x:c>
      <x:c r="K56" s="9" t="n">
        <x:v>0.0012</x:v>
      </x:c>
      <x:c r="L56" s="10" t="n">
        <x:v>525</x:v>
      </x:c>
      <x:c r="M56" s="10" t="n">
        <x:v>12587</x:v>
      </x:c>
      <x:c r="N56" s="9" t="n">
        <x:v>2.6708</x:v>
      </x:c>
      <x:c r="O56" s="10" t="n">
        <x:v>8871</x:v>
      </x:c>
      <x:c r="P56" s="10" t="n">
        <x:v>280</x:v>
      </x:c>
      <x:c r="Q56" s="9" t="n">
        <x:v>0.7047</x:v>
      </x:c>
      <x:c r="R56" s="9" t="n">
        <x:v>0.0315</x:v>
      </x:c>
      <x:c r="S56" s="9" t="n">
        <x:v>0.0222</x:v>
      </x:c>
    </x:row>
    <x:row r="57" ht="71" customHeight="1">
      <x:c r="A57" s="2" t="str">
        <x:v>hdmi cable</x:v>
      </x:c>
      <x:c r="B57" s="15" t="str">
        <x:v>hdmi cable, fiber optic hdmi cable, 6 hdmi cable, fiber optic hdmi 2.1 cable, 3 hdmi cable, hdmi 2, 2 hdmi cable, 8 hdmi cable, 1 hdmi cable, 2 hdmi cables</x:v>
      </x:c>
      <x:c r="C57" s="10" t="n">
        <x:v>116</x:v>
      </x:c>
      <x:c r="D57" s="10" t="n">
        <x:v>414737</x:v>
      </x:c>
      <x:c r="E57" s="9" t="str">
        <x:v>'-0.0059</x:v>
      </x:c>
      <x:c r="F57" s="10" t="n">
        <x:v>11018258</x:v>
      </x:c>
      <x:c r="G57" s="10" t="n">
        <x:v>181269</x:v>
      </x:c>
      <x:c r="H57" s="9" t="str">
        <x:v>'-0.0083</x:v>
      </x:c>
      <x:c r="I57" s="9" t="n">
        <x:v>0.437</x:v>
      </x:c>
      <x:c r="J57" s="9" t="n">
        <x:v>0.32</x:v>
      </x:c>
      <x:c r="K57" s="9" t="n">
        <x:v>0.1399</x:v>
      </x:c>
      <x:c r="L57" s="10" t="n">
        <x:v>58022</x:v>
      </x:c>
      <x:c r="M57" s="10" t="n">
        <x:v>169745</x:v>
      </x:c>
      <x:c r="N57" s="9" t="str">
        <x:v>'-0.0014</x:v>
      </x:c>
      <x:c r="O57" s="10" t="n">
        <x:v>136664</x:v>
      </x:c>
      <x:c r="P57" s="10" t="n">
        <x:v>79908</x:v>
      </x:c>
      <x:c r="Q57" s="9" t="n">
        <x:v>0.8051</x:v>
      </x:c>
      <x:c r="R57" s="9" t="n">
        <x:v>0.5847</x:v>
      </x:c>
      <x:c r="S57" s="9" t="n">
        <x:v>0.4707</x:v>
      </x:c>
    </x:row>
    <x:row r="58" ht="71" customHeight="1">
      <x:c r="A58" s="2" t="str">
        <x:v>bar</x:v>
      </x:c>
      <x:c r="B58" s="15" t="str">
        <x:v>bar, bar furniture, bar furniture for home, bars for home, a bar above, cantina bar, vintage bar, back bar cabinet, home bars for sale, drinking bars for home</x:v>
      </x:c>
      <x:c r="C58" s="10" t="n">
        <x:v>56</x:v>
      </x:c>
      <x:c r="D58" s="10" t="n">
        <x:v>409795</x:v>
      </x:c>
      <x:c r="E58" s="9" t="n">
        <x:v>0.2063</x:v>
      </x:c>
      <x:c r="F58" s="10" t="n">
        <x:v>1335491</x:v>
      </x:c>
      <x:c r="G58" s="10" t="n">
        <x:v>27230</x:v>
      </x:c>
      <x:c r="H58" s="9" t="n">
        <x:v>0.6317</x:v>
      </x:c>
      <x:c r="I58" s="9" t="n">
        <x:v>0.0664</x:v>
      </x:c>
      <x:c r="J58" s="9" t="n">
        <x:v>0.0263</x:v>
      </x:c>
      <x:c r="K58" s="9" t="n">
        <x:v>0.0017</x:v>
      </x:c>
      <x:c r="L58" s="10" t="n">
        <x:v>718</x:v>
      </x:c>
      <x:c r="M58" s="10" t="n">
        <x:v>12633</x:v>
      </x:c>
      <x:c r="N58" s="9" t="n">
        <x:v>0.1596</x:v>
      </x:c>
      <x:c r="O58" s="10" t="n">
        <x:v>7929</x:v>
      </x:c>
      <x:c r="P58" s="10" t="n">
        <x:v>581</x:v>
      </x:c>
      <x:c r="Q58" s="9" t="n">
        <x:v>0.6276</x:v>
      </x:c>
      <x:c r="R58" s="9" t="n">
        <x:v>0.0732</x:v>
      </x:c>
      <x:c r="S58" s="9" t="n">
        <x:v>0.0459</x:v>
      </x:c>
    </x:row>
    <x:row r="59" ht="90" customHeight="1">
      <x:c r="A59" s="2" t="str">
        <x:v>loaded tea</x:v>
      </x:c>
      <x:c r="B59" s="15" t="str">
        <x:v>loaded tea, loaded tea shop, the loaded tea shop packets, the loaded tea, the loaded tea shop caffeine free, loaded tea shop packets bundle, loaded water packets, loaded teashop packets, loaded tea variety pack, tea shop</x:v>
      </x:c>
      <x:c r="C59" s="10" t="n">
        <x:v>74</x:v>
      </x:c>
      <x:c r="D59" s="10" t="n">
        <x:v>407793</x:v>
      </x:c>
      <x:c r="E59" s="9" t="n">
        <x:v>0.0196</x:v>
      </x:c>
      <x:c r="F59" s="10" t="n">
        <x:v>16524251</x:v>
      </x:c>
      <x:c r="G59" s="10" t="n">
        <x:v>203092</x:v>
      </x:c>
      <x:c r="H59" s="9" t="n">
        <x:v>0.0136</x:v>
      </x:c>
      <x:c r="I59" s="9" t="n">
        <x:v>0.498</x:v>
      </x:c>
      <x:c r="J59" s="9" t="n">
        <x:v>0.0553</x:v>
      </x:c>
      <x:c r="K59" s="9" t="n">
        <x:v>0.0275</x:v>
      </x:c>
      <x:c r="L59" s="10" t="n">
        <x:v>11241</x:v>
      </x:c>
      <x:c r="M59" s="10" t="n">
        <x:v>140293</x:v>
      </x:c>
      <x:c r="N59" s="9" t="n">
        <x:v>0.0045</x:v>
      </x:c>
      <x:c r="O59" s="10" t="n">
        <x:v>110844</x:v>
      </x:c>
      <x:c r="P59" s="10" t="n">
        <x:v>14860</x:v>
      </x:c>
      <x:c r="Q59" s="9" t="n">
        <x:v>0.79</x:v>
      </x:c>
      <x:c r="R59" s="9" t="n">
        <x:v>0.134</x:v>
      </x:c>
      <x:c r="S59" s="9" t="n">
        <x:v>0.1059</x:v>
      </x:c>
    </x:row>
    <x:row r="60" ht="90" customHeight="1">
      <x:c r="A60" s="2" t="str">
        <x:v>the devil wears prada 2</x:v>
      </x:c>
      <x:c r="B60" s="15" t="str">
        <x:v>the devil wears prada 2, the devil wears prada, devil wears prada 2, devil wears prada, devil wears prada two, the devil wears prada two, the devil wears prada 2 rent, devils wears prada 2, devil wears prada 1, devil wears prada2</x:v>
      </x:c>
      <x:c r="C60" s="10" t="n">
        <x:v>47</x:v>
      </x:c>
      <x:c r="D60" s="10" t="n">
        <x:v>405796</x:v>
      </x:c>
      <x:c r="E60" s="9" t="str">
        <x:v>'-0.6078</x:v>
      </x:c>
      <x:c r="F60" s="10" t="n">
        <x:v>5868332</x:v>
      </x:c>
      <x:c r="G60" s="10" t="n">
        <x:v>47057</x:v>
      </x:c>
      <x:c r="H60" s="9" t="n">
        <x:v>1.7568</x:v>
      </x:c>
      <x:c r="I60" s="9" t="n">
        <x:v>0.1159</x:v>
      </x:c>
      <x:c r="J60" s="9" t="n">
        <x:v>0.0126</x:v>
      </x:c>
      <x:c r="K60" s="9" t="n">
        <x:v>0.0014</x:v>
      </x:c>
      <x:c r="L60" s="10" t="n">
        <x:v>594</x:v>
      </x:c>
      <x:c r="M60" s="10" t="n">
        <x:v>120915</x:v>
      </x:c>
      <x:c r="N60" s="9" t="str">
        <x:v>'-0.6114</x:v>
      </x:c>
      <x:c r="O60" s="10" t="n">
        <x:v>67510</x:v>
      </x:c>
      <x:c r="P60" s="10" t="n">
        <x:v>1210</x:v>
      </x:c>
      <x:c r="Q60" s="9" t="n">
        <x:v>0.5583</x:v>
      </x:c>
      <x:c r="R60" s="9" t="n">
        <x:v>0.0179</x:v>
      </x:c>
      <x:c r="S60" s="9" t="n">
        <x:v>0.01</x:v>
      </x:c>
    </x:row>
    <x:row r="61" ht="71" customHeight="1">
      <x:c r="A61" s="2" t="str">
        <x:v>amazon basics</x:v>
      </x:c>
      <x:c r="B61" s="15" t="str">
        <x:v>amazon basics, _amazon prime, amazon now, amazon.co.jp, amazon.co.jp 日本, amazon balance on account, http amazon, amazon.de deutschland, amazon au, amazon reseñas</x:v>
      </x:c>
      <x:c r="C61" s="10" t="n">
        <x:v>121</x:v>
      </x:c>
      <x:c r="D61" s="10" t="n">
        <x:v>401354</x:v>
      </x:c>
      <x:c r="E61" s="9" t="str">
        <x:v>'-0.0198</x:v>
      </x:c>
      <x:c r="F61" s="10" t="n">
        <x:v>8242714</x:v>
      </x:c>
      <x:c r="G61" s="10" t="n">
        <x:v>78044</x:v>
      </x:c>
      <x:c r="H61" s="9" t="n">
        <x:v>0.0107</x:v>
      </x:c>
      <x:c r="I61" s="9" t="n">
        <x:v>0.1944</x:v>
      </x:c>
      <x:c r="J61" s="9" t="n">
        <x:v>0.0809</x:v>
      </x:c>
      <x:c r="K61" s="9" t="n">
        <x:v>0.0157</x:v>
      </x:c>
      <x:c r="L61" s="10" t="n">
        <x:v>6318</x:v>
      </x:c>
      <x:c r="M61" s="10" t="n">
        <x:v>64883</x:v>
      </x:c>
      <x:c r="N61" s="9" t="str">
        <x:v>'-0.068</x:v>
      </x:c>
      <x:c r="O61" s="10" t="n">
        <x:v>28659</x:v>
      </x:c>
      <x:c r="P61" s="10" t="n">
        <x:v>4135</x:v>
      </x:c>
      <x:c r="Q61" s="9" t="n">
        <x:v>0.4417</x:v>
      </x:c>
      <x:c r="R61" s="9" t="n">
        <x:v>0.1442</x:v>
      </x:c>
      <x:c r="S61" s="9" t="n">
        <x:v>0.0637</x:v>
      </x:c>
    </x:row>
    <x:row r="62" ht="109" customHeight="1">
      <x:c r="A62" s="2" t="str">
        <x:v>baby girl newborn essentials</x:v>
      </x:c>
      <x:c r="B62" s="15" t="str">
        <x:v>baby girl newborn essentials, newborn girl essentials, newborn baby girl essentials, newborn essentials must haves girl, baby girl must haves, baby essentials girl, baby girl essentials must haves, new born girl essentials, new born baby girl essentials must haves, new born essentials for baby girl</x:v>
      </x:c>
      <x:c r="C62" s="10" t="n">
        <x:v>123</x:v>
      </x:c>
      <x:c r="D62" s="10" t="n">
        <x:v>399588</x:v>
      </x:c>
      <x:c r="E62" s="9" t="str">
        <x:v>'-0.0356</x:v>
      </x:c>
      <x:c r="F62" s="10" t="n">
        <x:v>12048477</x:v>
      </x:c>
      <x:c r="G62" s="10" t="n">
        <x:v>149084</x:v>
      </x:c>
      <x:c r="H62" s="9" t="str">
        <x:v>'-0.0315</x:v>
      </x:c>
      <x:c r="I62" s="9" t="n">
        <x:v>0.373</x:v>
      </x:c>
      <x:c r="J62" s="9" t="n">
        <x:v>0.0443</x:v>
      </x:c>
      <x:c r="K62" s="9" t="n">
        <x:v>0.0165</x:v>
      </x:c>
      <x:c r="L62" s="10" t="n">
        <x:v>6606</x:v>
      </x:c>
      <x:c r="M62" s="10" t="n">
        <x:v>48866</x:v>
      </x:c>
      <x:c r="N62" s="9" t="n">
        <x:v>0.0176</x:v>
      </x:c>
      <x:c r="O62" s="10" t="n">
        <x:v>39774</x:v>
      </x:c>
      <x:c r="P62" s="10" t="n">
        <x:v>5223</x:v>
      </x:c>
      <x:c r="Q62" s="9" t="n">
        <x:v>0.8139</x:v>
      </x:c>
      <x:c r="R62" s="9" t="n">
        <x:v>0.1313</x:v>
      </x:c>
      <x:c r="S62" s="9" t="n">
        <x:v>0.1068</x:v>
      </x:c>
    </x:row>
    <x:row r="63" ht="90" customHeight="1">
      <x:c r="A63" s="2" t="str">
        <x:v>advent calendar</x:v>
      </x:c>
      <x:c r="B63" s="15" t="str">
        <x:v>advent calendar, advent calendars, advent calendar for men, uno advent calendar 2026, uno advent calendar, tool advent calendar, wine advent calendar, tool advent calendar 2026, advent calendars for men, advent calendar adult</x:v>
      </x:c>
      <x:c r="C63" s="10" t="n">
        <x:v>95</x:v>
      </x:c>
      <x:c r="D63" s="10" t="n">
        <x:v>394251</x:v>
      </x:c>
      <x:c r="E63" s="9" t="n">
        <x:v>1.8343</x:v>
      </x:c>
      <x:c r="F63" s="10" t="n">
        <x:v>3523378</x:v>
      </x:c>
      <x:c r="G63" s="10" t="n">
        <x:v>167254</x:v>
      </x:c>
      <x:c r="H63" s="9" t="n">
        <x:v>2.122</x:v>
      </x:c>
      <x:c r="I63" s="9" t="n">
        <x:v>0.4242</x:v>
      </x:c>
      <x:c r="J63" s="9" t="n">
        <x:v>0.0164</x:v>
      </x:c>
      <x:c r="K63" s="9" t="n">
        <x:v>0.0069</x:v>
      </x:c>
      <x:c r="L63" s="10" t="n">
        <x:v>2749</x:v>
      </x:c>
      <x:c r="M63" s="10" t="n">
        <x:v>19478</x:v>
      </x:c>
      <x:c r="N63" s="9" t="n">
        <x:v>1.8152</x:v>
      </x:c>
      <x:c r="O63" s="10" t="n">
        <x:v>14011</x:v>
      </x:c>
      <x:c r="P63" s="10" t="n">
        <x:v>786</x:v>
      </x:c>
      <x:c r="Q63" s="9" t="n">
        <x:v>0.7193</x:v>
      </x:c>
      <x:c r="R63" s="9" t="n">
        <x:v>0.056</x:v>
      </x:c>
      <x:c r="S63" s="9" t="n">
        <x:v>0.0403</x:v>
      </x:c>
    </x:row>
    <x:row r="64" ht="90" customHeight="1">
      <x:c r="A64" s="2" t="str">
        <x:v>kitchen decor</x:v>
      </x:c>
      <x:c r="B64" s="15" t="str">
        <x:v>kitchen decor, decoración cocina, bathroom toilet decor, kitchen coffee bar decor, for kitchen decor, decor for toilet, decoracion para barra de cocina, coffee bar decor modern, house accessories for home decor, wood decor for desk</x:v>
      </x:c>
      <x:c r="C64" s="10" t="n">
        <x:v>15</x:v>
      </x:c>
      <x:c r="D64" s="10" t="n">
        <x:v>393212</x:v>
      </x:c>
      <x:c r="E64" s="9" t="str">
        <x:v>'-0.1171</x:v>
      </x:c>
      <x:c r="F64" s="10" t="n">
        <x:v>12397802</x:v>
      </x:c>
      <x:c r="G64" s="10" t="n">
        <x:v>135851</x:v>
      </x:c>
      <x:c r="H64" s="9" t="str">
        <x:v>'-0.1151</x:v>
      </x:c>
      <x:c r="I64" s="9" t="n">
        <x:v>0.3454</x:v>
      </x:c>
      <x:c r="J64" s="9" t="n">
        <x:v>0.0171</x:v>
      </x:c>
      <x:c r="K64" s="9" t="n">
        <x:v>0.0059</x:v>
      </x:c>
      <x:c r="L64" s="10" t="n">
        <x:v>2324</x:v>
      </x:c>
      <x:c r="M64" s="10" t="n">
        <x:v>56388</x:v>
      </x:c>
      <x:c r="N64" s="9" t="str">
        <x:v>'-0.1183</x:v>
      </x:c>
      <x:c r="O64" s="10" t="n">
        <x:v>43408</x:v>
      </x:c>
      <x:c r="P64" s="10" t="n">
        <x:v>2341</x:v>
      </x:c>
      <x:c r="Q64" s="9" t="n">
        <x:v>0.7698</x:v>
      </x:c>
      <x:c r="R64" s="9" t="n">
        <x:v>0.0539</x:v>
      </x:c>
      <x:c r="S64" s="9" t="n">
        <x:v>0.0415</x:v>
      </x:c>
    </x:row>
    <x:row r="65" ht="71" customHeight="1">
      <x:c r="A65" s="2" t="str">
        <x:v>knife</x:v>
      </x:c>
      <x:c r="B65" s="15" t="str">
        <x:v>knife, knives, o knife, safety knife for women, okife, cuchillos para trabajo, edc box knife, pocket knife razor, outdoor utility knife, tradesman knife</x:v>
      </x:c>
      <x:c r="C65" s="10" t="n">
        <x:v>22</x:v>
      </x:c>
      <x:c r="D65" s="10" t="n">
        <x:v>390617</x:v>
      </x:c>
      <x:c r="E65" s="9" t="n">
        <x:v>0.0017</x:v>
      </x:c>
      <x:c r="F65" s="10" t="n">
        <x:v>8575723</x:v>
      </x:c>
      <x:c r="G65" s="10" t="n">
        <x:v>95835</x:v>
      </x:c>
      <x:c r="H65" s="9" t="n">
        <x:v>0.0241</x:v>
      </x:c>
      <x:c r="I65" s="9" t="n">
        <x:v>0.2453</x:v>
      </x:c>
      <x:c r="J65" s="9" t="n">
        <x:v>0.0992</x:v>
      </x:c>
      <x:c r="K65" s="9" t="n">
        <x:v>0.0243</x:v>
      </x:c>
      <x:c r="L65" s="10" t="n">
        <x:v>9511</x:v>
      </x:c>
      <x:c r="M65" s="10" t="n">
        <x:v>69690</x:v>
      </x:c>
      <x:c r="N65" s="9" t="str">
        <x:v>'-0.0104</x:v>
      </x:c>
      <x:c r="O65" s="10" t="n">
        <x:v>44546</x:v>
      </x:c>
      <x:c r="P65" s="10" t="n">
        <x:v>10019</x:v>
      </x:c>
      <x:c r="Q65" s="9" t="n">
        <x:v>0.6392</x:v>
      </x:c>
      <x:c r="R65" s="9" t="n">
        <x:v>0.2249</x:v>
      </x:c>
      <x:c r="S65" s="9" t="n">
        <x:v>0.1437</x:v>
      </x:c>
    </x:row>
    <x:row r="66" ht="71" customHeight="1">
      <x:c r="A66" s="2" t="str">
        <x:v>the fast and the furious</x:v>
      </x:c>
      <x:c r="B66" s="15" t="str">
        <x:v>the fast and the furious, fas, fast and furious, fast &amp; furious, ine, rapi, hobbs, fast and the furious, fast and furious collection 1-10, the fast and the furious collection</x:v>
      </x:c>
      <x:c r="C66" s="10" t="n">
        <x:v>78</x:v>
      </x:c>
      <x:c r="D66" s="10" t="n">
        <x:v>384776</x:v>
      </x:c>
      <x:c r="E66" s="9" t="str">
        <x:v>'-0.2517</x:v>
      </x:c>
      <x:c r="F66" s="10" t="n">
        <x:v>2785413</x:v>
      </x:c>
      <x:c r="G66" s="10" t="n">
        <x:v>44186</x:v>
      </x:c>
      <x:c r="H66" s="9" t="n">
        <x:v>0.7107</x:v>
      </x:c>
      <x:c r="I66" s="9" t="n">
        <x:v>0.1148</x:v>
      </x:c>
      <x:c r="J66" s="9" t="n">
        <x:v>0.0112</x:v>
      </x:c>
      <x:c r="K66" s="9" t="n">
        <x:v>0.0012</x:v>
      </x:c>
      <x:c r="L66" s="10" t="n">
        <x:v>498</x:v>
      </x:c>
      <x:c r="M66" s="10" t="n">
        <x:v>55606</x:v>
      </x:c>
      <x:c r="N66" s="9" t="str">
        <x:v>'-0.2558</x:v>
      </x:c>
      <x:c r="O66" s="10" t="n">
        <x:v>27062</x:v>
      </x:c>
      <x:c r="P66" s="10" t="n">
        <x:v>446</x:v>
      </x:c>
      <x:c r="Q66" s="9" t="n">
        <x:v>0.4866</x:v>
      </x:c>
      <x:c r="R66" s="9" t="n">
        <x:v>0.0164</x:v>
      </x:c>
      <x:c r="S66" s="9" t="n">
        <x:v>0.008</x:v>
      </x:c>
    </x:row>
    <x:row r="67" ht="90" customHeight="1">
      <x:c r="A67" s="2" t="str">
        <x:v>loaded tea packets</x:v>
      </x:c>
      <x:c r="B67" s="15" t="str">
        <x:v>loaded tea packets, cheap loaded tea packets, loaded tea packets cotton candy, cotton candy loaded tea packets, loaded tea powder, loaded tea supplies, unloaded tea, tea bombs packets, loaded tea kit, loaded green tea packets</x:v>
      </x:c>
      <x:c r="C67" s="10" t="n">
        <x:v>108</x:v>
      </x:c>
      <x:c r="D67" s="10" t="n">
        <x:v>383508</x:v>
      </x:c>
      <x:c r="E67" s="9" t="str">
        <x:v>'-0.0253</x:v>
      </x:c>
      <x:c r="F67" s="10" t="n">
        <x:v>16768688</x:v>
      </x:c>
      <x:c r="G67" s="10" t="n">
        <x:v>195679</x:v>
      </x:c>
      <x:c r="H67" s="9" t="str">
        <x:v>'-0.0232</x:v>
      </x:c>
      <x:c r="I67" s="9" t="n">
        <x:v>0.5102</x:v>
      </x:c>
      <x:c r="J67" s="9" t="n">
        <x:v>0.057</x:v>
      </x:c>
      <x:c r="K67" s="9" t="n">
        <x:v>0.0291</x:v>
      </x:c>
      <x:c r="L67" s="10" t="n">
        <x:v>11166</x:v>
      </x:c>
      <x:c r="M67" s="10" t="n">
        <x:v>128607</x:v>
      </x:c>
      <x:c r="N67" s="9" t="str">
        <x:v>'-0.0298</x:v>
      </x:c>
      <x:c r="O67" s="10" t="n">
        <x:v>106978</x:v>
      </x:c>
      <x:c r="P67" s="10" t="n">
        <x:v>15140</x:v>
      </x:c>
      <x:c r="Q67" s="9" t="n">
        <x:v>0.8318</x:v>
      </x:c>
      <x:c r="R67" s="9" t="n">
        <x:v>0.1415</x:v>
      </x:c>
      <x:c r="S67" s="9" t="n">
        <x:v>0.1177</x:v>
      </x:c>
    </x:row>
    <x:row r="68" ht="90" customHeight="1">
      <x:c r="A68" s="2" t="str">
        <x:v>kids movies free with prime</x:v>
      </x:c>
      <x:c r="B68" s="15" t="str">
        <x:v>kids movies free with prime, family movies, page, family movies that are free, free family movies, free movies on prime for kids, family comedy movies, kid movies that are free, three t, family movies free with prime</x:v>
      </x:c>
      <x:c r="C68" s="10" t="n">
        <x:v>99</x:v>
      </x:c>
      <x:c r="D68" s="10" t="n">
        <x:v>382747</x:v>
      </x:c>
      <x:c r="E68" s="9" t="n">
        <x:v>0.1084</x:v>
      </x:c>
      <x:c r="F68" s="10" t="n">
        <x:v>1582776</x:v>
      </x:c>
      <x:c r="G68" s="10" t="n">
        <x:v>26239</x:v>
      </x:c>
      <x:c r="H68" s="9" t="n">
        <x:v>7.8825</x:v>
      </x:c>
      <x:c r="I68" s="9" t="n">
        <x:v>0.0685</x:v>
      </x:c>
      <x:c r="J68" s="9" t="n">
        <x:v>0.0008</x:v>
      </x:c>
      <x:c r="K68" s="9" t="n">
        <x:v>0</x:v>
      </x:c>
      <x:c r="L68" s="10" t="n">
        <x:v>23</x:v>
      </x:c>
      <x:c r="M68" s="10" t="n">
        <x:v>33625</x:v>
      </x:c>
      <x:c r="N68" s="9" t="n">
        <x:v>0.0831</x:v>
      </x:c>
      <x:c r="O68" s="10" t="n">
        <x:v>13788</x:v>
      </x:c>
      <x:c r="P68" s="10" t="n">
        <x:v>19</x:v>
      </x:c>
      <x:c r="Q68" s="9" t="n">
        <x:v>0.41</x:v>
      </x:c>
      <x:c r="R68" s="9" t="n">
        <x:v>0.0013</x:v>
      </x:c>
      <x:c r="S68" s="9" t="n">
        <x:v>0.0005</x:v>
      </x:c>
    </x:row>
    <x:row r="69" ht="90" customHeight="1">
      <x:c r="A69" s="2" t="str">
        <x:v>registry</x:v>
      </x:c>
      <x:c r="B69" s="15" t="str">
        <x:v>registry, registry search by name, registry search, registry by name, my registry, find baby registry list by name, baby registry search name of mom, find a registry for baby, find a baby registry search name of mom, baby registry</x:v>
      </x:c>
      <x:c r="C69" s="10" t="n">
        <x:v>108</x:v>
      </x:c>
      <x:c r="D69" s="10" t="n">
        <x:v>380484</x:v>
      </x:c>
      <x:c r="E69" s="9" t="str">
        <x:v>'-0.0925</x:v>
      </x:c>
      <x:c r="F69" s="10" t="n">
        <x:v>10349935</x:v>
      </x:c>
      <x:c r="G69" s="10" t="n">
        <x:v>9559</x:v>
      </x:c>
      <x:c r="H69" s="9" t="n">
        <x:v>0.1203</x:v>
      </x:c>
      <x:c r="I69" s="9" t="n">
        <x:v>0.0251</x:v>
      </x:c>
      <x:c r="J69" s="9" t="n">
        <x:v>0.015</x:v>
      </x:c>
      <x:c r="K69" s="9" t="n">
        <x:v>0.0003</x:v>
      </x:c>
      <x:c r="L69" s="10" t="n">
        <x:v>144</x:v>
      </x:c>
      <x:c r="M69" s="10" t="n">
        <x:v>187644</x:v>
      </x:c>
      <x:c r="N69" s="9" t="str">
        <x:v>'-0.0926</x:v>
      </x:c>
      <x:c r="O69" s="10" t="n">
        <x:v>5596</x:v>
      </x:c>
      <x:c r="P69" s="10" t="n">
        <x:v>152</x:v>
      </x:c>
      <x:c r="Q69" s="9" t="n">
        <x:v>0.0298</x:v>
      </x:c>
      <x:c r="R69" s="9" t="n">
        <x:v>0.0271</x:v>
      </x:c>
      <x:c r="S69" s="9" t="n">
        <x:v>0.0008</x:v>
      </x:c>
    </x:row>
    <x:row r="70" ht="90" customHeight="1">
      <x:c r="A70" s="2" t="str">
        <x:v>mouth tape</x:v>
      </x:c>
      <x:c r="B70" s="15" t="str">
        <x:v>mouth tape, sleep tape, cpap mouth tape, mouth tape for sleep, mouth tape for cpap users, mouth tale, cpap mouth tape for sleeping, sleeping tape, mouth tape sleeping, sleep tape for mouth</x:v>
      </x:c>
      <x:c r="C70" s="10" t="n">
        <x:v>153</x:v>
      </x:c>
      <x:c r="D70" s="10" t="n">
        <x:v>375900</x:v>
      </x:c>
      <x:c r="E70" s="9" t="str">
        <x:v>'-0.0049</x:v>
      </x:c>
      <x:c r="F70" s="10" t="n">
        <x:v>11001145</x:v>
      </x:c>
      <x:c r="G70" s="10" t="n">
        <x:v>144538</x:v>
      </x:c>
      <x:c r="H70" s="9" t="str">
        <x:v>'-0.0269</x:v>
      </x:c>
      <x:c r="I70" s="9" t="n">
        <x:v>0.3845</x:v>
      </x:c>
      <x:c r="J70" s="9" t="n">
        <x:v>0.1621</x:v>
      </x:c>
      <x:c r="K70" s="9" t="n">
        <x:v>0.0623</x:v>
      </x:c>
      <x:c r="L70" s="10" t="n">
        <x:v>23434</x:v>
      </x:c>
      <x:c r="M70" s="10" t="n">
        <x:v>118003</x:v>
      </x:c>
      <x:c r="N70" s="9" t="str">
        <x:v>'-0.0276</x:v>
      </x:c>
      <x:c r="O70" s="10" t="n">
        <x:v>83419</x:v>
      </x:c>
      <x:c r="P70" s="10" t="n">
        <x:v>27340</x:v>
      </x:c>
      <x:c r="Q70" s="9" t="n">
        <x:v>0.7069</x:v>
      </x:c>
      <x:c r="R70" s="9" t="n">
        <x:v>0.3277</x:v>
      </x:c>
      <x:c r="S70" s="9" t="n">
        <x:v>0.2316</x:v>
      </x:c>
    </x:row>
    <x:row r="71" ht="71" customHeight="1">
      <x:c r="A71" s="2" t="str">
        <x:v>beads</x:v>
      </x:c>
      <x:c r="B71" s="15" t="str">
        <x:v>beads, shell beads, ocean beads, beaded, seashell beads, beach beads, shell beads for jewelry making, bead jewelry, hawaiian beads, shells for jewelry making</x:v>
      </x:c>
      <x:c r="C71" s="10" t="n">
        <x:v>168</x:v>
      </x:c>
      <x:c r="D71" s="10" t="n">
        <x:v>375483</x:v>
      </x:c>
      <x:c r="E71" s="9" t="str">
        <x:v>'-0.0289</x:v>
      </x:c>
      <x:c r="F71" s="10" t="n">
        <x:v>8412790</x:v>
      </x:c>
      <x:c r="G71" s="10" t="n">
        <x:v>143979</x:v>
      </x:c>
      <x:c r="H71" s="9" t="str">
        <x:v>'-0.0744</x:v>
      </x:c>
      <x:c r="I71" s="9" t="n">
        <x:v>0.3834</x:v>
      </x:c>
      <x:c r="J71" s="9" t="n">
        <x:v>0.0521</x:v>
      </x:c>
      <x:c r="K71" s="9" t="n">
        <x:v>0.02</x:v>
      </x:c>
      <x:c r="L71" s="10" t="n">
        <x:v>7513</x:v>
      </x:c>
      <x:c r="M71" s="10" t="n">
        <x:v>57129</x:v>
      </x:c>
      <x:c r="N71" s="9" t="str">
        <x:v>'-0.0067</x:v>
      </x:c>
      <x:c r="O71" s="10" t="n">
        <x:v>43027</x:v>
      </x:c>
      <x:c r="P71" s="10" t="n">
        <x:v>7608</x:v>
      </x:c>
      <x:c r="Q71" s="9" t="n">
        <x:v>0.7531</x:v>
      </x:c>
      <x:c r="R71" s="9" t="n">
        <x:v>0.1768</x:v>
      </x:c>
      <x:c r="S71" s="9" t="n">
        <x:v>0.1331</x:v>
      </x:c>
    </x:row>
    <x:row r="72" ht="90" customHeight="1">
      <x:c r="A72" s="2" t="str">
        <x:v>puppy pads</x:v>
      </x:c>
      <x:c r="B72" s="15" t="str">
        <x:v>puppy pads, pee pads, puppy pad, pee mats for dogs, tapete para perros orinar y popo, tapetes para perros para orinar, dog pee mats, puppy pads for crate, waterproof pad for dogs, round puppy pads</x:v>
      </x:c>
      <x:c r="C72" s="10" t="n">
        <x:v>58</x:v>
      </x:c>
      <x:c r="D72" s="10" t="n">
        <x:v>374405</x:v>
      </x:c>
      <x:c r="E72" s="9" t="n">
        <x:v>0.0266</x:v>
      </x:c>
      <x:c r="F72" s="10" t="n">
        <x:v>16804225</x:v>
      </x:c>
      <x:c r="G72" s="10" t="n">
        <x:v>205721</x:v>
      </x:c>
      <x:c r="H72" s="9" t="str">
        <x:v>'-0.0072</x:v>
      </x:c>
      <x:c r="I72" s="9" t="n">
        <x:v>0.5494</x:v>
      </x:c>
      <x:c r="J72" s="9" t="n">
        <x:v>0.236</x:v>
      </x:c>
      <x:c r="K72" s="9" t="n">
        <x:v>0.1296</x:v>
      </x:c>
      <x:c r="L72" s="10" t="n">
        <x:v>48551</x:v>
      </x:c>
      <x:c r="M72" s="10" t="n">
        <x:v>152400</x:v>
      </x:c>
      <x:c r="N72" s="9" t="n">
        <x:v>0.0181</x:v>
      </x:c>
      <x:c r="O72" s="10" t="n">
        <x:v>130116</x:v>
      </x:c>
      <x:c r="P72" s="10" t="n">
        <x:v>64625</x:v>
      </x:c>
      <x:c r="Q72" s="9" t="n">
        <x:v>0.8537</x:v>
      </x:c>
      <x:c r="R72" s="9" t="n">
        <x:v>0.4966</x:v>
      </x:c>
      <x:c r="S72" s="9" t="n">
        <x:v>0.424</x:v>
      </x:c>
    </x:row>
    <x:row r="73" ht="71" customHeight="1">
      <x:c r="A73" s="2" t="str">
        <x:v>diet coke</x:v>
      </x:c>
      <x:c r="B73" s="15" t="str">
        <x:v>diet coke, diet coke cans, diet coke bottles, coke diet, cans of diet coke, diet cokes, bottles of diet coke, diet coke can, diet coke bottle, glass bottle diet coke</x:v>
      </x:c>
      <x:c r="C73" s="10" t="n">
        <x:v>135</x:v>
      </x:c>
      <x:c r="D73" s="10" t="n">
        <x:v>369131</x:v>
      </x:c>
      <x:c r="E73" s="9" t="n">
        <x:v>0.0163</x:v>
      </x:c>
      <x:c r="F73" s="10" t="n">
        <x:v>11339153</x:v>
      </x:c>
      <x:c r="G73" s="10" t="n">
        <x:v>151946</x:v>
      </x:c>
      <x:c r="H73" s="9" t="str">
        <x:v>'-0.0002</x:v>
      </x:c>
      <x:c r="I73" s="9" t="n">
        <x:v>0.4116</x:v>
      </x:c>
      <x:c r="J73" s="9" t="n">
        <x:v>0.3458</x:v>
      </x:c>
      <x:c r="K73" s="9" t="n">
        <x:v>0.1423</x:v>
      </x:c>
      <x:c r="L73" s="10" t="n">
        <x:v>52555</x:v>
      </x:c>
      <x:c r="M73" s="10" t="n">
        <x:v>144519</x:v>
      </x:c>
      <x:c r="N73" s="9" t="n">
        <x:v>0.0212</x:v>
      </x:c>
      <x:c r="O73" s="10" t="n">
        <x:v>112389</x:v>
      </x:c>
      <x:c r="P73" s="10" t="n">
        <x:v>48426</x:v>
      </x:c>
      <x:c r="Q73" s="9" t="n">
        <x:v>0.7776</x:v>
      </x:c>
      <x:c r="R73" s="9" t="n">
        <x:v>0.4308</x:v>
      </x:c>
      <x:c r="S73" s="9" t="n">
        <x:v>0.335</x:v>
      </x:c>
    </x:row>
    <x:row r="74" ht="90" customHeight="1">
      <x:c r="A74" s="2" t="str">
        <x:v>the odyssey</x:v>
      </x:c>
      <x:c r="B74" s="15" t="str">
        <x:v>the odyssey, the odyssey book, the odyssey hardcover, the odyssey penguin classics, the oddyssey, the odyssey original book, the odyssey paperback, the odyssey illustrated edition, the odyssey penguin, book the odyssey</x:v>
      </x:c>
      <x:c r="C74" s="10" t="n">
        <x:v>97</x:v>
      </x:c>
      <x:c r="D74" s="10" t="n">
        <x:v>368965</x:v>
      </x:c>
      <x:c r="E74" s="9" t="str">
        <x:v>'-0.4119</x:v>
      </x:c>
      <x:c r="F74" s="10" t="n">
        <x:v>6717555</x:v>
      </x:c>
      <x:c r="G74" s="10" t="n">
        <x:v>80595</x:v>
      </x:c>
      <x:c r="H74" s="9" t="str">
        <x:v>'-0.2499</x:v>
      </x:c>
      <x:c r="I74" s="9" t="n">
        <x:v>0.2184</x:v>
      </x:c>
      <x:c r="J74" s="9" t="n">
        <x:v>0.0437</x:v>
      </x:c>
      <x:c r="K74" s="9" t="n">
        <x:v>0.0095</x:v>
      </x:c>
      <x:c r="L74" s="10" t="n">
        <x:v>3527</x:v>
      </x:c>
      <x:c r="M74" s="10" t="n">
        <x:v>126224</x:v>
      </x:c>
      <x:c r="N74" s="9" t="str">
        <x:v>'-0.3832</x:v>
      </x:c>
      <x:c r="O74" s="10" t="n">
        <x:v>84631</x:v>
      </x:c>
      <x:c r="P74" s="10" t="n">
        <x:v>8648</x:v>
      </x:c>
      <x:c r="Q74" s="9" t="n">
        <x:v>0.6704</x:v>
      </x:c>
      <x:c r="R74" s="9" t="n">
        <x:v>0.1021</x:v>
      </x:c>
      <x:c r="S74" s="9" t="n">
        <x:v>0.0685</x:v>
      </x:c>
    </x:row>
    <x:row r="75" ht="109" customHeight="1">
      <x:c r="A75" s="2" t="str">
        <x:v>air compressor</x:v>
      </x:c>
      <x:c r="B75" s="15" t="str">
        <x:v>air compressor, ac compressor, ac compressor for car, a/c compressor, compresor de aire acondicionado, compresor ac, compresor de aire acondicionado para carro, compresor de aire para carro a/c, air conditioner compressor, air conditioner compressor for car</x:v>
      </x:c>
      <x:c r="C75" s="10" t="n">
        <x:v>160</x:v>
      </x:c>
      <x:c r="D75" s="10" t="n">
        <x:v>365749</x:v>
      </x:c>
      <x:c r="E75" s="9" t="str">
        <x:v>'-0.1196</x:v>
      </x:c>
      <x:c r="F75" s="10" t="n">
        <x:v>9218636</x:v>
      </x:c>
      <x:c r="G75" s="10" t="n">
        <x:v>109572</x:v>
      </x:c>
      <x:c r="H75" s="9" t="str">
        <x:v>'-0.1172</x:v>
      </x:c>
      <x:c r="I75" s="9" t="n">
        <x:v>0.2995</x:v>
      </x:c>
      <x:c r="J75" s="9" t="n">
        <x:v>0.0479</x:v>
      </x:c>
      <x:c r="K75" s="9" t="n">
        <x:v>0.0143</x:v>
      </x:c>
      <x:c r="L75" s="10" t="n">
        <x:v>5251</x:v>
      </x:c>
      <x:c r="M75" s="10" t="n">
        <x:v>75800</x:v>
      </x:c>
      <x:c r="N75" s="9" t="str">
        <x:v>'-0.1101</x:v>
      </x:c>
      <x:c r="O75" s="10" t="n">
        <x:v>47405</x:v>
      </x:c>
      <x:c r="P75" s="10" t="n">
        <x:v>6638</x:v>
      </x:c>
      <x:c r="Q75" s="9" t="n">
        <x:v>0.6253</x:v>
      </x:c>
      <x:c r="R75" s="9" t="n">
        <x:v>0.14</x:v>
      </x:c>
      <x:c r="S75" s="9" t="n">
        <x:v>0.0875</x:v>
      </x:c>
    </x:row>
    <x:row r="76" ht="109" customHeight="1">
      <x:c r="A76" s="2" t="str">
        <x:v>dolly parton wig</x:v>
      </x:c>
      <x:c r="B76" s="15" t="str">
        <x:v>dolly parton wig, dolly parton wigs for women, dolly parton wigs, blonde dolly parton wig, dolly parton wig kids, kids dolly parton wig, dolly parton wig costume, dolly parton costume wigs, blonde wig dolly parton, big blonde wig dolly parton</x:v>
      </x:c>
      <x:c r="C76" s="10" t="n">
        <x:v>101</x:v>
      </x:c>
      <x:c r="D76" s="10" t="n">
        <x:v>362491</x:v>
      </x:c>
      <x:c r="E76" s="9" t="n">
        <x:v>49.6555</x:v>
      </x:c>
      <x:c r="F76" s="10" t="n">
        <x:v>4280181</x:v>
      </x:c>
      <x:c r="G76" s="10" t="n">
        <x:v>147808</x:v>
      </x:c>
      <x:c r="H76" s="9" t="n">
        <x:v>49.898</x:v>
      </x:c>
      <x:c r="I76" s="9" t="n">
        <x:v>0.4077</x:v>
      </x:c>
      <x:c r="J76" s="9" t="n">
        <x:v>0.0974</x:v>
      </x:c>
      <x:c r="K76" s="9" t="n">
        <x:v>0.0397</x:v>
      </x:c>
      <x:c r="L76" s="10" t="n">
        <x:v>14406</x:v>
      </x:c>
      <x:c r="M76" s="10" t="n">
        <x:v>36440</x:v>
      </x:c>
      <x:c r="N76" s="9" t="n">
        <x:v>42.8192</x:v>
      </x:c>
      <x:c r="O76" s="10" t="n">
        <x:v>24597</x:v>
      </x:c>
      <x:c r="P76" s="10" t="n">
        <x:v>4851</x:v>
      </x:c>
      <x:c r="Q76" s="9" t="n">
        <x:v>0.675</x:v>
      </x:c>
      <x:c r="R76" s="9" t="n">
        <x:v>0.1972</x:v>
      </x:c>
      <x:c r="S76" s="9" t="n">
        <x:v>0.1331</x:v>
      </x:c>
    </x:row>
    <x:row r="77" ht="109" customHeight="1">
      <x:c r="A77" s="2" t="str">
        <x:v>ballet flats for women</x:v>
      </x:c>
      <x:c r="B77" s="15" t="str">
        <x:v>ballet flats for women, womens ballet flats, ballerina flats for women, womens ballet flats square toe, bailarinas shoes women, women ballet flats, ballet flats women, ballerina shoes for women, baletas para mujer, square toe ballet flats for women</x:v>
      </x:c>
      <x:c r="C77" s="10" t="n">
        <x:v>136</x:v>
      </x:c>
      <x:c r="D77" s="10" t="n">
        <x:v>361375</x:v>
      </x:c>
      <x:c r="E77" s="9" t="n">
        <x:v>0.2797</x:v>
      </x:c>
      <x:c r="F77" s="10" t="n">
        <x:v>10677507</x:v>
      </x:c>
      <x:c r="G77" s="10" t="n">
        <x:v>97450</x:v>
      </x:c>
      <x:c r="H77" s="9" t="n">
        <x:v>0.3377</x:v>
      </x:c>
      <x:c r="I77" s="9" t="n">
        <x:v>0.2696</x:v>
      </x:c>
      <x:c r="J77" s="9" t="n">
        <x:v>0.0082</x:v>
      </x:c>
      <x:c r="K77" s="9" t="n">
        <x:v>0.0022</x:v>
      </x:c>
      <x:c r="L77" s="10" t="n">
        <x:v>802</x:v>
      </x:c>
      <x:c r="M77" s="10" t="n">
        <x:v>60202</x:v>
      </x:c>
      <x:c r="N77" s="9" t="n">
        <x:v>0.2651</x:v>
      </x:c>
      <x:c r="O77" s="10" t="n">
        <x:v>47855</x:v>
      </x:c>
      <x:c r="P77" s="10" t="n">
        <x:v>5520</x:v>
      </x:c>
      <x:c r="Q77" s="9" t="n">
        <x:v>0.7949</x:v>
      </x:c>
      <x:c r="R77" s="9" t="n">
        <x:v>0.1153</x:v>
      </x:c>
      <x:c r="S77" s="9" t="n">
        <x:v>0.0916</x:v>
      </x:c>
    </x:row>
    <x:row r="78" ht="71" customHeight="1">
      <x:c r="A78" s="2" t="str">
        <x:v>electric dirt bike</x:v>
      </x:c>
      <x:c r="B78" s="15" t="str">
        <x:v>electric dirt bike, dirtbike, electric dirt bikes, motorbike, electric dirt bikes for teens, motor bike, electric mini bikes, motocicleta, electric dirtbikes, dirt bike for teens</x:v>
      </x:c>
      <x:c r="C78" s="10" t="n">
        <x:v>101</x:v>
      </x:c>
      <x:c r="D78" s="10" t="n">
        <x:v>356360</x:v>
      </x:c>
      <x:c r="E78" s="9" t="str">
        <x:v>'-0.1187</x:v>
      </x:c>
      <x:c r="F78" s="10" t="n">
        <x:v>4770020</x:v>
      </x:c>
      <x:c r="G78" s="10" t="n">
        <x:v>134006</x:v>
      </x:c>
      <x:c r="H78" s="9" t="str">
        <x:v>'-0.0908</x:v>
      </x:c>
      <x:c r="I78" s="9" t="n">
        <x:v>0.376</x:v>
      </x:c>
      <x:c r="J78" s="9" t="n">
        <x:v>0.0019</x:v>
      </x:c>
      <x:c r="K78" s="9" t="n">
        <x:v>0.0007</x:v>
      </x:c>
      <x:c r="L78" s="10" t="n">
        <x:v>268</x:v>
      </x:c>
      <x:c r="M78" s="10" t="n">
        <x:v>39365</x:v>
      </x:c>
      <x:c r="N78" s="9" t="str">
        <x:v>'-0.1239</x:v>
      </x:c>
      <x:c r="O78" s="10" t="n">
        <x:v>27920</x:v>
      </x:c>
      <x:c r="P78" s="10" t="n">
        <x:v>329</x:v>
      </x:c>
      <x:c r="Q78" s="9" t="n">
        <x:v>0.7092</x:v>
      </x:c>
      <x:c r="R78" s="9" t="n">
        <x:v>0.0117</x:v>
      </x:c>
      <x:c r="S78" s="9" t="n">
        <x:v>0.0083</x:v>
      </x:c>
    </x:row>
    <x:row r="79" ht="90" customHeight="1">
      <x:c r="A79" s="2" t="str">
        <x:v>torque wrench</x:v>
      </x:c>
      <x:c r="B79" s="15" t="str">
        <x:v>torque wrench, torque wrenches, torque wrench digital, torquimetro, bike torque wrench set, torquimetro digital, click type torque wrench, torque wrench bike, llave de torque, llave dinamométrica</x:v>
      </x:c>
      <x:c r="C79" s="10" t="n">
        <x:v>155</x:v>
      </x:c>
      <x:c r="D79" s="10" t="n">
        <x:v>355543</x:v>
      </x:c>
      <x:c r="E79" s="9" t="n">
        <x:v>0.1551</x:v>
      </x:c>
      <x:c r="F79" s="10" t="n">
        <x:v>8760089</x:v>
      </x:c>
      <x:c r="G79" s="10" t="n">
        <x:v>115148</x:v>
      </x:c>
      <x:c r="H79" s="9" t="n">
        <x:v>0.0435</x:v>
      </x:c>
      <x:c r="I79" s="9" t="n">
        <x:v>0.3238</x:v>
      </x:c>
      <x:c r="J79" s="9" t="n">
        <x:v>0.0796</x:v>
      </x:c>
      <x:c r="K79" s="9" t="n">
        <x:v>0.0257</x:v>
      </x:c>
      <x:c r="L79" s="10" t="n">
        <x:v>9171</x:v>
      </x:c>
      <x:c r="M79" s="10" t="n">
        <x:v>78558</x:v>
      </x:c>
      <x:c r="N79" s="9" t="n">
        <x:v>0.2859</x:v>
      </x:c>
      <x:c r="O79" s="10" t="n">
        <x:v>53901</x:v>
      </x:c>
      <x:c r="P79" s="10" t="n">
        <x:v>11577</x:v>
      </x:c>
      <x:c r="Q79" s="9" t="n">
        <x:v>0.6861</x:v>
      </x:c>
      <x:c r="R79" s="9" t="n">
        <x:v>0.2147</x:v>
      </x:c>
      <x:c r="S79" s="9" t="n">
        <x:v>0.1473</x:v>
      </x:c>
    </x:row>
    <x:row r="80" ht="90" customHeight="1">
      <x:c r="A80" s="2" t="str">
        <x:v>gifts for mom</x:v>
      </x:c>
      <x:c r="B80" s="15" t="str">
        <x:v>gifts for mom, mom gifts, mom gift, christmas gifts for mom, regalos personalizados para hombre, wedding presents for newlyweds, presents for mom, for mom, birthday presents for mom, present for mom</x:v>
      </x:c>
      <x:c r="C80" s="10" t="n">
        <x:v>169</x:v>
      </x:c>
      <x:c r="D80" s="10" t="n">
        <x:v>355527</x:v>
      </x:c>
      <x:c r="E80" s="9" t="n">
        <x:v>0.1294</x:v>
      </x:c>
      <x:c r="F80" s="10" t="n">
        <x:v>7651311</x:v>
      </x:c>
      <x:c r="G80" s="10" t="n">
        <x:v>78044</x:v>
      </x:c>
      <x:c r="H80" s="9" t="n">
        <x:v>0.1342</x:v>
      </x:c>
      <x:c r="I80" s="9" t="n">
        <x:v>0.2195</x:v>
      </x:c>
      <x:c r="J80" s="9" t="n">
        <x:v>0.0888</x:v>
      </x:c>
      <x:c r="K80" s="9" t="n">
        <x:v>0.0195</x:v>
      </x:c>
      <x:c r="L80" s="10" t="n">
        <x:v>6933</x:v>
      </x:c>
      <x:c r="M80" s="10" t="n">
        <x:v>45372</x:v>
      </x:c>
      <x:c r="N80" s="9" t="n">
        <x:v>0.1143</x:v>
      </x:c>
      <x:c r="O80" s="10" t="n">
        <x:v>29673</x:v>
      </x:c>
      <x:c r="P80" s="10" t="n">
        <x:v>6440</x:v>
      </x:c>
      <x:c r="Q80" s="9" t="n">
        <x:v>0.6539</x:v>
      </x:c>
      <x:c r="R80" s="9" t="n">
        <x:v>0.217</x:v>
      </x:c>
      <x:c r="S80" s="9" t="n">
        <x:v>0.1419</x:v>
      </x:c>
    </x:row>
    <x:row r="81" ht="90" customHeight="1">
      <x:c r="A81" s="2" t="str">
        <x:v>frozen fruit</x:v>
      </x:c>
      <x:c r="B81" s="15" t="str">
        <x:v>frozen fruit, frozen strawberries, frozen bananas, frozen fruits, frozen strawberries and bananas, frozen banana, organic frozen strawberries, strawberries frozen, fruit frozen, frozen berry mix</x:v>
      </x:c>
      <x:c r="C81" s="10" t="n">
        <x:v>169</x:v>
      </x:c>
      <x:c r="D81" s="10" t="n">
        <x:v>352168</x:v>
      </x:c>
      <x:c r="E81" s="9" t="n">
        <x:v>0.1025</x:v>
      </x:c>
      <x:c r="F81" s="10" t="n">
        <x:v>7840464</x:v>
      </x:c>
      <x:c r="G81" s="10" t="n">
        <x:v>155355</x:v>
      </x:c>
      <x:c r="H81" s="9" t="str">
        <x:v>'-0.0271</x:v>
      </x:c>
      <x:c r="I81" s="9" t="n">
        <x:v>0.4411</x:v>
      </x:c>
      <x:c r="J81" s="9" t="n">
        <x:v>0.379</x:v>
      </x:c>
      <x:c r="K81" s="9" t="n">
        <x:v>0.1672</x:v>
      </x:c>
      <x:c r="L81" s="10" t="n">
        <x:v>58887</x:v>
      </x:c>
      <x:c r="M81" s="10" t="n">
        <x:v>106035</x:v>
      </x:c>
      <x:c r="N81" s="9" t="n">
        <x:v>0.0592</x:v>
      </x:c>
      <x:c r="O81" s="10" t="n">
        <x:v>91707</x:v>
      </x:c>
      <x:c r="P81" s="10" t="n">
        <x:v>48261</x:v>
      </x:c>
      <x:c r="Q81" s="9" t="n">
        <x:v>0.8648</x:v>
      </x:c>
      <x:c r="R81" s="9" t="n">
        <x:v>0.5262</x:v>
      </x:c>
      <x:c r="S81" s="9" t="n">
        <x:v>0.4551</x:v>
      </x:c>
    </x:row>
    <x:row r="82" ht="71" customHeight="1">
      <x:c r="A82" s="2" t="str">
        <x:v>cheese slices</x:v>
      </x:c>
      <x:c r="B82" s="15" t="str">
        <x:v>cheese slices, sliced cheese, cheddar cheese slices, sliced, slice cheese, sliced cheddar cheese, sandwich cheese, cheese sliced, sliced cheese slices, cheddar slices</x:v>
      </x:c>
      <x:c r="C82" s="10" t="n">
        <x:v>131</x:v>
      </x:c>
      <x:c r="D82" s="10" t="n">
        <x:v>350163</x:v>
      </x:c>
      <x:c r="E82" s="9" t="n">
        <x:v>0.1425</x:v>
      </x:c>
      <x:c r="F82" s="10" t="n">
        <x:v>7819687</x:v>
      </x:c>
      <x:c r="G82" s="10" t="n">
        <x:v>170263</x:v>
      </x:c>
      <x:c r="H82" s="9" t="n">
        <x:v>0.0403</x:v>
      </x:c>
      <x:c r="I82" s="9" t="n">
        <x:v>0.4862</x:v>
      </x:c>
      <x:c r="J82" s="9" t="n">
        <x:v>0.5086</x:v>
      </x:c>
      <x:c r="K82" s="9" t="n">
        <x:v>0.2473</x:v>
      </x:c>
      <x:c r="L82" s="10" t="n">
        <x:v>86596</x:v>
      </x:c>
      <x:c r="M82" s="10" t="n">
        <x:v>130610</x:v>
      </x:c>
      <x:c r="N82" s="9" t="n">
        <x:v>0.1162</x:v>
      </x:c>
      <x:c r="O82" s="10" t="n">
        <x:v>122468</x:v>
      </x:c>
      <x:c r="P82" s="10" t="n">
        <x:v>76472</x:v>
      </x:c>
      <x:c r="Q82" s="9" t="n">
        <x:v>0.9376</x:v>
      </x:c>
      <x:c r="R82" s="9" t="n">
        <x:v>0.6244</x:v>
      </x:c>
      <x:c r="S82" s="9" t="n">
        <x:v>0.5854</x:v>
      </x:c>
    </x:row>
    <x:row r="83" ht="109" customHeight="1">
      <x:c r="A83" s="2" t="str">
        <x:v>barefoot shoes women</x:v>
      </x:c>
      <x:c r="B83" s="15" t="str">
        <x:v>barefoot shoes women, bare foot shoes for women, barefoot hiking shoes women, hiking water shoes women, kolili water shoes women, water tennis shoes for women, fishing shoes for women, womens thin sole barefoot shoes, glove shoes women, barefoot workout shoes women</x:v>
      </x:c>
      <x:c r="C83" s="10" t="n">
        <x:v>152</x:v>
      </x:c>
      <x:c r="D83" s="10" t="n">
        <x:v>347299</x:v>
      </x:c>
      <x:c r="E83" s="9" t="str">
        <x:v>'-0.0935</x:v>
      </x:c>
      <x:c r="F83" s="10" t="n">
        <x:v>14209935</x:v>
      </x:c>
      <x:c r="G83" s="10" t="n">
        <x:v>155223</x:v>
      </x:c>
      <x:c r="H83" s="9" t="str">
        <x:v>'-0.0661</x:v>
      </x:c>
      <x:c r="I83" s="9" t="n">
        <x:v>0.4469</x:v>
      </x:c>
      <x:c r="J83" s="9" t="n">
        <x:v>0.0073</x:v>
      </x:c>
      <x:c r="K83" s="9" t="n">
        <x:v>0.0032</x:v>
      </x:c>
      <x:c r="L83" s="10" t="n">
        <x:v>1144</x:v>
      </x:c>
      <x:c r="M83" s="10" t="n">
        <x:v>90822</x:v>
      </x:c>
      <x:c r="N83" s="9" t="str">
        <x:v>'-0.1282</x:v>
      </x:c>
      <x:c r="O83" s="10" t="n">
        <x:v>74098</x:v>
      </x:c>
      <x:c r="P83" s="10" t="n">
        <x:v>11453</x:v>
      </x:c>
      <x:c r="Q83" s="9" t="n">
        <x:v>0.8158</x:v>
      </x:c>
      <x:c r="R83" s="9" t="n">
        <x:v>0.1545</x:v>
      </x:c>
      <x:c r="S83" s="9" t="n">
        <x:v>0.1261</x:v>
      </x:c>
    </x:row>
    <x:row r="84" ht="109" customHeight="1">
      <x:c r="A84" s="2" t="str">
        <x:v>dolly parton book</x:v>
      </x:c>
      <x:c r="B84" s="15" t="str">
        <x:v>dolly parton book, dolly parton books, dolly parton autobiography, dolly parton biography, dolly parton memoir, books by dolly parton, dolly parton book biography, books written by dolly parton, dolly parton biography book, dolly parton autobiography book</x:v>
      </x:c>
      <x:c r="C84" s="10" t="n">
        <x:v>135</x:v>
      </x:c>
      <x:c r="D84" s="10" t="n">
        <x:v>345931</x:v>
      </x:c>
      <x:c r="E84" s="9" t="n">
        <x:v>95.3596</x:v>
      </x:c>
      <x:c r="F84" s="10" t="n">
        <x:v>5874970</x:v>
      </x:c>
      <x:c r="G84" s="10" t="n">
        <x:v>190380</x:v>
      </x:c>
      <x:c r="H84" s="9" t="n">
        <x:v>104.2986</x:v>
      </x:c>
      <x:c r="I84" s="9" t="n">
        <x:v>0.5503</x:v>
      </x:c>
      <x:c r="J84" s="9" t="n">
        <x:v>0.0941</x:v>
      </x:c>
      <x:c r="K84" s="9" t="n">
        <x:v>0.0518</x:v>
      </x:c>
      <x:c r="L84" s="10" t="n">
        <x:v>17930</x:v>
      </x:c>
      <x:c r="M84" s="10" t="n">
        <x:v>83140</x:v>
      </x:c>
      <x:c r="N84" s="9" t="n">
        <x:v>78.2847</x:v>
      </x:c>
      <x:c r="O84" s="10" t="n">
        <x:v>63097</x:v>
      </x:c>
      <x:c r="P84" s="10" t="n">
        <x:v>11646</x:v>
      </x:c>
      <x:c r="Q84" s="9" t="n">
        <x:v>0.7589</x:v>
      </x:c>
      <x:c r="R84" s="9" t="n">
        <x:v>0.1845</x:v>
      </x:c>
      <x:c r="S84" s="9" t="n">
        <x:v>0.14</x:v>
      </x:c>
    </x:row>
    <x:row r="85" ht="90" customHeight="1">
      <x:c r="A85" s="2" t="str">
        <x:v>fall sweaters for women</x:v>
      </x:c>
      <x:c r="B85" s="15" t="str">
        <x:v>fall sweaters for women, womens fall sweaters, women sweaters clearance sale, womans sweaters, womens pink sweater, woman sweaters clearance sale, sweaters for leggings for women, ladies winter sweaters, cheap sweaters, clearance sweaters</x:v>
      </x:c>
      <x:c r="C85" s="10" t="n">
        <x:v>129</x:v>
      </x:c>
      <x:c r="D85" s="10" t="n">
        <x:v>342544</x:v>
      </x:c>
      <x:c r="E85" s="9" t="n">
        <x:v>2.1354</x:v>
      </x:c>
      <x:c r="F85" s="10" t="n">
        <x:v>5533943</x:v>
      </x:c>
      <x:c r="G85" s="10" t="n">
        <x:v>102895</x:v>
      </x:c>
      <x:c r="H85" s="9" t="n">
        <x:v>2.1453</x:v>
      </x:c>
      <x:c r="I85" s="9" t="n">
        <x:v>0.3003</x:v>
      </x:c>
      <x:c r="J85" s="9" t="n">
        <x:v>0.0125</x:v>
      </x:c>
      <x:c r="K85" s="9" t="n">
        <x:v>0.0037</x:v>
      </x:c>
      <x:c r="L85" s="10" t="n">
        <x:v>1292</x:v>
      </x:c>
      <x:c r="M85" s="10" t="n">
        <x:v>26349</x:v>
      </x:c>
      <x:c r="N85" s="9" t="n">
        <x:v>2.0322</x:v>
      </x:c>
      <x:c r="O85" s="10" t="n">
        <x:v>20759</x:v>
      </x:c>
      <x:c r="P85" s="10" t="n">
        <x:v>1976</x:v>
      </x:c>
      <x:c r="Q85" s="9" t="n">
        <x:v>0.7878</x:v>
      </x:c>
      <x:c r="R85" s="9" t="n">
        <x:v>0.0951</x:v>
      </x:c>
      <x:c r="S85" s="9" t="n">
        <x:v>0.0749</x:v>
      </x:c>
    </x:row>
    <x:row r="86" ht="90" customHeight="1">
      <x:c r="A86" s="2" t="str">
        <x:v>glasses</x:v>
      </x:c>
      <x:c r="B86" s="15" t="str">
        <x:v>glasses, lentes, glasses prescription, espejuelos, fake reading glasses, anteojos, lentes para ver de lejos y cerca, vision glasses, comfortable lightweight glasses all day wear, -1 glasses</x:v>
      </x:c>
      <x:c r="C86" s="10" t="n">
        <x:v>102</x:v>
      </x:c>
      <x:c r="D86" s="10" t="n">
        <x:v>342079</x:v>
      </x:c>
      <x:c r="E86" s="9" t="n">
        <x:v>0.0075</x:v>
      </x:c>
      <x:c r="F86" s="10" t="n">
        <x:v>6534033</x:v>
      </x:c>
      <x:c r="G86" s="10" t="n">
        <x:v>81065</x:v>
      </x:c>
      <x:c r="H86" s="9" t="str">
        <x:v>'-0.0423</x:v>
      </x:c>
      <x:c r="I86" s="9" t="n">
        <x:v>0.2369</x:v>
      </x:c>
      <x:c r="J86" s="9" t="n">
        <x:v>0.0756</x:v>
      </x:c>
      <x:c r="K86" s="9" t="n">
        <x:v>0.0179</x:v>
      </x:c>
      <x:c r="L86" s="10" t="n">
        <x:v>6133</x:v>
      </x:c>
      <x:c r="M86" s="10" t="n">
        <x:v>71235</x:v>
      </x:c>
      <x:c r="N86" s="9" t="n">
        <x:v>0.0039</x:v>
      </x:c>
      <x:c r="O86" s="10" t="n">
        <x:v>38277</x:v>
      </x:c>
      <x:c r="P86" s="10" t="n">
        <x:v>8990</x:v>
      </x:c>
      <x:c r="Q86" s="9" t="n">
        <x:v>0.5373</x:v>
      </x:c>
      <x:c r="R86" s="9" t="n">
        <x:v>0.2348</x:v>
      </x:c>
      <x:c r="S86" s="9" t="n">
        <x:v>0.1262</x:v>
      </x:c>
    </x:row>
    <x:row r="87" ht="71" customHeight="1">
      <x:c r="A87" s="2" t="str">
        <x:v>coffee bar</x:v>
      </x:c>
      <x:c r="B87" s="15" t="str">
        <x:v>coffee bar, coffee bars, bar cart cabinet, espresso bar, cafe bar, bar cart with doors, coffee corner table, bar cart table, coffee and bar cabinet, bar coffee</x:v>
      </x:c>
      <x:c r="C87" s="10" t="n">
        <x:v>100</x:v>
      </x:c>
      <x:c r="D87" s="10" t="n">
        <x:v>339738</x:v>
      </x:c>
      <x:c r="E87" s="9" t="str">
        <x:v>'-0.037</x:v>
      </x:c>
      <x:c r="F87" s="10" t="n">
        <x:v>8786326</x:v>
      </x:c>
      <x:c r="G87" s="10" t="n">
        <x:v>113163</x:v>
      </x:c>
      <x:c r="H87" s="9" t="str">
        <x:v>'-0.0266</x:v>
      </x:c>
      <x:c r="I87" s="9" t="n">
        <x:v>0.333</x:v>
      </x:c>
      <x:c r="J87" s="9" t="n">
        <x:v>0.0115</x:v>
      </x:c>
      <x:c r="K87" s="9" t="n">
        <x:v>0.0038</x:v>
      </x:c>
      <x:c r="L87" s="10" t="n">
        <x:v>1307</x:v>
      </x:c>
      <x:c r="M87" s="10" t="n">
        <x:v>69184</x:v>
      </x:c>
      <x:c r="N87" s="9" t="str">
        <x:v>'-0.0393</x:v>
      </x:c>
      <x:c r="O87" s="10" t="n">
        <x:v>47453</x:v>
      </x:c>
      <x:c r="P87" s="10" t="n">
        <x:v>1780</x:v>
      </x:c>
      <x:c r="Q87" s="9" t="n">
        <x:v>0.6858</x:v>
      </x:c>
      <x:c r="R87" s="9" t="n">
        <x:v>0.0375</x:v>
      </x:c>
      <x:c r="S87" s="9" t="n">
        <x:v>0.0257</x:v>
      </x:c>
    </x:row>
    <x:row r="88" ht="109" customHeight="1">
      <x:c r="A88" s="2" t="str">
        <x:v>adult halloween costumes</x:v>
      </x:c>
      <x:c r="B88" s="15" t="str">
        <x:v>adult halloween costumes, halloween costumes for adults, 2026 womens halloween costumes, pumpkin halloween costume, vampire costumes, vampire halloween costume, disfraz para halloween, high end halloween costume, halloween costumes for adult, classic adult halloween costumes</x:v>
      </x:c>
      <x:c r="C88" s="10" t="n">
        <x:v>61</x:v>
      </x:c>
      <x:c r="D88" s="10" t="n">
        <x:v>337585</x:v>
      </x:c>
      <x:c r="E88" s="9" t="n">
        <x:v>2.3149</x:v>
      </x:c>
      <x:c r="F88" s="10" t="n">
        <x:v>3885037</x:v>
      </x:c>
      <x:c r="G88" s="10" t="n">
        <x:v>77851</x:v>
      </x:c>
      <x:c r="H88" s="9" t="n">
        <x:v>2.548</x:v>
      </x:c>
      <x:c r="I88" s="9" t="n">
        <x:v>0.2306</x:v>
      </x:c>
      <x:c r="J88" s="9" t="n">
        <x:v>0.0088</x:v>
      </x:c>
      <x:c r="K88" s="9" t="n">
        <x:v>0.002</x:v>
      </x:c>
      <x:c r="L88" s="10" t="n">
        <x:v>692</x:v>
      </x:c>
      <x:c r="M88" s="10" t="n">
        <x:v>15080</x:v>
      </x:c>
      <x:c r="N88" s="9" t="n">
        <x:v>2.2288</x:v>
      </x:c>
      <x:c r="O88" s="10" t="n">
        <x:v>10267</x:v>
      </x:c>
      <x:c r="P88" s="10" t="n">
        <x:v>332</x:v>
      </x:c>
      <x:c r="Q88" s="9" t="n">
        <x:v>0.6808</x:v>
      </x:c>
      <x:c r="R88" s="9" t="n">
        <x:v>0.0323</x:v>
      </x:c>
      <x:c r="S88" s="9" t="n">
        <x:v>0.022</x:v>
      </x:c>
    </x:row>
    <x:row r="89" ht="71" customHeight="1">
      <x:c r="A89" s="2" t="str">
        <x:v>cheddar cheese</x:v>
      </x:c>
      <x:c r="B89" s="15" t="str">
        <x:v>cheddar cheese, cheese block, sharp cheddar cheese, block cheese, cheddar cheese block, sharp cheddar, cheese blocks, cheese cheddar, sharp cheese, medium cheddar cheese</x:v>
      </x:c>
      <x:c r="C89" s="10" t="n">
        <x:v>169</x:v>
      </x:c>
      <x:c r="D89" s="10" t="n">
        <x:v>332327</x:v>
      </x:c>
      <x:c r="E89" s="9" t="n">
        <x:v>0.2096</x:v>
      </x:c>
      <x:c r="F89" s="10" t="n">
        <x:v>7000127</x:v>
      </x:c>
      <x:c r="G89" s="10" t="n">
        <x:v>148887</x:v>
      </x:c>
      <x:c r="H89" s="9" t="n">
        <x:v>0.1008</x:v>
      </x:c>
      <x:c r="I89" s="9" t="n">
        <x:v>0.448</x:v>
      </x:c>
      <x:c r="J89" s="9" t="n">
        <x:v>0.4683</x:v>
      </x:c>
      <x:c r="K89" s="9" t="n">
        <x:v>0.2098</x:v>
      </x:c>
      <x:c r="L89" s="10" t="n">
        <x:v>69736</x:v>
      </x:c>
      <x:c r="M89" s="10" t="n">
        <x:v>119883</x:v>
      </x:c>
      <x:c r="N89" s="9" t="n">
        <x:v>0.1772</x:v>
      </x:c>
      <x:c r="O89" s="10" t="n">
        <x:v>110775</x:v>
      </x:c>
      <x:c r="P89" s="10" t="n">
        <x:v>65130</x:v>
      </x:c>
      <x:c r="Q89" s="9" t="n">
        <x:v>0.924</x:v>
      </x:c>
      <x:c r="R89" s="9" t="n">
        <x:v>0.5879</x:v>
      </x:c>
      <x:c r="S89" s="9" t="n">
        <x:v>0.5432</x:v>
      </x:c>
    </x:row>
    <x:row r="90" ht="71" customHeight="1">
      <x:c r="A90" s="2" t="str">
        <x:v>pin</x:v>
      </x:c>
      <x:c r="B90" s="15" t="str">
        <x:v>pin, pins, u pins, tadc pins, you did it pin, silly pins, they them pin, inspirational pins, backpack pins funny, meme pins for backpacks</x:v>
      </x:c>
      <x:c r="C90" s="10" t="n">
        <x:v>60</x:v>
      </x:c>
      <x:c r="D90" s="10" t="n">
        <x:v>328830</x:v>
      </x:c>
      <x:c r="E90" s="9" t="str">
        <x:v>'-0.1349</x:v>
      </x:c>
      <x:c r="F90" s="10" t="n">
        <x:v>4959317</x:v>
      </x:c>
      <x:c r="G90" s="10" t="n">
        <x:v>34671</x:v>
      </x:c>
      <x:c r="H90" s="9" t="str">
        <x:v>'-0.2265</x:v>
      </x:c>
      <x:c r="I90" s="9" t="n">
        <x:v>0.1054</x:v>
      </x:c>
      <x:c r="J90" s="9" t="n">
        <x:v>0.1272</x:v>
      </x:c>
      <x:c r="K90" s="9" t="n">
        <x:v>0.0134</x:v>
      </x:c>
      <x:c r="L90" s="10" t="n">
        <x:v>4412</x:v>
      </x:c>
      <x:c r="M90" s="10" t="n">
        <x:v>64047</x:v>
      </x:c>
      <x:c r="N90" s="9" t="str">
        <x:v>'-0.0948</x:v>
      </x:c>
      <x:c r="O90" s="10" t="n">
        <x:v>18185</x:v>
      </x:c>
      <x:c r="P90" s="10" t="n">
        <x:v>4963</x:v>
      </x:c>
      <x:c r="Q90" s="9" t="n">
        <x:v>0.2839</x:v>
      </x:c>
      <x:c r="R90" s="9" t="n">
        <x:v>0.2729</x:v>
      </x:c>
      <x:c r="S90" s="9" t="n">
        <x:v>0.0774</x:v>
      </x:c>
    </x:row>
    <x:row r="91" ht="71" customHeight="1">
      <x:c r="A91" s="2" t="str">
        <x:v>free people</x:v>
      </x:c>
      <x:c r="B91" s="15" t="str">
        <x:v>free people, boho shirt, feminine tops, cottage core shirt, people free, free people too, free the people, free peopledupes, free people camisole, tops free people</x:v>
      </x:c>
      <x:c r="C91" s="10" t="n">
        <x:v>47</x:v>
      </x:c>
      <x:c r="D91" s="10" t="n">
        <x:v>327832</x:v>
      </x:c>
      <x:c r="E91" s="9" t="str">
        <x:v>'-0.0973</x:v>
      </x:c>
      <x:c r="F91" s="10" t="n">
        <x:v>12546714</x:v>
      </x:c>
      <x:c r="G91" s="10" t="n">
        <x:v>101592</x:v>
      </x:c>
      <x:c r="H91" s="9" t="str">
        <x:v>'-0.0745</x:v>
      </x:c>
      <x:c r="I91" s="9" t="n">
        <x:v>0.3098</x:v>
      </x:c>
      <x:c r="J91" s="9" t="n">
        <x:v>0.0088</x:v>
      </x:c>
      <x:c r="K91" s="9" t="n">
        <x:v>0.0027</x:v>
      </x:c>
      <x:c r="L91" s="10" t="n">
        <x:v>903</x:v>
      </x:c>
      <x:c r="M91" s="10" t="n">
        <x:v>55098</x:v>
      </x:c>
      <x:c r="N91" s="9" t="str">
        <x:v>'-0.1188</x:v>
      </x:c>
      <x:c r="O91" s="10" t="n">
        <x:v>41659</x:v>
      </x:c>
      <x:c r="P91" s="10" t="n">
        <x:v>2844</x:v>
      </x:c>
      <x:c r="Q91" s="9" t="n">
        <x:v>0.756</x:v>
      </x:c>
      <x:c r="R91" s="9" t="n">
        <x:v>0.0682</x:v>
      </x:c>
      <x:c r="S91" s="9" t="n">
        <x:v>0.0516</x:v>
      </x:c>
    </x:row>
    <x:row r="92" ht="71" customHeight="1">
      <x:c r="A92" s="2" t="str">
        <x:v>sour cream</x:v>
      </x:c>
      <x:c r="B92" s="15" t="str">
        <x:v>sour cream, sour cream daisy, crema mexicana, daisy sour cream, sour cream light, mexican crema, sour cream packets single serve, sour cream packets, spur cream, mexican cream</x:v>
      </x:c>
      <x:c r="C92" s="10" t="n">
        <x:v>75</x:v>
      </x:c>
      <x:c r="D92" s="10" t="n">
        <x:v>327379</x:v>
      </x:c>
      <x:c r="E92" s="9" t="n">
        <x:v>0.1384</x:v>
      </x:c>
      <x:c r="F92" s="10" t="n">
        <x:v>7170943</x:v>
      </x:c>
      <x:c r="G92" s="10" t="n">
        <x:v>190501</x:v>
      </x:c>
      <x:c r="H92" s="9" t="n">
        <x:v>0.0841</x:v>
      </x:c>
      <x:c r="I92" s="9" t="n">
        <x:v>0.5818</x:v>
      </x:c>
      <x:c r="J92" s="9" t="n">
        <x:v>0.5234</x:v>
      </x:c>
      <x:c r="K92" s="9" t="n">
        <x:v>0.3045</x:v>
      </x:c>
      <x:c r="L92" s="10" t="n">
        <x:v>99715</x:v>
      </x:c>
      <x:c r="M92" s="10" t="n">
        <x:v>171249</x:v>
      </x:c>
      <x:c r="N92" s="9" t="n">
        <x:v>0.1212</x:v>
      </x:c>
      <x:c r="O92" s="10" t="n">
        <x:v>161275</x:v>
      </x:c>
      <x:c r="P92" s="10" t="n">
        <x:v>102199</x:v>
      </x:c>
      <x:c r="Q92" s="9" t="n">
        <x:v>0.9417</x:v>
      </x:c>
      <x:c r="R92" s="9" t="n">
        <x:v>0.6336</x:v>
      </x:c>
      <x:c r="S92" s="9" t="n">
        <x:v>0.5967</x:v>
      </x:c>
    </x:row>
    <x:row r="93" ht="109" customHeight="1">
      <x:c r="A93" s="2" t="str">
        <x:v>hair accessories for women</x:v>
      </x:c>
      <x:c r="B93" s="15" t="str">
        <x:v>hair accessories for women, hair jewelry for women, loc jewelry for black women, piojitos para el pelo de niñas, hair ornaments for women, hair charms for girls, braid jewelry for black women, loc charms for black women, hair charms for women, hair jewels for women</x:v>
      </x:c>
      <x:c r="C93" s="10" t="n">
        <x:v>119</x:v>
      </x:c>
      <x:c r="D93" s="10" t="n">
        <x:v>323209</x:v>
      </x:c>
      <x:c r="E93" s="9" t="str">
        <x:v>'-0.0234</x:v>
      </x:c>
      <x:c r="F93" s="10" t="n">
        <x:v>9605557</x:v>
      </x:c>
      <x:c r="G93" s="10" t="n">
        <x:v>91029</x:v>
      </x:c>
      <x:c r="H93" s="9" t="str">
        <x:v>'-0.0606</x:v>
      </x:c>
      <x:c r="I93" s="9" t="n">
        <x:v>0.2816</x:v>
      </x:c>
      <x:c r="J93" s="9" t="n">
        <x:v>0.0579</x:v>
      </x:c>
      <x:c r="K93" s="9" t="n">
        <x:v>0.0163</x:v>
      </x:c>
      <x:c r="L93" s="10" t="n">
        <x:v>5271</x:v>
      </x:c>
      <x:c r="M93" s="10" t="n">
        <x:v>56623</x:v>
      </x:c>
      <x:c r="N93" s="9" t="str">
        <x:v>'-0.0338</x:v>
      </x:c>
      <x:c r="O93" s="10" t="n">
        <x:v>42525</x:v>
      </x:c>
      <x:c r="P93" s="10" t="n">
        <x:v>6381</x:v>
      </x:c>
      <x:c r="Q93" s="9" t="n">
        <x:v>0.751</x:v>
      </x:c>
      <x:c r="R93" s="9" t="n">
        <x:v>0.15</x:v>
      </x:c>
      <x:c r="S93" s="9" t="n">
        <x:v>0.1126</x:v>
      </x:c>
    </x:row>
    <x:row r="94" ht="71" customHeight="1">
      <x:c r="A94" s="2" t="str">
        <x:v>cherries</x:v>
      </x:c>
      <x:c r="B94" s="15" t="str">
        <x:v>cherries, cherries fresh, fresh cherries, organic cherries, cherries fresh fruit, fresh cherries produce, cherrys, cerezas, dark cherries, cerezas frescas</x:v>
      </x:c>
      <x:c r="C94" s="10" t="n">
        <x:v>81</x:v>
      </x:c>
      <x:c r="D94" s="10" t="n">
        <x:v>318706</x:v>
      </x:c>
      <x:c r="E94" s="9" t="str">
        <x:v>'-0.1215</x:v>
      </x:c>
      <x:c r="F94" s="10" t="n">
        <x:v>7721704</x:v>
      </x:c>
      <x:c r="G94" s="10" t="n">
        <x:v>53653</x:v>
      </x:c>
      <x:c r="H94" s="9" t="str">
        <x:v>'-0.5289</x:v>
      </x:c>
      <x:c r="I94" s="9" t="n">
        <x:v>0.1683</x:v>
      </x:c>
      <x:c r="J94" s="9" t="n">
        <x:v>0.2913</x:v>
      </x:c>
      <x:c r="K94" s="9" t="n">
        <x:v>0.049</x:v>
      </x:c>
      <x:c r="L94" s="10" t="n">
        <x:v>15631</x:v>
      </x:c>
      <x:c r="M94" s="10" t="n">
        <x:v>108013</x:v>
      </x:c>
      <x:c r="N94" s="9" t="str">
        <x:v>'-0.2186</x:v>
      </x:c>
      <x:c r="O94" s="10" t="n">
        <x:v>73208</x:v>
      </x:c>
      <x:c r="P94" s="10" t="n">
        <x:v>31494</x:v>
      </x:c>
      <x:c r="Q94" s="9" t="n">
        <x:v>0.6777</x:v>
      </x:c>
      <x:c r="R94" s="9" t="n">
        <x:v>0.4301</x:v>
      </x:c>
      <x:c r="S94" s="9" t="n">
        <x:v>0.2915</x:v>
      </x:c>
    </x:row>
    <x:row r="95" ht="55" customHeight="1">
      <x:c r="A95" s="2" t="str">
        <x:v>gun</x:v>
      </x:c>
      <x:c r="B95" s="15" t="str">
        <x:v>gun, guns, fake guns, real guns, fake pistol, realistic guns, toys guns, the gun, a gun, pistol toy</x:v>
      </x:c>
      <x:c r="C95" s="10" t="n">
        <x:v>102</x:v>
      </x:c>
      <x:c r="D95" s="10" t="n">
        <x:v>312960</x:v>
      </x:c>
      <x:c r="E95" s="9" t="str">
        <x:v>'-0.0268</x:v>
      </x:c>
      <x:c r="F95" s="10" t="n">
        <x:v>3407997</x:v>
      </x:c>
      <x:c r="G95" s="10" t="n">
        <x:v>76136</x:v>
      </x:c>
      <x:c r="H95" s="9" t="n">
        <x:v>0.0378</x:v>
      </x:c>
      <x:c r="I95" s="9" t="n">
        <x:v>0.2432</x:v>
      </x:c>
      <x:c r="J95" s="9" t="n">
        <x:v>0.0093</x:v>
      </x:c>
      <x:c r="K95" s="9" t="n">
        <x:v>0.0022</x:v>
      </x:c>
      <x:c r="L95" s="10" t="n">
        <x:v>709</x:v>
      </x:c>
      <x:c r="M95" s="10" t="n">
        <x:v>29999</x:v>
      </x:c>
      <x:c r="N95" s="9" t="str">
        <x:v>'-0.023</x:v>
      </x:c>
      <x:c r="O95" s="10" t="n">
        <x:v>18097</x:v>
      </x:c>
      <x:c r="P95" s="10" t="n">
        <x:v>508</x:v>
      </x:c>
      <x:c r="Q95" s="9" t="n">
        <x:v>0.6032</x:v>
      </x:c>
      <x:c r="R95" s="9" t="n">
        <x:v>0.028</x:v>
      </x:c>
      <x:c r="S95" s="9" t="n">
        <x:v>0.0169</x:v>
      </x:c>
    </x:row>
    <x:row r="96" ht="90" customHeight="1">
      <x:c r="A96" s="2" t="str">
        <x:v>reacher prime video</x:v>
      </x:c>
      <x:c r="B96" s="15" t="str">
        <x:v>reacher prime video, reacher season 4, reacher season, reacher 4, reacher season 3, reacher season 1, reacher season 4 prime video, reacher season 2, reacher season 1 episode 1 from beginning, reacher season 4 episode 1</x:v>
      </x:c>
      <x:c r="C96" s="10" t="n">
        <x:v>77</x:v>
      </x:c>
      <x:c r="D96" s="10" t="n">
        <x:v>305720</x:v>
      </x:c>
      <x:c r="E96" s="9" t="n">
        <x:v>0.3171</x:v>
      </x:c>
      <x:c r="F96" s="10" t="n">
        <x:v>3834146</x:v>
      </x:c>
      <x:c r="G96" s="10" t="n">
        <x:v>4337</x:v>
      </x:c>
      <x:c r="H96" s="9" t="n">
        <x:v>0.7068</x:v>
      </x:c>
      <x:c r="I96" s="9" t="n">
        <x:v>0.0141</x:v>
      </x:c>
      <x:c r="J96" s="9" t="n">
        <x:v>0.0818</x:v>
      </x:c>
      <x:c r="K96" s="9" t="n">
        <x:v>0.0011</x:v>
      </x:c>
      <x:c r="L96" s="10" t="n">
        <x:v>355</x:v>
      </x:c>
      <x:c r="M96" s="10" t="n">
        <x:v>88077</x:v>
      </x:c>
      <x:c r="N96" s="9" t="n">
        <x:v>0.3074</x:v>
      </x:c>
      <x:c r="O96" s="10" t="n">
        <x:v>62834</x:v>
      </x:c>
      <x:c r="P96" s="10" t="n">
        <x:v>328</x:v>
      </x:c>
      <x:c r="Q96" s="9" t="n">
        <x:v>0.7133</x:v>
      </x:c>
      <x:c r="R96" s="9" t="n">
        <x:v>0.0052</x:v>
      </x:c>
      <x:c r="S96" s="9" t="n">
        <x:v>0.0037</x:v>
      </x:c>
    </x:row>
    <x:row r="97" ht="90" customHeight="1">
      <x:c r="A97" s="2" t="str">
        <x:v>baby registry search</x:v>
      </x:c>
      <x:c r="B97" s="15" t="str">
        <x:v>baby registry search, gift registry, newborn bedtime essentials, things for baby registry, baby registry ideas, newborn registry, newborn registry items, cheap baby registry items, top baby registry items, night time baby essentials</x:v>
      </x:c>
      <x:c r="C97" s="10" t="n">
        <x:v>76</x:v>
      </x:c>
      <x:c r="D97" s="10" t="n">
        <x:v>303021</x:v>
      </x:c>
      <x:c r="E97" s="9" t="str">
        <x:v>'-0.2617</x:v>
      </x:c>
      <x:c r="F97" s="10" t="n">
        <x:v>9760355</x:v>
      </x:c>
      <x:c r="G97" s="10" t="n">
        <x:v>16554</x:v>
      </x:c>
      <x:c r="H97" s="9" t="str">
        <x:v>'-0.415</x:v>
      </x:c>
      <x:c r="I97" s="9" t="n">
        <x:v>0.0546</x:v>
      </x:c>
      <x:c r="J97" s="9" t="n">
        <x:v>0.0207</x:v>
      </x:c>
      <x:c r="K97" s="9" t="n">
        <x:v>0.0011</x:v>
      </x:c>
      <x:c r="L97" s="10" t="n">
        <x:v>343</x:v>
      </x:c>
      <x:c r="M97" s="10" t="n">
        <x:v>139761</x:v>
      </x:c>
      <x:c r="N97" s="9" t="str">
        <x:v>'-0.2413</x:v>
      </x:c>
      <x:c r="O97" s="10" t="n">
        <x:v>9012</x:v>
      </x:c>
      <x:c r="P97" s="10" t="n">
        <x:v>526</x:v>
      </x:c>
      <x:c r="Q97" s="9" t="n">
        <x:v>0.0644</x:v>
      </x:c>
      <x:c r="R97" s="9" t="n">
        <x:v>0.0583</x:v>
      </x:c>
      <x:c r="S97" s="9" t="n">
        <x:v>0.0037</x:v>
      </x:c>
    </x:row>
    <x:row r="98" ht="71" customHeight="1">
      <x:c r="A98" s="2" t="str">
        <x:v>celery</x:v>
      </x:c>
      <x:c r="B98" s="15" t="str">
        <x:v>celery, celery sticks, celery fresh, organic celery, celery organic, carrots and celery, celery hearts, celery root, organic celery fresh, chopped celery</x:v>
      </x:c>
      <x:c r="C98" s="10" t="n">
        <x:v>121</x:v>
      </x:c>
      <x:c r="D98" s="10" t="n">
        <x:v>300680</x:v>
      </x:c>
      <x:c r="E98" s="9" t="n">
        <x:v>0.211</x:v>
      </x:c>
      <x:c r="F98" s="10" t="n">
        <x:v>5941931</x:v>
      </x:c>
      <x:c r="G98" s="10" t="n">
        <x:v>200584</x:v>
      </x:c>
      <x:c r="H98" s="9" t="n">
        <x:v>0.1811</x:v>
      </x:c>
      <x:c r="I98" s="9" t="n">
        <x:v>0.6671</x:v>
      </x:c>
      <x:c r="J98" s="9" t="n">
        <x:v>0.5411</x:v>
      </x:c>
      <x:c r="K98" s="9" t="n">
        <x:v>0.3609</x:v>
      </x:c>
      <x:c r="L98" s="10" t="n">
        <x:v>108540</x:v>
      </x:c>
      <x:c r="M98" s="10" t="n">
        <x:v>169299</x:v>
      </x:c>
      <x:c r="N98" s="9" t="n">
        <x:v>0.218</x:v>
      </x:c>
      <x:c r="O98" s="10" t="n">
        <x:v>158791</x:v>
      </x:c>
      <x:c r="P98" s="10" t="n">
        <x:v>99138</x:v>
      </x:c>
      <x:c r="Q98" s="9" t="n">
        <x:v>0.9379</x:v>
      </x:c>
      <x:c r="R98" s="9" t="n">
        <x:v>0.6243</x:v>
      </x:c>
      <x:c r="S98" s="9" t="n">
        <x:v>0.5855</x:v>
      </x:c>
    </x:row>
    <x:row r="99" ht="90" customHeight="1">
      <x:c r="A99" s="2" t="str">
        <x:v>strawberries fresh</x:v>
      </x:c>
      <x:c r="B99" s="15" t="str">
        <x:v>strawberries fresh, organic strawberries, fresas, organic strawberries fresh, fresh strawberries, fresas frescas, organic strawberries fresh produce, strawberries organic, fresa, fresh strawberries amazon fresh</x:v>
      </x:c>
      <x:c r="C99" s="10" t="n">
        <x:v>60</x:v>
      </x:c>
      <x:c r="D99" s="10" t="n">
        <x:v>300279</x:v>
      </x:c>
      <x:c r="E99" s="9" t="n">
        <x:v>0.2158</x:v>
      </x:c>
      <x:c r="F99" s="10" t="n">
        <x:v>5551911</x:v>
      </x:c>
      <x:c r="G99" s="10" t="n">
        <x:v>128089</x:v>
      </x:c>
      <x:c r="H99" s="9" t="n">
        <x:v>0.0586</x:v>
      </x:c>
      <x:c r="I99" s="9" t="n">
        <x:v>0.4265</x:v>
      </x:c>
      <x:c r="J99" s="9" t="n">
        <x:v>0.4448</x:v>
      </x:c>
      <x:c r="K99" s="9" t="n">
        <x:v>0.1897</x:v>
      </x:c>
      <x:c r="L99" s="10" t="n">
        <x:v>56985</x:v>
      </x:c>
      <x:c r="M99" s="10" t="n">
        <x:v>108157</x:v>
      </x:c>
      <x:c r="N99" s="9" t="n">
        <x:v>0.1467</x:v>
      </x:c>
      <x:c r="O99" s="10" t="n">
        <x:v>93045</x:v>
      </x:c>
      <x:c r="P99" s="10" t="n">
        <x:v>50666</x:v>
      </x:c>
      <x:c r="Q99" s="9" t="n">
        <x:v>0.8602</x:v>
      </x:c>
      <x:c r="R99" s="9" t="n">
        <x:v>0.5445</x:v>
      </x:c>
      <x:c r="S99" s="9" t="n">
        <x:v>0.4684</x:v>
      </x:c>
    </x:row>
    <x:row r="100" ht="71" customHeight="1">
      <x:c r="A100" s="2" t="str">
        <x:v>half and half</x:v>
      </x:c>
      <x:c r="B100" s="15" t="str">
        <x:v>half and half, half and half creamer, half, half and half organic, organic half and half, half n half, half half, fat free half and half, a2 half and half, half &amp; half</x:v>
      </x:c>
      <x:c r="C100" s="10" t="n">
        <x:v>166</x:v>
      </x:c>
      <x:c r="D100" s="10" t="n">
        <x:v>299774</x:v>
      </x:c>
      <x:c r="E100" s="9" t="n">
        <x:v>0.1302</x:v>
      </x:c>
      <x:c r="F100" s="10" t="n">
        <x:v>6708358</x:v>
      </x:c>
      <x:c r="G100" s="10" t="n">
        <x:v>137907</x:v>
      </x:c>
      <x:c r="H100" s="9" t="n">
        <x:v>0.0817</x:v>
      </x:c>
      <x:c r="I100" s="9" t="n">
        <x:v>0.46</x:v>
      </x:c>
      <x:c r="J100" s="9" t="n">
        <x:v>0.4451</x:v>
      </x:c>
      <x:c r="K100" s="9" t="n">
        <x:v>0.2047</x:v>
      </x:c>
      <x:c r="L100" s="10" t="n">
        <x:v>61387</x:v>
      </x:c>
      <x:c r="M100" s="10" t="n">
        <x:v>118915</x:v>
      </x:c>
      <x:c r="N100" s="9" t="n">
        <x:v>0.0966</x:v>
      </x:c>
      <x:c r="O100" s="10" t="n">
        <x:v>107698</x:v>
      </x:c>
      <x:c r="P100" s="10" t="n">
        <x:v>62243</x:v>
      </x:c>
      <x:c r="Q100" s="9" t="n">
        <x:v>0.9056</x:v>
      </x:c>
      <x:c r="R100" s="9" t="n">
        <x:v>0.5779</x:v>
      </x:c>
      <x:c r="S100" s="9" t="n">
        <x:v>0.5234</x:v>
      </x:c>
    </x:row>
    <x:row r="101" ht="71" customHeight="1">
      <x:c r="A101" s="2" t="str">
        <x:v>beans</x:v>
      </x:c>
      <x:c r="B101" s="15" t="str">
        <x:v>beans, canned beans, beans canned, bean, can beans, organic canned beans, beans can, canned beans amazon grocery, can of beans, brown beans</x:v>
      </x:c>
      <x:c r="C101" s="10" t="n">
        <x:v>159</x:v>
      </x:c>
      <x:c r="D101" s="10" t="n">
        <x:v>298726</x:v>
      </x:c>
      <x:c r="E101" s="9" t="n">
        <x:v>0.2325</x:v>
      </x:c>
      <x:c r="F101" s="10" t="n">
        <x:v>5447957</x:v>
      </x:c>
      <x:c r="G101" s="10" t="n">
        <x:v>120947</x:v>
      </x:c>
      <x:c r="H101" s="9" t="n">
        <x:v>0.2089</x:v>
      </x:c>
      <x:c r="I101" s="9" t="n">
        <x:v>0.4048</x:v>
      </x:c>
      <x:c r="J101" s="9" t="n">
        <x:v>0.259</x:v>
      </x:c>
      <x:c r="K101" s="9" t="n">
        <x:v>0.1048</x:v>
      </x:c>
      <x:c r="L101" s="10" t="n">
        <x:v>31335</x:v>
      </x:c>
      <x:c r="M101" s="10" t="n">
        <x:v>69238</x:v>
      </x:c>
      <x:c r="N101" s="9" t="n">
        <x:v>0.2003</x:v>
      </x:c>
      <x:c r="O101" s="10" t="n">
        <x:v>57501</x:v>
      </x:c>
      <x:c r="P101" s="10" t="n">
        <x:v>21550</x:v>
      </x:c>
      <x:c r="Q101" s="9" t="n">
        <x:v>0.8304</x:v>
      </x:c>
      <x:c r="R101" s="9" t="n">
        <x:v>0.3747</x:v>
      </x:c>
      <x:c r="S101" s="9" t="n">
        <x:v>0.3112</x:v>
      </x:c>
    </x:row>
    <x:row r="102" ht="71" customHeight="1">
      <x:c r="A102" s="2" t="str">
        <x:v>bubble wrap</x:v>
      </x:c>
      <x:c r="B102" s="15" t="str">
        <x:v>bubble wrap, packing supplies, bubble+wrap, .bubble wrap, bubble.wrap, bubble wrap walmart, 1 bubble wrap, 3m bubble wrap, long bubble wrap, bubble wrap long</x:v>
      </x:c>
      <x:c r="C102" s="10" t="n">
        <x:v>26</x:v>
      </x:c>
      <x:c r="D102" s="10" t="n">
        <x:v>294727</x:v>
      </x:c>
      <x:c r="E102" s="9" t="str">
        <x:v>'-0.0072</x:v>
      </x:c>
      <x:c r="F102" s="10" t="n">
        <x:v>12595758</x:v>
      </x:c>
      <x:c r="G102" s="10" t="n">
        <x:v>151684</x:v>
      </x:c>
      <x:c r="H102" s="9" t="str">
        <x:v>'-0.0057</x:v>
      </x:c>
      <x:c r="I102" s="9" t="n">
        <x:v>0.5146</x:v>
      </x:c>
      <x:c r="J102" s="9" t="n">
        <x:v>0.2999</x:v>
      </x:c>
      <x:c r="K102" s="9" t="n">
        <x:v>0.1543</x:v>
      </x:c>
      <x:c r="L102" s="10" t="n">
        <x:v>45495</x:v>
      </x:c>
      <x:c r="M102" s="10" t="n">
        <x:v>122179</x:v>
      </x:c>
      <x:c r="N102" s="9" t="str">
        <x:v>'-0.0196</x:v>
      </x:c>
      <x:c r="O102" s="10" t="n">
        <x:v>97459</x:v>
      </x:c>
      <x:c r="P102" s="10" t="n">
        <x:v>52149</x:v>
      </x:c>
      <x:c r="Q102" s="9" t="n">
        <x:v>0.7976</x:v>
      </x:c>
      <x:c r="R102" s="9" t="n">
        <x:v>0.535</x:v>
      </x:c>
      <x:c r="S102" s="9" t="n">
        <x:v>0.4268</x:v>
      </x:c>
    </x:row>
    <x:row r="103" ht="90" customHeight="1">
      <x:c r="A103" s="2" t="str">
        <x:v>soursop bitters liquid</x:v>
      </x:c>
      <x:c r="B103" s="15" t="str">
        <x:v>soursop bitters liquid, serene soursop bitters, sour sop bitters organic, soursop bitters liquid extract, soursop bitter, serene, pure soursop bitters, serene soursop, sour sop bitters, organic soursop bitters</x:v>
      </x:c>
      <x:c r="C103" s="10" t="n">
        <x:v>119</x:v>
      </x:c>
      <x:c r="D103" s="10" t="n">
        <x:v>292757</x:v>
      </x:c>
      <x:c r="E103" s="9" t="str">
        <x:v>'-0.0351</x:v>
      </x:c>
      <x:c r="F103" s="10" t="n">
        <x:v>9735921</x:v>
      </x:c>
      <x:c r="G103" s="10" t="n">
        <x:v>125475</x:v>
      </x:c>
      <x:c r="H103" s="9" t="str">
        <x:v>'-0.0072</x:v>
      </x:c>
      <x:c r="I103" s="9" t="n">
        <x:v>0.4285</x:v>
      </x:c>
      <x:c r="J103" s="9" t="n">
        <x:v>0.1205</x:v>
      </x:c>
      <x:c r="K103" s="9" t="n">
        <x:v>0.0516</x:v>
      </x:c>
      <x:c r="L103" s="10" t="n">
        <x:v>15124</x:v>
      </x:c>
      <x:c r="M103" s="10" t="n">
        <x:v>126991</x:v>
      </x:c>
      <x:c r="N103" s="9" t="str">
        <x:v>'-0.0353</x:v>
      </x:c>
      <x:c r="O103" s="10" t="n">
        <x:v>103360</x:v>
      </x:c>
      <x:c r="P103" s="10" t="n">
        <x:v>21177</x:v>
      </x:c>
      <x:c r="Q103" s="9" t="n">
        <x:v>0.8139</x:v>
      </x:c>
      <x:c r="R103" s="9" t="n">
        <x:v>0.2048</x:v>
      </x:c>
      <x:c r="S103" s="9" t="n">
        <x:v>0.1667</x:v>
      </x:c>
    </x:row>
    <x:row r="104" ht="90" customHeight="1">
      <x:c r="A104" s="2" t="str">
        <x:v>burgundy tops for women</x:v>
      </x:c>
      <x:c r="B104" s="15" t="str">
        <x:v>burgundy tops for women, burgundy top, burgundy shirts for women, womens burgundy tops, burgundy tops for women dressy, burgundy shirt women, burgundy womens tops, burgundy top for women, womens burgundy top, burgundy shirt for women</x:v>
      </x:c>
      <x:c r="C104" s="10" t="n">
        <x:v>139</x:v>
      </x:c>
      <x:c r="D104" s="10" t="n">
        <x:v>290618</x:v>
      </x:c>
      <x:c r="E104" s="9" t="n">
        <x:v>0.7634</x:v>
      </x:c>
      <x:c r="F104" s="10" t="n">
        <x:v>7234607</x:v>
      </x:c>
      <x:c r="G104" s="10" t="n">
        <x:v>76817</x:v>
      </x:c>
      <x:c r="H104" s="9" t="n">
        <x:v>0.8551</x:v>
      </x:c>
      <x:c r="I104" s="9" t="n">
        <x:v>0.2643</x:v>
      </x:c>
      <x:c r="J104" s="9" t="n">
        <x:v>0.0245</x:v>
      </x:c>
      <x:c r="K104" s="9" t="n">
        <x:v>0.0064</x:v>
      </x:c>
      <x:c r="L104" s="10" t="n">
        <x:v>1888</x:v>
      </x:c>
      <x:c r="M104" s="10" t="n">
        <x:v>33314</x:v>
      </x:c>
      <x:c r="N104" s="9" t="n">
        <x:v>0.7149</x:v>
      </x:c>
      <x:c r="O104" s="10" t="n">
        <x:v>26970</x:v>
      </x:c>
      <x:c r="P104" s="10" t="n">
        <x:v>4012</x:v>
      </x:c>
      <x:c r="Q104" s="9" t="n">
        <x:v>0.8095</x:v>
      </x:c>
      <x:c r="R104" s="9" t="n">
        <x:v>0.1487</x:v>
      </x:c>
      <x:c r="S104" s="9" t="n">
        <x:v>0.1204</x:v>
      </x:c>
    </x:row>
    <x:row r="105" ht="55" customHeight="1">
      <x:c r="A105" s="2" t="str">
        <x:v>tape</x:v>
      </x:c>
      <x:c r="B105" s="15" t="str">
        <x:v>tape, kt, it tape, g tape, kt pro tape, achilles tape, tape for classroom, lt tape, kt strips, tape set</x:v>
      </x:c>
      <x:c r="C105" s="10" t="n">
        <x:v>77</x:v>
      </x:c>
      <x:c r="D105" s="10" t="n">
        <x:v>290126</x:v>
      </x:c>
      <x:c r="E105" s="9" t="str">
        <x:v>'-0.1074</x:v>
      </x:c>
      <x:c r="F105" s="10" t="n">
        <x:v>10002213</x:v>
      </x:c>
      <x:c r="G105" s="10" t="n">
        <x:v>127585</x:v>
      </x:c>
      <x:c r="H105" s="9" t="str">
        <x:v>'-0.1047</x:v>
      </x:c>
      <x:c r="I105" s="9" t="n">
        <x:v>0.4397</x:v>
      </x:c>
      <x:c r="J105" s="9" t="n">
        <x:v>0.3998</x:v>
      </x:c>
      <x:c r="K105" s="9" t="n">
        <x:v>0.1758</x:v>
      </x:c>
      <x:c r="L105" s="10" t="n">
        <x:v>51019</x:v>
      </x:c>
      <x:c r="M105" s="10" t="n">
        <x:v>121293</x:v>
      </x:c>
      <x:c r="N105" s="9" t="str">
        <x:v>'-0.1084</x:v>
      </x:c>
      <x:c r="O105" s="10" t="n">
        <x:v>96055</x:v>
      </x:c>
      <x:c r="P105" s="10" t="n">
        <x:v>50745</x:v>
      </x:c>
      <x:c r="Q105" s="9" t="n">
        <x:v>0.7919</x:v>
      </x:c>
      <x:c r="R105" s="9" t="n">
        <x:v>0.5282</x:v>
      </x:c>
      <x:c r="S105" s="9" t="n">
        <x:v>0.4183</x:v>
      </x:c>
    </x:row>
    <x:row r="106" ht="90" customHeight="1">
      <x:c r="A106" s="2" t="str">
        <x:v>spinach</x:v>
      </x:c>
      <x:c r="B106" s="15" t="str">
        <x:v>spinach, can spinach, canned spinach low sodium, organic canned spinach, can of spinach, spinach in can, canned chopped spinach, spinach in a can, canned spinach no salt, leaf spinach canned</x:v>
      </x:c>
      <x:c r="C106" s="10" t="n">
        <x:v>30</x:v>
      </x:c>
      <x:c r="D106" s="10" t="n">
        <x:v>288749</x:v>
      </x:c>
      <x:c r="E106" s="9" t="n">
        <x:v>0.1132</x:v>
      </x:c>
      <x:c r="F106" s="10" t="n">
        <x:v>6314208</x:v>
      </x:c>
      <x:c r="G106" s="10" t="n">
        <x:v>172650</x:v>
      </x:c>
      <x:c r="H106" s="9" t="n">
        <x:v>0.0887</x:v>
      </x:c>
      <x:c r="I106" s="9" t="n">
        <x:v>0.5979</x:v>
      </x:c>
      <x:c r="J106" s="9" t="n">
        <x:v>0.5216</x:v>
      </x:c>
      <x:c r="K106" s="9" t="n">
        <x:v>0.3119</x:v>
      </x:c>
      <x:c r="L106" s="10" t="n">
        <x:v>90067</x:v>
      </x:c>
      <x:c r="M106" s="10" t="n">
        <x:v>153650</x:v>
      </x:c>
      <x:c r="N106" s="9" t="n">
        <x:v>0.1259</x:v>
      </x:c>
      <x:c r="O106" s="10" t="n">
        <x:v>144360</x:v>
      </x:c>
      <x:c r="P106" s="10" t="n">
        <x:v>90736</x:v>
      </x:c>
      <x:c r="Q106" s="9" t="n">
        <x:v>0.9395</x:v>
      </x:c>
      <x:c r="R106" s="9" t="n">
        <x:v>0.6285</x:v>
      </x:c>
      <x:c r="S106" s="9" t="n">
        <x:v>0.5905</x:v>
      </x:c>
    </x:row>
    <x:row r="107" ht="109" customHeight="1">
      <x:c r="A107" s="2" t="str">
        <x:v>going out outfits for women</x:v>
      </x:c>
      <x:c r="B107" s="15" t="str">
        <x:v>going out outfits for women, going out outfits, womens going out outfits, going out outfit, women going out outfits, cute going out outfits, fall going out outfits, happy hour outfit women, outfits for women going out, animal print going out outfits</x:v>
      </x:c>
      <x:c r="C107" s="10" t="n">
        <x:v>149</x:v>
      </x:c>
      <x:c r="D107" s="10" t="n">
        <x:v>288553</x:v>
      </x:c>
      <x:c r="E107" s="9" t="n">
        <x:v>0.1552</x:v>
      </x:c>
      <x:c r="F107" s="10" t="n">
        <x:v>9183285</x:v>
      </x:c>
      <x:c r="G107" s="10" t="n">
        <x:v>66165</x:v>
      </x:c>
      <x:c r="H107" s="9" t="n">
        <x:v>0.1568</x:v>
      </x:c>
      <x:c r="I107" s="9" t="n">
        <x:v>0.2292</x:v>
      </x:c>
      <x:c r="J107" s="9" t="n">
        <x:v>0.0081</x:v>
      </x:c>
      <x:c r="K107" s="9" t="n">
        <x:v>0.0018</x:v>
      </x:c>
      <x:c r="L107" s="10" t="n">
        <x:v>542</x:v>
      </x:c>
      <x:c r="M107" s="10" t="n">
        <x:v>35001</x:v>
      </x:c>
      <x:c r="N107" s="9" t="n">
        <x:v>0.1338</x:v>
      </x:c>
      <x:c r="O107" s="10" t="n">
        <x:v>27101</x:v>
      </x:c>
      <x:c r="P107" s="10" t="n">
        <x:v>1907</x:v>
      </x:c>
      <x:c r="Q107" s="9" t="n">
        <x:v>0.7742</x:v>
      </x:c>
      <x:c r="R107" s="9" t="n">
        <x:v>0.0703</x:v>
      </x:c>
      <x:c r="S107" s="9" t="n">
        <x:v>0.0544</x:v>
      </x:c>
    </x:row>
    <x:row r="108" ht="55" customHeight="1">
      <x:c r="A108" s="2" t="str">
        <x:v>lime</x:v>
      </x:c>
      <x:c r="B108" s="15" t="str">
        <x:v>lime, limes, limes fresh, organic limes, organic lime, limes fresh organic, key limes, likes, lines, limes fresh bag</x:v>
      </x:c>
      <x:c r="C108" s="10" t="n">
        <x:v>89</x:v>
      </x:c>
      <x:c r="D108" s="10" t="n">
        <x:v>284723</x:v>
      </x:c>
      <x:c r="E108" s="9" t="n">
        <x:v>0.0543</x:v>
      </x:c>
      <x:c r="F108" s="10" t="n">
        <x:v>6194850</x:v>
      </x:c>
      <x:c r="G108" s="10" t="n">
        <x:v>172728</x:v>
      </x:c>
      <x:c r="H108" s="9" t="n">
        <x:v>0.0231</x:v>
      </x:c>
      <x:c r="I108" s="9" t="n">
        <x:v>0.6066</x:v>
      </x:c>
      <x:c r="J108" s="9" t="n">
        <x:v>0.3124</x:v>
      </x:c>
      <x:c r="K108" s="9" t="n">
        <x:v>0.1895</x:v>
      </x:c>
      <x:c r="L108" s="10" t="n">
        <x:v>53967</x:v>
      </x:c>
      <x:c r="M108" s="10" t="n">
        <x:v>168771</x:v>
      </x:c>
      <x:c r="N108" s="9" t="n">
        <x:v>0.0466</x:v>
      </x:c>
      <x:c r="O108" s="10" t="n">
        <x:v>155881</x:v>
      </x:c>
      <x:c r="P108" s="10" t="n">
        <x:v>57538</x:v>
      </x:c>
      <x:c r="Q108" s="9" t="n">
        <x:v>0.9236</x:v>
      </x:c>
      <x:c r="R108" s="9" t="n">
        <x:v>0.3691</x:v>
      </x:c>
      <x:c r="S108" s="9" t="n">
        <x:v>0.3409</x:v>
      </x:c>
    </x:row>
    <x:row r="109" ht="90" customHeight="1">
      <x:c r="A109" s="2" t="str">
        <x:v>plantar fasciitis relief</x:v>
      </x:c>
      <x:c r="B109" s="15" t="str">
        <x:v>plantar fasciitis relief, planter facetious, fasciitis plantar, plantar fasciitis kit, plantar fasciitis support, kit para fascitis plantar, planters facetious, koflex fascitis plantar, planters facetious relief, feet pain</x:v>
      </x:c>
      <x:c r="C109" s="10" t="n">
        <x:v>121</x:v>
      </x:c>
      <x:c r="D109" s="10" t="n">
        <x:v>283407</x:v>
      </x:c>
      <x:c r="E109" s="9" t="str">
        <x:v>'-0.1526</x:v>
      </x:c>
      <x:c r="F109" s="10" t="n">
        <x:v>11690589</x:v>
      </x:c>
      <x:c r="G109" s="10" t="n">
        <x:v>120418</x:v>
      </x:c>
      <x:c r="H109" s="9" t="str">
        <x:v>'-0.1222</x:v>
      </x:c>
      <x:c r="I109" s="9" t="n">
        <x:v>0.4248</x:v>
      </x:c>
      <x:c r="J109" s="9" t="n">
        <x:v>0.1328</x:v>
      </x:c>
      <x:c r="K109" s="9" t="n">
        <x:v>0.0564</x:v>
      </x:c>
      <x:c r="L109" s="10" t="n">
        <x:v>15993</x:v>
      </x:c>
      <x:c r="M109" s="10" t="n">
        <x:v>92020</x:v>
      </x:c>
      <x:c r="N109" s="9" t="str">
        <x:v>'-0.09</x:v>
      </x:c>
      <x:c r="O109" s="10" t="n">
        <x:v>69997</x:v>
      </x:c>
      <x:c r="P109" s="10" t="n">
        <x:v>22824</x:v>
      </x:c>
      <x:c r="Q109" s="9" t="n">
        <x:v>0.7606</x:v>
      </x:c>
      <x:c r="R109" s="9" t="n">
        <x:v>0.326</x:v>
      </x:c>
      <x:c r="S109" s="9" t="n">
        <x:v>0.248</x:v>
      </x:c>
    </x:row>
    <x:row r="110" ht="71" customHeight="1">
      <x:c r="A110" s="2" t="str">
        <x:v>mushrooms</x:v>
      </x:c>
      <x:c r="B110" s="15" t="str">
        <x:v>mushrooms, mushrooms fresh, canned mushrooms, mushrooms canned, white mushrooms, mashroom, mushroom can, hongo, cremini mushrooms fresh, mushroom canned</x:v>
      </x:c>
      <x:c r="C110" s="10" t="n">
        <x:v>96</x:v>
      </x:c>
      <x:c r="D110" s="10" t="n">
        <x:v>282585</x:v>
      </x:c>
      <x:c r="E110" s="9" t="n">
        <x:v>0.1019</x:v>
      </x:c>
      <x:c r="F110" s="10" t="n">
        <x:v>6178156</x:v>
      </x:c>
      <x:c r="G110" s="10" t="n">
        <x:v>144667</x:v>
      </x:c>
      <x:c r="H110" s="9" t="n">
        <x:v>0.0643</x:v>
      </x:c>
      <x:c r="I110" s="9" t="n">
        <x:v>0.5119</x:v>
      </x:c>
      <x:c r="J110" s="9" t="n">
        <x:v>0.4471</x:v>
      </x:c>
      <x:c r="K110" s="9" t="n">
        <x:v>0.2289</x:v>
      </x:c>
      <x:c r="L110" s="10" t="n">
        <x:v>64694</x:v>
      </x:c>
      <x:c r="M110" s="10" t="n">
        <x:v>126016</x:v>
      </x:c>
      <x:c r="N110" s="9" t="n">
        <x:v>0.0905</x:v>
      </x:c>
      <x:c r="O110" s="10" t="n">
        <x:v>114190</x:v>
      </x:c>
      <x:c r="P110" s="10" t="n">
        <x:v>64113</x:v>
      </x:c>
      <x:c r="Q110" s="9" t="n">
        <x:v>0.9061</x:v>
      </x:c>
      <x:c r="R110" s="9" t="n">
        <x:v>0.5614</x:v>
      </x:c>
      <x:c r="S110" s="9" t="n">
        <x:v>0.5087</x:v>
      </x:c>
    </x:row>
    <x:row r="111" ht="109" customHeight="1">
      <x:c r="A111" s="2" t="str">
        <x:v>green lantern ring</x:v>
      </x:c>
      <x:c r="B111" s="15" t="str">
        <x:v>green lantern ring, green lantern rings, green lantern replica ring, green lantern light up ring, green lantern power ring, green lantern ring glow in the dark, green lantern ring for men, anillo de linterna verde, glow in the dark green lantern ring, all the green lantern rings</x:v>
      </x:c>
      <x:c r="C111" s="10" t="n">
        <x:v>85</x:v>
      </x:c>
      <x:c r="D111" s="10" t="n">
        <x:v>279770</x:v>
      </x:c>
      <x:c r="E111" s="9" t="n">
        <x:v>3.2698</x:v>
      </x:c>
      <x:c r="F111" s="10" t="n">
        <x:v>2961740</x:v>
      </x:c>
      <x:c r="G111" s="10" t="n">
        <x:v>94307</x:v>
      </x:c>
      <x:c r="H111" s="9" t="n">
        <x:v>2.6662</x:v>
      </x:c>
      <x:c r="I111" s="9" t="n">
        <x:v>0.337</x:v>
      </x:c>
      <x:c r="J111" s="9" t="n">
        <x:v>0.0071</x:v>
      </x:c>
      <x:c r="K111" s="9" t="n">
        <x:v>0.0023</x:v>
      </x:c>
      <x:c r="L111" s="10" t="n">
        <x:v>670</x:v>
      </x:c>
      <x:c r="M111" s="10" t="n">
        <x:v>22129</x:v>
      </x:c>
      <x:c r="N111" s="9" t="n">
        <x:v>3.2491</x:v>
      </x:c>
      <x:c r="O111" s="10" t="n">
        <x:v>14960</x:v>
      </x:c>
      <x:c r="P111" s="10" t="n">
        <x:v>522</x:v>
      </x:c>
      <x:c r="Q111" s="9" t="n">
        <x:v>0.676</x:v>
      </x:c>
      <x:c r="R111" s="9" t="n">
        <x:v>0.0348</x:v>
      </x:c>
      <x:c r="S111" s="9" t="n">
        <x:v>0.0235</x:v>
      </x:c>
    </x:row>
    <x:row r="112" ht="109" customHeight="1">
      <x:c r="A112" s="2" t="str">
        <x:v>practical magic shirt</x:v>
      </x:c>
      <x:c r="B112" s="15" t="str">
        <x:v>practical magic shirt, practical magic shirts, practical magic 2 shirts, practical magic t shirt, practical magic 2 shirt, practical magic tshirts, practical magic t-shirt, practical magic t shirts, practical magic t-shirts, practical magic apparel</x:v>
      </x:c>
      <x:c r="C112" s="10" t="n">
        <x:v>48</x:v>
      </x:c>
      <x:c r="D112" s="10" t="n">
        <x:v>278961</x:v>
      </x:c>
      <x:c r="E112" s="9" t="n">
        <x:v>3.1755</x:v>
      </x:c>
      <x:c r="F112" s="10" t="n">
        <x:v>4238694</x:v>
      </x:c>
      <x:c r="G112" s="10" t="n">
        <x:v>128053</x:v>
      </x:c>
      <x:c r="H112" s="9" t="n">
        <x:v>2.9628</x:v>
      </x:c>
      <x:c r="I112" s="9" t="n">
        <x:v>0.459</x:v>
      </x:c>
      <x:c r="J112" s="9" t="n">
        <x:v>0.0305</x:v>
      </x:c>
      <x:c r="K112" s="9" t="n">
        <x:v>0.014</x:v>
      </x:c>
      <x:c r="L112" s="10" t="n">
        <x:v>3918</x:v>
      </x:c>
      <x:c r="M112" s="10" t="n">
        <x:v>20228</x:v>
      </x:c>
      <x:c r="N112" s="9" t="n">
        <x:v>2.9552</x:v>
      </x:c>
      <x:c r="O112" s="10" t="n">
        <x:v>16447</x:v>
      </x:c>
      <x:c r="P112" s="10" t="n">
        <x:v>1624</x:v>
      </x:c>
      <x:c r="Q112" s="9" t="n">
        <x:v>0.813</x:v>
      </x:c>
      <x:c r="R112" s="9" t="n">
        <x:v>0.0987</x:v>
      </x:c>
      <x:c r="S112" s="9" t="n">
        <x:v>0.0802</x:v>
      </x:c>
    </x:row>
    <x:row r="113" ht="71" customHeight="1">
      <x:c r="A113" s="2" t="str">
        <x:v>fnaf</x:v>
      </x:c>
      <x:c r="B113" s="15" t="str">
        <x:v>fnaf, fnaf action figures, fnaf toys, fnaf figures, fnaf action figures jazwares, fnaf figure, fnaf blind box, fnaf action figure, t13 fnaf, fnaf animatronic</x:v>
      </x:c>
      <x:c r="C113" s="10" t="n">
        <x:v>115</x:v>
      </x:c>
      <x:c r="D113" s="10" t="n">
        <x:v>277560</x:v>
      </x:c>
      <x:c r="E113" s="9" t="str">
        <x:v>'-0.0608</x:v>
      </x:c>
      <x:c r="F113" s="10" t="n">
        <x:v>4056638</x:v>
      </x:c>
      <x:c r="G113" s="10" t="n">
        <x:v>92863</x:v>
      </x:c>
      <x:c r="H113" s="9" t="str">
        <x:v>'-0.0401</x:v>
      </x:c>
      <x:c r="I113" s="9" t="n">
        <x:v>0.3345</x:v>
      </x:c>
      <x:c r="J113" s="9" t="n">
        <x:v>0.0163</x:v>
      </x:c>
      <x:c r="K113" s="9" t="n">
        <x:v>0.0054</x:v>
      </x:c>
      <x:c r="L113" s="10" t="n">
        <x:v>1521</x:v>
      </x:c>
      <x:c r="M113" s="10" t="n">
        <x:v>23645</x:v>
      </x:c>
      <x:c r="N113" s="9" t="str">
        <x:v>'-0.1004</x:v>
      </x:c>
      <x:c r="O113" s="10" t="n">
        <x:v>17082</x:v>
      </x:c>
      <x:c r="P113" s="10" t="n">
        <x:v>1157</x:v>
      </x:c>
      <x:c r="Q113" s="9" t="n">
        <x:v>0.7224</x:v>
      </x:c>
      <x:c r="R113" s="9" t="n">
        <x:v>0.0677</x:v>
      </x:c>
      <x:c r="S113" s="9" t="n">
        <x:v>0.0489</x:v>
      </x:c>
    </x:row>
    <x:row r="114" ht="109" customHeight="1">
      <x:c r="A114" s="2" t="str">
        <x:v>cat in the hat costume</x:v>
      </x:c>
      <x:c r="B114" s="15" t="str">
        <x:v>cat in the hat costume, cat in the hat costumes, cat and the hat costume, cat in the hat costume adult, cat in the hat costume kids, cat in the hat costume scary, scary cat in the hat costume, the cat in the hat costume, cat in the hat suit, cat in the hat adult costume</x:v>
      </x:c>
      <x:c r="C114" s="10" t="n">
        <x:v>116</x:v>
      </x:c>
      <x:c r="D114" s="10" t="n">
        <x:v>276581</x:v>
      </x:c>
      <x:c r="E114" s="9" t="n">
        <x:v>8.1504</x:v>
      </x:c>
      <x:c r="F114" s="10" t="n">
        <x:v>1255959</x:v>
      </x:c>
      <x:c r="G114" s="10" t="n">
        <x:v>78107</x:v>
      </x:c>
      <x:c r="H114" s="9" t="n">
        <x:v>7.2521</x:v>
      </x:c>
      <x:c r="I114" s="9" t="n">
        <x:v>0.2824</x:v>
      </x:c>
      <x:c r="J114" s="9" t="n">
        <x:v>0.0127</x:v>
      </x:c>
      <x:c r="K114" s="9" t="n">
        <x:v>0.0035</x:v>
      </x:c>
      <x:c r="L114" s="10" t="n">
        <x:v>994</x:v>
      </x:c>
      <x:c r="M114" s="10" t="n">
        <x:v>12728</x:v>
      </x:c>
      <x:c r="N114" s="9" t="n">
        <x:v>8.3136</x:v>
      </x:c>
      <x:c r="O114" s="10" t="n">
        <x:v>7695</x:v>
      </x:c>
      <x:c r="P114" s="10" t="n">
        <x:v>432</x:v>
      </x:c>
      <x:c r="Q114" s="9" t="n">
        <x:v>0.6045</x:v>
      </x:c>
      <x:c r="R114" s="9" t="n">
        <x:v>0.0561</x:v>
      </x:c>
      <x:c r="S114" s="9" t="n">
        <x:v>0.0339</x:v>
      </x:c>
    </x:row>
    <x:row r="115" ht="109" customHeight="1">
      <x:c r="A115" s="2" t="str">
        <x:v>harley quinn costume</x:v>
      </x:c>
      <x:c r="B115" s="15" t="str">
        <x:v>harley quinn costume, harley quinn costume women, harley quinn jacket, harley quinn costume woman, disfraz de harley quinn para mujer, harley quinn cosplay, harley quinn halloween costume, womens harley quinn costume, harley quinn classic jester costume, harley quinn dress</x:v>
      </x:c>
      <x:c r="C115" s="10" t="n">
        <x:v>134</x:v>
      </x:c>
      <x:c r="D115" s="10" t="n">
        <x:v>276135</x:v>
      </x:c>
      <x:c r="E115" s="9" t="n">
        <x:v>1.4392</x:v>
      </x:c>
      <x:c r="F115" s="10" t="n">
        <x:v>3033562</x:v>
      </x:c>
      <x:c r="G115" s="10" t="n">
        <x:v>97698</x:v>
      </x:c>
      <x:c r="H115" s="9" t="n">
        <x:v>1.5135</x:v>
      </x:c>
      <x:c r="I115" s="9" t="n">
        <x:v>0.3538</x:v>
      </x:c>
      <x:c r="J115" s="9" t="n">
        <x:v>0.0063</x:v>
      </x:c>
      <x:c r="K115" s="9" t="n">
        <x:v>0.0022</x:v>
      </x:c>
      <x:c r="L115" s="10" t="n">
        <x:v>625</x:v>
      </x:c>
      <x:c r="M115" s="10" t="n">
        <x:v>19833</x:v>
      </x:c>
      <x:c r="N115" s="9" t="n">
        <x:v>1.4379</x:v>
      </x:c>
      <x:c r="O115" s="10" t="n">
        <x:v>14864</x:v>
      </x:c>
      <x:c r="P115" s="10" t="n">
        <x:v>342</x:v>
      </x:c>
      <x:c r="Q115" s="9" t="n">
        <x:v>0.7494</x:v>
      </x:c>
      <x:c r="R115" s="9" t="n">
        <x:v>0.023</x:v>
      </x:c>
      <x:c r="S115" s="9" t="n">
        <x:v>0.0172</x:v>
      </x:c>
    </x:row>
    <x:row r="116" ht="90" customHeight="1">
      <x:c r="A116" s="2" t="str">
        <x:v>rotisserie chicken</x:v>
      </x:c>
      <x:c r="B116" s="15" t="str">
        <x:v>rotisserie chicken, rotisserie chicken cooked, organic rotisserie chicken, pulled chicken, roast chicken, shredded rotisserie chicken, prepared chicken, baked chicken, pulled rotisserie chicken, pollo asado</x:v>
      </x:c>
      <x:c r="C116" s="10" t="n">
        <x:v>133</x:v>
      </x:c>
      <x:c r="D116" s="10" t="n">
        <x:v>274859</x:v>
      </x:c>
      <x:c r="E116" s="9" t="n">
        <x:v>0.1751</x:v>
      </x:c>
      <x:c r="F116" s="10" t="n">
        <x:v>4302020</x:v>
      </x:c>
      <x:c r="G116" s="10" t="n">
        <x:v>86964</x:v>
      </x:c>
      <x:c r="H116" s="9" t="n">
        <x:v>0.1046</x:v>
      </x:c>
      <x:c r="I116" s="9" t="n">
        <x:v>0.3163</x:v>
      </x:c>
      <x:c r="J116" s="9" t="n">
        <x:v>0.3565</x:v>
      </x:c>
      <x:c r="K116" s="9" t="n">
        <x:v>0.1128</x:v>
      </x:c>
      <x:c r="L116" s="10" t="n">
        <x:v>31007</x:v>
      </x:c>
      <x:c r="M116" s="10" t="n">
        <x:v>80044</x:v>
      </x:c>
      <x:c r="N116" s="9" t="n">
        <x:v>0.1548</x:v>
      </x:c>
      <x:c r="O116" s="10" t="n">
        <x:v>61062</x:v>
      </x:c>
      <x:c r="P116" s="10" t="n">
        <x:v>30079</x:v>
      </x:c>
      <x:c r="Q116" s="9" t="n">
        <x:v>0.7628</x:v>
      </x:c>
      <x:c r="R116" s="9" t="n">
        <x:v>0.4925</x:v>
      </x:c>
      <x:c r="S116" s="9" t="n">
        <x:v>0.3757</x:v>
      </x:c>
    </x:row>
    <x:row r="117" ht="71" customHeight="1">
      <x:c r="A117" s="2" t="str">
        <x:v>pony beads</x:v>
      </x:c>
      <x:c r="B117" s="15" t="str">
        <x:v>pony beads, beads for crafts, candy beads, pony bead, kids beads, pony bead set, color beads, beads for shoelaces, beads for kandi, shoe lace beads</x:v>
      </x:c>
      <x:c r="C117" s="10" t="n">
        <x:v>121</x:v>
      </x:c>
      <x:c r="D117" s="10" t="n">
        <x:v>273649</x:v>
      </x:c>
      <x:c r="E117" s="9" t="n">
        <x:v>0.0312</x:v>
      </x:c>
      <x:c r="F117" s="10" t="n">
        <x:v>7733435</x:v>
      </x:c>
      <x:c r="G117" s="10" t="n">
        <x:v>125054</x:v>
      </x:c>
      <x:c r="H117" s="9" t="n">
        <x:v>0.003</x:v>
      </x:c>
      <x:c r="I117" s="9" t="n">
        <x:v>0.4569</x:v>
      </x:c>
      <x:c r="J117" s="9" t="n">
        <x:v>0.0988</x:v>
      </x:c>
      <x:c r="K117" s="9" t="n">
        <x:v>0.0451</x:v>
      </x:c>
      <x:c r="L117" s="10" t="n">
        <x:v>12362</x:v>
      </x:c>
      <x:c r="M117" s="10" t="n">
        <x:v>60943</x:v>
      </x:c>
      <x:c r="N117" s="9" t="n">
        <x:v>0.0354</x:v>
      </x:c>
      <x:c r="O117" s="10" t="n">
        <x:v>50094</x:v>
      </x:c>
      <x:c r="P117" s="10" t="n">
        <x:v>14037</x:v>
      </x:c>
      <x:c r="Q117" s="9" t="n">
        <x:v>0.8219</x:v>
      </x:c>
      <x:c r="R117" s="9" t="n">
        <x:v>0.2802</x:v>
      </x:c>
      <x:c r="S117" s="9" t="n">
        <x:v>0.2303</x:v>
      </x:c>
    </x:row>
    <x:row r="118" ht="90" customHeight="1">
      <x:c r="A118" s="2" t="str">
        <x:v>slingshot</x:v>
      </x:c>
      <x:c r="B118" s="15" t="str">
        <x:v>slingshot, slingshots for adults, impact toys slingshot, slingshots, magnetic slingshot, slingshot for adults, impact toys sling shot, slingshots for sale, impacto toys resortera, slingshot with clip</x:v>
      </x:c>
      <x:c r="C118" s="10" t="n">
        <x:v>33</x:v>
      </x:c>
      <x:c r="D118" s="10" t="n">
        <x:v>272798</x:v>
      </x:c>
      <x:c r="E118" s="9" t="n">
        <x:v>0.4085</x:v>
      </x:c>
      <x:c r="F118" s="10" t="n">
        <x:v>7133699</x:v>
      </x:c>
      <x:c r="G118" s="10" t="n">
        <x:v>114723</x:v>
      </x:c>
      <x:c r="H118" s="9" t="n">
        <x:v>0.544</x:v>
      </x:c>
      <x:c r="I118" s="9" t="n">
        <x:v>0.4205</x:v>
      </x:c>
      <x:c r="J118" s="9" t="n">
        <x:v>0.0284</x:v>
      </x:c>
      <x:c r="K118" s="9" t="n">
        <x:v>0.0119</x:v>
      </x:c>
      <x:c r="L118" s="10" t="n">
        <x:v>3268</x:v>
      </x:c>
      <x:c r="M118" s="10" t="n">
        <x:v>65007</x:v>
      </x:c>
      <x:c r="N118" s="9" t="n">
        <x:v>0.4477</x:v>
      </x:c>
      <x:c r="O118" s="10" t="n">
        <x:v>46484</x:v>
      </x:c>
      <x:c r="P118" s="10" t="n">
        <x:v>3335</x:v>
      </x:c>
      <x:c r="Q118" s="9" t="n">
        <x:v>0.715</x:v>
      </x:c>
      <x:c r="R118" s="9" t="n">
        <x:v>0.0717</x:v>
      </x:c>
      <x:c r="S118" s="9" t="n">
        <x:v>0.0513</x:v>
      </x:c>
    </x:row>
    <x:row r="119" ht="109" customHeight="1">
      <x:c r="A119" s="2" t="str">
        <x:v>women tops</x:v>
      </x:c>
      <x:c r="B119" s="15" t="str">
        <x:v>women tops, waffle knit tops for women, nice shirts for women, layered look tops for women, 2 in 1 tops for women, womans shirt, faux layered tops for women, two in one tops for women, 2 in 1 layered look tops for women, womens new arrivals fall 2026</x:v>
      </x:c>
      <x:c r="C119" s="10" t="n">
        <x:v>82</x:v>
      </x:c>
      <x:c r="D119" s="10" t="n">
        <x:v>270883</x:v>
      </x:c>
      <x:c r="E119" s="9" t="n">
        <x:v>0.0328</x:v>
      </x:c>
      <x:c r="F119" s="10" t="n">
        <x:v>9869699</x:v>
      </x:c>
      <x:c r="G119" s="10" t="n">
        <x:v>75399</x:v>
      </x:c>
      <x:c r="H119" s="9" t="n">
        <x:v>0.0992</x:v>
      </x:c>
      <x:c r="I119" s="9" t="n">
        <x:v>0.2783</x:v>
      </x:c>
      <x:c r="J119" s="9" t="n">
        <x:v>0.014</x:v>
      </x:c>
      <x:c r="K119" s="9" t="n">
        <x:v>0.0039</x:v>
      </x:c>
      <x:c r="L119" s="10" t="n">
        <x:v>1063</x:v>
      </x:c>
      <x:c r="M119" s="10" t="n">
        <x:v>42229</x:v>
      </x:c>
      <x:c r="N119" s="9" t="n">
        <x:v>0.0489</x:v>
      </x:c>
      <x:c r="O119" s="10" t="n">
        <x:v>32621</x:v>
      </x:c>
      <x:c r="P119" s="10" t="n">
        <x:v>4788</x:v>
      </x:c>
      <x:c r="Q119" s="9" t="n">
        <x:v>0.7724</x:v>
      </x:c>
      <x:c r="R119" s="9" t="n">
        <x:v>0.1467</x:v>
      </x:c>
      <x:c r="S119" s="9" t="n">
        <x:v>0.1133</x:v>
      </x:c>
    </x:row>
    <x:row r="120" ht="71" customHeight="1">
      <x:c r="A120" s="2" t="str">
        <x:v>k cups</x:v>
      </x:c>
      <x:c r="B120" s="15" t="str">
        <x:v>k cups, k cup, k cup variety pack, k cups clearance, k cups on sale, k cup clearance sale, k. cups, k-cups coffee, kcups deals, k cup deals</x:v>
      </x:c>
      <x:c r="C120" s="10" t="n">
        <x:v>76</x:v>
      </x:c>
      <x:c r="D120" s="10" t="n">
        <x:v>270015</x:v>
      </x:c>
      <x:c r="E120" s="9" t="n">
        <x:v>0.1003</x:v>
      </x:c>
      <x:c r="F120" s="10" t="n">
        <x:v>8879829</x:v>
      </x:c>
      <x:c r="G120" s="10" t="n">
        <x:v>88013</x:v>
      </x:c>
      <x:c r="H120" s="9" t="n">
        <x:v>0.0582</x:v>
      </x:c>
      <x:c r="I120" s="9" t="n">
        <x:v>0.3259</x:v>
      </x:c>
      <x:c r="J120" s="9" t="n">
        <x:v>0.2906</x:v>
      </x:c>
      <x:c r="K120" s="9" t="n">
        <x:v>0.0947</x:v>
      </x:c>
      <x:c r="L120" s="10" t="n">
        <x:v>25579</x:v>
      </x:c>
      <x:c r="M120" s="10" t="n">
        <x:v>76826</x:v>
      </x:c>
      <x:c r="N120" s="9" t="n">
        <x:v>0.0362</x:v>
      </x:c>
      <x:c r="O120" s="10" t="n">
        <x:v>56530</x:v>
      </x:c>
      <x:c r="P120" s="10" t="n">
        <x:v>29172</x:v>
      </x:c>
      <x:c r="Q120" s="9" t="n">
        <x:v>0.7358</x:v>
      </x:c>
      <x:c r="R120" s="9" t="n">
        <x:v>0.516</x:v>
      </x:c>
      <x:c r="S120" s="9" t="n">
        <x:v>0.3797</x:v>
      </x:c>
    </x:row>
    <x:row r="121" ht="71" customHeight="1">
      <x:c r="A121" s="2" t="str">
        <x:v>fall boots</x:v>
      </x:c>
      <x:c r="B121" s="15" t="str">
        <x:v>fall boots, boot heels, slouch boots, boots for fall, lucia voss boots, knee high wedge boots, slouchy knee high boots, boots with heel, fall heel boots, cool boots</x:v>
      </x:c>
      <x:c r="C121" s="10" t="n">
        <x:v>98</x:v>
      </x:c>
      <x:c r="D121" s="10" t="n">
        <x:v>268409</x:v>
      </x:c>
      <x:c r="E121" s="9" t="n">
        <x:v>1.4242</x:v>
      </x:c>
      <x:c r="F121" s="10" t="n">
        <x:v>3999128</x:v>
      </x:c>
      <x:c r="G121" s="10" t="n">
        <x:v>61891</x:v>
      </x:c>
      <x:c r="H121" s="9" t="n">
        <x:v>1.3244</x:v>
      </x:c>
      <x:c r="I121" s="9" t="n">
        <x:v>0.2305</x:v>
      </x:c>
      <x:c r="J121" s="9" t="n">
        <x:v>0.0064</x:v>
      </x:c>
      <x:c r="K121" s="9" t="n">
        <x:v>0.0014</x:v>
      </x:c>
      <x:c r="L121" s="10" t="n">
        <x:v>397</x:v>
      </x:c>
      <x:c r="M121" s="10" t="n">
        <x:v>28962</x:v>
      </x:c>
      <x:c r="N121" s="9" t="n">
        <x:v>1.4154</x:v>
      </x:c>
      <x:c r="O121" s="10" t="n">
        <x:v>20708</x:v>
      </x:c>
      <x:c r="P121" s="10" t="n">
        <x:v>682</x:v>
      </x:c>
      <x:c r="Q121" s="9" t="n">
        <x:v>0.715</x:v>
      </x:c>
      <x:c r="R121" s="9" t="n">
        <x:v>0.0329</x:v>
      </x:c>
      <x:c r="S121" s="9" t="n">
        <x:v>0.0235</x:v>
      </x:c>
    </x:row>
    <x:row r="122" ht="71" customHeight="1">
      <x:c r="A122" s="2" t="str">
        <x:v>rings for women</x:v>
      </x:c>
      <x:c r="B122" s="15" t="str">
        <x:v>rings for women, women ring, stackable ring, band rings, stacking ring, woman ring, simple ring, ladies ring, thin ring, x rings for women</x:v>
      </x:c>
      <x:c r="C122" s="10" t="n">
        <x:v>56</x:v>
      </x:c>
      <x:c r="D122" s="10" t="n">
        <x:v>266813</x:v>
      </x:c>
      <x:c r="E122" s="9" t="str">
        <x:v>'-0.1079</x:v>
      </x:c>
      <x:c r="F122" s="10" t="n">
        <x:v>7940852</x:v>
      </x:c>
      <x:c r="G122" s="10" t="n">
        <x:v>75589</x:v>
      </x:c>
      <x:c r="H122" s="9" t="str">
        <x:v>'-0.1235</x:v>
      </x:c>
      <x:c r="I122" s="9" t="n">
        <x:v>0.2833</x:v>
      </x:c>
      <x:c r="J122" s="9" t="n">
        <x:v>0.0206</x:v>
      </x:c>
      <x:c r="K122" s="9" t="n">
        <x:v>0.0058</x:v>
      </x:c>
      <x:c r="L122" s="10" t="n">
        <x:v>1562</x:v>
      </x:c>
      <x:c r="M122" s="10" t="n">
        <x:v>41060</x:v>
      </x:c>
      <x:c r="N122" s="9" t="str">
        <x:v>'-0.1346</x:v>
      </x:c>
      <x:c r="O122" s="10" t="n">
        <x:v>30183</x:v>
      </x:c>
      <x:c r="P122" s="10" t="n">
        <x:v>3699</x:v>
      </x:c>
      <x:c r="Q122" s="9" t="n">
        <x:v>0.735</x:v>
      </x:c>
      <x:c r="R122" s="9" t="n">
        <x:v>0.1225</x:v>
      </x:c>
      <x:c r="S122" s="9" t="n">
        <x:v>0.09</x:v>
      </x:c>
    </x:row>
    <x:row r="123" ht="71" customHeight="1">
      <x:c r="A123" s="2" t="str">
        <x:v>cat food dry</x:v>
      </x:c>
      <x:c r="B123" s="15" t="str">
        <x:v>cat food dry, cat dry food, dry cat food indoor, catfood dry food, cat kibble, dry food cat, dry catfood, indoor cat food dry, kitty food dry, cat kibble dry food</x:v>
      </x:c>
      <x:c r="C123" s="10" t="n">
        <x:v>157</x:v>
      </x:c>
      <x:c r="D123" s="10" t="n">
        <x:v>263531</x:v>
      </x:c>
      <x:c r="E123" s="9" t="n">
        <x:v>0.0272</x:v>
      </x:c>
      <x:c r="F123" s="10" t="n">
        <x:v>8799372</x:v>
      </x:c>
      <x:c r="G123" s="10" t="n">
        <x:v>99761</x:v>
      </x:c>
      <x:c r="H123" s="9" t="str">
        <x:v>'-0.0523</x:v>
      </x:c>
      <x:c r="I123" s="9" t="n">
        <x:v>0.3785</x:v>
      </x:c>
      <x:c r="J123" s="9" t="n">
        <x:v>0.3297</x:v>
      </x:c>
      <x:c r="K123" s="9" t="n">
        <x:v>0.1248</x:v>
      </x:c>
      <x:c r="L123" s="10" t="n">
        <x:v>32892</x:v>
      </x:c>
      <x:c r="M123" s="10" t="n">
        <x:v>87076</x:v>
      </x:c>
      <x:c r="N123" s="9" t="n">
        <x:v>0.0101</x:v>
      </x:c>
      <x:c r="O123" s="10" t="n">
        <x:v>71947</x:v>
      </x:c>
      <x:c r="P123" s="10" t="n">
        <x:v>39619</x:v>
      </x:c>
      <x:c r="Q123" s="9" t="n">
        <x:v>0.8262</x:v>
      </x:c>
      <x:c r="R123" s="9" t="n">
        <x:v>0.5506</x:v>
      </x:c>
      <x:c r="S123" s="9" t="n">
        <x:v>0.4549</x:v>
      </x:c>
    </x:row>
    <x:row r="124" ht="109" customHeight="1">
      <x:c r="A124" s="2" t="str">
        <x:v>wedding registry search by name</x:v>
      </x:c>
      <x:c r="B124" s="15" t="str">
        <x:v>wedding registry search by name, apres, registry wedding registry by name, bridal registry by brides name, wedding registry search, apr, bridal shower registry by brides name, old country kitchenware, find bridal registry by brides name, hairstylist outfits</x:v>
      </x:c>
      <x:c r="C124" s="10" t="n">
        <x:v>78</x:v>
      </x:c>
      <x:c r="D124" s="10" t="n">
        <x:v>261117</x:v>
      </x:c>
      <x:c r="E124" s="9" t="str">
        <x:v>'-0.153</x:v>
      </x:c>
      <x:c r="F124" s="10" t="n">
        <x:v>7045352</x:v>
      </x:c>
      <x:c r="G124" s="10" t="n">
        <x:v>31152</x:v>
      </x:c>
      <x:c r="H124" s="9" t="n">
        <x:v>0.0572</x:v>
      </x:c>
      <x:c r="I124" s="9" t="n">
        <x:v>0.1193</x:v>
      </x:c>
      <x:c r="J124" s="9" t="n">
        <x:v>0.0586</x:v>
      </x:c>
      <x:c r="K124" s="9" t="n">
        <x:v>0.007</x:v>
      </x:c>
      <x:c r="L124" s="10" t="n">
        <x:v>1828</x:v>
      </x:c>
      <x:c r="M124" s="10" t="n">
        <x:v>116153</x:v>
      </x:c>
      <x:c r="N124" s="9" t="str">
        <x:v>'-0.1716</x:v>
      </x:c>
      <x:c r="O124" s="10" t="n">
        <x:v>14079</x:v>
      </x:c>
      <x:c r="P124" s="10" t="n">
        <x:v>1693</x:v>
      </x:c>
      <x:c r="Q124" s="9" t="n">
        <x:v>0.1212</x:v>
      </x:c>
      <x:c r="R124" s="9" t="n">
        <x:v>0.1202</x:v>
      </x:c>
      <x:c r="S124" s="9" t="n">
        <x:v>0.0145</x:v>
      </x:c>
    </x:row>
    <x:row r="125" ht="109" customHeight="1">
      <x:c r="A125" s="2" t="str">
        <x:v>fall dresses for women 2026</x:v>
      </x:c>
      <x:c r="B125" s="15" t="str">
        <x:v>fall dresses for women 2026, dresses for women fall, new fall dresses for women 2026, 2026 fall dresses for women, fall shirt dresses for women, fall dresses women 2026, body-con dresses women fall, fall dress casual women, maxi dresses for women fall 2026, fall dressy dresses for women 2026</x:v>
      </x:c>
      <x:c r="C125" s="10" t="n">
        <x:v>75</x:v>
      </x:c>
      <x:c r="D125" s="10" t="n">
        <x:v>260714</x:v>
      </x:c>
      <x:c r="E125" s="9" t="n">
        <x:v>1.1449</x:v>
      </x:c>
      <x:c r="F125" s="10" t="n">
        <x:v>5467272</x:v>
      </x:c>
      <x:c r="G125" s="10" t="n">
        <x:v>76483</x:v>
      </x:c>
      <x:c r="H125" s="9" t="n">
        <x:v>1.1238</x:v>
      </x:c>
      <x:c r="I125" s="9" t="n">
        <x:v>0.2933</x:v>
      </x:c>
      <x:c r="J125" s="9" t="n">
        <x:v>0.0057</x:v>
      </x:c>
      <x:c r="K125" s="9" t="n">
        <x:v>0.0016</x:v>
      </x:c>
      <x:c r="L125" s="10" t="n">
        <x:v>439</x:v>
      </x:c>
      <x:c r="M125" s="10" t="n">
        <x:v>23423</x:v>
      </x:c>
      <x:c r="N125" s="9" t="n">
        <x:v>1.0363</x:v>
      </x:c>
      <x:c r="O125" s="10" t="n">
        <x:v>19281</x:v>
      </x:c>
      <x:c r="P125" s="10" t="n">
        <x:v>1201</x:v>
      </x:c>
      <x:c r="Q125" s="9" t="n">
        <x:v>0.8231</x:v>
      </x:c>
      <x:c r="R125" s="9" t="n">
        <x:v>0.0622</x:v>
      </x:c>
      <x:c r="S125" s="9" t="n">
        <x:v>0.0512</x:v>
      </x:c>
    </x:row>
    <x:row r="126" ht="71" customHeight="1">
      <x:c r="A126" s="2" t="str">
        <x:v>red onion</x:v>
      </x:c>
      <x:c r="B126" s="15" t="str">
        <x:v>red onion, onions fresh, purple onion, cebolla, red onions fresh, onions fresh bag, onion red, onion white, fresh onion, onion fresh</x:v>
      </x:c>
      <x:c r="C126" s="10" t="n">
        <x:v>42</x:v>
      </x:c>
      <x:c r="D126" s="10" t="n">
        <x:v>260685</x:v>
      </x:c>
      <x:c r="E126" s="9" t="n">
        <x:v>0.0239</x:v>
      </x:c>
      <x:c r="F126" s="10" t="n">
        <x:v>5837507</x:v>
      </x:c>
      <x:c r="G126" s="10" t="n">
        <x:v>169183</x:v>
      </x:c>
      <x:c r="H126" s="9" t="str">
        <x:v>'-0.0104</x:v>
      </x:c>
      <x:c r="I126" s="9" t="n">
        <x:v>0.6489</x:v>
      </x:c>
      <x:c r="J126" s="9" t="n">
        <x:v>0.5594</x:v>
      </x:c>
      <x:c r="K126" s="9" t="n">
        <x:v>0.3631</x:v>
      </x:c>
      <x:c r="L126" s="10" t="n">
        <x:v>94655</x:v>
      </x:c>
      <x:c r="M126" s="10" t="n">
        <x:v>161649</x:v>
      </x:c>
      <x:c r="N126" s="9" t="n">
        <x:v>0.021</x:v>
      </x:c>
      <x:c r="O126" s="10" t="n">
        <x:v>154440</x:v>
      </x:c>
      <x:c r="P126" s="10" t="n">
        <x:v>98182</x:v>
      </x:c>
      <x:c r="Q126" s="9" t="n">
        <x:v>0.9554</x:v>
      </x:c>
      <x:c r="R126" s="9" t="n">
        <x:v>0.6357</x:v>
      </x:c>
      <x:c r="S126" s="9" t="n">
        <x:v>0.6073</x:v>
      </x:c>
    </x:row>
    <x:row r="127" ht="90" customHeight="1">
      <x:c r="A127" s="2" t="str">
        <x:v>halloween shirts</x:v>
      </x:c>
      <x:c r="B127" s="15" t="str">
        <x:v>halloween shirts, halloween shirt, halloween tshirt, halloween t shirt, ghost shirt, vintage halloween shirts, scary halloween shirts, halloween t-shirt, tis the season halloween shirt, ghost tshirt</x:v>
      </x:c>
      <x:c r="C127" s="10" t="n">
        <x:v>145</x:v>
      </x:c>
      <x:c r="D127" s="10" t="n">
        <x:v>260344</x:v>
      </x:c>
      <x:c r="E127" s="9" t="n">
        <x:v>1.1679</x:v>
      </x:c>
      <x:c r="F127" s="10" t="n">
        <x:v>4705616</x:v>
      </x:c>
      <x:c r="G127" s="10" t="n">
        <x:v>68730</x:v>
      </x:c>
      <x:c r="H127" s="9" t="n">
        <x:v>0.8622</x:v>
      </x:c>
      <x:c r="I127" s="9" t="n">
        <x:v>0.2639</x:v>
      </x:c>
      <x:c r="J127" s="9" t="n">
        <x:v>0.019</x:v>
      </x:c>
      <x:c r="K127" s="9" t="n">
        <x:v>0.005</x:v>
      </x:c>
      <x:c r="L127" s="10" t="n">
        <x:v>1309</x:v>
      </x:c>
      <x:c r="M127" s="10" t="n">
        <x:v>24686</x:v>
      </x:c>
      <x:c r="N127" s="9" t="n">
        <x:v>1.233</x:v>
      </x:c>
      <x:c r="O127" s="10" t="n">
        <x:v>18274</x:v>
      </x:c>
      <x:c r="P127" s="10" t="n">
        <x:v>1676</x:v>
      </x:c>
      <x:c r="Q127" s="9" t="n">
        <x:v>0.7402</x:v>
      </x:c>
      <x:c r="R127" s="9" t="n">
        <x:v>0.0917</x:v>
      </x:c>
      <x:c r="S127" s="9" t="n">
        <x:v>0.0678</x:v>
      </x:c>
    </x:row>
    <x:row r="128" ht="90" customHeight="1">
      <x:c r="A128" s="2" t="str">
        <x:v>chicken nuggets</x:v>
      </x:c>
      <x:c r="B128" s="15" t="str">
        <x:v>chicken nuggets, nuggets, chicken nuggets frozen, chicken nugget, frozen chicken nuggets, dinosaur nuggets, frozen nuggets, vegan chicken nuggets, bell and evans chicken nuggets, dino chicken nuggets</x:v>
      </x:c>
      <x:c r="C128" s="10" t="n">
        <x:v>146</x:v>
      </x:c>
      <x:c r="D128" s="10" t="n">
        <x:v>260069</x:v>
      </x:c>
      <x:c r="E128" s="9" t="n">
        <x:v>0.1175</x:v>
      </x:c>
      <x:c r="F128" s="10" t="n">
        <x:v>5267467</x:v>
      </x:c>
      <x:c r="G128" s="10" t="n">
        <x:v>90909</x:v>
      </x:c>
      <x:c r="H128" s="9" t="n">
        <x:v>0.0554</x:v>
      </x:c>
      <x:c r="I128" s="9" t="n">
        <x:v>0.3495</x:v>
      </x:c>
      <x:c r="J128" s="9" t="n">
        <x:v>0.36</x:v>
      </x:c>
      <x:c r="K128" s="9" t="n">
        <x:v>0.1258</x:v>
      </x:c>
      <x:c r="L128" s="10" t="n">
        <x:v>32734</x:v>
      </x:c>
      <x:c r="M128" s="10" t="n">
        <x:v>77272</x:v>
      </x:c>
      <x:c r="N128" s="9" t="n">
        <x:v>0.1067</x:v>
      </x:c>
      <x:c r="O128" s="10" t="n">
        <x:v>65092</x:v>
      </x:c>
      <x:c r="P128" s="10" t="n">
        <x:v>34035</x:v>
      </x:c>
      <x:c r="Q128" s="9" t="n">
        <x:v>0.8423</x:v>
      </x:c>
      <x:c r="R128" s="9" t="n">
        <x:v>0.5228</x:v>
      </x:c>
      <x:c r="S128" s="9" t="n">
        <x:v>0.4404</x:v>
      </x:c>
    </x:row>
    <x:row r="129" ht="71" customHeight="1">
      <x:c r="A129" s="2" t="str">
        <x:v>anime figure</x:v>
      </x:c>
      <x:c r="B129" s="15" t="str">
        <x:v>anime figure, anime figures, figures anime, cute figures, miku figure cheap, cute figure, madoka magic, ddlc figures, garage kit figure, prize figures</x:v>
      </x:c>
      <x:c r="C129" s="10" t="n">
        <x:v>17</x:v>
      </x:c>
      <x:c r="D129" s="10" t="n">
        <x:v>258859</x:v>
      </x:c>
      <x:c r="E129" s="9" t="n">
        <x:v>0.039</x:v>
      </x:c>
      <x:c r="F129" s="10" t="n">
        <x:v>3512511</x:v>
      </x:c>
      <x:c r="G129" s="10" t="n">
        <x:v>80636</x:v>
      </x:c>
      <x:c r="H129" s="9" t="n">
        <x:v>0.0394</x:v>
      </x:c>
      <x:c r="I129" s="9" t="n">
        <x:v>0.3115</x:v>
      </x:c>
      <x:c r="J129" s="9" t="n">
        <x:v>0.0065</x:v>
      </x:c>
      <x:c r="K129" s="9" t="n">
        <x:v>0.002</x:v>
      </x:c>
      <x:c r="L129" s="10" t="n">
        <x:v>526</x:v>
      </x:c>
      <x:c r="M129" s="10" t="n">
        <x:v>15052</x:v>
      </x:c>
      <x:c r="N129" s="9" t="n">
        <x:v>0.0389</x:v>
      </x:c>
      <x:c r="O129" s="10" t="n">
        <x:v>11089</x:v>
      </x:c>
      <x:c r="P129" s="10" t="n">
        <x:v>373</x:v>
      </x:c>
      <x:c r="Q129" s="9" t="n">
        <x:v>0.7367</x:v>
      </x:c>
      <x:c r="R129" s="9" t="n">
        <x:v>0.0336</x:v>
      </x:c>
      <x:c r="S129" s="9" t="n">
        <x:v>0.0247</x:v>
      </x:c>
    </x:row>
    <x:row r="130" ht="71" customHeight="1">
      <x:c r="A130" s="2" t="str">
        <x:v>dolly shirt</x:v>
      </x:c>
      <x:c r="B130" s="15" t="str">
        <x:v>dolly shirt, dolly tshirt, dolly shirts, dolly t shirt, dolly tshirts, dolly tee, be like dolly shirt, love like dolly shirt, dolly t shirts, dolly tee shirt</x:v>
      </x:c>
      <x:c r="C130" s="10" t="n">
        <x:v>140</x:v>
      </x:c>
      <x:c r="D130" s="10" t="n">
        <x:v>256444</x:v>
      </x:c>
      <x:c r="E130" s="9" t="n">
        <x:v>78.5175</x:v>
      </x:c>
      <x:c r="F130" s="10" t="n">
        <x:v>5315670</x:v>
      </x:c>
      <x:c r="G130" s="10" t="n">
        <x:v>90924</x:v>
      </x:c>
      <x:c r="H130" s="9" t="n">
        <x:v>100.7046</x:v>
      </x:c>
      <x:c r="I130" s="9" t="n">
        <x:v>0.3545</x:v>
      </x:c>
      <x:c r="J130" s="9" t="n">
        <x:v>0.0367</x:v>
      </x:c>
      <x:c r="K130" s="9" t="n">
        <x:v>0.013</x:v>
      </x:c>
      <x:c r="L130" s="10" t="n">
        <x:v>3338</x:v>
      </x:c>
      <x:c r="M130" s="10" t="n">
        <x:v>31216</x:v>
      </x:c>
      <x:c r="N130" s="9" t="n">
        <x:v>68.2232</x:v>
      </x:c>
      <x:c r="O130" s="10" t="n">
        <x:v>19808</x:v>
      </x:c>
      <x:c r="P130" s="10" t="n">
        <x:v>2852</x:v>
      </x:c>
      <x:c r="Q130" s="9" t="n">
        <x:v>0.6345</x:v>
      </x:c>
      <x:c r="R130" s="9" t="n">
        <x:v>0.1439</x:v>
      </x:c>
      <x:c r="S130" s="9" t="n">
        <x:v>0.0913</x:v>
      </x:c>
    </x:row>
    <x:row r="131" ht="90" customHeight="1">
      <x:c r="A131" s="2" t="str">
        <x:v>flip flops</x:v>
      </x:c>
      <x:c r="B131" s="15" t="str">
        <x:v>flip flops, havana flip flops, studded flip flops, square sandals, flip flops square toe, womans flip flops, flip flops waterproof, chic flip flops, sandals square toe, square toe flip flop</x:v>
      </x:c>
      <x:c r="C131" s="10" t="n">
        <x:v>88</x:v>
      </x:c>
      <x:c r="D131" s="10" t="n">
        <x:v>255956</x:v>
      </x:c>
      <x:c r="E131" s="9" t="str">
        <x:v>'-0.2584</x:v>
      </x:c>
      <x:c r="F131" s="10" t="n">
        <x:v>11098734</x:v>
      </x:c>
      <x:c r="G131" s="10" t="n">
        <x:v>76396</x:v>
      </x:c>
      <x:c r="H131" s="9" t="str">
        <x:v>'-0.2402</x:v>
      </x:c>
      <x:c r="I131" s="9" t="n">
        <x:v>0.2984</x:v>
      </x:c>
      <x:c r="J131" s="9" t="n">
        <x:v>0.0326</x:v>
      </x:c>
      <x:c r="K131" s="9" t="n">
        <x:v>0.0097</x:v>
      </x:c>
      <x:c r="L131" s="10" t="n">
        <x:v>2491</x:v>
      </x:c>
      <x:c r="M131" s="10" t="n">
        <x:v>81260</x:v>
      </x:c>
      <x:c r="N131" s="9" t="str">
        <x:v>'-0.2493</x:v>
      </x:c>
      <x:c r="O131" s="10" t="n">
        <x:v>59480</x:v>
      </x:c>
      <x:c r="P131" s="10" t="n">
        <x:v>14066</x:v>
      </x:c>
      <x:c r="Q131" s="9" t="n">
        <x:v>0.7319</x:v>
      </x:c>
      <x:c r="R131" s="9" t="n">
        <x:v>0.2364</x:v>
      </x:c>
      <x:c r="S131" s="9" t="n">
        <x:v>0.173</x:v>
      </x:c>
    </x:row>
    <x:row r="132" ht="90" customHeight="1">
      <x:c r="A132" s="2" t="str">
        <x:v>lithium batteries aa</x:v>
      </x:c>
      <x:c r="B132" s="15" t="str">
        <x:v>lithium batteries aa, aa lithium batteries, aa lithium batteries for blink outdoor camera, aa batteries lithium, lithium aa, aa lithium, aa lithium batteries., blink camera batteries aa lithium, lithium aa battery, lithium battery aa</x:v>
      </x:c>
      <x:c r="C132" s="10" t="n">
        <x:v>175</x:v>
      </x:c>
      <x:c r="D132" s="10" t="n">
        <x:v>255212</x:v>
      </x:c>
      <x:c r="E132" s="9" t="n">
        <x:v>0.0101</x:v>
      </x:c>
      <x:c r="F132" s="10" t="n">
        <x:v>9559759</x:v>
      </x:c>
      <x:c r="G132" s="10" t="n">
        <x:v>112722</x:v>
      </x:c>
      <x:c r="H132" s="9" t="str">
        <x:v>'-0.0233</x:v>
      </x:c>
      <x:c r="I132" s="9" t="n">
        <x:v>0.4416</x:v>
      </x:c>
      <x:c r="J132" s="9" t="n">
        <x:v>0.3672</x:v>
      </x:c>
      <x:c r="K132" s="9" t="n">
        <x:v>0.1622</x:v>
      </x:c>
      <x:c r="L132" s="10" t="n">
        <x:v>41397</x:v>
      </x:c>
      <x:c r="M132" s="10" t="n">
        <x:v>113206</x:v>
      </x:c>
      <x:c r="N132" s="9" t="n">
        <x:v>0.0416</x:v>
      </x:c>
      <x:c r="O132" s="10" t="n">
        <x:v>92575</x:v>
      </x:c>
      <x:c r="P132" s="10" t="n">
        <x:v>50337</x:v>
      </x:c>
      <x:c r="Q132" s="9" t="n">
        <x:v>0.8177</x:v>
      </x:c>
      <x:c r="R132" s="9" t="n">
        <x:v>0.5437</x:v>
      </x:c>
      <x:c r="S132" s="9" t="n">
        <x:v>0.4446</x:v>
      </x:c>
    </x:row>
    <x:row r="133" ht="90" customHeight="1">
      <x:c r="A133" s="2" t="str">
        <x:v>womens ankle boots</x:v>
      </x:c>
      <x:c r="B133" s="15" t="str">
        <x:v>womens ankle boots, chelsea boots women, chelsea boots, womens chelsea boots, chelsea boot, womens casual boots, comfy boots for women, womens fall ankle boots, boots ankle, womens chelsea ankle boots</x:v>
      </x:c>
      <x:c r="C133" s="10" t="n">
        <x:v>165</x:v>
      </x:c>
      <x:c r="D133" s="10" t="n">
        <x:v>252992</x:v>
      </x:c>
      <x:c r="E133" s="9" t="n">
        <x:v>0.9771</x:v>
      </x:c>
      <x:c r="F133" s="10" t="n">
        <x:v>4962661</x:v>
      </x:c>
      <x:c r="G133" s="10" t="n">
        <x:v>61022</x:v>
      </x:c>
      <x:c r="H133" s="9" t="n">
        <x:v>1.0183</x:v>
      </x:c>
      <x:c r="I133" s="9" t="n">
        <x:v>0.2412</x:v>
      </x:c>
      <x:c r="J133" s="9" t="n">
        <x:v>0.0072</x:v>
      </x:c>
      <x:c r="K133" s="9" t="n">
        <x:v>0.0017</x:v>
      </x:c>
      <x:c r="L133" s="10" t="n">
        <x:v>443</x:v>
      </x:c>
      <x:c r="M133" s="10" t="n">
        <x:v>28283</x:v>
      </x:c>
      <x:c r="N133" s="9" t="n">
        <x:v>0.8374</x:v>
      </x:c>
      <x:c r="O133" s="10" t="n">
        <x:v>21399</x:v>
      </x:c>
      <x:c r="P133" s="10" t="n">
        <x:v>1404</x:v>
      </x:c>
      <x:c r="Q133" s="9" t="n">
        <x:v>0.7566</x:v>
      </x:c>
      <x:c r="R133" s="9" t="n">
        <x:v>0.0656</x:v>
      </x:c>
      <x:c r="S133" s="9" t="n">
        <x:v>0.0496</x:v>
      </x:c>
    </x:row>
    <x:row r="134" ht="109" customHeight="1">
      <x:c r="A134" s="2" t="str">
        <x:v>dolly parton cookbook</x:v>
      </x:c>
      <x:c r="B134" s="15" t="str">
        <x:v>dolly parton cookbook, dolly parton cookbook 2026, dolly parton cookbooks, dolly partons cookbook, dolly parton cook book, dolly parton recipe book, dolly parton cook books, dolly parton new cookbook, dolly parton cookbook 1989, dolly parton cooking</x:v>
      </x:c>
      <x:c r="C134" s="10" t="n">
        <x:v>64</x:v>
      </x:c>
      <x:c r="D134" s="10" t="n">
        <x:v>252823</x:v>
      </x:c>
      <x:c r="E134" s="9" t="n">
        <x:v>121.8488</x:v>
      </x:c>
      <x:c r="F134" s="10" t="n">
        <x:v>3328605</x:v>
      </x:c>
      <x:c r="G134" s="10" t="n">
        <x:v>165514</x:v>
      </x:c>
      <x:c r="H134" s="9" t="n">
        <x:v>158.4547</x:v>
      </x:c>
      <x:c r="I134" s="9" t="n">
        <x:v>0.6546</x:v>
      </x:c>
      <x:c r="J134" s="9" t="n">
        <x:v>0.0861</x:v>
      </x:c>
      <x:c r="K134" s="9" t="n">
        <x:v>0.0564</x:v>
      </x:c>
      <x:c r="L134" s="10" t="n">
        <x:v>14264</x:v>
      </x:c>
      <x:c r="M134" s="10" t="n">
        <x:v>61772</x:v>
      </x:c>
      <x:c r="N134" s="9" t="n">
        <x:v>102.289</x:v>
      </x:c>
      <x:c r="O134" s="10" t="n">
        <x:v>51205</x:v>
      </x:c>
      <x:c r="P134" s="10" t="n">
        <x:v>8671</x:v>
      </x:c>
      <x:c r="Q134" s="9" t="n">
        <x:v>0.8289</x:v>
      </x:c>
      <x:c r="R134" s="9" t="n">
        <x:v>0.1693</x:v>
      </x:c>
      <x:c r="S134" s="9" t="n">
        <x:v>0.1403</x:v>
      </x:c>
    </x:row>
    <x:row r="135" ht="90" customHeight="1">
      <x:c r="A135" s="2" t="str">
        <x:v>24x36 poster frame</x:v>
      </x:c>
      <x:c r="B135" s="15" t="str">
        <x:v>24x36 poster frame, poster frames 24 x 36 inches, 24 x 36 poster frame, poster frame 24x36, poster frames 24x36, 24x36, 24 x36 poster frame, 24x36 poster frames, 24 by 36 poster frames, 24 36 poster frames</x:v>
      </x:c>
      <x:c r="C135" s="10" t="n">
        <x:v>180</x:v>
      </x:c>
      <x:c r="D135" s="10" t="n">
        <x:v>251105</x:v>
      </x:c>
      <x:c r="E135" s="9" t="n">
        <x:v>0.2505</x:v>
      </x:c>
      <x:c r="F135" s="10" t="n">
        <x:v>6066680</x:v>
      </x:c>
      <x:c r="G135" s="10" t="n">
        <x:v>64010</x:v>
      </x:c>
      <x:c r="H135" s="9" t="str">
        <x:v>'-0.0502</x:v>
      </x:c>
      <x:c r="I135" s="9" t="n">
        <x:v>0.2549</x:v>
      </x:c>
      <x:c r="J135" s="9" t="n">
        <x:v>0.1389</x:v>
      </x:c>
      <x:c r="K135" s="9" t="n">
        <x:v>0.0354</x:v>
      </x:c>
      <x:c r="L135" s="10" t="n">
        <x:v>8895</x:v>
      </x:c>
      <x:c r="M135" s="10" t="n">
        <x:v>59705</x:v>
      </x:c>
      <x:c r="N135" s="9" t="str">
        <x:v>'-0.0237</x:v>
      </x:c>
      <x:c r="O135" s="10" t="n">
        <x:v>39174</x:v>
      </x:c>
      <x:c r="P135" s="10" t="n">
        <x:v>11160</x:v>
      </x:c>
      <x:c r="Q135" s="9" t="n">
        <x:v>0.6561</x:v>
      </x:c>
      <x:c r="R135" s="9" t="n">
        <x:v>0.2848</x:v>
      </x:c>
      <x:c r="S135" s="9" t="n">
        <x:v>0.1869</x:v>
      </x:c>
    </x:row>
    <x:row r="136" ht="71" customHeight="1">
      <x:c r="A136" s="2" t="str">
        <x:v>hoodies for women</x:v>
      </x:c>
      <x:c r="B136" s="15" t="str">
        <x:v>hoodies for women, hoodie women, womens hooded sweater, half zip hoodie, womans hoodie, zip up sweatshirts, yoga hoodie, light zip up, sweatshirts zip up, 1/2 zip hoodie</x:v>
      </x:c>
      <x:c r="C136" s="10" t="n">
        <x:v>30</x:v>
      </x:c>
      <x:c r="D136" s="10" t="n">
        <x:v>247730</x:v>
      </x:c>
      <x:c r="E136" s="9" t="n">
        <x:v>0.4733</x:v>
      </x:c>
      <x:c r="F136" s="10" t="n">
        <x:v>5470638</x:v>
      </x:c>
      <x:c r="G136" s="10" t="n">
        <x:v>71925</x:v>
      </x:c>
      <x:c r="H136" s="9" t="n">
        <x:v>0.5253</x:v>
      </x:c>
      <x:c r="I136" s="9" t="n">
        <x:v>0.2903</x:v>
      </x:c>
      <x:c r="J136" s="9" t="n">
        <x:v>0.0108</x:v>
      </x:c>
      <x:c r="K136" s="9" t="n">
        <x:v>0.0031</x:v>
      </x:c>
      <x:c r="L136" s="10" t="n">
        <x:v>783</x:v>
      </x:c>
      <x:c r="M136" s="10" t="n">
        <x:v>30658</x:v>
      </x:c>
      <x:c r="N136" s="9" t="n">
        <x:v>0.4478</x:v>
      </x:c>
      <x:c r="O136" s="10" t="n">
        <x:v>23940</x:v>
      </x:c>
      <x:c r="P136" s="10" t="n">
        <x:v>2882</x:v>
      </x:c>
      <x:c r="Q136" s="9" t="n">
        <x:v>0.7808</x:v>
      </x:c>
      <x:c r="R136" s="9" t="n">
        <x:v>0.1203</x:v>
      </x:c>
      <x:c r="S136" s="9" t="n">
        <x:v>0.094</x:v>
      </x:c>
    </x:row>
    <x:row r="137" ht="71" customHeight="1">
      <x:c r="A137" s="2" t="str">
        <x:v>banana</x:v>
      </x:c>
      <x:c r="B137" s="15" t="str">
        <x:v>banana, organic bananas, organic banana, organic bananas bunch, green banana, bananas organic, bannana, fresh bananas, banana organic, platanos maduros</x:v>
      </x:c>
      <x:c r="C137" s="10" t="n">
        <x:v>125</x:v>
      </x:c>
      <x:c r="D137" s="10" t="n">
        <x:v>246434</x:v>
      </x:c>
      <x:c r="E137" s="9" t="n">
        <x:v>0.0606</x:v>
      </x:c>
      <x:c r="F137" s="10" t="n">
        <x:v>4704638</x:v>
      </x:c>
      <x:c r="G137" s="10" t="n">
        <x:v>118681</x:v>
      </x:c>
      <x:c r="H137" s="9" t="n">
        <x:v>0.0272</x:v>
      </x:c>
      <x:c r="I137" s="9" t="n">
        <x:v>0.4815</x:v>
      </x:c>
      <x:c r="J137" s="9" t="n">
        <x:v>0.4795</x:v>
      </x:c>
      <x:c r="K137" s="9" t="n">
        <x:v>0.2309</x:v>
      </x:c>
      <x:c r="L137" s="10" t="n">
        <x:v>56909</x:v>
      </x:c>
      <x:c r="M137" s="10" t="n">
        <x:v>106967</x:v>
      </x:c>
      <x:c r="N137" s="9" t="n">
        <x:v>0.0392</x:v>
      </x:c>
      <x:c r="O137" s="10" t="n">
        <x:v>95168</x:v>
      </x:c>
      <x:c r="P137" s="10" t="n">
        <x:v>53271</x:v>
      </x:c>
      <x:c r="Q137" s="9" t="n">
        <x:v>0.8896</x:v>
      </x:c>
      <x:c r="R137" s="9" t="n">
        <x:v>0.5597</x:v>
      </x:c>
      <x:c r="S137" s="9" t="n">
        <x:v>0.498</x:v>
      </x:c>
    </x:row>
    <x:row r="138" ht="71" customHeight="1">
      <x:c r="A138" s="2" t="str">
        <x:v>rock</x:v>
      </x:c>
      <x:c r="B138" s="15" t="str">
        <x:v>rock, gemstone, piedras, gemstones and crystals, crystal collection, real gemstones, cool rocks and crystals, rocks and gems, polished rocks for kids, gem rocks</x:v>
      </x:c>
      <x:c r="C138" s="10" t="n">
        <x:v>55</x:v>
      </x:c>
      <x:c r="D138" s="10" t="n">
        <x:v>246320</x:v>
      </x:c>
      <x:c r="E138" s="9" t="n">
        <x:v>0.8085</x:v>
      </x:c>
      <x:c r="F138" s="10" t="n">
        <x:v>712583</x:v>
      </x:c>
      <x:c r="G138" s="10" t="n">
        <x:v>8670</x:v>
      </x:c>
      <x:c r="H138" s="9" t="n">
        <x:v>0.5165</x:v>
      </x:c>
      <x:c r="I138" s="9" t="n">
        <x:v>0.0351</x:v>
      </x:c>
      <x:c r="J138" s="9" t="n">
        <x:v>0.0366</x:v>
      </x:c>
      <x:c r="K138" s="9" t="n">
        <x:v>0.0012</x:v>
      </x:c>
      <x:c r="L138" s="10" t="n">
        <x:v>318</x:v>
      </x:c>
      <x:c r="M138" s="10" t="n">
        <x:v>12163</x:v>
      </x:c>
      <x:c r="N138" s="9" t="n">
        <x:v>0.9992</x:v>
      </x:c>
      <x:c r="O138" s="10" t="n">
        <x:v>6076</x:v>
      </x:c>
      <x:c r="P138" s="10" t="n">
        <x:v>368</x:v>
      </x:c>
      <x:c r="Q138" s="9" t="n">
        <x:v>0.4995</x:v>
      </x:c>
      <x:c r="R138" s="9" t="n">
        <x:v>0.0605</x:v>
      </x:c>
      <x:c r="S138" s="9" t="n">
        <x:v>0.0302</x:v>
      </x:c>
    </x:row>
    <x:row r="139" ht="71" customHeight="1">
      <x:c r="A139" s="2" t="str">
        <x:v>fig</x:v>
      </x:c>
      <x:c r="B139" s="15" t="str">
        <x:v>fig, figs, higos frescos, fresh figs fruit produce, turkish figs, higos, figs fresh, fresh fig, figs fresh fruit, organic fig</x:v>
      </x:c>
      <x:c r="C139" s="10" t="n">
        <x:v>41</x:v>
      </x:c>
      <x:c r="D139" s="10" t="n">
        <x:v>245589</x:v>
      </x:c>
      <x:c r="E139" s="9" t="str">
        <x:v>'-0.2207</x:v>
      </x:c>
      <x:c r="F139" s="10" t="n">
        <x:v>3179216</x:v>
      </x:c>
      <x:c r="G139" s="10" t="n">
        <x:v>54250</x:v>
      </x:c>
      <x:c r="H139" s="9" t="n">
        <x:v>0.146</x:v>
      </x:c>
      <x:c r="I139" s="9" t="n">
        <x:v>0.2208</x:v>
      </x:c>
      <x:c r="J139" s="9" t="n">
        <x:v>0.1948</x:v>
      </x:c>
      <x:c r="K139" s="9" t="n">
        <x:v>0.043</x:v>
      </x:c>
      <x:c r="L139" s="10" t="n">
        <x:v>10569</x:v>
      </x:c>
      <x:c r="M139" s="10" t="n">
        <x:v>43126</x:v>
      </x:c>
      <x:c r="N139" s="9" t="str">
        <x:v>'-0.3028</x:v>
      </x:c>
      <x:c r="O139" s="10" t="n">
        <x:v>30539</x:v>
      </x:c>
      <x:c r="P139" s="10" t="n">
        <x:v>9310</x:v>
      </x:c>
      <x:c r="Q139" s="9" t="n">
        <x:v>0.7081</x:v>
      </x:c>
      <x:c r="R139" s="9" t="n">
        <x:v>0.3048</x:v>
      </x:c>
      <x:c r="S139" s="9" t="n">
        <x:v>0.2158</x:v>
      </x:c>
    </x:row>
    <x:row r="140" ht="71" customHeight="1">
      <x:c r="A140" s="2" t="str">
        <x:v>hair accessories</x:v>
      </x:c>
      <x:c r="B140" s="15" t="str">
        <x:v>hair accessories, hair kit, hair kits, softball hair, hair tie set, kids hair kit, hair ties set, hair clips and ties, hair ties variety pack, kit para el cabello</x:v>
      </x:c>
      <x:c r="C140" s="10" t="n">
        <x:v>78</x:v>
      </x:c>
      <x:c r="D140" s="10" t="n">
        <x:v>245109</x:v>
      </x:c>
      <x:c r="E140" s="9" t="str">
        <x:v>'-0.0076</x:v>
      </x:c>
      <x:c r="F140" s="10" t="n">
        <x:v>5908092</x:v>
      </x:c>
      <x:c r="G140" s="10" t="n">
        <x:v>64977</x:v>
      </x:c>
      <x:c r="H140" s="9" t="str">
        <x:v>'-0.035</x:v>
      </x:c>
      <x:c r="I140" s="9" t="n">
        <x:v>0.265</x:v>
      </x:c>
      <x:c r="J140" s="9" t="n">
        <x:v>0.0558</x:v>
      </x:c>
      <x:c r="K140" s="9" t="n">
        <x:v>0.0148</x:v>
      </x:c>
      <x:c r="L140" s="10" t="n">
        <x:v>3631</x:v>
      </x:c>
      <x:c r="M140" s="10" t="n">
        <x:v>37314</x:v>
      </x:c>
      <x:c r="N140" s="9" t="n">
        <x:v>0.0068</x:v>
      </x:c>
      <x:c r="O140" s="10" t="n">
        <x:v>26693</x:v>
      </x:c>
      <x:c r="P140" s="10" t="n">
        <x:v>3775</x:v>
      </x:c>
      <x:c r="Q140" s="9" t="n">
        <x:v>0.7153</x:v>
      </x:c>
      <x:c r="R140" s="9" t="n">
        <x:v>0.1414</x:v>
      </x:c>
      <x:c r="S140" s="9" t="n">
        <x:v>0.1011</x:v>
      </x:c>
    </x:row>
    <x:row r="141" ht="109" customHeight="1">
      <x:c r="A141" s="2" t="str">
        <x:v>jason statham movies</x:v>
      </x:c>
      <x:c r="B141" s="15" t="str">
        <x:v>jason statham movies, jason statham movies dvd, jason statham movies blu ray, jason statham blu ray, jason statham dvd, jason statham movie collection, jason statham dvd movies, jason statham dvd collection, jason statham movies dvd collection, jason statham dvds</x:v>
      </x:c>
      <x:c r="C141" s="10" t="n">
        <x:v>17</x:v>
      </x:c>
      <x:c r="D141" s="10" t="n">
        <x:v>243877</x:v>
      </x:c>
      <x:c r="E141" s="9" t="n">
        <x:v>0.0762</x:v>
      </x:c>
      <x:c r="F141" s="10" t="n">
        <x:v>1142078</x:v>
      </x:c>
      <x:c r="G141" s="10" t="n">
        <x:v>36831</x:v>
      </x:c>
      <x:c r="H141" s="9" t="n">
        <x:v>10.0272</x:v>
      </x:c>
      <x:c r="I141" s="9" t="n">
        <x:v>0.151</x:v>
      </x:c>
      <x:c r="J141" s="9" t="n">
        <x:v>0.0083</x:v>
      </x:c>
      <x:c r="K141" s="9" t="n">
        <x:v>0.0012</x:v>
      </x:c>
      <x:c r="L141" s="10" t="n">
        <x:v>309</x:v>
      </x:c>
      <x:c r="M141" s="10" t="n">
        <x:v>28731</x:v>
      </x:c>
      <x:c r="N141" s="9" t="n">
        <x:v>0.0668</x:v>
      </x:c>
      <x:c r="O141" s="10" t="n">
        <x:v>16635</x:v>
      </x:c>
      <x:c r="P141" s="10" t="n">
        <x:v>152</x:v>
      </x:c>
      <x:c r="Q141" s="9" t="n">
        <x:v>0.5789</x:v>
      </x:c>
      <x:c r="R141" s="9" t="n">
        <x:v>0.0091</x:v>
      </x:c>
      <x:c r="S141" s="9" t="n">
        <x:v>0.0052</x:v>
      </x:c>
    </x:row>
    <x:row r="142" ht="90" customHeight="1">
      <x:c r="A142" s="2" t="str">
        <x:v>ivermectine/fenbendazole</x:v>
      </x:c>
      <x:c r="B142" s="15" t="str">
        <x:v>ivermectine/fenbendazole, ivermectine pills, ivermectin tablets, ivermectine, ivermectin cream, ivermectin for humans, ivermectin lotion, ivermectina, ivermectin tablets for humans, ivermectin tablets for people</x:v>
      </x:c>
      <x:c r="C142" s="10" t="n">
        <x:v>161</x:v>
      </x:c>
      <x:c r="D142" s="10" t="n">
        <x:v>243061</x:v>
      </x:c>
      <x:c r="E142" s="9" t="n">
        <x:v>0.1874</x:v>
      </x:c>
      <x:c r="F142" s="10" t="n">
        <x:v>4420260</x:v>
      </x:c>
      <x:c r="G142" s="10" t="n">
        <x:v>83888</x:v>
      </x:c>
      <x:c r="H142" s="9" t="n">
        <x:v>0.1818</x:v>
      </x:c>
      <x:c r="I142" s="9" t="n">
        <x:v>0.3451</x:v>
      </x:c>
      <x:c r="J142" s="9" t="n">
        <x:v>0.1254</x:v>
      </x:c>
      <x:c r="K142" s="9" t="n">
        <x:v>0.0433</x:v>
      </x:c>
      <x:c r="L142" s="10" t="n">
        <x:v>10527</x:v>
      </x:c>
      <x:c r="M142" s="10" t="n">
        <x:v>72297</x:v>
      </x:c>
      <x:c r="N142" s="9" t="n">
        <x:v>0.2087</x:v>
      </x:c>
      <x:c r="O142" s="10" t="n">
        <x:v>45921</x:v>
      </x:c>
      <x:c r="P142" s="10" t="n">
        <x:v>10847</x:v>
      </x:c>
      <x:c r="Q142" s="9" t="n">
        <x:v>0.6351</x:v>
      </x:c>
      <x:c r="R142" s="9" t="n">
        <x:v>0.2362</x:v>
      </x:c>
      <x:c r="S142" s="9" t="n">
        <x:v>0.15</x:v>
      </x:c>
    </x:row>
    <x:row r="143" ht="90" customHeight="1">
      <x:c r="A143" s="2" t="str">
        <x:v>yellow dress women</x:v>
      </x:c>
      <x:c r="B143" s="15" t="str">
        <x:v>yellow dress women, vestido amarillo para mujer, yellow dresses for women, yellow dress for women, women yellow dress, yellow church dress, yellow dress with sleeves, yellow fall dress, dresses yellow, yellow funeral dress</x:v>
      </x:c>
      <x:c r="C143" s="10" t="n">
        <x:v>149</x:v>
      </x:c>
      <x:c r="D143" s="10" t="n">
        <x:v>242050</x:v>
      </x:c>
      <x:c r="E143" s="9" t="str">
        <x:v>'-0.1837</x:v>
      </x:c>
      <x:c r="F143" s="10" t="n">
        <x:v>9832472</x:v>
      </x:c>
      <x:c r="G143" s="10" t="n">
        <x:v>62814</x:v>
      </x:c>
      <x:c r="H143" s="9" t="str">
        <x:v>'-0.168</x:v>
      </x:c>
      <x:c r="I143" s="9" t="n">
        <x:v>0.2595</x:v>
      </x:c>
      <x:c r="J143" s="9" t="n">
        <x:v>0.0149</x:v>
      </x:c>
      <x:c r="K143" s="9" t="n">
        <x:v>0.0038</x:v>
      </x:c>
      <x:c r="L143" s="10" t="n">
        <x:v>941</x:v>
      </x:c>
      <x:c r="M143" s="10" t="n">
        <x:v>39063</x:v>
      </x:c>
      <x:c r="N143" s="9" t="str">
        <x:v>'-0.1803</x:v>
      </x:c>
      <x:c r="O143" s="10" t="n">
        <x:v>31194</x:v>
      </x:c>
      <x:c r="P143" s="10" t="n">
        <x:v>3378</x:v>
      </x:c>
      <x:c r="Q143" s="9" t="n">
        <x:v>0.7985</x:v>
      </x:c>
      <x:c r="R143" s="9" t="n">
        <x:v>0.1082</x:v>
      </x:c>
      <x:c r="S143" s="9" t="n">
        <x:v>0.0864</x:v>
      </x:c>
    </x:row>
    <x:row r="144" ht="90" customHeight="1">
      <x:c r="A144" s="2" t="str">
        <x:v>small vanity</x:v>
      </x:c>
      <x:c r="B144" s="15" t="str">
        <x:v>small vanity, vanity small, vanity pequeño, small space vanity, makeup vanity small, small vanity with storage, small vanity with mirror, small vanities, small vanity desk with mirror, small make up vanity</x:v>
      </x:c>
      <x:c r="C144" s="10" t="n">
        <x:v>76</x:v>
      </x:c>
      <x:c r="D144" s="10" t="n">
        <x:v>241329</x:v>
      </x:c>
      <x:c r="E144" s="9" t="str">
        <x:v>'-0.049</x:v>
      </x:c>
      <x:c r="F144" s="10" t="n">
        <x:v>5823585</x:v>
      </x:c>
      <x:c r="G144" s="10" t="n">
        <x:v>94427</x:v>
      </x:c>
      <x:c r="H144" s="9" t="str">
        <x:v>'-0.0468</x:v>
      </x:c>
      <x:c r="I144" s="9" t="n">
        <x:v>0.3912</x:v>
      </x:c>
      <x:c r="J144" s="9" t="n">
        <x:v>0.0081</x:v>
      </x:c>
      <x:c r="K144" s="9" t="n">
        <x:v>0.0031</x:v>
      </x:c>
      <x:c r="L144" s="10" t="n">
        <x:v>770</x:v>
      </x:c>
      <x:c r="M144" s="10" t="n">
        <x:v>44664</x:v>
      </x:c>
      <x:c r="N144" s="9" t="str">
        <x:v>'-0.0633</x:v>
      </x:c>
      <x:c r="O144" s="10" t="n">
        <x:v>33610</x:v>
      </x:c>
      <x:c r="P144" s="10" t="n">
        <x:v>1063</x:v>
      </x:c>
      <x:c r="Q144" s="9" t="n">
        <x:v>0.7525</x:v>
      </x:c>
      <x:c r="R144" s="9" t="n">
        <x:v>0.0316</x:v>
      </x:c>
      <x:c r="S144" s="9" t="n">
        <x:v>0.0237</x:v>
      </x:c>
    </x:row>
    <x:row r="145" ht="71" customHeight="1">
      <x:c r="A145" s="2" t="str">
        <x:v>muffins</x:v>
      </x:c>
      <x:c r="B145" s="15" t="str">
        <x:v>muffins, muffin, muffins bakery fresh, breakfast muffins, bakery muffins, blueberry muffins bakery fresh, fresh muffins, panaderia, breakfast muffin, muffins chocolate chip</x:v>
      </x:c>
      <x:c r="C145" s="10" t="n">
        <x:v>73</x:v>
      </x:c>
      <x:c r="D145" s="10" t="n">
        <x:v>241272</x:v>
      </x:c>
      <x:c r="E145" s="9" t="n">
        <x:v>0.2429</x:v>
      </x:c>
      <x:c r="F145" s="10" t="n">
        <x:v>4824983</x:v>
      </x:c>
      <x:c r="G145" s="10" t="n">
        <x:v>67340</x:v>
      </x:c>
      <x:c r="H145" s="9" t="n">
        <x:v>0.1027</x:v>
      </x:c>
      <x:c r="I145" s="9" t="n">
        <x:v>0.2791</x:v>
      </x:c>
      <x:c r="J145" s="9" t="n">
        <x:v>0.362</x:v>
      </x:c>
      <x:c r="K145" s="9" t="n">
        <x:v>0.101</x:v>
      </x:c>
      <x:c r="L145" s="10" t="n">
        <x:v>24380</x:v>
      </x:c>
      <x:c r="M145" s="10" t="n">
        <x:v>55217</x:v>
      </x:c>
      <x:c r="N145" s="9" t="n">
        <x:v>0.1835</x:v>
      </x:c>
      <x:c r="O145" s="10" t="n">
        <x:v>43533</x:v>
      </x:c>
      <x:c r="P145" s="10" t="n">
        <x:v>21262</x:v>
      </x:c>
      <x:c r="Q145" s="9" t="n">
        <x:v>0.7883</x:v>
      </x:c>
      <x:c r="R145" s="9" t="n">
        <x:v>0.4884</x:v>
      </x:c>
      <x:c r="S145" s="9" t="n">
        <x:v>0.385</x:v>
      </x:c>
    </x:row>
    <x:row r="146" ht="109" customHeight="1">
      <x:c r="A146" s="2" t="str">
        <x:v>church dresses for women</x:v>
      </x:c>
      <x:c r="B146" s="15" t="str">
        <x:v>church dresses for women, women church dresses, first lady church dresses for women elegant, women church dress, women pleated dress, dresses for women elegant church, women church dresses elegant, church dresses women, fancy church dresses for women, elegant church dresses for ladies</x:v>
      </x:c>
      <x:c r="C146" s="10" t="n">
        <x:v>73</x:v>
      </x:c>
      <x:c r="D146" s="10" t="n">
        <x:v>241226</x:v>
      </x:c>
      <x:c r="E146" s="9" t="n">
        <x:v>0.083</x:v>
      </x:c>
      <x:c r="F146" s="10" t="n">
        <x:v>8018951</x:v>
      </x:c>
      <x:c r="G146" s="10" t="n">
        <x:v>67196</x:v>
      </x:c>
      <x:c r="H146" s="9" t="n">
        <x:v>0.0879</x:v>
      </x:c>
      <x:c r="I146" s="9" t="n">
        <x:v>0.2785</x:v>
      </x:c>
      <x:c r="J146" s="9" t="n">
        <x:v>0.005</x:v>
      </x:c>
      <x:c r="K146" s="9" t="n">
        <x:v>0.0014</x:v>
      </x:c>
      <x:c r="L146" s="10" t="n">
        <x:v>340</x:v>
      </x:c>
      <x:c r="M146" s="10" t="n">
        <x:v>32904</x:v>
      </x:c>
      <x:c r="N146" s="9" t="n">
        <x:v>0.0729</x:v>
      </x:c>
      <x:c r="O146" s="10" t="n">
        <x:v>26615</x:v>
      </x:c>
      <x:c r="P146" s="10" t="n">
        <x:v>2161</x:v>
      </x:c>
      <x:c r="Q146" s="9" t="n">
        <x:v>0.8088</x:v>
      </x:c>
      <x:c r="R146" s="9" t="n">
        <x:v>0.0811</x:v>
      </x:c>
      <x:c r="S146" s="9" t="n">
        <x:v>0.0656</x:v>
      </x:c>
    </x:row>
    <x:row r="147" ht="109" customHeight="1">
      <x:c r="A147" s="2" t="str">
        <x:v>wide calf boots for women</x:v>
      </x:c>
      <x:c r="B147" s="15" t="str">
        <x:v>wide calf boots for women, extra wide calf boots for women, womens boots wide calf, wide calf boots women, wide calf womens boots, womens extra wide calf boots, autumn boots, extra wide calf knee high boots, extra extra wide calf boots for women, extra wide calf boots women</x:v>
      </x:c>
      <x:c r="C147" s="10" t="n">
        <x:v>115</x:v>
      </x:c>
      <x:c r="D147" s="10" t="n">
        <x:v>240812</x:v>
      </x:c>
      <x:c r="E147" s="9" t="n">
        <x:v>2.4299</x:v>
      </x:c>
      <x:c r="F147" s="10" t="n">
        <x:v>3492764</x:v>
      </x:c>
      <x:c r="G147" s="10" t="n">
        <x:v>72347</x:v>
      </x:c>
      <x:c r="H147" s="9" t="n">
        <x:v>2.5811</x:v>
      </x:c>
      <x:c r="I147" s="9" t="n">
        <x:v>0.3004</x:v>
      </x:c>
      <x:c r="J147" s="9" t="n">
        <x:v>0.004</x:v>
      </x:c>
      <x:c r="K147" s="9" t="n">
        <x:v>0.0012</x:v>
      </x:c>
      <x:c r="L147" s="10" t="n">
        <x:v>290</x:v>
      </x:c>
      <x:c r="M147" s="10" t="n">
        <x:v>18603</x:v>
      </x:c>
      <x:c r="N147" s="9" t="n">
        <x:v>2.3352</x:v>
      </x:c>
      <x:c r="O147" s="10" t="n">
        <x:v>15530</x:v>
      </x:c>
      <x:c r="P147" s="10" t="n">
        <x:v>781</x:v>
      </x:c>
      <x:c r="Q147" s="9" t="n">
        <x:v>0.8348</x:v>
      </x:c>
      <x:c r="R147" s="9" t="n">
        <x:v>0.0502</x:v>
      </x:c>
      <x:c r="S147" s="9" t="n">
        <x:v>0.0419</x:v>
      </x:c>
    </x:row>
    <x:row r="148" ht="109" customHeight="1">
      <x:c r="A148" s="2" t="str">
        <x:v>gingham dress women</x:v>
      </x:c>
      <x:c r="B148" s="15" t="str">
        <x:v>gingham dress women, modest dresses for women, boho fall dresses for women, womens gingham dress, womens dress with sleeves, fall flowy dresses for women, family picture dress women, womens neutral dress, maxi flowy dress for women, fall dresses for women maxi</x:v>
      </x:c>
      <x:c r="C148" s="10" t="n">
        <x:v>170</x:v>
      </x:c>
      <x:c r="D148" s="10" t="n">
        <x:v>239230</x:v>
      </x:c>
      <x:c r="E148" s="9" t="n">
        <x:v>0.1233</x:v>
      </x:c>
      <x:c r="F148" s="10" t="n">
        <x:v>7632249</x:v>
      </x:c>
      <x:c r="G148" s="10" t="n">
        <x:v>66144</x:v>
      </x:c>
      <x:c r="H148" s="9" t="n">
        <x:v>0.1288</x:v>
      </x:c>
      <x:c r="I148" s="9" t="n">
        <x:v>0.2764</x:v>
      </x:c>
      <x:c r="J148" s="9" t="n">
        <x:v>0.007</x:v>
      </x:c>
      <x:c r="K148" s="9" t="n">
        <x:v>0.0019</x:v>
      </x:c>
      <x:c r="L148" s="10" t="n">
        <x:v>467</x:v>
      </x:c>
      <x:c r="M148" s="10" t="n">
        <x:v>39289</x:v>
      </x:c>
      <x:c r="N148" s="9" t="n">
        <x:v>0.1107</x:v>
      </x:c>
      <x:c r="O148" s="10" t="n">
        <x:v>32850</x:v>
      </x:c>
      <x:c r="P148" s="10" t="n">
        <x:v>2704</x:v>
      </x:c>
      <x:c r="Q148" s="9" t="n">
        <x:v>0.8361</x:v>
      </x:c>
      <x:c r="R148" s="9" t="n">
        <x:v>0.0823</x:v>
      </x:c>
      <x:c r="S148" s="9" t="n">
        <x:v>0.0688</x:v>
      </x:c>
    </x:row>
    <x:row r="149" ht="109" customHeight="1">
      <x:c r="A149" s="2" t="str">
        <x:v>winter coats for women</x:v>
      </x:c>
      <x:c r="B149" s="15" t="str">
        <x:v>winter coats for women, womens winter jacket, women winter coats, womens winter jackets, women winter coat, womens winter coats clearance, winter jacket womens, women winter coats clearance sale, women coats winter, womens winter jackets clearance sale</x:v>
      </x:c>
      <x:c r="C149" s="10" t="n">
        <x:v>104</x:v>
      </x:c>
      <x:c r="D149" s="10" t="n">
        <x:v>238794</x:v>
      </x:c>
      <x:c r="E149" s="9" t="n">
        <x:v>0.8982</x:v>
      </x:c>
      <x:c r="F149" s="10" t="n">
        <x:v>4692646</x:v>
      </x:c>
      <x:c r="G149" s="10" t="n">
        <x:v>74949</x:v>
      </x:c>
      <x:c r="H149" s="9" t="n">
        <x:v>0.9194</x:v>
      </x:c>
      <x:c r="I149" s="9" t="n">
        <x:v>0.3138</x:v>
      </x:c>
      <x:c r="J149" s="9" t="n">
        <x:v>0.005</x:v>
      </x:c>
      <x:c r="K149" s="9" t="n">
        <x:v>0.0015</x:v>
      </x:c>
      <x:c r="L149" s="10" t="n">
        <x:v>379</x:v>
      </x:c>
      <x:c r="M149" s="10" t="n">
        <x:v>24529</x:v>
      </x:c>
      <x:c r="N149" s="9" t="n">
        <x:v>0.84</x:v>
      </x:c>
      <x:c r="O149" s="10" t="n">
        <x:v>20002</x:v>
      </x:c>
      <x:c r="P149" s="10" t="n">
        <x:v>1162</x:v>
      </x:c>
      <x:c r="Q149" s="9" t="n">
        <x:v>0.8154</x:v>
      </x:c>
      <x:c r="R149" s="9" t="n">
        <x:v>0.058</x:v>
      </x:c>
      <x:c r="S149" s="9" t="n">
        <x:v>0.0473</x:v>
      </x:c>
    </x:row>
    <x:row r="150" ht="90" customHeight="1">
      <x:c r="A150" s="2" t="str">
        <x:v>halloween treat bags</x:v>
      </x:c>
      <x:c r="B150" s="15" t="str">
        <x:v>halloween treat bags, halloween candy bags, halloween bags for candy, halloween candy bags treat bags, fall treat bags, halloween ziplock bags, halloween snack bags, halloween baggies, halloween ziplock treat bags, halloween cookie bags</x:v>
      </x:c>
      <x:c r="C150" s="10" t="n">
        <x:v>147</x:v>
      </x:c>
      <x:c r="D150" s="10" t="n">
        <x:v>238124</x:v>
      </x:c>
      <x:c r="E150" s="9" t="n">
        <x:v>2.6467</x:v>
      </x:c>
      <x:c r="F150" s="10" t="n">
        <x:v>3442971</x:v>
      </x:c>
      <x:c r="G150" s="10" t="n">
        <x:v>117561</x:v>
      </x:c>
      <x:c r="H150" s="9" t="n">
        <x:v>2.7764</x:v>
      </x:c>
      <x:c r="I150" s="9" t="n">
        <x:v>0.4936</x:v>
      </x:c>
      <x:c r="J150" s="9" t="n">
        <x:v>0.0606</x:v>
      </x:c>
      <x:c r="K150" s="9" t="n">
        <x:v>0.0299</x:v>
      </x:c>
      <x:c r="L150" s="10" t="n">
        <x:v>7129</x:v>
      </x:c>
      <x:c r="M150" s="10" t="n">
        <x:v>25134</x:v>
      </x:c>
      <x:c r="N150" s="9" t="n">
        <x:v>2.6011</x:v>
      </x:c>
      <x:c r="O150" s="10" t="n">
        <x:v>21283</x:v>
      </x:c>
      <x:c r="P150" s="10" t="n">
        <x:v>2527</x:v>
      </x:c>
      <x:c r="Q150" s="9" t="n">
        <x:v>0.8467</x:v>
      </x:c>
      <x:c r="R150" s="9" t="n">
        <x:v>0.1187</x:v>
      </x:c>
      <x:c r="S150" s="9" t="n">
        <x:v>0.1005</x:v>
      </x:c>
    </x:row>
    <x:row r="151" ht="71" customHeight="1">
      <x:c r="A151" s="2" t="str">
        <x:v>waffles</x:v>
      </x:c>
      <x:c r="B151" s="15" t="str">
        <x:v>waffles, protein waffles, frozen waffles, belgian waffles, protein waffle, organic waffles, protein pancakes frozen, protein waffles frozen, frozen waffle, frozen protein pancakes</x:v>
      </x:c>
      <x:c r="C151" s="10" t="n">
        <x:v>164</x:v>
      </x:c>
      <x:c r="D151" s="10" t="n">
        <x:v>237660</x:v>
      </x:c>
      <x:c r="E151" s="9" t="n">
        <x:v>0.1373</x:v>
      </x:c>
      <x:c r="F151" s="10" t="n">
        <x:v>5410318</x:v>
      </x:c>
      <x:c r="G151" s="10" t="n">
        <x:v>96715</x:v>
      </x:c>
      <x:c r="H151" s="9" t="n">
        <x:v>0.0162</x:v>
      </x:c>
      <x:c r="I151" s="9" t="n">
        <x:v>0.4069</x:v>
      </x:c>
      <x:c r="J151" s="9" t="n">
        <x:v>0.3394</x:v>
      </x:c>
      <x:c r="K151" s="9" t="n">
        <x:v>0.1381</x:v>
      </x:c>
      <x:c r="L151" s="10" t="n">
        <x:v>32828</x:v>
      </x:c>
      <x:c r="M151" s="10" t="n">
        <x:v>76231</x:v>
      </x:c>
      <x:c r="N151" s="9" t="n">
        <x:v>0.0932</x:v>
      </x:c>
      <x:c r="O151" s="10" t="n">
        <x:v>65957</x:v>
      </x:c>
      <x:c r="P151" s="10" t="n">
        <x:v>32657</x:v>
      </x:c>
      <x:c r="Q151" s="9" t="n">
        <x:v>0.8652</x:v>
      </x:c>
      <x:c r="R151" s="9" t="n">
        <x:v>0.4951</x:v>
      </x:c>
      <x:c r="S151" s="9" t="n">
        <x:v>0.4283</x:v>
      </x:c>
    </x:row>
    <x:row r="152" ht="109" customHeight="1">
      <x:c r="A152" s="2" t="str">
        <x:v>wireless hdmi transmitter and receiver</x:v>
      </x:c>
      <x:c r="B152" s="15" t="str">
        <x:v>wireless hdmi transmitter and receiver, wireless hdmi, hdmi wireless transmitter and receiver, hdmi transmitter and receiver, audio/video receivers &amp; amplifiers, wireless hdmi transmitter and receiver 4k, wireless hdmi transmitter, hdmi wireless, hdmi inalambrico, bluetooth hdmi</x:v>
      </x:c>
      <x:c r="C152" s="10" t="n">
        <x:v>140</x:v>
      </x:c>
      <x:c r="D152" s="10" t="n">
        <x:v>236450</x:v>
      </x:c>
      <x:c r="E152" s="9" t="str">
        <x:v>'-0.1856</x:v>
      </x:c>
      <x:c r="F152" s="10" t="n">
        <x:v>6849435</x:v>
      </x:c>
      <x:c r="G152" s="10" t="n">
        <x:v>88375</x:v>
      </x:c>
      <x:c r="H152" s="9" t="str">
        <x:v>'-0.191</x:v>
      </x:c>
      <x:c r="I152" s="9" t="n">
        <x:v>0.3737</x:v>
      </x:c>
      <x:c r="J152" s="9" t="n">
        <x:v>0.0846</x:v>
      </x:c>
      <x:c r="K152" s="9" t="n">
        <x:v>0.0316</x:v>
      </x:c>
      <x:c r="L152" s="10" t="n">
        <x:v>7483</x:v>
      </x:c>
      <x:c r="M152" s="10" t="n">
        <x:v>86092</x:v>
      </x:c>
      <x:c r="N152" s="9" t="str">
        <x:v>'-0.1642</x:v>
      </x:c>
      <x:c r="O152" s="10" t="n">
        <x:v>57287</x:v>
      </x:c>
      <x:c r="P152" s="10" t="n">
        <x:v>9743</x:v>
      </x:c>
      <x:c r="Q152" s="9" t="n">
        <x:v>0.6654</x:v>
      </x:c>
      <x:c r="R152" s="9" t="n">
        <x:v>0.17</x:v>
      </x:c>
      <x:c r="S152" s="9" t="n">
        <x:v>0.1131</x:v>
      </x:c>
    </x:row>
    <x:row r="153" ht="90" customHeight="1">
      <x:c r="A153" s="2" t="str">
        <x:v>halloween basket</x:v>
      </x:c>
      <x:c r="B153" s="15" t="str">
        <x:v>halloween basket, halloween boo basket, halloween baskets, halloween baskets for kids, personalized halloween basket, baby boo basket, boo basket for kids, custom halloween basket, kids boo basket, personalized halloween baskets for kids</x:v>
      </x:c>
      <x:c r="C153" s="10" t="n">
        <x:v>169</x:v>
      </x:c>
      <x:c r="D153" s="10" t="n">
        <x:v>235837</x:v>
      </x:c>
      <x:c r="E153" s="9" t="n">
        <x:v>2.4919</x:v>
      </x:c>
      <x:c r="F153" s="10" t="n">
        <x:v>2563371</x:v>
      </x:c>
      <x:c r="G153" s="10" t="n">
        <x:v>79227</x:v>
      </x:c>
      <x:c r="H153" s="9" t="n">
        <x:v>2.4944</x:v>
      </x:c>
      <x:c r="I153" s="9" t="n">
        <x:v>0.3359</x:v>
      </x:c>
      <x:c r="J153" s="9" t="n">
        <x:v>0.0361</x:v>
      </x:c>
      <x:c r="K153" s="9" t="n">
        <x:v>0.0121</x:v>
      </x:c>
      <x:c r="L153" s="10" t="n">
        <x:v>2867</x:v>
      </x:c>
      <x:c r="M153" s="10" t="n">
        <x:v>18641</x:v>
      </x:c>
      <x:c r="N153" s="9" t="n">
        <x:v>2.5054</x:v>
      </x:c>
      <x:c r="O153" s="10" t="n">
        <x:v>13863</x:v>
      </x:c>
      <x:c r="P153" s="10" t="n">
        <x:v>1125</x:v>
      </x:c>
      <x:c r="Q153" s="9" t="n">
        <x:v>0.7436</x:v>
      </x:c>
      <x:c r="R153" s="9" t="n">
        <x:v>0.0811</x:v>
      </x:c>
      <x:c r="S153" s="9" t="n">
        <x:v>0.0603</x:v>
      </x:c>
    </x:row>
    <x:row r="154" ht="109" customHeight="1">
      <x:c r="A154" s="2" t="str">
        <x:v>luxe color changing foundation</x:v>
      </x:c>
      <x:c r="B154" s="15" t="str">
        <x:v>luxe color changing foundation, luxe, lux foundation, lux foundation for mature skin, lux color changing foundation, luxe foundation makeup, luce foundation for mature skin, base luxe piel madura, base luxe para piel madura, luxxe foundation</x:v>
      </x:c>
      <x:c r="C154" s="10" t="n">
        <x:v>63</x:v>
      </x:c>
      <x:c r="D154" s="10" t="n">
        <x:v>233877</x:v>
      </x:c>
      <x:c r="E154" s="9" t="str">
        <x:v>'-0.1888</x:v>
      </x:c>
      <x:c r="F154" s="10" t="n">
        <x:v>11288401</x:v>
      </x:c>
      <x:c r="G154" s="10" t="n">
        <x:v>136672</x:v>
      </x:c>
      <x:c r="H154" s="9" t="str">
        <x:v>'-0.128</x:v>
      </x:c>
      <x:c r="I154" s="9" t="n">
        <x:v>0.5843</x:v>
      </x:c>
      <x:c r="J154" s="9" t="n">
        <x:v>0.1455</x:v>
      </x:c>
      <x:c r="K154" s="9" t="n">
        <x:v>0.085</x:v>
      </x:c>
      <x:c r="L154" s="10" t="n">
        <x:v>19890</x:v>
      </x:c>
      <x:c r="M154" s="10" t="n">
        <x:v>152401</x:v>
      </x:c>
      <x:c r="N154" s="9" t="str">
        <x:v>'-0.191</x:v>
      </x:c>
      <x:c r="O154" s="10" t="n">
        <x:v>119257</x:v>
      </x:c>
      <x:c r="P154" s="10" t="n">
        <x:v>27482</x:v>
      </x:c>
      <x:c r="Q154" s="9" t="n">
        <x:v>0.7825</x:v>
      </x:c>
      <x:c r="R154" s="9" t="n">
        <x:v>0.2304</x:v>
      </x:c>
      <x:c r="S154" s="9" t="n">
        <x:v>0.1803</x:v>
      </x:c>
    </x:row>
    <x:row r="155" ht="90" customHeight="1">
      <x:c r="A155" s="2" t="str">
        <x:v>lactose free milk</x:v>
      </x:c>
      <x:c r="B155" s="15" t="str">
        <x:v>lactose free milk, milk lactose free, lactose free, lactose free whole milk, lactose milk, organic lactose free milk, leche deslactosada, milk lactose, lactose-free, whole milk lactose free</x:v>
      </x:c>
      <x:c r="C155" s="10" t="n">
        <x:v>155</x:v>
      </x:c>
      <x:c r="D155" s="10" t="n">
        <x:v>233226</x:v>
      </x:c>
      <x:c r="E155" s="9" t="n">
        <x:v>0.205</x:v>
      </x:c>
      <x:c r="F155" s="10" t="n">
        <x:v>4303905</x:v>
      </x:c>
      <x:c r="G155" s="10" t="n">
        <x:v>82553</x:v>
      </x:c>
      <x:c r="H155" s="9" t="n">
        <x:v>0.0995</x:v>
      </x:c>
      <x:c r="I155" s="9" t="n">
        <x:v>0.3539</x:v>
      </x:c>
      <x:c r="J155" s="9" t="n">
        <x:v>0.3368</x:v>
      </x:c>
      <x:c r="K155" s="9" t="n">
        <x:v>0.1192</x:v>
      </x:c>
      <x:c r="L155" s="10" t="n">
        <x:v>27812</x:v>
      </x:c>
      <x:c r="M155" s="10" t="n">
        <x:v>64733</x:v>
      </x:c>
      <x:c r="N155" s="9" t="n">
        <x:v>0.1486</x:v>
      </x:c>
      <x:c r="O155" s="10" t="n">
        <x:v>56565</x:v>
      </x:c>
      <x:c r="P155" s="10" t="n">
        <x:v>26760</x:v>
      </x:c>
      <x:c r="Q155" s="9" t="n">
        <x:v>0.8738</x:v>
      </x:c>
      <x:c r="R155" s="9" t="n">
        <x:v>0.473</x:v>
      </x:c>
      <x:c r="S155" s="9" t="n">
        <x:v>0.4133</x:v>
      </x:c>
    </x:row>
    <x:row r="156" ht="71" customHeight="1">
      <x:c r="A156" s="2" t="str">
        <x:v>lace dress</x:v>
      </x:c>
      <x:c r="B156" s="15" t="str">
        <x:v>lace dress, lace dresses, lace overlay dress, long lace dress, lace long sleeve dress, sheer lace dress, dress lace, lace fall dress, dresses with lace, lace prom dress</x:v>
      </x:c>
      <x:c r="C156" s="10" t="n">
        <x:v>95</x:v>
      </x:c>
      <x:c r="D156" s="10" t="n">
        <x:v>228903</x:v>
      </x:c>
      <x:c r="E156" s="9" t="n">
        <x:v>0.2706</x:v>
      </x:c>
      <x:c r="F156" s="10" t="n">
        <x:v>6084644</x:v>
      </x:c>
      <x:c r="G156" s="10" t="n">
        <x:v>57491</x:v>
      </x:c>
      <x:c r="H156" s="9" t="n">
        <x:v>0.3293</x:v>
      </x:c>
      <x:c r="I156" s="9" t="n">
        <x:v>0.2511</x:v>
      </x:c>
      <x:c r="J156" s="9" t="n">
        <x:v>0.0048</x:v>
      </x:c>
      <x:c r="K156" s="9" t="n">
        <x:v>0.0012</x:v>
      </x:c>
      <x:c r="L156" s="10" t="n">
        <x:v>281</x:v>
      </x:c>
      <x:c r="M156" s="10" t="n">
        <x:v>28989</x:v>
      </x:c>
      <x:c r="N156" s="9" t="n">
        <x:v>0.2322</x:v>
      </x:c>
      <x:c r="O156" s="10" t="n">
        <x:v>23704</x:v>
      </x:c>
      <x:c r="P156" s="10" t="n">
        <x:v>1184</x:v>
      </x:c>
      <x:c r="Q156" s="9" t="n">
        <x:v>0.8176</x:v>
      </x:c>
      <x:c r="R156" s="9" t="n">
        <x:v>0.0499</x:v>
      </x:c>
      <x:c r="S156" s="9" t="n">
        <x:v>0.0408</x:v>
      </x:c>
    </x:row>
    <x:row r="157" ht="90" customHeight="1">
      <x:c r="A157" s="2" t="str">
        <x:v>labubu</x:v>
      </x:c>
      <x:c r="B157" s="15" t="str">
        <x:v>labubu, labubu official, labubu plush, labubu blind box figures, labubu limited edition collectibles, labubu dolls, labubu original, pin for love labubu, labubu plush dolls, real labubu</x:v>
      </x:c>
      <x:c r="C157" s="10" t="n">
        <x:v>75</x:v>
      </x:c>
      <x:c r="D157" s="10" t="n">
        <x:v>226743</x:v>
      </x:c>
      <x:c r="E157" s="9" t="n">
        <x:v>0.1706</x:v>
      </x:c>
      <x:c r="F157" s="10" t="n">
        <x:v>3874924</x:v>
      </x:c>
      <x:c r="G157" s="10" t="n">
        <x:v>70938</x:v>
      </x:c>
      <x:c r="H157" s="9" t="str">
        <x:v>'-0.0438</x:v>
      </x:c>
      <x:c r="I157" s="9" t="n">
        <x:v>0.3128</x:v>
      </x:c>
      <x:c r="J157" s="9" t="n">
        <x:v>0.045</x:v>
      </x:c>
      <x:c r="K157" s="9" t="n">
        <x:v>0.0141</x:v>
      </x:c>
      <x:c r="L157" s="10" t="n">
        <x:v>3198</x:v>
      </x:c>
      <x:c r="M157" s="10" t="n">
        <x:v>35728</x:v>
      </x:c>
      <x:c r="N157" s="9" t="n">
        <x:v>0.4125</x:v>
      </x:c>
      <x:c r="O157" s="10" t="n">
        <x:v>24337</x:v>
      </x:c>
      <x:c r="P157" s="10" t="n">
        <x:v>3235</x:v>
      </x:c>
      <x:c r="Q157" s="9" t="n">
        <x:v>0.6811</x:v>
      </x:c>
      <x:c r="R157" s="9" t="n">
        <x:v>0.1329</x:v>
      </x:c>
      <x:c r="S157" s="9" t="n">
        <x:v>0.0905</x:v>
      </x:c>
    </x:row>
    <x:row r="158" ht="71" customHeight="1">
      <x:c r="A158" s="2" t="str">
        <x:v>gummy bears</x:v>
      </x:c>
      <x:c r="B158" s="15" t="str">
        <x:v>gummy bears, gummy, gummi bears, gummy snakes, candy under 3 dollars, twin snakes gummies, snake candy, candy under $5, gummy bear candy, candy overnight</x:v>
      </x:c>
      <x:c r="C158" s="10" t="n">
        <x:v>89</x:v>
      </x:c>
      <x:c r="D158" s="10" t="n">
        <x:v>225881</x:v>
      </x:c>
      <x:c r="E158" s="9" t="n">
        <x:v>0.1528</x:v>
      </x:c>
      <x:c r="F158" s="10" t="n">
        <x:v>6046911</x:v>
      </x:c>
      <x:c r="G158" s="10" t="n">
        <x:v>73899</x:v>
      </x:c>
      <x:c r="H158" s="9" t="n">
        <x:v>0.0705</x:v>
      </x:c>
      <x:c r="I158" s="9" t="n">
        <x:v>0.3271</x:v>
      </x:c>
      <x:c r="J158" s="9" t="n">
        <x:v>0.1913</x:v>
      </x:c>
      <x:c r="K158" s="9" t="n">
        <x:v>0.0625</x:v>
      </x:c>
      <x:c r="L158" s="10" t="n">
        <x:v>14138</x:v>
      </x:c>
      <x:c r="M158" s="10" t="n">
        <x:v>57687</x:v>
      </x:c>
      <x:c r="N158" s="9" t="n">
        <x:v>0.1157</x:v>
      </x:c>
      <x:c r="O158" s="10" t="n">
        <x:v>43938</x:v>
      </x:c>
      <x:c r="P158" s="10" t="n">
        <x:v>14934</x:v>
      </x:c>
      <x:c r="Q158" s="9" t="n">
        <x:v>0.7616</x:v>
      </x:c>
      <x:c r="R158" s="9" t="n">
        <x:v>0.3398</x:v>
      </x:c>
      <x:c r="S158" s="9" t="n">
        <x:v>0.2588</x:v>
      </x:c>
    </x:row>
    <x:row r="159" ht="71" customHeight="1">
      <x:c r="A159" s="2" t="str">
        <x:v>toys for boys</x:v>
      </x:c>
      <x:c r="B159" s="15" t="str">
        <x:v>toys for boys, boys toys, boy toys age 5, gifts for 7 year old boys, toys boys, toy for boys, boys toys age 7, toys boy, boy toys age 6, toys for boys age 6</x:v>
      </x:c>
      <x:c r="C159" s="10" t="n">
        <x:v>142</x:v>
      </x:c>
      <x:c r="D159" s="10" t="n">
        <x:v>222935</x:v>
      </x:c>
      <x:c r="E159" s="9" t="n">
        <x:v>0.1092</x:v>
      </x:c>
      <x:c r="F159" s="10" t="n">
        <x:v>5171382</x:v>
      </x:c>
      <x:c r="G159" s="10" t="n">
        <x:v>63891</x:v>
      </x:c>
      <x:c r="H159" s="9" t="n">
        <x:v>0.1202</x:v>
      </x:c>
      <x:c r="I159" s="9" t="n">
        <x:v>0.2865</x:v>
      </x:c>
      <x:c r="J159" s="9" t="n">
        <x:v>0.0526</x:v>
      </x:c>
      <x:c r="K159" s="9" t="n">
        <x:v>0.015</x:v>
      </x:c>
      <x:c r="L159" s="10" t="n">
        <x:v>3364</x:v>
      </x:c>
      <x:c r="M159" s="10" t="n">
        <x:v>26929</x:v>
      </x:c>
      <x:c r="N159" s="9" t="n">
        <x:v>0.0853</x:v>
      </x:c>
      <x:c r="O159" s="10" t="n">
        <x:v>19900</x:v>
      </x:c>
      <x:c r="P159" s="10" t="n">
        <x:v>3227</x:v>
      </x:c>
      <x:c r="Q159" s="9" t="n">
        <x:v>0.7389</x:v>
      </x:c>
      <x:c r="R159" s="9" t="n">
        <x:v>0.1621</x:v>
      </x:c>
      <x:c r="S159" s="9" t="n">
        <x:v>0.1198</x:v>
      </x:c>
    </x:row>
    <x:row r="160" ht="55" customHeight="1">
      <x:c r="A160" s="2" t="str">
        <x:v>k18</x:v>
      </x:c>
      <x:c r="B160" s="15" t="str">
        <x:v>k18, k-18, k8, k18 set, k18 bundle, k18 bundle sets, k18 sets, k18 leave, k18 pack, kit k18</x:v>
      </x:c>
      <x:c r="C160" s="10" t="n">
        <x:v>16</x:v>
      </x:c>
      <x:c r="D160" s="10" t="n">
        <x:v>221687</x:v>
      </x:c>
      <x:c r="E160" s="9" t="n">
        <x:v>0.0638</x:v>
      </x:c>
      <x:c r="F160" s="10" t="n">
        <x:v>5842845</x:v>
      </x:c>
      <x:c r="G160" s="10" t="n">
        <x:v>107760</x:v>
      </x:c>
      <x:c r="H160" s="9" t="str">
        <x:v>'-0.0059</x:v>
      </x:c>
      <x:c r="I160" s="9" t="n">
        <x:v>0.486</x:v>
      </x:c>
      <x:c r="J160" s="9" t="n">
        <x:v>0.1287</x:v>
      </x:c>
      <x:c r="K160" s="9" t="n">
        <x:v>0.0625</x:v>
      </x:c>
      <x:c r="L160" s="10" t="n">
        <x:v>13875</x:v>
      </x:c>
      <x:c r="M160" s="10" t="n">
        <x:v>94517</x:v>
      </x:c>
      <x:c r="N160" s="9" t="n">
        <x:v>0.0568</x:v>
      </x:c>
      <x:c r="O160" s="10" t="n">
        <x:v>70275</x:v>
      </x:c>
      <x:c r="P160" s="10" t="n">
        <x:v>15128</x:v>
      </x:c>
      <x:c r="Q160" s="9" t="n">
        <x:v>0.7435</x:v>
      </x:c>
      <x:c r="R160" s="9" t="n">
        <x:v>0.2152</x:v>
      </x:c>
      <x:c r="S160" s="9" t="n">
        <x:v>0.16</x:v>
      </x:c>
    </x:row>
    <x:row r="161" ht="90" customHeight="1">
      <x:c r="A161" s="2" t="str">
        <x:v>mtg commander deck</x:v>
      </x:c>
      <x:c r="B161" s="15" t="str">
        <x:v>mtg commander deck, mtg commander, mtg commander decks, mtg commander preconstructed decks, commander deck mtg, commander decks mtg, clearance mtg commander, commander mtg, mtg preconstructed commander decks, mtg commander deck bundle</x:v>
      </x:c>
      <x:c r="C161" s="10" t="n">
        <x:v>77</x:v>
      </x:c>
      <x:c r="D161" s="10" t="n">
        <x:v>220002</x:v>
      </x:c>
      <x:c r="E161" s="9" t="n">
        <x:v>0.1141</x:v>
      </x:c>
      <x:c r="F161" s="10" t="n">
        <x:v>5401592</x:v>
      </x:c>
      <x:c r="G161" s="10" t="n">
        <x:v>78156</x:v>
      </x:c>
      <x:c r="H161" s="9" t="n">
        <x:v>0.0745</x:v>
      </x:c>
      <x:c r="I161" s="9" t="n">
        <x:v>0.3552</x:v>
      </x:c>
      <x:c r="J161" s="9" t="n">
        <x:v>0.0408</x:v>
      </x:c>
      <x:c r="K161" s="9" t="n">
        <x:v>0.0144</x:v>
      </x:c>
      <x:c r="L161" s="10" t="n">
        <x:v>3190</x:v>
      </x:c>
      <x:c r="M161" s="10" t="n">
        <x:v>27357</x:v>
      </x:c>
      <x:c r="N161" s="9" t="n">
        <x:v>0.1304</x:v>
      </x:c>
      <x:c r="O161" s="10" t="n">
        <x:v>19685</x:v>
      </x:c>
      <x:c r="P161" s="10" t="n">
        <x:v>2052</x:v>
      </x:c>
      <x:c r="Q161" s="9" t="n">
        <x:v>0.7195</x:v>
      </x:c>
      <x:c r="R161" s="9" t="n">
        <x:v>0.1042</x:v>
      </x:c>
      <x:c r="S161" s="9" t="n">
        <x:v>0.075</x:v>
      </x:c>
    </x:row>
    <x:row r="162" ht="90" customHeight="1">
      <x:c r="A162" s="2" t="str">
        <x:v>outdoor pillows</x:v>
      </x:c>
      <x:c r="B162" s="15" t="str">
        <x:v>outdoor pillows, outdoor pillow covers, pattern throw pillows, hydrangea pillow covers, waterproof pillow covers outdoor, hydrangea pillow, outdoor pillow set, decorator pillows for couch, floral accent pillow, hydrangea pillows</x:v>
      </x:c>
      <x:c r="C162" s="10" t="n">
        <x:v>140</x:v>
      </x:c>
      <x:c r="D162" s="10" t="n">
        <x:v>218394</x:v>
      </x:c>
      <x:c r="E162" s="9" t="str">
        <x:v>'-0.1712</x:v>
      </x:c>
      <x:c r="F162" s="10" t="n">
        <x:v>8109304</x:v>
      </x:c>
      <x:c r="G162" s="10" t="n">
        <x:v>89399</x:v>
      </x:c>
      <x:c r="H162" s="9" t="str">
        <x:v>'-0.1721</x:v>
      </x:c>
      <x:c r="I162" s="9" t="n">
        <x:v>0.4093</x:v>
      </x:c>
      <x:c r="J162" s="9" t="n">
        <x:v>0.0403</x:v>
      </x:c>
      <x:c r="K162" s="9" t="n">
        <x:v>0.0165</x:v>
      </x:c>
      <x:c r="L162" s="10" t="n">
        <x:v>3605</x:v>
      </x:c>
      <x:c r="M162" s="10" t="n">
        <x:v>48383</x:v>
      </x:c>
      <x:c r="N162" s="9" t="str">
        <x:v>'-0.154</x:v>
      </x:c>
      <x:c r="O162" s="10" t="n">
        <x:v>38798</x:v>
      </x:c>
      <x:c r="P162" s="10" t="n">
        <x:v>6995</x:v>
      </x:c>
      <x:c r="Q162" s="9" t="n">
        <x:v>0.8018</x:v>
      </x:c>
      <x:c r="R162" s="9" t="n">
        <x:v>0.1802</x:v>
      </x:c>
      <x:c r="S162" s="9" t="n">
        <x:v>0.1445</x:v>
      </x:c>
    </x:row>
    <x:row r="163" ht="90" customHeight="1">
      <x:c r="A163" s="2" t="str">
        <x:v>casetify iphone 17 pro max</x:v>
      </x:c>
      <x:c r="B163" s="15" t="str">
        <x:v>casetify iphone 17 pro max, casetify, casetify iphone 17, casify, casetify phone case, casetify case, phone case casetify, casetify cases, casetify ripple case, iphone 16 plus casetify</x:v>
      </x:c>
      <x:c r="C163" s="10" t="n">
        <x:v>163</x:v>
      </x:c>
      <x:c r="D163" s="10" t="n">
        <x:v>217540</x:v>
      </x:c>
      <x:c r="E163" s="9" t="n">
        <x:v>0.021</x:v>
      </x:c>
      <x:c r="F163" s="10" t="n">
        <x:v>4418691</x:v>
      </x:c>
      <x:c r="G163" s="10" t="n">
        <x:v>64645</x:v>
      </x:c>
      <x:c r="H163" s="9" t="str">
        <x:v>'-0.0169</x:v>
      </x:c>
      <x:c r="I163" s="9" t="n">
        <x:v>0.2971</x:v>
      </x:c>
      <x:c r="J163" s="9" t="n">
        <x:v>0.0259</x:v>
      </x:c>
      <x:c r="K163" s="9" t="n">
        <x:v>0.0077</x:v>
      </x:c>
      <x:c r="L163" s="10" t="n">
        <x:v>1679</x:v>
      </x:c>
      <x:c r="M163" s="10" t="n">
        <x:v>42634</x:v>
      </x:c>
      <x:c r="N163" s="9" t="n">
        <x:v>0.0466</x:v>
      </x:c>
      <x:c r="O163" s="10" t="n">
        <x:v>29636</x:v>
      </x:c>
      <x:c r="P163" s="10" t="n">
        <x:v>3267</x:v>
      </x:c>
      <x:c r="Q163" s="9" t="n">
        <x:v>0.6951</x:v>
      </x:c>
      <x:c r="R163" s="9" t="n">
        <x:v>0.1102</x:v>
      </x:c>
      <x:c r="S163" s="9" t="n">
        <x:v>0.0766</x:v>
      </x:c>
    </x:row>
    <x:row r="164" ht="71" customHeight="1">
      <x:c r="A164" s="2" t="str">
        <x:v>peaches</x:v>
      </x:c>
      <x:c r="B164" s="15" t="str">
        <x:v>peaches, peach, peaches fresh, white peach, white peaches, fresh peaches, durazno, organic white peach, praches, peaches organic</x:v>
      </x:c>
      <x:c r="C164" s="10" t="n">
        <x:v>87</x:v>
      </x:c>
      <x:c r="D164" s="10" t="n">
        <x:v>216884</x:v>
      </x:c>
      <x:c r="E164" s="9" t="str">
        <x:v>'-0.1168</x:v>
      </x:c>
      <x:c r="F164" s="10" t="n">
        <x:v>5403974</x:v>
      </x:c>
      <x:c r="G164" s="10" t="n">
        <x:v>103382</x:v>
      </x:c>
      <x:c r="H164" s="9" t="str">
        <x:v>'-0.2174</x:v>
      </x:c>
      <x:c r="I164" s="9" t="n">
        <x:v>0.4766</x:v>
      </x:c>
      <x:c r="J164" s="9" t="n">
        <x:v>0.396</x:v>
      </x:c>
      <x:c r="K164" s="9" t="n">
        <x:v>0.1887</x:v>
      </x:c>
      <x:c r="L164" s="10" t="n">
        <x:v>40947</x:v>
      </x:c>
      <x:c r="M164" s="10" t="n">
        <x:v>116425</x:v>
      </x:c>
      <x:c r="N164" s="9" t="str">
        <x:v>'-0.1493</x:v>
      </x:c>
      <x:c r="O164" s="10" t="n">
        <x:v>102268</x:v>
      </x:c>
      <x:c r="P164" s="10" t="n">
        <x:v>49560</x:v>
      </x:c>
      <x:c r="Q164" s="9" t="n">
        <x:v>0.8784</x:v>
      </x:c>
      <x:c r="R164" s="9" t="n">
        <x:v>0.4846</x:v>
      </x:c>
      <x:c r="S164" s="9" t="n">
        <x:v>0.4256</x:v>
      </x:c>
    </x:row>
    <x:row r="165" ht="109" customHeight="1">
      <x:c r="A165" s="2" t="str">
        <x:v>cauldron slow cooker</x:v>
      </x:c>
      <x:c r="B165" s="15" t="str">
        <x:v>cauldron slow cooker, cauldron crock pot, slow cooker cauldron, toast master cauldron slow cooker, halloween crockpot, cauldron slow cooker crockpot, halloween slow cooker, cauldron shaped slow cooker, electric cauldron crockpot, witch cauldron crock pot</x:v>
      </x:c>
      <x:c r="C165" s="10" t="n">
        <x:v>87</x:v>
      </x:c>
      <x:c r="D165" s="10" t="n">
        <x:v>216811</x:v>
      </x:c>
      <x:c r="E165" s="9" t="n">
        <x:v>0.4442</x:v>
      </x:c>
      <x:c r="F165" s="10" t="n">
        <x:v>3765732</x:v>
      </x:c>
      <x:c r="G165" s="10" t="n">
        <x:v>43685</x:v>
      </x:c>
      <x:c r="H165" s="9" t="n">
        <x:v>0.6439</x:v>
      </x:c>
      <x:c r="I165" s="9" t="n">
        <x:v>0.2014</x:v>
      </x:c>
      <x:c r="J165" s="9" t="n">
        <x:v>0.0059</x:v>
      </x:c>
      <x:c r="K165" s="9" t="n">
        <x:v>0.0012</x:v>
      </x:c>
      <x:c r="L165" s="10" t="n">
        <x:v>262</x:v>
      </x:c>
      <x:c r="M165" s="10" t="n">
        <x:v>54045</x:v>
      </x:c>
      <x:c r="N165" s="9" t="n">
        <x:v>0.3445</x:v>
      </x:c>
      <x:c r="O165" s="10" t="n">
        <x:v>18201</x:v>
      </x:c>
      <x:c r="P165" s="10" t="n">
        <x:v>165</x:v>
      </x:c>
      <x:c r="Q165" s="9" t="n">
        <x:v>0.3367</x:v>
      </x:c>
      <x:c r="R165" s="9" t="n">
        <x:v>0.009</x:v>
      </x:c>
      <x:c r="S165" s="9" t="n">
        <x:v>0.003</x:v>
      </x:c>
    </x:row>
    <x:row r="166" ht="90" customHeight="1">
      <x:c r="A166" s="2" t="str">
        <x:v>baby must haves</x:v>
      </x:c>
      <x:c r="B166" s="15" t="str">
        <x:v>baby must haves, baby items must haves, nursery essentials, baby nursery essentials, baby essentials must haves, nursery must haves, nursery necessities, nursery room essentials, nursery needs, essential baby items must haves</x:v>
      </x:c>
      <x:c r="C166" s="10" t="n">
        <x:v>50</x:v>
      </x:c>
      <x:c r="D166" s="10" t="n">
        <x:v>215684</x:v>
      </x:c>
      <x:c r="E166" s="9" t="str">
        <x:v>'-0.0495</x:v>
      </x:c>
      <x:c r="F166" s="10" t="n">
        <x:v>6819314</x:v>
      </x:c>
      <x:c r="G166" s="10" t="n">
        <x:v>71446</x:v>
      </x:c>
      <x:c r="H166" s="9" t="str">
        <x:v>'-0.0637</x:v>
      </x:c>
      <x:c r="I166" s="9" t="n">
        <x:v>0.3312</x:v>
      </x:c>
      <x:c r="J166" s="9" t="n">
        <x:v>0.0159</x:v>
      </x:c>
      <x:c r="K166" s="9" t="n">
        <x:v>0.0052</x:v>
      </x:c>
      <x:c r="L166" s="10" t="n">
        <x:v>1136</x:v>
      </x:c>
      <x:c r="M166" s="10" t="n">
        <x:v>25501</x:v>
      </x:c>
      <x:c r="N166" s="9" t="str">
        <x:v>'-0.0572</x:v>
      </x:c>
      <x:c r="O166" s="10" t="n">
        <x:v>20175</x:v>
      </x:c>
      <x:c r="P166" s="10" t="n">
        <x:v>1021</x:v>
      </x:c>
      <x:c r="Q166" s="9" t="n">
        <x:v>0.7911</x:v>
      </x:c>
      <x:c r="R166" s="9" t="n">
        <x:v>0.0506</x:v>
      </x:c>
      <x:c r="S166" s="9" t="n">
        <x:v>0.04</x:v>
      </x:c>
    </x:row>
    <x:row r="167" ht="109" customHeight="1">
      <x:c r="A167" s="2" t="str">
        <x:v>kpop demon hunters toys</x:v>
      </x:c>
      <x:c r="B167" s="15" t="str">
        <x:v>kpop demon hunters toys, kpop demon hunters action figures, kpop demon hunters toys for girls, kpop demon hunters toy, kpop demon hunter toy, kpop demon hunters action figure, kapop demon hunters toys, kpop demon hunters figures set, kopop demon hunters toys, demon kpop hunters toys</x:v>
      </x:c>
      <x:c r="C167" s="10" t="n">
        <x:v>43</x:v>
      </x:c>
      <x:c r="D167" s="10" t="n">
        <x:v>215199</x:v>
      </x:c>
      <x:c r="E167" s="9" t="n">
        <x:v>0.2573</x:v>
      </x:c>
      <x:c r="F167" s="10" t="n">
        <x:v>2381336</x:v>
      </x:c>
      <x:c r="G167" s="10" t="n">
        <x:v>70716</x:v>
      </x:c>
      <x:c r="H167" s="9" t="n">
        <x:v>0.4065</x:v>
      </x:c>
      <x:c r="I167" s="9" t="n">
        <x:v>0.3286</x:v>
      </x:c>
      <x:c r="J167" s="9" t="n">
        <x:v>0.0695</x:v>
      </x:c>
      <x:c r="K167" s="9" t="n">
        <x:v>0.0228</x:v>
      </x:c>
      <x:c r="L167" s="10" t="n">
        <x:v>4917</x:v>
      </x:c>
      <x:c r="M167" s="10" t="n">
        <x:v>18577</x:v>
      </x:c>
      <x:c r="N167" s="9" t="n">
        <x:v>0.2674</x:v>
      </x:c>
      <x:c r="O167" s="10" t="n">
        <x:v>14891</x:v>
      </x:c>
      <x:c r="P167" s="10" t="n">
        <x:v>2726</x:v>
      </x:c>
      <x:c r="Q167" s="9" t="n">
        <x:v>0.8015</x:v>
      </x:c>
      <x:c r="R167" s="9" t="n">
        <x:v>0.183</x:v>
      </x:c>
      <x:c r="S167" s="9" t="n">
        <x:v>0.1467</x:v>
      </x:c>
    </x:row>
    <x:row r="168" ht="90" customHeight="1">
      <x:c r="A168" s="2" t="str">
        <x:v>english muffins</x:v>
      </x:c>
      <x:c r="B168" s="15" t="str">
        <x:v>english muffins, english muffin, ezekiel english muffin, organic english muffins, keto english muffins, daves killer english muffins, low carb english muffins, english muffin bread, english muffins 365, bays</x:v>
      </x:c>
      <x:c r="C168" s="10" t="n">
        <x:v>151</x:v>
      </x:c>
      <x:c r="D168" s="10" t="n">
        <x:v>214590</x:v>
      </x:c>
      <x:c r="E168" s="9" t="n">
        <x:v>0.1163</x:v>
      </x:c>
      <x:c r="F168" s="10" t="n">
        <x:v>5229129</x:v>
      </x:c>
      <x:c r="G168" s="10" t="n">
        <x:v>101521</x:v>
      </x:c>
      <x:c r="H168" s="9" t="n">
        <x:v>0.0638</x:v>
      </x:c>
      <x:c r="I168" s="9" t="n">
        <x:v>0.473</x:v>
      </x:c>
      <x:c r="J168" s="9" t="n">
        <x:v>0.3905</x:v>
      </x:c>
      <x:c r="K168" s="9" t="n">
        <x:v>0.1847</x:v>
      </x:c>
      <x:c r="L168" s="10" t="n">
        <x:v>39652</x:v>
      </x:c>
      <x:c r="M168" s="10" t="n">
        <x:v>81661</x:v>
      </x:c>
      <x:c r="N168" s="9" t="n">
        <x:v>0.0989</x:v>
      </x:c>
      <x:c r="O168" s="10" t="n">
        <x:v>71674</x:v>
      </x:c>
      <x:c r="P168" s="10" t="n">
        <x:v>40443</x:v>
      </x:c>
      <x:c r="Q168" s="9" t="n">
        <x:v>0.8777</x:v>
      </x:c>
      <x:c r="R168" s="9" t="n">
        <x:v>0.5642</x:v>
      </x:c>
      <x:c r="S168" s="9" t="n">
        <x:v>0.4952</x:v>
      </x:c>
    </x:row>
    <x:row r="169" ht="90" customHeight="1">
      <x:c r="A169" s="2" t="str">
        <x:v>warhammer 40k</x:v>
      </x:c>
      <x:c r="B169" s="15" t="str">
        <x:v>warhammer 40k, warhammer 40k miniatures, warhammer 40k orks, warhammer 40k starter set, warhammer 40k ork, warhammer 40k tau, warhammer 40k 11th edition, warhammer 40k introductory set, orks warhammer 40k, warhammer orks 40k</x:v>
      </x:c>
      <x:c r="C169" s="10" t="n">
        <x:v>134</x:v>
      </x:c>
      <x:c r="D169" s="10" t="n">
        <x:v>214518</x:v>
      </x:c>
      <x:c r="E169" s="9" t="str">
        <x:v>'-0.0555</x:v>
      </x:c>
      <x:c r="F169" s="10" t="n">
        <x:v>4652768</x:v>
      </x:c>
      <x:c r="G169" s="10" t="n">
        <x:v>88840</x:v>
      </x:c>
      <x:c r="H169" s="9" t="str">
        <x:v>'-0.0907</x:v>
      </x:c>
      <x:c r="I169" s="9" t="n">
        <x:v>0.4141</x:v>
      </x:c>
      <x:c r="J169" s="9" t="n">
        <x:v>0.0178</x:v>
      </x:c>
      <x:c r="K169" s="9" t="n">
        <x:v>0.0073</x:v>
      </x:c>
      <x:c r="L169" s="10" t="n">
        <x:v>1584</x:v>
      </x:c>
      <x:c r="M169" s="10" t="n">
        <x:v>29371</x:v>
      </x:c>
      <x:c r="N169" s="9" t="str">
        <x:v>'-0.0801</x:v>
      </x:c>
      <x:c r="O169" s="10" t="n">
        <x:v>21900</x:v>
      </x:c>
      <x:c r="P169" s="10" t="n">
        <x:v>1325</x:v>
      </x:c>
      <x:c r="Q169" s="9" t="n">
        <x:v>0.7456</x:v>
      </x:c>
      <x:c r="R169" s="9" t="n">
        <x:v>0.0605</x:v>
      </x:c>
      <x:c r="S169" s="9" t="n">
        <x:v>0.0451</x:v>
      </x:c>
    </x:row>
    <x:row r="170" ht="90" customHeight="1">
      <x:c r="A170" s="2" t="str">
        <x:v>blushe lash serum mascara</x:v>
      </x:c>
      <x:c r="B170" s="15" t="str">
        <x:v>blushe lash serum mascara, blushe lash casting mascara korean, blush korean mascara, korean mascara, blushe mascara, blush mascara, blush mascara korean, blushe korean mascara, blush lash casting mascara, korean makeup mascara</x:v>
      </x:c>
      <x:c r="C170" s="10" t="n">
        <x:v>116</x:v>
      </x:c>
      <x:c r="D170" s="10" t="n">
        <x:v>214084</x:v>
      </x:c>
      <x:c r="E170" s="9" t="n">
        <x:v>0.8655</x:v>
      </x:c>
      <x:c r="F170" s="10" t="n">
        <x:v>6606293</x:v>
      </x:c>
      <x:c r="G170" s="10" t="n">
        <x:v>129581</x:v>
      </x:c>
      <x:c r="H170" s="9" t="n">
        <x:v>0.978</x:v>
      </x:c>
      <x:c r="I170" s="9" t="n">
        <x:v>0.6052</x:v>
      </x:c>
      <x:c r="J170" s="9" t="n">
        <x:v>0.0969</x:v>
      </x:c>
      <x:c r="K170" s="9" t="n">
        <x:v>0.0586</x:v>
      </x:c>
      <x:c r="L170" s="10" t="n">
        <x:v>12562</x:v>
      </x:c>
      <x:c r="M170" s="10" t="n">
        <x:v>77954</x:v>
      </x:c>
      <x:c r="N170" s="9" t="n">
        <x:v>0.801</x:v>
      </x:c>
      <x:c r="O170" s="10" t="n">
        <x:v>59750</x:v>
      </x:c>
      <x:c r="P170" s="10" t="n">
        <x:v>9444</x:v>
      </x:c>
      <x:c r="Q170" s="9" t="n">
        <x:v>0.7664</x:v>
      </x:c>
      <x:c r="R170" s="9" t="n">
        <x:v>0.158</x:v>
      </x:c>
      <x:c r="S170" s="9" t="n">
        <x:v>0.1211</x:v>
      </x:c>
    </x:row>
    <x:row r="171" ht="90" customHeight="1">
      <x:c r="A171" s="2" t="str">
        <x:v>fall sweaters</x:v>
      </x:c>
      <x:c r="B171" s="15" t="str">
        <x:v>fall sweaters, fall sweater, cute fall sweaters, 80s sweater, color block sweater, womens winter fashion, womens color block sweater, fall womens sweaters 2026, fun fall sweaters, womens colorful sweater</x:v>
      </x:c>
      <x:c r="C171" s="10" t="n">
        <x:v>68</x:v>
      </x:c>
      <x:c r="D171" s="10" t="n">
        <x:v>213818</x:v>
      </x:c>
      <x:c r="E171" s="9" t="n">
        <x:v>1.2915</x:v>
      </x:c>
      <x:c r="F171" s="10" t="n">
        <x:v>4080314</x:v>
      </x:c>
      <x:c r="G171" s="10" t="n">
        <x:v>59331</x:v>
      </x:c>
      <x:c r="H171" s="9" t="n">
        <x:v>1.3012</x:v>
      </x:c>
      <x:c r="I171" s="9" t="n">
        <x:v>0.2774</x:v>
      </x:c>
      <x:c r="J171" s="9" t="n">
        <x:v>0.0084</x:v>
      </x:c>
      <x:c r="K171" s="9" t="n">
        <x:v>0.0023</x:v>
      </x:c>
      <x:c r="L171" s="10" t="n">
        <x:v>500</x:v>
      </x:c>
      <x:c r="M171" s="10" t="n">
        <x:v>23421</x:v>
      </x:c>
      <x:c r="N171" s="9" t="n">
        <x:v>1.2989</x:v>
      </x:c>
      <x:c r="O171" s="10" t="n">
        <x:v>17470</x:v>
      </x:c>
      <x:c r="P171" s="10" t="n">
        <x:v>1055</x:v>
      </x:c>
      <x:c r="Q171" s="9" t="n">
        <x:v>0.7459</x:v>
      </x:c>
      <x:c r="R171" s="9" t="n">
        <x:v>0.0603</x:v>
      </x:c>
      <x:c r="S171" s="9" t="n">
        <x:v>0.045</x:v>
      </x:c>
    </x:row>
    <x:row r="172" ht="71" customHeight="1">
      <x:c r="A172" s="2" t="str">
        <x:v>lor</x:v>
      </x:c>
      <x:c r="B172" s="15" t="str">
        <x:v>lor, lor coffee pods, lor coffee, lor pods, lor decaf coffee pods, l or coffee pods, lor nespresso pods, lor coffee pods decaf, lor pods espresso, coffee pods lor</x:v>
      </x:c>
      <x:c r="C172" s="10" t="n">
        <x:v>65</x:v>
      </x:c>
      <x:c r="D172" s="10" t="n">
        <x:v>213691</x:v>
      </x:c>
      <x:c r="E172" s="9" t="str">
        <x:v>'-0.0997</x:v>
      </x:c>
      <x:c r="F172" s="10" t="n">
        <x:v>680750</x:v>
      </x:c>
      <x:c r="G172" s="10" t="n">
        <x:v>30366</x:v>
      </x:c>
      <x:c r="H172" s="9" t="n">
        <x:v>0.9676</x:v>
      </x:c>
      <x:c r="I172" s="9" t="n">
        <x:v>0.1421</x:v>
      </x:c>
      <x:c r="J172" s="9" t="n">
        <x:v>0.0926</x:v>
      </x:c>
      <x:c r="K172" s="9" t="n">
        <x:v>0.0131</x:v>
      </x:c>
      <x:c r="L172" s="10" t="n">
        <x:v>2814</x:v>
      </x:c>
      <x:c r="M172" s="10" t="n">
        <x:v>10782</x:v>
      </x:c>
      <x:c r="N172" s="9" t="str">
        <x:v>'-0.1175</x:v>
      </x:c>
      <x:c r="O172" s="10" t="n">
        <x:v>8734</x:v>
      </x:c>
      <x:c r="P172" s="10" t="n">
        <x:v>2483</x:v>
      </x:c>
      <x:c r="Q172" s="9" t="n">
        <x:v>0.81</x:v>
      </x:c>
      <x:c r="R172" s="9" t="n">
        <x:v>0.2842</x:v>
      </x:c>
      <x:c r="S172" s="9" t="n">
        <x:v>0.2302</x:v>
      </x:c>
    </x:row>
    <x:row r="173" ht="71" customHeight="1">
      <x:c r="A173" s="2" t="str">
        <x:v>black beans</x:v>
      </x:c>
      <x:c r="B173" s="15" t="str">
        <x:v>black beans, black beans canned, canned black beans, beans organic, frijoles negros, habichuelas, black beans no salt, low sodium black beans, beans black, beens</x:v>
      </x:c>
      <x:c r="C173" s="10" t="n">
        <x:v>109</x:v>
      </x:c>
      <x:c r="D173" s="10" t="n">
        <x:v>213401</x:v>
      </x:c>
      <x:c r="E173" s="9" t="n">
        <x:v>0.126</x:v>
      </x:c>
      <x:c r="F173" s="10" t="n">
        <x:v>5627741</x:v>
      </x:c>
      <x:c r="G173" s="10" t="n">
        <x:v>124230</x:v>
      </x:c>
      <x:c r="H173" s="9" t="n">
        <x:v>0.1074</x:v>
      </x:c>
      <x:c r="I173" s="9" t="n">
        <x:v>0.5821</x:v>
      </x:c>
      <x:c r="J173" s="9" t="n">
        <x:v>0.3287</x:v>
      </x:c>
      <x:c r="K173" s="9" t="n">
        <x:v>0.1913</x:v>
      </x:c>
      <x:c r="L173" s="10" t="n">
        <x:v>40838</x:v>
      </x:c>
      <x:c r="M173" s="10" t="n">
        <x:v>106399</x:v>
      </x:c>
      <x:c r="N173" s="9" t="n">
        <x:v>0.1468</x:v>
      </x:c>
      <x:c r="O173" s="10" t="n">
        <x:v>98974</x:v>
      </x:c>
      <x:c r="P173" s="10" t="n">
        <x:v>41815</x:v>
      </x:c>
      <x:c r="Q173" s="9" t="n">
        <x:v>0.9302</x:v>
      </x:c>
      <x:c r="R173" s="9" t="n">
        <x:v>0.4224</x:v>
      </x:c>
      <x:c r="S173" s="9" t="n">
        <x:v>0.393</x:v>
      </x:c>
    </x:row>
    <x:row r="174" ht="71" customHeight="1">
      <x:c r="A174" s="2" t="str">
        <x:v>wire stripper</x:v>
      </x:c>
      <x:c r="B174" s="15" t="str">
        <x:v>wire stripper, stripper, electric wire stripper, cable stripper, electrical pliers, wire cutter stripper, wire stripper crimper, pelacables, wire stripers, wire stripper pliers</x:v>
      </x:c>
      <x:c r="C174" s="10" t="n">
        <x:v>134</x:v>
      </x:c>
      <x:c r="D174" s="10" t="n">
        <x:v>210601</x:v>
      </x:c>
      <x:c r="E174" s="9" t="n">
        <x:v>0.0933</x:v>
      </x:c>
      <x:c r="F174" s="10" t="n">
        <x:v>5861278</x:v>
      </x:c>
      <x:c r="G174" s="10" t="n">
        <x:v>96000</x:v>
      </x:c>
      <x:c r="H174" s="9" t="n">
        <x:v>0.104</x:v>
      </x:c>
      <x:c r="I174" s="9" t="n">
        <x:v>0.4558</x:v>
      </x:c>
      <x:c r="J174" s="9" t="n">
        <x:v>0.1603</x:v>
      </x:c>
      <x:c r="K174" s="9" t="n">
        <x:v>0.073</x:v>
      </x:c>
      <x:c r="L174" s="10" t="n">
        <x:v>15391</x:v>
      </x:c>
      <x:c r="M174" s="10" t="n">
        <x:v>56735</x:v>
      </x:c>
      <x:c r="N174" s="9" t="n">
        <x:v>0.0974</x:v>
      </x:c>
      <x:c r="O174" s="10" t="n">
        <x:v>46807</x:v>
      </x:c>
      <x:c r="P174" s="10" t="n">
        <x:v>16474</x:v>
      </x:c>
      <x:c r="Q174" s="9" t="n">
        <x:v>0.825</x:v>
      </x:c>
      <x:c r="R174" s="9" t="n">
        <x:v>0.3519</x:v>
      </x:c>
      <x:c r="S174" s="9" t="n">
        <x:v>0.2903</x:v>
      </x:c>
    </x:row>
    <x:row r="175" ht="90" customHeight="1">
      <x:c r="A175" s="2" t="str">
        <x:v>aloha protein bars</x:v>
      </x:c>
      <x:c r="B175" s="15" t="str">
        <x:v>aloha protein bars, aloha bars, aloha bar, aloha bars variety pack, aloha protein bar, aloha mini bars, protein bars aloha, aloha protein bars pack, aloha protein bars variety pack, aloha bars protein</x:v>
      </x:c>
      <x:c r="C175" s="10" t="n">
        <x:v>130</x:v>
      </x:c>
      <x:c r="D175" s="10" t="n">
        <x:v>210304</x:v>
      </x:c>
      <x:c r="E175" s="9" t="str">
        <x:v>'-0.0199</x:v>
      </x:c>
      <x:c r="F175" s="10" t="n">
        <x:v>8812057</x:v>
      </x:c>
      <x:c r="G175" s="10" t="n">
        <x:v>117882</x:v>
      </x:c>
      <x:c r="H175" s="9" t="str">
        <x:v>'-0.0218</x:v>
      </x:c>
      <x:c r="I175" s="9" t="n">
        <x:v>0.5605</x:v>
      </x:c>
      <x:c r="J175" s="9" t="n">
        <x:v>0.2096</x:v>
      </x:c>
      <x:c r="K175" s="9" t="n">
        <x:v>0.1174</x:v>
      </x:c>
      <x:c r="L175" s="10" t="n">
        <x:v>24710</x:v>
      </x:c>
      <x:c r="M175" s="10" t="n">
        <x:v>90855</x:v>
      </x:c>
      <x:c r="N175" s="9" t="str">
        <x:v>'-0.0454</x:v>
      </x:c>
      <x:c r="O175" s="10" t="n">
        <x:v>75633</x:v>
      </x:c>
      <x:c r="P175" s="10" t="n">
        <x:v>25206</x:v>
      </x:c>
      <x:c r="Q175" s="9" t="n">
        <x:v>0.8324</x:v>
      </x:c>
      <x:c r="R175" s="9" t="n">
        <x:v>0.3332</x:v>
      </x:c>
      <x:c r="S175" s="9" t="n">
        <x:v>0.2774</x:v>
      </x:c>
    </x:row>
    <x:row r="176" ht="109" customHeight="1">
      <x:c r="A176" s="2" t="str">
        <x:v>baby lounger</x:v>
      </x:c>
      <x:c r="B176" s="15" t="str">
        <x:v>baby lounger, infant floor seats &amp; loungers, inflatable baby lounger, blow up baby lounger, portable baby loungers, baby floor seat and lounger, infant lounger seat, inflatable infant lounger, floor seat lounger baby, portable baby loungers 0-12 months</x:v>
      </x:c>
      <x:c r="C176" s="10" t="n">
        <x:v>16</x:v>
      </x:c>
      <x:c r="D176" s="10" t="n">
        <x:v>210136</x:v>
      </x:c>
      <x:c r="E176" s="9" t="str">
        <x:v>'-0.0588</x:v>
      </x:c>
      <x:c r="F176" s="10" t="n">
        <x:v>6666388</x:v>
      </x:c>
      <x:c r="G176" s="10" t="n">
        <x:v>88386</x:v>
      </x:c>
      <x:c r="H176" s="9" t="str">
        <x:v>'-0.0447</x:v>
      </x:c>
      <x:c r="I176" s="9" t="n">
        <x:v>0.4206</x:v>
      </x:c>
      <x:c r="J176" s="9" t="n">
        <x:v>0.0218</x:v>
      </x:c>
      <x:c r="K176" s="9" t="n">
        <x:v>0.0091</x:v>
      </x:c>
      <x:c r="L176" s="10" t="n">
        <x:v>1932</x:v>
      </x:c>
      <x:c r="M176" s="10" t="n">
        <x:v>52710</x:v>
      </x:c>
      <x:c r="N176" s="9" t="str">
        <x:v>'-0.0551</x:v>
      </x:c>
      <x:c r="O176" s="10" t="n">
        <x:v>40832</x:v>
      </x:c>
      <x:c r="P176" s="10" t="n">
        <x:v>3130</x:v>
      </x:c>
      <x:c r="Q176" s="9" t="n">
        <x:v>0.7746</x:v>
      </x:c>
      <x:c r="R176" s="9" t="n">
        <x:v>0.0766</x:v>
      </x:c>
      <x:c r="S176" s="9" t="n">
        <x:v>0.0593</x:v>
      </x:c>
    </x:row>
    <x:row r="177" ht="90" customHeight="1">
      <x:c r="A177" s="2" t="str">
        <x:v>carteras para mujer</x:v>
      </x:c>
      <x:c r="B177" s="15" t="str">
        <x:v>carteras para mujer, carteras de mujer, cartera de mujer, carteras para mujer de marca, carteras para mujer coach, cartera mujer, carteras mujer, cartera de marca para mujer, carteras elegantes para mujer, carteras luis vouton para mujer</x:v>
      </x:c>
      <x:c r="C177" s="10" t="n">
        <x:v>140</x:v>
      </x:c>
      <x:c r="D177" s="10" t="n">
        <x:v>210016</x:v>
      </x:c>
      <x:c r="E177" s="9" t="n">
        <x:v>0.0813</x:v>
      </x:c>
      <x:c r="F177" s="10" t="n">
        <x:v>3724109</x:v>
      </x:c>
      <x:c r="G177" s="10" t="n">
        <x:v>58157</x:v>
      </x:c>
      <x:c r="H177" s="9" t="n">
        <x:v>0.0796</x:v>
      </x:c>
      <x:c r="I177" s="9" t="n">
        <x:v>0.2769</x:v>
      </x:c>
      <x:c r="J177" s="9" t="n">
        <x:v>0.007</x:v>
      </x:c>
      <x:c r="K177" s="9" t="n">
        <x:v>0.0019</x:v>
      </x:c>
      <x:c r="L177" s="10" t="n">
        <x:v>412</x:v>
      </x:c>
      <x:c r="M177" s="10" t="n">
        <x:v>20509</x:v>
      </x:c>
      <x:c r="N177" s="9" t="n">
        <x:v>0.0741</x:v>
      </x:c>
      <x:c r="O177" s="10" t="n">
        <x:v>14983</x:v>
      </x:c>
      <x:c r="P177" s="10" t="n">
        <x:v>750</x:v>
      </x:c>
      <x:c r="Q177" s="9" t="n">
        <x:v>0.7305</x:v>
      </x:c>
      <x:c r="R177" s="9" t="n">
        <x:v>0.05</x:v>
      </x:c>
      <x:c r="S177" s="9" t="n">
        <x:v>0.0365</x:v>
      </x:c>
    </x:row>
    <x:row r="178" ht="128" customHeight="1">
      <x:c r="A178" s="2" t="str">
        <x:v>bruno mars concert outfit women</x:v>
      </x:c>
      <x:c r="B178" s="15" t="str">
        <x:v>bruno mars concert outfit women, bruno mars concert outfit, bruno mars concert outfits women, bruno mars concert outfits, outfits for bruno mars concert, womens bruno mars concert outfit, bruno mars romantic tour outfit women, outfit for bruno mars concert, bruno mars inspo outfits for women, bruno mars concert outfit teen</x:v>
      </x:c>
      <x:c r="C178" s="10" t="n">
        <x:v>31</x:v>
      </x:c>
      <x:c r="D178" s="10" t="n">
        <x:v>209919</x:v>
      </x:c>
      <x:c r="E178" s="9" t="n">
        <x:v>1.9566</x:v>
      </x:c>
      <x:c r="F178" s="10" t="n">
        <x:v>4204762</x:v>
      </x:c>
      <x:c r="G178" s="10" t="n">
        <x:v>56053</x:v>
      </x:c>
      <x:c r="H178" s="9" t="n">
        <x:v>2.1218</x:v>
      </x:c>
      <x:c r="I178" s="9" t="n">
        <x:v>0.267</x:v>
      </x:c>
      <x:c r="J178" s="9" t="n">
        <x:v>0.0273</x:v>
      </x:c>
      <x:c r="K178" s="9" t="n">
        <x:v>0.0072</x:v>
      </x:c>
      <x:c r="L178" s="10" t="n">
        <x:v>1531</x:v>
      </x:c>
      <x:c r="M178" s="10" t="n">
        <x:v>18629</x:v>
      </x:c>
      <x:c r="N178" s="9" t="n">
        <x:v>1.7437</x:v>
      </x:c>
      <x:c r="O178" s="10" t="n">
        <x:v>13697</x:v>
      </x:c>
      <x:c r="P178" s="10" t="n">
        <x:v>1684</x:v>
      </x:c>
      <x:c r="Q178" s="9" t="n">
        <x:v>0.7352</x:v>
      </x:c>
      <x:c r="R178" s="9" t="n">
        <x:v>0.1229</x:v>
      </x:c>
      <x:c r="S178" s="9" t="n">
        <x:v>0.0903</x:v>
      </x:c>
    </x:row>
    <x:row r="179" ht="109" customHeight="1">
      <x:c r="A179" s="2" t="str">
        <x:v>baby registry must haves</x:v>
      </x:c>
      <x:c r="B179" s="15" t="str">
        <x:v>baby registry must haves, baby boy registry must haves, baby registry must haves for boys, 2nd baby registry must haves, registry must haves, baby shower list registry, rv baby must haves, newborn must-haves, baby registry must haves 2026, second baby registry must haves</x:v>
      </x:c>
      <x:c r="C179" s="10" t="n">
        <x:v>78</x:v>
      </x:c>
      <x:c r="D179" s="10" t="n">
        <x:v>209170</x:v>
      </x:c>
      <x:c r="E179" s="9" t="n">
        <x:v>0.0479</x:v>
      </x:c>
      <x:c r="F179" s="10" t="n">
        <x:v>6676813</x:v>
      </x:c>
      <x:c r="G179" s="10" t="n">
        <x:v>78796</x:v>
      </x:c>
      <x:c r="H179" s="9" t="n">
        <x:v>0.0069</x:v>
      </x:c>
      <x:c r="I179" s="9" t="n">
        <x:v>0.3767</x:v>
      </x:c>
      <x:c r="J179" s="9" t="n">
        <x:v>0.0041</x:v>
      </x:c>
      <x:c r="K179" s="9" t="n">
        <x:v>0.0015</x:v>
      </x:c>
      <x:c r="L179" s="10" t="n">
        <x:v>326</x:v>
      </x:c>
      <x:c r="M179" s="10" t="n">
        <x:v>20811</x:v>
      </x:c>
      <x:c r="N179" s="9" t="n">
        <x:v>0.1142</x:v>
      </x:c>
      <x:c r="O179" s="10" t="n">
        <x:v>16022</x:v>
      </x:c>
      <x:c r="P179" s="10" t="n">
        <x:v>260</x:v>
      </x:c>
      <x:c r="Q179" s="9" t="n">
        <x:v>0.7698</x:v>
      </x:c>
      <x:c r="R179" s="9" t="n">
        <x:v>0.0162</x:v>
      </x:c>
      <x:c r="S179" s="9" t="n">
        <x:v>0.0124</x:v>
      </x:c>
    </x:row>
    <x:row r="180" ht="109" customHeight="1">
      <x:c r="A180" s="2" t="str">
        <x:v>leather jacket women</x:v>
      </x:c>
      <x:c r="B180" s="15" t="str">
        <x:v>leather jacket women, cropped leather jacket women, women leather jacket, chaqueta de cuero para mujer, womens leather jackets, leather jackets for women, leather jacket for women, leather coats for women, leather jacket women cropped, cropped leather jackets women</x:v>
      </x:c>
      <x:c r="C180" s="10" t="n">
        <x:v>167</x:v>
      </x:c>
      <x:c r="D180" s="10" t="n">
        <x:v>208077</x:v>
      </x:c>
      <x:c r="E180" s="9" t="n">
        <x:v>0.9258</x:v>
      </x:c>
      <x:c r="F180" s="10" t="n">
        <x:v>3957607</x:v>
      </x:c>
      <x:c r="G180" s="10" t="n">
        <x:v>64340</x:v>
      </x:c>
      <x:c r="H180" s="9" t="n">
        <x:v>0.9234</x:v>
      </x:c>
      <x:c r="I180" s="9" t="n">
        <x:v>0.3092</x:v>
      </x:c>
      <x:c r="J180" s="9" t="n">
        <x:v>0.0116</x:v>
      </x:c>
      <x:c r="K180" s="9" t="n">
        <x:v>0.0036</x:v>
      </x:c>
      <x:c r="L180" s="10" t="n">
        <x:v>750</x:v>
      </x:c>
      <x:c r="M180" s="10" t="n">
        <x:v>27177</x:v>
      </x:c>
      <x:c r="N180" s="9" t="n">
        <x:v>0.8574</x:v>
      </x:c>
      <x:c r="O180" s="10" t="n">
        <x:v>21136</x:v>
      </x:c>
      <x:c r="P180" s="10" t="n">
        <x:v>1651</x:v>
      </x:c>
      <x:c r="Q180" s="9" t="n">
        <x:v>0.7777</x:v>
      </x:c>
      <x:c r="R180" s="9" t="n">
        <x:v>0.0781</x:v>
      </x:c>
      <x:c r="S180" s="9" t="n">
        <x:v>0.0607</x:v>
      </x:c>
    </x:row>
    <x:row r="181" ht="90" customHeight="1">
      <x:c r="A181" s="2" t="str">
        <x:v>sensory room must haves</x:v>
      </x:c>
      <x:c r="B181" s="15" t="str">
        <x:v>sensory room must haves, cute things, sensory room, sensory room must haves autism, autism room must haves, autism sensory room must haves, autism sensory room, sensory bedroom items, sensory room must haves for adults, sensory bedroom</x:v>
      </x:c>
      <x:c r="C181" s="10" t="n">
        <x:v>62</x:v>
      </x:c>
      <x:c r="D181" s="10" t="n">
        <x:v>206659</x:v>
      </x:c>
      <x:c r="E181" s="9" t="str">
        <x:v>'-0.0734</x:v>
      </x:c>
      <x:c r="F181" s="10" t="n">
        <x:v>6796821</x:v>
      </x:c>
      <x:c r="G181" s="10" t="n">
        <x:v>75083</x:v>
      </x:c>
      <x:c r="H181" s="9" t="str">
        <x:v>'-0.0872</x:v>
      </x:c>
      <x:c r="I181" s="9" t="n">
        <x:v>0.3633</x:v>
      </x:c>
      <x:c r="J181" s="9" t="n">
        <x:v>0.023</x:v>
      </x:c>
      <x:c r="K181" s="9" t="n">
        <x:v>0.0083</x:v>
      </x:c>
      <x:c r="L181" s="10" t="n">
        <x:v>1729</x:v>
      </x:c>
      <x:c r="M181" s="10" t="n">
        <x:v>30068</x:v>
      </x:c>
      <x:c r="N181" s="9" t="str">
        <x:v>'-0.0394</x:v>
      </x:c>
      <x:c r="O181" s="10" t="n">
        <x:v>24286</x:v>
      </x:c>
      <x:c r="P181" s="10" t="n">
        <x:v>1591</x:v>
      </x:c>
      <x:c r="Q181" s="9" t="n">
        <x:v>0.8077</x:v>
      </x:c>
      <x:c r="R181" s="9" t="n">
        <x:v>0.0655</x:v>
      </x:c>
      <x:c r="S181" s="9" t="n">
        <x:v>0.0529</x:v>
      </x:c>
    </x:row>
    <x:row r="182" ht="71" customHeight="1">
      <x:c r="A182" s="2" t="str">
        <x:v>nad</x:v>
      </x:c>
      <x:c r="B182" s="15" t="str">
        <x:v>nad, nad+, resveratrol nad, nad+ resveratrol, nad 3, cellular health supplements, nad capsules, life nad, resveratrol nad+, strong cell supplement</x:v>
      </x:c>
      <x:c r="C182" s="10" t="n">
        <x:v>39</x:v>
      </x:c>
      <x:c r="D182" s="10" t="n">
        <x:v>206030</x:v>
      </x:c>
      <x:c r="E182" s="9" t="n">
        <x:v>0.1395</x:v>
      </x:c>
      <x:c r="F182" s="10" t="n">
        <x:v>4873515</x:v>
      </x:c>
      <x:c r="G182" s="10" t="n">
        <x:v>73872</x:v>
      </x:c>
      <x:c r="H182" s="9" t="n">
        <x:v>0.0499</x:v>
      </x:c>
      <x:c r="I182" s="9" t="n">
        <x:v>0.3585</x:v>
      </x:c>
      <x:c r="J182" s="9" t="n">
        <x:v>0.1137</x:v>
      </x:c>
      <x:c r="K182" s="9" t="n">
        <x:v>0.0407</x:v>
      </x:c>
      <x:c r="L182" s="10" t="n">
        <x:v>8405</x:v>
      </x:c>
      <x:c r="M182" s="10" t="n">
        <x:v>58213</x:v>
      </x:c>
      <x:c r="N182" s="9" t="str">
        <x:v>'-0.0435</x:v>
      </x:c>
      <x:c r="O182" s="10" t="n">
        <x:v>42980</x:v>
      </x:c>
      <x:c r="P182" s="10" t="n">
        <x:v>10413</x:v>
      </x:c>
      <x:c r="Q182" s="9" t="n">
        <x:v>0.7383</x:v>
      </x:c>
      <x:c r="R182" s="9" t="n">
        <x:v>0.2422</x:v>
      </x:c>
      <x:c r="S182" s="9" t="n">
        <x:v>0.1788</x:v>
      </x:c>
    </x:row>
    <x:row r="183" ht="109" customHeight="1">
      <x:c r="A183" s="2" t="str">
        <x:v>window shades</x:v>
      </x:c>
      <x:c r="B183" s="15" t="str">
        <x:v>window shades, roman window shades, bamboo shades for indoor windows, bamboo blinds for interior windows, bamboo roman shades for indoor windows, woven shades for indoor windows, woven shades, woven roman shades, woven blinds, flat fold roman shades</x:v>
      </x:c>
      <x:c r="C183" s="10" t="n">
        <x:v>154</x:v>
      </x:c>
      <x:c r="D183" s="10" t="n">
        <x:v>205522</x:v>
      </x:c>
      <x:c r="E183" s="9" t="str">
        <x:v>'-0.1272</x:v>
      </x:c>
      <x:c r="F183" s="10" t="n">
        <x:v>6854747</x:v>
      </x:c>
      <x:c r="G183" s="10" t="n">
        <x:v>89911</x:v>
      </x:c>
      <x:c r="H183" s="9" t="str">
        <x:v>'-0.098</x:v>
      </x:c>
      <x:c r="I183" s="9" t="n">
        <x:v>0.4374</x:v>
      </x:c>
      <x:c r="J183" s="9" t="n">
        <x:v>0.0048</x:v>
      </x:c>
      <x:c r="K183" s="9" t="n">
        <x:v>0.0021</x:v>
      </x:c>
      <x:c r="L183" s="10" t="n">
        <x:v>439</x:v>
      </x:c>
      <x:c r="M183" s="10" t="n">
        <x:v>57469</x:v>
      </x:c>
      <x:c r="N183" s="9" t="str">
        <x:v>'-0.1359</x:v>
      </x:c>
      <x:c r="O183" s="10" t="n">
        <x:v>45466</x:v>
      </x:c>
      <x:c r="P183" s="10" t="n">
        <x:v>2028</x:v>
      </x:c>
      <x:c r="Q183" s="9" t="n">
        <x:v>0.7911</x:v>
      </x:c>
      <x:c r="R183" s="9" t="n">
        <x:v>0.0446</x:v>
      </x:c>
      <x:c r="S183" s="9" t="n">
        <x:v>0.0352</x:v>
      </x:c>
    </x:row>
    <x:row r="184" ht="71" customHeight="1">
      <x:c r="A184" s="2" t="str">
        <x:v>whipped cream</x:v>
      </x:c>
      <x:c r="B184" s="15" t="str">
        <x:v>whipped cream, whip cream, whipped cream can, whipped topping, canned whipped cream, whipped, organic whipped cream, crema batida, whip cream can, wip cream</x:v>
      </x:c>
      <x:c r="C184" s="10" t="n">
        <x:v>138</x:v>
      </x:c>
      <x:c r="D184" s="10" t="n">
        <x:v>205509</x:v>
      </x:c>
      <x:c r="E184" s="9" t="n">
        <x:v>0.2372</x:v>
      </x:c>
      <x:c r="F184" s="10" t="n">
        <x:v>3500931</x:v>
      </x:c>
      <x:c r="G184" s="10" t="n">
        <x:v>66899</x:v>
      </x:c>
      <x:c r="H184" s="9" t="n">
        <x:v>0.0308</x:v>
      </x:c>
      <x:c r="I184" s="9" t="n">
        <x:v>0.3255</x:v>
      </x:c>
      <x:c r="J184" s="9" t="n">
        <x:v>0.3308</x:v>
      </x:c>
      <x:c r="K184" s="9" t="n">
        <x:v>0.1076</x:v>
      </x:c>
      <x:c r="L184" s="10" t="n">
        <x:v>22132</x:v>
      </x:c>
      <x:c r="M184" s="10" t="n">
        <x:v>60381</x:v>
      </x:c>
      <x:c r="N184" s="9" t="n">
        <x:v>0.1382</x:v>
      </x:c>
      <x:c r="O184" s="10" t="n">
        <x:v>50093</x:v>
      </x:c>
      <x:c r="P184" s="10" t="n">
        <x:v>23080</x:v>
      </x:c>
      <x:c r="Q184" s="9" t="n">
        <x:v>0.8296</x:v>
      </x:c>
      <x:c r="R184" s="9" t="n">
        <x:v>0.4607</x:v>
      </x:c>
      <x:c r="S184" s="9" t="n">
        <x:v>0.3822</x:v>
      </x:c>
    </x:row>
    <x:row r="185" ht="109" customHeight="1">
      <x:c r="A185" s="2" t="str">
        <x:v>white outfits for women</x:v>
      </x:c>
      <x:c r="B185" s="15" t="str">
        <x:v>white outfits for women, all white outfits for women, white outfit women, white outfit for women, white summer outfits for women, all white womens outfit, white brunch outfits for women, white outfits for women summer, white outfits women, women all white outfits party</x:v>
      </x:c>
      <x:c r="C185" s="10" t="n">
        <x:v>153</x:v>
      </x:c>
      <x:c r="D185" s="10" t="n">
        <x:v>205391</x:v>
      </x:c>
      <x:c r="E185" s="9" t="str">
        <x:v>'-0.0684</x:v>
      </x:c>
      <x:c r="F185" s="10" t="n">
        <x:v>7394108</x:v>
      </x:c>
      <x:c r="G185" s="10" t="n">
        <x:v>63736</x:v>
      </x:c>
      <x:c r="H185" s="9" t="str">
        <x:v>'-0.0579</x:v>
      </x:c>
      <x:c r="I185" s="9" t="n">
        <x:v>0.3103</x:v>
      </x:c>
      <x:c r="J185" s="9" t="n">
        <x:v>0.0107</x:v>
      </x:c>
      <x:c r="K185" s="9" t="n">
        <x:v>0.0033</x:v>
      </x:c>
      <x:c r="L185" s="10" t="n">
        <x:v>686</x:v>
      </x:c>
      <x:c r="M185" s="10" t="n">
        <x:v>26752</x:v>
      </x:c>
      <x:c r="N185" s="9" t="str">
        <x:v>'-0.0828</x:v>
      </x:c>
      <x:c r="O185" s="10" t="n">
        <x:v>21934</x:v>
      </x:c>
      <x:c r="P185" s="10" t="n">
        <x:v>2234</x:v>
      </x:c>
      <x:c r="Q185" s="9" t="n">
        <x:v>0.8199</x:v>
      </x:c>
      <x:c r="R185" s="9" t="n">
        <x:v>0.1018</x:v>
      </x:c>
      <x:c r="S185" s="9" t="n">
        <x:v>0.0835</x:v>
      </x:c>
    </x:row>
    <x:row r="186" ht="90" customHeight="1">
      <x:c r="A186" s="2" t="str">
        <x:v>fuel pump</x:v>
      </x:c>
      <x:c r="B186" s="15" t="str">
        <x:v>fuel pump, fuel pump assembly, automotive replacement electric fuel pumps, bomba de gasolina para carro, bomba de combustible, fuel pump module assembly, fuel pumps, oem fuel pump, fuel pump oem, car fuel pump</x:v>
      </x:c>
      <x:c r="C186" s="10" t="n">
        <x:v>113</x:v>
      </x:c>
      <x:c r="D186" s="10" t="n">
        <x:v>204673</x:v>
      </x:c>
      <x:c r="E186" s="9" t="n">
        <x:v>0.0067</x:v>
      </x:c>
      <x:c r="F186" s="10" t="n">
        <x:v>4219980</x:v>
      </x:c>
      <x:c r="G186" s="10" t="n">
        <x:v>62981</x:v>
      </x:c>
      <x:c r="H186" s="9" t="n">
        <x:v>0.0263</x:v>
      </x:c>
      <x:c r="I186" s="9" t="n">
        <x:v>0.3077</x:v>
      </x:c>
      <x:c r="J186" s="9" t="n">
        <x:v>0.078</x:v>
      </x:c>
      <x:c r="K186" s="9" t="n">
        <x:v>0.024</x:v>
      </x:c>
      <x:c r="L186" s="10" t="n">
        <x:v>4914</x:v>
      </x:c>
      <x:c r="M186" s="10" t="n">
        <x:v>33240</x:v>
      </x:c>
      <x:c r="N186" s="9" t="n">
        <x:v>0.0198</x:v>
      </x:c>
      <x:c r="O186" s="10" t="n">
        <x:v>24097</x:v>
      </x:c>
      <x:c r="P186" s="10" t="n">
        <x:v>4914</x:v>
      </x:c>
      <x:c r="Q186" s="9" t="n">
        <x:v>0.7249</x:v>
      </x:c>
      <x:c r="R186" s="9" t="n">
        <x:v>0.2039</x:v>
      </x:c>
      <x:c r="S186" s="9" t="n">
        <x:v>0.1478</x:v>
      </x:c>
    </x:row>
    <x:row r="187" ht="109" customHeight="1">
      <x:c r="A187" s="2" t="str">
        <x:v>earrings for sensitive ears women</x:v>
      </x:c>
      <x:c r="B187" s="15" t="str">
        <x:v>earrings for sensitive ears women, hypoallergenic earrings for women, aretes para mujer, hypo allergenic earrings women, earring for women, sensitive earrings for women, jewelry earrings for women, earrings sets for women, sensitive earrings for women hypoallergenic, hypoallergenic jewelry for women</x:v>
      </x:c>
      <x:c r="C187" s="10" t="n">
        <x:v>89</x:v>
      </x:c>
      <x:c r="D187" s="10" t="n">
        <x:v>203858</x:v>
      </x:c>
      <x:c r="E187" s="9" t="n">
        <x:v>0.045</x:v>
      </x:c>
      <x:c r="F187" s="10" t="n">
        <x:v>6827572</x:v>
      </x:c>
      <x:c r="G187" s="10" t="n">
        <x:v>65489</x:v>
      </x:c>
      <x:c r="H187" s="9" t="n">
        <x:v>0.0249</x:v>
      </x:c>
      <x:c r="I187" s="9" t="n">
        <x:v>0.3212</x:v>
      </x:c>
      <x:c r="J187" s="9" t="n">
        <x:v>0.0779</x:v>
      </x:c>
      <x:c r="K187" s="9" t="n">
        <x:v>0.025</x:v>
      </x:c>
      <x:c r="L187" s="10" t="n">
        <x:v>5106</x:v>
      </x:c>
      <x:c r="M187" s="10" t="n">
        <x:v>38403</x:v>
      </x:c>
      <x:c r="N187" s="9" t="n">
        <x:v>0.0521</x:v>
      </x:c>
      <x:c r="O187" s="10" t="n">
        <x:v>29365</x:v>
      </x:c>
      <x:c r="P187" s="10" t="n">
        <x:v>6387</x:v>
      </x:c>
      <x:c r="Q187" s="9" t="n">
        <x:v>0.7646</x:v>
      </x:c>
      <x:c r="R187" s="9" t="n">
        <x:v>0.2175</x:v>
      </x:c>
      <x:c r="S187" s="9" t="n">
        <x:v>0.1663</x:v>
      </x:c>
    </x:row>
    <x:row r="188" ht="90" customHeight="1">
      <x:c r="A188" s="2" t="str">
        <x:v>smushers squishy</x:v>
      </x:c>
      <x:c r="B188" s="15" t="str">
        <x:v>smushers squishy, orb smushers, smushers orb, real smushers squishy, smushers squishy orb, smushers squishy real brand, new smushers squishy, smushers squishy dog, squishers smushers, smushers squishy original</x:v>
      </x:c>
      <x:c r="C188" s="10" t="n">
        <x:v>36</x:v>
      </x:c>
      <x:c r="D188" s="10" t="n">
        <x:v>202847</x:v>
      </x:c>
      <x:c r="E188" s="9" t="n">
        <x:v>0.1038</x:v>
      </x:c>
      <x:c r="F188" s="10" t="n">
        <x:v>2918745</x:v>
      </x:c>
      <x:c r="G188" s="10" t="n">
        <x:v>80457</x:v>
      </x:c>
      <x:c r="H188" s="9" t="str">
        <x:v>'-0.0476</x:v>
      </x:c>
      <x:c r="I188" s="9" t="n">
        <x:v>0.3966</x:v>
      </x:c>
      <x:c r="J188" s="9" t="n">
        <x:v>0.0269</x:v>
      </x:c>
      <x:c r="K188" s="9" t="n">
        <x:v>0.0106</x:v>
      </x:c>
      <x:c r="L188" s="10" t="n">
        <x:v>2166</x:v>
      </x:c>
      <x:c r="M188" s="10" t="n">
        <x:v>28513</x:v>
      </x:c>
      <x:c r="N188" s="9" t="str">
        <x:v>'-0.0566</x:v>
      </x:c>
      <x:c r="O188" s="10" t="n">
        <x:v>20876</x:v>
      </x:c>
      <x:c r="P188" s="10" t="n">
        <x:v>2098</x:v>
      </x:c>
      <x:c r="Q188" s="9" t="n">
        <x:v>0.7321</x:v>
      </x:c>
      <x:c r="R188" s="9" t="n">
        <x:v>0.1004</x:v>
      </x:c>
      <x:c r="S188" s="9" t="n">
        <x:v>0.0735</x:v>
      </x:c>
    </x:row>
    <x:row r="189" ht="90" customHeight="1">
      <x:c r="A189" s="2" t="str">
        <x:v>dot day shirt</x:v>
      </x:c>
      <x:c r="B189" s="15" t="str">
        <x:v>dot day shirt, dot day shirt kids, dot shirt for boys, dot day shirt boys, dot shirt, boys dot day shirt, boys dot shirt, dot day shirts for kids, dot day shirts, happy dot day shirt</x:v>
      </x:c>
      <x:c r="C189" s="10" t="n">
        <x:v>39</x:v>
      </x:c>
      <x:c r="D189" s="10" t="n">
        <x:v>202446</x:v>
      </x:c>
      <x:c r="E189" s="9" t="n">
        <x:v>46.556</x:v>
      </x:c>
      <x:c r="F189" s="10" t="n">
        <x:v>378611</x:v>
      </x:c>
      <x:c r="G189" s="10" t="n">
        <x:v>75687</x:v>
      </x:c>
      <x:c r="H189" s="9" t="n">
        <x:v>45.32</x:v>
      </x:c>
      <x:c r="I189" s="9" t="n">
        <x:v>0.3738</x:v>
      </x:c>
      <x:c r="J189" s="9" t="n">
        <x:v>0.0759</x:v>
      </x:c>
      <x:c r="K189" s="9" t="n">
        <x:v>0.0283</x:v>
      </x:c>
      <x:c r="L189" s="10" t="n">
        <x:v>5749</x:v>
      </x:c>
      <x:c r="M189" s="10" t="n">
        <x:v>2511</x:v>
      </x:c>
      <x:c r="N189" s="9" t="n">
        <x:v>39.0709</x:v>
      </x:c>
      <x:c r="O189" s="10" t="n">
        <x:v>1964</x:v>
      </x:c>
      <x:c r="P189" s="10" t="n">
        <x:v>364</x:v>
      </x:c>
      <x:c r="Q189" s="9" t="n">
        <x:v>0.7821</x:v>
      </x:c>
      <x:c r="R189" s="9" t="n">
        <x:v>0.1853</x:v>
      </x:c>
      <x:c r="S189" s="9" t="n">
        <x:v>0.1449</x:v>
      </x:c>
    </x:row>
    <x:row r="190" ht="71" customHeight="1">
      <x:c r="A190" s="2" t="str">
        <x:v>jorts</x:v>
      </x:c>
      <x:c r="B190" s="15" t="str">
        <x:v>jorts, jorts men, jorts y2k, jorts sweatpants, jorts baggy, jort, jorts with design, jorts baggy y2k, jorts cheap, jorts long</x:v>
      </x:c>
      <x:c r="C190" s="10" t="n">
        <x:v>59</x:v>
      </x:c>
      <x:c r="D190" s="10" t="n">
        <x:v>202372</x:v>
      </x:c>
      <x:c r="E190" s="9" t="str">
        <x:v>'-0.2765</x:v>
      </x:c>
      <x:c r="F190" s="10" t="n">
        <x:v>5464299</x:v>
      </x:c>
      <x:c r="G190" s="10" t="n">
        <x:v>57164</x:v>
      </x:c>
      <x:c r="H190" s="9" t="str">
        <x:v>'-0.2987</x:v>
      </x:c>
      <x:c r="I190" s="9" t="n">
        <x:v>0.2824</x:v>
      </x:c>
      <x:c r="J190" s="9" t="n">
        <x:v>0.0119</x:v>
      </x:c>
      <x:c r="K190" s="9" t="n">
        <x:v>0.0033</x:v>
      </x:c>
      <x:c r="L190" s="10" t="n">
        <x:v>683</x:v>
      </x:c>
      <x:c r="M190" s="10" t="n">
        <x:v>45125</x:v>
      </x:c>
      <x:c r="N190" s="9" t="str">
        <x:v>'-0.263</x:v>
      </x:c>
      <x:c r="O190" s="10" t="n">
        <x:v>31201</x:v>
      </x:c>
      <x:c r="P190" s="10" t="n">
        <x:v>3810</x:v>
      </x:c>
      <x:c r="Q190" s="9" t="n">
        <x:v>0.6914</x:v>
      </x:c>
      <x:c r="R190" s="9" t="n">
        <x:v>0.1221</x:v>
      </x:c>
      <x:c r="S190" s="9" t="n">
        <x:v>0.0844</x:v>
      </x:c>
    </x:row>
    <x:row r="191" ht="71" customHeight="1">
      <x:c r="A191" s="2" t="str">
        <x:v>toy gun</x:v>
      </x:c>
      <x:c r="B191" s="15" t="str">
        <x:v>toy gun, toy guns, fake gun, toy guns that look realistic, cap guns, cap gun caps, pistola de juguete, toy gun pistol, costume gun, musket nerf gun</x:v>
      </x:c>
      <x:c r="C191" s="10" t="n">
        <x:v>109</x:v>
      </x:c>
      <x:c r="D191" s="10" t="n">
        <x:v>202269</x:v>
      </x:c>
      <x:c r="E191" s="9" t="n">
        <x:v>0.0295</x:v>
      </x:c>
      <x:c r="F191" s="10" t="n">
        <x:v>2888563</x:v>
      </x:c>
      <x:c r="G191" s="10" t="n">
        <x:v>71534</x:v>
      </x:c>
      <x:c r="H191" s="9" t="n">
        <x:v>0.0361</x:v>
      </x:c>
      <x:c r="I191" s="9" t="n">
        <x:v>0.3536</x:v>
      </x:c>
      <x:c r="J191" s="9" t="n">
        <x:v>0.0178</x:v>
      </x:c>
      <x:c r="K191" s="9" t="n">
        <x:v>0.0063</x:v>
      </x:c>
      <x:c r="L191" s="10" t="n">
        <x:v>1277</x:v>
      </x:c>
      <x:c r="M191" s="10" t="n">
        <x:v>18879</x:v>
      </x:c>
      <x:c r="N191" s="9" t="n">
        <x:v>0.0715</x:v>
      </x:c>
      <x:c r="O191" s="10" t="n">
        <x:v>14155</x:v>
      </x:c>
      <x:c r="P191" s="10" t="n">
        <x:v>1176</x:v>
      </x:c>
      <x:c r="Q191" s="9" t="n">
        <x:v>0.7497</x:v>
      </x:c>
      <x:c r="R191" s="9" t="n">
        <x:v>0.083</x:v>
      </x:c>
      <x:c r="S191" s="9" t="n">
        <x:v>0.0622</x:v>
      </x:c>
    </x:row>
    <x:row r="192" ht="109" customHeight="1">
      <x:c r="A192" s="2" t="str">
        <x:v>dermaplane razor</x:v>
      </x:c>
      <x:c r="B192" s="15" t="str">
        <x:v>dermaplane razor, dermaplane razors, professional dermaplane razor, dermaplane razor professional, medical grade dermaplane razor, hydrosilk dermaplane razor refills, sterile dermaplane razor, dermaplane razor for women, hydrosilk dermaplane razor, dermaplane razor disposable</x:v>
      </x:c>
      <x:c r="C192" s="10" t="n">
        <x:v>73</x:v>
      </x:c>
      <x:c r="D192" s="10" t="n">
        <x:v>202077</x:v>
      </x:c>
      <x:c r="E192" s="9" t="n">
        <x:v>0.0537</x:v>
      </x:c>
      <x:c r="F192" s="10" t="n">
        <x:v>7127189</x:v>
      </x:c>
      <x:c r="G192" s="10" t="n">
        <x:v>116161</x:v>
      </x:c>
      <x:c r="H192" s="9" t="n">
        <x:v>0.0587</x:v>
      </x:c>
      <x:c r="I192" s="9" t="n">
        <x:v>0.5748</x:v>
      </x:c>
      <x:c r="J192" s="9" t="n">
        <x:v>0.2532</x:v>
      </x:c>
      <x:c r="K192" s="9" t="n">
        <x:v>0.1455</x:v>
      </x:c>
      <x:c r="L192" s="10" t="n">
        <x:v>29418</x:v>
      </x:c>
      <x:c r="M192" s="10" t="n">
        <x:v>90037</x:v>
      </x:c>
      <x:c r="N192" s="9" t="n">
        <x:v>0.0594</x:v>
      </x:c>
      <x:c r="O192" s="10" t="n">
        <x:v>77696</x:v>
      </x:c>
      <x:c r="P192" s="10" t="n">
        <x:v>33681</x:v>
      </x:c>
      <x:c r="Q192" s="9" t="n">
        <x:v>0.8629</x:v>
      </x:c>
      <x:c r="R192" s="9" t="n">
        <x:v>0.4334</x:v>
      </x:c>
      <x:c r="S192" s="9" t="n">
        <x:v>0.374</x:v>
      </x:c>
    </x:row>
    <x:row r="193" ht="128" customHeight="1">
      <x:c r="A193" s="2" t="str">
        <x:v>homecoming dresses plus size</x:v>
      </x:c>
      <x:c r="B193" s="15" t="str">
        <x:v>homecoming dresses plus size, plus size homecoming dress, plus size homecoming dresses, plus size homecoming dresses for teens, homecoming dress plus size, plus size a-line homecoming dresses, plus size short homecoming dresses, plus size corset bodice homecoming dresses, plus size homecoming dresses for women, homecoming dresses for teens plus size</x:v>
      </x:c>
      <x:c r="C193" s="10" t="n">
        <x:v>98</x:v>
      </x:c>
      <x:c r="D193" s="10" t="n">
        <x:v>201542</x:v>
      </x:c>
      <x:c r="E193" s="9" t="n">
        <x:v>4.3281</x:v>
      </x:c>
      <x:c r="F193" s="10" t="n">
        <x:v>1698191</x:v>
      </x:c>
      <x:c r="G193" s="10" t="n">
        <x:v>67280</x:v>
      </x:c>
      <x:c r="H193" s="9" t="n">
        <x:v>4.6833</x:v>
      </x:c>
      <x:c r="I193" s="9" t="n">
        <x:v>0.3338</x:v>
      </x:c>
      <x:c r="J193" s="9" t="n">
        <x:v>0.0022</x:v>
      </x:c>
      <x:c r="K193" s="9" t="n">
        <x:v>0.0007</x:v>
      </x:c>
      <x:c r="L193" s="10" t="n">
        <x:v>151</x:v>
      </x:c>
      <x:c r="M193" s="10" t="n">
        <x:v>5789</x:v>
      </x:c>
      <x:c r="N193" s="9" t="n">
        <x:v>3.9466</x:v>
      </x:c>
      <x:c r="O193" s="10" t="n">
        <x:v>4893</x:v>
      </x:c>
      <x:c r="P193" s="10" t="n">
        <x:v>163</x:v>
      </x:c>
      <x:c r="Q193" s="9" t="n">
        <x:v>0.8452</x:v>
      </x:c>
      <x:c r="R193" s="9" t="n">
        <x:v>0.0333</x:v>
      </x:c>
      <x:c r="S193" s="9" t="n">
        <x:v>0.0281</x:v>
      </x:c>
    </x:row>
    <x:row r="194" ht="55" customHeight="1">
      <x:c r="A194" s="2" t="str">
        <x:v>ps4</x:v>
      </x:c>
      <x:c r="B194" s="15" t="str">
        <x:v>ps4, ps4 console, control ps4, ｐｓ, ps4 console new, ps4 new, ps4 bundle, used ps4, ps4 refurbished, new ps4 console</x:v>
      </x:c>
      <x:c r="C194" s="10" t="n">
        <x:v>71</x:v>
      </x:c>
      <x:c r="D194" s="10" t="n">
        <x:v>201258</x:v>
      </x:c>
      <x:c r="E194" s="9" t="str">
        <x:v>'-0.0296</x:v>
      </x:c>
      <x:c r="F194" s="10" t="n">
        <x:v>2113808</x:v>
      </x:c>
      <x:c r="G194" s="10" t="n">
        <x:v>67400</x:v>
      </x:c>
      <x:c r="H194" s="9" t="str">
        <x:v>'-0.034</x:v>
      </x:c>
      <x:c r="I194" s="9" t="n">
        <x:v>0.3348</x:v>
      </x:c>
      <x:c r="J194" s="9" t="n">
        <x:v>0.0127</x:v>
      </x:c>
      <x:c r="K194" s="9" t="n">
        <x:v>0.0042</x:v>
      </x:c>
      <x:c r="L194" s="10" t="n">
        <x:v>856</x:v>
      </x:c>
      <x:c r="M194" s="10" t="n">
        <x:v>30687</x:v>
      </x:c>
      <x:c r="N194" s="9" t="str">
        <x:v>'-0.0173</x:v>
      </x:c>
      <x:c r="O194" s="10" t="n">
        <x:v>15576</x:v>
      </x:c>
      <x:c r="P194" s="10" t="n">
        <x:v>735</x:v>
      </x:c>
      <x:c r="Q194" s="9" t="n">
        <x:v>0.5075</x:v>
      </x:c>
      <x:c r="R194" s="9" t="n">
        <x:v>0.0471</x:v>
      </x:c>
      <x:c r="S194" s="9" t="n">
        <x:v>0.0239</x:v>
      </x:c>
    </x:row>
    <x:row r="195" ht="109" customHeight="1">
      <x:c r="A195" s="2" t="str">
        <x:v>christmas ornaments</x:v>
      </x:c>
      <x:c r="B195" s="15" t="str">
        <x:v>christmas ornaments, christmas ornament, light up christmas ornaments, lighted christmas ornaments, glowing christmas diorama ornament, glowing christmas ornaments, angel ornaments for christmas tree, diorama christmas ornaments, christmas light up ornaments, light up ornaments</x:v>
      </x:c>
      <x:c r="C195" s="10" t="n">
        <x:v>108</x:v>
      </x:c>
      <x:c r="D195" s="10" t="n">
        <x:v>200720</x:v>
      </x:c>
      <x:c r="E195" s="9" t="n">
        <x:v>0.7685</x:v>
      </x:c>
      <x:c r="F195" s="10" t="n">
        <x:v>3278366</x:v>
      </x:c>
      <x:c r="G195" s="10" t="n">
        <x:v>66096</x:v>
      </x:c>
      <x:c r="H195" s="9" t="n">
        <x:v>0.8958</x:v>
      </x:c>
      <x:c r="I195" s="9" t="n">
        <x:v>0.3292</x:v>
      </x:c>
      <x:c r="J195" s="9" t="n">
        <x:v>0.0253</x:v>
      </x:c>
      <x:c r="K195" s="9" t="n">
        <x:v>0.0083</x:v>
      </x:c>
      <x:c r="L195" s="10" t="n">
        <x:v>1677</x:v>
      </x:c>
      <x:c r="M195" s="10" t="n">
        <x:v>18462</x:v>
      </x:c>
      <x:c r="N195" s="9" t="n">
        <x:v>0.7663</x:v>
      </x:c>
      <x:c r="O195" s="10" t="n">
        <x:v>13309</x:v>
      </x:c>
      <x:c r="P195" s="10" t="n">
        <x:v>1018</x:v>
      </x:c>
      <x:c r="Q195" s="9" t="n">
        <x:v>0.7208</x:v>
      </x:c>
      <x:c r="R195" s="9" t="n">
        <x:v>0.0764</x:v>
      </x:c>
      <x:c r="S195" s="9" t="n">
        <x:v>0.0551</x:v>
      </x:c>
    </x:row>
    <x:row r="196" ht="90" customHeight="1">
      <x:c r="A196" s="2" t="str">
        <x:v>candy corn</x:v>
      </x:c>
      <x:c r="B196" s="15" t="str">
        <x:v>candy corn, candy corn brachs, candy corn pumpkins, sugar free candy corn, vegan candy corn, candy pumpkins, halloween candy corn, chocolate candy corn, traditional candy corn, autumn mix candy</x:v>
      </x:c>
      <x:c r="C196" s="10" t="n">
        <x:v>121</x:v>
      </x:c>
      <x:c r="D196" s="10" t="n">
        <x:v>200401</x:v>
      </x:c>
      <x:c r="E196" s="9" t="n">
        <x:v>1.6968</x:v>
      </x:c>
      <x:c r="F196" s="10" t="n">
        <x:v>3043148</x:v>
      </x:c>
      <x:c r="G196" s="10" t="n">
        <x:v>86222</x:v>
      </x:c>
      <x:c r="H196" s="9" t="n">
        <x:v>1.8263</x:v>
      </x:c>
      <x:c r="I196" s="9" t="n">
        <x:v>0.4302</x:v>
      </x:c>
      <x:c r="J196" s="9" t="n">
        <x:v>0.2186</x:v>
      </x:c>
      <x:c r="K196" s="9" t="n">
        <x:v>0.094</x:v>
      </x:c>
      <x:c r="L196" s="10" t="n">
        <x:v>18852</x:v>
      </x:c>
      <x:c r="M196" s="10" t="n">
        <x:v>33170</x:v>
      </x:c>
      <x:c r="N196" s="9" t="n">
        <x:v>1.6385</x:v>
      </x:c>
      <x:c r="O196" s="10" t="n">
        <x:v>23653</x:v>
      </x:c>
      <x:c r="P196" s="10" t="n">
        <x:v>8275</x:v>
      </x:c>
      <x:c r="Q196" s="9" t="n">
        <x:v>0.713</x:v>
      </x:c>
      <x:c r="R196" s="9" t="n">
        <x:v>0.3498</x:v>
      </x:c>
      <x:c r="S196" s="9" t="n">
        <x:v>0.2494</x:v>
      </x:c>
    </x:row>
    <x:row r="197" ht="109" customHeight="1">
      <x:c r="A197" s="2" t="str">
        <x:v>computer accessories</x:v>
      </x:c>
      <x:c r="B197" s="15" t="str">
        <x:v>computer accessories, gaming desk accessories, cat desk accessories, cool gaming stuff, desk opossum, cat accessories for office, cute computer accessories for desk, computer accessories for desk cute, medical billing and coding desk accessories, sugar skull desk accessories</x:v>
      </x:c>
      <x:c r="C197" s="10" t="n">
        <x:v>59</x:v>
      </x:c>
      <x:c r="D197" s="10" t="n">
        <x:v>200080</x:v>
      </x:c>
      <x:c r="E197" s="9" t="str">
        <x:v>'-0.0256</x:v>
      </x:c>
      <x:c r="F197" s="10" t="n">
        <x:v>3005437</x:v>
      </x:c>
      <x:c r="G197" s="10" t="n">
        <x:v>38598</x:v>
      </x:c>
      <x:c r="H197" s="9" t="str">
        <x:v>'-0.0276</x:v>
      </x:c>
      <x:c r="I197" s="9" t="n">
        <x:v>0.1929</x:v>
      </x:c>
      <x:c r="J197" s="9" t="n">
        <x:v>0.0209</x:v>
      </x:c>
      <x:c r="K197" s="9" t="n">
        <x:v>0.004</x:v>
      </x:c>
      <x:c r="L197" s="10" t="n">
        <x:v>807</x:v>
      </x:c>
      <x:c r="M197" s="10" t="n">
        <x:v>17848</x:v>
      </x:c>
      <x:c r="N197" s="9" t="str">
        <x:v>'-0.0392</x:v>
      </x:c>
      <x:c r="O197" s="10" t="n">
        <x:v>11367</x:v>
      </x:c>
      <x:c r="P197" s="10" t="n">
        <x:v>863</x:v>
      </x:c>
      <x:c r="Q197" s="9" t="n">
        <x:v>0.6368</x:v>
      </x:c>
      <x:c r="R197" s="9" t="n">
        <x:v>0.0759</x:v>
      </x:c>
      <x:c r="S197" s="9" t="n">
        <x:v>0.0483</x:v>
      </x:c>
    </x:row>
    <x:row r="198" ht="71" customHeight="1">
      <x:c r="A198" s="2" t="str">
        <x:v>sterling silver rings</x:v>
      </x:c>
      <x:c r="B198" s="15" t="str">
        <x:v>sterling silver rings, vintage rings, fashion ring, celestial rings, gothic ring set, rings vintage, adjustable rings silver, boho ring set, vintage ring set, hypoallergenic ring</x:v>
      </x:c>
      <x:c r="C198" s="10" t="n">
        <x:v>65</x:v>
      </x:c>
      <x:c r="D198" s="10" t="n">
        <x:v>199686</x:v>
      </x:c>
      <x:c r="E198" s="9" t="n">
        <x:v>0.0806</x:v>
      </x:c>
      <x:c r="F198" s="10" t="n">
        <x:v>5954710</x:v>
      </x:c>
      <x:c r="G198" s="10" t="n">
        <x:v>68771</x:v>
      </x:c>
      <x:c r="H198" s="9" t="n">
        <x:v>0.0723</x:v>
      </x:c>
      <x:c r="I198" s="9" t="n">
        <x:v>0.3443</x:v>
      </x:c>
      <x:c r="J198" s="9" t="n">
        <x:v>0.0129</x:v>
      </x:c>
      <x:c r="K198" s="9" t="n">
        <x:v>0.0044</x:v>
      </x:c>
      <x:c r="L198" s="10" t="n">
        <x:v>893</x:v>
      </x:c>
      <x:c r="M198" s="10" t="n">
        <x:v>26706</x:v>
      </x:c>
      <x:c r="N198" s="9" t="n">
        <x:v>0.0627</x:v>
      </x:c>
      <x:c r="O198" s="10" t="n">
        <x:v>21035</x:v>
      </x:c>
      <x:c r="P198" s="10" t="n">
        <x:v>2148</x:v>
      </x:c>
      <x:c r="Q198" s="9" t="n">
        <x:v>0.7876</x:v>
      </x:c>
      <x:c r="R198" s="9" t="n">
        <x:v>0.1021</x:v>
      </x:c>
      <x:c r="S198" s="9" t="n">
        <x:v>0.0804</x:v>
      </x:c>
    </x:row>
    <x:row r="199" ht="90" customHeight="1">
      <x:c r="A199" s="2" t="str">
        <x:v>dot by letter coloring book for adults</x:v>
      </x:c>
      <x:c r="B199" s="15" t="str">
        <x:v>dot by letter coloring book for adults, dot by letter, dot art for adults, dot art, dot by letter coloring book, dot by number, flow art, life lines flow art, flow art dot book, flowart</x:v>
      </x:c>
      <x:c r="C199" s="10" t="n">
        <x:v>62</x:v>
      </x:c>
      <x:c r="D199" s="10" t="n">
        <x:v>199261</x:v>
      </x:c>
      <x:c r="E199" s="9" t="n">
        <x:v>1.0458</x:v>
      </x:c>
      <x:c r="F199" s="10" t="n">
        <x:v>3790144</x:v>
      </x:c>
      <x:c r="G199" s="10" t="n">
        <x:v>113199</x:v>
      </x:c>
      <x:c r="H199" s="9" t="n">
        <x:v>1.2013</x:v>
      </x:c>
      <x:c r="I199" s="9" t="n">
        <x:v>0.568</x:v>
      </x:c>
      <x:c r="J199" s="9" t="n">
        <x:v>0.0456</x:v>
      </x:c>
      <x:c r="K199" s="9" t="n">
        <x:v>0.0259</x:v>
      </x:c>
      <x:c r="L199" s="10" t="n">
        <x:v>5169</x:v>
      </x:c>
      <x:c r="M199" s="10" t="n">
        <x:v>35778</x:v>
      </x:c>
      <x:c r="N199" s="9" t="n">
        <x:v>0.974</x:v>
      </x:c>
      <x:c r="O199" s="10" t="n">
        <x:v>29188</x:v>
      </x:c>
      <x:c r="P199" s="10" t="n">
        <x:v>4013</x:v>
      </x:c>
      <x:c r="Q199" s="9" t="n">
        <x:v>0.8158</x:v>
      </x:c>
      <x:c r="R199" s="9" t="n">
        <x:v>0.1374</x:v>
      </x:c>
      <x:c r="S199" s="9" t="n">
        <x:v>0.1121</x:v>
      </x:c>
    </x:row>
    <x:row r="200" ht="109" customHeight="1">
      <x:c r="A200" s="2" t="str">
        <x:v>hunting</x:v>
      </x:c>
      <x:c r="B200" s="15" t="str">
        <x:v>hunting, rangefinder binoculars, range finder binocular, range finder binoculars for hunting, rangefinding binoculars, range finding binoculars, range finder binoculars, range finding binoculars for hunter, binoculars with rangefinder built in, binoculars rangefinder</x:v>
      </x:c>
      <x:c r="C200" s="10" t="n">
        <x:v>59</x:v>
      </x:c>
      <x:c r="D200" s="10" t="n">
        <x:v>198776</x:v>
      </x:c>
      <x:c r="E200" s="9" t="n">
        <x:v>0.5027</x:v>
      </x:c>
      <x:c r="F200" s="10" t="n">
        <x:v>2331352</x:v>
      </x:c>
      <x:c r="G200" s="10" t="n">
        <x:v>32479</x:v>
      </x:c>
      <x:c r="H200" s="9" t="n">
        <x:v>0.5379</x:v>
      </x:c>
      <x:c r="I200" s="9" t="n">
        <x:v>0.1633</x:v>
      </x:c>
      <x:c r="J200" s="9" t="n">
        <x:v>0.0216</x:v>
      </x:c>
      <x:c r="K200" s="9" t="n">
        <x:v>0.0035</x:v>
      </x:c>
      <x:c r="L200" s="10" t="n">
        <x:v>703</x:v>
      </x:c>
      <x:c r="M200" s="10" t="n">
        <x:v>15068</x:v>
      </x:c>
      <x:c r="N200" s="9" t="n">
        <x:v>0.3659</x:v>
      </x:c>
      <x:c r="O200" s="10" t="n">
        <x:v>9389</x:v>
      </x:c>
      <x:c r="P200" s="10" t="n">
        <x:v>469</x:v>
      </x:c>
      <x:c r="Q200" s="9" t="n">
        <x:v>0.6231</x:v>
      </x:c>
      <x:c r="R200" s="9" t="n">
        <x:v>0.0499</x:v>
      </x:c>
      <x:c r="S200" s="9" t="n">
        <x:v>0.0311</x:v>
      </x:c>
    </x:row>
    <x:row r="201" ht="128" customHeight="1">
      <x:c r="A201" s="2" t="str">
        <x:v>koriderm time reverse cream</x:v>
      </x:c>
      <x:c r="B201" s="15" t="str">
        <x:v>koriderm time reverse cream, koriderm time reverse cream all-in-one, koriderm time reverse cream from korea, time reverse korean cream, koriderm time reverse, kariderm time reverse cream, korideem time reverse cream, korederm time reverse cream, koriderm cream time reverse, koraderm time reverse cream</x:v>
      </x:c>
      <x:c r="C201" s="10" t="n">
        <x:v>39</x:v>
      </x:c>
      <x:c r="D201" s="10" t="n">
        <x:v>198697</x:v>
      </x:c>
      <x:c r="E201" s="9" t="n">
        <x:v>3.1663</x:v>
      </x:c>
      <x:c r="F201" s="10" t="n">
        <x:v>1612437</x:v>
      </x:c>
      <x:c r="G201" s="10" t="n">
        <x:v>137167</x:v>
      </x:c>
      <x:c r="H201" s="9" t="n">
        <x:v>3.5424</x:v>
      </x:c>
      <x:c r="I201" s="9" t="n">
        <x:v>0.6903</x:v>
      </x:c>
      <x:c r="J201" s="9" t="n">
        <x:v>0.1071</x:v>
      </x:c>
      <x:c r="K201" s="9" t="n">
        <x:v>0.0739</x:v>
      </x:c>
      <x:c r="L201" s="10" t="n">
        <x:v>14692</x:v>
      </x:c>
      <x:c r="M201" s="10" t="n">
        <x:v>20528</x:v>
      </x:c>
      <x:c r="N201" s="9" t="n">
        <x:v>3.1409</x:v>
      </x:c>
      <x:c r="O201" s="10" t="n">
        <x:v>16662</x:v>
      </x:c>
      <x:c r="P201" s="10" t="n">
        <x:v>4797</x:v>
      </x:c>
      <x:c r="Q201" s="9" t="n">
        <x:v>0.8116</x:v>
      </x:c>
      <x:c r="R201" s="9" t="n">
        <x:v>0.2879</x:v>
      </x:c>
      <x:c r="S201" s="9" t="n">
        <x:v>0.2336</x:v>
      </x:c>
    </x:row>
    <x:row r="202" ht="71" customHeight="1">
      <x:c r="A202" s="2" t="str">
        <x:v>free movies</x:v>
      </x:c>
      <x:c r="B202" s="15" t="str">
        <x:v>free movies, romance movies prime free, movies free to me, upg, comedies on prime, prime movies free, free prime movies, drama romance movies, filipino movies, rom coms</x:v>
      </x:c>
      <x:c r="C202" s="10" t="n">
        <x:v>76</x:v>
      </x:c>
      <x:c r="D202" s="10" t="n">
        <x:v>197944</x:v>
      </x:c>
      <x:c r="E202" s="9" t="str">
        <x:v>'-0.0338</x:v>
      </x:c>
      <x:c r="F202" s="10" t="n">
        <x:v>1379201</x:v>
      </x:c>
      <x:c r="G202" s="10" t="n">
        <x:v>13639</x:v>
      </x:c>
      <x:c r="H202" s="9" t="n">
        <x:v>0.6072</x:v>
      </x:c>
      <x:c r="I202" s="9" t="n">
        <x:v>0.0689</x:v>
      </x:c>
      <x:c r="J202" s="9" t="n">
        <x:v>0.0012</x:v>
      </x:c>
      <x:c r="K202" s="9" t="n">
        <x:v>0</x:v>
      </x:c>
      <x:c r="L202" s="10" t="n">
        <x:v>17</x:v>
      </x:c>
      <x:c r="M202" s="10" t="n">
        <x:v>29153</x:v>
      </x:c>
      <x:c r="N202" s="9" t="str">
        <x:v>'-0.0272</x:v>
      </x:c>
      <x:c r="O202" s="10" t="n">
        <x:v>9078</x:v>
      </x:c>
      <x:c r="P202" s="10" t="n">
        <x:v>12</x:v>
      </x:c>
      <x:c r="Q202" s="9" t="n">
        <x:v>0.3113</x:v>
      </x:c>
      <x:c r="R202" s="9" t="n">
        <x:v>0.0013</x:v>
      </x:c>
      <x:c r="S202" s="9" t="n">
        <x:v>0.0004</x:v>
      </x:c>
    </x:row>
    <x:row r="203" ht="90" customHeight="1">
      <x:c r="A203" s="2" t="str">
        <x:v>meatball maker</x:v>
      </x:c>
      <x:c r="B203" s="15" t="str">
        <x:v>meatball maker, meatball maker tool, meatball maker spoon, stainless steel meatball maker, meatball spoon maker, meatball scoop ball maker, meat ball maker tool, meatball scoop, meatball shaper, meatball press</x:v>
      </x:c>
      <x:c r="C203" s="10" t="n">
        <x:v>143</x:v>
      </x:c>
      <x:c r="D203" s="10" t="n">
        <x:v>196217</x:v>
      </x:c>
      <x:c r="E203" s="9" t="n">
        <x:v>8.731</x:v>
      </x:c>
      <x:c r="F203" s="10" t="n">
        <x:v>3097213</x:v>
      </x:c>
      <x:c r="G203" s="10" t="n">
        <x:v>98362</x:v>
      </x:c>
      <x:c r="H203" s="9" t="n">
        <x:v>10.1206</x:v>
      </x:c>
      <x:c r="I203" s="9" t="n">
        <x:v>0.5012</x:v>
      </x:c>
      <x:c r="J203" s="9" t="n">
        <x:v>0.0802</x:v>
      </x:c>
      <x:c r="K203" s="9" t="n">
        <x:v>0.0402</x:v>
      </x:c>
      <x:c r="L203" s="10" t="n">
        <x:v>7894</x:v>
      </x:c>
      <x:c r="M203" s="10" t="n">
        <x:v>31912</x:v>
      </x:c>
      <x:c r="N203" s="9" t="n">
        <x:v>9.0151</x:v>
      </x:c>
      <x:c r="O203" s="10" t="n">
        <x:v>25556</x:v>
      </x:c>
      <x:c r="P203" s="10" t="n">
        <x:v>3775</x:v>
      </x:c>
      <x:c r="Q203" s="9" t="n">
        <x:v>0.8008</x:v>
      </x:c>
      <x:c r="R203" s="9" t="n">
        <x:v>0.1477</x:v>
      </x:c>
      <x:c r="S203" s="9" t="n">
        <x:v>0.1182</x:v>
      </x:c>
    </x:row>
    <x:row r="204" ht="90" customHeight="1">
      <x:c r="A204" s="2" t="str">
        <x:v>boots for men</x:v>
      </x:c>
      <x:c r="B204" s="15" t="str">
        <x:v>boots for men, men boots, boots men, dress boots men, boot men, combat boots mens, side zipper boots for men, botas de salir para hombre, mens designer boots, designer boots for men</x:v>
      </x:c>
      <x:c r="C204" s="10" t="n">
        <x:v>52</x:v>
      </x:c>
      <x:c r="D204" s="10" t="n">
        <x:v>196204</x:v>
      </x:c>
      <x:c r="E204" s="9" t="n">
        <x:v>0.2967</x:v>
      </x:c>
      <x:c r="F204" s="10" t="n">
        <x:v>3739615</x:v>
      </x:c>
      <x:c r="G204" s="10" t="n">
        <x:v>43778</x:v>
      </x:c>
      <x:c r="H204" s="9" t="n">
        <x:v>0.3054</x:v>
      </x:c>
      <x:c r="I204" s="9" t="n">
        <x:v>0.2231</x:v>
      </x:c>
      <x:c r="J204" s="9" t="n">
        <x:v>0.0089</x:v>
      </x:c>
      <x:c r="K204" s="9" t="n">
        <x:v>0.0019</x:v>
      </x:c>
      <x:c r="L204" s="10" t="n">
        <x:v>390</x:v>
      </x:c>
      <x:c r="M204" s="10" t="n">
        <x:v>23550</x:v>
      </x:c>
      <x:c r="N204" s="9" t="n">
        <x:v>0.2692</x:v>
      </x:c>
      <x:c r="O204" s="10" t="n">
        <x:v>16764</x:v>
      </x:c>
      <x:c r="P204" s="10" t="n">
        <x:v>1710</x:v>
      </x:c>
      <x:c r="Q204" s="9" t="n">
        <x:v>0.7118</x:v>
      </x:c>
      <x:c r="R204" s="9" t="n">
        <x:v>0.102</x:v>
      </x:c>
      <x:c r="S204" s="9" t="n">
        <x:v>0.0726</x:v>
      </x:c>
    </x:row>
    <x:row r="205" ht="109" customHeight="1">
      <x:c r="A205" s="2" t="str">
        <x:v>moka pot</x:v>
      </x:c>
      <x:c r="B205" s="15" t="str">
        <x:v>moka pot, espresso maker, moka pot stainless steel, stainless steel moka pot, stainless steel espresso maker, stainless steel moka pot induction, stainless moka pot, mocha pots stainless steel, cafetera italiana acero inoxidable, stainless steel moka</x:v>
      </x:c>
      <x:c r="C205" s="10" t="n">
        <x:v>170</x:v>
      </x:c>
      <x:c r="D205" s="10" t="n">
        <x:v>195817</x:v>
      </x:c>
      <x:c r="E205" s="9" t="str">
        <x:v>'-0.0401</x:v>
      </x:c>
      <x:c r="F205" s="10" t="n">
        <x:v>6873776</x:v>
      </x:c>
      <x:c r="G205" s="10" t="n">
        <x:v>96703</x:v>
      </x:c>
      <x:c r="H205" s="9" t="str">
        <x:v>'-0.0234</x:v>
      </x:c>
      <x:c r="I205" s="9" t="n">
        <x:v>0.4938</x:v>
      </x:c>
      <x:c r="J205" s="9" t="n">
        <x:v>0.0419</x:v>
      </x:c>
      <x:c r="K205" s="9" t="n">
        <x:v>0.0207</x:v>
      </x:c>
      <x:c r="L205" s="10" t="n">
        <x:v>4055</x:v>
      </x:c>
      <x:c r="M205" s="10" t="n">
        <x:v>70313</x:v>
      </x:c>
      <x:c r="N205" s="9" t="str">
        <x:v>'-0.0506</x:v>
      </x:c>
      <x:c r="O205" s="10" t="n">
        <x:v>52663</x:v>
      </x:c>
      <x:c r="P205" s="10" t="n">
        <x:v>7053</x:v>
      </x:c>
      <x:c r="Q205" s="9" t="n">
        <x:v>0.7489</x:v>
      </x:c>
      <x:c r="R205" s="9" t="n">
        <x:v>0.1339</x:v>
      </x:c>
      <x:c r="S205" s="9" t="n">
        <x:v>0.1003</x:v>
      </x:c>
    </x:row>
    <x:row r="206" ht="109" customHeight="1">
      <x:c r="A206" s="2" t="str">
        <x:v>halloween door decor</x:v>
      </x:c>
      <x:c r="B206" s="15" t="str">
        <x:v>halloween door decor, halloween door decorations, halloween front door decor, front door halloween decor, halloween door, halloween decorations door, halloween door decoration, halloween decorations for door, halloween decorations door decor, door halloween decorations</x:v>
      </x:c>
      <x:c r="C206" s="10" t="n">
        <x:v>122</x:v>
      </x:c>
      <x:c r="D206" s="10" t="n">
        <x:v>195334</x:v>
      </x:c>
      <x:c r="E206" s="9" t="n">
        <x:v>1.8382</x:v>
      </x:c>
      <x:c r="F206" s="10" t="n">
        <x:v>2568470</x:v>
      </x:c>
      <x:c r="G206" s="10" t="n">
        <x:v>65502</x:v>
      </x:c>
      <x:c r="H206" s="9" t="n">
        <x:v>1.9675</x:v>
      </x:c>
      <x:c r="I206" s="9" t="n">
        <x:v>0.3353</x:v>
      </x:c>
      <x:c r="J206" s="9" t="n">
        <x:v>0.0504</x:v>
      </x:c>
      <x:c r="K206" s="9" t="n">
        <x:v>0.0169</x:v>
      </x:c>
      <x:c r="L206" s="10" t="n">
        <x:v>3305</x:v>
      </x:c>
      <x:c r="M206" s="10" t="n">
        <x:v>15209</x:v>
      </x:c>
      <x:c r="N206" s="9" t="n">
        <x:v>1.7529</x:v>
      </x:c>
      <x:c r="O206" s="10" t="n">
        <x:v>11566</x:v>
      </x:c>
      <x:c r="P206" s="10" t="n">
        <x:v>899</x:v>
      </x:c>
      <x:c r="Q206" s="9" t="n">
        <x:v>0.7604</x:v>
      </x:c>
      <x:c r="R206" s="9" t="n">
        <x:v>0.0777</x:v>
      </x:c>
      <x:c r="S206" s="9" t="n">
        <x:v>0.0591</x:v>
      </x:c>
    </x:row>
    <x:row r="207" ht="90" customHeight="1">
      <x:c r="A207" s="2" t="str">
        <x:v>fall jackets for women</x:v>
      </x:c>
      <x:c r="B207" s="15" t="str">
        <x:v>fall jackets for women, fall jackets women, ladies jackets, fall jacket for women, barn coat, womens fall jackets clearance sale, ladies jacket, casacas para mujer, light fall jacket, womens car coat</x:v>
      </x:c>
      <x:c r="C207" s="10" t="n">
        <x:v>85</x:v>
      </x:c>
      <x:c r="D207" s="10" t="n">
        <x:v>195201</x:v>
      </x:c>
      <x:c r="E207" s="9" t="n">
        <x:v>1.8594</x:v>
      </x:c>
      <x:c r="F207" s="10" t="n">
        <x:v>3356996</x:v>
      </x:c>
      <x:c r="G207" s="10" t="n">
        <x:v>59172</x:v>
      </x:c>
      <x:c r="H207" s="9" t="n">
        <x:v>1.9342</x:v>
      </x:c>
      <x:c r="I207" s="9" t="n">
        <x:v>0.3031</x:v>
      </x:c>
      <x:c r="J207" s="9" t="n">
        <x:v>0.0056</x:v>
      </x:c>
      <x:c r="K207" s="9" t="n">
        <x:v>0.0017</x:v>
      </x:c>
      <x:c r="L207" s="10" t="n">
        <x:v>337</x:v>
      </x:c>
      <x:c r="M207" s="10" t="n">
        <x:v>18064</x:v>
      </x:c>
      <x:c r="N207" s="9" t="n">
        <x:v>1.823</x:v>
      </x:c>
      <x:c r="O207" s="10" t="n">
        <x:v>14570</x:v>
      </x:c>
      <x:c r="P207" s="10" t="n">
        <x:v>907</x:v>
      </x:c>
      <x:c r="Q207" s="9" t="n">
        <x:v>0.8065</x:v>
      </x:c>
      <x:c r="R207" s="9" t="n">
        <x:v>0.0622</x:v>
      </x:c>
      <x:c r="S207" s="9" t="n">
        <x:v>0.0502</x:v>
      </x:c>
    </x:row>
    <x:row r="208" ht="90" customHeight="1">
      <x:c r="A208" s="2" t="str">
        <x:v>croissants</x:v>
      </x:c>
      <x:c r="B208" s="15" t="str">
        <x:v>croissants, croissant, croissants bakery fresh, vegan croissant, almond croissant, pain au chocolat, croissants bakery, vegan croissants, frozen croissants ready to bake, croissant rolls</x:v>
      </x:c>
      <x:c r="C208" s="10" t="n">
        <x:v>98</x:v>
      </x:c>
      <x:c r="D208" s="10" t="n">
        <x:v>194898</x:v>
      </x:c>
      <x:c r="E208" s="9" t="n">
        <x:v>0.3375</x:v>
      </x:c>
      <x:c r="F208" s="10" t="n">
        <x:v>3621575</x:v>
      </x:c>
      <x:c r="G208" s="10" t="n">
        <x:v>61065</x:v>
      </x:c>
      <x:c r="H208" s="9" t="n">
        <x:v>0.0438</x:v>
      </x:c>
      <x:c r="I208" s="9" t="n">
        <x:v>0.3133</x:v>
      </x:c>
      <x:c r="J208" s="9" t="n">
        <x:v>0.3265</x:v>
      </x:c>
      <x:c r="K208" s="9" t="n">
        <x:v>0.1023</x:v>
      </x:c>
      <x:c r="L208" s="10" t="n">
        <x:v>19939</x:v>
      </x:c>
      <x:c r="M208" s="10" t="n">
        <x:v>54151</x:v>
      </x:c>
      <x:c r="N208" s="9" t="n">
        <x:v>0.1927</x:v>
      </x:c>
      <x:c r="O208" s="10" t="n">
        <x:v>44657</x:v>
      </x:c>
      <x:c r="P208" s="10" t="n">
        <x:v>20773</x:v>
      </x:c>
      <x:c r="Q208" s="9" t="n">
        <x:v>0.8246</x:v>
      </x:c>
      <x:c r="R208" s="9" t="n">
        <x:v>0.4651</x:v>
      </x:c>
      <x:c r="S208" s="9" t="n">
        <x:v>0.3836</x:v>
      </x:c>
    </x:row>
    <x:row r="209" ht="90" customHeight="1">
      <x:c r="A209" s="2" t="str">
        <x:v>tortilla press</x:v>
      </x:c>
      <x:c r="B209" s="15" t="str">
        <x:v>tortilla press, flour tortilla press, tortillas press, aplastador de tortillas, chapati press, poori presser indian style, puri press, square tortilla press, poori press, adjustable tortilla press</x:v>
      </x:c>
      <x:c r="C209" s="10" t="n">
        <x:v>50</x:v>
      </x:c>
      <x:c r="D209" s="10" t="n">
        <x:v>194737</x:v>
      </x:c>
      <x:c r="E209" s="9" t="str">
        <x:v>'-0.0654</x:v>
      </x:c>
      <x:c r="F209" s="10" t="n">
        <x:v>6161013</x:v>
      </x:c>
      <x:c r="G209" s="10" t="n">
        <x:v>79230</x:v>
      </x:c>
      <x:c r="H209" s="9" t="str">
        <x:v>'-0.0822</x:v>
      </x:c>
      <x:c r="I209" s="9" t="n">
        <x:v>0.4068</x:v>
      </x:c>
      <x:c r="J209" s="9" t="n">
        <x:v>0.1014</x:v>
      </x:c>
      <x:c r="K209" s="9" t="n">
        <x:v>0.0412</x:v>
      </x:c>
      <x:c r="L209" s="10" t="n">
        <x:v>8038</x:v>
      </x:c>
      <x:c r="M209" s="10" t="n">
        <x:v>72822</x:v>
      </x:c>
      <x:c r="N209" s="9" t="str">
        <x:v>'-0.1089</x:v>
      </x:c>
      <x:c r="O209" s="10" t="n">
        <x:v>52384</x:v>
      </x:c>
      <x:c r="P209" s="10" t="n">
        <x:v>11034</x:v>
      </x:c>
      <x:c r="Q209" s="9" t="n">
        <x:v>0.7193</x:v>
      </x:c>
      <x:c r="R209" s="9" t="n">
        <x:v>0.2106</x:v>
      </x:c>
      <x:c r="S209" s="9" t="n">
        <x:v>0.1515</x:v>
      </x:c>
    </x:row>
    <x:row r="210" ht="71" customHeight="1">
      <x:c r="A210" s="2" t="str">
        <x:v>jalapenos</x:v>
      </x:c>
      <x:c r="B210" s="15" t="str">
        <x:v>jalapenos, jalapeno, jalepeno, jalapeno peppers, jalapenos fresh, jalapeño, jalapeños, organic jalapeno, jalepenos, jalapeño peppers</x:v>
      </x:c>
      <x:c r="C210" s="10" t="n">
        <x:v>59</x:v>
      </x:c>
      <x:c r="D210" s="10" t="n">
        <x:v>193964</x:v>
      </x:c>
      <x:c r="E210" s="9" t="n">
        <x:v>0.065</x:v>
      </x:c>
      <x:c r="F210" s="10" t="n">
        <x:v>4085342</x:v>
      </x:c>
      <x:c r="G210" s="10" t="n">
        <x:v>95020</x:v>
      </x:c>
      <x:c r="H210" s="9" t="n">
        <x:v>0.0705</x:v>
      </x:c>
      <x:c r="I210" s="9" t="n">
        <x:v>0.4898</x:v>
      </x:c>
      <x:c r="J210" s="9" t="n">
        <x:v>0.5043</x:v>
      </x:c>
      <x:c r="K210" s="9" t="n">
        <x:v>0.247</x:v>
      </x:c>
      <x:c r="L210" s="10" t="n">
        <x:v>47927</x:v>
      </x:c>
      <x:c r="M210" s="10" t="n">
        <x:v>90060</x:v>
      </x:c>
      <x:c r="N210" s="9" t="n">
        <x:v>0.0543</x:v>
      </x:c>
      <x:c r="O210" s="10" t="n">
        <x:v>81040</x:v>
      </x:c>
      <x:c r="P210" s="10" t="n">
        <x:v>46717</x:v>
      </x:c>
      <x:c r="Q210" s="9" t="n">
        <x:v>0.8998</x:v>
      </x:c>
      <x:c r="R210" s="9" t="n">
        <x:v>0.5764</x:v>
      </x:c>
      <x:c r="S210" s="9" t="n">
        <x:v>0.5187</x:v>
      </x:c>
    </x:row>
    <x:row r="211" ht="55" customHeight="1">
      <x:c r="A211" s="2" t="str">
        <x:v>ribbon</x:v>
      </x:c>
      <x:c r="B211" s="15" t="str">
        <x:v>ribbon, ribbons, assorted ribbon, 2 ribbon, 1 ribbon, 3 ribbon, 2 in ribbon, 1 in ribbon, 2in ribbon, 1inch ribbon</x:v>
      </x:c>
      <x:c r="C211" s="10" t="n">
        <x:v>58</x:v>
      </x:c>
      <x:c r="D211" s="10" t="n">
        <x:v>193521</x:v>
      </x:c>
      <x:c r="E211" s="9" t="n">
        <x:v>0.0301</x:v>
      </x:c>
      <x:c r="F211" s="10" t="n">
        <x:v>4023028</x:v>
      </x:c>
      <x:c r="G211" s="10" t="n">
        <x:v>55115</x:v>
      </x:c>
      <x:c r="H211" s="9" t="n">
        <x:v>0.0128</x:v>
      </x:c>
      <x:c r="I211" s="9" t="n">
        <x:v>0.2848</x:v>
      </x:c>
      <x:c r="J211" s="9" t="n">
        <x:v>0.1342</x:v>
      </x:c>
      <x:c r="K211" s="9" t="n">
        <x:v>0.0382</x:v>
      </x:c>
      <x:c r="L211" s="10" t="n">
        <x:v>7400</x:v>
      </x:c>
      <x:c r="M211" s="10" t="n">
        <x:v>39574</x:v>
      </x:c>
      <x:c r="N211" s="9" t="n">
        <x:v>0.0388</x:v>
      </x:c>
      <x:c r="O211" s="10" t="n">
        <x:v>27197</x:v>
      </x:c>
      <x:c r="P211" s="10" t="n">
        <x:v>8837</x:v>
      </x:c>
      <x:c r="Q211" s="9" t="n">
        <x:v>0.6872</x:v>
      </x:c>
      <x:c r="R211" s="9" t="n">
        <x:v>0.3249</x:v>
      </x:c>
      <x:c r="S211" s="9" t="n">
        <x:v>0.2233</x:v>
      </x:c>
    </x:row>
    <x:row r="212" ht="90" customHeight="1">
      <x:c r="A212" s="2" t="str">
        <x:v>cabinet organizer</x:v>
      </x:c>
      <x:c r="B212" s="15" t="str">
        <x:v>cabinet organizer, kitchen cupboard organizer, cabinets organizer, stackable cabinet organizers, stackable cabinet organizer, organize cabinet, kitchen drawer shelf, cabinet organiser, cabinet organization and storage, cabinet space savers</x:v>
      </x:c>
      <x:c r="C212" s="10" t="n">
        <x:v>52</x:v>
      </x:c>
      <x:c r="D212" s="10" t="n">
        <x:v>192998</x:v>
      </x:c>
      <x:c r="E212" s="9" t="str">
        <x:v>'-0.0512</x:v>
      </x:c>
      <x:c r="F212" s="10" t="n">
        <x:v>5762129</x:v>
      </x:c>
      <x:c r="G212" s="10" t="n">
        <x:v>60294</x:v>
      </x:c>
      <x:c r="H212" s="9" t="str">
        <x:v>'-0.091</x:v>
      </x:c>
      <x:c r="I212" s="9" t="n">
        <x:v>0.3124</x:v>
      </x:c>
      <x:c r="J212" s="9" t="n">
        <x:v>0.0473</x:v>
      </x:c>
      <x:c r="K212" s="9" t="n">
        <x:v>0.0147</x:v>
      </x:c>
      <x:c r="L212" s="10" t="n">
        <x:v>2853</x:v>
      </x:c>
      <x:c r="M212" s="10" t="n">
        <x:v>48301</x:v>
      </x:c>
      <x:c r="N212" s="9" t="str">
        <x:v>'-0.0534</x:v>
      </x:c>
      <x:c r="O212" s="10" t="n">
        <x:v>33898</x:v>
      </x:c>
      <x:c r="P212" s="10" t="n">
        <x:v>4308</x:v>
      </x:c>
      <x:c r="Q212" s="9" t="n">
        <x:v>0.7018</x:v>
      </x:c>
      <x:c r="R212" s="9" t="n">
        <x:v>0.127</x:v>
      </x:c>
      <x:c r="S212" s="9" t="n">
        <x:v>0.0891</x:v>
      </x:c>
    </x:row>
    <x:row r="213" ht="90" customHeight="1">
      <x:c r="A213" s="2" t="str">
        <x:v>telugu</x:v>
      </x:c>
      <x:c r="B213" s="15" t="str">
        <x:v>telugu, telugu movies, telugu movies on amazon prime, telugu movies latest, latest telugu movies, latest telugu movies 2026 on prime free, telugu latest movies, telugu new movies 2026 in prime, telugu movie 2026, old telugu movies</x:v>
      </x:c>
      <x:c r="C213" s="10" t="n">
        <x:v>14</x:v>
      </x:c>
      <x:c r="D213" s="10" t="n">
        <x:v>191263</x:v>
      </x:c>
      <x:c r="E213" s="9" t="str">
        <x:v>'-0.0325</x:v>
      </x:c>
      <x:c r="F213" s="10" t="n">
        <x:v>897018</x:v>
      </x:c>
      <x:c r="G213" s="10" t="n">
        <x:v>5889</x:v>
      </x:c>
      <x:c r="H213" s="9" t="n">
        <x:v>1.8629</x:v>
      </x:c>
      <x:c r="I213" s="9" t="n">
        <x:v>0.0307</x:v>
      </x:c>
      <x:c r="J213" s="9" t="n">
        <x:v>0</x:v>
      </x:c>
      <x:c r="K213" s="9" t="n">
        <x:v>0</x:v>
      </x:c>
      <x:c r="L213" s="10" t="n">
        <x:v>0</x:v>
      </x:c>
      <x:c r="M213" s="10" t="n">
        <x:v>19849</x:v>
      </x:c>
      <x:c r="N213" s="9" t="str">
        <x:v>'-0.0256</x:v>
      </x:c>
      <x:c r="O213" s="10" t="n">
        <x:v>7223</x:v>
      </x:c>
      <x:c r="P213" s="10" t="n">
        <x:v>0</x:v>
      </x:c>
      <x:c r="Q213" s="9" t="n">
        <x:v>0.3638</x:v>
      </x:c>
      <x:c r="R213" s="9" t="n">
        <x:v>0</x:v>
      </x:c>
      <x:c r="S213" s="9" t="n">
        <x:v>0</x:v>
      </x:c>
    </x:row>
    <x:row r="214" ht="90" customHeight="1">
      <x:c r="A214" s="2" t="str">
        <x:v>frozen blueberries</x:v>
      </x:c>
      <x:c r="B214" s="15" t="str">
        <x:v>frozen blueberries, wild blueberries, frozen wild blueberries, wild blueberries frozen, frozen blueberries organic, organic wild blueberries, blueberries frozen, organic frozen blueberries, organic frozen wild blueberries, frozen blueberry</x:v>
      </x:c>
      <x:c r="C214" s="10" t="n">
        <x:v>111</x:v>
      </x:c>
      <x:c r="D214" s="10" t="n">
        <x:v>191042</x:v>
      </x:c>
      <x:c r="E214" s="9" t="n">
        <x:v>0.1718</x:v>
      </x:c>
      <x:c r="F214" s="10" t="n">
        <x:v>4023003</x:v>
      </x:c>
      <x:c r="G214" s="10" t="n">
        <x:v>78549</x:v>
      </x:c>
      <x:c r="H214" s="9" t="n">
        <x:v>0.0689</x:v>
      </x:c>
      <x:c r="I214" s="9" t="n">
        <x:v>0.4111</x:v>
      </x:c>
      <x:c r="J214" s="9" t="n">
        <x:v>0.3802</x:v>
      </x:c>
      <x:c r="K214" s="9" t="n">
        <x:v>0.1563</x:v>
      </x:c>
      <x:c r="L214" s="10" t="n">
        <x:v>29867</x:v>
      </x:c>
      <x:c r="M214" s="10" t="n">
        <x:v>72538</x:v>
      </x:c>
      <x:c r="N214" s="9" t="n">
        <x:v>0.1749</x:v>
      </x:c>
      <x:c r="O214" s="10" t="n">
        <x:v>57863</x:v>
      </x:c>
      <x:c r="P214" s="10" t="n">
        <x:v>28753</x:v>
      </x:c>
      <x:c r="Q214" s="9" t="n">
        <x:v>0.7976</x:v>
      </x:c>
      <x:c r="R214" s="9" t="n">
        <x:v>0.4969</x:v>
      </x:c>
      <x:c r="S214" s="9" t="n">
        <x:v>0.3963</x:v>
      </x:c>
    </x:row>
    <x:row r="215" ht="71" customHeight="1">
      <x:c r="A215" s="2" t="str">
        <x:v>ocarina of time</x:v>
      </x:c>
      <x:c r="B215" s="15" t="str">
        <x:v>ocarina of time, ocarina, ocarina instrument, legend of zelda ocarina, ocarinas, songbird ocarina, electric ocarina, 12 hole ocarina, playable ocarina, alto c ocarina</x:v>
      </x:c>
      <x:c r="C215" s="10" t="n">
        <x:v>74</x:v>
      </x:c>
      <x:c r="D215" s="10" t="n">
        <x:v>190674</x:v>
      </x:c>
      <x:c r="E215" s="9" t="n">
        <x:v>3.4891</x:v>
      </x:c>
      <x:c r="F215" s="10" t="n">
        <x:v>997802</x:v>
      </x:c>
      <x:c r="G215" s="10" t="n">
        <x:v>58566</x:v>
      </x:c>
      <x:c r="H215" s="9" t="n">
        <x:v>2.5496</x:v>
      </x:c>
      <x:c r="I215" s="9" t="n">
        <x:v>0.3071</x:v>
      </x:c>
      <x:c r="J215" s="9" t="n">
        <x:v>0.058</x:v>
      </x:c>
      <x:c r="K215" s="9" t="n">
        <x:v>0.0178</x:v>
      </x:c>
      <x:c r="L215" s="10" t="n">
        <x:v>3398</x:v>
      </x:c>
      <x:c r="M215" s="10" t="n">
        <x:v>10530</x:v>
      </x:c>
      <x:c r="N215" s="9" t="n">
        <x:v>4.4411</x:v>
      </x:c>
      <x:c r="O215" s="10" t="n">
        <x:v>7132</x:v>
      </x:c>
      <x:c r="P215" s="10" t="n">
        <x:v>1242</x:v>
      </x:c>
      <x:c r="Q215" s="9" t="n">
        <x:v>0.6773</x:v>
      </x:c>
      <x:c r="R215" s="9" t="n">
        <x:v>0.1741</x:v>
      </x:c>
      <x:c r="S215" s="9" t="n">
        <x:v>0.1179</x:v>
      </x:c>
    </x:row>
    <x:row r="216" ht="71" customHeight="1">
      <x:c r="A216" s="2" t="str">
        <x:v>gym</x:v>
      </x:c>
      <x:c r="B216" s="15" t="str">
        <x:v>gym, weight lifting equipment, gimnasio en casa, gym en casa, gym at home, gimnasio, full body workout equipment, resistance machine, in home gym, compact gym</x:v>
      </x:c>
      <x:c r="C216" s="10" t="n">
        <x:v>103</x:v>
      </x:c>
      <x:c r="D216" s="10" t="n">
        <x:v>189890</x:v>
      </x:c>
      <x:c r="E216" s="9" t="str">
        <x:v>'-0.0132</x:v>
      </x:c>
      <x:c r="F216" s="10" t="n">
        <x:v>3626450</x:v>
      </x:c>
      <x:c r="G216" s="10" t="n">
        <x:v>40932</x:v>
      </x:c>
      <x:c r="H216" s="9" t="str">
        <x:v>'-0.0092</x:v>
      </x:c>
      <x:c r="I216" s="9" t="n">
        <x:v>0.2155</x:v>
      </x:c>
      <x:c r="J216" s="9" t="n">
        <x:v>0.0225</x:v>
      </x:c>
      <x:c r="K216" s="9" t="n">
        <x:v>0.0048</x:v>
      </x:c>
      <x:c r="L216" s="10" t="n">
        <x:v>921</x:v>
      </x:c>
      <x:c r="M216" s="10" t="n">
        <x:v>27303</x:v>
      </x:c>
      <x:c r="N216" s="9" t="str">
        <x:v>'-0.0275</x:v>
      </x:c>
      <x:c r="O216" s="10" t="n">
        <x:v>16932</x:v>
      </x:c>
      <x:c r="P216" s="10" t="n">
        <x:v>1019</x:v>
      </x:c>
      <x:c r="Q216" s="9" t="n">
        <x:v>0.6201</x:v>
      </x:c>
      <x:c r="R216" s="9" t="n">
        <x:v>0.0601</x:v>
      </x:c>
      <x:c r="S216" s="9" t="n">
        <x:v>0.0373</x:v>
      </x:c>
    </x:row>
    <x:row r="217" ht="109" customHeight="1">
      <x:c r="A217" s="2" t="str">
        <x:v>kristin hannah books</x:v>
      </x:c>
      <x:c r="B217" s="15" t="str">
        <x:v>kristin hannah books, kristin hannah, kristin hannah books best sellers, kristin hannah books new releases 2026, books by kristin hannah, kristin hannah books paperback, kristin-hannah, kristin hannah new book, kristin hannah books in order, hannah kristin books</x:v>
      </x:c>
      <x:c r="C217" s="10" t="n">
        <x:v>157</x:v>
      </x:c>
      <x:c r="D217" s="10" t="n">
        <x:v>189002</x:v>
      </x:c>
      <x:c r="E217" s="9" t="n">
        <x:v>0.1171</x:v>
      </x:c>
      <x:c r="F217" s="10" t="n">
        <x:v>4820306</x:v>
      </x:c>
      <x:c r="G217" s="10" t="n">
        <x:v>112640</x:v>
      </x:c>
      <x:c r="H217" s="9" t="n">
        <x:v>0.1023</x:v>
      </x:c>
      <x:c r="I217" s="9" t="n">
        <x:v>0.5959</x:v>
      </x:c>
      <x:c r="J217" s="9" t="n">
        <x:v>0.0933</x:v>
      </x:c>
      <x:c r="K217" s="9" t="n">
        <x:v>0.0556</x:v>
      </x:c>
      <x:c r="L217" s="10" t="n">
        <x:v>10516</x:v>
      </x:c>
      <x:c r="M217" s="10" t="n">
        <x:v>58992</x:v>
      </x:c>
      <x:c r="N217" s="9" t="n">
        <x:v>0.1778</x:v>
      </x:c>
      <x:c r="O217" s="10" t="n">
        <x:v>44155</x:v>
      </x:c>
      <x:c r="P217" s="10" t="n">
        <x:v>9313</x:v>
      </x:c>
      <x:c r="Q217" s="9" t="n">
        <x:v>0.7484</x:v>
      </x:c>
      <x:c r="R217" s="9" t="n">
        <x:v>0.2109</x:v>
      </x:c>
      <x:c r="S217" s="9" t="n">
        <x:v>0.1578</x:v>
      </x:c>
    </x:row>
    <x:row r="218" ht="128" customHeight="1">
      <x:c r="A218" s="2" t="str">
        <x:v>plus size halloween costumes</x:v>
      </x:c>
      <x:c r="B218" s="15" t="str">
        <x:v>plus size halloween costumes, plus size witch costume, plus size halloween costume, witch costume women plus size, plus size witch costume women, womens plus size costumes, plus size vampire costume women, halloween costume plus size, womens halloween costume plus size, adult costumes for women plus size</x:v>
      </x:c>
      <x:c r="C218" s="10" t="n">
        <x:v>151</x:v>
      </x:c>
      <x:c r="D218" s="10" t="n">
        <x:v>188583</x:v>
      </x:c>
      <x:c r="E218" s="9" t="n">
        <x:v>1.8371</x:v>
      </x:c>
      <x:c r="F218" s="10" t="n">
        <x:v>2896645</x:v>
      </x:c>
      <x:c r="G218" s="10" t="n">
        <x:v>64222</x:v>
      </x:c>
      <x:c r="H218" s="9" t="n">
        <x:v>1.9726</x:v>
      </x:c>
      <x:c r="I218" s="9" t="n">
        <x:v>0.3405</x:v>
      </x:c>
      <x:c r="J218" s="9" t="n">
        <x:v>0.0053</x:v>
      </x:c>
      <x:c r="K218" s="9" t="n">
        <x:v>0.0018</x:v>
      </x:c>
      <x:c r="L218" s="10" t="n">
        <x:v>345</x:v>
      </x:c>
      <x:c r="M218" s="10" t="n">
        <x:v>11145</x:v>
      </x:c>
      <x:c r="N218" s="9" t="n">
        <x:v>1.8303</x:v>
      </x:c>
      <x:c r="O218" s="10" t="n">
        <x:v>9097</x:v>
      </x:c>
      <x:c r="P218" s="10" t="n">
        <x:v>281</x:v>
      </x:c>
      <x:c r="Q218" s="9" t="n">
        <x:v>0.8162</x:v>
      </x:c>
      <x:c r="R218" s="9" t="n">
        <x:v>0.0308</x:v>
      </x:c>
      <x:c r="S218" s="9" t="n">
        <x:v>0.0252</x:v>
      </x:c>
    </x:row>
    <x:row r="219" ht="109" customHeight="1">
      <x:c r="A219" s="2" t="str">
        <x:v>ethiopian bible in english complete</x:v>
      </x:c>
      <x:c r="B219" s="15" t="str">
        <x:v>ethiopian bible in english complete, ethiopian bible, the ethiopian bible, ethiopian bible in english, ethiopian bible in english complete large print, the ethiopian bible in english, ethiopia bible, large print ethiopian bible in english, original ethiopian bible, ethiopian bible hardcover</x:v>
      </x:c>
      <x:c r="C219" s="10" t="n">
        <x:v>86</x:v>
      </x:c>
      <x:c r="D219" s="10" t="n">
        <x:v>187935</x:v>
      </x:c>
      <x:c r="E219" s="9" t="n">
        <x:v>0.1834</x:v>
      </x:c>
      <x:c r="F219" s="10" t="n">
        <x:v>5407970</x:v>
      </x:c>
      <x:c r="G219" s="10" t="n">
        <x:v>105010</x:v>
      </x:c>
      <x:c r="H219" s="9" t="n">
        <x:v>0.202</x:v>
      </x:c>
      <x:c r="I219" s="9" t="n">
        <x:v>0.5587</x:v>
      </x:c>
      <x:c r="J219" s="9" t="n">
        <x:v>0.0614</x:v>
      </x:c>
      <x:c r="K219" s="9" t="n">
        <x:v>0.0343</x:v>
      </x:c>
      <x:c r="L219" s="10" t="n">
        <x:v>6450</x:v>
      </x:c>
      <x:c r="M219" s="10" t="n">
        <x:v>63664</x:v>
      </x:c>
      <x:c r="N219" s="9" t="n">
        <x:v>0.1846</x:v>
      </x:c>
      <x:c r="O219" s="10" t="n">
        <x:v>49518</x:v>
      </x:c>
      <x:c r="P219" s="10" t="n">
        <x:v>7195</x:v>
      </x:c>
      <x:c r="Q219" s="9" t="n">
        <x:v>0.7778</x:v>
      </x:c>
      <x:c r="R219" s="9" t="n">
        <x:v>0.1453</x:v>
      </x:c>
      <x:c r="S219" s="9" t="n">
        <x:v>0.113</x:v>
      </x:c>
    </x:row>
    <x:row r="220" ht="71" customHeight="1">
      <x:c r="A220" s="2" t="str">
        <x:v>pink wig</x:v>
      </x:c>
      <x:c r="B220" s="15" t="str">
        <x:v>pink wig, pink wigs, long pink wig, pink lace front wig, pink wig long, short pink wig, wig pink, pink hair wig, baby pink wig, pink long wig</x:v>
      </x:c>
      <x:c r="C220" s="10" t="n">
        <x:v>167</x:v>
      </x:c>
      <x:c r="D220" s="10" t="n">
        <x:v>187876</x:v>
      </x:c>
      <x:c r="E220" s="9" t="n">
        <x:v>0.358</x:v>
      </x:c>
      <x:c r="F220" s="10" t="n">
        <x:v>3628983</x:v>
      </x:c>
      <x:c r="G220" s="10" t="n">
        <x:v>83829</x:v>
      </x:c>
      <x:c r="H220" s="9" t="n">
        <x:v>0.349</x:v>
      </x:c>
      <x:c r="I220" s="9" t="n">
        <x:v>0.4461</x:v>
      </x:c>
      <x:c r="J220" s="9" t="n">
        <x:v>0.049</x:v>
      </x:c>
      <x:c r="K220" s="9" t="n">
        <x:v>0.0218</x:v>
      </x:c>
      <x:c r="L220" s="10" t="n">
        <x:v>4110</x:v>
      </x:c>
      <x:c r="M220" s="10" t="n">
        <x:v>30481</x:v>
      </x:c>
      <x:c r="N220" s="9" t="n">
        <x:v>0.3689</x:v>
      </x:c>
      <x:c r="O220" s="10" t="n">
        <x:v>24791</x:v>
      </x:c>
      <x:c r="P220" s="10" t="n">
        <x:v>3767</x:v>
      </x:c>
      <x:c r="Q220" s="9" t="n">
        <x:v>0.8133</x:v>
      </x:c>
      <x:c r="R220" s="9" t="n">
        <x:v>0.1519</x:v>
      </x:c>
      <x:c r="S220" s="9" t="n">
        <x:v>0.1235</x:v>
      </x:c>
    </x:row>
    <x:row r="221" ht="109" customHeight="1">
      <x:c r="A221" s="2" t="str">
        <x:v>burnt orange dress</x:v>
      </x:c>
      <x:c r="B221" s="15" t="str">
        <x:v>burnt orange dress, burnt orange dress for women, burnt orange dress for wedding, womens burnt orange dress, burnt orange fall dress, burnt orange mini dress, burnt orange midi dress, burn orange dress, burnt orange womens dress, burnt orange floral dress</x:v>
      </x:c>
      <x:c r="C221" s="10" t="n">
        <x:v>163</x:v>
      </x:c>
      <x:c r="D221" s="10" t="n">
        <x:v>186825</x:v>
      </x:c>
      <x:c r="E221" s="9" t="n">
        <x:v>0.8564</x:v>
      </x:c>
      <x:c r="F221" s="10" t="n">
        <x:v>3613376</x:v>
      </x:c>
      <x:c r="G221" s="10" t="n">
        <x:v>49377</x:v>
      </x:c>
      <x:c r="H221" s="9" t="n">
        <x:v>0.8997</x:v>
      </x:c>
      <x:c r="I221" s="9" t="n">
        <x:v>0.2642</x:v>
      </x:c>
      <x:c r="J221" s="9" t="n">
        <x:v>0.0096</x:v>
      </x:c>
      <x:c r="K221" s="9" t="n">
        <x:v>0.0025</x:v>
      </x:c>
      <x:c r="L221" s="10" t="n">
        <x:v>478</x:v>
      </x:c>
      <x:c r="M221" s="10" t="n">
        <x:v>16380</x:v>
      </x:c>
      <x:c r="N221" s="9" t="n">
        <x:v>0.8348</x:v>
      </x:c>
      <x:c r="O221" s="10" t="n">
        <x:v>12871</x:v>
      </x:c>
      <x:c r="P221" s="10" t="n">
        <x:v>850</x:v>
      </x:c>
      <x:c r="Q221" s="9" t="n">
        <x:v>0.7857</x:v>
      </x:c>
      <x:c r="R221" s="9" t="n">
        <x:v>0.066</x:v>
      </x:c>
      <x:c r="S221" s="9" t="n">
        <x:v>0.0518</x:v>
      </x:c>
    </x:row>
    <x:row r="222" ht="90" customHeight="1">
      <x:c r="A222" s="2" t="str">
        <x:v>cat costume</x:v>
      </x:c>
      <x:c r="B222" s="15" t="str">
        <x:v>cat costume, cat costumes for cats only, cat costume for cats, kitten costumes, french bulldog halloween costume, dog renaissance costume, yorkie costume, cat cowboy costume, cat halloween costumes for cats, dog king costume</x:v>
      </x:c>
      <x:c r="C222" s="10" t="n">
        <x:v>122</x:v>
      </x:c>
      <x:c r="D222" s="10" t="n">
        <x:v>186283</x:v>
      </x:c>
      <x:c r="E222" s="9" t="n">
        <x:v>1.1974</x:v>
      </x:c>
      <x:c r="F222" s="10" t="n">
        <x:v>2495330</x:v>
      </x:c>
      <x:c r="G222" s="10" t="n">
        <x:v>66644</x:v>
      </x:c>
      <x:c r="H222" s="9" t="n">
        <x:v>1.325</x:v>
      </x:c>
      <x:c r="I222" s="9" t="n">
        <x:v>0.3577</x:v>
      </x:c>
      <x:c r="J222" s="9" t="n">
        <x:v>0.0253</x:v>
      </x:c>
      <x:c r="K222" s="9" t="n">
        <x:v>0.009</x:v>
      </x:c>
      <x:c r="L222" s="10" t="n">
        <x:v>1688</x:v>
      </x:c>
      <x:c r="M222" s="10" t="n">
        <x:v>17534</x:v>
      </x:c>
      <x:c r="N222" s="9" t="n">
        <x:v>1.1394</x:v>
      </x:c>
      <x:c r="O222" s="10" t="n">
        <x:v>12676</x:v>
      </x:c>
      <x:c r="P222" s="10" t="n">
        <x:v>956</x:v>
      </x:c>
      <x:c r="Q222" s="9" t="n">
        <x:v>0.7229</x:v>
      </x:c>
      <x:c r="R222" s="9" t="n">
        <x:v>0.0754</x:v>
      </x:c>
      <x:c r="S222" s="9" t="n">
        <x:v>0.0545</x:v>
      </x:c>
    </x:row>
    <x:row r="223" ht="90" customHeight="1">
      <x:c r="A223" s="2" t="str">
        <x:v>purple skirt</x:v>
      </x:c>
      <x:c r="B223" s="15" t="str">
        <x:v>purple skirt, purple mini skirt, purple ruffle skirt, purple skirts, purple sparkly skirt, purple metallic skirt, purple skirt short, metallic purple skirt, purple skirt mini, purple skirt for women</x:v>
      </x:c>
      <x:c r="C223" s="10" t="n">
        <x:v>170</x:v>
      </x:c>
      <x:c r="D223" s="10" t="n">
        <x:v>184432</x:v>
      </x:c>
      <x:c r="E223" s="9" t="n">
        <x:v>0.8844</x:v>
      </x:c>
      <x:c r="F223" s="10" t="n">
        <x:v>2980584</x:v>
      </x:c>
      <x:c r="G223" s="10" t="n">
        <x:v>55077</x:v>
      </x:c>
      <x:c r="H223" s="9" t="n">
        <x:v>1.033</x:v>
      </x:c>
      <x:c r="I223" s="9" t="n">
        <x:v>0.2986</x:v>
      </x:c>
      <x:c r="J223" s="9" t="n">
        <x:v>0.0119</x:v>
      </x:c>
      <x:c r="K223" s="9" t="n">
        <x:v>0.0035</x:v>
      </x:c>
      <x:c r="L223" s="10" t="n">
        <x:v>657</x:v>
      </x:c>
      <x:c r="M223" s="10" t="n">
        <x:v>18152</x:v>
      </x:c>
      <x:c r="N223" s="9" t="n">
        <x:v>0.9243</x:v>
      </x:c>
      <x:c r="O223" s="10" t="n">
        <x:v>15085</x:v>
      </x:c>
      <x:c r="P223" s="10" t="n">
        <x:v>1299</x:v>
      </x:c>
      <x:c r="Q223" s="9" t="n">
        <x:v>0.831</x:v>
      </x:c>
      <x:c r="R223" s="9" t="n">
        <x:v>0.0861</x:v>
      </x:c>
      <x:c r="S223" s="9" t="n">
        <x:v>0.0715</x:v>
      </x:c>
    </x:row>
    <x:row r="224" ht="71" customHeight="1">
      <x:c r="A224" s="2" t="str">
        <x:v>dune</x:v>
      </x:c>
      <x:c r="B224" s="15" t="str">
        <x:v>dune, dune book, dune book set, dune books, dune book series, dune set, dune complete book set, dune books set, dune 4, dune libros en español</x:v>
      </x:c>
      <x:c r="C224" s="10" t="n">
        <x:v>118</x:v>
      </x:c>
      <x:c r="D224" s="10" t="n">
        <x:v>184060</x:v>
      </x:c>
      <x:c r="E224" s="9" t="str">
        <x:v>'-0.2138</x:v>
      </x:c>
      <x:c r="F224" s="10" t="n">
        <x:v>2628141</x:v>
      </x:c>
      <x:c r="G224" s="10" t="n">
        <x:v>50606</x:v>
      </x:c>
      <x:c r="H224" s="9" t="n">
        <x:v>0.0762</x:v>
      </x:c>
      <x:c r="I224" s="9" t="n">
        <x:v>0.2749</x:v>
      </x:c>
      <x:c r="J224" s="9" t="n">
        <x:v>0.0586</x:v>
      </x:c>
      <x:c r="K224" s="9" t="n">
        <x:v>0.0161</x:v>
      </x:c>
      <x:c r="L224" s="10" t="n">
        <x:v>2970</x:v>
      </x:c>
      <x:c r="M224" s="10" t="n">
        <x:v>55977</x:v>
      </x:c>
      <x:c r="N224" s="9" t="str">
        <x:v>'-0.2223</x:v>
      </x:c>
      <x:c r="O224" s="10" t="n">
        <x:v>37248</x:v>
      </x:c>
      <x:c r="P224" s="10" t="n">
        <x:v>4166</x:v>
      </x:c>
      <x:c r="Q224" s="9" t="n">
        <x:v>0.6654</x:v>
      </x:c>
      <x:c r="R224" s="9" t="n">
        <x:v>0.1118</x:v>
      </x:c>
      <x:c r="S224" s="9" t="n">
        <x:v>0.0744</x:v>
      </x:c>
    </x:row>
    <x:row r="225" ht="71" customHeight="1">
      <x:c r="A225" s="2" t="str">
        <x:v>overalls for men</x:v>
      </x:c>
      <x:c r="B225" s="15" t="str">
        <x:v>overalls for men, mens overalls, bib overalls men, men overalls, mens bib overalls, overalls men, mens bibs, overall for men, mens bibs overalls, bib overalls for men</x:v>
      </x:c>
      <x:c r="C225" s="10" t="n">
        <x:v>127</x:v>
      </x:c>
      <x:c r="D225" s="10" t="n">
        <x:v>183153</x:v>
      </x:c>
      <x:c r="E225" s="9" t="n">
        <x:v>0.2994</x:v>
      </x:c>
      <x:c r="F225" s="10" t="n">
        <x:v>4732137</x:v>
      </x:c>
      <x:c r="G225" s="10" t="n">
        <x:v>77424</x:v>
      </x:c>
      <x:c r="H225" s="9" t="n">
        <x:v>0.2929</x:v>
      </x:c>
      <x:c r="I225" s="9" t="n">
        <x:v>0.4227</x:v>
      </x:c>
      <x:c r="J225" s="9" t="n">
        <x:v>0.0102</x:v>
      </x:c>
      <x:c r="K225" s="9" t="n">
        <x:v>0.0043</x:v>
      </x:c>
      <x:c r="L225" s="10" t="n">
        <x:v>792</x:v>
      </x:c>
      <x:c r="M225" s="10" t="n">
        <x:v>34830</x:v>
      </x:c>
      <x:c r="N225" s="9" t="n">
        <x:v>0.3048</x:v>
      </x:c>
      <x:c r="O225" s="10" t="n">
        <x:v>28011</x:v>
      </x:c>
      <x:c r="P225" s="10" t="n">
        <x:v>4180</x:v>
      </x:c>
      <x:c r="Q225" s="9" t="n">
        <x:v>0.8042</x:v>
      </x:c>
      <x:c r="R225" s="9" t="n">
        <x:v>0.1492</x:v>
      </x:c>
      <x:c r="S225" s="9" t="n">
        <x:v>0.12</x:v>
      </x:c>
    </x:row>
    <x:row r="226" ht="90" customHeight="1">
      <x:c r="A226" s="2" t="str">
        <x:v>grip socks</x:v>
      </x:c>
      <x:c r="B226" s="15" t="str">
        <x:v>grip socks, red grip socks, dual grip socks, barefoot grip socks soccer, athletic grip socks, barefoot grip socks, medias antideslizantes, plain grip socks, double sided grip socks, grips socks</x:v>
      </x:c>
      <x:c r="C226" s="10" t="n">
        <x:v>173</x:v>
      </x:c>
      <x:c r="D226" s="10" t="n">
        <x:v>183137</x:v>
      </x:c>
      <x:c r="E226" s="9" t="n">
        <x:v>0.0358</x:v>
      </x:c>
      <x:c r="F226" s="10" t="n">
        <x:v>6335832</x:v>
      </x:c>
      <x:c r="G226" s="10" t="n">
        <x:v>71011</x:v>
      </x:c>
      <x:c r="H226" s="9" t="str">
        <x:v>'-0.0272</x:v>
      </x:c>
      <x:c r="I226" s="9" t="n">
        <x:v>0.3877</x:v>
      </x:c>
      <x:c r="J226" s="9" t="n">
        <x:v>0.1116</x:v>
      </x:c>
      <x:c r="K226" s="9" t="n">
        <x:v>0.0433</x:v>
      </x:c>
      <x:c r="L226" s="10" t="n">
        <x:v>7930</x:v>
      </x:c>
      <x:c r="M226" s="10" t="n">
        <x:v>48731</x:v>
      </x:c>
      <x:c r="N226" s="9" t="n">
        <x:v>0.0299</x:v>
      </x:c>
      <x:c r="O226" s="10" t="n">
        <x:v>38858</x:v>
      </x:c>
      <x:c r="P226" s="10" t="n">
        <x:v>14076</x:v>
      </x:c>
      <x:c r="Q226" s="9" t="n">
        <x:v>0.7973</x:v>
      </x:c>
      <x:c r="R226" s="9" t="n">
        <x:v>0.3622</x:v>
      </x:c>
      <x:c r="S226" s="9" t="n">
        <x:v>0.2888</x:v>
      </x:c>
    </x:row>
    <x:row r="227" ht="55" customHeight="1">
      <x:c r="A227" s="2" t="str">
        <x:v>lps</x:v>
      </x:c>
      <x:c r="B227" s="15" t="str">
        <x:v>lps, lps toys, lps cat, lps dog, lps set, lps pack, lsp, lps halloween, lps series 6, lps collie</x:v>
      </x:c>
      <x:c r="C227" s="10" t="n">
        <x:v>162</x:v>
      </x:c>
      <x:c r="D227" s="10" t="n">
        <x:v>182859</x:v>
      </x:c>
      <x:c r="E227" s="9" t="str">
        <x:v>'-0.0164</x:v>
      </x:c>
      <x:c r="F227" s="10" t="n">
        <x:v>2371797</x:v>
      </x:c>
      <x:c r="G227" s="10" t="n">
        <x:v>89875</x:v>
      </x:c>
      <x:c r="H227" s="9" t="n">
        <x:v>0.0657</x:v>
      </x:c>
      <x:c r="I227" s="9" t="n">
        <x:v>0.4914</x:v>
      </x:c>
      <x:c r="J227" s="9" t="n">
        <x:v>0.0109</x:v>
      </x:c>
      <x:c r="K227" s="9" t="n">
        <x:v>0.0053</x:v>
      </x:c>
      <x:c r="L227" s="10" t="n">
        <x:v>987</x:v>
      </x:c>
      <x:c r="M227" s="10" t="n">
        <x:v>17060</x:v>
      </x:c>
      <x:c r="N227" s="9" t="str">
        <x:v>'-0.0338</x:v>
      </x:c>
      <x:c r="O227" s="10" t="n">
        <x:v>12483</x:v>
      </x:c>
      <x:c r="P227" s="10" t="n">
        <x:v>807</x:v>
      </x:c>
      <x:c r="Q227" s="9" t="n">
        <x:v>0.7317</x:v>
      </x:c>
      <x:c r="R227" s="9" t="n">
        <x:v>0.0646</x:v>
      </x:c>
      <x:c r="S227" s="9" t="n">
        <x:v>0.0473</x:v>
      </x:c>
    </x:row>
    <x:row r="228" ht="90" customHeight="1">
      <x:c r="A228" s="2" t="str">
        <x:v>lorax costume</x:v>
      </x:c>
      <x:c r="B228" s="15" t="str">
        <x:v>lorax costume, lorax costume women, the lorax costume, lorax costume outfit, lorax costume adult, lorax halloween costume, lorax costumes, adult lorax costume, preppy lorax costume, kids lorax costumes</x:v>
      </x:c>
      <x:c r="C228" s="10" t="n">
        <x:v>107</x:v>
      </x:c>
      <x:c r="D228" s="10" t="n">
        <x:v>182116</x:v>
      </x:c>
      <x:c r="E228" s="9" t="n">
        <x:v>1.7453</x:v>
      </x:c>
      <x:c r="F228" s="10" t="n">
        <x:v>1935261</x:v>
      </x:c>
      <x:c r="G228" s="10" t="n">
        <x:v>81742</x:v>
      </x:c>
      <x:c r="H228" s="9" t="n">
        <x:v>1.9031</x:v>
      </x:c>
      <x:c r="I228" s="9" t="n">
        <x:v>0.4488</x:v>
      </x:c>
      <x:c r="J228" s="9" t="n">
        <x:v>0.0178</x:v>
      </x:c>
      <x:c r="K228" s="9" t="n">
        <x:v>0.008</x:v>
      </x:c>
      <x:c r="L228" s="10" t="n">
        <x:v>1461</x:v>
      </x:c>
      <x:c r="M228" s="10" t="n">
        <x:v>21578</x:v>
      </x:c>
      <x:c r="N228" s="9" t="n">
        <x:v>1.6309</x:v>
      </x:c>
      <x:c r="O228" s="10" t="n">
        <x:v>16168</x:v>
      </x:c>
      <x:c r="P228" s="10" t="n">
        <x:v>1632</x:v>
      </x:c>
      <x:c r="Q228" s="9" t="n">
        <x:v>0.7492</x:v>
      </x:c>
      <x:c r="R228" s="9" t="n">
        <x:v>0.1009</x:v>
      </x:c>
      <x:c r="S228" s="9" t="n">
        <x:v>0.0756</x:v>
      </x:c>
    </x:row>
    <x:row r="229" ht="90" customHeight="1">
      <x:c r="A229" s="2" t="str">
        <x:v>ground chicken</x:v>
      </x:c>
      <x:c r="B229" s="15" t="str">
        <x:v>ground chicken, organic ground chicken, chicken ground, minced chicken, ground chicken organic, chicken mince, ground chicken thigh, ground chicken breast organic, ground organic chicken, lean ground chicken</x:v>
      </x:c>
      <x:c r="C229" s="10" t="n">
        <x:v>98</x:v>
      </x:c>
      <x:c r="D229" s="10" t="n">
        <x:v>181591</x:v>
      </x:c>
      <x:c r="E229" s="9" t="n">
        <x:v>0.0801</x:v>
      </x:c>
      <x:c r="F229" s="10" t="n">
        <x:v>4022057</x:v>
      </x:c>
      <x:c r="G229" s="10" t="n">
        <x:v>99020</x:v>
      </x:c>
      <x:c r="H229" s="9" t="n">
        <x:v>0.0351</x:v>
      </x:c>
      <x:c r="I229" s="9" t="n">
        <x:v>0.5452</x:v>
      </x:c>
      <x:c r="J229" s="9" t="n">
        <x:v>0.3482</x:v>
      </x:c>
      <x:c r="K229" s="9" t="n">
        <x:v>0.1899</x:v>
      </x:c>
      <x:c r="L229" s="10" t="n">
        <x:v>34485</x:v>
      </x:c>
      <x:c r="M229" s="10" t="n">
        <x:v>81472</x:v>
      </x:c>
      <x:c r="N229" s="9" t="n">
        <x:v>0.0829</x:v>
      </x:c>
      <x:c r="O229" s="10" t="n">
        <x:v>74721</x:v>
      </x:c>
      <x:c r="P229" s="10" t="n">
        <x:v>35708</x:v>
      </x:c>
      <x:c r="Q229" s="9" t="n">
        <x:v>0.9171</x:v>
      </x:c>
      <x:c r="R229" s="9" t="n">
        <x:v>0.4778</x:v>
      </x:c>
      <x:c r="S229" s="9" t="n">
        <x:v>0.4382</x:v>
      </x:c>
    </x:row>
    <x:row r="230" ht="90" customHeight="1">
      <x:c r="A230" s="2" t="str">
        <x:v>perfume organizer</x:v>
      </x:c>
      <x:c r="B230" s="15" t="str">
        <x:v>perfume organizer, perfume holder, perfumes organizer, para poner perfumes organizador, clear perfume organizer, organizer for perfume, display organizer, porta perfumes, perfume holders, perfume organization</x:v>
      </x:c>
      <x:c r="C230" s="10" t="n">
        <x:v>63</x:v>
      </x:c>
      <x:c r="D230" s="10" t="n">
        <x:v>181485</x:v>
      </x:c>
      <x:c r="E230" s="9" t="str">
        <x:v>'-0.073</x:v>
      </x:c>
      <x:c r="F230" s="10" t="n">
        <x:v>5313349</x:v>
      </x:c>
      <x:c r="G230" s="10" t="n">
        <x:v>65973</x:v>
      </x:c>
      <x:c r="H230" s="9" t="str">
        <x:v>'-0.0903</x:v>
      </x:c>
      <x:c r="I230" s="9" t="n">
        <x:v>0.3635</x:v>
      </x:c>
      <x:c r="J230" s="9" t="n">
        <x:v>0.0487</x:v>
      </x:c>
      <x:c r="K230" s="9" t="n">
        <x:v>0.0177</x:v>
      </x:c>
      <x:c r="L230" s="10" t="n">
        <x:v>3213</x:v>
      </x:c>
      <x:c r="M230" s="10" t="n">
        <x:v>47328</x:v>
      </x:c>
      <x:c r="N230" s="9" t="str">
        <x:v>'-0.0744</x:v>
      </x:c>
      <x:c r="O230" s="10" t="n">
        <x:v>35874</x:v>
      </x:c>
      <x:c r="P230" s="10" t="n">
        <x:v>5194</x:v>
      </x:c>
      <x:c r="Q230" s="9" t="n">
        <x:v>0.7579</x:v>
      </x:c>
      <x:c r="R230" s="9" t="n">
        <x:v>0.1447</x:v>
      </x:c>
      <x:c r="S230" s="9" t="n">
        <x:v>0.1097</x:v>
      </x:c>
    </x:row>
    <x:row r="231" ht="71" customHeight="1">
      <x:c r="A231" s="2" t="str">
        <x:v>manga box set</x:v>
      </x:c>
      <x:c r="B231" s="15" t="str">
        <x:v>manga box set, manga set, manga box sets, manga books, romance manga, box set manga, manga sets, manga boxset, manga box, box sets manga</x:v>
      </x:c>
      <x:c r="C231" s="10" t="n">
        <x:v>82</x:v>
      </x:c>
      <x:c r="D231" s="10" t="n">
        <x:v>181112</x:v>
      </x:c>
      <x:c r="E231" s="9" t="n">
        <x:v>0.0766</x:v>
      </x:c>
      <x:c r="F231" s="10" t="n">
        <x:v>2627837</x:v>
      </x:c>
      <x:c r="G231" s="10" t="n">
        <x:v>59843</x:v>
      </x:c>
      <x:c r="H231" s="9" t="n">
        <x:v>0.0921</x:v>
      </x:c>
      <x:c r="I231" s="9" t="n">
        <x:v>0.3304</x:v>
      </x:c>
      <x:c r="J231" s="9" t="n">
        <x:v>0.0116</x:v>
      </x:c>
      <x:c r="K231" s="9" t="n">
        <x:v>0.0038</x:v>
      </x:c>
      <x:c r="L231" s="10" t="n">
        <x:v>697</x:v>
      </x:c>
      <x:c r="M231" s="10" t="n">
        <x:v>14650</x:v>
      </x:c>
      <x:c r="N231" s="9" t="n">
        <x:v>0.0545</x:v>
      </x:c>
      <x:c r="O231" s="10" t="n">
        <x:v>10181</x:v>
      </x:c>
      <x:c r="P231" s="10" t="n">
        <x:v>491</x:v>
      </x:c>
      <x:c r="Q231" s="9" t="n">
        <x:v>0.6949</x:v>
      </x:c>
      <x:c r="R231" s="9" t="n">
        <x:v>0.0482</x:v>
      </x:c>
      <x:c r="S231" s="9" t="n">
        <x:v>0.0335</x:v>
      </x:c>
    </x:row>
    <x:row r="232" ht="90" customHeight="1">
      <x:c r="A232" s="2" t="str">
        <x:v>cotton balls</x:v>
      </x:c>
      <x:c r="B232" s="15" t="str">
        <x:v>cotton balls, cotton balls for face, cotton ball, cotton balls for nail polish remover, sterile cotton balls, cottonballs, corton balls, cotton balls for crafts, algodon para curacion, cotton balls for dogs ears</x:v>
      </x:c>
      <x:c r="C232" s="10" t="n">
        <x:v>145</x:v>
      </x:c>
      <x:c r="D232" s="10" t="n">
        <x:v>180766</x:v>
      </x:c>
      <x:c r="E232" s="9" t="n">
        <x:v>0.0532</x:v>
      </x:c>
      <x:c r="F232" s="10" t="n">
        <x:v>7222282</x:v>
      </x:c>
      <x:c r="G232" s="10" t="n">
        <x:v>104439</x:v>
      </x:c>
      <x:c r="H232" s="9" t="n">
        <x:v>0.0673</x:v>
      </x:c>
      <x:c r="I232" s="9" t="n">
        <x:v>0.5777</x:v>
      </x:c>
      <x:c r="J232" s="9" t="n">
        <x:v>0.4453</x:v>
      </x:c>
      <x:c r="K232" s="9" t="n">
        <x:v>0.2572</x:v>
      </x:c>
      <x:c r="L232" s="10" t="n">
        <x:v>46508</x:v>
      </x:c>
      <x:c r="M232" s="10" t="n">
        <x:v>101908</x:v>
      </x:c>
      <x:c r="N232" s="9" t="n">
        <x:v>0.0515</x:v>
      </x:c>
      <x:c r="O232" s="10" t="n">
        <x:v>88548</x:v>
      </x:c>
      <x:c r="P232" s="10" t="n">
        <x:v>50702</x:v>
      </x:c>
      <x:c r="Q232" s="9" t="n">
        <x:v>0.8689</x:v>
      </x:c>
      <x:c r="R232" s="9" t="n">
        <x:v>0.5725</x:v>
      </x:c>
      <x:c r="S232" s="9" t="n">
        <x:v>0.4975</x:v>
      </x:c>
    </x:row>
    <x:row r="233" ht="90" customHeight="1">
      <x:c r="A233" s="2" t="str">
        <x:v>gadgets for men</x:v>
      </x:c>
      <x:c r="B233" s="15" t="str">
        <x:v>gadgets for men, cool gadgets for men, men stocking stuffers, cheap gifts for men, men gadgets, stocking stuffers men, mens tools, mens gadgets best sellers 2026, edc essentials, christmas stocking stuffers for men</x:v>
      </x:c>
      <x:c r="C233" s="10" t="n">
        <x:v>152</x:v>
      </x:c>
      <x:c r="D233" s="10" t="n">
        <x:v>179167</x:v>
      </x:c>
      <x:c r="E233" s="9" t="n">
        <x:v>0.0703</x:v>
      </x:c>
      <x:c r="F233" s="10" t="n">
        <x:v>3988009</x:v>
      </x:c>
      <x:c r="G233" s="10" t="n">
        <x:v>41015</x:v>
      </x:c>
      <x:c r="H233" s="9" t="n">
        <x:v>0.0886</x:v>
      </x:c>
      <x:c r="I233" s="9" t="n">
        <x:v>0.2289</x:v>
      </x:c>
      <x:c r="J233" s="9" t="n">
        <x:v>0.0312</x:v>
      </x:c>
      <x:c r="K233" s="9" t="n">
        <x:v>0.0071</x:v>
      </x:c>
      <x:c r="L233" s="10" t="n">
        <x:v>1280</x:v>
      </x:c>
      <x:c r="M233" s="10" t="n">
        <x:v>19101</x:v>
      </x:c>
      <x:c r="N233" s="9" t="n">
        <x:v>0.0343</x:v>
      </x:c>
      <x:c r="O233" s="10" t="n">
        <x:v>13133</x:v>
      </x:c>
      <x:c r="P233" s="10" t="n">
        <x:v>1176</x:v>
      </x:c>
      <x:c r="Q233" s="9" t="n">
        <x:v>0.6875</x:v>
      </x:c>
      <x:c r="R233" s="9" t="n">
        <x:v>0.0895</x:v>
      </x:c>
      <x:c r="S233" s="9" t="n">
        <x:v>0.0615</x:v>
      </x:c>
    </x:row>
    <x:row r="234" ht="109" customHeight="1">
      <x:c r="A234" s="2" t="str">
        <x:v>whole foods delivery</x:v>
      </x:c>
      <x:c r="B234" s="15" t="str">
        <x:v>whole foods delivery, whole foods delivery groceries, whole foods groceries, whole foods foods, whole foods delivery food, whole foods delivery today, whole foods delivery for prime members, groceries whole foods, whole foods discount, whole foods grocery</x:v>
      </x:c>
      <x:c r="C234" s="10" t="n">
        <x:v>22</x:v>
      </x:c>
      <x:c r="D234" s="10" t="n">
        <x:v>178951</x:v>
      </x:c>
      <x:c r="E234" s="9" t="n">
        <x:v>0.1238</x:v>
      </x:c>
      <x:c r="F234" s="10" t="n">
        <x:v>4741957</x:v>
      </x:c>
      <x:c r="G234" s="10" t="n">
        <x:v>31490</x:v>
      </x:c>
      <x:c r="H234" s="9" t="n">
        <x:v>0.1761</x:v>
      </x:c>
      <x:c r="I234" s="9" t="n">
        <x:v>0.1759</x:v>
      </x:c>
      <x:c r="J234" s="9" t="n">
        <x:v>0.2142</x:v>
      </x:c>
      <x:c r="K234" s="9" t="n">
        <x:v>0.0377</x:v>
      </x:c>
      <x:c r="L234" s="10" t="n">
        <x:v>6748</x:v>
      </x:c>
      <x:c r="M234" s="10" t="n">
        <x:v>44413</x:v>
      </x:c>
      <x:c r="N234" s="9" t="n">
        <x:v>0.1457</x:v>
      </x:c>
      <x:c r="O234" s="10" t="n">
        <x:v>18377</x:v>
      </x:c>
      <x:c r="P234" s="10" t="n">
        <x:v>6820</x:v>
      </x:c>
      <x:c r="Q234" s="9" t="n">
        <x:v>0.4137</x:v>
      </x:c>
      <x:c r="R234" s="9" t="n">
        <x:v>0.3711</x:v>
      </x:c>
      <x:c r="S234" s="9" t="n">
        <x:v>0.1535</x:v>
      </x:c>
    </x:row>
    <x:row r="235" ht="90" customHeight="1">
      <x:c r="A235" s="2" t="str">
        <x:v>alien costume women</x:v>
      </x:c>
      <x:c r="B235" s="15" t="str">
        <x:v>alien costume women, fairy costume, disco outfit, womens alien costume, disco costume, alien halloween costume, fairy costumes, alien outfit, rainbow fish costume, women alien costume</x:v>
      </x:c>
      <x:c r="C235" s="10" t="n">
        <x:v>78</x:v>
      </x:c>
      <x:c r="D235" s="10" t="n">
        <x:v>178467</x:v>
      </x:c>
      <x:c r="E235" s="9" t="n">
        <x:v>1.1719</x:v>
      </x:c>
      <x:c r="F235" s="10" t="n">
        <x:v>2819988</x:v>
      </x:c>
      <x:c r="G235" s="10" t="n">
        <x:v>57020</x:v>
      </x:c>
      <x:c r="H235" s="9" t="n">
        <x:v>1.2874</x:v>
      </x:c>
      <x:c r="I235" s="9" t="n">
        <x:v>0.3194</x:v>
      </x:c>
      <x:c r="J235" s="9" t="n">
        <x:v>0.0134</x:v>
      </x:c>
      <x:c r="K235" s="9" t="n">
        <x:v>0.0043</x:v>
      </x:c>
      <x:c r="L235" s="10" t="n">
        <x:v>768</x:v>
      </x:c>
      <x:c r="M235" s="10" t="n">
        <x:v>16126</x:v>
      </x:c>
      <x:c r="N235" s="9" t="n">
        <x:v>1.1172</x:v>
      </x:c>
      <x:c r="O235" s="10" t="n">
        <x:v>11939</x:v>
      </x:c>
      <x:c r="P235" s="10" t="n">
        <x:v>746</x:v>
      </x:c>
      <x:c r="Q235" s="9" t="n">
        <x:v>0.7403</x:v>
      </x:c>
      <x:c r="R235" s="9" t="n">
        <x:v>0.0624</x:v>
      </x:c>
      <x:c r="S235" s="9" t="n">
        <x:v>0.0462</x:v>
      </x:c>
    </x:row>
    <x:row r="236" ht="71" customHeight="1">
      <x:c r="A236" s="2" t="str">
        <x:v>pineapple</x:v>
      </x:c>
      <x:c r="B236" s="15" t="str">
        <x:v>pineapple, piña, pineapples, fresh pineapple, pineapple fruit, pineapple whole, piña fresca, fresh pineapples, organic pineapple fresh, fresh pineapple whole</x:v>
      </x:c>
      <x:c r="C236" s="10" t="n">
        <x:v>20</x:v>
      </x:c>
      <x:c r="D236" s="10" t="n">
        <x:v>178374</x:v>
      </x:c>
      <x:c r="E236" s="9" t="n">
        <x:v>0.0248</x:v>
      </x:c>
      <x:c r="F236" s="10" t="n">
        <x:v>3848372</x:v>
      </x:c>
      <x:c r="G236" s="10" t="n">
        <x:v>73966</x:v>
      </x:c>
      <x:c r="H236" s="9" t="str">
        <x:v>'-0.0735</x:v>
      </x:c>
      <x:c r="I236" s="9" t="n">
        <x:v>0.4146</x:v>
      </x:c>
      <x:c r="J236" s="9" t="n">
        <x:v>0.4429</x:v>
      </x:c>
      <x:c r="K236" s="9" t="n">
        <x:v>0.1836</x:v>
      </x:c>
      <x:c r="L236" s="10" t="n">
        <x:v>32765</x:v>
      </x:c>
      <x:c r="M236" s="10" t="n">
        <x:v>76670</x:v>
      </x:c>
      <x:c r="N236" s="9" t="str">
        <x:v>'-0.0061</x:v>
      </x:c>
      <x:c r="O236" s="10" t="n">
        <x:v>67362</x:v>
      </x:c>
      <x:c r="P236" s="10" t="n">
        <x:v>37572</x:v>
      </x:c>
      <x:c r="Q236" s="9" t="n">
        <x:v>0.8785</x:v>
      </x:c>
      <x:c r="R236" s="9" t="n">
        <x:v>0.5577</x:v>
      </x:c>
      <x:c r="S236" s="9" t="n">
        <x:v>0.49</x:v>
      </x:c>
    </x:row>
    <x:row r="237" ht="90" customHeight="1">
      <x:c r="A237" s="2" t="str">
        <x:v>tattoo cover up</x:v>
      </x:c>
      <x:c r="B237" s="15" t="str">
        <x:v>tattoo cover up, tattoo cover, waterproof tattoo cover up, tatoo cover up, tattoo coverup, neck tattoo cover up, tatoo cover up waterproof, cover up tattoos, tattoo cover up waterproof, tattoo hide</x:v>
      </x:c>
      <x:c r="C237" s="10" t="n">
        <x:v>143</x:v>
      </x:c>
      <x:c r="D237" s="10" t="n">
        <x:v>177465</x:v>
      </x:c>
      <x:c r="E237" s="9" t="n">
        <x:v>0.6116</x:v>
      </x:c>
      <x:c r="F237" s="10" t="n">
        <x:v>2054425</x:v>
      </x:c>
      <x:c r="G237" s="10" t="n">
        <x:v>37129</x:v>
      </x:c>
      <x:c r="H237" s="9" t="n">
        <x:v>0.138</x:v>
      </x:c>
      <x:c r="I237" s="9" t="n">
        <x:v>0.2092</x:v>
      </x:c>
      <x:c r="J237" s="9" t="n">
        <x:v>0.0439</x:v>
      </x:c>
      <x:c r="K237" s="9" t="n">
        <x:v>0.0091</x:v>
      </x:c>
      <x:c r="L237" s="10" t="n">
        <x:v>1632</x:v>
      </x:c>
      <x:c r="M237" s="10" t="n">
        <x:v>16962</x:v>
      </x:c>
      <x:c r="N237" s="9" t="n">
        <x:v>0.3177</x:v>
      </x:c>
      <x:c r="O237" s="10" t="n">
        <x:v>12836</x:v>
      </x:c>
      <x:c r="P237" s="10" t="n">
        <x:v>2792</x:v>
      </x:c>
      <x:c r="Q237" s="9" t="n">
        <x:v>0.7567</x:v>
      </x:c>
      <x:c r="R237" s="9" t="n">
        <x:v>0.2175</x:v>
      </x:c>
      <x:c r="S237" s="9" t="n">
        <x:v>0.1646</x:v>
      </x:c>
    </x:row>
    <x:row r="238" ht="90" customHeight="1">
      <x:c r="A238" s="2" t="str">
        <x:v>dorm decor</x:v>
      </x:c>
      <x:c r="B238" s="15" t="str">
        <x:v>dorm decor, dorm room decor, home aesthetic, aesthetic bedroom, dorm deco, decoracion para recamara, decoración para habitación de mujer, dorm aesthetic, bedroom aesthetic must haves, decoración para dormitorio</x:v>
      </x:c>
      <x:c r="C238" s="10" t="n">
        <x:v>17</x:v>
      </x:c>
      <x:c r="D238" s="10" t="n">
        <x:v>177134</x:v>
      </x:c>
      <x:c r="E238" s="9" t="str">
        <x:v>'-0.5799</x:v>
      </x:c>
      <x:c r="F238" s="10" t="n">
        <x:v>10023776</x:v>
      </x:c>
      <x:c r="G238" s="10" t="n">
        <x:v>43472</x:v>
      </x:c>
      <x:c r="H238" s="9" t="str">
        <x:v>'-0.605</x:v>
      </x:c>
      <x:c r="I238" s="9" t="n">
        <x:v>0.2454</x:v>
      </x:c>
      <x:c r="J238" s="9" t="n">
        <x:v>0.0365</x:v>
      </x:c>
      <x:c r="K238" s="9" t="n">
        <x:v>0.0089</x:v>
      </x:c>
      <x:c r="L238" s="10" t="n">
        <x:v>1591</x:v>
      </x:c>
      <x:c r="M238" s="10" t="n">
        <x:v>51049</x:v>
      </x:c>
      <x:c r="N238" s="9" t="str">
        <x:v>'-0.548</x:v>
      </x:c>
      <x:c r="O238" s="10" t="n">
        <x:v>35744</x:v>
      </x:c>
      <x:c r="P238" s="10" t="n">
        <x:v>3520</x:v>
      </x:c>
      <x:c r="Q238" s="9" t="n">
        <x:v>0.7001</x:v>
      </x:c>
      <x:c r="R238" s="9" t="n">
        <x:v>0.0984</x:v>
      </x:c>
      <x:c r="S238" s="9" t="n">
        <x:v>0.0689</x:v>
      </x:c>
    </x:row>
    <x:row r="239" ht="109" customHeight="1">
      <x:c r="A239" s="2" t="str">
        <x:v>49ers womens apparel</x:v>
      </x:c>
      <x:c r="B239" s="15" t="str">
        <x:v>49ers womens apparel, steelers shirts for women, wisconsin badgers apparel women, patriots shirts for women, colts shirts for women, chiefs womens apparel, georgia bulldogs womens apparel, texas tech womens apparel, womens 49ers shirt, ohio state shirts for women</x:v>
      </x:c>
      <x:c r="C239" s="10" t="n">
        <x:v>45</x:v>
      </x:c>
      <x:c r="D239" s="10" t="n">
        <x:v>176930</x:v>
      </x:c>
      <x:c r="E239" s="9" t="n">
        <x:v>2.1797</x:v>
      </x:c>
      <x:c r="F239" s="10" t="n">
        <x:v>2651472</x:v>
      </x:c>
      <x:c r="G239" s="10" t="n">
        <x:v>46955</x:v>
      </x:c>
      <x:c r="H239" s="9" t="n">
        <x:v>2.2808</x:v>
      </x:c>
      <x:c r="I239" s="9" t="n">
        <x:v>0.2653</x:v>
      </x:c>
      <x:c r="J239" s="9" t="n">
        <x:v>0.0382</x:v>
      </x:c>
      <x:c r="K239" s="9" t="n">
        <x:v>0.0101</x:v>
      </x:c>
      <x:c r="L239" s="10" t="n">
        <x:v>1795</x:v>
      </x:c>
      <x:c r="M239" s="10" t="n">
        <x:v>13521</x:v>
      </x:c>
      <x:c r="N239" s="9" t="n">
        <x:v>2.2585</x:v>
      </x:c>
      <x:c r="O239" s="10" t="n">
        <x:v>9582</x:v>
      </x:c>
      <x:c r="P239" s="10" t="n">
        <x:v>1308</x:v>
      </x:c>
      <x:c r="Q239" s="9" t="n">
        <x:v>0.7086</x:v>
      </x:c>
      <x:c r="R239" s="9" t="n">
        <x:v>0.1365</x:v>
      </x:c>
      <x:c r="S239" s="9" t="n">
        <x:v>0.0967</x:v>
      </x:c>
    </x:row>
    <x:row r="240" ht="90" customHeight="1">
      <x:c r="A240" s="2" t="str">
        <x:v>promise rings for her</x:v>
      </x:c>
      <x:c r="B240" s="15" t="str">
        <x:v>promise rings for her, promise ring, promise rings, promise rings for women, promise ring for her, rings for her, anillo de promesa, anillos de promesa, gold promise rings, sterling silver promise rings for women</x:v>
      </x:c>
      <x:c r="C240" s="10" t="n">
        <x:v>86</x:v>
      </x:c>
      <x:c r="D240" s="10" t="n">
        <x:v>176433</x:v>
      </x:c>
      <x:c r="E240" s="9" t="str">
        <x:v>'-0.0547</x:v>
      </x:c>
      <x:c r="F240" s="10" t="n">
        <x:v>4114296</x:v>
      </x:c>
      <x:c r="G240" s="10" t="n">
        <x:v>56529</x:v>
      </x:c>
      <x:c r="H240" s="9" t="str">
        <x:v>'-0.0387</x:v>
      </x:c>
      <x:c r="I240" s="9" t="n">
        <x:v>0.3203</x:v>
      </x:c>
      <x:c r="J240" s="9" t="n">
        <x:v>0.0075</x:v>
      </x:c>
      <x:c r="K240" s="9" t="n">
        <x:v>0.0024</x:v>
      </x:c>
      <x:c r="L240" s="10" t="n">
        <x:v>425</x:v>
      </x:c>
      <x:c r="M240" s="10" t="n">
        <x:v>25460</x:v>
      </x:c>
      <x:c r="N240" s="9" t="str">
        <x:v>'-0.0493</x:v>
      </x:c>
      <x:c r="O240" s="10" t="n">
        <x:v>17384</x:v>
      </x:c>
      <x:c r="P240" s="10" t="n">
        <x:v>1436</x:v>
      </x:c>
      <x:c r="Q240" s="9" t="n">
        <x:v>0.6827</x:v>
      </x:c>
      <x:c r="R240" s="9" t="n">
        <x:v>0.0826</x:v>
      </x:c>
      <x:c r="S240" s="9" t="n">
        <x:v>0.0564</x:v>
      </x:c>
    </x:row>
    <x:row r="241" ht="90" customHeight="1">
      <x:c r="A241" s="2" t="str">
        <x:v>bruno mars shirt</x:v>
      </x:c>
      <x:c r="B241" s="15" t="str">
        <x:v>bruno mars shirt, bruno mars tshirt, bruno mars t shirts, bruno mars t shirt, bruno mars shirts, bruno mars concert shirt, bruno mars tshirt women, bruno mars t-shirt, bruno mars tshirts, concert outfits women bruno mars</x:v>
      </x:c>
      <x:c r="C241" s="10" t="n">
        <x:v>173</x:v>
      </x:c>
      <x:c r="D241" s="10" t="n">
        <x:v>175930</x:v>
      </x:c>
      <x:c r="E241" s="9" t="n">
        <x:v>1.3711</x:v>
      </x:c>
      <x:c r="F241" s="10" t="n">
        <x:v>3616409</x:v>
      </x:c>
      <x:c r="G241" s="10" t="n">
        <x:v>65408</x:v>
      </x:c>
      <x:c r="H241" s="9" t="n">
        <x:v>1.4582</x:v>
      </x:c>
      <x:c r="I241" s="9" t="n">
        <x:v>0.3717</x:v>
      </x:c>
      <x:c r="J241" s="9" t="n">
        <x:v>0.044</x:v>
      </x:c>
      <x:c r="K241" s="9" t="n">
        <x:v>0.0163</x:v>
      </x:c>
      <x:c r="L241" s="10" t="n">
        <x:v>2878</x:v>
      </x:c>
      <x:c r="M241" s="10" t="n">
        <x:v>21425</x:v>
      </x:c>
      <x:c r="N241" s="9" t="n">
        <x:v>1.1233</x:v>
      </x:c>
      <x:c r="O241" s="10" t="n">
        <x:v>15492</x:v>
      </x:c>
      <x:c r="P241" s="10" t="n">
        <x:v>2591</x:v>
      </x:c>
      <x:c r="Q241" s="9" t="n">
        <x:v>0.723</x:v>
      </x:c>
      <x:c r="R241" s="9" t="n">
        <x:v>0.1672</x:v>
      </x:c>
      <x:c r="S241" s="9" t="n">
        <x:v>0.1209</x:v>
      </x:c>
    </x:row>
    <x:row r="242" ht="109" customHeight="1">
      <x:c r="A242" s="2" t="str">
        <x:v>halloween sweatshirt</x:v>
      </x:c>
      <x:c r="B242" s="15" t="str">
        <x:v>halloween sweatshirt, spooky season sweatshirt, womens halloween sweatshirt, halloween sweatshirts, halloween crewneck, halloween crewneck sweatshirt, ghost sweatshirt, vintage halloween sweatshirt, halloween crew neck, cute halloween sweatshirts</x:v>
      </x:c>
      <x:c r="C242" s="10" t="n">
        <x:v>83</x:v>
      </x:c>
      <x:c r="D242" s="10" t="n">
        <x:v>173712</x:v>
      </x:c>
      <x:c r="E242" s="9" t="n">
        <x:v>1.3997</x:v>
      </x:c>
      <x:c r="F242" s="10" t="n">
        <x:v>3208634</x:v>
      </x:c>
      <x:c r="G242" s="10" t="n">
        <x:v>49987</x:v>
      </x:c>
      <x:c r="H242" s="9" t="n">
        <x:v>1.3781</x:v>
      </x:c>
      <x:c r="I242" s="9" t="n">
        <x:v>0.2877</x:v>
      </x:c>
      <x:c r="J242" s="9" t="n">
        <x:v>0.0129</x:v>
      </x:c>
      <x:c r="K242" s="9" t="n">
        <x:v>0.0037</x:v>
      </x:c>
      <x:c r="L242" s="10" t="n">
        <x:v>646</x:v>
      </x:c>
      <x:c r="M242" s="10" t="n">
        <x:v>16915</x:v>
      </x:c>
      <x:c r="N242" s="9" t="n">
        <x:v>1.4287</x:v>
      </x:c>
      <x:c r="O242" s="10" t="n">
        <x:v>13222</x:v>
      </x:c>
      <x:c r="P242" s="10" t="n">
        <x:v>962</x:v>
      </x:c>
      <x:c r="Q242" s="9" t="n">
        <x:v>0.7816</x:v>
      </x:c>
      <x:c r="R242" s="9" t="n">
        <x:v>0.0727</x:v>
      </x:c>
      <x:c r="S242" s="9" t="n">
        <x:v>0.0568</x:v>
      </x:c>
    </x:row>
    <x:row r="243" ht="109" customHeight="1">
      <x:c r="A243" s="2" t="str">
        <x:v>portable bottle warmer</x:v>
      </x:c>
      <x:c r="B243" s="15" t="str">
        <x:v>portable bottle warmer, portable milk warmer, mom cozy bottle warmer, milk warmer for baby travel, breast milk warmer, breast milk warmer portable, portable breast milk warmer, calentador de biberones portatil, breastmilk warmer, calentador de leche portatil</x:v>
      </x:c>
      <x:c r="C243" s="10" t="n">
        <x:v>105</x:v>
      </x:c>
      <x:c r="D243" s="10" t="n">
        <x:v>173481</x:v>
      </x:c>
      <x:c r="E243" s="9" t="n">
        <x:v>0.084</x:v>
      </x:c>
      <x:c r="F243" s="10" t="n">
        <x:v>4402832</x:v>
      </x:c>
      <x:c r="G243" s="10" t="n">
        <x:v>81522</x:v>
      </x:c>
      <x:c r="H243" s="9" t="n">
        <x:v>0.1534</x:v>
      </x:c>
      <x:c r="I243" s="9" t="n">
        <x:v>0.4699</x:v>
      </x:c>
      <x:c r="J243" s="9" t="n">
        <x:v>0.0482</x:v>
      </x:c>
      <x:c r="K243" s="9" t="n">
        <x:v>0.0226</x:v>
      </x:c>
      <x:c r="L243" s="10" t="n">
        <x:v>3932</x:v>
      </x:c>
      <x:c r="M243" s="10" t="n">
        <x:v>50385</x:v>
      </x:c>
      <x:c r="N243" s="9" t="n">
        <x:v>0.0538</x:v>
      </x:c>
      <x:c r="O243" s="10" t="n">
        <x:v>40508</x:v>
      </x:c>
      <x:c r="P243" s="10" t="n">
        <x:v>4667</x:v>
      </x:c>
      <x:c r="Q243" s="9" t="n">
        <x:v>0.8039</x:v>
      </x:c>
      <x:c r="R243" s="9" t="n">
        <x:v>0.1152</x:v>
      </x:c>
      <x:c r="S243" s="9" t="n">
        <x:v>0.0926</x:v>
      </x:c>
    </x:row>
    <x:row r="244" ht="109" customHeight="1">
      <x:c r="A244" s="2" t="str">
        <x:v>vest tops for women</x:v>
      </x:c>
      <x:c r="B244" s="15" t="str">
        <x:v>vest tops for women, women vest top, tailored vest tops for women, button down vest top women, button up vest women, button vest top women, sleeveless vest tops for women, dressy vest tops for women, vest top for women, v neck vest tops for women</x:v>
      </x:c>
      <x:c r="C244" s="10" t="n">
        <x:v>157</x:v>
      </x:c>
      <x:c r="D244" s="10" t="n">
        <x:v>172586</x:v>
      </x:c>
      <x:c r="E244" s="9" t="n">
        <x:v>0.0232</x:v>
      </x:c>
      <x:c r="F244" s="10" t="n">
        <x:v>6518442</x:v>
      </x:c>
      <x:c r="G244" s="10" t="n">
        <x:v>47615</x:v>
      </x:c>
      <x:c r="H244" s="9" t="str">
        <x:v>'-0.0058</x:v>
      </x:c>
      <x:c r="I244" s="9" t="n">
        <x:v>0.2758</x:v>
      </x:c>
      <x:c r="J244" s="9" t="n">
        <x:v>0.0111</x:v>
      </x:c>
      <x:c r="K244" s="9" t="n">
        <x:v>0.003</x:v>
      </x:c>
      <x:c r="L244" s="10" t="n">
        <x:v>530</x:v>
      </x:c>
      <x:c r="M244" s="10" t="n">
        <x:v>34525</x:v>
      </x:c>
      <x:c r="N244" s="9" t="n">
        <x:v>0.0662</x:v>
      </x:c>
      <x:c r="O244" s="10" t="n">
        <x:v>28057</x:v>
      </x:c>
      <x:c r="P244" s="10" t="n">
        <x:v>2927</x:v>
      </x:c>
      <x:c r="Q244" s="9" t="n">
        <x:v>0.8126</x:v>
      </x:c>
      <x:c r="R244" s="9" t="n">
        <x:v>0.1043</x:v>
      </x:c>
      <x:c r="S244" s="9" t="n">
        <x:v>0.0847</x:v>
      </x:c>
    </x:row>
    <x:row r="245" ht="109" customHeight="1">
      <x:c r="A245" s="2" t="str">
        <x:v>toy story costume</x:v>
      </x:c>
      <x:c r="B245" s="15" t="str">
        <x:v>toy story costume, toy story costumes for kids, toy story halloween costumes, toy story costumes, toy story toddler costume, disfraz de toy story para niño, toy story costume kids, toy story 5 costumes, kids toy story costume, toy story kids costume</x:v>
      </x:c>
      <x:c r="C245" s="10" t="n">
        <x:v>190</x:v>
      </x:c>
      <x:c r="D245" s="10" t="n">
        <x:v>172164</x:v>
      </x:c>
      <x:c r="E245" s="9" t="n">
        <x:v>0.9904</x:v>
      </x:c>
      <x:c r="F245" s="10" t="n">
        <x:v>2794400</x:v>
      </x:c>
      <x:c r="G245" s="10" t="n">
        <x:v>53232</x:v>
      </x:c>
      <x:c r="H245" s="9" t="n">
        <x:v>0.9762</x:v>
      </x:c>
      <x:c r="I245" s="9" t="n">
        <x:v>0.3091</x:v>
      </x:c>
      <x:c r="J245" s="9" t="n">
        <x:v>0.0075</x:v>
      </x:c>
      <x:c r="K245" s="9" t="n">
        <x:v>0.0023</x:v>
      </x:c>
      <x:c r="L245" s="10" t="n">
        <x:v>402</x:v>
      </x:c>
      <x:c r="M245" s="10" t="n">
        <x:v>17834</x:v>
      </x:c>
      <x:c r="N245" s="9" t="n">
        <x:v>1.0025</x:v>
      </x:c>
      <x:c r="O245" s="10" t="n">
        <x:v>12528</x:v>
      </x:c>
      <x:c r="P245" s="10" t="n">
        <x:v>399</x:v>
      </x:c>
      <x:c r="Q245" s="9" t="n">
        <x:v>0.7024</x:v>
      </x:c>
      <x:c r="R245" s="9" t="n">
        <x:v>0.0318</x:v>
      </x:c>
      <x:c r="S245" s="9" t="n">
        <x:v>0.0223</x:v>
      </x:c>
    </x:row>
    <x:row r="246" ht="90" customHeight="1">
      <x:c r="A246" s="2" t="str">
        <x:v>paper towels bulk</x:v>
      </x:c>
      <x:c r="B246" s="15" t="str">
        <x:v>paper towels bulk, paper towels bulk prime deal, bulk paper towels, paper towel bulk, papertowels deals bulk prime deal, papertowel bulk, paper towels in bulk, bulk paper towel, paper towel rolls bulk, paper towels bulk prime deal today</x:v>
      </x:c>
      <x:c r="C246" s="10" t="n">
        <x:v>125</x:v>
      </x:c>
      <x:c r="D246" s="10" t="n">
        <x:v>172032</x:v>
      </x:c>
      <x:c r="E246" s="9" t="str">
        <x:v>'-0.1959</x:v>
      </x:c>
      <x:c r="F246" s="10" t="n">
        <x:v>9434424</x:v>
      </x:c>
      <x:c r="G246" s="10" t="n">
        <x:v>81995</x:v>
      </x:c>
      <x:c r="H246" s="9" t="str">
        <x:v>'-0.2199</x:v>
      </x:c>
      <x:c r="I246" s="9" t="n">
        <x:v>0.4766</x:v>
      </x:c>
      <x:c r="J246" s="9" t="n">
        <x:v>0.3523</x:v>
      </x:c>
      <x:c r="K246" s="9" t="n">
        <x:v>0.1679</x:v>
      </x:c>
      <x:c r="L246" s="10" t="n">
        <x:v>28887</x:v>
      </x:c>
      <x:c r="M246" s="10" t="n">
        <x:v>100248</x:v>
      </x:c>
      <x:c r="N246" s="9" t="str">
        <x:v>'-0.2167</x:v>
      </x:c>
      <x:c r="O246" s="10" t="n">
        <x:v>83069</x:v>
      </x:c>
      <x:c r="P246" s="10" t="n">
        <x:v>42957</x:v>
      </x:c>
      <x:c r="Q246" s="9" t="n">
        <x:v>0.8286</x:v>
      </x:c>
      <x:c r="R246" s="9" t="n">
        <x:v>0.5171</x:v>
      </x:c>
      <x:c r="S246" s="9" t="n">
        <x:v>0.4285</x:v>
      </x:c>
    </x:row>
    <x:row r="247" ht="90" customHeight="1">
      <x:c r="A247" s="2" t="str">
        <x:v>hangers 100 pack</x:v>
      </x:c>
      <x:c r="B247" s="15" t="str">
        <x:v>hangers 100 pack, hangers 100+ pack, fuzzy hangers 100 pack, clothing hangers 100 pack, 100 pack hangers, heavy duty hangers 100 pack, bulk hangers 100 pack, clothes hangers 100 pack, bulk hangers 100+ pack, hangers 100 pack heavy duty</x:v>
      </x:c>
      <x:c r="C247" s="10" t="n">
        <x:v>87</x:v>
      </x:c>
      <x:c r="D247" s="10" t="n">
        <x:v>171825</x:v>
      </x:c>
      <x:c r="E247" s="9" t="str">
        <x:v>'-0.0687</x:v>
      </x:c>
      <x:c r="F247" s="10" t="n">
        <x:v>6108308</x:v>
      </x:c>
      <x:c r="G247" s="10" t="n">
        <x:v>66029</x:v>
      </x:c>
      <x:c r="H247" s="9" t="str">
        <x:v>'-0.1447</x:v>
      </x:c>
      <x:c r="I247" s="9" t="n">
        <x:v>0.3842</x:v>
      </x:c>
      <x:c r="J247" s="9" t="n">
        <x:v>0.2168</x:v>
      </x:c>
      <x:c r="K247" s="9" t="n">
        <x:v>0.0833</x:v>
      </x:c>
      <x:c r="L247" s="10" t="n">
        <x:v>14321</x:v>
      </x:c>
      <x:c r="M247" s="10" t="n">
        <x:v>70280</x:v>
      </x:c>
      <x:c r="N247" s="9" t="str">
        <x:v>'-0.0275</x:v>
      </x:c>
      <x:c r="O247" s="10" t="n">
        <x:v>53591</x:v>
      </x:c>
      <x:c r="P247" s="10" t="n">
        <x:v>22007</x:v>
      </x:c>
      <x:c r="Q247" s="9" t="n">
        <x:v>0.7625</x:v>
      </x:c>
      <x:c r="R247" s="9" t="n">
        <x:v>0.4106</x:v>
      </x:c>
      <x:c r="S247" s="9" t="n">
        <x:v>0.3131</x:v>
      </x:c>
    </x:row>
    <x:row r="248" ht="109" customHeight="1">
      <x:c r="A248" s="2" t="str">
        <x:v>retro phone handset for iphone</x:v>
      </x:c>
      <x:c r="B248" s="15" t="str">
        <x:v>retro phone handset for iphone, phone handset for iphone, phone receiver for iphone, retro phone for iphone, old school phone for iphone, retro telephone handset for iphone, rotary phone for iphone, handset for iphone, vintage phone for iphone, iphone handset</x:v>
      </x:c>
      <x:c r="C248" s="10" t="n">
        <x:v>86</x:v>
      </x:c>
      <x:c r="D248" s="10" t="n">
        <x:v>170991</x:v>
      </x:c>
      <x:c r="E248" s="9" t="n">
        <x:v>9.1834</x:v>
      </x:c>
      <x:c r="F248" s="10" t="n">
        <x:v>424174</x:v>
      </x:c>
      <x:c r="G248" s="10" t="n">
        <x:v>78040</x:v>
      </x:c>
      <x:c r="H248" s="9" t="n">
        <x:v>11.4069</x:v>
      </x:c>
      <x:c r="I248" s="9" t="n">
        <x:v>0.4563</x:v>
      </x:c>
      <x:c r="J248" s="9" t="n">
        <x:v>0.0246</x:v>
      </x:c>
      <x:c r="K248" s="9" t="n">
        <x:v>0.0112</x:v>
      </x:c>
      <x:c r="L248" s="10" t="n">
        <x:v>1927</x:v>
      </x:c>
      <x:c r="M248" s="10" t="n">
        <x:v>5113</x:v>
      </x:c>
      <x:c r="N248" s="9" t="n">
        <x:v>9.5278</x:v>
      </x:c>
      <x:c r="O248" s="10" t="n">
        <x:v>3661</x:v>
      </x:c>
      <x:c r="P248" s="10" t="n">
        <x:v>220</x:v>
      </x:c>
      <x:c r="Q248" s="9" t="n">
        <x:v>0.716</x:v>
      </x:c>
      <x:c r="R248" s="9" t="n">
        <x:v>0.06</x:v>
      </x:c>
      <x:c r="S248" s="9" t="n">
        <x:v>0.043</x:v>
      </x:c>
    </x:row>
    <x:row r="249" ht="71" customHeight="1">
      <x:c r="A249" s="2" t="str">
        <x:v>protein pasta</x:v>
      </x:c>
      <x:c r="B249" s="15" t="str">
        <x:v>protein pasta, ditalini pasta, high protein pasta, pasta shapes, shaped pasta, pasta protein, hero pasta, fun pasta, protein penne, cold pasta</x:v>
      </x:c>
      <x:c r="C249" s="10" t="n">
        <x:v>91</x:v>
      </x:c>
      <x:c r="D249" s="10" t="n">
        <x:v>170916</x:v>
      </x:c>
      <x:c r="E249" s="9" t="n">
        <x:v>0.0652</x:v>
      </x:c>
      <x:c r="F249" s="10" t="n">
        <x:v>5254066</x:v>
      </x:c>
      <x:c r="G249" s="10" t="n">
        <x:v>82269</x:v>
      </x:c>
      <x:c r="H249" s="9" t="n">
        <x:v>0.0713</x:v>
      </x:c>
      <x:c r="I249" s="9" t="n">
        <x:v>0.4813</x:v>
      </x:c>
      <x:c r="J249" s="9" t="n">
        <x:v>0.2498</x:v>
      </x:c>
      <x:c r="K249" s="9" t="n">
        <x:v>0.1202</x:v>
      </x:c>
      <x:c r="L249" s="10" t="n">
        <x:v>20552</x:v>
      </x:c>
      <x:c r="M249" s="10" t="n">
        <x:v>59722</x:v>
      </x:c>
      <x:c r="N249" s="9" t="n">
        <x:v>0.0597</x:v>
      </x:c>
      <x:c r="O249" s="10" t="n">
        <x:v>49847</x:v>
      </x:c>
      <x:c r="P249" s="10" t="n">
        <x:v>19530</x:v>
      </x:c>
      <x:c r="Q249" s="9" t="n">
        <x:v>0.8346</x:v>
      </x:c>
      <x:c r="R249" s="9" t="n">
        <x:v>0.3917</x:v>
      </x:c>
      <x:c r="S249" s="9" t="n">
        <x:v>0.327</x:v>
      </x:c>
    </x:row>
    <x:row r="250" ht="71" customHeight="1">
      <x:c r="A250" s="2" t="str">
        <x:v>my mini baby</x:v>
      </x:c>
      <x:c r="B250" s="15" t="str">
        <x:v>my mini baby, mini baby, mini babies, my baby, my mini babies, my little baby, my mini baby disney, baby surprise ball, mini babys, pregnant dolls</x:v>
      </x:c>
      <x:c r="C250" s="10" t="n">
        <x:v>62</x:v>
      </x:c>
      <x:c r="D250" s="10" t="n">
        <x:v>170809</x:v>
      </x:c>
      <x:c r="E250" s="9" t="n">
        <x:v>0.0701</x:v>
      </x:c>
      <x:c r="F250" s="10" t="n">
        <x:v>3385685</x:v>
      </x:c>
      <x:c r="G250" s="10" t="n">
        <x:v>99908</x:v>
      </x:c>
      <x:c r="H250" s="9" t="n">
        <x:v>0.0595</x:v>
      </x:c>
      <x:c r="I250" s="9" t="n">
        <x:v>0.5849</x:v>
      </x:c>
      <x:c r="J250" s="9" t="n">
        <x:v>0.048</x:v>
      </x:c>
      <x:c r="K250" s="9" t="n">
        <x:v>0.028</x:v>
      </x:c>
      <x:c r="L250" s="10" t="n">
        <x:v>4798</x:v>
      </x:c>
      <x:c r="M250" s="10" t="n">
        <x:v>31143</x:v>
      </x:c>
      <x:c r="N250" s="9" t="n">
        <x:v>0.0565</x:v>
      </x:c>
      <x:c r="O250" s="10" t="n">
        <x:v>26364</x:v>
      </x:c>
      <x:c r="P250" s="10" t="n">
        <x:v>4107</x:v>
      </x:c>
      <x:c r="Q250" s="9" t="n">
        <x:v>0.8465</x:v>
      </x:c>
      <x:c r="R250" s="9" t="n">
        <x:v>0.1557</x:v>
      </x:c>
      <x:c r="S250" s="9" t="n">
        <x:v>0.1318</x:v>
      </x:c>
    </x:row>
    <x:row r="251" ht="55" customHeight="1">
      <x:c r="A251" s="2" t="str">
        <x:v>beer</x:v>
      </x:c>
      <x:c r="B251" s="15" t="str">
        <x:v>beer, beers, cans of beer, beer brands, beer can, beer cans, beer sale, cheap beer, beer case, case of beer</x:v>
      </x:c>
      <x:c r="C251" s="10" t="n">
        <x:v>24</x:v>
      </x:c>
      <x:c r="D251" s="10" t="n">
        <x:v>170727</x:v>
      </x:c>
      <x:c r="E251" s="9" t="n">
        <x:v>0.0509</x:v>
      </x:c>
      <x:c r="F251" s="10" t="n">
        <x:v>2611397</x:v>
      </x:c>
      <x:c r="G251" s="10" t="n">
        <x:v>28491</x:v>
      </x:c>
      <x:c r="H251" s="9" t="n">
        <x:v>0.0725</x:v>
      </x:c>
      <x:c r="I251" s="9" t="n">
        <x:v>0.1668</x:v>
      </x:c>
      <x:c r="J251" s="9" t="n">
        <x:v>0.2076</x:v>
      </x:c>
      <x:c r="K251" s="9" t="n">
        <x:v>0.0346</x:v>
      </x:c>
      <x:c r="L251" s="10" t="n">
        <x:v>5916</x:v>
      </x:c>
      <x:c r="M251" s="10" t="n">
        <x:v>28791</x:v>
      </x:c>
      <x:c r="N251" s="9" t="n">
        <x:v>0.0626</x:v>
      </x:c>
      <x:c r="O251" s="10" t="n">
        <x:v>14498</x:v>
      </x:c>
      <x:c r="P251" s="10" t="n">
        <x:v>4621</x:v>
      </x:c>
      <x:c r="Q251" s="9" t="n">
        <x:v>0.5035</x:v>
      </x:c>
      <x:c r="R251" s="9" t="n">
        <x:v>0.3187</x:v>
      </x:c>
      <x:c r="S251" s="9" t="n">
        <x:v>0.1605</x:v>
      </x:c>
    </x:row>
    <x:row r="252" ht="90" customHeight="1">
      <x:c r="A252" s="2" t="str">
        <x:v>brown skirt</x:v>
      </x:c>
      <x:c r="B252" s="15" t="str">
        <x:v>brown skirt, brown skirt woman, brown skort, brown skirt women, brown high waisted skirt, brown skort women, brown bodycon skirt, falda color cafe, brown short skirt woman, brown skirt woman short</x:v>
      </x:c>
      <x:c r="C252" s="10" t="n">
        <x:v>42</x:v>
      </x:c>
      <x:c r="D252" s="10" t="n">
        <x:v>170544</x:v>
      </x:c>
      <x:c r="E252" s="9" t="n">
        <x:v>0.6496</x:v>
      </x:c>
      <x:c r="F252" s="10" t="n">
        <x:v>3734316</x:v>
      </x:c>
      <x:c r="G252" s="10" t="n">
        <x:v>46289</x:v>
      </x:c>
      <x:c r="H252" s="9" t="n">
        <x:v>0.7481</x:v>
      </x:c>
      <x:c r="I252" s="9" t="n">
        <x:v>0.2714</x:v>
      </x:c>
      <x:c r="J252" s="9" t="n">
        <x:v>0.0194</x:v>
      </x:c>
      <x:c r="K252" s="9" t="n">
        <x:v>0.0052</x:v>
      </x:c>
      <x:c r="L252" s="10" t="n">
        <x:v>899</x:v>
      </x:c>
      <x:c r="M252" s="10" t="n">
        <x:v>22213</x:v>
      </x:c>
      <x:c r="N252" s="9" t="n">
        <x:v>0.7249</x:v>
      </x:c>
      <x:c r="O252" s="10" t="n">
        <x:v>18223</x:v>
      </x:c>
      <x:c r="P252" s="10" t="n">
        <x:v>2185</x:v>
      </x:c>
      <x:c r="Q252" s="9" t="n">
        <x:v>0.8203</x:v>
      </x:c>
      <x:c r="R252" s="9" t="n">
        <x:v>0.1199</x:v>
      </x:c>
      <x:c r="S252" s="9" t="n">
        <x:v>0.0983</x:v>
      </x:c>
    </x:row>
    <x:row r="253" ht="71" customHeight="1">
      <x:c r="A253" s="2" t="str">
        <x:v>wine</x:v>
      </x:c>
      <x:c r="B253" s="15" t="str">
        <x:v>wine, wines, fine wine, meiomi red wine, duckhorn cabernet sauvignon, dark wine, napa valley red wine, jordan wine, case of red wine, emmolo wine</x:v>
      </x:c>
      <x:c r="C253" s="10" t="n">
        <x:v>20</x:v>
      </x:c>
      <x:c r="D253" s="10" t="n">
        <x:v>170294</x:v>
      </x:c>
      <x:c r="E253" s="9" t="n">
        <x:v>0.4671</x:v>
      </x:c>
      <x:c r="F253" s="10" t="n">
        <x:v>1952830</x:v>
      </x:c>
      <x:c r="G253" s="10" t="n">
        <x:v>29495</x:v>
      </x:c>
      <x:c r="H253" s="9" t="n">
        <x:v>0.4675</x:v>
      </x:c>
      <x:c r="I253" s="9" t="n">
        <x:v>0.1732</x:v>
      </x:c>
      <x:c r="J253" s="9" t="n">
        <x:v>0.1612</x:v>
      </x:c>
      <x:c r="K253" s="9" t="n">
        <x:v>0.0279</x:v>
      </x:c>
      <x:c r="L253" s="10" t="n">
        <x:v>4756</x:v>
      </x:c>
      <x:c r="M253" s="10" t="n">
        <x:v>26752</x:v>
      </x:c>
      <x:c r="N253" s="9" t="n">
        <x:v>0.4332</x:v>
      </x:c>
      <x:c r="O253" s="10" t="n">
        <x:v>11050</x:v>
      </x:c>
      <x:c r="P253" s="10" t="n">
        <x:v>3090</x:v>
      </x:c>
      <x:c r="Q253" s="9" t="n">
        <x:v>0.413</x:v>
      </x:c>
      <x:c r="R253" s="9" t="n">
        <x:v>0.2796</x:v>
      </x:c>
      <x:c r="S253" s="9" t="n">
        <x:v>0.1155</x:v>
      </x:c>
    </x:row>
    <x:row r="254" ht="128" customHeight="1">
      <x:c r="A254" s="2" t="str">
        <x:v>petite dresses for women 5 ft</x:v>
      </x:c>
      <x:c r="B254" s="15" t="str">
        <x:v>petite dresses for women 5 ft, petite fall dresses for women 5 ft, petite sizing dresses women 5 ft, petite summer dresses for women 5 ft, fall petite dresses for women 5 ft, dresses for petite women 5 ft, petite midi dresses for women 5 ft, petite sundresses for women 5 ft, petite dresses for women 5 ft wedding guest fall, petite size dresses for women 5 ft</x:v>
      </x:c>
      <x:c r="C254" s="10" t="n">
        <x:v>125</x:v>
      </x:c>
      <x:c r="D254" s="10" t="n">
        <x:v>170223</x:v>
      </x:c>
      <x:c r="E254" s="9" t="str">
        <x:v>'-0.0305</x:v>
      </x:c>
      <x:c r="F254" s="10" t="n">
        <x:v>6397979</x:v>
      </x:c>
      <x:c r="G254" s="10" t="n">
        <x:v>48688</x:v>
      </x:c>
      <x:c r="H254" s="9" t="str">
        <x:v>'-0.0288</x:v>
      </x:c>
      <x:c r="I254" s="9" t="n">
        <x:v>0.286</x:v>
      </x:c>
      <x:c r="J254" s="9" t="n">
        <x:v>0.0051</x:v>
      </x:c>
      <x:c r="K254" s="9" t="n">
        <x:v>0.0014</x:v>
      </x:c>
      <x:c r="L254" s="10" t="n">
        <x:v>252</x:v>
      </x:c>
      <x:c r="M254" s="10" t="n">
        <x:v>29957</x:v>
      </x:c>
      <x:c r="N254" s="9" t="str">
        <x:v>'-0.0542</x:v>
      </x:c>
      <x:c r="O254" s="10" t="n">
        <x:v>24300</x:v>
      </x:c>
      <x:c r="P254" s="10" t="n">
        <x:v>2169</x:v>
      </x:c>
      <x:c r="Q254" s="9" t="n">
        <x:v>0.8111</x:v>
      </x:c>
      <x:c r="R254" s="9" t="n">
        <x:v>0.0892</x:v>
      </x:c>
      <x:c r="S254" s="9" t="n">
        <x:v>0.0724</x:v>
      </x:c>
    </x:row>
    <x:row r="255" ht="109" customHeight="1">
      <x:c r="A255" s="2" t="str">
        <x:v>compression socks for flying</x:v>
      </x:c>
      <x:c r="B255" s="15" t="str">
        <x:v>compression socks for flying, calcetas de compresión para mujer, travel compression socks, graduated compression socks, knee high compression socks, compression so ks, best airplane compression socks, compressions socks, cooling compression socks, travel socks for women airplane</x:v>
      </x:c>
      <x:c r="C255" s="10" t="n">
        <x:v>151</x:v>
      </x:c>
      <x:c r="D255" s="10" t="n">
        <x:v>169802</x:v>
      </x:c>
      <x:c r="E255" s="9" t="n">
        <x:v>0.1828</x:v>
      </x:c>
      <x:c r="F255" s="10" t="n">
        <x:v>5630237</x:v>
      </x:c>
      <x:c r="G255" s="10" t="n">
        <x:v>76452</x:v>
      </x:c>
      <x:c r="H255" s="9" t="n">
        <x:v>0.2157</x:v>
      </x:c>
      <x:c r="I255" s="9" t="n">
        <x:v>0.4502</x:v>
      </x:c>
      <x:c r="J255" s="9" t="n">
        <x:v>0.0734</x:v>
      </x:c>
      <x:c r="K255" s="9" t="n">
        <x:v>0.033</x:v>
      </x:c>
      <x:c r="L255" s="10" t="n">
        <x:v>5617</x:v>
      </x:c>
      <x:c r="M255" s="10" t="n">
        <x:v>50328</x:v>
      </x:c>
      <x:c r="N255" s="9" t="n">
        <x:v>0.1825</x:v>
      </x:c>
      <x:c r="O255" s="10" t="n">
        <x:v>39565</x:v>
      </x:c>
      <x:c r="P255" s="10" t="n">
        <x:v>12905</x:v>
      </x:c>
      <x:c r="Q255" s="9" t="n">
        <x:v>0.7861</x:v>
      </x:c>
      <x:c r="R255" s="9" t="n">
        <x:v>0.3261</x:v>
      </x:c>
      <x:c r="S255" s="9" t="n">
        <x:v>0.2564</x:v>
      </x:c>
    </x:row>
    <x:row r="256" ht="90" customHeight="1">
      <x:c r="A256" s="2" t="str">
        <x:v>wall decor for bedroom</x:v>
      </x:c>
      <x:c r="B256" s="15" t="str">
        <x:v>wall decor for bedroom, wall decor aesthetic, cute wall decor, college wall decor, cozy wall decor, bedroom wall decor aesthetic, wall decor cute, wall decor room, apartment aesthetic, room wall decor for bedroom</x:v>
      </x:c>
      <x:c r="C256" s="10" t="n">
        <x:v>40</x:v>
      </x:c>
      <x:c r="D256" s="10" t="n">
        <x:v>169727</x:v>
      </x:c>
      <x:c r="E256" s="9" t="str">
        <x:v>'-0.1763</x:v>
      </x:c>
      <x:c r="F256" s="10" t="n">
        <x:v>5582713</x:v>
      </x:c>
      <x:c r="G256" s="10" t="n">
        <x:v>44843</x:v>
      </x:c>
      <x:c r="H256" s="9" t="str">
        <x:v>'-0.1683</x:v>
      </x:c>
      <x:c r="I256" s="9" t="n">
        <x:v>0.2642</x:v>
      </x:c>
      <x:c r="J256" s="9" t="n">
        <x:v>0.0174</x:v>
      </x:c>
      <x:c r="K256" s="9" t="n">
        <x:v>0.0046</x:v>
      </x:c>
      <x:c r="L256" s="10" t="n">
        <x:v>781</x:v>
      </x:c>
      <x:c r="M256" s="10" t="n">
        <x:v>29307</x:v>
      </x:c>
      <x:c r="N256" s="9" t="str">
        <x:v>'-0.1728</x:v>
      </x:c>
      <x:c r="O256" s="10" t="n">
        <x:v>20878</x:v>
      </x:c>
      <x:c r="P256" s="10" t="n">
        <x:v>1124</x:v>
      </x:c>
      <x:c r="Q256" s="9" t="n">
        <x:v>0.7123</x:v>
      </x:c>
      <x:c r="R256" s="9" t="n">
        <x:v>0.0538</x:v>
      </x:c>
      <x:c r="S256" s="9" t="n">
        <x:v>0.0383</x:v>
      </x:c>
    </x:row>
    <x:row r="257" ht="90" customHeight="1">
      <x:c r="A257" s="2" t="str">
        <x:v>onion powder</x:v>
      </x:c>
      <x:c r="B257" s="15" t="str">
        <x:v>onion powder, organic onion powder, granulated onion, onion powder organic, granulated onion powder, onion granules, onion powder &amp; flakes, cebolla en polvo, organic onion granules, bulk onion powder</x:v>
      </x:c>
      <x:c r="C257" s="10" t="n">
        <x:v>158</x:v>
      </x:c>
      <x:c r="D257" s="10" t="n">
        <x:v>168827</x:v>
      </x:c>
      <x:c r="E257" s="9" t="n">
        <x:v>0.1322</x:v>
      </x:c>
      <x:c r="F257" s="10" t="n">
        <x:v>5404557</x:v>
      </x:c>
      <x:c r="G257" s="10" t="n">
        <x:v>106346</x:v>
      </x:c>
      <x:c r="H257" s="9" t="n">
        <x:v>0.1157</x:v>
      </x:c>
      <x:c r="I257" s="9" t="n">
        <x:v>0.6299</x:v>
      </x:c>
      <x:c r="J257" s="9" t="n">
        <x:v>0.4211</x:v>
      </x:c>
      <x:c r="K257" s="9" t="n">
        <x:v>0.2652</x:v>
      </x:c>
      <x:c r="L257" s="10" t="n">
        <x:v>44786</x:v>
      </x:c>
      <x:c r="M257" s="10" t="n">
        <x:v>90971</x:v>
      </x:c>
      <x:c r="N257" s="9" t="n">
        <x:v>0.1227</x:v>
      </x:c>
      <x:c r="O257" s="10" t="n">
        <x:v>84261</x:v>
      </x:c>
      <x:c r="P257" s="10" t="n">
        <x:v>45903</x:v>
      </x:c>
      <x:c r="Q257" s="9" t="n">
        <x:v>0.9262</x:v>
      </x:c>
      <x:c r="R257" s="9" t="n">
        <x:v>0.5447</x:v>
      </x:c>
      <x:c r="S257" s="9" t="n">
        <x:v>0.5045</x:v>
      </x:c>
    </x:row>
    <x:row r="258" ht="71" customHeight="1">
      <x:c r="A258" s="2" t="str">
        <x:v>basil</x:v>
      </x:c>
      <x:c r="B258" s="15" t="str">
        <x:v>basil, organic basil, dried basil, basil leaves, sweet basil, dried basil leaves, basil dried, basil powder, dry basil, basil leaves dry</x:v>
      </x:c>
      <x:c r="C258" s="10" t="n">
        <x:v>78</x:v>
      </x:c>
      <x:c r="D258" s="10" t="n">
        <x:v>168632</x:v>
      </x:c>
      <x:c r="E258" s="9" t="n">
        <x:v>0.0807</x:v>
      </x:c>
      <x:c r="F258" s="10" t="n">
        <x:v>3751649</x:v>
      </x:c>
      <x:c r="G258" s="10" t="n">
        <x:v>88359</x:v>
      </x:c>
      <x:c r="H258" s="9" t="str">
        <x:v>'-0.0035</x:v>
      </x:c>
      <x:c r="I258" s="9" t="n">
        <x:v>0.5239</x:v>
      </x:c>
      <x:c r="J258" s="9" t="n">
        <x:v>0.5105</x:v>
      </x:c>
      <x:c r="K258" s="9" t="n">
        <x:v>0.2674</x:v>
      </x:c>
      <x:c r="L258" s="10" t="n">
        <x:v>45108</x:v>
      </x:c>
      <x:c r="M258" s="10" t="n">
        <x:v>87087</x:v>
      </x:c>
      <x:c r="N258" s="9" t="n">
        <x:v>0.0441</x:v>
      </x:c>
      <x:c r="O258" s="10" t="n">
        <x:v>77983</x:v>
      </x:c>
      <x:c r="P258" s="10" t="n">
        <x:v>48667</x:v>
      </x:c>
      <x:c r="Q258" s="9" t="n">
        <x:v>0.8954</x:v>
      </x:c>
      <x:c r="R258" s="9" t="n">
        <x:v>0.624</x:v>
      </x:c>
      <x:c r="S258" s="9" t="n">
        <x:v>0.5588</x:v>
      </x:c>
    </x:row>
    <x:row r="259" ht="90" customHeight="1">
      <x:c r="A259" s="2" t="str">
        <x:v>red sandals for women</x:v>
      </x:c>
      <x:c r="B259" s="15" t="str">
        <x:v>red sandals for women, red sandals, womens red sandals, red sandals women, red flat sandals, sandalias rojas, red sandal, red sandals for women flat, red womens sandals, red flat sandals for women</x:v>
      </x:c>
      <x:c r="C259" s="10" t="n">
        <x:v>140</x:v>
      </x:c>
      <x:c r="D259" s="10" t="n">
        <x:v>168543</x:v>
      </x:c>
      <x:c r="E259" s="9" t="str">
        <x:v>'-0.2754</x:v>
      </x:c>
      <x:c r="F259" s="10" t="n">
        <x:v>8433387</x:v>
      </x:c>
      <x:c r="G259" s="10" t="n">
        <x:v>43053</x:v>
      </x:c>
      <x:c r="H259" s="9" t="str">
        <x:v>'-0.2937</x:v>
      </x:c>
      <x:c r="I259" s="9" t="n">
        <x:v>0.2554</x:v>
      </x:c>
      <x:c r="J259" s="9" t="n">
        <x:v>0.0126</x:v>
      </x:c>
      <x:c r="K259" s="9" t="n">
        <x:v>0.0032</x:v>
      </x:c>
      <x:c r="L259" s="10" t="n">
        <x:v>543</x:v>
      </x:c>
      <x:c r="M259" s="10" t="n">
        <x:v>33072</x:v>
      </x:c>
      <x:c r="N259" s="9" t="str">
        <x:v>'-0.2674</x:v>
      </x:c>
      <x:c r="O259" s="10" t="n">
        <x:v>26524</x:v>
      </x:c>
      <x:c r="P259" s="10" t="n">
        <x:v>3323</x:v>
      </x:c>
      <x:c r="Q259" s="9" t="n">
        <x:v>0.802</x:v>
      </x:c>
      <x:c r="R259" s="9" t="n">
        <x:v>0.1252</x:v>
      </x:c>
      <x:c r="S259" s="9" t="n">
        <x:v>0.1004</x:v>
      </x:c>
    </x:row>
    <x:row r="260" ht="128" customHeight="1">
      <x:c r="A260" s="2" t="str">
        <x:v>halloween sweaters for women</x:v>
      </x:c>
      <x:c r="B260" s="15" t="str">
        <x:v>halloween sweaters for women, halloween sweatshirts for women, halloween sweatshirts for women 2026, halloween sweater women, halloween sweatshirt women, halloween sweaters for women 2026, halloween sweater for women, ghost sweater women, halloween womens sweatshirt, cute halloween sweaters for women</x:v>
      </x:c>
      <x:c r="C260" s="10" t="n">
        <x:v>30</x:v>
      </x:c>
      <x:c r="D260" s="10" t="n">
        <x:v>168152</x:v>
      </x:c>
      <x:c r="E260" s="9" t="n">
        <x:v>1.9793</x:v>
      </x:c>
      <x:c r="F260" s="10" t="n">
        <x:v>2716348</x:v>
      </x:c>
      <x:c r="G260" s="10" t="n">
        <x:v>52137</x:v>
      </x:c>
      <x:c r="H260" s="9" t="n">
        <x:v>1.927</x:v>
      </x:c>
      <x:c r="I260" s="9" t="n">
        <x:v>0.31</x:v>
      </x:c>
      <x:c r="J260" s="9" t="n">
        <x:v>0.0175</x:v>
      </x:c>
      <x:c r="K260" s="9" t="n">
        <x:v>0.0054</x:v>
      </x:c>
      <x:c r="L260" s="10" t="n">
        <x:v>914</x:v>
      </x:c>
      <x:c r="M260" s="10" t="n">
        <x:v>12651</x:v>
      </x:c>
      <x:c r="N260" s="9" t="n">
        <x:v>1.8433</x:v>
      </x:c>
      <x:c r="O260" s="10" t="n">
        <x:v>10498</x:v>
      </x:c>
      <x:c r="P260" s="10" t="n">
        <x:v>978</x:v>
      </x:c>
      <x:c r="Q260" s="9" t="n">
        <x:v>0.8298</x:v>
      </x:c>
      <x:c r="R260" s="9" t="n">
        <x:v>0.0931</x:v>
      </x:c>
      <x:c r="S260" s="9" t="n">
        <x:v>0.0773</x:v>
      </x:c>
    </x:row>
    <x:row r="261" ht="90" customHeight="1">
      <x:c r="A261" s="2" t="str">
        <x:v>starter</x:v>
      </x:c>
      <x:c r="B261" s="15" t="str">
        <x:v>starter, starter motor, motor de arranque, automotive replacement starter starters, motor de arranque para carro, starter starter, starter motor replacement, starters, car starter motor, stater</x:v>
      </x:c>
      <x:c r="C261" s="10" t="n">
        <x:v>132</x:v>
      </x:c>
      <x:c r="D261" s="10" t="n">
        <x:v>168084</x:v>
      </x:c>
      <x:c r="E261" s="9" t="n">
        <x:v>0.0621</x:v>
      </x:c>
      <x:c r="F261" s="10" t="n">
        <x:v>3406420</x:v>
      </x:c>
      <x:c r="G261" s="10" t="n">
        <x:v>52711</x:v>
      </x:c>
      <x:c r="H261" s="9" t="n">
        <x:v>0.0987</x:v>
      </x:c>
      <x:c r="I261" s="9" t="n">
        <x:v>0.3135</x:v>
      </x:c>
      <x:c r="J261" s="9" t="n">
        <x:v>0.1011</x:v>
      </x:c>
      <x:c r="K261" s="9" t="n">
        <x:v>0.0317</x:v>
      </x:c>
      <x:c r="L261" s="10" t="n">
        <x:v>5330</x:v>
      </x:c>
      <x:c r="M261" s="10" t="n">
        <x:v>29632</x:v>
      </x:c>
      <x:c r="N261" s="9" t="n">
        <x:v>0.044</x:v>
      </x:c>
      <x:c r="O261" s="10" t="n">
        <x:v>20406</x:v>
      </x:c>
      <x:c r="P261" s="10" t="n">
        <x:v>4998</x:v>
      </x:c>
      <x:c r="Q261" s="9" t="n">
        <x:v>0.6886</x:v>
      </x:c>
      <x:c r="R261" s="9" t="n">
        <x:v>0.2449</x:v>
      </x:c>
      <x:c r="S261" s="9" t="n">
        <x:v>0.1686</x:v>
      </x:c>
    </x:row>
    <x:row r="262" ht="71" customHeight="1">
      <x:c r="A262" s="2" t="str">
        <x:v>cute keychain</x:v>
      </x:c>
      <x:c r="B262" s="15" t="str">
        <x:v>cute keychain, cute keychains, cat keychain, keychains cute, bookbag charms, llaveros para mochilas, matching keychain, cat keychains, keychain cat, cute cat keychain</x:v>
      </x:c>
      <x:c r="C262" s="10" t="n">
        <x:v>95</x:v>
      </x:c>
      <x:c r="D262" s="10" t="n">
        <x:v>168075</x:v>
      </x:c>
      <x:c r="E262" s="9" t="str">
        <x:v>'-0.3003</x:v>
      </x:c>
      <x:c r="F262" s="10" t="n">
        <x:v>4955420</x:v>
      </x:c>
      <x:c r="G262" s="10" t="n">
        <x:v>49125</x:v>
      </x:c>
      <x:c r="H262" s="9" t="str">
        <x:v>'-0.304</x:v>
      </x:c>
      <x:c r="I262" s="9" t="n">
        <x:v>0.2922</x:v>
      </x:c>
      <x:c r="J262" s="9" t="n">
        <x:v>0.0353</x:v>
      </x:c>
      <x:c r="K262" s="9" t="n">
        <x:v>0.0103</x:v>
      </x:c>
      <x:c r="L262" s="10" t="n">
        <x:v>1735</x:v>
      </x:c>
      <x:c r="M262" s="10" t="n">
        <x:v>29159</x:v>
      </x:c>
      <x:c r="N262" s="9" t="str">
        <x:v>'-0.2889</x:v>
      </x:c>
      <x:c r="O262" s="10" t="n">
        <x:v>21145</x:v>
      </x:c>
      <x:c r="P262" s="10" t="n">
        <x:v>2803</x:v>
      </x:c>
      <x:c r="Q262" s="9" t="n">
        <x:v>0.7251</x:v>
      </x:c>
      <x:c r="R262" s="9" t="n">
        <x:v>0.1325</x:v>
      </x:c>
      <x:c r="S262" s="9" t="n">
        <x:v>0.0961</x:v>
      </x:c>
    </x:row>
    <x:row r="263" ht="128" customHeight="1">
      <x:c r="A263" s="2" t="str">
        <x:v>ascended heroes pokemon</x:v>
      </x:c>
      <x:c r="B263" s="15" t="str">
        <x:v>ascended heroes pokemon, pokemon ascended heroes, pokemon cards ascended heroes, pokemon ascended heroes booster box, ascending heroes pokemon, ascended heros pokemon, ascended heroes pokemon booster box, pokemon booster box ascended heroes, ascended heroes pokemon cards, pokemon ascended heroes booster bundle</x:v>
      </x:c>
      <x:c r="C263" s="10" t="n">
        <x:v>80</x:v>
      </x:c>
      <x:c r="D263" s="10" t="n">
        <x:v>167899</x:v>
      </x:c>
      <x:c r="E263" s="9" t="str">
        <x:v>'-0.0158</x:v>
      </x:c>
      <x:c r="F263" s="10" t="n">
        <x:v>3646471</x:v>
      </x:c>
      <x:c r="G263" s="10" t="n">
        <x:v>69209</x:v>
      </x:c>
      <x:c r="H263" s="9" t="str">
        <x:v>'-0.0235</x:v>
      </x:c>
      <x:c r="I263" s="9" t="n">
        <x:v>0.4122</x:v>
      </x:c>
      <x:c r="J263" s="9" t="n">
        <x:v>0.0363</x:v>
      </x:c>
      <x:c r="K263" s="9" t="n">
        <x:v>0.0149</x:v>
      </x:c>
      <x:c r="L263" s="10" t="n">
        <x:v>2518</x:v>
      </x:c>
      <x:c r="M263" s="10" t="n">
        <x:v>36798</x:v>
      </x:c>
      <x:c r="N263" s="9" t="str">
        <x:v>'-0.0573</x:v>
      </x:c>
      <x:c r="O263" s="10" t="n">
        <x:v>25684</x:v>
      </x:c>
      <x:c r="P263" s="10" t="n">
        <x:v>2365</x:v>
      </x:c>
      <x:c r="Q263" s="9" t="n">
        <x:v>0.6979</x:v>
      </x:c>
      <x:c r="R263" s="9" t="n">
        <x:v>0.092</x:v>
      </x:c>
      <x:c r="S263" s="9" t="n">
        <x:v>0.0642</x:v>
      </x:c>
    </x:row>
    <x:row r="264" ht="109" customHeight="1">
      <x:c r="A264" s="2" t="str">
        <x:v>scary halloween costumes</x:v>
      </x:c>
      <x:c r="B264" s="15" t="str">
        <x:v>scary halloween costumes, scary costumes, scary halloween costume, horror halloween costumes, creepy costume, scary costumes for halloween, creepy halloween costume, halloween vampire, scary halloween costume costumes, scary womens halloween costumes</x:v>
      </x:c>
      <x:c r="C264" s="10" t="n">
        <x:v>36</x:v>
      </x:c>
      <x:c r="D264" s="10" t="n">
        <x:v>167688</x:v>
      </x:c>
      <x:c r="E264" s="9" t="n">
        <x:v>1.9817</x:v>
      </x:c>
      <x:c r="F264" s="10" t="n">
        <x:v>1318770</x:v>
      </x:c>
      <x:c r="G264" s="10" t="n">
        <x:v>44777</x:v>
      </x:c>
      <x:c r="H264" s="9" t="n">
        <x:v>1.9809</x:v>
      </x:c>
      <x:c r="I264" s="9" t="n">
        <x:v>0.267</x:v>
      </x:c>
      <x:c r="J264" s="9" t="n">
        <x:v>0.0046</x:v>
      </x:c>
      <x:c r="K264" s="9" t="n">
        <x:v>0.0012</x:v>
      </x:c>
      <x:c r="L264" s="10" t="n">
        <x:v>210</x:v>
      </x:c>
      <x:c r="M264" s="10" t="n">
        <x:v>6500</x:v>
      </x:c>
      <x:c r="N264" s="9" t="n">
        <x:v>1.9187</x:v>
      </x:c>
      <x:c r="O264" s="10" t="n">
        <x:v>4629</x:v>
      </x:c>
      <x:c r="P264" s="10" t="n">
        <x:v>103</x:v>
      </x:c>
      <x:c r="Q264" s="9" t="n">
        <x:v>0.7121</x:v>
      </x:c>
      <x:c r="R264" s="9" t="n">
        <x:v>0.0222</x:v>
      </x:c>
      <x:c r="S264" s="9" t="n">
        <x:v>0.0158</x:v>
      </x:c>
    </x:row>
    <x:row r="265" ht="147" customHeight="1">
      <x:c r="A265" s="2" t="str">
        <x:v>bacteriostatic water for injection</x:v>
      </x:c>
      <x:c r="B265" s="15" t="str">
        <x:v>bacteriostatic water for injection, bacteriostatic water for peptides, reconstitution solution bacteriostatic water, bacteriostatic water for injection peptides, reconstitution solution for peptides, peptide reconstitution solution, sterile bacteriostatic water, reconstitution water for peptides, hospira bacteriostatic water, bacteriostatic water reconstitution</x:v>
      </x:c>
      <x:c r="C265" s="10" t="n">
        <x:v>118</x:v>
      </x:c>
      <x:c r="D265" s="10" t="n">
        <x:v>167443</x:v>
      </x:c>
      <x:c r="E265" s="9" t="str">
        <x:v>'-0.0643</x:v>
      </x:c>
      <x:c r="F265" s="10" t="n">
        <x:v>3268008</x:v>
      </x:c>
      <x:c r="G265" s="10" t="n">
        <x:v>51627</x:v>
      </x:c>
      <x:c r="H265" s="9" t="str">
        <x:v>'-0.091</x:v>
      </x:c>
      <x:c r="I265" s="9" t="n">
        <x:v>0.3083</x:v>
      </x:c>
      <x:c r="J265" s="9" t="n">
        <x:v>0.0698</x:v>
      </x:c>
      <x:c r="K265" s="9" t="n">
        <x:v>0.0215</x:v>
      </x:c>
      <x:c r="L265" s="10" t="n">
        <x:v>3605</x:v>
      </x:c>
      <x:c r="M265" s="10" t="n">
        <x:v>46063</x:v>
      </x:c>
      <x:c r="N265" s="9" t="str">
        <x:v>'-0.0905</x:v>
      </x:c>
      <x:c r="O265" s="10" t="n">
        <x:v>28348</x:v>
      </x:c>
      <x:c r="P265" s="10" t="n">
        <x:v>4058</x:v>
      </x:c>
      <x:c r="Q265" s="9" t="n">
        <x:v>0.6154</x:v>
      </x:c>
      <x:c r="R265" s="9" t="n">
        <x:v>0.1431</x:v>
      </x:c>
      <x:c r="S265" s="9" t="n">
        <x:v>0.088</x:v>
      </x:c>
    </x:row>
    <x:row r="266" ht="147" customHeight="1">
      <x:c r="A266" s="2" t="str">
        <x:v>biblia reina valera 1960 letra grande</x:v>
      </x:c>
      <x:c r="B266" s="15" t="str">
        <x:v>biblia reina valera 1960 letra grande, biblia reina valera 1960, biblias reina valera 1960, reina valera 1960 letra grande, biblia arcoiris reina valera 1960 letra grande, biblia reina valera 1960 para mujer, biblia reina valera 1960 letra gigante, reina valera 1960, santa biblia reina valera 1960 letra grande, biblia reina valera 1960 letra grande para mujer</x:v>
      </x:c>
      <x:c r="C266" s="10" t="n">
        <x:v>106</x:v>
      </x:c>
      <x:c r="D266" s="10" t="n">
        <x:v>166710</x:v>
      </x:c>
      <x:c r="E266" s="9" t="n">
        <x:v>0.0045</x:v>
      </x:c>
      <x:c r="F266" s="10" t="n">
        <x:v>4224834</x:v>
      </x:c>
      <x:c r="G266" s="10" t="n">
        <x:v>81662</x:v>
      </x:c>
      <x:c r="H266" s="9" t="n">
        <x:v>0.0185</x:v>
      </x:c>
      <x:c r="I266" s="9" t="n">
        <x:v>0.4898</x:v>
      </x:c>
      <x:c r="J266" s="9" t="n">
        <x:v>0.0491</x:v>
      </x:c>
      <x:c r="K266" s="9" t="n">
        <x:v>0.024</x:v>
      </x:c>
      <x:c r="L266" s="10" t="n">
        <x:v>4016</x:v>
      </x:c>
      <x:c r="M266" s="10" t="n">
        <x:v>24693</x:v>
      </x:c>
      <x:c r="N266" s="9" t="str">
        <x:v>'-0.0091</x:v>
      </x:c>
      <x:c r="O266" s="10" t="n">
        <x:v>21767</x:v>
      </x:c>
      <x:c r="P266" s="10" t="n">
        <x:v>3827</x:v>
      </x:c>
      <x:c r="Q266" s="9" t="n">
        <x:v>0.8815</x:v>
      </x:c>
      <x:c r="R266" s="9" t="n">
        <x:v>0.1758</x:v>
      </x:c>
      <x:c r="S266" s="9" t="n">
        <x:v>0.1549</x:v>
      </x:c>
    </x:row>
    <x:row r="267" ht="71" customHeight="1">
      <x:c r="A267" s="2" t="str">
        <x:v>pork</x:v>
      </x:c>
      <x:c r="B267" s="15" t="str">
        <x:v>pork, pork shoulder, pork roast, pork shoulder butt, canned pork, boneless pork shoulder, fresh pork, pork roast boneless, pork butt roast, canned hamburger</x:v>
      </x:c>
      <x:c r="C267" s="10" t="n">
        <x:v>105</x:v>
      </x:c>
      <x:c r="D267" s="10" t="n">
        <x:v>166300</x:v>
      </x:c>
      <x:c r="E267" s="9" t="n">
        <x:v>0.222</x:v>
      </x:c>
      <x:c r="F267" s="10" t="n">
        <x:v>2804141</x:v>
      </x:c>
      <x:c r="G267" s="10" t="n">
        <x:v>50705</x:v>
      </x:c>
      <x:c r="H267" s="9" t="n">
        <x:v>0.1289</x:v>
      </x:c>
      <x:c r="I267" s="9" t="n">
        <x:v>0.3049</x:v>
      </x:c>
      <x:c r="J267" s="9" t="n">
        <x:v>0.3003</x:v>
      </x:c>
      <x:c r="K267" s="9" t="n">
        <x:v>0.0915</x:v>
      </x:c>
      <x:c r="L267" s="10" t="n">
        <x:v>15230</x:v>
      </x:c>
      <x:c r="M267" s="10" t="n">
        <x:v>39662</x:v>
      </x:c>
      <x:c r="N267" s="9" t="n">
        <x:v>0.1852</x:v>
      </x:c>
      <x:c r="O267" s="10" t="n">
        <x:v>31078</x:v>
      </x:c>
      <x:c r="P267" s="10" t="n">
        <x:v>14041</x:v>
      </x:c>
      <x:c r="Q267" s="9" t="n">
        <x:v>0.7835</x:v>
      </x:c>
      <x:c r="R267" s="9" t="n">
        <x:v>0.4517</x:v>
      </x:c>
      <x:c r="S267" s="9" t="n">
        <x:v>0.354</x:v>
      </x:c>
    </x:row>
    <x:row r="268" ht="109" customHeight="1">
      <x:c r="A268" s="2" t="str">
        <x:v>18650 rechargeable battery</x:v>
      </x:c>
      <x:c r="B268" s="15" t="str">
        <x:v>18650 rechargeable battery, 18650 battery, 18650 battery and charger, 18650 rechargeable battery with charger, batteries 18650, 18650 lithium-ion rechargeable battery, 18650 rechargeable lithium battery, 18650 rechargeable battery usb c, rechargeable 18650 battery, 18650 lithium-ion battery</x:v>
      </x:c>
      <x:c r="C268" s="10" t="n">
        <x:v>85</x:v>
      </x:c>
      <x:c r="D268" s="10" t="n">
        <x:v>165871</x:v>
      </x:c>
      <x:c r="E268" s="9" t="n">
        <x:v>0.047</x:v>
      </x:c>
      <x:c r="F268" s="10" t="n">
        <x:v>3841300</x:v>
      </x:c>
      <x:c r="G268" s="10" t="n">
        <x:v>50824</x:v>
      </x:c>
      <x:c r="H268" s="9" t="n">
        <x:v>0.1472</x:v>
      </x:c>
      <x:c r="I268" s="9" t="n">
        <x:v>0.3064</x:v>
      </x:c>
      <x:c r="J268" s="9" t="n">
        <x:v>0.1151</x:v>
      </x:c>
      <x:c r="K268" s="9" t="n">
        <x:v>0.0352</x:v>
      </x:c>
      <x:c r="L268" s="10" t="n">
        <x:v>5854</x:v>
      </x:c>
      <x:c r="M268" s="10" t="n">
        <x:v>34868</x:v>
      </x:c>
      <x:c r="N268" s="9" t="n">
        <x:v>0.0098</x:v>
      </x:c>
      <x:c r="O268" s="10" t="n">
        <x:v>20753</x:v>
      </x:c>
      <x:c r="P268" s="10" t="n">
        <x:v>4264</x:v>
      </x:c>
      <x:c r="Q268" s="9" t="n">
        <x:v>0.5951</x:v>
      </x:c>
      <x:c r="R268" s="9" t="n">
        <x:v>0.2054</x:v>
      </x:c>
      <x:c r="S268" s="9" t="n">
        <x:v>0.1222</x:v>
      </x:c>
    </x:row>
    <x:row r="269" ht="109" customHeight="1">
      <x:c r="A269" s="2" t="str">
        <x:v>inflatable halloween costumes</x:v>
      </x:c>
      <x:c r="B269" s="15" t="str">
        <x:v>inflatable halloween costumes, blow up halloween costume, blowup costumes for adults, inflatable halloween costume, penis costume, halloween inflatable costume, inflatable costume funny, inflatable costume adult funny, costume inflatable, halloween adult costumes</x:v>
      </x:c>
      <x:c r="C269" s="10" t="n">
        <x:v>155</x:v>
      </x:c>
      <x:c r="D269" s="10" t="n">
        <x:v>165856</x:v>
      </x:c>
      <x:c r="E269" s="9" t="n">
        <x:v>1.6232</x:v>
      </x:c>
      <x:c r="F269" s="10" t="n">
        <x:v>1980696</x:v>
      </x:c>
      <x:c r="G269" s="10" t="n">
        <x:v>44455</x:v>
      </x:c>
      <x:c r="H269" s="9" t="n">
        <x:v>1.6551</x:v>
      </x:c>
      <x:c r="I269" s="9" t="n">
        <x:v>0.268</x:v>
      </x:c>
      <x:c r="J269" s="9" t="n">
        <x:v>0.0098</x:v>
      </x:c>
      <x:c r="K269" s="9" t="n">
        <x:v>0.0026</x:v>
      </x:c>
      <x:c r="L269" s="10" t="n">
        <x:v>437</x:v>
      </x:c>
      <x:c r="M269" s="10" t="n">
        <x:v>10670</x:v>
      </x:c>
      <x:c r="N269" s="9" t="n">
        <x:v>1.6044</x:v>
      </x:c>
      <x:c r="O269" s="10" t="n">
        <x:v>7090</x:v>
      </x:c>
      <x:c r="P269" s="10" t="n">
        <x:v>276</x:v>
      </x:c>
      <x:c r="Q269" s="9" t="n">
        <x:v>0.6644</x:v>
      </x:c>
      <x:c r="R269" s="9" t="n">
        <x:v>0.0389</x:v>
      </x:c>
      <x:c r="S269" s="9" t="n">
        <x:v>0.0258</x:v>
      </x:c>
    </x:row>
    <x:row r="270" ht="109" customHeight="1">
      <x:c r="A270" s="2" t="str">
        <x:v>pink homecoming dress</x:v>
      </x:c>
      <x:c r="B270" s="15" t="str">
        <x:v>pink homecoming dress, hot pink homecoming dress, hot pink hoco dress, pink homecoming dresses, homecoming dress pink, pink dress with bow, hot pink homecoming dresses, pink dress homecoming, short pink homecoming dresses, homecoming dresses hot pink</x:v>
      </x:c>
      <x:c r="C270" s="10" t="n">
        <x:v>93</x:v>
      </x:c>
      <x:c r="D270" s="10" t="n">
        <x:v>165795</x:v>
      </x:c>
      <x:c r="E270" s="9" t="n">
        <x:v>2.97</x:v>
      </x:c>
      <x:c r="F270" s="10" t="n">
        <x:v>1374213</x:v>
      </x:c>
      <x:c r="G270" s="10" t="n">
        <x:v>51394</x:v>
      </x:c>
      <x:c r="H270" s="9" t="n">
        <x:v>3.1121</x:v>
      </x:c>
      <x:c r="I270" s="9" t="n">
        <x:v>0.3099</x:v>
      </x:c>
      <x:c r="J270" s="9" t="n">
        <x:v>0.0042</x:v>
      </x:c>
      <x:c r="K270" s="9" t="n">
        <x:v>0.0013</x:v>
      </x:c>
      <x:c r="L270" s="10" t="n">
        <x:v>216</x:v>
      </x:c>
      <x:c r="M270" s="10" t="n">
        <x:v>5778</x:v>
      </x:c>
      <x:c r="N270" s="9" t="n">
        <x:v>2.3874</x:v>
      </x:c>
      <x:c r="O270" s="10" t="n">
        <x:v>4609</x:v>
      </x:c>
      <x:c r="P270" s="10" t="n">
        <x:v>197</x:v>
      </x:c>
      <x:c r="Q270" s="9" t="n">
        <x:v>0.7976</x:v>
      </x:c>
      <x:c r="R270" s="9" t="n">
        <x:v>0.0427</x:v>
      </x:c>
      <x:c r="S270" s="9" t="n">
        <x:v>0.034</x:v>
      </x:c>
    </x:row>
    <x:row r="271" ht="109" customHeight="1">
      <x:c r="A271" s="2" t="str">
        <x:v>halloween solar lights</x:v>
      </x:c>
      <x:c r="B271" s="15" t="str">
        <x:v>halloween solar lights, solar halloween lights, solar halloween lights outdoor, halloween lights solar, halloween outdoor solar lights, solar lights halloween, solar lights outdoor halloween, outdoor halloween solar lights, outdoor solar halloween lights, halloween outdoor lights solar</x:v>
      </x:c>
      <x:c r="C271" s="10" t="n">
        <x:v>128</x:v>
      </x:c>
      <x:c r="D271" s="10" t="n">
        <x:v>165245</x:v>
      </x:c>
      <x:c r="E271" s="9" t="n">
        <x:v>1.5905</x:v>
      </x:c>
      <x:c r="F271" s="10" t="n">
        <x:v>2858139</x:v>
      </x:c>
      <x:c r="G271" s="10" t="n">
        <x:v>74343</x:v>
      </x:c>
      <x:c r="H271" s="9" t="n">
        <x:v>1.712</x:v>
      </x:c>
      <x:c r="I271" s="9" t="n">
        <x:v>0.4498</x:v>
      </x:c>
      <x:c r="J271" s="9" t="n">
        <x:v>0.0601</x:v>
      </x:c>
      <x:c r="K271" s="9" t="n">
        <x:v>0.027</x:v>
      </x:c>
      <x:c r="L271" s="10" t="n">
        <x:v>4471</x:v>
      </x:c>
      <x:c r="M271" s="10" t="n">
        <x:v>17731</x:v>
      </x:c>
      <x:c r="N271" s="9" t="n">
        <x:v>1.4623</x:v>
      </x:c>
      <x:c r="O271" s="10" t="n">
        <x:v>14807</x:v>
      </x:c>
      <x:c r="P271" s="10" t="n">
        <x:v>1847</x:v>
      </x:c>
      <x:c r="Q271" s="9" t="n">
        <x:v>0.835</x:v>
      </x:c>
      <x:c r="R271" s="9" t="n">
        <x:v>0.1247</x:v>
      </x:c>
      <x:c r="S271" s="9" t="n">
        <x:v>0.1041</x:v>
      </x:c>
    </x:row>
    <x:row r="272" ht="71" customHeight="1">
      <x:c r="A272" s="2" t="str">
        <x:v>raspberries</x:v>
      </x:c>
      <x:c r="B272" s="15" t="str">
        <x:v>raspberries, organic raspberries, raspberry, raspberries fresh, raspberries organic fresh, rasberries, rasberry, fresh raspberries, raspberries organic, organic raspberries fresh</x:v>
      </x:c>
      <x:c r="C272" s="10" t="n">
        <x:v>27</x:v>
      </x:c>
      <x:c r="D272" s="10" t="n">
        <x:v>164555</x:v>
      </x:c>
      <x:c r="E272" s="9" t="n">
        <x:v>0.0236</x:v>
      </x:c>
      <x:c r="F272" s="10" t="n">
        <x:v>4098021</x:v>
      </x:c>
      <x:c r="G272" s="10" t="n">
        <x:v>96893</x:v>
      </x:c>
      <x:c r="H272" s="9" t="n">
        <x:v>0.0107</x:v>
      </x:c>
      <x:c r="I272" s="9" t="n">
        <x:v>0.5888</x:v>
      </x:c>
      <x:c r="J272" s="9" t="n">
        <x:v>0.4828</x:v>
      </x:c>
      <x:c r="K272" s="9" t="n">
        <x:v>0.2842</x:v>
      </x:c>
      <x:c r="L272" s="10" t="n">
        <x:v>46780</x:v>
      </x:c>
      <x:c r="M272" s="10" t="n">
        <x:v>85455</x:v>
      </x:c>
      <x:c r="N272" s="9" t="n">
        <x:v>0.0281</x:v>
      </x:c>
      <x:c r="O272" s="10" t="n">
        <x:v>77466</x:v>
      </x:c>
      <x:c r="P272" s="10" t="n">
        <x:v>43983</x:v>
      </x:c>
      <x:c r="Q272" s="9" t="n">
        <x:v>0.9065</x:v>
      </x:c>
      <x:c r="R272" s="9" t="n">
        <x:v>0.5677</x:v>
      </x:c>
      <x:c r="S272" s="9" t="n">
        <x:v>0.5146</x:v>
      </x:c>
    </x:row>
    <x:row r="273" ht="90" customHeight="1">
      <x:c r="A273" s="2" t="str">
        <x:v>burgundy heels</x:v>
      </x:c>
      <x:c r="B273" s="15" t="str">
        <x:v>burgundy heels, burgundy heels for women, burgundy pumps, burgundy heel, burgundy slingback heels, burgundy heels closed toe, burgundy kitten heel, womens burgundy heels, kitten heels burgundy, burgundy low heels</x:v>
      </x:c>
      <x:c r="C273" s="10" t="n">
        <x:v>99</x:v>
      </x:c>
      <x:c r="D273" s="10" t="n">
        <x:v>164524</x:v>
      </x:c>
      <x:c r="E273" s="9" t="n">
        <x:v>0.8364</x:v>
      </x:c>
      <x:c r="F273" s="10" t="n">
        <x:v>3644502</x:v>
      </x:c>
      <x:c r="G273" s="10" t="n">
        <x:v>39010</x:v>
      </x:c>
      <x:c r="H273" s="9" t="n">
        <x:v>0.8138</x:v>
      </x:c>
      <x:c r="I273" s="9" t="n">
        <x:v>0.2371</x:v>
      </x:c>
      <x:c r="J273" s="9" t="n">
        <x:v>0.0121</x:v>
      </x:c>
      <x:c r="K273" s="9" t="n">
        <x:v>0.0028</x:v>
      </x:c>
      <x:c r="L273" s="10" t="n">
        <x:v>475</x:v>
      </x:c>
      <x:c r="M273" s="10" t="n">
        <x:v>18440</x:v>
      </x:c>
      <x:c r="N273" s="9" t="n">
        <x:v>0.8867</x:v>
      </x:c>
      <x:c r="O273" s="10" t="n">
        <x:v>14684</x:v>
      </x:c>
      <x:c r="P273" s="10" t="n">
        <x:v>1538</x:v>
      </x:c>
      <x:c r="Q273" s="9" t="n">
        <x:v>0.7963</x:v>
      </x:c>
      <x:c r="R273" s="9" t="n">
        <x:v>0.1047</x:v>
      </x:c>
      <x:c r="S273" s="9" t="n">
        <x:v>0.0834</x:v>
      </x:c>
    </x:row>
    <x:row r="274" ht="109" customHeight="1">
      <x:c r="A274" s="2" t="str">
        <x:v>wall art for living room</x:v>
      </x:c>
      <x:c r="B274" s="15" t="str">
        <x:v>wall art for living room, oversized wall art for living room, livingroom wall art, 2 piece wall art for living room, vibrant wall art, art wall decor for bedroom, extra large pictures for living room wall, women silhouette wall art, cuadros modernos para dormitorios, modern landscape wall art</x:v>
      </x:c>
      <x:c r="C274" s="10" t="n">
        <x:v>84</x:v>
      </x:c>
      <x:c r="D274" s="10" t="n">
        <x:v>164403</x:v>
      </x:c>
      <x:c r="E274" s="9" t="n">
        <x:v>0.0768</x:v>
      </x:c>
      <x:c r="F274" s="10" t="n">
        <x:v>3941971</x:v>
      </x:c>
      <x:c r="G274" s="10" t="n">
        <x:v>57850</x:v>
      </x:c>
      <x:c r="H274" s="9" t="n">
        <x:v>0.0981</x:v>
      </x:c>
      <x:c r="I274" s="9" t="n">
        <x:v>0.3518</x:v>
      </x:c>
      <x:c r="J274" s="9" t="n">
        <x:v>0.0064</x:v>
      </x:c>
      <x:c r="K274" s="9" t="n">
        <x:v>0.0022</x:v>
      </x:c>
      <x:c r="L274" s="10" t="n">
        <x:v>373</x:v>
      </x:c>
      <x:c r="M274" s="10" t="n">
        <x:v>20688</x:v>
      </x:c>
      <x:c r="N274" s="9" t="n">
        <x:v>0.0937</x:v>
      </x:c>
      <x:c r="O274" s="10" t="n">
        <x:v>15323</x:v>
      </x:c>
      <x:c r="P274" s="10" t="n">
        <x:v>524</x:v>
      </x:c>
      <x:c r="Q274" s="9" t="n">
        <x:v>0.7406</x:v>
      </x:c>
      <x:c r="R274" s="9" t="n">
        <x:v>0.0341</x:v>
      </x:c>
      <x:c r="S274" s="9" t="n">
        <x:v>0.0253</x:v>
      </x:c>
    </x:row>
    <x:row r="275" ht="109" customHeight="1">
      <x:c r="A275" s="2" t="str">
        <x:v>leather jacket men</x:v>
      </x:c>
      <x:c r="B275" s="15" t="str">
        <x:v>leather jacket men, mens leather jacket, men leather jacket, mens leather jackets, chaquetas de cuero para hombre, leather jackets for men, leather jacket for men, chamarras de piel para hombre, genuine leather jacket men, leather jacket mens</x:v>
      </x:c>
      <x:c r="C275" s="10" t="n">
        <x:v>151</x:v>
      </x:c>
      <x:c r="D275" s="10" t="n">
        <x:v>164291</x:v>
      </x:c>
      <x:c r="E275" s="9" t="n">
        <x:v>0.5601</x:v>
      </x:c>
      <x:c r="F275" s="10" t="n">
        <x:v>2984027</x:v>
      </x:c>
      <x:c r="G275" s="10" t="n">
        <x:v>52827</x:v>
      </x:c>
      <x:c r="H275" s="9" t="n">
        <x:v>0.593</x:v>
      </x:c>
      <x:c r="I275" s="9" t="n">
        <x:v>0.3215</x:v>
      </x:c>
      <x:c r="J275" s="9" t="n">
        <x:v>0.0055</x:v>
      </x:c>
      <x:c r="K275" s="9" t="n">
        <x:v>0.0017</x:v>
      </x:c>
      <x:c r="L275" s="10" t="n">
        <x:v>294</x:v>
      </x:c>
      <x:c r="M275" s="10" t="n">
        <x:v>18529</x:v>
      </x:c>
      <x:c r="N275" s="9" t="n">
        <x:v>0.5255</x:v>
      </x:c>
      <x:c r="O275" s="10" t="n">
        <x:v>14212</x:v>
      </x:c>
      <x:c r="P275" s="10" t="n">
        <x:v>698</x:v>
      </x:c>
      <x:c r="Q275" s="9" t="n">
        <x:v>0.767</x:v>
      </x:c>
      <x:c r="R275" s="9" t="n">
        <x:v>0.0491</x:v>
      </x:c>
      <x:c r="S275" s="9" t="n">
        <x:v>0.0376</x:v>
      </x:c>
    </x:row>
    <x:row r="276" ht="90" customHeight="1">
      <x:c r="A276" s="2" t="str">
        <x:v>washing soda</x:v>
      </x:c>
      <x:c r="B276" s="15" t="str">
        <x:v>washing soda, borax powder for laundry, laundry powder, sodium carbonate, washing soda for laundry, super washing soda, laundry soap powder, laundry powder detergent, washing powder laundry detergent, laundry soda</x:v>
      </x:c>
      <x:c r="C276" s="10" t="n">
        <x:v>166</x:v>
      </x:c>
      <x:c r="D276" s="10" t="n">
        <x:v>163487</x:v>
      </x:c>
      <x:c r="E276" s="9" t="n">
        <x:v>0.0467</x:v>
      </x:c>
      <x:c r="F276" s="10" t="n">
        <x:v>6226801</x:v>
      </x:c>
      <x:c r="G276" s="10" t="n">
        <x:v>87025</x:v>
      </x:c>
      <x:c r="H276" s="9" t="n">
        <x:v>0.0249</x:v>
      </x:c>
      <x:c r="I276" s="9" t="n">
        <x:v>0.5323</x:v>
      </x:c>
      <x:c r="J276" s="9" t="n">
        <x:v>0.2295</x:v>
      </x:c>
      <x:c r="K276" s="9" t="n">
        <x:v>0.1222</x:v>
      </x:c>
      <x:c r="L276" s="10" t="n">
        <x:v>19980</x:v>
      </x:c>
      <x:c r="M276" s="10" t="n">
        <x:v>82787</x:v>
      </x:c>
      <x:c r="N276" s="9" t="n">
        <x:v>0.019</x:v>
      </x:c>
      <x:c r="O276" s="10" t="n">
        <x:v>68798</x:v>
      </x:c>
      <x:c r="P276" s="10" t="n">
        <x:v>24223</x:v>
      </x:c>
      <x:c r="Q276" s="9" t="n">
        <x:v>0.831</x:v>
      </x:c>
      <x:c r="R276" s="9" t="n">
        <x:v>0.352</x:v>
      </x:c>
      <x:c r="S276" s="9" t="n">
        <x:v>0.2925</x:v>
      </x:c>
    </x:row>
    <x:row r="277" ht="109" customHeight="1">
      <x:c r="A277" s="2" t="str">
        <x:v>bowling shoes women</x:v>
      </x:c>
      <x:c r="B277" s="15" t="str">
        <x:v>bowling shoes women, womens bowling shoes, bowling shoes for women, women bowling shoes, ladies bowling shoes, bowling shoes womens, bowling shoes sliding soles women, slip on bowling shoes women, bowling ladies shoes, ladies bowling shoes clearance</x:v>
      </x:c>
      <x:c r="C277" s="10" t="n">
        <x:v>162</x:v>
      </x:c>
      <x:c r="D277" s="10" t="n">
        <x:v>163394</x:v>
      </x:c>
      <x:c r="E277" s="9" t="n">
        <x:v>0.5456</x:v>
      </x:c>
      <x:c r="F277" s="10" t="n">
        <x:v>4217727</x:v>
      </x:c>
      <x:c r="G277" s="10" t="n">
        <x:v>73780</x:v>
      </x:c>
      <x:c r="H277" s="9" t="n">
        <x:v>0.6707</x:v>
      </x:c>
      <x:c r="I277" s="9" t="n">
        <x:v>0.4515</x:v>
      </x:c>
      <x:c r="J277" s="9" t="n">
        <x:v>0.0074</x:v>
      </x:c>
      <x:c r="K277" s="9" t="n">
        <x:v>0.0033</x:v>
      </x:c>
      <x:c r="L277" s="10" t="n">
        <x:v>548</x:v>
      </x:c>
      <x:c r="M277" s="10" t="n">
        <x:v>22291</x:v>
      </x:c>
      <x:c r="N277" s="9" t="n">
        <x:v>0.4517</x:v>
      </x:c>
      <x:c r="O277" s="10" t="n">
        <x:v>17500</x:v>
      </x:c>
      <x:c r="P277" s="10" t="n">
        <x:v>2604</x:v>
      </x:c>
      <x:c r="Q277" s="9" t="n">
        <x:v>0.785</x:v>
      </x:c>
      <x:c r="R277" s="9" t="n">
        <x:v>0.1487</x:v>
      </x:c>
      <x:c r="S277" s="9" t="n">
        <x:v>0.1168</x:v>
      </x:c>
    </x:row>
    <x:row r="278" ht="109" customHeight="1">
      <x:c r="A278" s="2" t="str">
        <x:v>accessories for women</x:v>
      </x:c>
      <x:c r="B278" s="15" t="str">
        <x:v>accessories for women, womens accessories, fashion jewelry for women, statement jewelry for women, good jewelry for women, womens fashion jewelry, alt jewelry for women, alternative jewelry for women, layered jewelry sets for women, cheap jewelry for women</x:v>
      </x:c>
      <x:c r="C278" s="10" t="n">
        <x:v>104</x:v>
      </x:c>
      <x:c r="D278" s="10" t="n">
        <x:v>163144</x:v>
      </x:c>
      <x:c r="E278" s="9" t="str">
        <x:v>'-0.0427</x:v>
      </x:c>
      <x:c r="F278" s="10" t="n">
        <x:v>4619609</x:v>
      </x:c>
      <x:c r="G278" s="10" t="n">
        <x:v>39306</x:v>
      </x:c>
      <x:c r="H278" s="9" t="str">
        <x:v>'-0.0719</x:v>
      </x:c>
      <x:c r="I278" s="9" t="n">
        <x:v>0.2409</x:v>
      </x:c>
      <x:c r="J278" s="9" t="n">
        <x:v>0.0418</x:v>
      </x:c>
      <x:c r="K278" s="9" t="n">
        <x:v>0.01</x:v>
      </x:c>
      <x:c r="L278" s="10" t="n">
        <x:v>1645</x:v>
      </x:c>
      <x:c r="M278" s="10" t="n">
        <x:v>22764</x:v>
      </x:c>
      <x:c r="N278" s="9" t="str">
        <x:v>'-0.0465</x:v>
      </x:c>
      <x:c r="O278" s="10" t="n">
        <x:v>16235</x:v>
      </x:c>
      <x:c r="P278" s="10" t="n">
        <x:v>1734</x:v>
      </x:c>
      <x:c r="Q278" s="9" t="n">
        <x:v>0.7131</x:v>
      </x:c>
      <x:c r="R278" s="9" t="n">
        <x:v>0.1068</x:v>
      </x:c>
      <x:c r="S278" s="9" t="n">
        <x:v>0.0761</x:v>
      </x:c>
    </x:row>
    <x:row r="279" ht="55" customHeight="1">
      <x:c r="A279" s="2" t="str">
        <x:v>baskets</x:v>
      </x:c>
      <x:c r="B279" s="15" t="str">
        <x:v>baskets, 3 baskets, 2 baskets, 4 baskets, 6 baskets, 8 basket, 6 basket, 5 basket, shell basket, 8 baskets</x:v>
      </x:c>
      <x:c r="C279" s="10" t="n">
        <x:v>90</x:v>
      </x:c>
      <x:c r="D279" s="10" t="n">
        <x:v>163026</x:v>
      </x:c>
      <x:c r="E279" s="9" t="n">
        <x:v>0.0543</x:v>
      </x:c>
      <x:c r="F279" s="10" t="n">
        <x:v>4155155</x:v>
      </x:c>
      <x:c r="G279" s="10" t="n">
        <x:v>47286</x:v>
      </x:c>
      <x:c r="H279" s="9" t="n">
        <x:v>0.0261</x:v>
      </x:c>
      <x:c r="I279" s="9" t="n">
        <x:v>0.29</x:v>
      </x:c>
      <x:c r="J279" s="9" t="n">
        <x:v>0.0488</x:v>
      </x:c>
      <x:c r="K279" s="9" t="n">
        <x:v>0.0141</x:v>
      </x:c>
      <x:c r="L279" s="10" t="n">
        <x:v>2310</x:v>
      </x:c>
      <x:c r="M279" s="10" t="n">
        <x:v>33284</x:v>
      </x:c>
      <x:c r="N279" s="9" t="n">
        <x:v>0.0496</x:v>
      </x:c>
      <x:c r="O279" s="10" t="n">
        <x:v>21869</x:v>
      </x:c>
      <x:c r="P279" s="10" t="n">
        <x:v>3419</x:v>
      </x:c>
      <x:c r="Q279" s="9" t="n">
        <x:v>0.657</x:v>
      </x:c>
      <x:c r="R279" s="9" t="n">
        <x:v>0.1563</x:v>
      </x:c>
      <x:c r="S279" s="9" t="n">
        <x:v>0.1027</x:v>
      </x:c>
    </x:row>
    <x:row r="280" ht="71" customHeight="1">
      <x:c r="A280" s="2" t="str">
        <x:v>fursuit</x:v>
      </x:c>
      <x:c r="B280" s="15" t="str">
        <x:v>fursuit, wolf costume, furry costume, fox costume, fox costume kids, 2000s halloween costume, coyote costume, wolf halloween costume, cheap fursuit, womens wolf costume</x:v>
      </x:c>
      <x:c r="C280" s="10" t="n">
        <x:v>139</x:v>
      </x:c>
      <x:c r="D280" s="10" t="n">
        <x:v>162638</x:v>
      </x:c>
      <x:c r="E280" s="9" t="n">
        <x:v>0.6831</x:v>
      </x:c>
      <x:c r="F280" s="10" t="n">
        <x:v>1836232</x:v>
      </x:c>
      <x:c r="G280" s="10" t="n">
        <x:v>53903</x:v>
      </x:c>
      <x:c r="H280" s="9" t="n">
        <x:v>0.6711</x:v>
      </x:c>
      <x:c r="I280" s="9" t="n">
        <x:v>0.3314</x:v>
      </x:c>
      <x:c r="J280" s="9" t="n">
        <x:v>0.0091</x:v>
      </x:c>
      <x:c r="K280" s="9" t="n">
        <x:v>0.003</x:v>
      </x:c>
      <x:c r="L280" s="10" t="n">
        <x:v>492</x:v>
      </x:c>
      <x:c r="M280" s="10" t="n">
        <x:v>12176</x:v>
      </x:c>
      <x:c r="N280" s="9" t="n">
        <x:v>0.7653</x:v>
      </x:c>
      <x:c r="O280" s="10" t="n">
        <x:v>8593</x:v>
      </x:c>
      <x:c r="P280" s="10" t="n">
        <x:v>427</x:v>
      </x:c>
      <x:c r="Q280" s="9" t="n">
        <x:v>0.7057</x:v>
      </x:c>
      <x:c r="R280" s="9" t="n">
        <x:v>0.0496</x:v>
      </x:c>
      <x:c r="S280" s="9" t="n">
        <x:v>0.035</x:v>
      </x:c>
    </x:row>
    <x:row r="281" ht="90" customHeight="1">
      <x:c r="A281" s="2" t="str">
        <x:v>bread slicer</x:v>
      </x:c>
      <x:c r="B281" s="15" t="str">
        <x:v>bread slicer, adjustable bread slicer, bread cutter for sourdough, sour dough cutter slicer, best bread knife for sourdough, baguette slicer, german bread cutter, rapsakemoh, personalized bread knife, breadcutters sourdough</x:v>
      </x:c>
      <x:c r="C281" s="10" t="n">
        <x:v>33</x:v>
      </x:c>
      <x:c r="D281" s="10" t="n">
        <x:v>162439</x:v>
      </x:c>
      <x:c r="E281" s="9" t="n">
        <x:v>0.0368</x:v>
      </x:c>
      <x:c r="F281" s="10" t="n">
        <x:v>5991029</x:v>
      </x:c>
      <x:c r="G281" s="10" t="n">
        <x:v>70549</x:v>
      </x:c>
      <x:c r="H281" s="9" t="n">
        <x:v>0.0539</x:v>
      </x:c>
      <x:c r="I281" s="9" t="n">
        <x:v>0.4343</x:v>
      </x:c>
      <x:c r="J281" s="9" t="n">
        <x:v>0.0734</x:v>
      </x:c>
      <x:c r="K281" s="9" t="n">
        <x:v>0.0319</x:v>
      </x:c>
      <x:c r="L281" s="10" t="n">
        <x:v>5185</x:v>
      </x:c>
      <x:c r="M281" s="10" t="n">
        <x:v>57548</x:v>
      </x:c>
      <x:c r="N281" s="9" t="n">
        <x:v>0.043</x:v>
      </x:c>
      <x:c r="O281" s="10" t="n">
        <x:v>42454</x:v>
      </x:c>
      <x:c r="P281" s="10" t="n">
        <x:v>7703</x:v>
      </x:c>
      <x:c r="Q281" s="9" t="n">
        <x:v>0.7377</x:v>
      </x:c>
      <x:c r="R281" s="9" t="n">
        <x:v>0.1814</x:v>
      </x:c>
      <x:c r="S281" s="9" t="n">
        <x:v>0.1338</x:v>
      </x:c>
    </x:row>
    <x:row r="282" ht="109" customHeight="1">
      <x:c r="A282" s="2" t="str">
        <x:v>license plate frames for women</x:v>
      </x:c>
      <x:c r="B282" s="15" t="str">
        <x:v>license plate frames for women, cute license plate frame, license plate frames cute, flower license plate frame, fun license plate frames, floral license plate frame, license plate frame for women, license plate frames flowers, 3d license plate frame, daisy license plate frame</x:v>
      </x:c>
      <x:c r="C282" s="10" t="n">
        <x:v>152</x:v>
      </x:c>
      <x:c r="D282" s="10" t="n">
        <x:v>162174</x:v>
      </x:c>
      <x:c r="E282" s="9" t="str">
        <x:v>'-0.0188</x:v>
      </x:c>
      <x:c r="F282" s="10" t="n">
        <x:v>4870007</x:v>
      </x:c>
      <x:c r="G282" s="10" t="n">
        <x:v>62070</x:v>
      </x:c>
      <x:c r="H282" s="9" t="str">
        <x:v>'-0.0176</x:v>
      </x:c>
      <x:c r="I282" s="9" t="n">
        <x:v>0.3827</x:v>
      </x:c>
      <x:c r="J282" s="9" t="n">
        <x:v>0.0419</x:v>
      </x:c>
      <x:c r="K282" s="9" t="n">
        <x:v>0.016</x:v>
      </x:c>
      <x:c r="L282" s="10" t="n">
        <x:v>2605</x:v>
      </x:c>
      <x:c r="M282" s="10" t="n">
        <x:v>30259</x:v>
      </x:c>
      <x:c r="N282" s="9" t="str">
        <x:v>'-0.0257</x:v>
      </x:c>
      <x:c r="O282" s="10" t="n">
        <x:v>24640</x:v>
      </x:c>
      <x:c r="P282" s="10" t="n">
        <x:v>3779</x:v>
      </x:c>
      <x:c r="Q282" s="9" t="n">
        <x:v>0.8143</x:v>
      </x:c>
      <x:c r="R282" s="9" t="n">
        <x:v>0.1533</x:v>
      </x:c>
      <x:c r="S282" s="9" t="n">
        <x:v>0.1248</x:v>
      </x:c>
    </x:row>
    <x:row r="283" ht="71" customHeight="1">
      <x:c r="A283" s="2" t="str">
        <x:v>gel blaster</x:v>
      </x:c>
      <x:c r="B283" s="15" t="str">
        <x:v>gel blaster, gel blasters, gel blaster glock, gel ball blaster, blaster gel, gel blaster automatic, gel blaster cheap, gel blaster with drum, gels blaster, gel blaster electric</x:v>
      </x:c>
      <x:c r="C283" s="10" t="n">
        <x:v>43</x:v>
      </x:c>
      <x:c r="D283" s="10" t="n">
        <x:v>161707</x:v>
      </x:c>
      <x:c r="E283" s="9" t="str">
        <x:v>'-0.186</x:v>
      </x:c>
      <x:c r="F283" s="10" t="n">
        <x:v>2228483</x:v>
      </x:c>
      <x:c r="G283" s="10" t="n">
        <x:v>60542</x:v>
      </x:c>
      <x:c r="H283" s="9" t="str">
        <x:v>'-0.1834</x:v>
      </x:c>
      <x:c r="I283" s="9" t="n">
        <x:v>0.3743</x:v>
      </x:c>
      <x:c r="J283" s="9" t="n">
        <x:v>0.0204</x:v>
      </x:c>
      <x:c r="K283" s="9" t="n">
        <x:v>0.0076</x:v>
      </x:c>
      <x:c r="L283" s="10" t="n">
        <x:v>1241</x:v>
      </x:c>
      <x:c r="M283" s="10" t="n">
        <x:v>16784</x:v>
      </x:c>
      <x:c r="N283" s="9" t="str">
        <x:v>'-0.172</x:v>
      </x:c>
      <x:c r="O283" s="10" t="n">
        <x:v>12255</x:v>
      </x:c>
      <x:c r="P283" s="10" t="n">
        <x:v>1171</x:v>
      </x:c>
      <x:c r="Q283" s="9" t="n">
        <x:v>0.7301</x:v>
      </x:c>
      <x:c r="R283" s="9" t="n">
        <x:v>0.0955</x:v>
      </x:c>
      <x:c r="S283" s="9" t="n">
        <x:v>0.0697</x:v>
      </x:c>
    </x:row>
    <x:row r="284" ht="109" customHeight="1">
      <x:c r="A284" s="2" t="str">
        <x:v>miles morales costume</x:v>
      </x:c>
      <x:c r="B284" s="15" t="str">
        <x:v>miles morales costume, miles morales spider-man costume, miles morales spiderman costume, miles morales costume toddler, spider man miles morales costume, miles morales costumes, miles morales cosplay, miles morales costumes for kids, mile morales costume, kids miles morales costume</x:v>
      </x:c>
      <x:c r="C284" s="10" t="n">
        <x:v>182</x:v>
      </x:c>
      <x:c r="D284" s="10" t="n">
        <x:v>161483</x:v>
      </x:c>
      <x:c r="E284" s="9" t="n">
        <x:v>0.3026</x:v>
      </x:c>
      <x:c r="F284" s="10" t="n">
        <x:v>2294868</x:v>
      </x:c>
      <x:c r="G284" s="10" t="n">
        <x:v>59625</x:v>
      </x:c>
      <x:c r="H284" s="9" t="n">
        <x:v>0.3369</x:v>
      </x:c>
      <x:c r="I284" s="9" t="n">
        <x:v>0.3692</x:v>
      </x:c>
      <x:c r="J284" s="9" t="n">
        <x:v>0.0069</x:v>
      </x:c>
      <x:c r="K284" s="9" t="n">
        <x:v>0.0025</x:v>
      </x:c>
      <x:c r="L284" s="10" t="n">
        <x:v>412</x:v>
      </x:c>
      <x:c r="M284" s="10" t="n">
        <x:v>19826</x:v>
      </x:c>
      <x:c r="N284" s="9" t="n">
        <x:v>0.3296</x:v>
      </x:c>
      <x:c r="O284" s="10" t="n">
        <x:v>15468</x:v>
      </x:c>
      <x:c r="P284" s="10" t="n">
        <x:v>974</x:v>
      </x:c>
      <x:c r="Q284" s="9" t="n">
        <x:v>0.7801</x:v>
      </x:c>
      <x:c r="R284" s="9" t="n">
        <x:v>0.0629</x:v>
      </x:c>
      <x:c r="S284" s="9" t="n">
        <x:v>0.0491</x:v>
      </x:c>
    </x:row>
    <x:row r="285" ht="90" customHeight="1">
      <x:c r="A285" s="2" t="str">
        <x:v>yellow tops for women</x:v>
      </x:c>
      <x:c r="B285" s="15" t="str">
        <x:v>yellow tops for women, womens yellow top, yellow womens top, yellow shirts for women, yellow top women, yellow tops for women dressy, women yellow top, camisa amarilla para mujer, womens yellow tops, yellow blouses</x:v>
      </x:c>
      <x:c r="C285" s="10" t="n">
        <x:v>147</x:v>
      </x:c>
      <x:c r="D285" s="10" t="n">
        <x:v>161278</x:v>
      </x:c>
      <x:c r="E285" s="9" t="n">
        <x:v>0.0835</x:v>
      </x:c>
      <x:c r="F285" s="10" t="n">
        <x:v>5782032</x:v>
      </x:c>
      <x:c r="G285" s="10" t="n">
        <x:v>42493</x:v>
      </x:c>
      <x:c r="H285" s="9" t="n">
        <x:v>0.074</x:v>
      </x:c>
      <x:c r="I285" s="9" t="n">
        <x:v>0.2634</x:v>
      </x:c>
      <x:c r="J285" s="9" t="n">
        <x:v>0.0345</x:v>
      </x:c>
      <x:c r="K285" s="9" t="n">
        <x:v>0.0091</x:v>
      </x:c>
      <x:c r="L285" s="10" t="n">
        <x:v>1470</x:v>
      </x:c>
      <x:c r="M285" s="10" t="n">
        <x:v>25814</x:v>
      </x:c>
      <x:c r="N285" s="9" t="n">
        <x:v>0.1454</x:v>
      </x:c>
      <x:c r="O285" s="10" t="n">
        <x:v>21005</x:v>
      </x:c>
      <x:c r="P285" s="10" t="n">
        <x:v>4184</x:v>
      </x:c>
      <x:c r="Q285" s="9" t="n">
        <x:v>0.8137</x:v>
      </x:c>
      <x:c r="R285" s="9" t="n">
        <x:v>0.1991</x:v>
      </x:c>
      <x:c r="S285" s="9" t="n">
        <x:v>0.162</x:v>
      </x:c>
    </x:row>
    <x:row r="286" ht="109" customHeight="1">
      <x:c r="A286" s="2" t="str">
        <x:v>bathroom wall art</x:v>
      </x:c>
      <x:c r="B286" s="15" t="str">
        <x:v>bathroom wall art, wall art for bathroom, wall decor bathroom, art for bathroom wall decor, wall art for the bathroom, artwork for bathroom walls, cool bathroom wall art, farmhouse modern wall decor, aesthetic bathroom art, 3 piece bathroom wall art</x:v>
      </x:c>
      <x:c r="C286" s="10" t="n">
        <x:v>23</x:v>
      </x:c>
      <x:c r="D286" s="10" t="n">
        <x:v>160758</x:v>
      </x:c>
      <x:c r="E286" s="9" t="str">
        <x:v>'-0.0496</x:v>
      </x:c>
      <x:c r="F286" s="10" t="n">
        <x:v>5577799</x:v>
      </x:c>
      <x:c r="G286" s="10" t="n">
        <x:v>53444</x:v>
      </x:c>
      <x:c r="H286" s="9" t="str">
        <x:v>'-0.042</x:v>
      </x:c>
      <x:c r="I286" s="9" t="n">
        <x:v>0.3324</x:v>
      </x:c>
      <x:c r="J286" s="9" t="n">
        <x:v>0.022</x:v>
      </x:c>
      <x:c r="K286" s="9" t="n">
        <x:v>0.0073</x:v>
      </x:c>
      <x:c r="L286" s="10" t="n">
        <x:v>1181</x:v>
      </x:c>
      <x:c r="M286" s="10" t="n">
        <x:v>25614</x:v>
      </x:c>
      <x:c r="N286" s="9" t="str">
        <x:v>'-0.0603</x:v>
      </x:c>
      <x:c r="O286" s="10" t="n">
        <x:v>20027</x:v>
      </x:c>
      <x:c r="P286" s="10" t="n">
        <x:v>1662</x:v>
      </x:c>
      <x:c r="Q286" s="9" t="n">
        <x:v>0.7818</x:v>
      </x:c>
      <x:c r="R286" s="9" t="n">
        <x:v>0.0829</x:v>
      </x:c>
      <x:c r="S286" s="9" t="n">
        <x:v>0.0648</x:v>
      </x:c>
    </x:row>
    <x:row r="287" ht="90" customHeight="1">
      <x:c r="A287" s="2" t="str">
        <x:v>dtf printer</x:v>
      </x:c>
      <x:c r="B287" s="15" t="str">
        <x:v>dtf printer, dtf printer clearance sale, impresora dtf, dtf transfer printer, dtf printer starter bundle, dtf printer clearance, dtf printers, maquina de dtf profesional, dtf printer machine, printer dtf</x:v>
      </x:c>
      <x:c r="C287" s="10" t="n">
        <x:v>116</x:v>
      </x:c>
      <x:c r="D287" s="10" t="n">
        <x:v>160645</x:v>
      </x:c>
      <x:c r="E287" s="9" t="n">
        <x:v>0.1926</x:v>
      </x:c>
      <x:c r="F287" s="10" t="n">
        <x:v>3610700</x:v>
      </x:c>
      <x:c r="G287" s="10" t="n">
        <x:v>55883</x:v>
      </x:c>
      <x:c r="H287" s="9" t="n">
        <x:v>0.2009</x:v>
      </x:c>
      <x:c r="I287" s="9" t="n">
        <x:v>0.3478</x:v>
      </x:c>
      <x:c r="J287" s="9" t="n">
        <x:v>0.0028</x:v>
      </x:c>
      <x:c r="K287" s="9" t="n">
        <x:v>0.0009</x:v>
      </x:c>
      <x:c r="L287" s="10" t="n">
        <x:v>158</x:v>
      </x:c>
      <x:c r="M287" s="10" t="n">
        <x:v>38126</x:v>
      </x:c>
      <x:c r="N287" s="9" t="n">
        <x:v>0.1972</x:v>
      </x:c>
      <x:c r="O287" s="10" t="n">
        <x:v>20498</x:v>
      </x:c>
      <x:c r="P287" s="10" t="n">
        <x:v>156</x:v>
      </x:c>
      <x:c r="Q287" s="9" t="n">
        <x:v>0.5376</x:v>
      </x:c>
      <x:c r="R287" s="9" t="n">
        <x:v>0.0076</x:v>
      </x:c>
      <x:c r="S287" s="9" t="n">
        <x:v>0.004</x:v>
      </x:c>
    </x:row>
    <x:row r="288" ht="71" customHeight="1">
      <x:c r="A288" s="2" t="str">
        <x:v>mens work boots</x:v>
      </x:c>
      <x:c r="B288" s="15" t="str">
        <x:v>mens work boots, boots mens, lugs for men boots, fashion boots for men, men boots fashion, men shoes boots, mens 8 work boots, mens work boots 8, lug boots for men, vegan boots men</x:v>
      </x:c>
      <x:c r="C288" s="10" t="n">
        <x:v>29</x:v>
      </x:c>
      <x:c r="D288" s="10" t="n">
        <x:v>160578</x:v>
      </x:c>
      <x:c r="E288" s="9" t="n">
        <x:v>0.1761</x:v>
      </x:c>
      <x:c r="F288" s="10" t="n">
        <x:v>3655634</x:v>
      </x:c>
      <x:c r="G288" s="10" t="n">
        <x:v>38644</x:v>
      </x:c>
      <x:c r="H288" s="9" t="n">
        <x:v>0.2</x:v>
      </x:c>
      <x:c r="I288" s="9" t="n">
        <x:v>0.2406</x:v>
      </x:c>
      <x:c r="J288" s="9" t="n">
        <x:v>0.0104</x:v>
      </x:c>
      <x:c r="K288" s="9" t="n">
        <x:v>0.0025</x:v>
      </x:c>
      <x:c r="L288" s="10" t="n">
        <x:v>404</x:v>
      </x:c>
      <x:c r="M288" s="10" t="n">
        <x:v>20531</x:v>
      </x:c>
      <x:c r="N288" s="9" t="n">
        <x:v>0.1492</x:v>
      </x:c>
      <x:c r="O288" s="10" t="n">
        <x:v>15473</x:v>
      </x:c>
      <x:c r="P288" s="10" t="n">
        <x:v>2320</x:v>
      </x:c>
      <x:c r="Q288" s="9" t="n">
        <x:v>0.7536</x:v>
      </x:c>
      <x:c r="R288" s="9" t="n">
        <x:v>0.1499</x:v>
      </x:c>
      <x:c r="S288" s="9" t="n">
        <x:v>0.1129</x:v>
      </x:c>
    </x:row>
    <x:row r="289" ht="109" customHeight="1">
      <x:c r="A289" s="2" t="str">
        <x:v>chicago bears womens apparel</x:v>
      </x:c>
      <x:c r="B289" s="15" t="str">
        <x:v>chicago bears womens apparel, ny giants womens apparel, raiders womens apparel, womens chicago bears apparel, las vegas raiders womens apparel, la chargers womens apparel, womens raiders apparel, 49ers womens shirt, chargers shirt women, saints womens apparel</x:v>
      </x:c>
      <x:c r="C289" s="10" t="n">
        <x:v>82</x:v>
      </x:c>
      <x:c r="D289" s="10" t="n">
        <x:v>160543</x:v>
      </x:c>
      <x:c r="E289" s="9" t="n">
        <x:v>2.0521</x:v>
      </x:c>
      <x:c r="F289" s="10" t="n">
        <x:v>2083697</x:v>
      </x:c>
      <x:c r="G289" s="10" t="n">
        <x:v>34556</x:v>
      </x:c>
      <x:c r="H289" s="9" t="n">
        <x:v>2.0378</x:v>
      </x:c>
      <x:c r="I289" s="9" t="n">
        <x:v>0.2152</x:v>
      </x:c>
      <x:c r="J289" s="9" t="n">
        <x:v>0.0302</x:v>
      </x:c>
      <x:c r="K289" s="9" t="n">
        <x:v>0.0065</x:v>
      </x:c>
      <x:c r="L289" s="10" t="n">
        <x:v>1044</x:v>
      </x:c>
      <x:c r="M289" s="10" t="n">
        <x:v>11149</x:v>
      </x:c>
      <x:c r="N289" s="9" t="n">
        <x:v>2.1932</x:v>
      </x:c>
      <x:c r="O289" s="10" t="n">
        <x:v>7507</x:v>
      </x:c>
      <x:c r="P289" s="10" t="n">
        <x:v>753</x:v>
      </x:c>
      <x:c r="Q289" s="9" t="n">
        <x:v>0.6733</x:v>
      </x:c>
      <x:c r="R289" s="9" t="n">
        <x:v>0.1003</x:v>
      </x:c>
      <x:c r="S289" s="9" t="n">
        <x:v>0.0675</x:v>
      </x:c>
    </x:row>
    <x:row r="290" ht="90" customHeight="1">
      <x:c r="A290" s="2" t="str">
        <x:v>placemats</x:v>
      </x:c>
      <x:c r="B290" s="15" t="str">
        <x:v>placemats, round vinyl placemats, vinyl placemat, placemats vinyl, nautical placemats, vinyl place mats, vinyl placemats wipeable, woven vinyl placemats, wipeable vinyl placemats, placemats 2</x:v>
      </x:c>
      <x:c r="C290" s="10" t="n">
        <x:v>132</x:v>
      </x:c>
      <x:c r="D290" s="10" t="n">
        <x:v>160363</x:v>
      </x:c>
      <x:c r="E290" s="9" t="str">
        <x:v>'-0.0817</x:v>
      </x:c>
      <x:c r="F290" s="10" t="n">
        <x:v>5510858</x:v>
      </x:c>
      <x:c r="G290" s="10" t="n">
        <x:v>61582</x:v>
      </x:c>
      <x:c r="H290" s="9" t="str">
        <x:v>'-0.0899</x:v>
      </x:c>
      <x:c r="I290" s="9" t="n">
        <x:v>0.384</x:v>
      </x:c>
      <x:c r="J290" s="9" t="n">
        <x:v>0.0366</x:v>
      </x:c>
      <x:c r="K290" s="9" t="n">
        <x:v>0.014</x:v>
      </x:c>
      <x:c r="L290" s="10" t="n">
        <x:v>2255</x:v>
      </x:c>
      <x:c r="M290" s="10" t="n">
        <x:v>36507</x:v>
      </x:c>
      <x:c r="N290" s="9" t="str">
        <x:v>'-0.0654</x:v>
      </x:c>
      <x:c r="O290" s="10" t="n">
        <x:v>28138</x:v>
      </x:c>
      <x:c r="P290" s="10" t="n">
        <x:v>6243</x:v>
      </x:c>
      <x:c r="Q290" s="9" t="n">
        <x:v>0.7707</x:v>
      </x:c>
      <x:c r="R290" s="9" t="n">
        <x:v>0.2218</x:v>
      </x:c>
      <x:c r="S290" s="9" t="n">
        <x:v>0.171</x:v>
      </x:c>
    </x:row>
    <x:row r="291" ht="109" customHeight="1">
      <x:c r="A291" s="2" t="str">
        <x:v>poison ivy costume</x:v>
      </x:c>
      <x:c r="B291" s="15" t="str">
        <x:v>poison ivy costume, poison. ivy costume women, poison ivy costume women, poison ivy halloween costume, poison ivy dress, sexy poison. ivy costume women, women poison. ivy halloween costume, womens poison ivy costume, poison ivy halloween, poison ivy outfit</x:v>
      </x:c>
      <x:c r="C291" s="10" t="n">
        <x:v>90</x:v>
      </x:c>
      <x:c r="D291" s="10" t="n">
        <x:v>160080</x:v>
      </x:c>
      <x:c r="E291" s="9" t="n">
        <x:v>1.7982</x:v>
      </x:c>
      <x:c r="F291" s="10" t="n">
        <x:v>2401027</x:v>
      </x:c>
      <x:c r="G291" s="10" t="n">
        <x:v>68120</x:v>
      </x:c>
      <x:c r="H291" s="9" t="n">
        <x:v>1.9372</x:v>
      </x:c>
      <x:c r="I291" s="9" t="n">
        <x:v>0.4255</x:v>
      </x:c>
      <x:c r="J291" s="9" t="n">
        <x:v>0.0058</x:v>
      </x:c>
      <x:c r="K291" s="9" t="n">
        <x:v>0.0024</x:v>
      </x:c>
      <x:c r="L291" s="10" t="n">
        <x:v>396</x:v>
      </x:c>
      <x:c r="M291" s="10" t="n">
        <x:v>15022</x:v>
      </x:c>
      <x:c r="N291" s="9" t="n">
        <x:v>1.6804</x:v>
      </x:c>
      <x:c r="O291" s="10" t="n">
        <x:v>11427</x:v>
      </x:c>
      <x:c r="P291" s="10" t="n">
        <x:v>234</x:v>
      </x:c>
      <x:c r="Q291" s="9" t="n">
        <x:v>0.7606</x:v>
      </x:c>
      <x:c r="R291" s="9" t="n">
        <x:v>0.0204</x:v>
      </x:c>
      <x:c r="S291" s="9" t="n">
        <x:v>0.0155</x:v>
      </x:c>
    </x:row>
    <x:row r="292" ht="71" customHeight="1">
      <x:c r="A292" s="2" t="str">
        <x:v>coach wallet</x:v>
      </x:c>
      <x:c r="B292" s="15" t="str">
        <x:v>coach wallet, wallet coach, designer wallets, couch wallet, wallet designer, womens luxury wallet, maple wallet, coach black wallets for women, coach billfold, hobo card holder</x:v>
      </x:c>
      <x:c r="C292" s="10" t="n">
        <x:v>44</x:v>
      </x:c>
      <x:c r="D292" s="10" t="n">
        <x:v>159746</x:v>
      </x:c>
      <x:c r="E292" s="9" t="n">
        <x:v>0.0372</x:v>
      </x:c>
      <x:c r="F292" s="10" t="n">
        <x:v>3549840</x:v>
      </x:c>
      <x:c r="G292" s="10" t="n">
        <x:v>67043</x:v>
      </x:c>
      <x:c r="H292" s="9" t="n">
        <x:v>0.0553</x:v>
      </x:c>
      <x:c r="I292" s="9" t="n">
        <x:v>0.4196</x:v>
      </x:c>
      <x:c r="J292" s="9" t="n">
        <x:v>0.0078</x:v>
      </x:c>
      <x:c r="K292" s="9" t="n">
        <x:v>0.0032</x:v>
      </x:c>
      <x:c r="L292" s="10" t="n">
        <x:v>524</x:v>
      </x:c>
      <x:c r="M292" s="10" t="n">
        <x:v>28610</x:v>
      </x:c>
      <x:c r="N292" s="9" t="n">
        <x:v>0.0417</x:v>
      </x:c>
      <x:c r="O292" s="10" t="n">
        <x:v>21809</x:v>
      </x:c>
      <x:c r="P292" s="10" t="n">
        <x:v>962</x:v>
      </x:c>
      <x:c r="Q292" s="9" t="n">
        <x:v>0.7622</x:v>
      </x:c>
      <x:c r="R292" s="9" t="n">
        <x:v>0.0441</x:v>
      </x:c>
      <x:c r="S292" s="9" t="n">
        <x:v>0.0336</x:v>
      </x:c>
    </x:row>
    <x:row r="293" ht="71" customHeight="1">
      <x:c r="A293" s="2" t="str">
        <x:v>milk gallon</x:v>
      </x:c>
      <x:c r="B293" s="15" t="str">
        <x:v>milk gallon, whole milk gallon, gallon milk, skim milk gallon, gallon of milk, 1% gallon milk, milk whole gallon, gallon whole milk, organic milk gallon, organic whole milk gallon</x:v>
      </x:c>
      <x:c r="C293" s="10" t="n">
        <x:v>136</x:v>
      </x:c>
      <x:c r="D293" s="10" t="n">
        <x:v>159587</x:v>
      </x:c>
      <x:c r="E293" s="9" t="n">
        <x:v>0.1299</x:v>
      </x:c>
      <x:c r="F293" s="10" t="n">
        <x:v>3020317</x:v>
      </x:c>
      <x:c r="G293" s="10" t="n">
        <x:v>50717</x:v>
      </x:c>
      <x:c r="H293" s="9" t="n">
        <x:v>0.03</x:v>
      </x:c>
      <x:c r="I293" s="9" t="n">
        <x:v>0.3178</x:v>
      </x:c>
      <x:c r="J293" s="9" t="n">
        <x:v>0.3405</x:v>
      </x:c>
      <x:c r="K293" s="9" t="n">
        <x:v>0.1082</x:v>
      </x:c>
      <x:c r="L293" s="10" t="n">
        <x:v>17274</x:v>
      </x:c>
      <x:c r="M293" s="10" t="n">
        <x:v>47145</x:v>
      </x:c>
      <x:c r="N293" s="9" t="n">
        <x:v>0.0754</x:v>
      </x:c>
      <x:c r="O293" s="10" t="n">
        <x:v>38681</x:v>
      </x:c>
      <x:c r="P293" s="10" t="n">
        <x:v>17783</x:v>
      </x:c>
      <x:c r="Q293" s="9" t="n">
        <x:v>0.8204</x:v>
      </x:c>
      <x:c r="R293" s="9" t="n">
        <x:v>0.4597</x:v>
      </x:c>
      <x:c r="S293" s="9" t="n">
        <x:v>0.3771</x:v>
      </x:c>
    </x:row>
    <x:row r="294" ht="90" customHeight="1">
      <x:c r="A294" s="2" t="str">
        <x:v>vinyl record storage</x:v>
      </x:c>
      <x:c r="B294" s="15" t="str">
        <x:v>vinyl record storage, record storage, vinyl storage, record album storage, album storage for vinyl records, vinyl album storage, album storage, vinyl records storage, lp storage, lp record storage</x:v>
      </x:c>
      <x:c r="C294" s="10" t="n">
        <x:v>93</x:v>
      </x:c>
      <x:c r="D294" s="10" t="n">
        <x:v>159490</x:v>
      </x:c>
      <x:c r="E294" s="9" t="str">
        <x:v>'-0.0642</x:v>
      </x:c>
      <x:c r="F294" s="10" t="n">
        <x:v>5229859</x:v>
      </x:c>
      <x:c r="G294" s="10" t="n">
        <x:v>56469</x:v>
      </x:c>
      <x:c r="H294" s="9" t="str">
        <x:v>'-0.0754</x:v>
      </x:c>
      <x:c r="I294" s="9" t="n">
        <x:v>0.354</x:v>
      </x:c>
      <x:c r="J294" s="9" t="n">
        <x:v>0.0574</x:v>
      </x:c>
      <x:c r="K294" s="9" t="n">
        <x:v>0.0203</x:v>
      </x:c>
      <x:c r="L294" s="10" t="n">
        <x:v>3246</x:v>
      </x:c>
      <x:c r="M294" s="10" t="n">
        <x:v>41195</x:v>
      </x:c>
      <x:c r="N294" s="9" t="str">
        <x:v>'-0.0865</x:v>
      </x:c>
      <x:c r="O294" s="10" t="n">
        <x:v>31011</x:v>
      </x:c>
      <x:c r="P294" s="10" t="n">
        <x:v>5365</x:v>
      </x:c>
      <x:c r="Q294" s="9" t="n">
        <x:v>0.7527</x:v>
      </x:c>
      <x:c r="R294" s="9" t="n">
        <x:v>0.173</x:v>
      </x:c>
      <x:c r="S294" s="9" t="n">
        <x:v>0.1302</x:v>
      </x:c>
    </x:row>
    <x:row r="295" ht="90" customHeight="1">
      <x:c r="A295" s="2" t="str">
        <x:v>bandage dress</x:v>
      </x:c>
      <x:c r="B295" s="15" t="str">
        <x:v>bandage dress, white bandage dress, bandage dress mini, mini bandage dress, bandage dresses, bandage mini dress, bandage bodycon dresses, bondage dress, fishtail dress, bandage midi dress</x:v>
      </x:c>
      <x:c r="C295" s="10" t="n">
        <x:v>124</x:v>
      </x:c>
      <x:c r="D295" s="10" t="n">
        <x:v>159330</x:v>
      </x:c>
      <x:c r="E295" s="9" t="n">
        <x:v>0.2417</x:v>
      </x:c>
      <x:c r="F295" s="10" t="n">
        <x:v>4186143</x:v>
      </x:c>
      <x:c r="G295" s="10" t="n">
        <x:v>46348</x:v>
      </x:c>
      <x:c r="H295" s="9" t="n">
        <x:v>0.2436</x:v>
      </x:c>
      <x:c r="I295" s="9" t="n">
        <x:v>0.2908</x:v>
      </x:c>
      <x:c r="J295" s="9" t="n">
        <x:v>0.0051</x:v>
      </x:c>
      <x:c r="K295" s="9" t="n">
        <x:v>0.0015</x:v>
      </x:c>
      <x:c r="L295" s="10" t="n">
        <x:v>240</x:v>
      </x:c>
      <x:c r="M295" s="10" t="n">
        <x:v>26151</x:v>
      </x:c>
      <x:c r="N295" s="9" t="n">
        <x:v>0.2012</x:v>
      </x:c>
      <x:c r="O295" s="10" t="n">
        <x:v>20353</x:v>
      </x:c>
      <x:c r="P295" s="10" t="n">
        <x:v>881</x:v>
      </x:c>
      <x:c r="Q295" s="9" t="n">
        <x:v>0.7782</x:v>
      </x:c>
      <x:c r="R295" s="9" t="n">
        <x:v>0.0432</x:v>
      </x:c>
      <x:c r="S295" s="9" t="n">
        <x:v>0.0336</x:v>
      </x:c>
    </x:row>
    <x:row r="296" ht="109" customHeight="1">
      <x:c r="A296" s="2" t="str">
        <x:v>festival outfits for women</x:v>
      </x:c>
      <x:c r="B296" s="15" t="str">
        <x:v>festival outfits for women, rave outfit women, sexy y2k outfits for women, women rave outfit, sexy festival outfits for women, summer festival outfits for women, rave women outfits, outdoor festival outfits for women, festival outfit for women, outfits for women y2k</x:v>
      </x:c>
      <x:c r="C296" s="10" t="n">
        <x:v>22</x:v>
      </x:c>
      <x:c r="D296" s="10" t="n">
        <x:v>158793</x:v>
      </x:c>
      <x:c r="E296" s="9" t="n">
        <x:v>0.0351</x:v>
      </x:c>
      <x:c r="F296" s="10" t="n">
        <x:v>5584127</x:v>
      </x:c>
      <x:c r="G296" s="10" t="n">
        <x:v>42232</x:v>
      </x:c>
      <x:c r="H296" s="9" t="n">
        <x:v>0.0627</x:v>
      </x:c>
      <x:c r="I296" s="9" t="n">
        <x:v>0.2659</x:v>
      </x:c>
      <x:c r="J296" s="9" t="n">
        <x:v>0.0211</x:v>
      </x:c>
      <x:c r="K296" s="9" t="n">
        <x:v>0.0056</x:v>
      </x:c>
      <x:c r="L296" s="10" t="n">
        <x:v>894</x:v>
      </x:c>
      <x:c r="M296" s="10" t="n">
        <x:v>18623</x:v>
      </x:c>
      <x:c r="N296" s="9" t="str">
        <x:v>'-0.0015</x:v>
      </x:c>
      <x:c r="O296" s="10" t="n">
        <x:v>15146</x:v>
      </x:c>
      <x:c r="P296" s="10" t="n">
        <x:v>1562</x:v>
      </x:c>
      <x:c r="Q296" s="9" t="n">
        <x:v>0.8132</x:v>
      </x:c>
      <x:c r="R296" s="9" t="n">
        <x:v>0.1031</x:v>
      </x:c>
      <x:c r="S296" s="9" t="n">
        <x:v>0.0838</x:v>
      </x:c>
    </x:row>
    <x:row r="297" ht="128" customHeight="1">
      <x:c r="A297" s="2" t="str">
        <x:v>desk accessories for women</x:v>
      </x:c>
      <x:c r="B297" s="15" t="str">
        <x:v>desk accessories for women, desk sets and accessories for women, cute things for desk, desk accessories women, office must haves women desk aesthetic, home office desk essentials for women, office desk accessories set for women, cute desk accessories for teen girls, girly desk accessories for women, office desk sets for women</x:v>
      </x:c>
      <x:c r="C297" s="10" t="n">
        <x:v>83</x:v>
      </x:c>
      <x:c r="D297" s="10" t="n">
        <x:v>158624</x:v>
      </x:c>
      <x:c r="E297" s="9" t="str">
        <x:v>'-0.1216</x:v>
      </x:c>
      <x:c r="F297" s="10" t="n">
        <x:v>6163379</x:v>
      </x:c>
      <x:c r="G297" s="10" t="n">
        <x:v>51226</x:v>
      </x:c>
      <x:c r="H297" s="9" t="str">
        <x:v>'-0.1251</x:v>
      </x:c>
      <x:c r="I297" s="9" t="n">
        <x:v>0.3229</x:v>
      </x:c>
      <x:c r="J297" s="9" t="n">
        <x:v>0.0312</x:v>
      </x:c>
      <x:c r="K297" s="9" t="n">
        <x:v>0.0101</x:v>
      </x:c>
      <x:c r="L297" s="10" t="n">
        <x:v>1603</x:v>
      </x:c>
      <x:c r="M297" s="10" t="n">
        <x:v>26583</x:v>
      </x:c>
      <x:c r="N297" s="9" t="str">
        <x:v>'-0.0987</x:v>
      </x:c>
      <x:c r="O297" s="10" t="n">
        <x:v>21452</x:v>
      </x:c>
      <x:c r="P297" s="10" t="n">
        <x:v>1946</x:v>
      </x:c>
      <x:c r="Q297" s="9" t="n">
        <x:v>0.8069</x:v>
      </x:c>
      <x:c r="R297" s="9" t="n">
        <x:v>0.0907</x:v>
      </x:c>
      <x:c r="S297" s="9" t="n">
        <x:v>0.0732</x:v>
      </x:c>
    </x:row>
    <x:row r="298" ht="90" customHeight="1">
      <x:c r="A298" s="2" t="str">
        <x:v>optimus prime</x:v>
      </x:c>
      <x:c r="B298" s="15" t="str">
        <x:v>optimus prime, optimus prime action figure, optimus prime figure, optimus prime toy, optimus prime model kit, optimus prime action figures, optimus prime collectible, optimus prime figures, optimus prime model, optimus prime diecast</x:v>
      </x:c>
      <x:c r="C298" s="10" t="n">
        <x:v>56</x:v>
      </x:c>
      <x:c r="D298" s="10" t="n">
        <x:v>158600</x:v>
      </x:c>
      <x:c r="E298" s="9" t="n">
        <x:v>1.9874</x:v>
      </x:c>
      <x:c r="F298" s="10" t="n">
        <x:v>1783055</x:v>
      </x:c>
      <x:c r="G298" s="10" t="n">
        <x:v>66873</x:v>
      </x:c>
      <x:c r="H298" s="9" t="n">
        <x:v>2.1205</x:v>
      </x:c>
      <x:c r="I298" s="9" t="n">
        <x:v>0.4216</x:v>
      </x:c>
      <x:c r="J298" s="9" t="n">
        <x:v>0.0204</x:v>
      </x:c>
      <x:c r="K298" s="9" t="n">
        <x:v>0.0086</x:v>
      </x:c>
      <x:c r="L298" s="10" t="n">
        <x:v>1368</x:v>
      </x:c>
      <x:c r="M298" s="10" t="n">
        <x:v>13438</x:v>
      </x:c>
      <x:c r="N298" s="9" t="n">
        <x:v>1.5934</x:v>
      </x:c>
      <x:c r="O298" s="10" t="n">
        <x:v>10482</x:v>
      </x:c>
      <x:c r="P298" s="10" t="n">
        <x:v>896</x:v>
      </x:c>
      <x:c r="Q298" s="9" t="n">
        <x:v>0.78</x:v>
      </x:c>
      <x:c r="R298" s="9" t="n">
        <x:v>0.0854</x:v>
      </x:c>
      <x:c r="S298" s="9" t="n">
        <x:v>0.0666</x:v>
      </x:c>
    </x:row>
    <x:row r="299" ht="90" customHeight="1">
      <x:c r="A299" s="2" t="str">
        <x:v>water bottles 40 pack</x:v>
      </x:c>
      <x:c r="B299" s="15" t="str">
        <x:v>water bottles 40 pack, bottled water 40 pack, water 40 pack, bottle water 40 pack, 40 pack water bottles, spring water 40 pack, case of water 40 pack, water case 40 pack, agua en botellas de 40 paquete, purified bottled water 40 pack</x:v>
      </x:c>
      <x:c r="C299" s="10" t="n">
        <x:v>95</x:v>
      </x:c>
      <x:c r="D299" s="10" t="n">
        <x:v>158589</x:v>
      </x:c>
      <x:c r="E299" s="9" t="n">
        <x:v>0.1111</x:v>
      </x:c>
      <x:c r="F299" s="10" t="n">
        <x:v>3750551</x:v>
      </x:c>
      <x:c r="G299" s="10" t="n">
        <x:v>44012</x:v>
      </x:c>
      <x:c r="H299" s="9" t="n">
        <x:v>0.0982</x:v>
      </x:c>
      <x:c r="I299" s="9" t="n">
        <x:v>0.2775</x:v>
      </x:c>
      <x:c r="J299" s="9" t="n">
        <x:v>0.155</x:v>
      </x:c>
      <x:c r="K299" s="9" t="n">
        <x:v>0.043</x:v>
      </x:c>
      <x:c r="L299" s="10" t="n">
        <x:v>6822</x:v>
      </x:c>
      <x:c r="M299" s="10" t="n">
        <x:v>44721</x:v>
      </x:c>
      <x:c r="N299" s="9" t="n">
        <x:v>0.0624</x:v>
      </x:c>
      <x:c r="O299" s="10" t="n">
        <x:v>30708</x:v>
      </x:c>
      <x:c r="P299" s="10" t="n">
        <x:v>7185</x:v>
      </x:c>
      <x:c r="Q299" s="9" t="n">
        <x:v>0.6866</x:v>
      </x:c>
      <x:c r="R299" s="9" t="n">
        <x:v>0.2339</x:v>
      </x:c>
      <x:c r="S299" s="9" t="n">
        <x:v>0.1606</x:v>
      </x:c>
    </x:row>
    <x:row r="300" ht="109" customHeight="1">
      <x:c r="A300" s="2" t="str">
        <x:v>jewelry making supplies</x:v>
      </x:c>
      <x:c r="B300" s="15" t="str">
        <x:v>jewelry making supplies, jewelry supplies, beaded necklace kit, diy jewelry supplies, accesorios para bisutería, bracelet making supplies for adults, supplies for jewelry making, clearance jewelry making supplies, for jewelry making, bisutería para hacer pulseras</x:v>
      </x:c>
      <x:c r="C300" s="10" t="n">
        <x:v>94</x:v>
      </x:c>
      <x:c r="D300" s="10" t="n">
        <x:v>157781</x:v>
      </x:c>
      <x:c r="E300" s="9" t="str">
        <x:v>'-0.0006</x:v>
      </x:c>
      <x:c r="F300" s="10" t="n">
        <x:v>4897609</x:v>
      </x:c>
      <x:c r="G300" s="10" t="n">
        <x:v>63752</x:v>
      </x:c>
      <x:c r="H300" s="9" t="str">
        <x:v>'-0.0233</x:v>
      </x:c>
      <x:c r="I300" s="9" t="n">
        <x:v>0.404</x:v>
      </x:c>
      <x:c r="J300" s="9" t="n">
        <x:v>0.0505</x:v>
      </x:c>
      <x:c r="K300" s="9" t="n">
        <x:v>0.0204</x:v>
      </x:c>
      <x:c r="L300" s="10" t="n">
        <x:v>3220</x:v>
      </x:c>
      <x:c r="M300" s="10" t="n">
        <x:v>28755</x:v>
      </x:c>
      <x:c r="N300" s="9" t="str">
        <x:v>'-0.0434</x:v>
      </x:c>
      <x:c r="O300" s="10" t="n">
        <x:v>23015</x:v>
      </x:c>
      <x:c r="P300" s="10" t="n">
        <x:v>3306</x:v>
      </x:c>
      <x:c r="Q300" s="9" t="n">
        <x:v>0.8003</x:v>
      </x:c>
      <x:c r="R300" s="9" t="n">
        <x:v>0.1436</x:v>
      </x:c>
      <x:c r="S300" s="9" t="n">
        <x:v>0.1149</x:v>
      </x:c>
    </x:row>
    <x:row r="301" ht="90" customHeight="1">
      <x:c r="A301" s="2" t="str">
        <x:v>cabinet knobs</x:v>
      </x:c>
      <x:c r="B301" s="15" t="str">
        <x:v>cabinet knobs, kitchen knobs, ceramic cabinet knobs, ceramic knobs, ceramic drawer knobs, ceramic knobs for cabinets, cabinet knobs ceramic, ceramic door knobs, ceramic dresser knobs, ceramic kitchen cabinet knobs</x:v>
      </x:c>
      <x:c r="C301" s="10" t="n">
        <x:v>127</x:v>
      </x:c>
      <x:c r="D301" s="10" t="n">
        <x:v>157612</x:v>
      </x:c>
      <x:c r="E301" s="9" t="str">
        <x:v>'-0.0184</x:v>
      </x:c>
      <x:c r="F301" s="10" t="n">
        <x:v>4827748</x:v>
      </x:c>
      <x:c r="G301" s="10" t="n">
        <x:v>56774</x:v>
      </x:c>
      <x:c r="H301" s="9" t="str">
        <x:v>'-0.0191</x:v>
      </x:c>
      <x:c r="I301" s="9" t="n">
        <x:v>0.3602</x:v>
      </x:c>
      <x:c r="J301" s="9" t="n">
        <x:v>0.0425</x:v>
      </x:c>
      <x:c r="K301" s="9" t="n">
        <x:v>0.0153</x:v>
      </x:c>
      <x:c r="L301" s="10" t="n">
        <x:v>2417</x:v>
      </x:c>
      <x:c r="M301" s="10" t="n">
        <x:v>29470</x:v>
      </x:c>
      <x:c r="N301" s="9" t="n">
        <x:v>0.0028</x:v>
      </x:c>
      <x:c r="O301" s="10" t="n">
        <x:v>22318</x:v>
      </x:c>
      <x:c r="P301" s="10" t="n">
        <x:v>4296</x:v>
      </x:c>
      <x:c r="Q301" s="9" t="n">
        <x:v>0.7573</x:v>
      </x:c>
      <x:c r="R301" s="9" t="n">
        <x:v>0.1924</x:v>
      </x:c>
      <x:c r="S301" s="9" t="n">
        <x:v>0.1457</x:v>
      </x:c>
    </x:row>
    <x:row r="302" ht="90" customHeight="1">
      <x:c r="A302" s="2" t="str">
        <x:v>bar cabinet</x:v>
      </x:c>
      <x:c r="B302" s="15" t="str">
        <x:v>bar cabinet, home bar, liquor cabinet bar for home, bar stand for home, liquor bar for home, bar storage cabinet, cabinet bar, bar cabinets for home, bar with storage, wine bar cabinet with fridge space</x:v>
      </x:c>
      <x:c r="C302" s="10" t="n">
        <x:v>84</x:v>
      </x:c>
      <x:c r="D302" s="10" t="n">
        <x:v>156838</x:v>
      </x:c>
      <x:c r="E302" s="9" t="n">
        <x:v>0.04</x:v>
      </x:c>
      <x:c r="F302" s="10" t="n">
        <x:v>4253025</x:v>
      </x:c>
      <x:c r="G302" s="10" t="n">
        <x:v>56869</x:v>
      </x:c>
      <x:c r="H302" s="9" t="n">
        <x:v>0.056</x:v>
      </x:c>
      <x:c r="I302" s="9" t="n">
        <x:v>0.3625</x:v>
      </x:c>
      <x:c r="J302" s="9" t="n">
        <x:v>0.0061</x:v>
      </x:c>
      <x:c r="K302" s="9" t="n">
        <x:v>0.0022</x:v>
      </x:c>
      <x:c r="L302" s="10" t="n">
        <x:v>350</x:v>
      </x:c>
      <x:c r="M302" s="10" t="n">
        <x:v>29059</x:v>
      </x:c>
      <x:c r="N302" s="9" t="n">
        <x:v>0.0268</x:v>
      </x:c>
      <x:c r="O302" s="10" t="n">
        <x:v>21350</x:v>
      </x:c>
      <x:c r="P302" s="10" t="n">
        <x:v>481</x:v>
      </x:c>
      <x:c r="Q302" s="9" t="n">
        <x:v>0.7347</x:v>
      </x:c>
      <x:c r="R302" s="9" t="n">
        <x:v>0.0225</x:v>
      </x:c>
      <x:c r="S302" s="9" t="n">
        <x:v>0.0165</x:v>
      </x:c>
    </x:row>
    <x:row r="303" ht="90" customHeight="1">
      <x:c r="A303" s="2" t="str">
        <x:v>black lace top</x:v>
      </x:c>
      <x:c r="B303" s="15" t="str">
        <x:v>black lace top, lace black top, black lace tops, black lace going out top, black lace too, lace top black, black lace short sleeve top, black lace top short sleeve, black shirt with lace, lace black tops</x:v>
      </x:c>
      <x:c r="C303" s="10" t="n">
        <x:v>81</x:v>
      </x:c>
      <x:c r="D303" s="10" t="n">
        <x:v>156206</x:v>
      </x:c>
      <x:c r="E303" s="9" t="n">
        <x:v>0.4532</x:v>
      </x:c>
      <x:c r="F303" s="10" t="n">
        <x:v>4148545</x:v>
      </x:c>
      <x:c r="G303" s="10" t="n">
        <x:v>43368</x:v>
      </x:c>
      <x:c r="H303" s="9" t="n">
        <x:v>0.5096</x:v>
      </x:c>
      <x:c r="I303" s="9" t="n">
        <x:v>0.2776</x:v>
      </x:c>
      <x:c r="J303" s="9" t="n">
        <x:v>0.0283</x:v>
      </x:c>
      <x:c r="K303" s="9" t="n">
        <x:v>0.0078</x:v>
      </x:c>
      <x:c r="L303" s="10" t="n">
        <x:v>1228</x:v>
      </x:c>
      <x:c r="M303" s="10" t="n">
        <x:v>23314</x:v>
      </x:c>
      <x:c r="N303" s="9" t="n">
        <x:v>0.4388</x:v>
      </x:c>
      <x:c r="O303" s="10" t="n">
        <x:v>19154</x:v>
      </x:c>
      <x:c r="P303" s="10" t="n">
        <x:v>2836</x:v>
      </x:c>
      <x:c r="Q303" s="9" t="n">
        <x:v>0.8215</x:v>
      </x:c>
      <x:c r="R303" s="9" t="n">
        <x:v>0.148</x:v>
      </x:c>
      <x:c r="S303" s="9" t="n">
        <x:v>0.1216</x:v>
      </x:c>
    </x:row>
    <x:row r="304" ht="90" customHeight="1">
      <x:c r="A304" s="2" t="str">
        <x:v>gallon water bottle</x:v>
      </x:c>
      <x:c r="B304" s="15" t="str">
        <x:v>gallon water bottle, 1 gallon water bottle, 1 gallon jug, 1/2 gallon water bottle, water bottle 1 gallon, water jug 1 gallon, 1 gallon bottle, 1 gallon, 1 gallon jugs, 1 gallon water bottle with straw</x:v>
      </x:c>
      <x:c r="C304" s="10" t="n">
        <x:v>152</x:v>
      </x:c>
      <x:c r="D304" s="10" t="n">
        <x:v>155826</x:v>
      </x:c>
      <x:c r="E304" s="9" t="str">
        <x:v>'-0.0957</x:v>
      </x:c>
      <x:c r="F304" s="10" t="n">
        <x:v>5288126</x:v>
      </x:c>
      <x:c r="G304" s="10" t="n">
        <x:v>66655</x:v>
      </x:c>
      <x:c r="H304" s="9" t="str">
        <x:v>'-0.0912</x:v>
      </x:c>
      <x:c r="I304" s="9" t="n">
        <x:v>0.4277</x:v>
      </x:c>
      <x:c r="J304" s="9" t="n">
        <x:v>0.0885</x:v>
      </x:c>
      <x:c r="K304" s="9" t="n">
        <x:v>0.0378</x:v>
      </x:c>
      <x:c r="L304" s="10" t="n">
        <x:v>5900</x:v>
      </x:c>
      <x:c r="M304" s="10" t="n">
        <x:v>50897</x:v>
      </x:c>
      <x:c r="N304" s="9" t="str">
        <x:v>'-0.0827</x:v>
      </x:c>
      <x:c r="O304" s="10" t="n">
        <x:v>39054</x:v>
      </x:c>
      <x:c r="P304" s="10" t="n">
        <x:v>10603</x:v>
      </x:c>
      <x:c r="Q304" s="9" t="n">
        <x:v>0.7673</x:v>
      </x:c>
      <x:c r="R304" s="9" t="n">
        <x:v>0.2714</x:v>
      </x:c>
      <x:c r="S304" s="9" t="n">
        <x:v>0.2083</x:v>
      </x:c>
    </x:row>
    <x:row r="305" ht="90" customHeight="1">
      <x:c r="A305" s="2" t="str">
        <x:v>power rangers toys</x:v>
      </x:c>
      <x:c r="B305" s="15" t="str">
        <x:v>power rangers toys, power ranger, power ranger toys, power rangers action figures, power rangers costume, power ranger action figures, power rangers figures, power ranger figures, power rangers dinozords, power ranger toy</x:v>
      </x:c>
      <x:c r="C305" s="10" t="n">
        <x:v>165</x:v>
      </x:c>
      <x:c r="D305" s="10" t="n">
        <x:v>155824</x:v>
      </x:c>
      <x:c r="E305" s="9" t="n">
        <x:v>0.0488</x:v>
      </x:c>
      <x:c r="F305" s="10" t="n">
        <x:v>3412045</x:v>
      </x:c>
      <x:c r="G305" s="10" t="n">
        <x:v>61695</x:v>
      </x:c>
      <x:c r="H305" s="9" t="n">
        <x:v>0.0852</x:v>
      </x:c>
      <x:c r="I305" s="9" t="n">
        <x:v>0.3959</x:v>
      </x:c>
      <x:c r="J305" s="9" t="n">
        <x:v>0.0352</x:v>
      </x:c>
      <x:c r="K305" s="9" t="n">
        <x:v>0.0139</x:v>
      </x:c>
      <x:c r="L305" s="10" t="n">
        <x:v>2177</x:v>
      </x:c>
      <x:c r="M305" s="10" t="n">
        <x:v>20768</x:v>
      </x:c>
      <x:c r="N305" s="9" t="n">
        <x:v>0.0532</x:v>
      </x:c>
      <x:c r="O305" s="10" t="n">
        <x:v>15547</x:v>
      </x:c>
      <x:c r="P305" s="10" t="n">
        <x:v>1697</x:v>
      </x:c>
      <x:c r="Q305" s="9" t="n">
        <x:v>0.7486</x:v>
      </x:c>
      <x:c r="R305" s="9" t="n">
        <x:v>0.1091</x:v>
      </x:c>
      <x:c r="S305" s="9" t="n">
        <x:v>0.0817</x:v>
      </x:c>
    </x:row>
    <x:row r="306" ht="71" customHeight="1">
      <x:c r="A306" s="2" t="str">
        <x:v>cpu</x:v>
      </x:c>
      <x:c r="B306" s="15" t="str">
        <x:v>cpu, computer cpu processors, processors, pc cpu, procesadores cpu, am4 processor, cpu processor, procesador pc, ultra 9, pc processor</x:v>
      </x:c>
      <x:c r="C306" s="10" t="n">
        <x:v>101</x:v>
      </x:c>
      <x:c r="D306" s="10" t="n">
        <x:v>154749</x:v>
      </x:c>
      <x:c r="E306" s="9" t="str">
        <x:v>'-0.4883</x:v>
      </x:c>
      <x:c r="F306" s="10" t="n">
        <x:v>1494515</x:v>
      </x:c>
      <x:c r="G306" s="10" t="n">
        <x:v>30661</x:v>
      </x:c>
      <x:c r="H306" s="9" t="str">
        <x:v>'-0.0109</x:v>
      </x:c>
      <x:c r="I306" s="9" t="n">
        <x:v>0.1981</x:v>
      </x:c>
      <x:c r="J306" s="9" t="n">
        <x:v>0.0125</x:v>
      </x:c>
      <x:c r="K306" s="9" t="n">
        <x:v>0.0024</x:v>
      </x:c>
      <x:c r="L306" s="10" t="n">
        <x:v>384</x:v>
      </x:c>
      <x:c r="M306" s="10" t="n">
        <x:v>19170</x:v>
      </x:c>
      <x:c r="N306" s="9" t="str">
        <x:v>'-0.5283</x:v>
      </x:c>
      <x:c r="O306" s="10" t="n">
        <x:v>10580</x:v>
      </x:c>
      <x:c r="P306" s="10" t="n">
        <x:v>326</x:v>
      </x:c>
      <x:c r="Q306" s="9" t="n">
        <x:v>0.5519</x:v>
      </x:c>
      <x:c r="R306" s="9" t="n">
        <x:v>0.0308</x:v>
      </x:c>
      <x:c r="S306" s="9" t="n">
        <x:v>0.017</x:v>
      </x:c>
    </x:row>
    <x:row r="307" ht="128" customHeight="1">
      <x:c r="A307" s="2" t="str">
        <x:v>creatine gummies for women</x:v>
      </x:c>
      <x:c r="B307" s="15" t="str">
        <x:v>creatine gummies for women, creatine for women gummies, creatine monohydrate gummies for women, tone creatine gummies for women, best creatine gummies for women, bloom creatine gummies for women, creatine gummies women, clean nutra creatine for women, mary ruth creatine gummies women, creatine gummy for women</x:v>
      </x:c>
      <x:c r="C307" s="10" t="n">
        <x:v>158</x:v>
      </x:c>
      <x:c r="D307" s="10" t="n">
        <x:v>154261</x:v>
      </x:c>
      <x:c r="E307" s="9" t="str">
        <x:v>'-0.1645</x:v>
      </x:c>
      <x:c r="F307" s="10" t="n">
        <x:v>7159554</x:v>
      </x:c>
      <x:c r="G307" s="10" t="n">
        <x:v>80802</x:v>
      </x:c>
      <x:c r="H307" s="9" t="str">
        <x:v>'-0.1583</x:v>
      </x:c>
      <x:c r="I307" s="9" t="n">
        <x:v>0.5238</x:v>
      </x:c>
      <x:c r="J307" s="9" t="n">
        <x:v>0.1324</x:v>
      </x:c>
      <x:c r="K307" s="9" t="n">
        <x:v>0.0693</x:v>
      </x:c>
      <x:c r="L307" s="10" t="n">
        <x:v>10702</x:v>
      </x:c>
      <x:c r="M307" s="10" t="n">
        <x:v>67618</x:v>
      </x:c>
      <x:c r="N307" s="9" t="str">
        <x:v>'-0.1599</x:v>
      </x:c>
      <x:c r="O307" s="10" t="n">
        <x:v>54323</x:v>
      </x:c>
      <x:c r="P307" s="10" t="n">
        <x:v>15949</x:v>
      </x:c>
      <x:c r="Q307" s="9" t="n">
        <x:v>0.8033</x:v>
      </x:c>
      <x:c r="R307" s="9" t="n">
        <x:v>0.2935</x:v>
      </x:c>
      <x:c r="S307" s="9" t="n">
        <x:v>0.2358</x:v>
      </x:c>
    </x:row>
    <x:row r="308" ht="71" customHeight="1">
      <x:c r="A308" s="2" t="str">
        <x:v>wrap top</x:v>
      </x:c>
      <x:c r="B308" s="15" t="str">
        <x:v>wrap top, wrap tops for women, wrap tops, long sleeve tie front top, wrap shirts, wrap top long sleeve, wrap around shirt, ballet shirt, cropped wrap top, long sleeve tie top</x:v>
      </x:c>
      <x:c r="C308" s="10" t="n">
        <x:v>107</x:v>
      </x:c>
      <x:c r="D308" s="10" t="n">
        <x:v>153898</x:v>
      </x:c>
      <x:c r="E308" s="9" t="n">
        <x:v>0.1329</x:v>
      </x:c>
      <x:c r="F308" s="10" t="n">
        <x:v>5282417</x:v>
      </x:c>
      <x:c r="G308" s="10" t="n">
        <x:v>54840</x:v>
      </x:c>
      <x:c r="H308" s="9" t="n">
        <x:v>0.1677</x:v>
      </x:c>
      <x:c r="I308" s="9" t="n">
        <x:v>0.3563</x:v>
      </x:c>
      <x:c r="J308" s="9" t="n">
        <x:v>0.0166</x:v>
      </x:c>
      <x:c r="K308" s="9" t="n">
        <x:v>0.0059</x:v>
      </x:c>
      <x:c r="L308" s="10" t="n">
        <x:v>915</x:v>
      </x:c>
      <x:c r="M308" s="10" t="n">
        <x:v>33428</x:v>
      </x:c>
      <x:c r="N308" s="9" t="n">
        <x:v>0.1468</x:v>
      </x:c>
      <x:c r="O308" s="10" t="n">
        <x:v>27396</x:v>
      </x:c>
      <x:c r="P308" s="10" t="n">
        <x:v>3337</x:v>
      </x:c>
      <x:c r="Q308" s="9" t="n">
        <x:v>0.8195</x:v>
      </x:c>
      <x:c r="R308" s="9" t="n">
        <x:v>0.1218</x:v>
      </x:c>
      <x:c r="S308" s="9" t="n">
        <x:v>0.0998</x:v>
      </x:c>
    </x:row>
    <x:row r="309" ht="90" customHeight="1">
      <x:c r="A309" s="2" t="str">
        <x:v>pomegranate</x:v>
      </x:c>
      <x:c r="B309" s="15" t="str">
        <x:v>pomegranate, pomegranate juice, pom juice, pomegranate concentrate, pom pomegranate juice, pomegranate pure juice, juego de granada natural, pomegranate juice pom, palm juice, juego de granada organico</x:v>
      </x:c>
      <x:c r="C309" s="10" t="n">
        <x:v>80</x:v>
      </x:c>
      <x:c r="D309" s="10" t="n">
        <x:v>153812</x:v>
      </x:c>
      <x:c r="E309" s="9" t="n">
        <x:v>0.2112</x:v>
      </x:c>
      <x:c r="F309" s="10" t="n">
        <x:v>3647976</x:v>
      </x:c>
      <x:c r="G309" s="10" t="n">
        <x:v>57864</x:v>
      </x:c>
      <x:c r="H309" s="9" t="n">
        <x:v>0.1498</x:v>
      </x:c>
      <x:c r="I309" s="9" t="n">
        <x:v>0.3761</x:v>
      </x:c>
      <x:c r="J309" s="9" t="n">
        <x:v>0.2153</x:v>
      </x:c>
      <x:c r="K309" s="9" t="n">
        <x:v>0.081</x:v>
      </x:c>
      <x:c r="L309" s="10" t="n">
        <x:v>12462</x:v>
      </x:c>
      <x:c r="M309" s="10" t="n">
        <x:v>45899</x:v>
      </x:c>
      <x:c r="N309" s="9" t="n">
        <x:v>0.1784</x:v>
      </x:c>
      <x:c r="O309" s="10" t="n">
        <x:v>34433</x:v>
      </x:c>
      <x:c r="P309" s="10" t="n">
        <x:v>12102</x:v>
      </x:c>
      <x:c r="Q309" s="9" t="n">
        <x:v>0.7501</x:v>
      </x:c>
      <x:c r="R309" s="9" t="n">
        <x:v>0.3514</x:v>
      </x:c>
      <x:c r="S309" s="9" t="n">
        <x:v>0.2636</x:v>
      </x:c>
    </x:row>
    <x:row r="310" ht="109" customHeight="1">
      <x:c r="A310" s="2" t="str">
        <x:v>tv stand for 75 inch tv</x:v>
      </x:c>
      <x:c r="B310" s="15" t="str">
        <x:v>tv stand for 75 inch tv, 75 inch tv stand, tv stand 75 inch, tv stands for living room 75+ inch, entertainment center for 75+ inch tv, 75 in tv stand, entertainment center 75 inch, tv stands 75 inch, tv stands for 75 inch tv, entertainment center 75 inch tv</x:v>
      </x:c>
      <x:c r="C310" s="10" t="n">
        <x:v>168</x:v>
      </x:c>
      <x:c r="D310" s="10" t="n">
        <x:v>153584</x:v>
      </x:c>
      <x:c r="E310" s="9" t="n">
        <x:v>0.1028</x:v>
      </x:c>
      <x:c r="F310" s="10" t="n">
        <x:v>4083026</x:v>
      </x:c>
      <x:c r="G310" s="10" t="n">
        <x:v>62851</x:v>
      </x:c>
      <x:c r="H310" s="9" t="n">
        <x:v>0.0856</x:v>
      </x:c>
      <x:c r="I310" s="9" t="n">
        <x:v>0.4092</x:v>
      </x:c>
      <x:c r="J310" s="9" t="n">
        <x:v>0.0192</x:v>
      </x:c>
      <x:c r="K310" s="9" t="n">
        <x:v>0.0078</x:v>
      </x:c>
      <x:c r="L310" s="10" t="n">
        <x:v>1211</x:v>
      </x:c>
      <x:c r="M310" s="10" t="n">
        <x:v>27485</x:v>
      </x:c>
      <x:c r="N310" s="9" t="n">
        <x:v>0.0948</x:v>
      </x:c>
      <x:c r="O310" s="10" t="n">
        <x:v>21075</x:v>
      </x:c>
      <x:c r="P310" s="10" t="n">
        <x:v>1543</x:v>
      </x:c>
      <x:c r="Q310" s="9" t="n">
        <x:v>0.7667</x:v>
      </x:c>
      <x:c r="R310" s="9" t="n">
        <x:v>0.0732</x:v>
      </x:c>
      <x:c r="S310" s="9" t="n">
        <x:v>0.0561</x:v>
      </x:c>
    </x:row>
    <x:row r="311" ht="90" customHeight="1">
      <x:c r="A311" s="2" t="str">
        <x:v>toilet paper bulk</x:v>
      </x:c>
      <x:c r="B311" s="15" t="str">
        <x:v>toilet paper bulk, bulk toilet paper, toilet tissue bulk, toilet paper bulk prime deal, bulk toilet paper 2 ply, 2 ply toilet paper bulk, toilet paper box, bulk toilet paper pack, 1 ply toilet paper bulk, septic safe toilet paper bulk</x:v>
      </x:c>
      <x:c r="C311" s="10" t="n">
        <x:v>167</x:v>
      </x:c>
      <x:c r="D311" s="10" t="n">
        <x:v>153426</x:v>
      </x:c>
      <x:c r="E311" s="9" t="str">
        <x:v>'-0.0421</x:v>
      </x:c>
      <x:c r="F311" s="10" t="n">
        <x:v>7171431</x:v>
      </x:c>
      <x:c r="G311" s="10" t="n">
        <x:v>72569</x:v>
      </x:c>
      <x:c r="H311" s="9" t="str">
        <x:v>'-0.0521</x:v>
      </x:c>
      <x:c r="I311" s="9" t="n">
        <x:v>0.4729</x:v>
      </x:c>
      <x:c r="J311" s="9" t="n">
        <x:v>0.3184</x:v>
      </x:c>
      <x:c r="K311" s="9" t="n">
        <x:v>0.1506</x:v>
      </x:c>
      <x:c r="L311" s="10" t="n">
        <x:v>23106</x:v>
      </x:c>
      <x:c r="M311" s="10" t="n">
        <x:v>74972</x:v>
      </x:c>
      <x:c r="N311" s="9" t="str">
        <x:v>'-0.0868</x:v>
      </x:c>
      <x:c r="O311" s="10" t="n">
        <x:v>61174</x:v>
      </x:c>
      <x:c r="P311" s="10" t="n">
        <x:v>30128</x:v>
      </x:c>
      <x:c r="Q311" s="9" t="n">
        <x:v>0.8159</x:v>
      </x:c>
      <x:c r="R311" s="9" t="n">
        <x:v>0.4924</x:v>
      </x:c>
      <x:c r="S311" s="9" t="n">
        <x:v>0.4018</x:v>
      </x:c>
    </x:row>
    <x:row r="312" ht="109" customHeight="1">
      <x:c r="A312" s="2" t="str">
        <x:v>insulin syringe 100 units</x:v>
      </x:c>
      <x:c r="B312" s="15" t="str">
        <x:v>insulin syringe 100 units, 100 unit insulin syringes with needle, insulin needles 100 units, 100 unit syringes with needle, insulin syringes 100 units, 100 unit syringe, 100 units insulin syringes with needle, diabetic syringes 100 units, 100 unit syringes for peptides, 100 unit insulin syringes</x:v>
      </x:c>
      <x:c r="C312" s="10" t="n">
        <x:v>93</x:v>
      </x:c>
      <x:c r="D312" s="10" t="n">
        <x:v>153302</x:v>
      </x:c>
      <x:c r="E312" s="9" t="n">
        <x:v>0.2437</x:v>
      </x:c>
      <x:c r="F312" s="10" t="n">
        <x:v>1878915</x:v>
      </x:c>
      <x:c r="G312" s="10" t="n">
        <x:v>81119</x:v>
      </x:c>
      <x:c r="H312" s="9" t="n">
        <x:v>0.2376</x:v>
      </x:c>
      <x:c r="I312" s="9" t="n">
        <x:v>0.5291</x:v>
      </x:c>
      <x:c r="J312" s="9" t="n">
        <x:v>0.2681</x:v>
      </x:c>
      <x:c r="K312" s="9" t="n">
        <x:v>0.1418</x:v>
      </x:c>
      <x:c r="L312" s="10" t="n">
        <x:v>21751</x:v>
      </x:c>
      <x:c r="M312" s="10" t="n">
        <x:v>52519</x:v>
      </x:c>
      <x:c r="N312" s="9" t="n">
        <x:v>0.259</x:v>
      </x:c>
      <x:c r="O312" s="10" t="n">
        <x:v>44348</x:v>
      </x:c>
      <x:c r="P312" s="10" t="n">
        <x:v>20915</x:v>
      </x:c>
      <x:c r="Q312" s="9" t="n">
        <x:v>0.8444</x:v>
      </x:c>
      <x:c r="R312" s="9" t="n">
        <x:v>0.4716</x:v>
      </x:c>
      <x:c r="S312" s="9" t="n">
        <x:v>0.3982</x:v>
      </x:c>
    </x:row>
    <x:row r="313" ht="90" customHeight="1">
      <x:c r="A313" s="2" t="str">
        <x:v>gazebo</x:v>
      </x:c>
      <x:c r="B313" s="15" t="str">
        <x:v>gazebo, gazebos, steel gazebo, steel frame outdoor canopy, the gazebo, steel frame gazebo, gazebo steel roof, hardtop grill gazebo steel roof, steel hardtop gazebo, steel patio gazebo</x:v>
      </x:c>
      <x:c r="C313" s="10" t="n">
        <x:v>32</x:v>
      </x:c>
      <x:c r="D313" s="10" t="n">
        <x:v>153244</x:v>
      </x:c>
      <x:c r="E313" s="9" t="str">
        <x:v>'-0.187</x:v>
      </x:c>
      <x:c r="F313" s="10" t="n">
        <x:v>4733406</x:v>
      </x:c>
      <x:c r="G313" s="10" t="n">
        <x:v>57717</x:v>
      </x:c>
      <x:c r="H313" s="9" t="str">
        <x:v>'-0.1902</x:v>
      </x:c>
      <x:c r="I313" s="9" t="n">
        <x:v>0.3766</x:v>
      </x:c>
      <x:c r="J313" s="9" t="n">
        <x:v>0.0052</x:v>
      </x:c>
      <x:c r="K313" s="9" t="n">
        <x:v>0.0019</x:v>
      </x:c>
      <x:c r="L313" s="10" t="n">
        <x:v>302</x:v>
      </x:c>
      <x:c r="M313" s="10" t="n">
        <x:v>40976</x:v>
      </x:c>
      <x:c r="N313" s="9" t="str">
        <x:v>'-0.1814</x:v>
      </x:c>
      <x:c r="O313" s="10" t="n">
        <x:v>28995</x:v>
      </x:c>
      <x:c r="P313" s="10" t="n">
        <x:v>494</x:v>
      </x:c>
      <x:c r="Q313" s="9" t="n">
        <x:v>0.7076</x:v>
      </x:c>
      <x:c r="R313" s="9" t="n">
        <x:v>0.017</x:v>
      </x:c>
      <x:c r="S313" s="9" t="n">
        <x:v>0.012</x:v>
      </x:c>
    </x:row>
    <x:row r="314" ht="90" customHeight="1">
      <x:c r="A314" s="2" t="str">
        <x:v>suede purse</x:v>
      </x:c>
      <x:c r="B314" s="15" t="str">
        <x:v>suede purse, suede bag, suede purses for women, suede shoulder bag, suede handbag, suede bucket bag, suede purses, slouchy suede shoulder bags, suede slouchy shoulder bag, slouchy suede bag</x:v>
      </x:c>
      <x:c r="C314" s="10" t="n">
        <x:v>154</x:v>
      </x:c>
      <x:c r="D314" s="10" t="n">
        <x:v>152569</x:v>
      </x:c>
      <x:c r="E314" s="9" t="n">
        <x:v>1.1175</x:v>
      </x:c>
      <x:c r="F314" s="10" t="n">
        <x:v>3516541</x:v>
      </x:c>
      <x:c r="G314" s="10" t="n">
        <x:v>74450</x:v>
      </x:c>
      <x:c r="H314" s="9" t="n">
        <x:v>1.1268</x:v>
      </x:c>
      <x:c r="I314" s="9" t="n">
        <x:v>0.4879</x:v>
      </x:c>
      <x:c r="J314" s="9" t="n">
        <x:v>0.0091</x:v>
      </x:c>
      <x:c r="K314" s="9" t="n">
        <x:v>0.0044</x:v>
      </x:c>
      <x:c r="L314" s="10" t="n">
        <x:v>683</x:v>
      </x:c>
      <x:c r="M314" s="10" t="n">
        <x:v>17794</x:v>
      </x:c>
      <x:c r="N314" s="9" t="n">
        <x:v>1.0789</x:v>
      </x:c>
      <x:c r="O314" s="10" t="n">
        <x:v>14682</x:v>
      </x:c>
      <x:c r="P314" s="10" t="n">
        <x:v>687</x:v>
      </x:c>
      <x:c r="Q314" s="9" t="n">
        <x:v>0.8251</x:v>
      </x:c>
      <x:c r="R314" s="9" t="n">
        <x:v>0.0467</x:v>
      </x:c>
      <x:c r="S314" s="9" t="n">
        <x:v>0.0386</x:v>
      </x:c>
    </x:row>
    <x:row r="315" ht="71" customHeight="1">
      <x:c r="A315" s="2" t="str">
        <x:v>pita bread</x:v>
      </x:c>
      <x:c r="B315" s="15" t="str">
        <x:v>pita bread, pita, shawarma bread, arabic bread, peta bread, pita pocket, low carb pita bread, pitta bread, greek pita bread, keto pita</x:v>
      </x:c>
      <x:c r="C315" s="10" t="n">
        <x:v>153</x:v>
      </x:c>
      <x:c r="D315" s="10" t="n">
        <x:v>152521</x:v>
      </x:c>
      <x:c r="E315" s="9" t="n">
        <x:v>0.0593</x:v>
      </x:c>
      <x:c r="F315" s="10" t="n">
        <x:v>3507312</x:v>
      </x:c>
      <x:c r="G315" s="10" t="n">
        <x:v>69340</x:v>
      </x:c>
      <x:c r="H315" s="9" t="n">
        <x:v>0.0019</x:v>
      </x:c>
      <x:c r="I315" s="9" t="n">
        <x:v>0.4546</x:v>
      </x:c>
      <x:c r="J315" s="9" t="n">
        <x:v>0.3508</x:v>
      </x:c>
      <x:c r="K315" s="9" t="n">
        <x:v>0.1595</x:v>
      </x:c>
      <x:c r="L315" s="10" t="n">
        <x:v>24330</x:v>
      </x:c>
      <x:c r="M315" s="10" t="n">
        <x:v>56569</x:v>
      </x:c>
      <x:c r="N315" s="9" t="n">
        <x:v>0.0604</x:v>
      </x:c>
      <x:c r="O315" s="10" t="n">
        <x:v>48992</x:v>
      </x:c>
      <x:c r="P315" s="10" t="n">
        <x:v>25111</x:v>
      </x:c>
      <x:c r="Q315" s="9" t="n">
        <x:v>0.866</x:v>
      </x:c>
      <x:c r="R315" s="9" t="n">
        <x:v>0.5125</x:v>
      </x:c>
      <x:c r="S315" s="9" t="n">
        <x:v>0.4439</x:v>
      </x:c>
    </x:row>
    <x:row r="316" ht="90" customHeight="1">
      <x:c r="A316" s="2" t="str">
        <x:v>iron man costume</x:v>
      </x:c>
      <x:c r="B316" s="15" t="str">
        <x:v>iron man costume, iron man suit, iron man costume kids, iron man costume adult, iron man costume men, ironman costume, iron man kids costume, kids iron man costume, iron man costume for kids, adult iron man costume</x:v>
      </x:c>
      <x:c r="C316" s="10" t="n">
        <x:v>164</x:v>
      </x:c>
      <x:c r="D316" s="10" t="n">
        <x:v>151743</x:v>
      </x:c>
      <x:c r="E316" s="9" t="n">
        <x:v>0.7538</x:v>
      </x:c>
      <x:c r="F316" s="10" t="n">
        <x:v>2037924</x:v>
      </x:c>
      <x:c r="G316" s="10" t="n">
        <x:v>58078</x:v>
      </x:c>
      <x:c r="H316" s="9" t="n">
        <x:v>0.8029</x:v>
      </x:c>
      <x:c r="I316" s="9" t="n">
        <x:v>0.3827</x:v>
      </x:c>
      <x:c r="J316" s="9" t="n">
        <x:v>0.0152</x:v>
      </x:c>
      <x:c r="K316" s="9" t="n">
        <x:v>0.0058</x:v>
      </x:c>
      <x:c r="L316" s="10" t="n">
        <x:v>886</x:v>
      </x:c>
      <x:c r="M316" s="10" t="n">
        <x:v>18599</x:v>
      </x:c>
      <x:c r="N316" s="9" t="n">
        <x:v>0.7386</x:v>
      </x:c>
      <x:c r="O316" s="10" t="n">
        <x:v>14020</x:v>
      </x:c>
      <x:c r="P316" s="10" t="n">
        <x:v>727</x:v>
      </x:c>
      <x:c r="Q316" s="9" t="n">
        <x:v>0.7538</x:v>
      </x:c>
      <x:c r="R316" s="9" t="n">
        <x:v>0.0518</x:v>
      </x:c>
      <x:c r="S316" s="9" t="n">
        <x:v>0.039</x:v>
      </x:c>
    </x:row>
    <x:row r="317" ht="109" customHeight="1">
      <x:c r="A317" s="2" t="str">
        <x:v>batman knightfall</x:v>
      </x:c>
      <x:c r="B317" s="15" t="str">
        <x:v>batman knightfall, batman knightfall part 1, batman knightfall part 1 knightfall, batman: knightfall, batman knightfall part 2, batman knightfall comic, batman knightfall vol 1, knightfall batman, batman: knightfall part 1, batman knightfall book</x:v>
      </x:c>
      <x:c r="C317" s="10" t="n">
        <x:v>40</x:v>
      </x:c>
      <x:c r="D317" s="10" t="n">
        <x:v>151547</x:v>
      </x:c>
      <x:c r="E317" s="9" t="n">
        <x:v>8.6006</x:v>
      </x:c>
      <x:c r="F317" s="10" t="n">
        <x:v>1896324</x:v>
      </x:c>
      <x:c r="G317" s="10" t="n">
        <x:v>38590</x:v>
      </x:c>
      <x:c r="H317" s="9" t="n">
        <x:v>4.097</x:v>
      </x:c>
      <x:c r="I317" s="9" t="n">
        <x:v>0.2546</x:v>
      </x:c>
      <x:c r="J317" s="9" t="n">
        <x:v>0.0808</x:v>
      </x:c>
      <x:c r="K317" s="9" t="n">
        <x:v>0.0205</x:v>
      </x:c>
      <x:c r="L317" s="10" t="n">
        <x:v>3120</x:v>
      </x:c>
      <x:c r="M317" s="10" t="n">
        <x:v>49776</x:v>
      </x:c>
      <x:c r="N317" s="9" t="n">
        <x:v>10.6684</x:v>
      </x:c>
      <x:c r="O317" s="10" t="n">
        <x:v>36032</x:v>
      </x:c>
      <x:c r="P317" s="10" t="n">
        <x:v>1782</x:v>
      </x:c>
      <x:c r="Q317" s="9" t="n">
        <x:v>0.7238</x:v>
      </x:c>
      <x:c r="R317" s="9" t="n">
        <x:v>0.0494</x:v>
      </x:c>
      <x:c r="S317" s="9" t="n">
        <x:v>0.0358</x:v>
      </x:c>
    </x:row>
    <x:row r="318" ht="109" customHeight="1">
      <x:c r="A318" s="2" t="str">
        <x:v>light blue dress for women</x:v>
      </x:c>
      <x:c r="B318" s="15" t="str">
        <x:v>light blue dress for women, vestido azul cielo para mujer, womens light blue dress, light blue dress women, light blue dresses for women, vestido celeste para mujer, vestidos celestes para mujer, light blue dress for women short, light blue summer dresses for women, women light blue dress</x:v>
      </x:c>
      <x:c r="C318" s="10" t="n">
        <x:v>145</x:v>
      </x:c>
      <x:c r="D318" s="10" t="n">
        <x:v>151197</x:v>
      </x:c>
      <x:c r="E318" s="9" t="str">
        <x:v>'-0.0437</x:v>
      </x:c>
      <x:c r="F318" s="10" t="n">
        <x:v>5000183</x:v>
      </x:c>
      <x:c r="G318" s="10" t="n">
        <x:v>38978</x:v>
      </x:c>
      <x:c r="H318" s="9" t="str">
        <x:v>'-0.0175</x:v>
      </x:c>
      <x:c r="I318" s="9" t="n">
        <x:v>0.2577</x:v>
      </x:c>
      <x:c r="J318" s="9" t="n">
        <x:v>0.0151</x:v>
      </x:c>
      <x:c r="K318" s="9" t="n">
        <x:v>0.0039</x:v>
      </x:c>
      <x:c r="L318" s="10" t="n">
        <x:v>591</x:v>
      </x:c>
      <x:c r="M318" s="10" t="n">
        <x:v>20277</x:v>
      </x:c>
      <x:c r="N318" s="9" t="str">
        <x:v>'-0.0516</x:v>
      </x:c>
      <x:c r="O318" s="10" t="n">
        <x:v>16363</x:v>
      </x:c>
      <x:c r="P318" s="10" t="n">
        <x:v>2069</x:v>
      </x:c>
      <x:c r="Q318" s="9" t="n">
        <x:v>0.8069</x:v>
      </x:c>
      <x:c r="R318" s="9" t="n">
        <x:v>0.1264</x:v>
      </x:c>
      <x:c r="S318" s="9" t="n">
        <x:v>0.102</x:v>
      </x:c>
    </x:row>
    <x:row r="319" ht="90" customHeight="1">
      <x:c r="A319" s="2" t="str">
        <x:v>pumpkin dutch oven</x:v>
      </x:c>
      <x:c r="B319" s="15" t="str">
        <x:v>pumpkin dutch oven, pumpkin pot, pumpkin pots for cooking, pumpkin dutch oven pot with lid, cauldron dutch oven, pumpkin shaped dutch oven, pumpkin soup pot, olla de calabaza para cocinar, pumpkin cooking pot, pumpkin pots</x:v>
      </x:c>
      <x:c r="C319" s="10" t="n">
        <x:v>136</x:v>
      </x:c>
      <x:c r="D319" s="10" t="n">
        <x:v>150976</x:v>
      </x:c>
      <x:c r="E319" s="9" t="n">
        <x:v>1.3157</x:v>
      </x:c>
      <x:c r="F319" s="10" t="n">
        <x:v>2618430</x:v>
      </x:c>
      <x:c r="G319" s="10" t="n">
        <x:v>63821</x:v>
      </x:c>
      <x:c r="H319" s="9" t="n">
        <x:v>1.1487</x:v>
      </x:c>
      <x:c r="I319" s="9" t="n">
        <x:v>0.4227</x:v>
      </x:c>
      <x:c r="J319" s="9" t="n">
        <x:v>0.0096</x:v>
      </x:c>
      <x:c r="K319" s="9" t="n">
        <x:v>0.004</x:v>
      </x:c>
      <x:c r="L319" s="10" t="n">
        <x:v>616</x:v>
      </x:c>
      <x:c r="M319" s="10" t="n">
        <x:v>28031</x:v>
      </x:c>
      <x:c r="N319" s="9" t="n">
        <x:v>1.3403</x:v>
      </x:c>
      <x:c r="O319" s="10" t="n">
        <x:v>20119</x:v>
      </x:c>
      <x:c r="P319" s="10" t="n">
        <x:v>342</x:v>
      </x:c>
      <x:c r="Q319" s="9" t="n">
        <x:v>0.7177</x:v>
      </x:c>
      <x:c r="R319" s="9" t="n">
        <x:v>0.0169</x:v>
      </x:c>
      <x:c r="S319" s="9" t="n">
        <x:v>0.0122</x:v>
      </x:c>
    </x:row>
    <x:row r="320" ht="90" customHeight="1">
      <x:c r="A320" s="2" t="str">
        <x:v>pet dog supplies</x:v>
      </x:c>
      <x:c r="B320" s="15" t="str">
        <x:v>pet dog supplies, dog essentials, puppy accessories, pet accessories for dogs, golden retriever puppy essentials, dachshund puppy essentials, dog needs, accessories for dogs, frenchie puppy must haves, outdoor dog stuff</x:v>
      </x:c>
      <x:c r="C320" s="10" t="n">
        <x:v>99</x:v>
      </x:c>
      <x:c r="D320" s="10" t="n">
        <x:v>150740</x:v>
      </x:c>
      <x:c r="E320" s="9" t="str">
        <x:v>'-0.0363</x:v>
      </x:c>
      <x:c r="F320" s="10" t="n">
        <x:v>2726694</x:v>
      </x:c>
      <x:c r="G320" s="10" t="n">
        <x:v>37455</x:v>
      </x:c>
      <x:c r="H320" s="9" t="str">
        <x:v>'-0.0387</x:v>
      </x:c>
      <x:c r="I320" s="9" t="n">
        <x:v>0.2484</x:v>
      </x:c>
      <x:c r="J320" s="9" t="n">
        <x:v>0.0352</x:v>
      </x:c>
      <x:c r="K320" s="9" t="n">
        <x:v>0.0087</x:v>
      </x:c>
      <x:c r="L320" s="10" t="n">
        <x:v>1322</x:v>
      </x:c>
      <x:c r="M320" s="10" t="n">
        <x:v>16300</x:v>
      </x:c>
      <x:c r="N320" s="9" t="str">
        <x:v>'-0.0207</x:v>
      </x:c>
      <x:c r="O320" s="10" t="n">
        <x:v>10560</x:v>
      </x:c>
      <x:c r="P320" s="10" t="n">
        <x:v>1169</x:v>
      </x:c>
      <x:c r="Q320" s="9" t="n">
        <x:v>0.6478</x:v>
      </x:c>
      <x:c r="R320" s="9" t="n">
        <x:v>0.1107</x:v>
      </x:c>
      <x:c r="S320" s="9" t="n">
        <x:v>0.0717</x:v>
      </x:c>
    </x:row>
    <x:row r="321" ht="90" customHeight="1">
      <x:c r="A321" s="2" t="str">
        <x:v>leather jacket</x:v>
      </x:c>
      <x:c r="B321" s="15" t="str">
        <x:v>leather jacket, womens leather jacket, leather jackets, leather bomber jacket, leather jacket cropped, fake leather jacket, leather coat, baggy leather jacket, clearance leather jackets, long leather jacket</x:v>
      </x:c>
      <x:c r="C321" s="10" t="n">
        <x:v>109</x:v>
      </x:c>
      <x:c r="D321" s="10" t="n">
        <x:v>150405</x:v>
      </x:c>
      <x:c r="E321" s="9" t="n">
        <x:v>0.2533</x:v>
      </x:c>
      <x:c r="F321" s="10" t="n">
        <x:v>3278231</x:v>
      </x:c>
      <x:c r="G321" s="10" t="n">
        <x:v>42892</x:v>
      </x:c>
      <x:c r="H321" s="9" t="n">
        <x:v>0.2308</x:v>
      </x:c>
      <x:c r="I321" s="9" t="n">
        <x:v>0.2851</x:v>
      </x:c>
      <x:c r="J321" s="9" t="n">
        <x:v>0.0128</x:v>
      </x:c>
      <x:c r="K321" s="9" t="n">
        <x:v>0.0036</x:v>
      </x:c>
      <x:c r="L321" s="10" t="n">
        <x:v>553</x:v>
      </x:c>
      <x:c r="M321" s="10" t="n">
        <x:v>26852</x:v>
      </x:c>
      <x:c r="N321" s="9" t="n">
        <x:v>0.206</x:v>
      </x:c>
      <x:c r="O321" s="10" t="n">
        <x:v>19270</x:v>
      </x:c>
      <x:c r="P321" s="10" t="n">
        <x:v>1647</x:v>
      </x:c>
      <x:c r="Q321" s="9" t="n">
        <x:v>0.7176</x:v>
      </x:c>
      <x:c r="R321" s="9" t="n">
        <x:v>0.0854</x:v>
      </x:c>
      <x:c r="S321" s="9" t="n">
        <x:v>0.0613</x:v>
      </x:c>
    </x:row>
    <x:row r="322" ht="90" customHeight="1">
      <x:c r="A322" s="2" t="str">
        <x:v>shrek costume</x:v>
      </x:c>
      <x:c r="B322" s="15" t="str">
        <x:v>shrek costume, shrek costume adult, shrek costumes, shrek character costumes, shrek costume women, shrek costume men, shrek halloween costume, dragon shrek costume, shrek character costumes adults, disfraz de shrek</x:v>
      </x:c>
      <x:c r="C322" s="10" t="n">
        <x:v>168</x:v>
      </x:c>
      <x:c r="D322" s="10" t="n">
        <x:v>150324</x:v>
      </x:c>
      <x:c r="E322" s="9" t="n">
        <x:v>1.3553</x:v>
      </x:c>
      <x:c r="F322" s="10" t="n">
        <x:v>2147094</x:v>
      </x:c>
      <x:c r="G322" s="10" t="n">
        <x:v>45905</x:v>
      </x:c>
      <x:c r="H322" s="9" t="n">
        <x:v>1.5261</x:v>
      </x:c>
      <x:c r="I322" s="9" t="n">
        <x:v>0.3053</x:v>
      </x:c>
      <x:c r="J322" s="9" t="n">
        <x:v>0.0153</x:v>
      </x:c>
      <x:c r="K322" s="9" t="n">
        <x:v>0.0046</x:v>
      </x:c>
      <x:c r="L322" s="10" t="n">
        <x:v>705</x:v>
      </x:c>
      <x:c r="M322" s="10" t="n">
        <x:v>15309</x:v>
      </x:c>
      <x:c r="N322" s="9" t="n">
        <x:v>1.3185</x:v>
      </x:c>
      <x:c r="O322" s="10" t="n">
        <x:v>10272</x:v>
      </x:c>
      <x:c r="P322" s="10" t="n">
        <x:v>633</x:v>
      </x:c>
      <x:c r="Q322" s="9" t="n">
        <x:v>0.6709</x:v>
      </x:c>
      <x:c r="R322" s="9" t="n">
        <x:v>0.0616</x:v>
      </x:c>
      <x:c r="S322" s="9" t="n">
        <x:v>0.0413</x:v>
      </x:c>
    </x:row>
    <x:row r="323" ht="71" customHeight="1">
      <x:c r="A323" s="2" t="str">
        <x:v>air cannon toy</x:v>
      </x:c>
      <x:c r="B323" s="15" t="str">
        <x:v>air cannon toy, air cannon, airzooka, air cannon blaster, air vortex cannon, air blaster gun toy, vortex cannon, air canon gun, single shot air cannon toy, vortex air cannon</x:v>
      </x:c>
      <x:c r="C323" s="10" t="n">
        <x:v>62</x:v>
      </x:c>
      <x:c r="D323" s="10" t="n">
        <x:v>149909</x:v>
      </x:c>
      <x:c r="E323" s="9" t="str">
        <x:v>'-0.4271</x:v>
      </x:c>
      <x:c r="F323" s="10" t="n">
        <x:v>3786949</x:v>
      </x:c>
      <x:c r="G323" s="10" t="n">
        <x:v>62604</x:v>
      </x:c>
      <x:c r="H323" s="9" t="str">
        <x:v>'-0.3387</x:v>
      </x:c>
      <x:c r="I323" s="9" t="n">
        <x:v>0.4176</x:v>
      </x:c>
      <x:c r="J323" s="9" t="n">
        <x:v>0.0254</x:v>
      </x:c>
      <x:c r="K323" s="9" t="n">
        <x:v>0.0106</x:v>
      </x:c>
      <x:c r="L323" s="10" t="n">
        <x:v>1592</x:v>
      </x:c>
      <x:c r="M323" s="10" t="n">
        <x:v>59055</x:v>
      </x:c>
      <x:c r="N323" s="9" t="str">
        <x:v>'-0.4247</x:v>
      </x:c>
      <x:c r="O323" s="10" t="n">
        <x:v>37344</x:v>
      </x:c>
      <x:c r="P323" s="10" t="n">
        <x:v>2333</x:v>
      </x:c>
      <x:c r="Q323" s="9" t="n">
        <x:v>0.6323</x:v>
      </x:c>
      <x:c r="R323" s="9" t="n">
        <x:v>0.0624</x:v>
      </x:c>
      <x:c r="S323" s="9" t="n">
        <x:v>0.0395</x:v>
      </x:c>
    </x:row>
    <x:row r="324" ht="90" customHeight="1">
      <x:c r="A324" s="2" t="str">
        <x:v>ambient lighting</x:v>
      </x:c>
      <x:c r="B324" s="15" t="str">
        <x:v>ambient lighting, ambient lights, warm ambient lighting, wireless ambient lighting, oasis ambient light, ambient lighting set, cool ambient lighting, lights ambient, remote control ambient lighting, ambient led lighting</x:v>
      </x:c>
      <x:c r="C324" s="10" t="n">
        <x:v>60</x:v>
      </x:c>
      <x:c r="D324" s="10" t="n">
        <x:v>149813</x:v>
      </x:c>
      <x:c r="E324" s="9" t="n">
        <x:v>0.0713</x:v>
      </x:c>
      <x:c r="F324" s="10" t="n">
        <x:v>4116781</x:v>
      </x:c>
      <x:c r="G324" s="10" t="n">
        <x:v>49140</x:v>
      </x:c>
      <x:c r="H324" s="9" t="n">
        <x:v>0.0965</x:v>
      </x:c>
      <x:c r="I324" s="9" t="n">
        <x:v>0.328</x:v>
      </x:c>
      <x:c r="J324" s="9" t="n">
        <x:v>0.0332</x:v>
      </x:c>
      <x:c r="K324" s="9" t="n">
        <x:v>0.0109</x:v>
      </x:c>
      <x:c r="L324" s="10" t="n">
        <x:v>1636</x:v>
      </x:c>
      <x:c r="M324" s="10" t="n">
        <x:v>32860</x:v>
      </x:c>
      <x:c r="N324" s="9" t="n">
        <x:v>0.0624</x:v>
      </x:c>
      <x:c r="O324" s="10" t="n">
        <x:v>22937</x:v>
      </x:c>
      <x:c r="P324" s="10" t="n">
        <x:v>2019</x:v>
      </x:c>
      <x:c r="Q324" s="9" t="n">
        <x:v>0.698</x:v>
      </x:c>
      <x:c r="R324" s="9" t="n">
        <x:v>0.088</x:v>
      </x:c>
      <x:c r="S324" s="9" t="n">
        <x:v>0.0614</x:v>
      </x:c>
    </x:row>
    <x:row r="325" ht="109" customHeight="1">
      <x:c r="A325" s="2" t="str">
        <x:v>practical magic</x:v>
      </x:c>
      <x:c r="B325" s="15" t="str">
        <x:v>practical magic, practical magic 1, practical magic 1998, practical magic prime video, practical magic streaming, practical magic the movie, practical magic prime, digital movie practical magic, the practical magic, prime video practical magic</x:v>
      </x:c>
      <x:c r="C325" s="10" t="n">
        <x:v>22</x:v>
      </x:c>
      <x:c r="D325" s="10" t="n">
        <x:v>149205</x:v>
      </x:c>
      <x:c r="E325" s="9" t="n">
        <x:v>2.6798</x:v>
      </x:c>
      <x:c r="F325" s="10" t="n">
        <x:v>1148002</x:v>
      </x:c>
      <x:c r="G325" s="10" t="n">
        <x:v>41242</x:v>
      </x:c>
      <x:c r="H325" s="9" t="n">
        <x:v>2.0828</x:v>
      </x:c>
      <x:c r="I325" s="9" t="n">
        <x:v>0.2764</x:v>
      </x:c>
      <x:c r="J325" s="9" t="n">
        <x:v>0.0484</x:v>
      </x:c>
      <x:c r="K325" s="9" t="n">
        <x:v>0.0133</x:v>
      </x:c>
      <x:c r="L325" s="10" t="n">
        <x:v>1997</x:v>
      </x:c>
      <x:c r="M325" s="10" t="n">
        <x:v>26813</x:v>
      </x:c>
      <x:c r="N325" s="9" t="n">
        <x:v>3.0322</x:v>
      </x:c>
      <x:c r="O325" s="10" t="n">
        <x:v>16413</x:v>
      </x:c>
      <x:c r="P325" s="10" t="n">
        <x:v>1062</x:v>
      </x:c>
      <x:c r="Q325" s="9" t="n">
        <x:v>0.6121</x:v>
      </x:c>
      <x:c r="R325" s="9" t="n">
        <x:v>0.0647</x:v>
      </x:c>
      <x:c r="S325" s="9" t="n">
        <x:v>0.0396</x:v>
      </x:c>
    </x:row>
    <x:row r="326" ht="109" customHeight="1">
      <x:c r="A326" s="2" t="str">
        <x:v>fall table decor</x:v>
      </x:c>
      <x:c r="B326" s="15" t="str">
        <x:v>fall table decor, kitchen table decor, farmhouse table decor, table fall decor, dining table fall decor, fall decorations for coffee table, fall decor for kitchen table, dining table decor and accessories, fall decorations for kitchen table, table decor set</x:v>
      </x:c>
      <x:c r="C326" s="10" t="n">
        <x:v>41</x:v>
      </x:c>
      <x:c r="D326" s="10" t="n">
        <x:v>149073</x:v>
      </x:c>
      <x:c r="E326" s="9" t="n">
        <x:v>0.9787</x:v>
      </x:c>
      <x:c r="F326" s="10" t="n">
        <x:v>2824229</x:v>
      </x:c>
      <x:c r="G326" s="10" t="n">
        <x:v>47126</x:v>
      </x:c>
      <x:c r="H326" s="9" t="n">
        <x:v>1.0407</x:v>
      </x:c>
      <x:c r="I326" s="9" t="n">
        <x:v>0.3161</x:v>
      </x:c>
      <x:c r="J326" s="9" t="n">
        <x:v>0.056</x:v>
      </x:c>
      <x:c r="K326" s="9" t="n">
        <x:v>0.0177</x:v>
      </x:c>
      <x:c r="L326" s="10" t="n">
        <x:v>2643</x:v>
      </x:c>
      <x:c r="M326" s="10" t="n">
        <x:v>16184</x:v>
      </x:c>
      <x:c r="N326" s="9" t="n">
        <x:v>0.9842</x:v>
      </x:c>
      <x:c r="O326" s="10" t="n">
        <x:v>12130</x:v>
      </x:c>
      <x:c r="P326" s="10" t="n">
        <x:v>1233</x:v>
      </x:c>
      <x:c r="Q326" s="9" t="n">
        <x:v>0.7495</x:v>
      </x:c>
      <x:c r="R326" s="9" t="n">
        <x:v>0.1016</x:v>
      </x:c>
      <x:c r="S326" s="9" t="n">
        <x:v>0.0761</x:v>
      </x:c>
    </x:row>
    <x:row r="327" ht="71" customHeight="1">
      <x:c r="A327" s="2" t="str">
        <x:v>watch bands</x:v>
      </x:c>
      <x:c r="B327" s="15" t="str">
        <x:v>watch bands, watch band, i watch bands, i watch band, smart watch band, watch 9 band, watch 8 band, da fit smart watch bands, watch 7 band, samsung watch bands 8</x:v>
      </x:c>
      <x:c r="C327" s="10" t="n">
        <x:v>170</x:v>
      </x:c>
      <x:c r="D327" s="10" t="n">
        <x:v>149049</x:v>
      </x:c>
      <x:c r="E327" s="9" t="n">
        <x:v>0.0628</x:v>
      </x:c>
      <x:c r="F327" s="10" t="n">
        <x:v>3517311</x:v>
      </x:c>
      <x:c r="G327" s="10" t="n">
        <x:v>47323</x:v>
      </x:c>
      <x:c r="H327" s="9" t="n">
        <x:v>0.0596</x:v>
      </x:c>
      <x:c r="I327" s="9" t="n">
        <x:v>0.3174</x:v>
      </x:c>
      <x:c r="J327" s="9" t="n">
        <x:v>0.0454</x:v>
      </x:c>
      <x:c r="K327" s="9" t="n">
        <x:v>0.0144</x:v>
      </x:c>
      <x:c r="L327" s="10" t="n">
        <x:v>2149</x:v>
      </x:c>
      <x:c r="M327" s="10" t="n">
        <x:v>30767</x:v>
      </x:c>
      <x:c r="N327" s="9" t="n">
        <x:v>0.0393</x:v>
      </x:c>
      <x:c r="O327" s="10" t="n">
        <x:v>19981</x:v>
      </x:c>
      <x:c r="P327" s="10" t="n">
        <x:v>4266</x:v>
      </x:c>
      <x:c r="Q327" s="9" t="n">
        <x:v>0.6494</x:v>
      </x:c>
      <x:c r="R327" s="9" t="n">
        <x:v>0.2135</x:v>
      </x:c>
      <x:c r="S327" s="9" t="n">
        <x:v>0.1386</x:v>
      </x:c>
    </x:row>
    <x:row r="328" ht="71" customHeight="1">
      <x:c r="A328" s="2" t="str">
        <x:v>sword</x:v>
      </x:c>
      <x:c r="B328" s="15" t="str">
        <x:v>sword, swords, espada, the sword, espadas reales, sword handle, sword for cake, dagger sword, 3 swords, mehrunes razor dagger</x:v>
      </x:c>
      <x:c r="C328" s="10" t="n">
        <x:v>29</x:v>
      </x:c>
      <x:c r="D328" s="10" t="n">
        <x:v>148777</x:v>
      </x:c>
      <x:c r="E328" s="9" t="str">
        <x:v>'-0.0414</x:v>
      </x:c>
      <x:c r="F328" s="10" t="n">
        <x:v>2664516</x:v>
      </x:c>
      <x:c r="G328" s="10" t="n">
        <x:v>43133</x:v>
      </x:c>
      <x:c r="H328" s="9" t="str">
        <x:v>'-0.0379</x:v>
      </x:c>
      <x:c r="I328" s="9" t="n">
        <x:v>0.2899</x:v>
      </x:c>
      <x:c r="J328" s="9" t="n">
        <x:v>0.0151</x:v>
      </x:c>
      <x:c r="K328" s="9" t="n">
        <x:v>0.0044</x:v>
      </x:c>
      <x:c r="L328" s="10" t="n">
        <x:v>655</x:v>
      </x:c>
      <x:c r="M328" s="10" t="n">
        <x:v>19902</x:v>
      </x:c>
      <x:c r="N328" s="9" t="str">
        <x:v>'-0.0215</x:v>
      </x:c>
      <x:c r="O328" s="10" t="n">
        <x:v>13475</x:v>
      </x:c>
      <x:c r="P328" s="10" t="n">
        <x:v>684</x:v>
      </x:c>
      <x:c r="Q328" s="9" t="n">
        <x:v>0.677</x:v>
      </x:c>
      <x:c r="R328" s="9" t="n">
        <x:v>0.0507</x:v>
      </x:c>
      <x:c r="S328" s="9" t="n">
        <x:v>0.0343</x:v>
      </x:c>
    </x:row>
    <x:row r="329" ht="90" customHeight="1">
      <x:c r="A329" s="2" t="str">
        <x:v>romaine lettuce</x:v>
      </x:c>
      <x:c r="B329" s="15" t="str">
        <x:v>romaine lettuce, organic romaine, romaine lettuce fresh organic, lettuce wrap, chopped lettuce, romaine lettuce hearts, shredded lettuce for tacos, lettuce romaine, shredded romaine, romaine salad</x:v>
      </x:c>
      <x:c r="C329" s="10" t="n">
        <x:v>98</x:v>
      </x:c>
      <x:c r="D329" s="10" t="n">
        <x:v>148666</x:v>
      </x:c>
      <x:c r="E329" s="9" t="str">
        <x:v>'-0.0646</x:v>
      </x:c>
      <x:c r="F329" s="10" t="n">
        <x:v>3276280</x:v>
      </x:c>
      <x:c r="G329" s="10" t="n">
        <x:v>76064</x:v>
      </x:c>
      <x:c r="H329" s="9" t="n">
        <x:v>0.008</x:v>
      </x:c>
      <x:c r="I329" s="9" t="n">
        <x:v>0.5116</x:v>
      </x:c>
      <x:c r="J329" s="9" t="n">
        <x:v>0.4764</x:v>
      </x:c>
      <x:c r="K329" s="9" t="n">
        <x:v>0.2437</x:v>
      </x:c>
      <x:c r="L329" s="10" t="n">
        <x:v>36244</x:v>
      </x:c>
      <x:c r="M329" s="10" t="n">
        <x:v>71189</x:v>
      </x:c>
      <x:c r="N329" s="9" t="n">
        <x:v>0.02</x:v>
      </x:c>
      <x:c r="O329" s="10" t="n">
        <x:v>63656</x:v>
      </x:c>
      <x:c r="P329" s="10" t="n">
        <x:v>36203</x:v>
      </x:c>
      <x:c r="Q329" s="9" t="n">
        <x:v>0.8941</x:v>
      </x:c>
      <x:c r="R329" s="9" t="n">
        <x:v>0.5687</x:v>
      </x:c>
      <x:c r="S329" s="9" t="n">
        <x:v>0.5085</x:v>
      </x:c>
    </x:row>
    <x:row r="330" ht="90" customHeight="1">
      <x:c r="A330" s="2" t="str">
        <x:v>flipper zero</x:v>
      </x:c>
      <x:c r="B330" s="15" t="str">
        <x:v>flipper zero, flipper zero device, flipper zero module, flipper zero wifi dev board, flipper zero wifi expansion module, flipper zero gpio modules, flipper zero attachments, flipper zero dev board, zero flipper, flipper zero sub-ghz radio</x:v>
      </x:c>
      <x:c r="C330" s="10" t="n">
        <x:v>52</x:v>
      </x:c>
      <x:c r="D330" s="10" t="n">
        <x:v>148646</x:v>
      </x:c>
      <x:c r="E330" s="9" t="n">
        <x:v>0.1359</x:v>
      </x:c>
      <x:c r="F330" s="10" t="n">
        <x:v>1479666</x:v>
      </x:c>
      <x:c r="G330" s="10" t="n">
        <x:v>46183</x:v>
      </x:c>
      <x:c r="H330" s="9" t="n">
        <x:v>0.0689</x:v>
      </x:c>
      <x:c r="I330" s="9" t="n">
        <x:v>0.3106</x:v>
      </x:c>
      <x:c r="J330" s="9" t="n">
        <x:v>0.0183</x:v>
      </x:c>
      <x:c r="K330" s="9" t="n">
        <x:v>0.0057</x:v>
      </x:c>
      <x:c r="L330" s="10" t="n">
        <x:v>848</x:v>
      </x:c>
      <x:c r="M330" s="10" t="n">
        <x:v>39212</x:v>
      </x:c>
      <x:c r="N330" s="9" t="n">
        <x:v>0.1509</x:v>
      </x:c>
      <x:c r="O330" s="10" t="n">
        <x:v>23459</x:v>
      </x:c>
      <x:c r="P330" s="10" t="n">
        <x:v>637</x:v>
      </x:c>
      <x:c r="Q330" s="9" t="n">
        <x:v>0.5982</x:v>
      </x:c>
      <x:c r="R330" s="9" t="n">
        <x:v>0.0271</x:v>
      </x:c>
      <x:c r="S330" s="9" t="n">
        <x:v>0.0162</x:v>
      </x:c>
    </x:row>
    <x:row r="331" ht="71" customHeight="1">
      <x:c r="A331" s="2" t="str">
        <x:v>spring water</x:v>
      </x:c>
      <x:c r="B331" s="15" t="str">
        <x:v>spring water, water case, springwater, amazon fresh water, spring water can, waterd, spring water cans, 365 bottled water, spring water whole foods, distilled water whole foods</x:v>
      </x:c>
      <x:c r="C331" s="10" t="n">
        <x:v>24</x:v>
      </x:c>
      <x:c r="D331" s="10" t="n">
        <x:v>148565</x:v>
      </x:c>
      <x:c r="E331" s="9" t="n">
        <x:v>0.0699</x:v>
      </x:c>
      <x:c r="F331" s="10" t="n">
        <x:v>3963233</x:v>
      </x:c>
      <x:c r="G331" s="10" t="n">
        <x:v>44906</x:v>
      </x:c>
      <x:c r="H331" s="9" t="n">
        <x:v>0.0582</x:v>
      </x:c>
      <x:c r="I331" s="9" t="n">
        <x:v>0.3022</x:v>
      </x:c>
      <x:c r="J331" s="9" t="n">
        <x:v>0.185</x:v>
      </x:c>
      <x:c r="K331" s="9" t="n">
        <x:v>0.0559</x:v>
      </x:c>
      <x:c r="L331" s="10" t="n">
        <x:v>8309</x:v>
      </x:c>
      <x:c r="M331" s="10" t="n">
        <x:v>37946</x:v>
      </x:c>
      <x:c r="N331" s="9" t="n">
        <x:v>0.0601</x:v>
      </x:c>
      <x:c r="O331" s="10" t="n">
        <x:v>28063</x:v>
      </x:c>
      <x:c r="P331" s="10" t="n">
        <x:v>8513</x:v>
      </x:c>
      <x:c r="Q331" s="9" t="n">
        <x:v>0.7395</x:v>
      </x:c>
      <x:c r="R331" s="9" t="n">
        <x:v>0.3033</x:v>
      </x:c>
      <x:c r="S331" s="9" t="n">
        <x:v>0.2243</x:v>
      </x:c>
    </x:row>
    <x:row r="332" ht="109" customHeight="1">
      <x:c r="A332" s="2" t="str">
        <x:v>medieval dress for women</x:v>
      </x:c>
      <x:c r="B332" s="15" t="str">
        <x:v>medieval dress for women, princess dress women, womens medieval dress, fantasy dress for women, renaissance noble lady costume women, renaissance peasant dress women, princess dresses for women, midevil/renaissance dress women, deluxe renaissance costume women, fairy princess dress women</x:v>
      </x:c>
      <x:c r="C332" s="10" t="n">
        <x:v>72</x:v>
      </x:c>
      <x:c r="D332" s="10" t="n">
        <x:v>148061</x:v>
      </x:c>
      <x:c r="E332" s="9" t="n">
        <x:v>0.4678</x:v>
      </x:c>
      <x:c r="F332" s="10" t="n">
        <x:v>3528697</x:v>
      </x:c>
      <x:c r="G332" s="10" t="n">
        <x:v>54264</x:v>
      </x:c>
      <x:c r="H332" s="9" t="n">
        <x:v>0.5674</x:v>
      </x:c>
      <x:c r="I332" s="9" t="n">
        <x:v>0.3664</x:v>
      </x:c>
      <x:c r="J332" s="9" t="n">
        <x:v>0.0048</x:v>
      </x:c>
      <x:c r="K332" s="9" t="n">
        <x:v>0.0017</x:v>
      </x:c>
      <x:c r="L332" s="10" t="n">
        <x:v>261</x:v>
      </x:c>
      <x:c r="M332" s="10" t="n">
        <x:v>17113</x:v>
      </x:c>
      <x:c r="N332" s="9" t="n">
        <x:v>0.4752</x:v>
      </x:c>
      <x:c r="O332" s="10" t="n">
        <x:v>14293</x:v>
      </x:c>
      <x:c r="P332" s="10" t="n">
        <x:v>989</x:v>
      </x:c>
      <x:c r="Q332" s="9" t="n">
        <x:v>0.8352</x:v>
      </x:c>
      <x:c r="R332" s="9" t="n">
        <x:v>0.0691</x:v>
      </x:c>
      <x:c r="S332" s="9" t="n">
        <x:v>0.0577</x:v>
      </x:c>
    </x:row>
    <x:row r="333" ht="128" customHeight="1">
      <x:c r="A333" s="2" t="str">
        <x:v>the amazing digital circus</x:v>
      </x:c>
      <x:c r="B333" s="15" t="str">
        <x:v>the amazing digital circus, amazing digital circus, the amazing digital circus merch, the amazing digital circus plush, amazing digital circus plush, the amazing digital circus official merch, amazing digital circus toys, the amazing digital circus toys, the amazing digital circus plushies, amazing digital circus plushies</x:v>
      </x:c>
      <x:c r="C333" s="10" t="n">
        <x:v>51</x:v>
      </x:c>
      <x:c r="D333" s="10" t="n">
        <x:v>148047</x:v>
      </x:c>
      <x:c r="E333" s="9" t="str">
        <x:v>'-0.2847</x:v>
      </x:c>
      <x:c r="F333" s="10" t="n">
        <x:v>2501265</x:v>
      </x:c>
      <x:c r="G333" s="10" t="n">
        <x:v>43438</x:v>
      </x:c>
      <x:c r="H333" s="9" t="str">
        <x:v>'-0.2057</x:v>
      </x:c>
      <x:c r="I333" s="9" t="n">
        <x:v>0.2934</x:v>
      </x:c>
      <x:c r="J333" s="9" t="n">
        <x:v>0.0425</x:v>
      </x:c>
      <x:c r="K333" s="9" t="n">
        <x:v>0.0124</x:v>
      </x:c>
      <x:c r="L333" s="10" t="n">
        <x:v>1847</x:v>
      </x:c>
      <x:c r="M333" s="10" t="n">
        <x:v>19348</x:v>
      </x:c>
      <x:c r="N333" s="9" t="str">
        <x:v>'-0.3064</x:v>
      </x:c>
      <x:c r="O333" s="10" t="n">
        <x:v>12076</x:v>
      </x:c>
      <x:c r="P333" s="10" t="n">
        <x:v>1305</x:v>
      </x:c>
      <x:c r="Q333" s="9" t="n">
        <x:v>0.6241</x:v>
      </x:c>
      <x:c r="R333" s="9" t="n">
        <x:v>0.108</x:v>
      </x:c>
      <x:c r="S333" s="9" t="n">
        <x:v>0.0674</x:v>
      </x:c>
    </x:row>
    <x:row r="334" ht="109" customHeight="1">
      <x:c r="A334" s="2" t="str">
        <x:v>iwatch bands for women</x:v>
      </x:c>
      <x:c r="B334" s="15" t="str">
        <x:v>iwatch bands for women, womens iwatch bands, dressy iwatch bands for women, iwatch band for women, iwatch band women, iwatch bands for women stretchy, stretchy iwatch bands for women, iwatch bands women, i watch bands for women, iwatch wrist bands for women</x:v>
      </x:c>
      <x:c r="C334" s="10" t="n">
        <x:v>123</x:v>
      </x:c>
      <x:c r="D334" s="10" t="n">
        <x:v>147998</x:v>
      </x:c>
      <x:c r="E334" s="9" t="n">
        <x:v>0.0332</x:v>
      </x:c>
      <x:c r="F334" s="10" t="n">
        <x:v>4724154</x:v>
      </x:c>
      <x:c r="G334" s="10" t="n">
        <x:v>59989</x:v>
      </x:c>
      <x:c r="H334" s="9" t="n">
        <x:v>0.015</x:v>
      </x:c>
      <x:c r="I334" s="9" t="n">
        <x:v>0.4053</x:v>
      </x:c>
      <x:c r="J334" s="9" t="n">
        <x:v>0.0446</x:v>
      </x:c>
      <x:c r="K334" s="9" t="n">
        <x:v>0.0181</x:v>
      </x:c>
      <x:c r="L334" s="10" t="n">
        <x:v>2680</x:v>
      </x:c>
      <x:c r="M334" s="10" t="n">
        <x:v>28081</x:v>
      </x:c>
      <x:c r="N334" s="9" t="n">
        <x:v>0.0213</x:v>
      </x:c>
      <x:c r="O334" s="10" t="n">
        <x:v>23303</x:v>
      </x:c>
      <x:c r="P334" s="10" t="n">
        <x:v>5924</x:v>
      </x:c>
      <x:c r="Q334" s="9" t="n">
        <x:v>0.8298</x:v>
      </x:c>
      <x:c r="R334" s="9" t="n">
        <x:v>0.2542</x:v>
      </x:c>
      <x:c r="S334" s="9" t="n">
        <x:v>0.2109</x:v>
      </x:c>
    </x:row>
    <x:row r="335" ht="71" customHeight="1">
      <x:c r="A335" s="2" t="str">
        <x:v>warmies</x:v>
      </x:c>
      <x:c r="B335" s="15" t="str">
        <x:v>warmies, warmie, warmies for babies, warmies junior, warmies bat, warmies dog, warmies weighted stuffed animals, halloween warmies, warmies plush, highland cow warmie</x:v>
      </x:c>
      <x:c r="C335" s="10" t="n">
        <x:v>151</x:v>
      </x:c>
      <x:c r="D335" s="10" t="n">
        <x:v>147829</x:v>
      </x:c>
      <x:c r="E335" s="9" t="n">
        <x:v>0.0491</x:v>
      </x:c>
      <x:c r="F335" s="10" t="n">
        <x:v>3810927</x:v>
      </x:c>
      <x:c r="G335" s="10" t="n">
        <x:v>50362</x:v>
      </x:c>
      <x:c r="H335" s="9" t="n">
        <x:v>0.0476</x:v>
      </x:c>
      <x:c r="I335" s="9" t="n">
        <x:v>0.3406</x:v>
      </x:c>
      <x:c r="J335" s="9" t="n">
        <x:v>0.0536</x:v>
      </x:c>
      <x:c r="K335" s="9" t="n">
        <x:v>0.0182</x:v>
      </x:c>
      <x:c r="L335" s="10" t="n">
        <x:v>2704</x:v>
      </x:c>
      <x:c r="M335" s="10" t="n">
        <x:v>33932</x:v>
      </x:c>
      <x:c r="N335" s="9" t="n">
        <x:v>0.057</x:v>
      </x:c>
      <x:c r="O335" s="10" t="n">
        <x:v>22938</x:v>
      </x:c>
      <x:c r="P335" s="10" t="n">
        <x:v>3019</x:v>
      </x:c>
      <x:c r="Q335" s="9" t="n">
        <x:v>0.6759</x:v>
      </x:c>
      <x:c r="R335" s="9" t="n">
        <x:v>0.1316</x:v>
      </x:c>
      <x:c r="S335" s="9" t="n">
        <x:v>0.0889</x:v>
      </x:c>
    </x:row>
    <x:row r="336" ht="71" customHeight="1">
      <x:c r="A336" s="2" t="str">
        <x:v>brown flats</x:v>
      </x:c>
      <x:c r="B336" s="15" t="str">
        <x:v>brown flats, womens brown shoes, brown womens shoes, womens brown flats, women brown shoes, brown womens loafers, brown flat shoes, flats brown, womens shoes brown, brown flat</x:v>
      </x:c>
      <x:c r="C336" s="10" t="n">
        <x:v>83</x:v>
      </x:c>
      <x:c r="D336" s="10" t="n">
        <x:v>147582</x:v>
      </x:c>
      <x:c r="E336" s="9" t="n">
        <x:v>0.6028</x:v>
      </x:c>
      <x:c r="F336" s="10" t="n">
        <x:v>3912626</x:v>
      </x:c>
      <x:c r="G336" s="10" t="n">
        <x:v>35875</x:v>
      </x:c>
      <x:c r="H336" s="9" t="n">
        <x:v>0.6834</x:v>
      </x:c>
      <x:c r="I336" s="9" t="n">
        <x:v>0.243</x:v>
      </x:c>
      <x:c r="J336" s="9" t="n">
        <x:v>0.0127</x:v>
      </x:c>
      <x:c r="K336" s="9" t="n">
        <x:v>0.003</x:v>
      </x:c>
      <x:c r="L336" s="10" t="n">
        <x:v>457</x:v>
      </x:c>
      <x:c r="M336" s="10" t="n">
        <x:v>21426</x:v>
      </x:c>
      <x:c r="N336" s="9" t="n">
        <x:v>0.5579</x:v>
      </x:c>
      <x:c r="O336" s="10" t="n">
        <x:v>16746</x:v>
      </x:c>
      <x:c r="P336" s="10" t="n">
        <x:v>2095</x:v>
      </x:c>
      <x:c r="Q336" s="9" t="n">
        <x:v>0.7815</x:v>
      </x:c>
      <x:c r="R336" s="9" t="n">
        <x:v>0.1251</x:v>
      </x:c>
      <x:c r="S336" s="9" t="n">
        <x:v>0.0977</x:v>
      </x:c>
    </x:row>
    <x:row r="337" ht="90" customHeight="1">
      <x:c r="A337" s="2" t="str">
        <x:v>fleece jacket women</x:v>
      </x:c>
      <x:c r="B337" s="15" t="str">
        <x:v>fleece jacket women, fleece jacket, fleece womens jacket, cute fleece jacket, fuzzy fleece jacket, fleece sherpa jacket, womens fuzzy fleece jacket, teddy fleece jacket, sweater fleece, plaid fuzzy fleece jacket</x:v>
      </x:c>
      <x:c r="C337" s="10" t="n">
        <x:v>61</x:v>
      </x:c>
      <x:c r="D337" s="10" t="n">
        <x:v>147304</x:v>
      </x:c>
      <x:c r="E337" s="9" t="n">
        <x:v>0.5654</x:v>
      </x:c>
      <x:c r="F337" s="10" t="n">
        <x:v>3837891</x:v>
      </x:c>
      <x:c r="G337" s="10" t="n">
        <x:v>51143</x:v>
      </x:c>
      <x:c r="H337" s="9" t="n">
        <x:v>0.693</x:v>
      </x:c>
      <x:c r="I337" s="9" t="n">
        <x:v>0.3471</x:v>
      </x:c>
      <x:c r="J337" s="9" t="n">
        <x:v>0.0078</x:v>
      </x:c>
      <x:c r="K337" s="9" t="n">
        <x:v>0.0027</x:v>
      </x:c>
      <x:c r="L337" s="10" t="n">
        <x:v>401</x:v>
      </x:c>
      <x:c r="M337" s="10" t="n">
        <x:v>25446</x:v>
      </x:c>
      <x:c r="N337" s="9" t="n">
        <x:v>0.4596</x:v>
      </x:c>
      <x:c r="O337" s="10" t="n">
        <x:v>20526</x:v>
      </x:c>
      <x:c r="P337" s="10" t="n">
        <x:v>2039</x:v>
      </x:c>
      <x:c r="Q337" s="9" t="n">
        <x:v>0.8066</x:v>
      </x:c>
      <x:c r="R337" s="9" t="n">
        <x:v>0.0993</x:v>
      </x:c>
      <x:c r="S337" s="9" t="n">
        <x:v>0.0801</x:v>
      </x:c>
    </x:row>
    <x:row r="338" ht="90" customHeight="1">
      <x:c r="A338" s="2" t="str">
        <x:v>wrestling shoes</x:v>
      </x:c>
      <x:c r="B338" s="15" t="str">
        <x:v>wrestling shoes, mens wrestling shoes, kids wrestling shoes, youth wrestling shoes, wrestling shoes kids, boys wrestling shoes, girls wrestling shoes, toddler wrestling shoes, wrestling shoes youth, wrestling shoes girls</x:v>
      </x:c>
      <x:c r="C338" s="10" t="n">
        <x:v>147</x:v>
      </x:c>
      <x:c r="D338" s="10" t="n">
        <x:v>146518</x:v>
      </x:c>
      <x:c r="E338" s="9" t="n">
        <x:v>0.4299</x:v>
      </x:c>
      <x:c r="F338" s="10" t="n">
        <x:v>2855717</x:v>
      </x:c>
      <x:c r="G338" s="10" t="n">
        <x:v>54201</x:v>
      </x:c>
      <x:c r="H338" s="9" t="n">
        <x:v>0.5932</x:v>
      </x:c>
      <x:c r="I338" s="9" t="n">
        <x:v>0.3699</x:v>
      </x:c>
      <x:c r="J338" s="9" t="n">
        <x:v>0.0074</x:v>
      </x:c>
      <x:c r="K338" s="9" t="n">
        <x:v>0.0027</x:v>
      </x:c>
      <x:c r="L338" s="10" t="n">
        <x:v>402</x:v>
      </x:c>
      <x:c r="M338" s="10" t="n">
        <x:v>18116</x:v>
      </x:c>
      <x:c r="N338" s="9" t="n">
        <x:v>0.4025</x:v>
      </x:c>
      <x:c r="O338" s="10" t="n">
        <x:v>12829</x:v>
      </x:c>
      <x:c r="P338" s="10" t="n">
        <x:v>2292</x:v>
      </x:c>
      <x:c r="Q338" s="9" t="n">
        <x:v>0.7081</x:v>
      </x:c>
      <x:c r="R338" s="9" t="n">
        <x:v>0.1786</x:v>
      </x:c>
      <x:c r="S338" s="9" t="n">
        <x:v>0.1265</x:v>
      </x:c>
    </x:row>
    <x:row r="339" ht="109" customHeight="1">
      <x:c r="A339" s="2" t="str">
        <x:v>olive green dress</x:v>
      </x:c>
      <x:c r="B339" s="15" t="str">
        <x:v>olive green dress, olive green dress for women, olive green maxi dress, olive green dresses, olive green dresses for women, womens olive green dress, olive green womens dress, olive green dress women, olive green maxi dress women, olive green fall dress for women</x:v>
      </x:c>
      <x:c r="C339" s="10" t="n">
        <x:v>117</x:v>
      </x:c>
      <x:c r="D339" s="10" t="n">
        <x:v>146054</x:v>
      </x:c>
      <x:c r="E339" s="9" t="n">
        <x:v>0.3329</x:v>
      </x:c>
      <x:c r="F339" s="10" t="n">
        <x:v>3669121</x:v>
      </x:c>
      <x:c r="G339" s="10" t="n">
        <x:v>35085</x:v>
      </x:c>
      <x:c r="H339" s="9" t="n">
        <x:v>0.355</x:v>
      </x:c>
      <x:c r="I339" s="9" t="n">
        <x:v>0.2402</x:v>
      </x:c>
      <x:c r="J339" s="9" t="n">
        <x:v>0.0129</x:v>
      </x:c>
      <x:c r="K339" s="9" t="n">
        <x:v>0.0031</x:v>
      </x:c>
      <x:c r="L339" s="10" t="n">
        <x:v>456</x:v>
      </x:c>
      <x:c r="M339" s="10" t="n">
        <x:v>16749</x:v>
      </x:c>
      <x:c r="N339" s="9" t="n">
        <x:v>0.3359</x:v>
      </x:c>
      <x:c r="O339" s="10" t="n">
        <x:v>13067</x:v>
      </x:c>
      <x:c r="P339" s="10" t="n">
        <x:v>1041</x:v>
      </x:c>
      <x:c r="Q339" s="9" t="n">
        <x:v>0.7801</x:v>
      </x:c>
      <x:c r="R339" s="9" t="n">
        <x:v>0.0796</x:v>
      </x:c>
      <x:c r="S339" s="9" t="n">
        <x:v>0.0621</x:v>
      </x:c>
    </x:row>
    <x:row r="340" ht="109" customHeight="1">
      <x:c r="A340" s="2" t="str">
        <x:v>scalp oil applicator</x:v>
      </x:c>
      <x:c r="B340" s="15" t="str">
        <x:v>scalp oil applicator, hair serum applicator, scalp applicator, scalp serum applicator, hair serum applicator for scalp, scalp oil applicator massager, minoxidil applicator tool, scalp and hair oil applicator, scalp applicator comb, scalp applicator tool</x:v>
      </x:c>
      <x:c r="C340" s="10" t="n">
        <x:v>110</x:v>
      </x:c>
      <x:c r="D340" s="10" t="n">
        <x:v>145942</x:v>
      </x:c>
      <x:c r="E340" s="9" t="str">
        <x:v>'-0.0248</x:v>
      </x:c>
      <x:c r="F340" s="10" t="n">
        <x:v>4820700</x:v>
      </x:c>
      <x:c r="G340" s="10" t="n">
        <x:v>64889</x:v>
      </x:c>
      <x:c r="H340" s="9" t="str">
        <x:v>'-0.028</x:v>
      </x:c>
      <x:c r="I340" s="9" t="n">
        <x:v>0.4446</x:v>
      </x:c>
      <x:c r="J340" s="9" t="n">
        <x:v>0.1092</x:v>
      </x:c>
      <x:c r="K340" s="9" t="n">
        <x:v>0.0485</x:v>
      </x:c>
      <x:c r="L340" s="10" t="n">
        <x:v>7091</x:v>
      </x:c>
      <x:c r="M340" s="10" t="n">
        <x:v>50673</x:v>
      </x:c>
      <x:c r="N340" s="9" t="str">
        <x:v>'-0.0228</x:v>
      </x:c>
      <x:c r="O340" s="10" t="n">
        <x:v>40916</x:v>
      </x:c>
      <x:c r="P340" s="10" t="n">
        <x:v>8962</x:v>
      </x:c>
      <x:c r="Q340" s="9" t="n">
        <x:v>0.8074</x:v>
      </x:c>
      <x:c r="R340" s="9" t="n">
        <x:v>0.219</x:v>
      </x:c>
      <x:c r="S340" s="9" t="n">
        <x:v>0.1768</x:v>
      </x:c>
    </x:row>
    <x:row r="341" ht="109" customHeight="1">
      <x:c r="A341" s="2" t="str">
        <x:v>labor and delivery gown</x:v>
      </x:c>
      <x:c r="B341" s="15" t="str">
        <x:v>labor and delivery gown, hospital gown, labor delivery gown, labor gown with epidural access, labor and delivery gowns, labour and delivery gown, labor and delivery gown with epidural opening, hospital approved birthing gown, birthing gown with epidural access, bata para hospital de parto</x:v>
      </x:c>
      <x:c r="C341" s="10" t="n">
        <x:v>70</x:v>
      </x:c>
      <x:c r="D341" s="10" t="n">
        <x:v>145642</x:v>
      </x:c>
      <x:c r="E341" s="9" t="n">
        <x:v>0.0213</x:v>
      </x:c>
      <x:c r="F341" s="10" t="n">
        <x:v>4825730</x:v>
      </x:c>
      <x:c r="G341" s="10" t="n">
        <x:v>60167</x:v>
      </x:c>
      <x:c r="H341" s="9" t="n">
        <x:v>0.0438</x:v>
      </x:c>
      <x:c r="I341" s="9" t="n">
        <x:v>0.4131</x:v>
      </x:c>
      <x:c r="J341" s="9" t="n">
        <x:v>0.022</x:v>
      </x:c>
      <x:c r="K341" s="9" t="n">
        <x:v>0.009</x:v>
      </x:c>
      <x:c r="L341" s="10" t="n">
        <x:v>1324</x:v>
      </x:c>
      <x:c r="M341" s="10" t="n">
        <x:v>34833</x:v>
      </x:c>
      <x:c r="N341" s="9" t="n">
        <x:v>0.0275</x:v>
      </x:c>
      <x:c r="O341" s="10" t="n">
        <x:v>29660</x:v>
      </x:c>
      <x:c r="P341" s="10" t="n">
        <x:v>3194</x:v>
      </x:c>
      <x:c r="Q341" s="9" t="n">
        <x:v>0.8514</x:v>
      </x:c>
      <x:c r="R341" s="9" t="n">
        <x:v>0.1076</x:v>
      </x:c>
      <x:c r="S341" s="9" t="n">
        <x:v>0.0916</x:v>
      </x:c>
    </x:row>
    <x:row r="342" ht="90" customHeight="1">
      <x:c r="A342" s="2" t="str">
        <x:v>sand and fog perfume oil</x:v>
      </x:c>
      <x:c r="B342" s="15" t="str">
        <x:v>sand and fog perfume oil, sand and fog perfume, sand fog perfume oil, sand + fog perfume oil, sand &amp; fog perfume oil, sand and fog oil, sand+fog perfume oil, sand fog oil, sand and fog perfume oil set, sand fog oil perfume</x:v>
      </x:c>
      <x:c r="C342" s="10" t="n">
        <x:v>159</x:v>
      </x:c>
      <x:c r="D342" s="10" t="n">
        <x:v>145195</x:v>
      </x:c>
      <x:c r="E342" s="9" t="n">
        <x:v>0.2852</x:v>
      </x:c>
      <x:c r="F342" s="10" t="n">
        <x:v>3117622</x:v>
      </x:c>
      <x:c r="G342" s="10" t="n">
        <x:v>47752</x:v>
      </x:c>
      <x:c r="H342" s="9" t="n">
        <x:v>0.12</x:v>
      </x:c>
      <x:c r="I342" s="9" t="n">
        <x:v>0.3288</x:v>
      </x:c>
      <x:c r="J342" s="9" t="n">
        <x:v>0.0216</x:v>
      </x:c>
      <x:c r="K342" s="9" t="n">
        <x:v>0.0071</x:v>
      </x:c>
      <x:c r="L342" s="10" t="n">
        <x:v>1034</x:v>
      </x:c>
      <x:c r="M342" s="10" t="n">
        <x:v>33458</x:v>
      </x:c>
      <x:c r="N342" s="9" t="n">
        <x:v>0.2686</x:v>
      </x:c>
      <x:c r="O342" s="10" t="n">
        <x:v>19636</x:v>
      </x:c>
      <x:c r="P342" s="10" t="n">
        <x:v>1133</x:v>
      </x:c>
      <x:c r="Q342" s="9" t="n">
        <x:v>0.5868</x:v>
      </x:c>
      <x:c r="R342" s="9" t="n">
        <x:v>0.0577</x:v>
      </x:c>
      <x:c r="S342" s="9" t="n">
        <x:v>0.0338</x:v>
      </x:c>
    </x:row>
    <x:row r="343" ht="90" customHeight="1">
      <x:c r="A343" s="2" t="str">
        <x:v>poppy playtime</x:v>
      </x:c>
      <x:c r="B343" s="15" t="str">
        <x:v>poppy playtime, poppy playtime plush, prototype poppy playtime plush, poppy playtime plushies, poppy playtime merch, poppy playtime 5, poppy playtime plushys, poppy playtime stuffed animals, yarnaby poppy playtime, poppy playtime plushy</x:v>
      </x:c>
      <x:c r="C343" s="10" t="n">
        <x:v>63</x:v>
      </x:c>
      <x:c r="D343" s="10" t="n">
        <x:v>144822</x:v>
      </x:c>
      <x:c r="E343" s="9" t="str">
        <x:v>'-0.0521</x:v>
      </x:c>
      <x:c r="F343" s="10" t="n">
        <x:v>2417969</x:v>
      </x:c>
      <x:c r="G343" s="10" t="n">
        <x:v>48661</x:v>
      </x:c>
      <x:c r="H343" s="9" t="n">
        <x:v>0.001</x:v>
      </x:c>
      <x:c r="I343" s="9" t="n">
        <x:v>0.336</x:v>
      </x:c>
      <x:c r="J343" s="9" t="n">
        <x:v>0.0237</x:v>
      </x:c>
      <x:c r="K343" s="9" t="n">
        <x:v>0.0079</x:v>
      </x:c>
      <x:c r="L343" s="10" t="n">
        <x:v>1154</x:v>
      </x:c>
      <x:c r="M343" s="10" t="n">
        <x:v>14252</x:v>
      </x:c>
      <x:c r="N343" s="9" t="str">
        <x:v>'-0.079</x:v>
      </x:c>
      <x:c r="O343" s="10" t="n">
        <x:v>9835</x:v>
      </x:c>
      <x:c r="P343" s="10" t="n">
        <x:v>999</x:v>
      </x:c>
      <x:c r="Q343" s="9" t="n">
        <x:v>0.69</x:v>
      </x:c>
      <x:c r="R343" s="9" t="n">
        <x:v>0.1015</x:v>
      </x:c>
      <x:c r="S343" s="9" t="n">
        <x:v>0.07</x:v>
      </x:c>
    </x:row>
    <x:row r="344" ht="90" customHeight="1">
      <x:c r="A344" s="2" t="str">
        <x:v>cinnamon rolls</x:v>
      </x:c>
      <x:c r="B344" s="15" t="str">
        <x:v>cinnamon rolls, cinnamon roll, gluten free cinnamon rolls, cinamon rolls, frozen cinnamon rolls, cinnamon rolls frozen, vegan cinnamon rolls, organic cinnamon rolls, cinnamon roll dough, frozen cinnamon roll to bake</x:v>
      </x:c>
      <x:c r="C344" s="10" t="n">
        <x:v>74</x:v>
      </x:c>
      <x:c r="D344" s="10" t="n">
        <x:v>144787</x:v>
      </x:c>
      <x:c r="E344" s="9" t="n">
        <x:v>0.1058</x:v>
      </x:c>
      <x:c r="F344" s="10" t="n">
        <x:v>3067581</x:v>
      </x:c>
      <x:c r="G344" s="10" t="n">
        <x:v>49987</x:v>
      </x:c>
      <x:c r="H344" s="9" t="n">
        <x:v>0.1107</x:v>
      </x:c>
      <x:c r="I344" s="9" t="n">
        <x:v>0.3452</x:v>
      </x:c>
      <x:c r="J344" s="9" t="n">
        <x:v>0.2659</x:v>
      </x:c>
      <x:c r="K344" s="9" t="n">
        <x:v>0.0918</x:v>
      </x:c>
      <x:c r="L344" s="10" t="n">
        <x:v>13296</x:v>
      </x:c>
      <x:c r="M344" s="10" t="n">
        <x:v>41298</x:v>
      </x:c>
      <x:c r="N344" s="9" t="n">
        <x:v>0.0794</x:v>
      </x:c>
      <x:c r="O344" s="10" t="n">
        <x:v>32032</x:v>
      </x:c>
      <x:c r="P344" s="10" t="n">
        <x:v>12189</x:v>
      </x:c>
      <x:c r="Q344" s="9" t="n">
        <x:v>0.7756</x:v>
      </x:c>
      <x:c r="R344" s="9" t="n">
        <x:v>0.3805</x:v>
      </x:c>
      <x:c r="S344" s="9" t="n">
        <x:v>0.2951</x:v>
      </x:c>
    </x:row>
    <x:row r="345" ht="90" customHeight="1">
      <x:c r="A345" s="2" t="str">
        <x:v>bowling ball</x:v>
      </x:c>
      <x:c r="B345" s="15" t="str">
        <x:v>bowling ball, bowling balls, spare bowling ball, custom bowling ball, bowling balls for sale, clearance bowling balls, 15lb bowling ball, skull bowling ball, spare ball bowling ball, pre drilled bowling ball</x:v>
      </x:c>
      <x:c r="C345" s="10" t="n">
        <x:v>142</x:v>
      </x:c>
      <x:c r="D345" s="10" t="n">
        <x:v>144778</x:v>
      </x:c>
      <x:c r="E345" s="9" t="n">
        <x:v>0.1808</x:v>
      </x:c>
      <x:c r="F345" s="10" t="n">
        <x:v>2911824</x:v>
      </x:c>
      <x:c r="G345" s="10" t="n">
        <x:v>44400</x:v>
      </x:c>
      <x:c r="H345" s="9" t="n">
        <x:v>0.1763</x:v>
      </x:c>
      <x:c r="I345" s="9" t="n">
        <x:v>0.3066</x:v>
      </x:c>
      <x:c r="J345" s="9" t="n">
        <x:v>0.0061</x:v>
      </x:c>
      <x:c r="K345" s="9" t="n">
        <x:v>0.0018</x:v>
      </x:c>
      <x:c r="L345" s="10" t="n">
        <x:v>273</x:v>
      </x:c>
      <x:c r="M345" s="10" t="n">
        <x:v>20955</x:v>
      </x:c>
      <x:c r="N345" s="9" t="n">
        <x:v>0.1251</x:v>
      </x:c>
      <x:c r="O345" s="10" t="n">
        <x:v>12909</x:v>
      </x:c>
      <x:c r="P345" s="10" t="n">
        <x:v>457</x:v>
      </x:c>
      <x:c r="Q345" s="9" t="n">
        <x:v>0.616</x:v>
      </x:c>
      <x:c r="R345" s="9" t="n">
        <x:v>0.0354</x:v>
      </x:c>
      <x:c r="S345" s="9" t="n">
        <x:v>0.0218</x:v>
      </x:c>
    </x:row>
    <x:row r="346" ht="90" customHeight="1">
      <x:c r="A346" s="2" t="str">
        <x:v>caramel sauce</x:v>
      </x:c>
      <x:c r="B346" s="15" t="str">
        <x:v>caramel sauce, coffee sauce, torani caramel sauce, caramel sauce for coffee, caramelo para flan, caramel sauce sugar free, caramel drizzle for coffee, hollander caramel sauce, caramel for coffee, sauce for coffee</x:v>
      </x:c>
      <x:c r="C346" s="10" t="n">
        <x:v>132</x:v>
      </x:c>
      <x:c r="D346" s="10" t="n">
        <x:v>144304</x:v>
      </x:c>
      <x:c r="E346" s="9" t="n">
        <x:v>0.1523</x:v>
      </x:c>
      <x:c r="F346" s="10" t="n">
        <x:v>3947848</x:v>
      </x:c>
      <x:c r="G346" s="10" t="n">
        <x:v>53724</x:v>
      </x:c>
      <x:c r="H346" s="9" t="n">
        <x:v>0.0957</x:v>
      </x:c>
      <x:c r="I346" s="9" t="n">
        <x:v>0.3722</x:v>
      </x:c>
      <x:c r="J346" s="9" t="n">
        <x:v>0.2411</x:v>
      </x:c>
      <x:c r="K346" s="9" t="n">
        <x:v>0.0897</x:v>
      </x:c>
      <x:c r="L346" s="10" t="n">
        <x:v>12955</x:v>
      </x:c>
      <x:c r="M346" s="10" t="n">
        <x:v>47085</x:v>
      </x:c>
      <x:c r="N346" s="9" t="n">
        <x:v>0.1179</x:v>
      </x:c>
      <x:c r="O346" s="10" t="n">
        <x:v>37646</x:v>
      </x:c>
      <x:c r="P346" s="10" t="n">
        <x:v>13795</x:v>
      </x:c>
      <x:c r="Q346" s="9" t="n">
        <x:v>0.7995</x:v>
      </x:c>
      <x:c r="R346" s="9" t="n">
        <x:v>0.3664</x:v>
      </x:c>
      <x:c r="S346" s="9" t="n">
        <x:v>0.2929</x:v>
      </x:c>
    </x:row>
    <x:row r="347" ht="90" customHeight="1">
      <x:c r="A347" s="2" t="str">
        <x:v>pink corset</x:v>
      </x:c>
      <x:c r="B347" s="15" t="str">
        <x:v>pink corset, corset pink, pink corset with straps, corset rosa, corset top pink, pink underbust corset, baby pink corset, pink corset with sleeves, pink renaissance corset, pink floral corset</x:v>
      </x:c>
      <x:c r="C347" s="10" t="n">
        <x:v>142</x:v>
      </x:c>
      <x:c r="D347" s="10" t="n">
        <x:v>144195</x:v>
      </x:c>
      <x:c r="E347" s="9" t="n">
        <x:v>0.98</x:v>
      </x:c>
      <x:c r="F347" s="10" t="n">
        <x:v>2241191</x:v>
      </x:c>
      <x:c r="G347" s="10" t="n">
        <x:v>40701</x:v>
      </x:c>
      <x:c r="H347" s="9" t="n">
        <x:v>1.0589</x:v>
      </x:c>
      <x:c r="I347" s="9" t="n">
        <x:v>0.2822</x:v>
      </x:c>
      <x:c r="J347" s="9" t="n">
        <x:v>0.0109</x:v>
      </x:c>
      <x:c r="K347" s="9" t="n">
        <x:v>0.003</x:v>
      </x:c>
      <x:c r="L347" s="10" t="n">
        <x:v>446</x:v>
      </x:c>
      <x:c r="M347" s="10" t="n">
        <x:v>15232</x:v>
      </x:c>
      <x:c r="N347" s="9" t="n">
        <x:v>1.0813</x:v>
      </x:c>
      <x:c r="O347" s="10" t="n">
        <x:v>13010</x:v>
      </x:c>
      <x:c r="P347" s="10" t="n">
        <x:v>895</x:v>
      </x:c>
      <x:c r="Q347" s="9" t="n">
        <x:v>0.8541</x:v>
      </x:c>
      <x:c r="R347" s="9" t="n">
        <x:v>0.0687</x:v>
      </x:c>
      <x:c r="S347" s="9" t="n">
        <x:v>0.0587</x:v>
      </x:c>
    </x:row>
    <x:row r="348" ht="109" customHeight="1">
      <x:c r="A348" s="2" t="str">
        <x:v>baby bath essentials</x:v>
      </x:c>
      <x:c r="B348" s="15" t="str">
        <x:v>baby bath essentials, newborn bath essentials, baby bathing essentials, bath time essentials for baby, bath essentials for newborn baby, baby bath time essentials, baby bathroom essentials, bath baby essentials, new born bath essentials, newborn shower essentials</x:v>
      </x:c>
      <x:c r="C348" s="10" t="n">
        <x:v>53</x:v>
      </x:c>
      <x:c r="D348" s="10" t="n">
        <x:v>143141</x:v>
      </x:c>
      <x:c r="E348" s="9" t="str">
        <x:v>'-0.0401</x:v>
      </x:c>
      <x:c r="F348" s="10" t="n">
        <x:v>4530389</x:v>
      </x:c>
      <x:c r="G348" s="10" t="n">
        <x:v>55538</x:v>
      </x:c>
      <x:c r="H348" s="9" t="str">
        <x:v>'-0.0726</x:v>
      </x:c>
      <x:c r="I348" s="9" t="n">
        <x:v>0.3879</x:v>
      </x:c>
      <x:c r="J348" s="9" t="n">
        <x:v>0.0547</x:v>
      </x:c>
      <x:c r="K348" s="9" t="n">
        <x:v>0.0212</x:v>
      </x:c>
      <x:c r="L348" s="10" t="n">
        <x:v>3041</x:v>
      </x:c>
      <x:c r="M348" s="10" t="n">
        <x:v>26032</x:v>
      </x:c>
      <x:c r="N348" s="9" t="str">
        <x:v>'-0.0311</x:v>
      </x:c>
      <x:c r="O348" s="10" t="n">
        <x:v>22496</x:v>
      </x:c>
      <x:c r="P348" s="10" t="n">
        <x:v>2745</x:v>
      </x:c>
      <x:c r="Q348" s="9" t="n">
        <x:v>0.8641</x:v>
      </x:c>
      <x:c r="R348" s="9" t="n">
        <x:v>0.122</x:v>
      </x:c>
      <x:c r="S348" s="9" t="n">
        <x:v>0.1054</x:v>
      </x:c>
    </x:row>
    <x:row r="349" ht="90" customHeight="1">
      <x:c r="A349" s="2" t="str">
        <x:v>red homecoming dress</x:v>
      </x:c>
      <x:c r="B349" s="15" t="str">
        <x:v>red homecoming dress, red sparkly dress, red homecoming dresses, hoco dresses red, red dress hoco, sparkly red dress, red hoco dress sparkly, red glitter dress, red dress concert, red sparkle dress</x:v>
      </x:c>
      <x:c r="C349" s="10" t="n">
        <x:v>78</x:v>
      </x:c>
      <x:c r="D349" s="10" t="n">
        <x:v>142707</x:v>
      </x:c>
      <x:c r="E349" s="9" t="n">
        <x:v>2.3736</x:v>
      </x:c>
      <x:c r="F349" s="10" t="n">
        <x:v>1459356</x:v>
      </x:c>
      <x:c r="G349" s="10" t="n">
        <x:v>40048</x:v>
      </x:c>
      <x:c r="H349" s="9" t="n">
        <x:v>2.5516</x:v>
      </x:c>
      <x:c r="I349" s="9" t="n">
        <x:v>0.2806</x:v>
      </x:c>
      <x:c r="J349" s="9" t="n">
        <x:v>0.006</x:v>
      </x:c>
      <x:c r="K349" s="9" t="n">
        <x:v>0.0016</x:v>
      </x:c>
      <x:c r="L349" s="10" t="n">
        <x:v>242</x:v>
      </x:c>
      <x:c r="M349" s="10" t="n">
        <x:v>6872</x:v>
      </x:c>
      <x:c r="N349" s="9" t="n">
        <x:v>1.992</x:v>
      </x:c>
      <x:c r="O349" s="10" t="n">
        <x:v>5264</x:v>
      </x:c>
      <x:c r="P349" s="10" t="n">
        <x:v>291</x:v>
      </x:c>
      <x:c r="Q349" s="9" t="n">
        <x:v>0.766</x:v>
      </x:c>
      <x:c r="R349" s="9" t="n">
        <x:v>0.0552</x:v>
      </x:c>
      <x:c r="S349" s="9" t="n">
        <x:v>0.0423</x:v>
      </x:c>
    </x:row>
    <x:row r="350" ht="71" customHeight="1">
      <x:c r="A350" s="2" t="str">
        <x:v>pea</x:v>
      </x:c>
      <x:c r="B350" s="15" t="str">
        <x:v>pea, canned peas, can peas, peas canned, sweet peas canned, green peas canned, canned sweet peas, peas can, leseur canned peas, organic canned peas</x:v>
      </x:c>
      <x:c r="C350" s="10" t="n">
        <x:v>78</x:v>
      </x:c>
      <x:c r="D350" s="10" t="n">
        <x:v>142688</x:v>
      </x:c>
      <x:c r="E350" s="9" t="n">
        <x:v>0.0555</x:v>
      </x:c>
      <x:c r="F350" s="10" t="n">
        <x:v>877556</x:v>
      </x:c>
      <x:c r="G350" s="10" t="n">
        <x:v>16778</x:v>
      </x:c>
      <x:c r="H350" s="9" t="n">
        <x:v>0.2721</x:v>
      </x:c>
      <x:c r="I350" s="9" t="n">
        <x:v>0.1175</x:v>
      </x:c>
      <x:c r="J350" s="9" t="n">
        <x:v>0.1976</x:v>
      </x:c>
      <x:c r="K350" s="9" t="n">
        <x:v>0.0232</x:v>
      </x:c>
      <x:c r="L350" s="10" t="n">
        <x:v>3316</x:v>
      </x:c>
      <x:c r="M350" s="10" t="n">
        <x:v>12845</x:v>
      </x:c>
      <x:c r="N350" s="9" t="n">
        <x:v>0.0506</x:v>
      </x:c>
      <x:c r="O350" s="10" t="n">
        <x:v>10263</x:v>
      </x:c>
      <x:c r="P350" s="10" t="n">
        <x:v>3353</x:v>
      </x:c>
      <x:c r="Q350" s="9" t="n">
        <x:v>0.7989</x:v>
      </x:c>
      <x:c r="R350" s="9" t="n">
        <x:v>0.3267</x:v>
      </x:c>
      <x:c r="S350" s="9" t="n">
        <x:v>0.261</x:v>
      </x:c>
    </x:row>
    <x:row r="351" ht="90" customHeight="1">
      <x:c r="A351" s="2" t="str">
        <x:v>rocking chair</x:v>
      </x:c>
      <x:c r="B351" s="15" t="str">
        <x:v>rocking chair, rocking chairs, wooden rocking chair, wood rocking chair, wooden outdoor rocking chairs, wooden rocking chair traditional, wooden rocking chairs, outdoor wooden rocking chairs, rocking chair wood, rocking chair wooden</x:v>
      </x:c>
      <x:c r="C351" s="10" t="n">
        <x:v>168</x:v>
      </x:c>
      <x:c r="D351" s="10" t="n">
        <x:v>142290</x:v>
      </x:c>
      <x:c r="E351" s="9" t="str">
        <x:v>'-0.0498</x:v>
      </x:c>
      <x:c r="F351" s="10" t="n">
        <x:v>4030253</x:v>
      </x:c>
      <x:c r="G351" s="10" t="n">
        <x:v>41326</x:v>
      </x:c>
      <x:c r="H351" s="9" t="str">
        <x:v>'-0.0392</x:v>
      </x:c>
      <x:c r="I351" s="9" t="n">
        <x:v>0.2904</x:v>
      </x:c>
      <x:c r="J351" s="9" t="n">
        <x:v>0.0111</x:v>
      </x:c>
      <x:c r="K351" s="9" t="n">
        <x:v>0.0032</x:v>
      </x:c>
      <x:c r="L351" s="10" t="n">
        <x:v>460</x:v>
      </x:c>
      <x:c r="M351" s="10" t="n">
        <x:v>33534</x:v>
      </x:c>
      <x:c r="N351" s="9" t="str">
        <x:v>'-0.0534</x:v>
      </x:c>
      <x:c r="O351" s="10" t="n">
        <x:v>21505</x:v>
      </x:c>
      <x:c r="P351" s="10" t="n">
        <x:v>831</x:v>
      </x:c>
      <x:c r="Q351" s="9" t="n">
        <x:v>0.6412</x:v>
      </x:c>
      <x:c r="R351" s="9" t="n">
        <x:v>0.0386</x:v>
      </x:c>
      <x:c r="S351" s="9" t="n">
        <x:v>0.0247</x:v>
      </x:c>
    </x:row>
    <x:row r="352" ht="109" customHeight="1">
      <x:c r="A352" s="2" t="str">
        <x:v>pregnancy must haves</x:v>
      </x:c>
      <x:c r="B352" s="15" t="str">
        <x:v>pregnancy must haves, pregnancy essentials, pregnant, pregnancy must haves for mom, pregnant women essentials, early pregnancy must haves, pregnancy essentials for women, third trimester must haves, pregnancy travel essentials, pregnant mom essentials</x:v>
      </x:c>
      <x:c r="C352" s="10" t="n">
        <x:v>130</x:v>
      </x:c>
      <x:c r="D352" s="10" t="n">
        <x:v>142117</x:v>
      </x:c>
      <x:c r="E352" s="9" t="str">
        <x:v>'-0.1322</x:v>
      </x:c>
      <x:c r="F352" s="10" t="n">
        <x:v>4913988</x:v>
      </x:c>
      <x:c r="G352" s="10" t="n">
        <x:v>40419</x:v>
      </x:c>
      <x:c r="H352" s="9" t="str">
        <x:v>'-0.1336</x:v>
      </x:c>
      <x:c r="I352" s="9" t="n">
        <x:v>0.2844</x:v>
      </x:c>
      <x:c r="J352" s="9" t="n">
        <x:v>0.0531</x:v>
      </x:c>
      <x:c r="K352" s="9" t="n">
        <x:v>0.0151</x:v>
      </x:c>
      <x:c r="L352" s="10" t="n">
        <x:v>2147</x:v>
      </x:c>
      <x:c r="M352" s="10" t="n">
        <x:v>24477</x:v>
      </x:c>
      <x:c r="N352" s="9" t="str">
        <x:v>'-0.1026</x:v>
      </x:c>
      <x:c r="O352" s="10" t="n">
        <x:v>18141</x:v>
      </x:c>
      <x:c r="P352" s="10" t="n">
        <x:v>2288</x:v>
      </x:c>
      <x:c r="Q352" s="9" t="n">
        <x:v>0.7411</x:v>
      </x:c>
      <x:c r="R352" s="9" t="n">
        <x:v>0.1261</x:v>
      </x:c>
      <x:c r="S352" s="9" t="n">
        <x:v>0.0934</x:v>
      </x:c>
    </x:row>
    <x:row r="353" ht="90" customHeight="1">
      <x:c r="A353" s="2" t="str">
        <x:v>car seat cover baby</x:v>
      </x:c>
      <x:c r="B353" s="15" t="str">
        <x:v>car seat cover baby, baby car seat cover, carseat cover, carseat covers baby, baby carseat cover, baby car seat covers, car seat covers baby, carseat canopy, car seat cover for baby, baby cover car seat</x:v>
      </x:c>
      <x:c r="C353" s="10" t="n">
        <x:v>133</x:v>
      </x:c>
      <x:c r="D353" s="10" t="n">
        <x:v>142092</x:v>
      </x:c>
      <x:c r="E353" s="9" t="n">
        <x:v>0.0675</x:v>
      </x:c>
      <x:c r="F353" s="10" t="n">
        <x:v>3566029</x:v>
      </x:c>
      <x:c r="G353" s="10" t="n">
        <x:v>55028</x:v>
      </x:c>
      <x:c r="H353" s="9" t="n">
        <x:v>0.0553</x:v>
      </x:c>
      <x:c r="I353" s="9" t="n">
        <x:v>0.3872</x:v>
      </x:c>
      <x:c r="J353" s="9" t="n">
        <x:v>0.0296</x:v>
      </x:c>
      <x:c r="K353" s="9" t="n">
        <x:v>0.0114</x:v>
      </x:c>
      <x:c r="L353" s="10" t="n">
        <x:v>1633</x:v>
      </x:c>
      <x:c r="M353" s="10" t="n">
        <x:v>29330</x:v>
      </x:c>
      <x:c r="N353" s="9" t="n">
        <x:v>0.0539</x:v>
      </x:c>
      <x:c r="O353" s="10" t="n">
        <x:v>24517</x:v>
      </x:c>
      <x:c r="P353" s="10" t="n">
        <x:v>2513</x:v>
      </x:c>
      <x:c r="Q353" s="9" t="n">
        <x:v>0.8359</x:v>
      </x:c>
      <x:c r="R353" s="9" t="n">
        <x:v>0.1025</x:v>
      </x:c>
      <x:c r="S353" s="9" t="n">
        <x:v>0.0856</x:v>
      </x:c>
    </x:row>
    <x:row r="354" ht="109" customHeight="1">
      <x:c r="A354" s="2" t="str">
        <x:v>beaded necklaces for women</x:v>
      </x:c>
      <x:c r="B354" s="15" t="str">
        <x:v>beaded necklaces for women, chunky beaded necklaces for women, bead necklace for women, beaded necklaces for women trendy, womens beaded necklaces, beaded necklace for women, womens beaded necklace, beaded jewelry for women, beaded choker necklaces for women, beads necklace for women</x:v>
      </x:c>
      <x:c r="C354" s="10" t="n">
        <x:v>169</x:v>
      </x:c>
      <x:c r="D354" s="10" t="n">
        <x:v>142038</x:v>
      </x:c>
      <x:c r="E354" s="9" t="str">
        <x:v>'-0.3</x:v>
      </x:c>
      <x:c r="F354" s="10" t="n">
        <x:v>7401971</x:v>
      </x:c>
      <x:c r="G354" s="10" t="n">
        <x:v>66853</x:v>
      </x:c>
      <x:c r="H354" s="9" t="str">
        <x:v>'-0.314</x:v>
      </x:c>
      <x:c r="I354" s="9" t="n">
        <x:v>0.4706</x:v>
      </x:c>
      <x:c r="J354" s="9" t="n">
        <x:v>0.0347</x:v>
      </x:c>
      <x:c r="K354" s="9" t="n">
        <x:v>0.0163</x:v>
      </x:c>
      <x:c r="L354" s="10" t="n">
        <x:v>2326</x:v>
      </x:c>
      <x:c r="M354" s="10" t="n">
        <x:v>37866</x:v>
      </x:c>
      <x:c r="N354" s="9" t="str">
        <x:v>'-0.2887</x:v>
      </x:c>
      <x:c r="O354" s="10" t="n">
        <x:v>31486</x:v>
      </x:c>
      <x:c r="P354" s="10" t="n">
        <x:v>4862</x:v>
      </x:c>
      <x:c r="Q354" s="9" t="n">
        <x:v>0.8315</x:v>
      </x:c>
      <x:c r="R354" s="9" t="n">
        <x:v>0.1544</x:v>
      </x:c>
      <x:c r="S354" s="9" t="n">
        <x:v>0.1284</x:v>
      </x:c>
    </x:row>
    <x:row r="355" ht="109" customHeight="1">
      <x:c r="A355" s="2" t="str">
        <x:v>halloween squishies bulk</x:v>
      </x:c>
      <x:c r="B355" s="15" t="str">
        <x:v>halloween squishies bulk, bulk halloween squishies, halloween squishy toys bulk, halloween squishy bulk, halloween mochi squishy toys bulk, halloween dumplings bulk, pumpkin squishy bulk, squishy halloween bulk, halloween squishies bulk pack, halloween stress balls bulk</x:v>
      </x:c>
      <x:c r="C355" s="10" t="n">
        <x:v>106</x:v>
      </x:c>
      <x:c r="D355" s="10" t="n">
        <x:v>141192</x:v>
      </x:c>
      <x:c r="E355" s="9" t="n">
        <x:v>3.94</x:v>
      </x:c>
      <x:c r="F355" s="10" t="n">
        <x:v>1856692</x:v>
      </x:c>
      <x:c r="G355" s="10" t="n">
        <x:v>81542</x:v>
      </x:c>
      <x:c r="H355" s="9" t="n">
        <x:v>4.121</x:v>
      </x:c>
      <x:c r="I355" s="9" t="n">
        <x:v>0.5775</x:v>
      </x:c>
      <x:c r="J355" s="9" t="n">
        <x:v>0.0369</x:v>
      </x:c>
      <x:c r="K355" s="9" t="n">
        <x:v>0.0213</x:v>
      </x:c>
      <x:c r="L355" s="10" t="n">
        <x:v>3010</x:v>
      </x:c>
      <x:c r="M355" s="10" t="n">
        <x:v>14249</x:v>
      </x:c>
      <x:c r="N355" s="9" t="n">
        <x:v>3.8575</x:v>
      </x:c>
      <x:c r="O355" s="10" t="n">
        <x:v>11905</x:v>
      </x:c>
      <x:c r="P355" s="10" t="n">
        <x:v>1139</x:v>
      </x:c>
      <x:c r="Q355" s="9" t="n">
        <x:v>0.8354</x:v>
      </x:c>
      <x:c r="R355" s="9" t="n">
        <x:v>0.0956</x:v>
      </x:c>
      <x:c r="S355" s="9" t="n">
        <x:v>0.0799</x:v>
      </x:c>
    </x:row>
    <x:row r="356" ht="90" customHeight="1">
      <x:c r="A356" s="2" t="str">
        <x:v>womens business casual tops</x:v>
      </x:c>
      <x:c r="B356" s="15" t="str">
        <x:v>womens business casual tops, business casual tops, business casual top, bussiness casual tops, women business tops, corporate tops, women work top, womens short sleeve work tops, dress blouse for women, womens tops sale clearance</x:v>
      </x:c>
      <x:c r="C356" s="10" t="n">
        <x:v>126</x:v>
      </x:c>
      <x:c r="D356" s="10" t="n">
        <x:v>141091</x:v>
      </x:c>
      <x:c r="E356" s="9" t="n">
        <x:v>0.008</x:v>
      </x:c>
      <x:c r="F356" s="10" t="n">
        <x:v>5835368</x:v>
      </x:c>
      <x:c r="G356" s="10" t="n">
        <x:v>42081</x:v>
      </x:c>
      <x:c r="H356" s="9" t="n">
        <x:v>0.0154</x:v>
      </x:c>
      <x:c r="I356" s="9" t="n">
        <x:v>0.2982</x:v>
      </x:c>
      <x:c r="J356" s="9" t="n">
        <x:v>0.0163</x:v>
      </x:c>
      <x:c r="K356" s="9" t="n">
        <x:v>0.0048</x:v>
      </x:c>
      <x:c r="L356" s="10" t="n">
        <x:v>687</x:v>
      </x:c>
      <x:c r="M356" s="10" t="n">
        <x:v>24610</x:v>
      </x:c>
      <x:c r="N356" s="9" t="n">
        <x:v>0.0123</x:v>
      </x:c>
      <x:c r="O356" s="10" t="n">
        <x:v>20144</x:v>
      </x:c>
      <x:c r="P356" s="10" t="n">
        <x:v>3576</x:v>
      </x:c>
      <x:c r="Q356" s="9" t="n">
        <x:v>0.8185</x:v>
      </x:c>
      <x:c r="R356" s="9" t="n">
        <x:v>0.1775</x:v>
      </x:c>
      <x:c r="S356" s="9" t="n">
        <x:v>0.1453</x:v>
      </x:c>
    </x:row>
    <x:row r="357" ht="90" customHeight="1">
      <x:c r="A357" s="2" t="str">
        <x:v>karambit knife</x:v>
      </x:c>
      <x:c r="B357" s="15" t="str">
        <x:v>karambit knife, karambit, karambit knives, karambit fixed blade, fixed blade karambit knife, karambit toy, karambit knife trainer, claw knife, karambit knife with sheath, training karambit</x:v>
      </x:c>
      <x:c r="C357" s="10" t="n">
        <x:v>142</x:v>
      </x:c>
      <x:c r="D357" s="10" t="n">
        <x:v>141068</x:v>
      </x:c>
      <x:c r="E357" s="9" t="n">
        <x:v>0.4241</x:v>
      </x:c>
      <x:c r="F357" s="10" t="n">
        <x:v>2819345</x:v>
      </x:c>
      <x:c r="G357" s="10" t="n">
        <x:v>60545</x:v>
      </x:c>
      <x:c r="H357" s="9" t="n">
        <x:v>0.4852</x:v>
      </x:c>
      <x:c r="I357" s="9" t="n">
        <x:v>0.4291</x:v>
      </x:c>
      <x:c r="J357" s="9" t="n">
        <x:v>0.0325</x:v>
      </x:c>
      <x:c r="K357" s="9" t="n">
        <x:v>0.0139</x:v>
      </x:c>
      <x:c r="L357" s="10" t="n">
        <x:v>1969</x:v>
      </x:c>
      <x:c r="M357" s="10" t="n">
        <x:v>19416</x:v>
      </x:c>
      <x:c r="N357" s="9" t="n">
        <x:v>0.3614</x:v>
      </x:c>
      <x:c r="O357" s="10" t="n">
        <x:v>14720</x:v>
      </x:c>
      <x:c r="P357" s="10" t="n">
        <x:v>1549</x:v>
      </x:c>
      <x:c r="Q357" s="9" t="n">
        <x:v>0.7581</x:v>
      </x:c>
      <x:c r="R357" s="9" t="n">
        <x:v>0.1052</x:v>
      </x:c>
      <x:c r="S357" s="9" t="n">
        <x:v>0.0797</x:v>
      </x:c>
    </x:row>
    <x:row r="358" ht="90" customHeight="1">
      <x:c r="A358" s="2" t="str">
        <x:v>leather wallets for men</x:v>
      </x:c>
      <x:c r="B358" s="15" t="str">
        <x:v>leather wallets for men, leather wallet, mens leather wallet, leather wallet for men, men wallet leather, mens wallet leather, full grain leather wallet, leather mens wallet, genuine leather wallet, wallet leather</x:v>
      </x:c>
      <x:c r="C358" s="10" t="n">
        <x:v>140</x:v>
      </x:c>
      <x:c r="D358" s="10" t="n">
        <x:v>141059</x:v>
      </x:c>
      <x:c r="E358" s="9" t="str">
        <x:v>'-0.0055</x:v>
      </x:c>
      <x:c r="F358" s="10" t="n">
        <x:v>4685660</x:v>
      </x:c>
      <x:c r="G358" s="10" t="n">
        <x:v>58848</x:v>
      </x:c>
      <x:c r="H358" s="9" t="str">
        <x:v>'-0.0187</x:v>
      </x:c>
      <x:c r="I358" s="9" t="n">
        <x:v>0.4171</x:v>
      </x:c>
      <x:c r="J358" s="9" t="n">
        <x:v>0.0488</x:v>
      </x:c>
      <x:c r="K358" s="9" t="n">
        <x:v>0.0203</x:v>
      </x:c>
      <x:c r="L358" s="10" t="n">
        <x:v>2874</x:v>
      </x:c>
      <x:c r="M358" s="10" t="n">
        <x:v>28778</x:v>
      </x:c>
      <x:c r="N358" s="9" t="str">
        <x:v>'-0.0259</x:v>
      </x:c>
      <x:c r="O358" s="10" t="n">
        <x:v>22642</x:v>
      </x:c>
      <x:c r="P358" s="10" t="n">
        <x:v>5043</x:v>
      </x:c>
      <x:c r="Q358" s="9" t="n">
        <x:v>0.7867</x:v>
      </x:c>
      <x:c r="R358" s="9" t="n">
        <x:v>0.2227</x:v>
      </x:c>
      <x:c r="S358" s="9" t="n">
        <x:v>0.1752</x:v>
      </x:c>
    </x:row>
    <x:row r="359" ht="71" customHeight="1">
      <x:c r="A359" s="2" t="str">
        <x:v>organic snacks</x:v>
      </x:c>
      <x:c r="B359" s="15" t="str">
        <x:v>organic snacks, snacks on sale, organic snack, snacks cheap, snacks ebt, snap ebt eligible snacks, desk snacks, snacks sale, yummy snacks, sale snacks</x:v>
      </x:c>
      <x:c r="C359" s="10" t="n">
        <x:v>149</x:v>
      </x:c>
      <x:c r="D359" s="10" t="n">
        <x:v>140955</x:v>
      </x:c>
      <x:c r="E359" s="9" t="n">
        <x:v>0.1327</x:v>
      </x:c>
      <x:c r="F359" s="10" t="n">
        <x:v>4188667</x:v>
      </x:c>
      <x:c r="G359" s="10" t="n">
        <x:v>52417</x:v>
      </x:c>
      <x:c r="H359" s="9" t="n">
        <x:v>0.0927</x:v>
      </x:c>
      <x:c r="I359" s="9" t="n">
        <x:v>0.3718</x:v>
      </x:c>
      <x:c r="J359" s="9" t="n">
        <x:v>0.237</x:v>
      </x:c>
      <x:c r="K359" s="9" t="n">
        <x:v>0.0881</x:v>
      </x:c>
      <x:c r="L359" s="10" t="n">
        <x:v>12425</x:v>
      </x:c>
      <x:c r="M359" s="10" t="n">
        <x:v>24421</x:v>
      </x:c>
      <x:c r="N359" s="9" t="n">
        <x:v>0.0855</x:v>
      </x:c>
      <x:c r="O359" s="10" t="n">
        <x:v>18944</x:v>
      </x:c>
      <x:c r="P359" s="10" t="n">
        <x:v>6889</x:v>
      </x:c>
      <x:c r="Q359" s="9" t="n">
        <x:v>0.7757</x:v>
      </x:c>
      <x:c r="R359" s="9" t="n">
        <x:v>0.3636</x:v>
      </x:c>
      <x:c r="S359" s="9" t="n">
        <x:v>0.282</x:v>
      </x:c>
    </x:row>
    <x:row r="360" ht="90" customHeight="1">
      <x:c r="A360" s="2" t="str">
        <x:v>keycaps</x:v>
      </x:c>
      <x:c r="B360" s="15" t="str">
        <x:v>keycaps, apex pro tkl keycaps, replacement keycaps, replacement keyboard keys, thick pbt keycaps, 75% keyboard keycaps, keycaps jelly, thick keycaps, osa profile keycaps, thocky keycaps</x:v>
      </x:c>
      <x:c r="C360" s="10" t="n">
        <x:v>71</x:v>
      </x:c>
      <x:c r="D360" s="10" t="n">
        <x:v>139784</x:v>
      </x:c>
      <x:c r="E360" s="9" t="str">
        <x:v>'-0.0438</x:v>
      </x:c>
      <x:c r="F360" s="10" t="n">
        <x:v>2744576</x:v>
      </x:c>
      <x:c r="G360" s="10" t="n">
        <x:v>52576</x:v>
      </x:c>
      <x:c r="H360" s="9" t="str">
        <x:v>'-0.0412</x:v>
      </x:c>
      <x:c r="I360" s="9" t="n">
        <x:v>0.3761</x:v>
      </x:c>
      <x:c r="J360" s="9" t="n">
        <x:v>0.0127</x:v>
      </x:c>
      <x:c r="K360" s="9" t="n">
        <x:v>0.0047</x:v>
      </x:c>
      <x:c r="L360" s="10" t="n">
        <x:v>669</x:v>
      </x:c>
      <x:c r="M360" s="10" t="n">
        <x:v>16150</x:v>
      </x:c>
      <x:c r="N360" s="9" t="str">
        <x:v>'-0.0277</x:v>
      </x:c>
      <x:c r="O360" s="10" t="n">
        <x:v>12138</x:v>
      </x:c>
      <x:c r="P360" s="10" t="n">
        <x:v>1054</x:v>
      </x:c>
      <x:c r="Q360" s="9" t="n">
        <x:v>0.7515</x:v>
      </x:c>
      <x:c r="R360" s="9" t="n">
        <x:v>0.0868</x:v>
      </x:c>
      <x:c r="S360" s="9" t="n">
        <x:v>0.0652</x:v>
      </x:c>
    </x:row>
    <x:row r="361" ht="71" customHeight="1">
      <x:c r="A361" s="2" t="str">
        <x:v>the chosen</x:v>
      </x:c>
      <x:c r="B361" s="15" t="str">
        <x:v>the chosen, chosen, the chosen season 6, the chosen season 1, the chosen season 5, the chosen prime video, choose, the chosen prime, the chosen season 4, prime video the chosen</x:v>
      </x:c>
      <x:c r="C361" s="10" t="n">
        <x:v>61</x:v>
      </x:c>
      <x:c r="D361" s="10" t="n">
        <x:v>139684</x:v>
      </x:c>
      <x:c r="E361" s="9" t="n">
        <x:v>0.4234</x:v>
      </x:c>
      <x:c r="F361" s="10" t="n">
        <x:v>1119017</x:v>
      </x:c>
      <x:c r="G361" s="10" t="n">
        <x:v>5751</x:v>
      </x:c>
      <x:c r="H361" s="9" t="n">
        <x:v>0.0565</x:v>
      </x:c>
      <x:c r="I361" s="9" t="n">
        <x:v>0.0411</x:v>
      </x:c>
      <x:c r="J361" s="9" t="n">
        <x:v>0.1135</x:v>
      </x:c>
      <x:c r="K361" s="9" t="n">
        <x:v>0.0046</x:v>
      </x:c>
      <x:c r="L361" s="10" t="n">
        <x:v>653</x:v>
      </x:c>
      <x:c r="M361" s="10" t="n">
        <x:v>136457</x:v>
      </x:c>
      <x:c r="N361" s="9" t="n">
        <x:v>0.4286</x:v>
      </x:c>
      <x:c r="O361" s="10" t="n">
        <x:v>96342</x:v>
      </x:c>
      <x:c r="P361" s="10" t="n">
        <x:v>648</x:v>
      </x:c>
      <x:c r="Q361" s="9" t="n">
        <x:v>0.706</x:v>
      </x:c>
      <x:c r="R361" s="9" t="n">
        <x:v>0.0067</x:v>
      </x:c>
      <x:c r="S361" s="9" t="n">
        <x:v>0.0047</x:v>
      </x:c>
    </x:row>
    <x:row r="362" ht="90" customHeight="1">
      <x:c r="A362" s="2" t="str">
        <x:v>nail art</x:v>
      </x:c>
      <x:c r="B362" s="15" t="str">
        <x:v>nail art, gel nail art, stamping gel, gel liner nail polish, nail stamping gel, liner gel polish, stamping gel polish for nail art, nail art gel polish, gel nail art polish, gel nail design</x:v>
      </x:c>
      <x:c r="C362" s="10" t="n">
        <x:v>116</x:v>
      </x:c>
      <x:c r="D362" s="10" t="n">
        <x:v>139595</x:v>
      </x:c>
      <x:c r="E362" s="9" t="str">
        <x:v>'-0.0818</x:v>
      </x:c>
      <x:c r="F362" s="10" t="n">
        <x:v>4667997</x:v>
      </x:c>
      <x:c r="G362" s="10" t="n">
        <x:v>59870</x:v>
      </x:c>
      <x:c r="H362" s="9" t="str">
        <x:v>'-0.1226</x:v>
      </x:c>
      <x:c r="I362" s="9" t="n">
        <x:v>0.4288</x:v>
      </x:c>
      <x:c r="J362" s="9" t="n">
        <x:v>0.065</x:v>
      </x:c>
      <x:c r="K362" s="9" t="n">
        <x:v>0.0279</x:v>
      </x:c>
      <x:c r="L362" s="10" t="n">
        <x:v>3895</x:v>
      </x:c>
      <x:c r="M362" s="10" t="n">
        <x:v>29384</x:v>
      </x:c>
      <x:c r="N362" s="9" t="str">
        <x:v>'-0.0799</x:v>
      </x:c>
      <x:c r="O362" s="10" t="n">
        <x:v>24054</x:v>
      </x:c>
      <x:c r="P362" s="10" t="n">
        <x:v>3959</x:v>
      </x:c>
      <x:c r="Q362" s="9" t="n">
        <x:v>0.8186</x:v>
      </x:c>
      <x:c r="R362" s="9" t="n">
        <x:v>0.1645</x:v>
      </x:c>
      <x:c r="S362" s="9" t="n">
        <x:v>0.1347</x:v>
      </x:c>
    </x:row>
    <x:row r="363" ht="90" customHeight="1">
      <x:c r="A363" s="2" t="str">
        <x:v>345 cream</x:v>
      </x:c>
      <x:c r="B363" s="15" t="str">
        <x:v>345 cream, 345 relief cream, crema 345, dr athena 345 relief cream, 345 moisturizer, crema 345 coreana original, dr athlea 345 relief cream, dr altea 345 relief cream, 345 relief, dr. athena 345 relief cream</x:v>
      </x:c>
      <x:c r="C363" s="10" t="n">
        <x:v>87</x:v>
      </x:c>
      <x:c r="D363" s="10" t="n">
        <x:v>139580</x:v>
      </x:c>
      <x:c r="E363" s="9" t="str">
        <x:v>'-0.0139</x:v>
      </x:c>
      <x:c r="F363" s="10" t="n">
        <x:v>4024896</x:v>
      </x:c>
      <x:c r="G363" s="10" t="n">
        <x:v>82475</x:v>
      </x:c>
      <x:c r="H363" s="9" t="str">
        <x:v>'-0.0326</x:v>
      </x:c>
      <x:c r="I363" s="9" t="n">
        <x:v>0.5908</x:v>
      </x:c>
      <x:c r="J363" s="9" t="n">
        <x:v>0.1317</x:v>
      </x:c>
      <x:c r="K363" s="9" t="n">
        <x:v>0.0778</x:v>
      </x:c>
      <x:c r="L363" s="10" t="n">
        <x:v>10862</x:v>
      </x:c>
      <x:c r="M363" s="10" t="n">
        <x:v>58607</x:v>
      </x:c>
      <x:c r="N363" s="9" t="str">
        <x:v>'-0.0293</x:v>
      </x:c>
      <x:c r="O363" s="10" t="n">
        <x:v>50752</x:v>
      </x:c>
      <x:c r="P363" s="10" t="n">
        <x:v>13078</x:v>
      </x:c>
      <x:c r="Q363" s="9" t="n">
        <x:v>0.8659</x:v>
      </x:c>
      <x:c r="R363" s="9" t="n">
        <x:v>0.2576</x:v>
      </x:c>
      <x:c r="S363" s="9" t="n">
        <x:v>0.2231</x:v>
      </x:c>
    </x:row>
    <x:row r="364" ht="109" customHeight="1">
      <x:c r="A364" s="2" t="str">
        <x:v>tinted moisturizer</x:v>
      </x:c>
      <x:c r="B364" s="15" t="str">
        <x:v>tinted moisturizer, tinted moisturizer for mature skin, tinted moisturizer for face, tinted face moisturizer, glow moisturizer for face, glow cream for face, glow moisturizer, tinted moisturizer no spf, face moisturizer glow, face glow moisturizer</x:v>
      </x:c>
      <x:c r="C364" s="10" t="n">
        <x:v>90</x:v>
      </x:c>
      <x:c r="D364" s="10" t="n">
        <x:v>139262</x:v>
      </x:c>
      <x:c r="E364" s="9" t="n">
        <x:v>0.0153</x:v>
      </x:c>
      <x:c r="F364" s="10" t="n">
        <x:v>6043312</x:v>
      </x:c>
      <x:c r="G364" s="10" t="n">
        <x:v>65198</x:v>
      </x:c>
      <x:c r="H364" s="9" t="n">
        <x:v>0.0207</x:v>
      </x:c>
      <x:c r="I364" s="9" t="n">
        <x:v>0.4681</x:v>
      </x:c>
      <x:c r="J364" s="9" t="n">
        <x:v>0.0697</x:v>
      </x:c>
      <x:c r="K364" s="9" t="n">
        <x:v>0.0326</x:v>
      </x:c>
      <x:c r="L364" s="10" t="n">
        <x:v>4549</x:v>
      </x:c>
      <x:c r="M364" s="10" t="n">
        <x:v>43275</x:v>
      </x:c>
      <x:c r="N364" s="9" t="n">
        <x:v>0.0275</x:v>
      </x:c>
      <x:c r="O364" s="10" t="n">
        <x:v>34752</x:v>
      </x:c>
      <x:c r="P364" s="10" t="n">
        <x:v>8608</x:v>
      </x:c>
      <x:c r="Q364" s="9" t="n">
        <x:v>0.803</x:v>
      </x:c>
      <x:c r="R364" s="9" t="n">
        <x:v>0.2476</x:v>
      </x:c>
      <x:c r="S364" s="9" t="n">
        <x:v>0.1989</x:v>
      </x:c>
    </x:row>
    <x:row r="365" ht="71" customHeight="1">
      <x:c r="A365" s="2" t="str">
        <x:v>poster board</x:v>
      </x:c>
      <x:c r="B365" s="15" t="str">
        <x:v>poster board, white poster board, white poster, white poster paper, white poster boards, white posterboard, poster board white, white posters, 1 poster board, poster white</x:v>
      </x:c>
      <x:c r="C365" s="10" t="n">
        <x:v>40</x:v>
      </x:c>
      <x:c r="D365" s="10" t="n">
        <x:v>138943</x:v>
      </x:c>
      <x:c r="E365" s="9" t="n">
        <x:v>0.2582</x:v>
      </x:c>
      <x:c r="F365" s="10" t="n">
        <x:v>3566930</x:v>
      </x:c>
      <x:c r="G365" s="10" t="n">
        <x:v>44399</x:v>
      </x:c>
      <x:c r="H365" s="9" t="n">
        <x:v>0.2849</x:v>
      </x:c>
      <x:c r="I365" s="9" t="n">
        <x:v>0.3195</x:v>
      </x:c>
      <x:c r="J365" s="9" t="n">
        <x:v>0.1658</x:v>
      </x:c>
      <x:c r="K365" s="9" t="n">
        <x:v>0.053</x:v>
      </x:c>
      <x:c r="L365" s="10" t="n">
        <x:v>7364</x:v>
      </x:c>
      <x:c r="M365" s="10" t="n">
        <x:v>37236</x:v>
      </x:c>
      <x:c r="N365" s="9" t="n">
        <x:v>0.2351</x:v>
      </x:c>
      <x:c r="O365" s="10" t="n">
        <x:v>22033</x:v>
      </x:c>
      <x:c r="P365" s="10" t="n">
        <x:v>6430</x:v>
      </x:c>
      <x:c r="Q365" s="9" t="n">
        <x:v>0.5917</x:v>
      </x:c>
      <x:c r="R365" s="9" t="n">
        <x:v>0.2918</x:v>
      </x:c>
      <x:c r="S365" s="9" t="n">
        <x:v>0.1726</x:v>
      </x:c>
    </x:row>
    <x:row r="366" ht="109" customHeight="1">
      <x:c r="A366" s="2" t="str">
        <x:v>halloween village</x:v>
      </x:c>
      <x:c r="B366" s="15" t="str">
        <x:v>halloween village, halloween village accessories, lemax halloween village, halloween village houses, halloween houses village, halloween village set, halloween houses, halloween town village, halloween village sets complete, lemax halloween village accessories</x:v>
      </x:c>
      <x:c r="C366" s="10" t="n">
        <x:v>167</x:v>
      </x:c>
      <x:c r="D366" s="10" t="n">
        <x:v>138859</x:v>
      </x:c>
      <x:c r="E366" s="9" t="n">
        <x:v>0.545</x:v>
      </x:c>
      <x:c r="F366" s="10" t="n">
        <x:v>3232955</x:v>
      </x:c>
      <x:c r="G366" s="10" t="n">
        <x:v>71477</x:v>
      </x:c>
      <x:c r="H366" s="9" t="n">
        <x:v>0.5804</x:v>
      </x:c>
      <x:c r="I366" s="9" t="n">
        <x:v>0.5147</x:v>
      </x:c>
      <x:c r="J366" s="9" t="n">
        <x:v>0.0347</x:v>
      </x:c>
      <x:c r="K366" s="9" t="n">
        <x:v>0.0179</x:v>
      </x:c>
      <x:c r="L366" s="10" t="n">
        <x:v>2486</x:v>
      </x:c>
      <x:c r="M366" s="10" t="n">
        <x:v>18768</x:v>
      </x:c>
      <x:c r="N366" s="9" t="n">
        <x:v>0.5442</x:v>
      </x:c>
      <x:c r="O366" s="10" t="n">
        <x:v>13601</x:v>
      </x:c>
      <x:c r="P366" s="10" t="n">
        <x:v>869</x:v>
      </x:c>
      <x:c r="Q366" s="9" t="n">
        <x:v>0.7246</x:v>
      </x:c>
      <x:c r="R366" s="9" t="n">
        <x:v>0.0638</x:v>
      </x:c>
      <x:c r="S366" s="9" t="n">
        <x:v>0.0463</x:v>
      </x:c>
    </x:row>
    <x:row r="367" ht="109" customHeight="1">
      <x:c r="A367" s="2" t="str">
        <x:v>fall shoes for women 2026</x:v>
      </x:c>
      <x:c r="B367" s="15" t="str">
        <x:v>fall shoes for women 2026, pointed toe flats for women, pointy toe flats for women, pointed flats for women, cute flats for women dressy, closed toe flats for women, pointy flats for women, point toe flats for women, flat pointed toe shoes for women, studded flats for women</x:v>
      </x:c>
      <x:c r="C367" s="10" t="n">
        <x:v>81</x:v>
      </x:c>
      <x:c r="D367" s="10" t="n">
        <x:v>138669</x:v>
      </x:c>
      <x:c r="E367" s="9" t="n">
        <x:v>0.3804</x:v>
      </x:c>
      <x:c r="F367" s="10" t="n">
        <x:v>3871832</x:v>
      </x:c>
      <x:c r="G367" s="10" t="n">
        <x:v>31498</x:v>
      </x:c>
      <x:c r="H367" s="9" t="n">
        <x:v>0.3727</x:v>
      </x:c>
      <x:c r="I367" s="9" t="n">
        <x:v>0.2271</x:v>
      </x:c>
      <x:c r="J367" s="9" t="n">
        <x:v>0.0077</x:v>
      </x:c>
      <x:c r="K367" s="9" t="n">
        <x:v>0.0017</x:v>
      </x:c>
      <x:c r="L367" s="10" t="n">
        <x:v>243</x:v>
      </x:c>
      <x:c r="M367" s="10" t="n">
        <x:v>19360</x:v>
      </x:c>
      <x:c r="N367" s="9" t="n">
        <x:v>0.3192</x:v>
      </x:c>
      <x:c r="O367" s="10" t="n">
        <x:v>15754</x:v>
      </x:c>
      <x:c r="P367" s="10" t="n">
        <x:v>1390</x:v>
      </x:c>
      <x:c r="Q367" s="9" t="n">
        <x:v>0.8137</x:v>
      </x:c>
      <x:c r="R367" s="9" t="n">
        <x:v>0.0882</x:v>
      </x:c>
      <x:c r="S367" s="9" t="n">
        <x:v>0.0717</x:v>
      </x:c>
    </x:row>
    <x:row r="368" ht="109" customHeight="1">
      <x:c r="A368" s="2" t="str">
        <x:v>high protein snacks</x:v>
      </x:c>
      <x:c r="B368" s="15" t="str">
        <x:v>high protein snacks, high protein snack, low calorie high protein snacks, protein snacks low calorie high protein, glp-1 friendly high protein snacks, gluten free high protein snacks, best high protein snacks, high protein vegan snacks, snacks high protein, extremely high protein snacks</x:v>
      </x:c>
      <x:c r="C368" s="10" t="n">
        <x:v>117</x:v>
      </x:c>
      <x:c r="D368" s="10" t="n">
        <x:v>138488</x:v>
      </x:c>
      <x:c r="E368" s="9" t="n">
        <x:v>0.0524</x:v>
      </x:c>
      <x:c r="F368" s="10" t="n">
        <x:v>5244066</x:v>
      </x:c>
      <x:c r="G368" s="10" t="n">
        <x:v>57405</x:v>
      </x:c>
      <x:c r="H368" s="9" t="n">
        <x:v>0.0134</x:v>
      </x:c>
      <x:c r="I368" s="9" t="n">
        <x:v>0.4145</x:v>
      </x:c>
      <x:c r="J368" s="9" t="n">
        <x:v>0.104</x:v>
      </x:c>
      <x:c r="K368" s="9" t="n">
        <x:v>0.0431</x:v>
      </x:c>
      <x:c r="L368" s="10" t="n">
        <x:v>5971</x:v>
      </x:c>
      <x:c r="M368" s="10" t="n">
        <x:v>31276</x:v>
      </x:c>
      <x:c r="N368" s="9" t="n">
        <x:v>0.0053</x:v>
      </x:c>
      <x:c r="O368" s="10" t="n">
        <x:v>23322</x:v>
      </x:c>
      <x:c r="P368" s="10" t="n">
        <x:v>5448</x:v>
      </x:c>
      <x:c r="Q368" s="9" t="n">
        <x:v>0.7456</x:v>
      </x:c>
      <x:c r="R368" s="9" t="n">
        <x:v>0.2335</x:v>
      </x:c>
      <x:c r="S368" s="9" t="n">
        <x:v>0.1741</x:v>
      </x:c>
    </x:row>
    <x:row r="369" ht="90" customHeight="1">
      <x:c r="A369" s="2" t="str">
        <x:v>magazine holder</x:v>
      </x:c>
      <x:c r="B369" s="15" t="str">
        <x:v>magazine holder, magazine file holder, magazine holders, magazine storage, magazine organizer, magazine file, magazine binder, revistero, decorative magazine holder, magazine file holders</x:v>
      </x:c>
      <x:c r="C369" s="10" t="n">
        <x:v>172</x:v>
      </x:c>
      <x:c r="D369" s="10" t="n">
        <x:v>138425</x:v>
      </x:c>
      <x:c r="E369" s="9" t="str">
        <x:v>'-0.1115</x:v>
      </x:c>
      <x:c r="F369" s="10" t="n">
        <x:v>5020748</x:v>
      </x:c>
      <x:c r="G369" s="10" t="n">
        <x:v>49688</x:v>
      </x:c>
      <x:c r="H369" s="9" t="str">
        <x:v>'-0.105</x:v>
      </x:c>
      <x:c r="I369" s="9" t="n">
        <x:v>0.3589</x:v>
      </x:c>
      <x:c r="J369" s="9" t="n">
        <x:v>0.0663</x:v>
      </x:c>
      <x:c r="K369" s="9" t="n">
        <x:v>0.0238</x:v>
      </x:c>
      <x:c r="L369" s="10" t="n">
        <x:v>3295</x:v>
      </x:c>
      <x:c r="M369" s="10" t="n">
        <x:v>38811</x:v>
      </x:c>
      <x:c r="N369" s="9" t="str">
        <x:v>'-0.1256</x:v>
      </x:c>
      <x:c r="O369" s="10" t="n">
        <x:v>28305</x:v>
      </x:c>
      <x:c r="P369" s="10" t="n">
        <x:v>5794</x:v>
      </x:c>
      <x:c r="Q369" s="9" t="n">
        <x:v>0.7293</x:v>
      </x:c>
      <x:c r="R369" s="9" t="n">
        <x:v>0.2046</x:v>
      </x:c>
      <x:c r="S369" s="9" t="n">
        <x:v>0.1492</x:v>
      </x:c>
    </x:row>
    <x:row r="370" ht="109" customHeight="1">
      <x:c r="A370" s="2" t="str">
        <x:v>mad hatter costume women</x:v>
      </x:c>
      <x:c r="B370" s="15" t="str">
        <x:v>mad hatter costume women, mad hatter costume, mad hatter, womens mad hatter costume, mens mad hatter costume, mad hatter womens costume, the mad hatter costume, sombrerero loco disfraz mujer, sexy mad hatter costume women, mad hatter costume for women</x:v>
      </x:c>
      <x:c r="C370" s="10" t="n">
        <x:v>72</x:v>
      </x:c>
      <x:c r="D370" s="10" t="n">
        <x:v>138100</x:v>
      </x:c>
      <x:c r="E370" s="9" t="n">
        <x:v>1.294</x:v>
      </x:c>
      <x:c r="F370" s="10" t="n">
        <x:v>1899416</x:v>
      </x:c>
      <x:c r="G370" s="10" t="n">
        <x:v>48683</x:v>
      </x:c>
      <x:c r="H370" s="9" t="n">
        <x:v>1.4011</x:v>
      </x:c>
      <x:c r="I370" s="9" t="n">
        <x:v>0.3525</x:v>
      </x:c>
      <x:c r="J370" s="9" t="n">
        <x:v>0.0078</x:v>
      </x:c>
      <x:c r="K370" s="9" t="n">
        <x:v>0.0027</x:v>
      </x:c>
      <x:c r="L370" s="10" t="n">
        <x:v>380</x:v>
      </x:c>
      <x:c r="M370" s="10" t="n">
        <x:v>13344</x:v>
      </x:c>
      <x:c r="N370" s="9" t="n">
        <x:v>1.1655</x:v>
      </x:c>
      <x:c r="O370" s="10" t="n">
        <x:v>9413</x:v>
      </x:c>
      <x:c r="P370" s="10" t="n">
        <x:v>359</x:v>
      </x:c>
      <x:c r="Q370" s="9" t="n">
        <x:v>0.7054</x:v>
      </x:c>
      <x:c r="R370" s="9" t="n">
        <x:v>0.0381</x:v>
      </x:c>
      <x:c r="S370" s="9" t="n">
        <x:v>0.0269</x:v>
      </x:c>
    </x:row>
    <x:row r="371" ht="109" customHeight="1">
      <x:c r="A371" s="2" t="str">
        <x:v>serene herbs soursop bitters</x:v>
      </x:c>
      <x:c r="B371" s="15" t="str">
        <x:v>serene herbs soursop bitters, serene herbs, serene herbs soursop bitters liquid, serene herb soursop bitters, serine herbs soursop bitters liquid, sour sop bitters serene herbs, serene herbs exotic soursop bitters, serene herb, srene herbs soursop bitters, sour soap bitters serene herbs</x:v>
      </x:c>
      <x:c r="C371" s="10" t="n">
        <x:v>35</x:v>
      </x:c>
      <x:c r="D371" s="10" t="n">
        <x:v>137759</x:v>
      </x:c>
      <x:c r="E371" s="9" t="n">
        <x:v>0.1043</x:v>
      </x:c>
      <x:c r="F371" s="10" t="n">
        <x:v>4002180</x:v>
      </x:c>
      <x:c r="G371" s="10" t="n">
        <x:v>67838</x:v>
      </x:c>
      <x:c r="H371" s="9" t="n">
        <x:v>0.2337</x:v>
      </x:c>
      <x:c r="I371" s="9" t="n">
        <x:v>0.4924</x:v>
      </x:c>
      <x:c r="J371" s="9" t="n">
        <x:v>0.1083</x:v>
      </x:c>
      <x:c r="K371" s="9" t="n">
        <x:v>0.0533</x:v>
      </x:c>
      <x:c r="L371" s="10" t="n">
        <x:v>7347</x:v>
      </x:c>
      <x:c r="M371" s="10" t="n">
        <x:v>55261</x:v>
      </x:c>
      <x:c r="N371" s="9" t="n">
        <x:v>0.1064</x:v>
      </x:c>
      <x:c r="O371" s="10" t="n">
        <x:v>46259</x:v>
      </x:c>
      <x:c r="P371" s="10" t="n">
        <x:v>8510</x:v>
      </x:c>
      <x:c r="Q371" s="9" t="n">
        <x:v>0.8371</x:v>
      </x:c>
      <x:c r="R371" s="9" t="n">
        <x:v>0.1839</x:v>
      </x:c>
      <x:c r="S371" s="9" t="n">
        <x:v>0.1539</x:v>
      </x:c>
    </x:row>
    <x:row r="372" ht="128" customHeight="1">
      <x:c r="A372" s="2" t="str">
        <x:v>decoracion de cumpleaños para mujer</x:v>
      </x:c>
      <x:c r="B372" s="15" t="str">
        <x:v>decoracion de cumpleaños para mujer, feliz cumpleaños decoracion, decoracion de cumpleaños para niña, decoracion de cumpleaños, decoración de cumpleaños para mujer, arreglos para cumpleaños de mujer, cumpleaños decoracion mujer, decoraciones de cumpleaños para mujer, birthday kit, decoracion cumpleaños mujer</x:v>
      </x:c>
      <x:c r="C372" s="10" t="n">
        <x:v>160</x:v>
      </x:c>
      <x:c r="D372" s="10" t="n">
        <x:v>137465</x:v>
      </x:c>
      <x:c r="E372" s="9" t="n">
        <x:v>0.1821</x:v>
      </x:c>
      <x:c r="F372" s="10" t="n">
        <x:v>2761443</x:v>
      </x:c>
      <x:c r="G372" s="10" t="n">
        <x:v>44367</x:v>
      </x:c>
      <x:c r="H372" s="9" t="n">
        <x:v>0.1741</x:v>
      </x:c>
      <x:c r="I372" s="9" t="n">
        <x:v>0.3227</x:v>
      </x:c>
      <x:c r="J372" s="9" t="n">
        <x:v>0.0407</x:v>
      </x:c>
      <x:c r="K372" s="9" t="n">
        <x:v>0.0131</x:v>
      </x:c>
      <x:c r="L372" s="10" t="n">
        <x:v>1810</x:v>
      </x:c>
      <x:c r="M372" s="10" t="n">
        <x:v>17316</x:v>
      </x:c>
      <x:c r="N372" s="9" t="n">
        <x:v>0.1731</x:v>
      </x:c>
      <x:c r="O372" s="10" t="n">
        <x:v>13376</x:v>
      </x:c>
      <x:c r="P372" s="10" t="n">
        <x:v>1910</x:v>
      </x:c>
      <x:c r="Q372" s="9" t="n">
        <x:v>0.7724</x:v>
      </x:c>
      <x:c r="R372" s="9" t="n">
        <x:v>0.1427</x:v>
      </x:c>
      <x:c r="S372" s="9" t="n">
        <x:v>0.1103</x:v>
      </x:c>
    </x:row>
    <x:row r="373" ht="90" customHeight="1">
      <x:c r="A373" s="2" t="str">
        <x:v>hydro flask</x:v>
      </x:c>
      <x:c r="B373" s="15" t="str">
        <x:v>hydro flask, hydroflask water bottle, hydroflax, hydroflash, best travel water bottle, open mouth water bottle, water bottle wide mouth no straw, aqua flask, wide water bottle, water bottles made in usa only</x:v>
      </x:c>
      <x:c r="C373" s="10" t="n">
        <x:v>77</x:v>
      </x:c>
      <x:c r="D373" s="10" t="n">
        <x:v>137374</x:v>
      </x:c>
      <x:c r="E373" s="9" t="str">
        <x:v>'-0.0528</x:v>
      </x:c>
      <x:c r="F373" s="10" t="n">
        <x:v>4207087</x:v>
      </x:c>
      <x:c r="G373" s="10" t="n">
        <x:v>63515</x:v>
      </x:c>
      <x:c r="H373" s="9" t="str">
        <x:v>'-0.0013</x:v>
      </x:c>
      <x:c r="I373" s="9" t="n">
        <x:v>0.4623</x:v>
      </x:c>
      <x:c r="J373" s="9" t="n">
        <x:v>0.0296</x:v>
      </x:c>
      <x:c r="K373" s="9" t="n">
        <x:v>0.0137</x:v>
      </x:c>
      <x:c r="L373" s="10" t="n">
        <x:v>1886</x:v>
      </x:c>
      <x:c r="M373" s="10" t="n">
        <x:v>43121</x:v>
      </x:c>
      <x:c r="N373" s="9" t="str">
        <x:v>'-0.087</x:v>
      </x:c>
      <x:c r="O373" s="10" t="n">
        <x:v>33635</x:v>
      </x:c>
      <x:c r="P373" s="10" t="n">
        <x:v>5070</x:v>
      </x:c>
      <x:c r="Q373" s="9" t="n">
        <x:v>0.78</x:v>
      </x:c>
      <x:c r="R373" s="9" t="n">
        <x:v>0.1507</x:v>
      </x:c>
      <x:c r="S373" s="9" t="n">
        <x:v>0.1175</x:v>
      </x:c>
    </x:row>
    <x:row r="374" ht="109" customHeight="1">
      <x:c r="A374" s="2" t="str">
        <x:v>polarized sunglasses men</x:v>
      </x:c>
      <x:c r="B374" s="15" t="str">
        <x:v>polarized sunglasses men, sunglasses polarized, polarized, nighttime driving glasses, mems sunglasses, motorcycle night riding glasses, nighttime glasses for driving, night sunglasses, lentes para conducir de noche, highest rated night driving glasses</x:v>
      </x:c>
      <x:c r="C374" s="10" t="n">
        <x:v>95</x:v>
      </x:c>
      <x:c r="D374" s="10" t="n">
        <x:v>137361</x:v>
      </x:c>
      <x:c r="E374" s="9" t="str">
        <x:v>'-0.1405</x:v>
      </x:c>
      <x:c r="F374" s="10" t="n">
        <x:v>5208500</x:v>
      </x:c>
      <x:c r="G374" s="10" t="n">
        <x:v>51710</x:v>
      </x:c>
      <x:c r="H374" s="9" t="str">
        <x:v>'-0.164</x:v>
      </x:c>
      <x:c r="I374" s="9" t="n">
        <x:v>0.3764</x:v>
      </x:c>
      <x:c r="J374" s="9" t="n">
        <x:v>0.0869</x:v>
      </x:c>
      <x:c r="K374" s="9" t="n">
        <x:v>0.0327</x:v>
      </x:c>
      <x:c r="L374" s="10" t="n">
        <x:v>4495</x:v>
      </x:c>
      <x:c r="M374" s="10" t="n">
        <x:v>35675</x:v>
      </x:c>
      <x:c r="N374" s="9" t="str">
        <x:v>'-0.1376</x:v>
      </x:c>
      <x:c r="O374" s="10" t="n">
        <x:v>27707</x:v>
      </x:c>
      <x:c r="P374" s="10" t="n">
        <x:v>8749</x:v>
      </x:c>
      <x:c r="Q374" s="9" t="n">
        <x:v>0.7766</x:v>
      </x:c>
      <x:c r="R374" s="9" t="n">
        <x:v>0.3157</x:v>
      </x:c>
      <x:c r="S374" s="9" t="n">
        <x:v>0.2452</x:v>
      </x:c>
    </x:row>
    <x:row r="375" ht="109" customHeight="1">
      <x:c r="A375" s="2" t="str">
        <x:v>texas longhorns womens apparel</x:v>
      </x:c>
      <x:c r="B375" s="15" t="str">
        <x:v>texas longhorns womens apparel, texas longhorns t shirt, longhorns shirt, texas longhorns shirt, texas longhorns t shirt men, texas longhorns shirts, texas longhorns t shirt women, mens texas longhorns shirt, texas longhorns mens shirt, texas longhorns mens apparel</x:v>
      </x:c>
      <x:c r="C375" s="10" t="n">
        <x:v>93</x:v>
      </x:c>
      <x:c r="D375" s="10" t="n">
        <x:v>137291</x:v>
      </x:c>
      <x:c r="E375" s="9" t="n">
        <x:v>4.6229</x:v>
      </x:c>
      <x:c r="F375" s="10" t="n">
        <x:v>1103337</x:v>
      </x:c>
      <x:c r="G375" s="10" t="n">
        <x:v>35093</x:v>
      </x:c>
      <x:c r="H375" s="9" t="n">
        <x:v>4.6112</x:v>
      </x:c>
      <x:c r="I375" s="9" t="n">
        <x:v>0.2556</x:v>
      </x:c>
      <x:c r="J375" s="9" t="n">
        <x:v>0.0367</x:v>
      </x:c>
      <x:c r="K375" s="9" t="n">
        <x:v>0.0093</x:v>
      </x:c>
      <x:c r="L375" s="10" t="n">
        <x:v>1289</x:v>
      </x:c>
      <x:c r="M375" s="10" t="n">
        <x:v>6633</x:v>
      </x:c>
      <x:c r="N375" s="9" t="n">
        <x:v>3.855</x:v>
      </x:c>
      <x:c r="O375" s="10" t="n">
        <x:v>4649</x:v>
      </x:c>
      <x:c r="P375" s="10" t="n">
        <x:v>720</x:v>
      </x:c>
      <x:c r="Q375" s="9" t="n">
        <x:v>0.7008</x:v>
      </x:c>
      <x:c r="R375" s="9" t="n">
        <x:v>0.1548</x:v>
      </x:c>
      <x:c r="S375" s="9" t="n">
        <x:v>0.1085</x:v>
      </x:c>
    </x:row>
    <x:row r="376" ht="71" customHeight="1">
      <x:c r="A376" s="2" t="str">
        <x:v>vhs player</x:v>
      </x:c>
      <x:c r="B376" s="15" t="str">
        <x:v>vhs player, vcr player, vcr, vhs player for sale, vhs player for smart tv, cheap vhs player, vhs player with hdmi, videocasetera vhs, vhs vcr, vhs player with hdmi output</x:v>
      </x:c>
      <x:c r="C376" s="10" t="n">
        <x:v>62</x:v>
      </x:c>
      <x:c r="D376" s="10" t="n">
        <x:v>137266</x:v>
      </x:c>
      <x:c r="E376" s="9" t="n">
        <x:v>0.0979</x:v>
      </x:c>
      <x:c r="F376" s="10" t="n">
        <x:v>2664466</x:v>
      </x:c>
      <x:c r="G376" s="10" t="n">
        <x:v>42989</x:v>
      </x:c>
      <x:c r="H376" s="9" t="n">
        <x:v>0.1636</x:v>
      </x:c>
      <x:c r="I376" s="9" t="n">
        <x:v>0.3131</x:v>
      </x:c>
      <x:c r="J376" s="9" t="n">
        <x:v>0.0125</x:v>
      </x:c>
      <x:c r="K376" s="9" t="n">
        <x:v>0.0039</x:v>
      </x:c>
      <x:c r="L376" s="10" t="n">
        <x:v>541</x:v>
      </x:c>
      <x:c r="M376" s="10" t="n">
        <x:v>41135</x:v>
      </x:c>
      <x:c r="N376" s="9" t="n">
        <x:v>0.0671</x:v>
      </x:c>
      <x:c r="O376" s="10" t="n">
        <x:v>18898</x:v>
      </x:c>
      <x:c r="P376" s="10" t="n">
        <x:v>567</x:v>
      </x:c>
      <x:c r="Q376" s="9" t="n">
        <x:v>0.4594</x:v>
      </x:c>
      <x:c r="R376" s="9" t="n">
        <x:v>0.03</x:v>
      </x:c>
      <x:c r="S376" s="9" t="n">
        <x:v>0.0137</x:v>
      </x:c>
    </x:row>
    <x:row r="377" ht="90" customHeight="1">
      <x:c r="A377" s="2" t="str">
        <x:v>trick or treat bucket</x:v>
      </x:c>
      <x:c r="B377" s="15" t="str">
        <x:v>trick or treat bucket, halloween buckets, pumpkin bucket, halloween candy bucket, pumpkin buckets, halloween pumpkin bucket, jack o lantern bucket, pumpkin candy bucket, pumpkin trick or treat bucket, pumpkin pail</x:v>
      </x:c>
      <x:c r="C377" s="10" t="n">
        <x:v>162</x:v>
      </x:c>
      <x:c r="D377" s="10" t="n">
        <x:v>137167</x:v>
      </x:c>
      <x:c r="E377" s="9" t="n">
        <x:v>1.4418</x:v>
      </x:c>
      <x:c r="F377" s="10" t="n">
        <x:v>2036922</x:v>
      </x:c>
      <x:c r="G377" s="10" t="n">
        <x:v>41288</x:v>
      </x:c>
      <x:c r="H377" s="9" t="n">
        <x:v>1.2649</x:v>
      </x:c>
      <x:c r="I377" s="9" t="n">
        <x:v>0.301</x:v>
      </x:c>
      <x:c r="J377" s="9" t="n">
        <x:v>0.0311</x:v>
      </x:c>
      <x:c r="K377" s="9" t="n">
        <x:v>0.0093</x:v>
      </x:c>
      <x:c r="L377" s="10" t="n">
        <x:v>1286</x:v>
      </x:c>
      <x:c r="M377" s="10" t="n">
        <x:v>18201</x:v>
      </x:c>
      <x:c r="N377" s="9" t="n">
        <x:v>1.5515</x:v>
      </x:c>
      <x:c r="O377" s="10" t="n">
        <x:v>11685</x:v>
      </x:c>
      <x:c r="P377" s="10" t="n">
        <x:v>652</x:v>
      </x:c>
      <x:c r="Q377" s="9" t="n">
        <x:v>0.6419</x:v>
      </x:c>
      <x:c r="R377" s="9" t="n">
        <x:v>0.0557</x:v>
      </x:c>
      <x:c r="S377" s="9" t="n">
        <x:v>0.0358</x:v>
      </x:c>
    </x:row>
    <x:row r="378" ht="128" customHeight="1">
      <x:c r="A378" s="2" t="str">
        <x:v>king size bed frame with storage</x:v>
      </x:c>
      <x:c r="B378" s="15" t="str">
        <x:v>king size bed frame with storage, king size storage bed frame, king size bedroom furniture sets, king size bed with storage, king size bed frame with led lights, bedroom set king size, led king size bed frame, king size bed frame with lights, king size bed frame led lights, king size bedframe with storage</x:v>
      </x:c>
      <x:c r="C378" s="10" t="n">
        <x:v>134</x:v>
      </x:c>
      <x:c r="D378" s="10" t="n">
        <x:v>137062</x:v>
      </x:c>
      <x:c r="E378" s="9" t="n">
        <x:v>0.0491</x:v>
      </x:c>
      <x:c r="F378" s="10" t="n">
        <x:v>3176855</x:v>
      </x:c>
      <x:c r="G378" s="10" t="n">
        <x:v>59647</x:v>
      </x:c>
      <x:c r="H378" s="9" t="str">
        <x:v>'-0.0032</x:v>
      </x:c>
      <x:c r="I378" s="9" t="n">
        <x:v>0.4351</x:v>
      </x:c>
      <x:c r="J378" s="9" t="n">
        <x:v>0.0059</x:v>
      </x:c>
      <x:c r="K378" s="9" t="n">
        <x:v>0.0025</x:v>
      </x:c>
      <x:c r="L378" s="10" t="n">
        <x:v>352</x:v>
      </x:c>
      <x:c r="M378" s="10" t="n">
        <x:v>18669</x:v>
      </x:c>
      <x:c r="N378" s="9" t="n">
        <x:v>0.1616</x:v>
      </x:c>
      <x:c r="O378" s="10" t="n">
        <x:v>15400</x:v>
      </x:c>
      <x:c r="P378" s="10" t="n">
        <x:v>537</x:v>
      </x:c>
      <x:c r="Q378" s="9" t="n">
        <x:v>0.8248</x:v>
      </x:c>
      <x:c r="R378" s="9" t="n">
        <x:v>0.0348</x:v>
      </x:c>
      <x:c r="S378" s="9" t="n">
        <x:v>0.0287</x:v>
      </x:c>
    </x:row>
    <x:row r="379" ht="109" customHeight="1">
      <x:c r="A379" s="2" t="str">
        <x:v>calamity club book</x:v>
      </x:c>
      <x:c r="B379" s="15" t="str">
        <x:v>calamity club book, the calamity club book, the calamity club paperback, calamity club book paperback, book the calamity club, book calamity club, the calamity club large print, book calamity club paperback, calamity club large print, calamity club paperback book</x:v>
      </x:c>
      <x:c r="C379" s="10" t="n">
        <x:v>97</x:v>
      </x:c>
      <x:c r="D379" s="10" t="n">
        <x:v>136458</x:v>
      </x:c>
      <x:c r="E379" s="9" t="n">
        <x:v>0.0111</x:v>
      </x:c>
      <x:c r="F379" s="10" t="n">
        <x:v>2633214</x:v>
      </x:c>
      <x:c r="G379" s="10" t="n">
        <x:v>85498</x:v>
      </x:c>
      <x:c r="H379" s="9" t="n">
        <x:v>0.0182</x:v>
      </x:c>
      <x:c r="I379" s="9" t="n">
        <x:v>0.6265</x:v>
      </x:c>
      <x:c r="J379" s="9" t="n">
        <x:v>0.1526</x:v>
      </x:c>
      <x:c r="K379" s="9" t="n">
        <x:v>0.0956</x:v>
      </x:c>
      <x:c r="L379" s="10" t="n">
        <x:v>13055</x:v>
      </x:c>
      <x:c r="M379" s="10" t="n">
        <x:v>91803</x:v>
      </x:c>
      <x:c r="N379" s="9" t="str">
        <x:v>'-0.0219</x:v>
      </x:c>
      <x:c r="O379" s="10" t="n">
        <x:v>77058</x:v>
      </x:c>
      <x:c r="P379" s="10" t="n">
        <x:v>17226</x:v>
      </x:c>
      <x:c r="Q379" s="9" t="n">
        <x:v>0.8393</x:v>
      </x:c>
      <x:c r="R379" s="9" t="n">
        <x:v>0.2235</x:v>
      </x:c>
      <x:c r="S379" s="9" t="n">
        <x:v>0.1876</x:v>
      </x:c>
    </x:row>
    <x:row r="380" ht="109" customHeight="1">
      <x:c r="A380" s="2" t="str">
        <x:v>sunflower lecithin</x:v>
      </x:c>
      <x:c r="B380" s="15" t="str">
        <x:v>sunflower lecithin, lecithin, sunflower lecithin legendairy milk, sunflower lecithin capsules, now sunflower lecithin, sunflower lecithin breastfeeding, sunflower lecithin now, sun flower lecithin, lecithin sunflower, sunflower lecithin organic</x:v>
      </x:c>
      <x:c r="C380" s="10" t="n">
        <x:v>136</x:v>
      </x:c>
      <x:c r="D380" s="10" t="n">
        <x:v>136399</x:v>
      </x:c>
      <x:c r="E380" s="9" t="n">
        <x:v>0.1424</x:v>
      </x:c>
      <x:c r="F380" s="10" t="n">
        <x:v>4913574</x:v>
      </x:c>
      <x:c r="G380" s="10" t="n">
        <x:v>79159</x:v>
      </x:c>
      <x:c r="H380" s="9" t="n">
        <x:v>0.1622</x:v>
      </x:c>
      <x:c r="I380" s="9" t="n">
        <x:v>0.5803</x:v>
      </x:c>
      <x:c r="J380" s="9" t="n">
        <x:v>0.2141</x:v>
      </x:c>
      <x:c r="K380" s="9" t="n">
        <x:v>0.1242</x:v>
      </x:c>
      <x:c r="L380" s="10" t="n">
        <x:v>16951</x:v>
      </x:c>
      <x:c r="M380" s="10" t="n">
        <x:v>56638</x:v>
      </x:c>
      <x:c r="N380" s="9" t="n">
        <x:v>0.0792</x:v>
      </x:c>
      <x:c r="O380" s="10" t="n">
        <x:v>46204</x:v>
      </x:c>
      <x:c r="P380" s="10" t="n">
        <x:v>18104</x:v>
      </x:c>
      <x:c r="Q380" s="9" t="n">
        <x:v>0.8157</x:v>
      </x:c>
      <x:c r="R380" s="9" t="n">
        <x:v>0.3918</x:v>
      </x:c>
      <x:c r="S380" s="9" t="n">
        <x:v>0.3196</x:v>
      </x:c>
    </x:row>
    <x:row r="381" ht="90" customHeight="1">
      <x:c r="A381" s="2" t="str">
        <x:v>plus size jeans</x:v>
      </x:c>
      <x:c r="B381" s="15" t="str">
        <x:v>plus size jeans, jeans plus size, plus size denim, plus size high waisted jeans, high waisted plus size jeans, plus size cargo jeans, plus size jeans women, flare jeans plus size, high waisted jeans plus size, y2k plus size pants</x:v>
      </x:c>
      <x:c r="C381" s="10" t="n">
        <x:v>149</x:v>
      </x:c>
      <x:c r="D381" s="10" t="n">
        <x:v>136318</x:v>
      </x:c>
      <x:c r="E381" s="9" t="n">
        <x:v>0.2007</x:v>
      </x:c>
      <x:c r="F381" s="10" t="n">
        <x:v>4146538</x:v>
      </x:c>
      <x:c r="G381" s="10" t="n">
        <x:v>40684</x:v>
      </x:c>
      <x:c r="H381" s="9" t="n">
        <x:v>0.1997</x:v>
      </x:c>
      <x:c r="I381" s="9" t="n">
        <x:v>0.2984</x:v>
      </x:c>
      <x:c r="J381" s="9" t="n">
        <x:v>0.0096</x:v>
      </x:c>
      <x:c r="K381" s="9" t="n">
        <x:v>0.0028</x:v>
      </x:c>
      <x:c r="L381" s="10" t="n">
        <x:v>394</x:v>
      </x:c>
      <x:c r="M381" s="10" t="n">
        <x:v>24502</x:v>
      </x:c>
      <x:c r="N381" s="9" t="n">
        <x:v>0.2132</x:v>
      </x:c>
      <x:c r="O381" s="10" t="n">
        <x:v>19777</x:v>
      </x:c>
      <x:c r="P381" s="10" t="n">
        <x:v>2045</x:v>
      </x:c>
      <x:c r="Q381" s="9" t="n">
        <x:v>0.8071</x:v>
      </x:c>
      <x:c r="R381" s="9" t="n">
        <x:v>0.1034</x:v>
      </x:c>
      <x:c r="S381" s="9" t="n">
        <x:v>0.0834</x:v>
      </x:c>
    </x:row>
    <x:row r="382" ht="90" customHeight="1">
      <x:c r="A382" s="2" t="str">
        <x:v>carport</x:v>
      </x:c>
      <x:c r="B382" s="15" t="str">
        <x:v>carport, metal carport, metal carports, metal car port, metal carport kits, carport metal, metal carport with sides, heavy duty metal carport, enclosed metal carport, carport metal side panels</x:v>
      </x:c>
      <x:c r="C382" s="10" t="n">
        <x:v>59</x:v>
      </x:c>
      <x:c r="D382" s="10" t="n">
        <x:v>136236</x:v>
      </x:c>
      <x:c r="E382" s="9" t="str">
        <x:v>'-0.0177</x:v>
      </x:c>
      <x:c r="F382" s="10" t="n">
        <x:v>3925493</x:v>
      </x:c>
      <x:c r="G382" s="10" t="n">
        <x:v>59992</x:v>
      </x:c>
      <x:c r="H382" s="9" t="n">
        <x:v>0.0029</x:v>
      </x:c>
      <x:c r="I382" s="9" t="n">
        <x:v>0.4403</x:v>
      </x:c>
      <x:c r="J382" s="9" t="n">
        <x:v>0.0054</x:v>
      </x:c>
      <x:c r="K382" s="9" t="n">
        <x:v>0.0023</x:v>
      </x:c>
      <x:c r="L382" s="10" t="n">
        <x:v>324</x:v>
      </x:c>
      <x:c r="M382" s="10" t="n">
        <x:v>32726</x:v>
      </x:c>
      <x:c r="N382" s="9" t="str">
        <x:v>'-0.0186</x:v>
      </x:c>
      <x:c r="O382" s="10" t="n">
        <x:v>23782</x:v>
      </x:c>
      <x:c r="P382" s="10" t="n">
        <x:v>398</x:v>
      </x:c>
      <x:c r="Q382" s="9" t="n">
        <x:v>0.7267</x:v>
      </x:c>
      <x:c r="R382" s="9" t="n">
        <x:v>0.0167</x:v>
      </x:c>
      <x:c r="S382" s="9" t="n">
        <x:v>0.0121</x:v>
      </x:c>
    </x:row>
    <x:row r="383" ht="109" customHeight="1">
      <x:c r="A383" s="2" t="str">
        <x:v>lady bug costumes for women</x:v>
      </x:c>
      <x:c r="B383" s="15" t="str">
        <x:v>lady bug costumes for women, ladybug costume women, bee costume women, bumble bee costume women, halloween costume woman, womens bee costume, womens ladybug costume, ladybug costume for adults women, adult bee costume women, lady bug costume women</x:v>
      </x:c>
      <x:c r="C383" s="10" t="n">
        <x:v>117</x:v>
      </x:c>
      <x:c r="D383" s="10" t="n">
        <x:v>136185</x:v>
      </x:c>
      <x:c r="E383" s="9" t="n">
        <x:v>2.9956</x:v>
      </x:c>
      <x:c r="F383" s="10" t="n">
        <x:v>1288320</x:v>
      </x:c>
      <x:c r="G383" s="10" t="n">
        <x:v>54205</x:v>
      </x:c>
      <x:c r="H383" s="9" t="n">
        <x:v>3.2557</x:v>
      </x:c>
      <x:c r="I383" s="9" t="n">
        <x:v>0.398</x:v>
      </x:c>
      <x:c r="J383" s="9" t="n">
        <x:v>0.0121</x:v>
      </x:c>
      <x:c r="K383" s="9" t="n">
        <x:v>0.0048</x:v>
      </x:c>
      <x:c r="L383" s="10" t="n">
        <x:v>659</x:v>
      </x:c>
      <x:c r="M383" s="10" t="n">
        <x:v>8564</x:v>
      </x:c>
      <x:c r="N383" s="9" t="n">
        <x:v>2.9671</x:v>
      </x:c>
      <x:c r="O383" s="10" t="n">
        <x:v>6530</x:v>
      </x:c>
      <x:c r="P383" s="10" t="n">
        <x:v>317</x:v>
      </x:c>
      <x:c r="Q383" s="9" t="n">
        <x:v>0.7624</x:v>
      </x:c>
      <x:c r="R383" s="9" t="n">
        <x:v>0.0485</x:v>
      </x:c>
      <x:c r="S383" s="9" t="n">
        <x:v>0.037</x:v>
      </x:c>
    </x:row>
    <x:row r="384" ht="71" customHeight="1">
      <x:c r="A384" s="2" t="str">
        <x:v>elsa</x:v>
      </x:c>
      <x:c r="B384" s="15" t="str">
        <x:v>elsa, elsa toys, elsa doll, elsa toy, elsa doll frozen, elsa baby doll, elsa dolls, frozen elsa doll, frozen elsa toys, elsa figurine</x:v>
      </x:c>
      <x:c r="C384" s="10" t="n">
        <x:v>159</x:v>
      </x:c>
      <x:c r="D384" s="10" t="n">
        <x:v>136029</x:v>
      </x:c>
      <x:c r="E384" s="9" t="n">
        <x:v>0.0844</x:v>
      </x:c>
      <x:c r="F384" s="10" t="n">
        <x:v>3311525</x:v>
      </x:c>
      <x:c r="G384" s="10" t="n">
        <x:v>54859</x:v>
      </x:c>
      <x:c r="H384" s="9" t="n">
        <x:v>0.1313</x:v>
      </x:c>
      <x:c r="I384" s="9" t="n">
        <x:v>0.4032</x:v>
      </x:c>
      <x:c r="J384" s="9" t="n">
        <x:v>0.0578</x:v>
      </x:c>
      <x:c r="K384" s="9" t="n">
        <x:v>0.0233</x:v>
      </x:c>
      <x:c r="L384" s="10" t="n">
        <x:v>3173</x:v>
      </x:c>
      <x:c r="M384" s="10" t="n">
        <x:v>23538</x:v>
      </x:c>
      <x:c r="N384" s="9" t="n">
        <x:v>0.0768</x:v>
      </x:c>
      <x:c r="O384" s="10" t="n">
        <x:v>18109</x:v>
      </x:c>
      <x:c r="P384" s="10" t="n">
        <x:v>2800</x:v>
      </x:c>
      <x:c r="Q384" s="9" t="n">
        <x:v>0.7693</x:v>
      </x:c>
      <x:c r="R384" s="9" t="n">
        <x:v>0.1546</x:v>
      </x:c>
      <x:c r="S384" s="9" t="n">
        <x:v>0.1189</x:v>
      </x:c>
    </x:row>
    <x:row r="385" ht="90" customHeight="1">
      <x:c r="A385" s="2" t="str">
        <x:v>overalls</x:v>
      </x:c>
      <x:c r="B385" s="15" t="str">
        <x:v>overalls, oversized overalls for women, 2t overalls, womens oversized overalls, overalls 4t, overalls 2t, 2t boys overalls, baggy oversized overalls, toddler overalls 2t, 6t overalls</x:v>
      </x:c>
      <x:c r="C385" s="10" t="n">
        <x:v>47</x:v>
      </x:c>
      <x:c r="D385" s="10" t="n">
        <x:v>135341</x:v>
      </x:c>
      <x:c r="E385" s="9" t="n">
        <x:v>0.1423</x:v>
      </x:c>
      <x:c r="F385" s="10" t="n">
        <x:v>3513088</x:v>
      </x:c>
      <x:c r="G385" s="10" t="n">
        <x:v>36422</x:v>
      </x:c>
      <x:c r="H385" s="9" t="n">
        <x:v>0.1471</x:v>
      </x:c>
      <x:c r="I385" s="9" t="n">
        <x:v>0.2691</x:v>
      </x:c>
      <x:c r="J385" s="9" t="n">
        <x:v>0.0123</x:v>
      </x:c>
      <x:c r="K385" s="9" t="n">
        <x:v>0.0033</x:v>
      </x:c>
      <x:c r="L385" s="10" t="n">
        <x:v>448</x:v>
      </x:c>
      <x:c r="M385" s="10" t="n">
        <x:v>26948</x:v>
      </x:c>
      <x:c r="N385" s="9" t="n">
        <x:v>0.1706</x:v>
      </x:c>
      <x:c r="O385" s="10" t="n">
        <x:v>19415</x:v>
      </x:c>
      <x:c r="P385" s="10" t="n">
        <x:v>1944</x:v>
      </x:c>
      <x:c r="Q385" s="9" t="n">
        <x:v>0.7204</x:v>
      </x:c>
      <x:c r="R385" s="9" t="n">
        <x:v>0.1001</x:v>
      </x:c>
      <x:c r="S385" s="9" t="n">
        <x:v>0.0721</x:v>
      </x:c>
    </x:row>
    <x:row r="386" ht="90" customHeight="1">
      <x:c r="A386" s="2" t="str">
        <x:v>small cat tree</x:v>
      </x:c>
      <x:c r="B386" s="15" t="str">
        <x:v>small cat tree, cat tree small, small cat tower, cat tower small, small cat tree for indoor cats, small cat condo, small cat tower with scratching post, cat tree tower small, small cat tree with hammock, small cat perch</x:v>
      </x:c>
      <x:c r="C386" s="10" t="n">
        <x:v>126</x:v>
      </x:c>
      <x:c r="D386" s="10" t="n">
        <x:v>135320</x:v>
      </x:c>
      <x:c r="E386" s="9" t="n">
        <x:v>0.0563</x:v>
      </x:c>
      <x:c r="F386" s="10" t="n">
        <x:v>3597053</x:v>
      </x:c>
      <x:c r="G386" s="10" t="n">
        <x:v>49977</x:v>
      </x:c>
      <x:c r="H386" s="9" t="n">
        <x:v>0.0402</x:v>
      </x:c>
      <x:c r="I386" s="9" t="n">
        <x:v>0.3693</x:v>
      </x:c>
      <x:c r="J386" s="9" t="n">
        <x:v>0.0488</x:v>
      </x:c>
      <x:c r="K386" s="9" t="n">
        <x:v>0.018</x:v>
      </x:c>
      <x:c r="L386" s="10" t="n">
        <x:v>2439</x:v>
      </x:c>
      <x:c r="M386" s="10" t="n">
        <x:v>25456</x:v>
      </x:c>
      <x:c r="N386" s="9" t="n">
        <x:v>0.066</x:v>
      </x:c>
      <x:c r="O386" s="10" t="n">
        <x:v>20680</x:v>
      </x:c>
      <x:c r="P386" s="10" t="n">
        <x:v>3635</x:v>
      </x:c>
      <x:c r="Q386" s="9" t="n">
        <x:v>0.8123</x:v>
      </x:c>
      <x:c r="R386" s="9" t="n">
        <x:v>0.1757</x:v>
      </x:c>
      <x:c r="S386" s="9" t="n">
        <x:v>0.1427</x:v>
      </x:c>
    </x:row>
    <x:row r="387" ht="128" customHeight="1">
      <x:c r="A387" s="2" t="str">
        <x:v>instant hydration</x:v>
      </x:c>
      <x:c r="B387" s="15" t="str">
        <x:v>instant hydration, instant hydration packets, instant hydration electrolytes, instant hydration electrolyte powder, i stant hydration, instant hydration variety pack, electrolyte powder packets instant hydration, instant hydration pog, instant hydration electrolytes packets, electrolytes instant hydration</x:v>
      </x:c>
      <x:c r="C387" s="10" t="n">
        <x:v>78</x:v>
      </x:c>
      <x:c r="D387" s="10" t="n">
        <x:v>135244</x:v>
      </x:c>
      <x:c r="E387" s="9" t="str">
        <x:v>'-0.0597</x:v>
      </x:c>
      <x:c r="F387" s="10" t="n">
        <x:v>5914100</x:v>
      </x:c>
      <x:c r="G387" s="10" t="n">
        <x:v>64510</x:v>
      </x:c>
      <x:c r="H387" s="9" t="str">
        <x:v>'-0.1156</x:v>
      </x:c>
      <x:c r="I387" s="9" t="n">
        <x:v>0.4769</x:v>
      </x:c>
      <x:c r="J387" s="9" t="n">
        <x:v>0.128</x:v>
      </x:c>
      <x:c r="K387" s="9" t="n">
        <x:v>0.061</x:v>
      </x:c>
      <x:c r="L387" s="10" t="n">
        <x:v>8258</x:v>
      </x:c>
      <x:c r="M387" s="10" t="n">
        <x:v>72556</x:v>
      </x:c>
      <x:c r="N387" s="9" t="str">
        <x:v>'-0.0665</x:v>
      </x:c>
      <x:c r="O387" s="10" t="n">
        <x:v>56290</x:v>
      </x:c>
      <x:c r="P387" s="10" t="n">
        <x:v>14420</x:v>
      </x:c>
      <x:c r="Q387" s="9" t="n">
        <x:v>0.7758</x:v>
      </x:c>
      <x:c r="R387" s="9" t="n">
        <x:v>0.2561</x:v>
      </x:c>
      <x:c r="S387" s="9" t="n">
        <x:v>0.1987</x:v>
      </x:c>
    </x:row>
    <x:row r="388" ht="90" customHeight="1">
      <x:c r="A388" s="2" t="str">
        <x:v>floating candles</x:v>
      </x:c>
      <x:c r="B388" s="15" t="str">
        <x:v>floating candles, floating candles for centerpieces, floating candle, velas flotantes para agua, white floating candles, water candles floating, floating tealight candles, 3 floating candles, velas flotantes, floating. candles</x:v>
      </x:c>
      <x:c r="C388" s="10" t="n">
        <x:v>126</x:v>
      </x:c>
      <x:c r="D388" s="10" t="n">
        <x:v>135221</x:v>
      </x:c>
      <x:c r="E388" s="9" t="n">
        <x:v>0.4236</x:v>
      </x:c>
      <x:c r="F388" s="10" t="n">
        <x:v>4091556</x:v>
      </x:c>
      <x:c r="G388" s="10" t="n">
        <x:v>67156</x:v>
      </x:c>
      <x:c r="H388" s="9" t="n">
        <x:v>0.4899</x:v>
      </x:c>
      <x:c r="I388" s="9" t="n">
        <x:v>0.4966</x:v>
      </x:c>
      <x:c r="J388" s="9" t="n">
        <x:v>0.1045</x:v>
      </x:c>
      <x:c r="K388" s="9" t="n">
        <x:v>0.0519</x:v>
      </x:c>
      <x:c r="L388" s="10" t="n">
        <x:v>7019</x:v>
      </x:c>
      <x:c r="M388" s="10" t="n">
        <x:v>38728</x:v>
      </x:c>
      <x:c r="N388" s="9" t="n">
        <x:v>0.4027</x:v>
      </x:c>
      <x:c r="O388" s="10" t="n">
        <x:v>31573</x:v>
      </x:c>
      <x:c r="P388" s="10" t="n">
        <x:v>6475</x:v>
      </x:c>
      <x:c r="Q388" s="9" t="n">
        <x:v>0.8152</x:v>
      </x:c>
      <x:c r="R388" s="9" t="n">
        <x:v>0.205</x:v>
      </x:c>
      <x:c r="S388" s="9" t="n">
        <x:v>0.1671</x:v>
      </x:c>
    </x:row>
    <x:row r="389" ht="90" customHeight="1">
      <x:c r="A389" s="2" t="str">
        <x:v>winter dresses for women</x:v>
      </x:c>
      <x:c r="B389" s="15" t="str">
        <x:v>winter dresses for women, womens dress fall, women winter dress, dresses for women winter, knee length fall dress for women, dress for fall women, fall jumper dress for women, winter dress women, fall dresses for woman, women jumper dress</x:v>
      </x:c>
      <x:c r="C389" s="10" t="n">
        <x:v>33</x:v>
      </x:c>
      <x:c r="D389" s="10" t="n">
        <x:v>135112</x:v>
      </x:c>
      <x:c r="E389" s="9" t="n">
        <x:v>1.1941</x:v>
      </x:c>
      <x:c r="F389" s="10" t="n">
        <x:v>2863448</x:v>
      </x:c>
      <x:c r="G389" s="10" t="n">
        <x:v>39776</x:v>
      </x:c>
      <x:c r="H389" s="9" t="n">
        <x:v>1.2127</x:v>
      </x:c>
      <x:c r="I389" s="9" t="n">
        <x:v>0.2943</x:v>
      </x:c>
      <x:c r="J389" s="9" t="n">
        <x:v>0.0053</x:v>
      </x:c>
      <x:c r="K389" s="9" t="n">
        <x:v>0.0015</x:v>
      </x:c>
      <x:c r="L389" s="10" t="n">
        <x:v>213</x:v>
      </x:c>
      <x:c r="M389" s="10" t="n">
        <x:v>12444</x:v>
      </x:c>
      <x:c r="N389" s="9" t="n">
        <x:v>1.1457</x:v>
      </x:c>
      <x:c r="O389" s="10" t="n">
        <x:v>10184</x:v>
      </x:c>
      <x:c r="P389" s="10" t="n">
        <x:v>484</x:v>
      </x:c>
      <x:c r="Q389" s="9" t="n">
        <x:v>0.8183</x:v>
      </x:c>
      <x:c r="R389" s="9" t="n">
        <x:v>0.0475</x:v>
      </x:c>
      <x:c r="S389" s="9" t="n">
        <x:v>0.0388</x:v>
      </x:c>
    </x:row>
    <x:row r="390" ht="90" customHeight="1">
      <x:c r="A390" s="2" t="str">
        <x:v>beef broth</x:v>
      </x:c>
      <x:c r="B390" s="15" t="str">
        <x:v>beef broth, beef stock, beef broth low sodium, organic beef broth, unsalted beef broth, organic beef stock, caldo de res, beef stock low sodium, beef broth liquid, beef broth organic</x:v>
      </x:c>
      <x:c r="C390" s="10" t="n">
        <x:v>137</x:v>
      </x:c>
      <x:c r="D390" s="10" t="n">
        <x:v>134959</x:v>
      </x:c>
      <x:c r="E390" s="9" t="n">
        <x:v>0.3061</x:v>
      </x:c>
      <x:c r="F390" s="10" t="n">
        <x:v>3245720</x:v>
      </x:c>
      <x:c r="G390" s="10" t="n">
        <x:v>78083</x:v>
      </x:c>
      <x:c r="H390" s="9" t="n">
        <x:v>0.3421</x:v>
      </x:c>
      <x:c r="I390" s="9" t="n">
        <x:v>0.5785</x:v>
      </x:c>
      <x:c r="J390" s="9" t="n">
        <x:v>0.3727</x:v>
      </x:c>
      <x:c r="K390" s="9" t="n">
        <x:v>0.2156</x:v>
      </x:c>
      <x:c r="L390" s="10" t="n">
        <x:v>29104</x:v>
      </x:c>
      <x:c r="M390" s="10" t="n">
        <x:v>57200</x:v>
      </x:c>
      <x:c r="N390" s="9" t="n">
        <x:v>0.3001</x:v>
      </x:c>
      <x:c r="O390" s="10" t="n">
        <x:v>52374</x:v>
      </x:c>
      <x:c r="P390" s="10" t="n">
        <x:v>25275</x:v>
      </x:c>
      <x:c r="Q390" s="9" t="n">
        <x:v>0.9156</x:v>
      </x:c>
      <x:c r="R390" s="9" t="n">
        <x:v>0.4825</x:v>
      </x:c>
      <x:c r="S390" s="9" t="n">
        <x:v>0.4418</x:v>
      </x:c>
    </x:row>
    <x:row r="391" ht="71" customHeight="1">
      <x:c r="A391" s="2" t="str">
        <x:v>meatballs</x:v>
      </x:c>
      <x:c r="B391" s="15" t="str">
        <x:v>meatballs, meatball, meat balls, meatballs fresh, canned meatballs, meatballs italian, cooked meatballs, albóndigas, meatball meat, shelf stable meatballs</x:v>
      </x:c>
      <x:c r="C391" s="10" t="n">
        <x:v>31</x:v>
      </x:c>
      <x:c r="D391" s="10" t="n">
        <x:v>134875</x:v>
      </x:c>
      <x:c r="E391" s="9" t="n">
        <x:v>0.163</x:v>
      </x:c>
      <x:c r="F391" s="10" t="n">
        <x:v>2729752</x:v>
      </x:c>
      <x:c r="G391" s="10" t="n">
        <x:v>48522</x:v>
      </x:c>
      <x:c r="H391" s="9" t="n">
        <x:v>0.0851</x:v>
      </x:c>
      <x:c r="I391" s="9" t="n">
        <x:v>0.3597</x:v>
      </x:c>
      <x:c r="J391" s="9" t="n">
        <x:v>0.3079</x:v>
      </x:c>
      <x:c r="K391" s="9" t="n">
        <x:v>0.1107</x:v>
      </x:c>
      <x:c r="L391" s="10" t="n">
        <x:v>14944</x:v>
      </x:c>
      <x:c r="M391" s="10" t="n">
        <x:v>39953</x:v>
      </x:c>
      <x:c r="N391" s="9" t="n">
        <x:v>0.1081</x:v>
      </x:c>
      <x:c r="O391" s="10" t="n">
        <x:v>32115</x:v>
      </x:c>
      <x:c r="P391" s="10" t="n">
        <x:v>15059</x:v>
      </x:c>
      <x:c r="Q391" s="9" t="n">
        <x:v>0.8038</x:v>
      </x:c>
      <x:c r="R391" s="9" t="n">
        <x:v>0.4689</x:v>
      </x:c>
      <x:c r="S391" s="9" t="n">
        <x:v>0.3769</x:v>
      </x:c>
    </x:row>
    <x:row r="392" ht="90" customHeight="1">
      <x:c r="A392" s="2" t="str">
        <x:v>chucky costume</x:v>
      </x:c>
      <x:c r="B392" s="15" t="str">
        <x:v>chucky costume, chucky costume women, womens chucky costume, chuckie costume, chucky halloween costume, disfraz de chucky para mujer, chucky womens costume, women chucky costume, chucky costume for women, disfraz de chucky</x:v>
      </x:c>
      <x:c r="C392" s="10" t="n">
        <x:v>139</x:v>
      </x:c>
      <x:c r="D392" s="10" t="n">
        <x:v>134647</x:v>
      </x:c>
      <x:c r="E392" s="9" t="n">
        <x:v>1.9587</x:v>
      </x:c>
      <x:c r="F392" s="10" t="n">
        <x:v>1193415</x:v>
      </x:c>
      <x:c r="G392" s="10" t="n">
        <x:v>48342</x:v>
      </x:c>
      <x:c r="H392" s="9" t="n">
        <x:v>2.0403</x:v>
      </x:c>
      <x:c r="I392" s="9" t="n">
        <x:v>0.359</x:v>
      </x:c>
      <x:c r="J392" s="9" t="n">
        <x:v>0.0062</x:v>
      </x:c>
      <x:c r="K392" s="9" t="n">
        <x:v>0.0022</x:v>
      </x:c>
      <x:c r="L392" s="10" t="n">
        <x:v>303</x:v>
      </x:c>
      <x:c r="M392" s="10" t="n">
        <x:v>10221</x:v>
      </x:c>
      <x:c r="N392" s="9" t="n">
        <x:v>2.003</x:v>
      </x:c>
      <x:c r="O392" s="10" t="n">
        <x:v>7753</x:v>
      </x:c>
      <x:c r="P392" s="10" t="n">
        <x:v>181</x:v>
      </x:c>
      <x:c r="Q392" s="9" t="n">
        <x:v>0.7585</x:v>
      </x:c>
      <x:c r="R392" s="9" t="n">
        <x:v>0.0233</x:v>
      </x:c>
      <x:c r="S392" s="9" t="n">
        <x:v>0.0177</x:v>
      </x:c>
    </x:row>
    <x:row r="393" ht="71" customHeight="1">
      <x:c r="A393" s="2" t="str">
        <x:v>matcha whisk</x:v>
      </x:c>
      <x:c r="B393" s="15" t="str">
        <x:v>matcha whisk, matcha whisks, matcha wisk, chasen matcha whisk, matcha chasen, bamboo matcha whisk, whisk matcha, matcha bamboo whisk, macha whisk, whisk for matcha</x:v>
      </x:c>
      <x:c r="C393" s="10" t="n">
        <x:v>129</x:v>
      </x:c>
      <x:c r="D393" s="10" t="n">
        <x:v>134512</x:v>
      </x:c>
      <x:c r="E393" s="9" t="str">
        <x:v>'-0.0511</x:v>
      </x:c>
      <x:c r="F393" s="10" t="n">
        <x:v>4877603</x:v>
      </x:c>
      <x:c r="G393" s="10" t="n">
        <x:v>63137</x:v>
      </x:c>
      <x:c r="H393" s="9" t="str">
        <x:v>'-0.079</x:v>
      </x:c>
      <x:c r="I393" s="9" t="n">
        <x:v>0.4693</x:v>
      </x:c>
      <x:c r="J393" s="9" t="n">
        <x:v>0.2068</x:v>
      </x:c>
      <x:c r="K393" s="9" t="n">
        <x:v>0.0971</x:v>
      </x:c>
      <x:c r="L393" s="10" t="n">
        <x:v>13062</x:v>
      </x:c>
      <x:c r="M393" s="10" t="n">
        <x:v>53005</x:v>
      </x:c>
      <x:c r="N393" s="9" t="str">
        <x:v>'-0.0454</x:v>
      </x:c>
      <x:c r="O393" s="10" t="n">
        <x:v>42575</x:v>
      </x:c>
      <x:c r="P393" s="10" t="n">
        <x:v>16101</x:v>
      </x:c>
      <x:c r="Q393" s="9" t="n">
        <x:v>0.8032</x:v>
      </x:c>
      <x:c r="R393" s="9" t="n">
        <x:v>0.3781</x:v>
      </x:c>
      <x:c r="S393" s="9" t="n">
        <x:v>0.3037</x:v>
      </x:c>
    </x:row>
    <x:row r="394" ht="90" customHeight="1">
      <x:c r="A394" s="2" t="str">
        <x:v>saltine crackers</x:v>
      </x:c>
      <x:c r="B394" s="15" t="str">
        <x:v>saltine crackers, saltines, saltines crackers premium, saltines crackers, saltine, crackers saltine, saltine crackers premium, premium crackers, premium saltine crackers, saltine crackers snack packs</x:v>
      </x:c>
      <x:c r="C394" s="10" t="n">
        <x:v>148</x:v>
      </x:c>
      <x:c r="D394" s="10" t="n">
        <x:v>134507</x:v>
      </x:c>
      <x:c r="E394" s="9" t="n">
        <x:v>0.1671</x:v>
      </x:c>
      <x:c r="F394" s="10" t="n">
        <x:v>3874455</x:v>
      </x:c>
      <x:c r="G394" s="10" t="n">
        <x:v>69109</x:v>
      </x:c>
      <x:c r="H394" s="9" t="n">
        <x:v>0.1605</x:v>
      </x:c>
      <x:c r="I394" s="9" t="n">
        <x:v>0.5137</x:v>
      </x:c>
      <x:c r="J394" s="9" t="n">
        <x:v>0.391</x:v>
      </x:c>
      <x:c r="K394" s="9" t="n">
        <x:v>0.2008</x:v>
      </x:c>
      <x:c r="L394" s="10" t="n">
        <x:v>27022</x:v>
      </x:c>
      <x:c r="M394" s="10" t="n">
        <x:v>54905</x:v>
      </x:c>
      <x:c r="N394" s="9" t="n">
        <x:v>0.1498</x:v>
      </x:c>
      <x:c r="O394" s="10" t="n">
        <x:v>48786</x:v>
      </x:c>
      <x:c r="P394" s="10" t="n">
        <x:v>25453</x:v>
      </x:c>
      <x:c r="Q394" s="9" t="n">
        <x:v>0.8885</x:v>
      </x:c>
      <x:c r="R394" s="9" t="n">
        <x:v>0.5217</x:v>
      </x:c>
      <x:c r="S394" s="9" t="n">
        <x:v>0.4635</x:v>
      </x:c>
    </x:row>
    <x:row r="395" ht="90" customHeight="1">
      <x:c r="A395" s="2" t="str">
        <x:v>tactical boots</x:v>
      </x:c>
      <x:c r="B395" s="15" t="str">
        <x:v>tactical boots, botas tácticas para hombre, botas de trabajo, botas tácticas, waterproof mens boots, lightweight tactical boots, tactical boot, hiking boots waterproof, men boots work, lightweight boots</x:v>
      </x:c>
      <x:c r="C395" s="10" t="n">
        <x:v>143</x:v>
      </x:c>
      <x:c r="D395" s="10" t="n">
        <x:v>134458</x:v>
      </x:c>
      <x:c r="E395" s="9" t="n">
        <x:v>0.0158</x:v>
      </x:c>
      <x:c r="F395" s="10" t="n">
        <x:v>2737348</x:v>
      </x:c>
      <x:c r="G395" s="10" t="n">
        <x:v>42183</x:v>
      </x:c>
      <x:c r="H395" s="9" t="n">
        <x:v>0.0126</x:v>
      </x:c>
      <x:c r="I395" s="9" t="n">
        <x:v>0.3137</x:v>
      </x:c>
      <x:c r="J395" s="9" t="n">
        <x:v>0.0054</x:v>
      </x:c>
      <x:c r="K395" s="9" t="n">
        <x:v>0.0017</x:v>
      </x:c>
      <x:c r="L395" s="10" t="n">
        <x:v>230</x:v>
      </x:c>
      <x:c r="M395" s="10" t="n">
        <x:v>17997</x:v>
      </x:c>
      <x:c r="N395" s="9" t="n">
        <x:v>0.0264</x:v>
      </x:c>
      <x:c r="O395" s="10" t="n">
        <x:v>14335</x:v>
      </x:c>
      <x:c r="P395" s="10" t="n">
        <x:v>1506</x:v>
      </x:c>
      <x:c r="Q395" s="9" t="n">
        <x:v>0.7965</x:v>
      </x:c>
      <x:c r="R395" s="9" t="n">
        <x:v>0.105</x:v>
      </x:c>
      <x:c r="S395" s="9" t="n">
        <x:v>0.0836</x:v>
      </x:c>
    </x:row>
    <x:row r="396" ht="109" customHeight="1">
      <x:c r="A396" s="2" t="str">
        <x:v>pancake batter dispenser</x:v>
      </x:c>
      <x:c r="B396" s="15" t="str">
        <x:v>pancake batter dispenser, batter dispenser, pancake dispenser, pancake dispenser for batter, batter dispenser with squeeze handle, cupcake batter dispenser, waffle batter dispenser, pancake pourer, pancakes batter dispenser, batter dispensers</x:v>
      </x:c>
      <x:c r="C396" s="10" t="n">
        <x:v>131</x:v>
      </x:c>
      <x:c r="D396" s="10" t="n">
        <x:v>134367</x:v>
      </x:c>
      <x:c r="E396" s="9" t="n">
        <x:v>0.0284</x:v>
      </x:c>
      <x:c r="F396" s="10" t="n">
        <x:v>4262777</x:v>
      </x:c>
      <x:c r="G396" s="10" t="n">
        <x:v>65384</x:v>
      </x:c>
      <x:c r="H396" s="9" t="n">
        <x:v>0.0486</x:v>
      </x:c>
      <x:c r="I396" s="9" t="n">
        <x:v>0.4866</x:v>
      </x:c>
      <x:c r="J396" s="9" t="n">
        <x:v>0.1219</x:v>
      </x:c>
      <x:c r="K396" s="9" t="n">
        <x:v>0.0593</x:v>
      </x:c>
      <x:c r="L396" s="10" t="n">
        <x:v>7973</x:v>
      </x:c>
      <x:c r="M396" s="10" t="n">
        <x:v>50069</x:v>
      </x:c>
      <x:c r="N396" s="9" t="n">
        <x:v>0.0362</x:v>
      </x:c>
      <x:c r="O396" s="10" t="n">
        <x:v>40126</x:v>
      </x:c>
      <x:c r="P396" s="10" t="n">
        <x:v>9879</x:v>
      </x:c>
      <x:c r="Q396" s="9" t="n">
        <x:v>0.8014</x:v>
      </x:c>
      <x:c r="R396" s="9" t="n">
        <x:v>0.2461</x:v>
      </x:c>
      <x:c r="S396" s="9" t="n">
        <x:v>0.1973</x:v>
      </x:c>
    </x:row>
    <x:row r="397" ht="90" customHeight="1">
      <x:c r="A397" s="2" t="str">
        <x:v>popcorn bags</x:v>
      </x:c>
      <x:c r="B397" s="15" t="str">
        <x:v>popcorn bags, popcorn bags for party, popcorn bag, pop corn bags, bolsas para palomitas para fiesta, bags for popcorn, popcorn bags individual servings, pop corn bags for party, he popped the question popcorn bags, carnival popcorn bags</x:v>
      </x:c>
      <x:c r="C397" s="10" t="n">
        <x:v>169</x:v>
      </x:c>
      <x:c r="D397" s="10" t="n">
        <x:v>134322</x:v>
      </x:c>
      <x:c r="E397" s="9" t="n">
        <x:v>0.1618</x:v>
      </x:c>
      <x:c r="F397" s="10" t="n">
        <x:v>3492478</x:v>
      </x:c>
      <x:c r="G397" s="10" t="n">
        <x:v>51626</x:v>
      </x:c>
      <x:c r="H397" s="9" t="n">
        <x:v>0.1539</x:v>
      </x:c>
      <x:c r="I397" s="9" t="n">
        <x:v>0.3843</x:v>
      </x:c>
      <x:c r="J397" s="9" t="n">
        <x:v>0.2099</x:v>
      </x:c>
      <x:c r="K397" s="9" t="n">
        <x:v>0.0806</x:v>
      </x:c>
      <x:c r="L397" s="10" t="n">
        <x:v>10839</x:v>
      </x:c>
      <x:c r="M397" s="10" t="n">
        <x:v>40498</x:v>
      </x:c>
      <x:c r="N397" s="9" t="n">
        <x:v>0.1513</x:v>
      </x:c>
      <x:c r="O397" s="10" t="n">
        <x:v>32701</x:v>
      </x:c>
      <x:c r="P397" s="10" t="n">
        <x:v>11821</x:v>
      </x:c>
      <x:c r="Q397" s="9" t="n">
        <x:v>0.8074</x:v>
      </x:c>
      <x:c r="R397" s="9" t="n">
        <x:v>0.3614</x:v>
      </x:c>
      <x:c r="S397" s="9" t="n">
        <x:v>0.2918</x:v>
      </x:c>
    </x:row>
    <x:row r="398" ht="90" customHeight="1">
      <x:c r="A398" s="2" t="str">
        <x:v>ice cream sandwiches</x:v>
      </x:c>
      <x:c r="B398" s="15" t="str">
        <x:v>ice cream sandwiches, ice cream sandwich, ive cream, ice cream treats, ice creams &amp; frozen novelties, fat boy ice cream sandwiches, icecream sandwiches, clementines ice cream, ice cream cookie, ice cream novelties</x:v>
      </x:c>
      <x:c r="C398" s="10" t="n">
        <x:v>102</x:v>
      </x:c>
      <x:c r="D398" s="10" t="n">
        <x:v>134119</x:v>
      </x:c>
      <x:c r="E398" s="9" t="str">
        <x:v>'-0.0345</x:v>
      </x:c>
      <x:c r="F398" s="10" t="n">
        <x:v>2984766</x:v>
      </x:c>
      <x:c r="G398" s="10" t="n">
        <x:v>46847</x:v>
      </x:c>
      <x:c r="H398" s="9" t="str">
        <x:v>'-0.1093</x:v>
      </x:c>
      <x:c r="I398" s="9" t="n">
        <x:v>0.3492</x:v>
      </x:c>
      <x:c r="J398" s="9" t="n">
        <x:v>0.3279</x:v>
      </x:c>
      <x:c r="K398" s="9" t="n">
        <x:v>0.1145</x:v>
      </x:c>
      <x:c r="L398" s="10" t="n">
        <x:v>15364</x:v>
      </x:c>
      <x:c r="M398" s="10" t="n">
        <x:v>36272</x:v>
      </x:c>
      <x:c r="N398" s="9" t="str">
        <x:v>'-0.0526</x:v>
      </x:c>
      <x:c r="O398" s="10" t="n">
        <x:v>29328</x:v>
      </x:c>
      <x:c r="P398" s="10" t="n">
        <x:v>14060</x:v>
      </x:c>
      <x:c r="Q398" s="9" t="n">
        <x:v>0.8085</x:v>
      </x:c>
      <x:c r="R398" s="9" t="n">
        <x:v>0.4794</x:v>
      </x:c>
      <x:c r="S398" s="9" t="n">
        <x:v>0.3876</x:v>
      </x:c>
    </x:row>
    <x:row r="399" ht="90" customHeight="1">
      <x:c r="A399" s="2" t="str">
        <x:v>vseebox v6 plus</x:v>
      </x:c>
      <x:c r="B399" s="15" t="str">
        <x:v>vseebox v6 plus, vseebox v6 plus android tv box, v see box v6 plus, vsee box v6 plus, v see box v6 plus streaming box, v6 plus vseebox, vseebox v6 plus tv box, vcee tv box v6 plus, veeseebox v6 plus, v6 plus tv box</x:v>
      </x:c>
      <x:c r="C399" s="10" t="n">
        <x:v>68</x:v>
      </x:c>
      <x:c r="D399" s="10" t="n">
        <x:v>133724</x:v>
      </x:c>
      <x:c r="E399" s="9" t="n">
        <x:v>0.4199</x:v>
      </x:c>
      <x:c r="F399" s="10" t="n">
        <x:v>1676475</x:v>
      </x:c>
      <x:c r="G399" s="10" t="n">
        <x:v>30187</x:v>
      </x:c>
      <x:c r="H399" s="9" t="n">
        <x:v>0.7305</x:v>
      </x:c>
      <x:c r="I399" s="9" t="n">
        <x:v>0.2257</x:v>
      </x:c>
      <x:c r="J399" s="9" t="n">
        <x:v>0.0256</x:v>
      </x:c>
      <x:c r="K399" s="9" t="n">
        <x:v>0.0057</x:v>
      </x:c>
      <x:c r="L399" s="10" t="n">
        <x:v>774</x:v>
      </x:c>
      <x:c r="M399" s="10" t="n">
        <x:v>33147</x:v>
      </x:c>
      <x:c r="N399" s="9" t="n">
        <x:v>0.4052</x:v>
      </x:c>
      <x:c r="O399" s="10" t="n">
        <x:v>12467</x:v>
      </x:c>
      <x:c r="P399" s="10" t="n">
        <x:v>434</x:v>
      </x:c>
      <x:c r="Q399" s="9" t="n">
        <x:v>0.3761</x:v>
      </x:c>
      <x:c r="R399" s="9" t="n">
        <x:v>0.0348</x:v>
      </x:c>
      <x:c r="S399" s="9" t="n">
        <x:v>0.013</x:v>
      </x:c>
    </x:row>
    <x:row r="400" ht="109" customHeight="1">
      <x:c r="A400" s="2" t="str">
        <x:v>plaid dresses for women</x:v>
      </x:c>
      <x:c r="B400" s="15" t="str">
        <x:v>plaid dresses for women, fall womens dress, autumn dresses for women, christmas dresses for women 2026, plaid dress for women, plaid dress women, sweaters dress for women, fall sweater dresses for women, sweater dress for women fall, plaid shirt dress for women</x:v>
      </x:c>
      <x:c r="C400" s="10" t="n">
        <x:v>117</x:v>
      </x:c>
      <x:c r="D400" s="10" t="n">
        <x:v>133080</x:v>
      </x:c>
      <x:c r="E400" s="9" t="n">
        <x:v>1.7009</x:v>
      </x:c>
      <x:c r="F400" s="10" t="n">
        <x:v>2204223</x:v>
      </x:c>
      <x:c r="G400" s="10" t="n">
        <x:v>36361</x:v>
      </x:c>
      <x:c r="H400" s="9" t="n">
        <x:v>1.8141</x:v>
      </x:c>
      <x:c r="I400" s="9" t="n">
        <x:v>0.2732</x:v>
      </x:c>
      <x:c r="J400" s="9" t="n">
        <x:v>0.0065</x:v>
      </x:c>
      <x:c r="K400" s="9" t="n">
        <x:v>0.0017</x:v>
      </x:c>
      <x:c r="L400" s="10" t="n">
        <x:v>237</x:v>
      </x:c>
      <x:c r="M400" s="10" t="n">
        <x:v>11389</x:v>
      </x:c>
      <x:c r="N400" s="9" t="n">
        <x:v>1.6246</x:v>
      </x:c>
      <x:c r="O400" s="10" t="n">
        <x:v>9218</x:v>
      </x:c>
      <x:c r="P400" s="10" t="n">
        <x:v>517</x:v>
      </x:c>
      <x:c r="Q400" s="9" t="n">
        <x:v>0.8093</x:v>
      </x:c>
      <x:c r="R400" s="9" t="n">
        <x:v>0.056</x:v>
      </x:c>
      <x:c r="S400" s="9" t="n">
        <x:v>0.0453</x:v>
      </x:c>
    </x:row>
    <x:row r="401" ht="109" customHeight="1">
      <x:c r="A401" s="2" t="str">
        <x:v>chris brown and usher shirt</x:v>
      </x:c>
      <x:c r="B401" s="15" t="str">
        <x:v>chris brown and usher shirt, usher and chris brown shirt, chris brown and usher shirts, usher and chris brown concert shirt, usher chris brown concert outfit, usher chris brown shirt, chris brown and usher tshirt, chris browns usher shirts, usher and chris brown shirts, usher and chris brown tshirt</x:v>
      </x:c>
      <x:c r="C401" s="10" t="n">
        <x:v>74</x:v>
      </x:c>
      <x:c r="D401" s="10" t="n">
        <x:v>133045</x:v>
      </x:c>
      <x:c r="E401" s="9" t="n">
        <x:v>0.0398</x:v>
      </x:c>
      <x:c r="F401" s="10" t="n">
        <x:v>4841036</x:v>
      </x:c>
      <x:c r="G401" s="10" t="n">
        <x:v>53594</x:v>
      </x:c>
      <x:c r="H401" s="9" t="n">
        <x:v>0.0759</x:v>
      </x:c>
      <x:c r="I401" s="9" t="n">
        <x:v>0.4028</x:v>
      </x:c>
      <x:c r="J401" s="9" t="n">
        <x:v>0.015</x:v>
      </x:c>
      <x:c r="K401" s="9" t="n">
        <x:v>0.006</x:v>
      </x:c>
      <x:c r="L401" s="10" t="n">
        <x:v>808</x:v>
      </x:c>
      <x:c r="M401" s="10" t="n">
        <x:v>25208</x:v>
      </x:c>
      <x:c r="N401" s="9" t="str">
        <x:v>'-0.0122</x:v>
      </x:c>
      <x:c r="O401" s="10" t="n">
        <x:v>19971</x:v>
      </x:c>
      <x:c r="P401" s="10" t="n">
        <x:v>1576</x:v>
      </x:c>
      <x:c r="Q401" s="9" t="n">
        <x:v>0.7922</x:v>
      </x:c>
      <x:c r="R401" s="9" t="n">
        <x:v>0.0789</x:v>
      </x:c>
      <x:c r="S401" s="9" t="n">
        <x:v>0.0625</x:v>
      </x:c>
    </x:row>
    <x:row r="402" ht="90" customHeight="1">
      <x:c r="A402" s="2" t="str">
        <x:v>jumper cables</x:v>
      </x:c>
      <x:c r="B402" s="15" t="str">
        <x:v>jumper cables, jumper cables for car, car jumper cables, jumping cables for cars, jumping cables, jump starter cable, battery jumper cables, jump cable for car, car cables jump start, electric jumper cables</x:v>
      </x:c>
      <x:c r="C402" s="10" t="n">
        <x:v>164</x:v>
      </x:c>
      <x:c r="D402" s="10" t="n">
        <x:v>132787</x:v>
      </x:c>
      <x:c r="E402" s="9" t="n">
        <x:v>0.0449</x:v>
      </x:c>
      <x:c r="F402" s="10" t="n">
        <x:v>3969565</x:v>
      </x:c>
      <x:c r="G402" s="10" t="n">
        <x:v>61397</x:v>
      </x:c>
      <x:c r="H402" s="9" t="n">
        <x:v>0.0471</x:v>
      </x:c>
      <x:c r="I402" s="9" t="n">
        <x:v>0.4623</x:v>
      </x:c>
      <x:c r="J402" s="9" t="n">
        <x:v>0.1903</x:v>
      </x:c>
      <x:c r="K402" s="9" t="n">
        <x:v>0.0879</x:v>
      </x:c>
      <x:c r="L402" s="10" t="n">
        <x:v>11684</x:v>
      </x:c>
      <x:c r="M402" s="10" t="n">
        <x:v>53333</x:v>
      </x:c>
      <x:c r="N402" s="9" t="n">
        <x:v>0.0552</x:v>
      </x:c>
      <x:c r="O402" s="10" t="n">
        <x:v>39980</x:v>
      </x:c>
      <x:c r="P402" s="10" t="n">
        <x:v>14833</x:v>
      </x:c>
      <x:c r="Q402" s="9" t="n">
        <x:v>0.7496</x:v>
      </x:c>
      <x:c r="R402" s="9" t="n">
        <x:v>0.371</x:v>
      </x:c>
      <x:c r="S402" s="9" t="n">
        <x:v>0.2781</x:v>
      </x:c>
    </x:row>
    <x:row r="403" ht="90" customHeight="1">
      <x:c r="A403" s="2" t="str">
        <x:v>mini purse</x:v>
      </x:c>
      <x:c r="B403" s="15" t="str">
        <x:v>mini purse, mini crossbody bags for women, mini crossbody bag, mini purses, mini crossbody purse, mini purse bags, mini crossbody, mini crossbody bags, mini handbags, mini carteras de mujer</x:v>
      </x:c>
      <x:c r="C403" s="10" t="n">
        <x:v>174</x:v>
      </x:c>
      <x:c r="D403" s="10" t="n">
        <x:v>132749</x:v>
      </x:c>
      <x:c r="E403" s="9" t="str">
        <x:v>'-0.004</x:v>
      </x:c>
      <x:c r="F403" s="10" t="n">
        <x:v>4243767</x:v>
      </x:c>
      <x:c r="G403" s="10" t="n">
        <x:v>52294</x:v>
      </x:c>
      <x:c r="H403" s="9" t="n">
        <x:v>0.0106</x:v>
      </x:c>
      <x:c r="I403" s="9" t="n">
        <x:v>0.3939</x:v>
      </x:c>
      <x:c r="J403" s="9" t="n">
        <x:v>0.0152</x:v>
      </x:c>
      <x:c r="K403" s="9" t="n">
        <x:v>0.0059</x:v>
      </x:c>
      <x:c r="L403" s="10" t="n">
        <x:v>796</x:v>
      </x:c>
      <x:c r="M403" s="10" t="n">
        <x:v>23523</x:v>
      </x:c>
      <x:c r="N403" s="9" t="str">
        <x:v>'-0.0278</x:v>
      </x:c>
      <x:c r="O403" s="10" t="n">
        <x:v>18827</x:v>
      </x:c>
      <x:c r="P403" s="10" t="n">
        <x:v>1589</x:v>
      </x:c>
      <x:c r="Q403" s="9" t="n">
        <x:v>0.8003</x:v>
      </x:c>
      <x:c r="R403" s="9" t="n">
        <x:v>0.0844</x:v>
      </x:c>
      <x:c r="S403" s="9" t="n">
        <x:v>0.0675</x:v>
      </x:c>
    </x:row>
    <x:row r="404" ht="71" customHeight="1">
      <x:c r="A404" s="2" t="str">
        <x:v>lsu shirts for women</x:v>
      </x:c>
      <x:c r="B404" s="15" t="str">
        <x:v>lsu shirts for women, lsu womens apparel, lsu shirts, womens lsu shirt, womens lsu apparel, lsu womens shirt, lsu crop top, lsu women, lsu shirt women, lsu womens</x:v>
      </x:c>
      <x:c r="C404" s="10" t="n">
        <x:v>112</x:v>
      </x:c>
      <x:c r="D404" s="10" t="n">
        <x:v>132518</x:v>
      </x:c>
      <x:c r="E404" s="9" t="n">
        <x:v>3.3945</x:v>
      </x:c>
      <x:c r="F404" s="10" t="n">
        <x:v>1518574</x:v>
      </x:c>
      <x:c r="G404" s="10" t="n">
        <x:v>33307</x:v>
      </x:c>
      <x:c r="H404" s="9" t="n">
        <x:v>3.4004</x:v>
      </x:c>
      <x:c r="I404" s="9" t="n">
        <x:v>0.2513</x:v>
      </x:c>
      <x:c r="J404" s="9" t="n">
        <x:v>0.0385</x:v>
      </x:c>
      <x:c r="K404" s="9" t="n">
        <x:v>0.0096</x:v>
      </x:c>
      <x:c r="L404" s="10" t="n">
        <x:v>1285</x:v>
      </x:c>
      <x:c r="M404" s="10" t="n">
        <x:v>7967</x:v>
      </x:c>
      <x:c r="N404" s="9" t="n">
        <x:v>3.3456</x:v>
      </x:c>
      <x:c r="O404" s="10" t="n">
        <x:v>5765</x:v>
      </x:c>
      <x:c r="P404" s="10" t="n">
        <x:v>818</x:v>
      </x:c>
      <x:c r="Q404" s="9" t="n">
        <x:v>0.7236</x:v>
      </x:c>
      <x:c r="R404" s="9" t="n">
        <x:v>0.1418</x:v>
      </x:c>
      <x:c r="S404" s="9" t="n">
        <x:v>0.1026</x:v>
      </x:c>
    </x:row>
    <x:row r="405" ht="109" customHeight="1">
      <x:c r="A405" s="2" t="str">
        <x:v>round brush</x:v>
      </x:c>
      <x:c r="B405" s="15" t="str">
        <x:v>round brush, boar bristle round brush, boar bristle hair brush round, round boar bristle hair brush, boar bristle round hair brush, round brush boar bristle, boar round brush, round boar bristle brush, boar bristle round brush for blow out, round boar brush</x:v>
      </x:c>
      <x:c r="C405" s="10" t="n">
        <x:v>155</x:v>
      </x:c>
      <x:c r="D405" s="10" t="n">
        <x:v>132363</x:v>
      </x:c>
      <x:c r="E405" s="9" t="n">
        <x:v>0.0467</x:v>
      </x:c>
      <x:c r="F405" s="10" t="n">
        <x:v>4318087</x:v>
      </x:c>
      <x:c r="G405" s="10" t="n">
        <x:v>61518</x:v>
      </x:c>
      <x:c r="H405" s="9" t="n">
        <x:v>0.0467</x:v>
      </x:c>
      <x:c r="I405" s="9" t="n">
        <x:v>0.4647</x:v>
      </x:c>
      <x:c r="J405" s="9" t="n">
        <x:v>0.1244</x:v>
      </x:c>
      <x:c r="K405" s="9" t="n">
        <x:v>0.0578</x:v>
      </x:c>
      <x:c r="L405" s="10" t="n">
        <x:v>7655</x:v>
      </x:c>
      <x:c r="M405" s="10" t="n">
        <x:v>41925</x:v>
      </x:c>
      <x:c r="N405" s="9" t="n">
        <x:v>0.0476</x:v>
      </x:c>
      <x:c r="O405" s="10" t="n">
        <x:v>32958</x:v>
      </x:c>
      <x:c r="P405" s="10" t="n">
        <x:v>10886</x:v>
      </x:c>
      <x:c r="Q405" s="9" t="n">
        <x:v>0.7861</x:v>
      </x:c>
      <x:c r="R405" s="9" t="n">
        <x:v>0.3302</x:v>
      </x:c>
      <x:c r="S405" s="9" t="n">
        <x:v>0.2596</x:v>
      </x:c>
    </x:row>
    <x:row r="406" ht="71" customHeight="1">
      <x:c r="A406" s="2" t="str">
        <x:v>vest for women</x:v>
      </x:c>
      <x:c r="B406" s="15" t="str">
        <x:v>vest for women, women vest, scrub vest, vests, sleeveless vest for women, ladies vests, women vests, chaleco para mujer, womens winter vests, quilted vest for women</x:v>
      </x:c>
      <x:c r="C406" s="10" t="n">
        <x:v>53</x:v>
      </x:c>
      <x:c r="D406" s="10" t="n">
        <x:v>132350</x:v>
      </x:c>
      <x:c r="E406" s="9" t="n">
        <x:v>0.5708</x:v>
      </x:c>
      <x:c r="F406" s="10" t="n">
        <x:v>3245184</x:v>
      </x:c>
      <x:c r="G406" s="10" t="n">
        <x:v>40101</x:v>
      </x:c>
      <x:c r="H406" s="9" t="n">
        <x:v>0.6162</x:v>
      </x:c>
      <x:c r="I406" s="9" t="n">
        <x:v>0.3029</x:v>
      </x:c>
      <x:c r="J406" s="9" t="n">
        <x:v>0.0102</x:v>
      </x:c>
      <x:c r="K406" s="9" t="n">
        <x:v>0.0031</x:v>
      </x:c>
      <x:c r="L406" s="10" t="n">
        <x:v>411</x:v>
      </x:c>
      <x:c r="M406" s="10" t="n">
        <x:v>19079</x:v>
      </x:c>
      <x:c r="N406" s="9" t="n">
        <x:v>0.4773</x:v>
      </x:c>
      <x:c r="O406" s="10" t="n">
        <x:v>15408</x:v>
      </x:c>
      <x:c r="P406" s="10" t="n">
        <x:v>1415</x:v>
      </x:c>
      <x:c r="Q406" s="9" t="n">
        <x:v>0.8075</x:v>
      </x:c>
      <x:c r="R406" s="9" t="n">
        <x:v>0.0918</x:v>
      </x:c>
      <x:c r="S406" s="9" t="n">
        <x:v>0.0741</x:v>
      </x:c>
    </x:row>
    <x:row r="407" ht="90" customHeight="1">
      <x:c r="A407" s="2" t="str">
        <x:v>dose liver drink</x:v>
      </x:c>
      <x:c r="B407" s="15" t="str">
        <x:v>dose liver drink, dose liver drink cholesterol, dose liver drink sale, dose liver support supplement, dose liver drink shot, rexet fuxion para el hígado, liver drinks, fatty liver drink, celtsra liver health, liver cleanse detox drink</x:v>
      </x:c>
      <x:c r="C407" s="10" t="n">
        <x:v>64</x:v>
      </x:c>
      <x:c r="D407" s="10" t="n">
        <x:v>132189</x:v>
      </x:c>
      <x:c r="E407" s="9" t="str">
        <x:v>'-0.0584</x:v>
      </x:c>
      <x:c r="F407" s="10" t="n">
        <x:v>6006638</x:v>
      </x:c>
      <x:c r="G407" s="10" t="n">
        <x:v>59375</x:v>
      </x:c>
      <x:c r="H407" s="9" t="str">
        <x:v>'-0.0068</x:v>
      </x:c>
      <x:c r="I407" s="9" t="n">
        <x:v>0.4491</x:v>
      </x:c>
      <x:c r="J407" s="9" t="n">
        <x:v>0.1928</x:v>
      </x:c>
      <x:c r="K407" s="9" t="n">
        <x:v>0.0866</x:v>
      </x:c>
      <x:c r="L407" s="10" t="n">
        <x:v>11448</x:v>
      </x:c>
      <x:c r="M407" s="10" t="n">
        <x:v>81433</x:v>
      </x:c>
      <x:c r="N407" s="9" t="str">
        <x:v>'-0.0353</x:v>
      </x:c>
      <x:c r="O407" s="10" t="n">
        <x:v>53729</x:v>
      </x:c>
      <x:c r="P407" s="10" t="n">
        <x:v>13952</x:v>
      </x:c>
      <x:c r="Q407" s="9" t="n">
        <x:v>0.6597</x:v>
      </x:c>
      <x:c r="R407" s="9" t="n">
        <x:v>0.2596</x:v>
      </x:c>
      <x:c r="S407" s="9" t="n">
        <x:v>0.1713</x:v>
      </x:c>
    </x:row>
    <x:row r="408" ht="90" customHeight="1">
      <x:c r="A408" s="2" t="str">
        <x:v>smelling salts</x:v>
      </x:c>
      <x:c r="B408" s="15" t="str">
        <x:v>smelling salts, smelling salt, ahhh smelling salts, smelling salts ampules, amphetamine salts, smelling salts sticks, strong smelling salts, worlds strongest smelling salts, smelling salts football, extra strong smelling salt</x:v>
      </x:c>
      <x:c r="C408" s="10" t="n">
        <x:v>130</x:v>
      </x:c>
      <x:c r="D408" s="10" t="n">
        <x:v>132014</x:v>
      </x:c>
      <x:c r="E408" s="9" t="n">
        <x:v>0.2229</x:v>
      </x:c>
      <x:c r="F408" s="10" t="n">
        <x:v>3464507</x:v>
      </x:c>
      <x:c r="G408" s="10" t="n">
        <x:v>42737</x:v>
      </x:c>
      <x:c r="H408" s="9" t="n">
        <x:v>0.2152</x:v>
      </x:c>
      <x:c r="I408" s="9" t="n">
        <x:v>0.3237</x:v>
      </x:c>
      <x:c r="J408" s="9" t="n">
        <x:v>0.1859</x:v>
      </x:c>
      <x:c r="K408" s="9" t="n">
        <x:v>0.0601</x:v>
      </x:c>
      <x:c r="L408" s="10" t="n">
        <x:v>7946</x:v>
      </x:c>
      <x:c r="M408" s="10" t="n">
        <x:v>37285</x:v>
      </x:c>
      <x:c r="N408" s="9" t="n">
        <x:v>0.2402</x:v>
      </x:c>
      <x:c r="O408" s="10" t="n">
        <x:v>22035</x:v>
      </x:c>
      <x:c r="P408" s="10" t="n">
        <x:v>7690</x:v>
      </x:c>
      <x:c r="Q408" s="9" t="n">
        <x:v>0.5909</x:v>
      </x:c>
      <x:c r="R408" s="9" t="n">
        <x:v>0.3489</x:v>
      </x:c>
      <x:c r="S408" s="9" t="n">
        <x:v>0.2062</x:v>
      </x:c>
    </x:row>
    <x:row r="409" ht="71" customHeight="1">
      <x:c r="A409" s="2" t="str">
        <x:v>syrup</x:v>
      </x:c>
      <x:c r="B409" s="15" t="str">
        <x:v>syrup, syrup packets, pearl milling syrup, waffle syrup, breakfast syrup, sirup, syrup butter, 转化糖浆, miss butterworth syrup, syrup pearl milling</x:v>
      </x:c>
      <x:c r="C409" s="10" t="n">
        <x:v>65</x:v>
      </x:c>
      <x:c r="D409" s="10" t="n">
        <x:v>131924</x:v>
      </x:c>
      <x:c r="E409" s="9" t="n">
        <x:v>0.084</x:v>
      </x:c>
      <x:c r="F409" s="10" t="n">
        <x:v>2923015</x:v>
      </x:c>
      <x:c r="G409" s="10" t="n">
        <x:v>48739</x:v>
      </x:c>
      <x:c r="H409" s="9" t="n">
        <x:v>0.0786</x:v>
      </x:c>
      <x:c r="I409" s="9" t="n">
        <x:v>0.3694</x:v>
      </x:c>
      <x:c r="J409" s="9" t="n">
        <x:v>0.3909</x:v>
      </x:c>
      <x:c r="K409" s="9" t="n">
        <x:v>0.1444</x:v>
      </x:c>
      <x:c r="L409" s="10" t="n">
        <x:v>19053</x:v>
      </x:c>
      <x:c r="M409" s="10" t="n">
        <x:v>44485</x:v>
      </x:c>
      <x:c r="N409" s="9" t="n">
        <x:v>0.0548</x:v>
      </x:c>
      <x:c r="O409" s="10" t="n">
        <x:v>36870</x:v>
      </x:c>
      <x:c r="P409" s="10" t="n">
        <x:v>19951</x:v>
      </x:c>
      <x:c r="Q409" s="9" t="n">
        <x:v>0.8288</x:v>
      </x:c>
      <x:c r="R409" s="9" t="n">
        <x:v>0.5411</x:v>
      </x:c>
      <x:c r="S409" s="9" t="n">
        <x:v>0.4484</x:v>
      </x:c>
    </x:row>
    <x:row r="410" ht="90" customHeight="1">
      <x:c r="A410" s="2" t="str">
        <x:v>ricotta cheese</x:v>
      </x:c>
      <x:c r="B410" s="15" t="str">
        <x:v>ricotta cheese, ricotta, ricotta cheese whole milk, ricotta salata, vegan ricotta, organic ricotta, ricotta cheese low fat, organic ricotta cheese, whole milk ricotta, whipped ricotta</x:v>
      </x:c>
      <x:c r="C410" s="10" t="n">
        <x:v>122</x:v>
      </x:c>
      <x:c r="D410" s="10" t="n">
        <x:v>131906</x:v>
      </x:c>
      <x:c r="E410" s="9" t="n">
        <x:v>0.1332</x:v>
      </x:c>
      <x:c r="F410" s="10" t="n">
        <x:v>2924103</x:v>
      </x:c>
      <x:c r="G410" s="10" t="n">
        <x:v>73218</x:v>
      </x:c>
      <x:c r="H410" s="9" t="n">
        <x:v>0.1137</x:v>
      </x:c>
      <x:c r="I410" s="9" t="n">
        <x:v>0.555</x:v>
      </x:c>
      <x:c r="J410" s="9" t="n">
        <x:v>0.4325</x:v>
      </x:c>
      <x:c r="K410" s="9" t="n">
        <x:v>0.24</x:v>
      </x:c>
      <x:c r="L410" s="10" t="n">
        <x:v>31667</x:v>
      </x:c>
      <x:c r="M410" s="10" t="n">
        <x:v>63314</x:v>
      </x:c>
      <x:c r="N410" s="9" t="n">
        <x:v>0.14</x:v>
      </x:c>
      <x:c r="O410" s="10" t="n">
        <x:v>56438</x:v>
      </x:c>
      <x:c r="P410" s="10" t="n">
        <x:v>31534</x:v>
      </x:c>
      <x:c r="Q410" s="9" t="n">
        <x:v>0.8913</x:v>
      </x:c>
      <x:c r="R410" s="9" t="n">
        <x:v>0.5587</x:v>
      </x:c>
      <x:c r="S410" s="9" t="n">
        <x:v>0.498</x:v>
      </x:c>
    </x:row>
    <x:row r="411" ht="128" customHeight="1">
      <x:c r="A411" s="2" t="str">
        <x:v>male masterburbatar hands free</x:v>
      </x:c>
      <x:c r="B411" s="15" t="str">
        <x:v>male masterburbatar hands free, male masterburbatar machine, hands free male masterburbatar, man masterburbatar, mastruabation tool for men, blowjobob machine for man hands free, adult male masterburbatar hands free shower, mens mastuberators hands free, male milker masterburbatar, cheap male masterburbatar</x:v>
      </x:c>
      <x:c r="C411" s="10" t="n">
        <x:v>15</x:v>
      </x:c>
      <x:c r="D411" s="10" t="n">
        <x:v>131776</x:v>
      </x:c>
      <x:c r="E411" s="9" t="n">
        <x:v>0.0403</x:v>
      </x:c>
      <x:c r="F411" s="10" t="n">
        <x:v>1296857</x:v>
      </x:c>
      <x:c r="G411" s="10" t="n">
        <x:v>37660</x:v>
      </x:c>
      <x:c r="H411" s="9" t="n">
        <x:v>0.0621</x:v>
      </x:c>
      <x:c r="I411" s="9" t="n">
        <x:v>0.2857</x:v>
      </x:c>
      <x:c r="J411" s="9" t="n">
        <x:v>0.0242</x:v>
      </x:c>
      <x:c r="K411" s="9" t="n">
        <x:v>0.0069</x:v>
      </x:c>
      <x:c r="L411" s="10" t="n">
        <x:v>912</x:v>
      </x:c>
      <x:c r="M411" s="10" t="n">
        <x:v>11481</x:v>
      </x:c>
      <x:c r="N411" s="9" t="n">
        <x:v>0.0205</x:v>
      </x:c>
      <x:c r="O411" s="10" t="n">
        <x:v>8919</x:v>
      </x:c>
      <x:c r="P411" s="10" t="n">
        <x:v>758</x:v>
      </x:c>
      <x:c r="Q411" s="9" t="n">
        <x:v>0.7768</x:v>
      </x:c>
      <x:c r="R411" s="9" t="n">
        <x:v>0.0849</x:v>
      </x:c>
      <x:c r="S411" s="9" t="n">
        <x:v>0.066</x:v>
      </x:c>
    </x:row>
    <x:row r="412" ht="109" customHeight="1">
      <x:c r="A412" s="2" t="str">
        <x:v>coraline costume</x:v>
      </x:c>
      <x:c r="B412" s="15" t="str">
        <x:v>coraline costume, coraline costume women, coraline other mother costume, coraline halloween costume, coraline costume adult, adult coraline costume, coraline cosplay, coraline adult costume, coraline costume for women, womens coraline costume</x:v>
      </x:c>
      <x:c r="C412" s="10" t="n">
        <x:v>49</x:v>
      </x:c>
      <x:c r="D412" s="10" t="n">
        <x:v>131650</x:v>
      </x:c>
      <x:c r="E412" s="9" t="n">
        <x:v>2.6743</x:v>
      </x:c>
      <x:c r="F412" s="10" t="n">
        <x:v>1007076</x:v>
      </x:c>
      <x:c r="G412" s="10" t="n">
        <x:v>51868</x:v>
      </x:c>
      <x:c r="H412" s="9" t="n">
        <x:v>3.055</x:v>
      </x:c>
      <x:c r="I412" s="9" t="n">
        <x:v>0.3939</x:v>
      </x:c>
      <x:c r="J412" s="9" t="n">
        <x:v>0.0122</x:v>
      </x:c>
      <x:c r="K412" s="9" t="n">
        <x:v>0.0048</x:v>
      </x:c>
      <x:c r="L412" s="10" t="n">
        <x:v>633</x:v>
      </x:c>
      <x:c r="M412" s="10" t="n">
        <x:v>8756</x:v>
      </x:c>
      <x:c r="N412" s="9" t="n">
        <x:v>2.5941</x:v>
      </x:c>
      <x:c r="O412" s="10" t="n">
        <x:v>6140</x:v>
      </x:c>
      <x:c r="P412" s="10" t="n">
        <x:v>170</x:v>
      </x:c>
      <x:c r="Q412" s="9" t="n">
        <x:v>0.7012</x:v>
      </x:c>
      <x:c r="R412" s="9" t="n">
        <x:v>0.0276</x:v>
      </x:c>
      <x:c r="S412" s="9" t="n">
        <x:v>0.0194</x:v>
      </x:c>
    </x:row>
    <x:row r="413" ht="71" customHeight="1">
      <x:c r="A413" s="2" t="str">
        <x:v>spinach fresh</x:v>
      </x:c>
      <x:c r="B413" s="15" t="str">
        <x:v>spinach fresh, baby spinach, spinach organic, organic spinach, fresh spinach, organic spinach fresh, organic baby spinach, spinach salad, baby spinach fresh, espinaca</x:v>
      </x:c>
      <x:c r="C413" s="10" t="n">
        <x:v>120</x:v>
      </x:c>
      <x:c r="D413" s="10" t="n">
        <x:v>131489</x:v>
      </x:c>
      <x:c r="E413" s="9" t="n">
        <x:v>0.0664</x:v>
      </x:c>
      <x:c r="F413" s="10" t="n">
        <x:v>2926150</x:v>
      </x:c>
      <x:c r="G413" s="10" t="n">
        <x:v>79084</x:v>
      </x:c>
      <x:c r="H413" s="9" t="n">
        <x:v>0.0539</x:v>
      </x:c>
      <x:c r="I413" s="9" t="n">
        <x:v>0.6014</x:v>
      </x:c>
      <x:c r="J413" s="9" t="n">
        <x:v>0.5185</x:v>
      </x:c>
      <x:c r="K413" s="9" t="n">
        <x:v>0.3118</x:v>
      </x:c>
      <x:c r="L413" s="10" t="n">
        <x:v>41008</x:v>
      </x:c>
      <x:c r="M413" s="10" t="n">
        <x:v>74472</x:v>
      </x:c>
      <x:c r="N413" s="9" t="n">
        <x:v>0.0718</x:v>
      </x:c>
      <x:c r="O413" s="10" t="n">
        <x:v>69141</x:v>
      </x:c>
      <x:c r="P413" s="10" t="n">
        <x:v>42471</x:v>
      </x:c>
      <x:c r="Q413" s="9" t="n">
        <x:v>0.9284</x:v>
      </x:c>
      <x:c r="R413" s="9" t="n">
        <x:v>0.6142</x:v>
      </x:c>
      <x:c r="S413" s="9" t="n">
        <x:v>0.5702</x:v>
      </x:c>
    </x:row>
    <x:row r="414" ht="109" customHeight="1">
      <x:c r="A414" s="2" t="str">
        <x:v>fluffy hair shaping spray</x:v>
      </x:c>
      <x:c r="B414" s="15" t="str">
        <x:v>fluffy hair shaping spray, fluffy volume hair spray, fluffy shaping spray, fluffy hair spray, fluffy volumizing hair spray, fluffy volume hairspray, volumizing hair styling spray, peach jo fluffy shaping spray, fluffy volume spray, fluffy shaping hair spray</x:v>
      </x:c>
      <x:c r="C414" s="10" t="n">
        <x:v>110</x:v>
      </x:c>
      <x:c r="D414" s="10" t="n">
        <x:v>131386</x:v>
      </x:c>
      <x:c r="E414" s="9" t="n">
        <x:v>28.3468</x:v>
      </x:c>
      <x:c r="F414" s="10" t="n">
        <x:v>493214</x:v>
      </x:c>
      <x:c r="G414" s="10" t="n">
        <x:v>68742</x:v>
      </x:c>
      <x:c r="H414" s="9" t="n">
        <x:v>30.4033</x:v>
      </x:c>
      <x:c r="I414" s="9" t="n">
        <x:v>0.5232</x:v>
      </x:c>
      <x:c r="J414" s="9" t="n">
        <x:v>0.1754</x:v>
      </x:c>
      <x:c r="K414" s="9" t="n">
        <x:v>0.0918</x:v>
      </x:c>
      <x:c r="L414" s="10" t="n">
        <x:v>12062</x:v>
      </x:c>
      <x:c r="M414" s="10" t="n">
        <x:v>5937</x:v>
      </x:c>
      <x:c r="N414" s="9" t="n">
        <x:v>29.4786</x:v>
      </x:c>
      <x:c r="O414" s="10" t="n">
        <x:v>4776</x:v>
      </x:c>
      <x:c r="P414" s="10" t="n">
        <x:v>1518</x:v>
      </x:c>
      <x:c r="Q414" s="9" t="n">
        <x:v>0.8044</x:v>
      </x:c>
      <x:c r="R414" s="9" t="n">
        <x:v>0.3178</x:v>
      </x:c>
      <x:c r="S414" s="9" t="n">
        <x:v>0.2556</x:v>
      </x:c>
    </x:row>
    <x:row r="415" ht="109" customHeight="1">
      <x:c r="A415" s="2" t="str">
        <x:v>pregnant halloween costume</x:v>
      </x:c>
      <x:c r="B415" s="15" t="str">
        <x:v>pregnant halloween costume, maternity halloween costumes, pregnancy halloween costumes, halloween costumes for pregnant women, pregnant costumes for women, maternity costumes for halloween, maternity costume, pregnancy costumes for women, pregnant skeleton costume, maternity halloween costume</x:v>
      </x:c>
      <x:c r="C415" s="10" t="n">
        <x:v>142</x:v>
      </x:c>
      <x:c r="D415" s="10" t="n">
        <x:v>131106</x:v>
      </x:c>
      <x:c r="E415" s="9" t="n">
        <x:v>1.8589</x:v>
      </x:c>
      <x:c r="F415" s="10" t="n">
        <x:v>1786532</x:v>
      </x:c>
      <x:c r="G415" s="10" t="n">
        <x:v>29979</x:v>
      </x:c>
      <x:c r="H415" s="9" t="n">
        <x:v>2.1211</x:v>
      </x:c>
      <x:c r="I415" s="9" t="n">
        <x:v>0.2286</x:v>
      </x:c>
      <x:c r="J415" s="9" t="n">
        <x:v>0.0041</x:v>
      </x:c>
      <x:c r="K415" s="9" t="n">
        <x:v>0.0009</x:v>
      </x:c>
      <x:c r="L415" s="10" t="n">
        <x:v>124</x:v>
      </x:c>
      <x:c r="M415" s="10" t="n">
        <x:v>10695</x:v>
      </x:c>
      <x:c r="N415" s="9" t="n">
        <x:v>1.6106</x:v>
      </x:c>
      <x:c r="O415" s="10" t="n">
        <x:v>7016</x:v>
      </x:c>
      <x:c r="P415" s="10" t="n">
        <x:v>122</x:v>
      </x:c>
      <x:c r="Q415" s="9" t="n">
        <x:v>0.656</x:v>
      </x:c>
      <x:c r="R415" s="9" t="n">
        <x:v>0.0173</x:v>
      </x:c>
      <x:c r="S415" s="9" t="n">
        <x:v>0.0114</x:v>
      </x:c>
    </x:row>
    <x:row r="416" ht="71" customHeight="1">
      <x:c r="A416" s="2" t="str">
        <x:v>red flats</x:v>
      </x:c>
      <x:c r="B416" s="15" t="str">
        <x:v>red flats, red ballet flats, red flats shoes women, red flats for women, womens red flats, red flat shoes, red ballerina flats, red flat shoes for women, red flat, ballet flats red</x:v>
      </x:c>
      <x:c r="C416" s="10" t="n">
        <x:v>121</x:v>
      </x:c>
      <x:c r="D416" s="10" t="n">
        <x:v>131063</x:v>
      </x:c>
      <x:c r="E416" s="9" t="n">
        <x:v>0.2522</x:v>
      </x:c>
      <x:c r="F416" s="10" t="n">
        <x:v>4175671</x:v>
      </x:c>
      <x:c r="G416" s="10" t="n">
        <x:v>34296</x:v>
      </x:c>
      <x:c r="H416" s="9" t="n">
        <x:v>0.3077</x:v>
      </x:c>
      <x:c r="I416" s="9" t="n">
        <x:v>0.2616</x:v>
      </x:c>
      <x:c r="J416" s="9" t="n">
        <x:v>0.0145</x:v>
      </x:c>
      <x:c r="K416" s="9" t="n">
        <x:v>0.0038</x:v>
      </x:c>
      <x:c r="L416" s="10" t="n">
        <x:v>499</x:v>
      </x:c>
      <x:c r="M416" s="10" t="n">
        <x:v>25171</x:v>
      </x:c>
      <x:c r="N416" s="9" t="n">
        <x:v>0.2624</x:v>
      </x:c>
      <x:c r="O416" s="10" t="n">
        <x:v>19853</x:v>
      </x:c>
      <x:c r="P416" s="10" t="n">
        <x:v>2318</x:v>
      </x:c>
      <x:c r="Q416" s="9" t="n">
        <x:v>0.7887</x:v>
      </x:c>
      <x:c r="R416" s="9" t="n">
        <x:v>0.1167</x:v>
      </x:c>
      <x:c r="S416" s="9" t="n">
        <x:v>0.092</x:v>
      </x:c>
    </x:row>
    <x:row r="417" ht="90" customHeight="1">
      <x:c r="A417" s="2" t="str">
        <x:v>one piece cards</x:v>
      </x:c>
      <x:c r="B417" s="15" t="str">
        <x:v>one piece cards, one piece card, one piece cards english, one piece tcg booster box, one piece booster pack, one piece cards booster box, one piece tcg english, one piece card game booster box, one piece card packs, one piece booster</x:v>
      </x:c>
      <x:c r="C417" s="10" t="n">
        <x:v>148</x:v>
      </x:c>
      <x:c r="D417" s="10" t="n">
        <x:v>130993</x:v>
      </x:c>
      <x:c r="E417" s="9" t="n">
        <x:v>0.0567</x:v>
      </x:c>
      <x:c r="F417" s="10" t="n">
        <x:v>2734596</x:v>
      </x:c>
      <x:c r="G417" s="10" t="n">
        <x:v>49220</x:v>
      </x:c>
      <x:c r="H417" s="9" t="n">
        <x:v>0.0621</x:v>
      </x:c>
      <x:c r="I417" s="9" t="n">
        <x:v>0.3757</x:v>
      </x:c>
      <x:c r="J417" s="9" t="n">
        <x:v>0.0362</x:v>
      </x:c>
      <x:c r="K417" s="9" t="n">
        <x:v>0.0136</x:v>
      </x:c>
      <x:c r="L417" s="10" t="n">
        <x:v>1785</x:v>
      </x:c>
      <x:c r="M417" s="10" t="n">
        <x:v>23218</x:v>
      </x:c>
      <x:c r="N417" s="9" t="n">
        <x:v>0.0457</x:v>
      </x:c>
      <x:c r="O417" s="10" t="n">
        <x:v>14487</x:v>
      </x:c>
      <x:c r="P417" s="10" t="n">
        <x:v>1297</x:v>
      </x:c>
      <x:c r="Q417" s="9" t="n">
        <x:v>0.6239</x:v>
      </x:c>
      <x:c r="R417" s="9" t="n">
        <x:v>0.0895</x:v>
      </x:c>
      <x:c r="S417" s="9" t="n">
        <x:v>0.0558</x:v>
      </x:c>
    </x:row>
    <x:row r="418" ht="90" customHeight="1">
      <x:c r="A418" s="2" t="str">
        <x:v>burgundy purse</x:v>
      </x:c>
      <x:c r="B418" s="15" t="str">
        <x:v>burgundy purse, burgundy purses for women, burgundy handbag, burgundy bags for women, burgundy tote bag, burgundy handbags for women, burgundy purses, burgundy tote, burgundy bags, burgundy handbags</x:v>
      </x:c>
      <x:c r="C418" s="10" t="n">
        <x:v>164</x:v>
      </x:c>
      <x:c r="D418" s="10" t="n">
        <x:v>130862</x:v>
      </x:c>
      <x:c r="E418" s="9" t="n">
        <x:v>1.0458</x:v>
      </x:c>
      <x:c r="F418" s="10" t="n">
        <x:v>2876193</x:v>
      </x:c>
      <x:c r="G418" s="10" t="n">
        <x:v>56646</x:v>
      </x:c>
      <x:c r="H418" s="9" t="n">
        <x:v>1.1052</x:v>
      </x:c>
      <x:c r="I418" s="9" t="n">
        <x:v>0.4328</x:v>
      </x:c>
      <x:c r="J418" s="9" t="n">
        <x:v>0.0315</x:v>
      </x:c>
      <x:c r="K418" s="9" t="n">
        <x:v>0.0136</x:v>
      </x:c>
      <x:c r="L418" s="10" t="n">
        <x:v>1787</x:v>
      </x:c>
      <x:c r="M418" s="10" t="n">
        <x:v>14817</x:v>
      </x:c>
      <x:c r="N418" s="9" t="n">
        <x:v>0.9411</x:v>
      </x:c>
      <x:c r="O418" s="10" t="n">
        <x:v>12261</x:v>
      </x:c>
      <x:c r="P418" s="10" t="n">
        <x:v>1261</x:v>
      </x:c>
      <x:c r="Q418" s="9" t="n">
        <x:v>0.8274</x:v>
      </x:c>
      <x:c r="R418" s="9" t="n">
        <x:v>0.1028</x:v>
      </x:c>
      <x:c r="S418" s="9" t="n">
        <x:v>0.0851</x:v>
      </x:c>
    </x:row>
    <x:row r="419" ht="71" customHeight="1">
      <x:c r="A419" s="2" t="str">
        <x:v>shirts for teens</x:v>
      </x:c>
      <x:c r="B419" s="15" t="str">
        <x:v>shirts for teens, teen shirts, graphic tees for teens, shirts teens, shirts teen, shirts for teen, teen tshirts, t-shirts for teen girls, teenager shirts, cute shirt for teens</x:v>
      </x:c>
      <x:c r="C419" s="10" t="n">
        <x:v>125</x:v>
      </x:c>
      <x:c r="D419" s="10" t="n">
        <x:v>130804</x:v>
      </x:c>
      <x:c r="E419" s="9" t="str">
        <x:v>'-0.55</x:v>
      </x:c>
      <x:c r="F419" s="10" t="n">
        <x:v>5333166</x:v>
      </x:c>
      <x:c r="G419" s="10" t="n">
        <x:v>32505</x:v>
      </x:c>
      <x:c r="H419" s="9" t="str">
        <x:v>'-0.5484</x:v>
      </x:c>
      <x:c r="I419" s="9" t="n">
        <x:v>0.2485</x:v>
      </x:c>
      <x:c r="J419" s="9" t="n">
        <x:v>0.0095</x:v>
      </x:c>
      <x:c r="K419" s="9" t="n">
        <x:v>0.0023</x:v>
      </x:c>
      <x:c r="L419" s="10" t="n">
        <x:v>311</x:v>
      </x:c>
      <x:c r="M419" s="10" t="n">
        <x:v>25838</x:v>
      </x:c>
      <x:c r="N419" s="9" t="str">
        <x:v>'-0.524</x:v>
      </x:c>
      <x:c r="O419" s="10" t="n">
        <x:v>19592</x:v>
      </x:c>
      <x:c r="P419" s="10" t="n">
        <x:v>2242</x:v>
      </x:c>
      <x:c r="Q419" s="9" t="n">
        <x:v>0.7582</x:v>
      </x:c>
      <x:c r="R419" s="9" t="n">
        <x:v>0.1144</x:v>
      </x:c>
      <x:c r="S419" s="9" t="n">
        <x:v>0.0867</x:v>
      </x:c>
    </x:row>
    <x:row r="420" ht="90" customHeight="1">
      <x:c r="A420" s="2" t="str">
        <x:v>baby halloween toys</x:v>
      </x:c>
      <x:c r="B420" s="15" t="str">
        <x:v>baby halloween toys, halloween baby toys, toddler halloween toys, halloween toys for toddlers, halloween toys for babies, halloween toys for toddlers 1-3, halloween baby toy, boo basket toddler, baby halloween toy, infant halloween toys</x:v>
      </x:c>
      <x:c r="C420" s="10" t="n">
        <x:v>167</x:v>
      </x:c>
      <x:c r="D420" s="10" t="n">
        <x:v>130773</x:v>
      </x:c>
      <x:c r="E420" s="9" t="n">
        <x:v>1.8727</x:v>
      </x:c>
      <x:c r="F420" s="10" t="n">
        <x:v>1771416</x:v>
      </x:c>
      <x:c r="G420" s="10" t="n">
        <x:v>48426</x:v>
      </x:c>
      <x:c r="H420" s="9" t="n">
        <x:v>2.0057</x:v>
      </x:c>
      <x:c r="I420" s="9" t="n">
        <x:v>0.3703</x:v>
      </x:c>
      <x:c r="J420" s="9" t="n">
        <x:v>0.0861</x:v>
      </x:c>
      <x:c r="K420" s="9" t="n">
        <x:v>0.0318</x:v>
      </x:c>
      <x:c r="L420" s="10" t="n">
        <x:v>4171</x:v>
      </x:c>
      <x:c r="M420" s="10" t="n">
        <x:v>10775</x:v>
      </x:c>
      <x:c r="N420" s="9" t="n">
        <x:v>1.768</x:v>
      </x:c>
      <x:c r="O420" s="10" t="n">
        <x:v>8623</x:v>
      </x:c>
      <x:c r="P420" s="10" t="n">
        <x:v>1125</x:v>
      </x:c>
      <x:c r="Q420" s="9" t="n">
        <x:v>0.8002</x:v>
      </x:c>
      <x:c r="R420" s="9" t="n">
        <x:v>0.1304</x:v>
      </x:c>
      <x:c r="S420" s="9" t="n">
        <x:v>0.1044</x:v>
      </x:c>
    </x:row>
    <x:row r="421" ht="90" customHeight="1">
      <x:c r="A421" s="2" t="str">
        <x:v>funny bathroom wall art</x:v>
      </x:c>
      <x:c r="B421" s="15" t="str">
        <x:v>funny bathroom wall art, bathroom pictures, funny bathroom pictures, funny bathroom wall decor, bathroom wall decor funny, bathroom funny wall art, bathroom wall art funny, funny bathroom, movie wall art, cool art</x:v>
      </x:c>
      <x:c r="C421" s="10" t="n">
        <x:v>165</x:v>
      </x:c>
      <x:c r="D421" s="10" t="n">
        <x:v>130456</x:v>
      </x:c>
      <x:c r="E421" s="9" t="str">
        <x:v>'-0.0726</x:v>
      </x:c>
      <x:c r="F421" s="10" t="n">
        <x:v>4747961</x:v>
      </x:c>
      <x:c r="G421" s="10" t="n">
        <x:v>48427</x:v>
      </x:c>
      <x:c r="H421" s="9" t="str">
        <x:v>'-0.0391</x:v>
      </x:c>
      <x:c r="I421" s="9" t="n">
        <x:v>0.3712</x:v>
      </x:c>
      <x:c r="J421" s="9" t="n">
        <x:v>0.0277</x:v>
      </x:c>
      <x:c r="K421" s="9" t="n">
        <x:v>0.0103</x:v>
      </x:c>
      <x:c r="L421" s="10" t="n">
        <x:v>1346</x:v>
      </x:c>
      <x:c r="M421" s="10" t="n">
        <x:v>23278</x:v>
      </x:c>
      <x:c r="N421" s="9" t="str">
        <x:v>'-0.0892</x:v>
      </x:c>
      <x:c r="O421" s="10" t="n">
        <x:v>18687</x:v>
      </x:c>
      <x:c r="P421" s="10" t="n">
        <x:v>1770</x:v>
      </x:c>
      <x:c r="Q421" s="9" t="n">
        <x:v>0.8027</x:v>
      </x:c>
      <x:c r="R421" s="9" t="n">
        <x:v>0.0947</x:v>
      </x:c>
      <x:c r="S421" s="9" t="n">
        <x:v>0.076</x:v>
      </x:c>
    </x:row>
    <x:row r="422" ht="71" customHeight="1">
      <x:c r="A422" s="2" t="str">
        <x:v>low calorie snacks</x:v>
      </x:c>
      <x:c r="B422" s="15" t="str">
        <x:v>low calorie snacks, carnivore bars, keto friendly, low calories snacks, diet snack, snacks low carb, renal diet snacks, snack low calorie, best keto snacks, lo calorie snacks</x:v>
      </x:c>
      <x:c r="C422" s="10" t="n">
        <x:v>51</x:v>
      </x:c>
      <x:c r="D422" s="10" t="n">
        <x:v>130311</x:v>
      </x:c>
      <x:c r="E422" s="9" t="n">
        <x:v>0.0624</x:v>
      </x:c>
      <x:c r="F422" s="10" t="n">
        <x:v>4234904</x:v>
      </x:c>
      <x:c r="G422" s="10" t="n">
        <x:v>52624</x:v>
      </x:c>
      <x:c r="H422" s="9" t="n">
        <x:v>0.0357</x:v>
      </x:c>
      <x:c r="I422" s="9" t="n">
        <x:v>0.4038</x:v>
      </x:c>
      <x:c r="J422" s="9" t="n">
        <x:v>0.089</x:v>
      </x:c>
      <x:c r="K422" s="9" t="n">
        <x:v>0.0359</x:v>
      </x:c>
      <x:c r="L422" s="10" t="n">
        <x:v>4686</x:v>
      </x:c>
      <x:c r="M422" s="10" t="n">
        <x:v>22874</x:v>
      </x:c>
      <x:c r="N422" s="9" t="n">
        <x:v>0.026</x:v>
      </x:c>
      <x:c r="O422" s="10" t="n">
        <x:v>17580</x:v>
      </x:c>
      <x:c r="P422" s="10" t="n">
        <x:v>3639</x:v>
      </x:c>
      <x:c r="Q422" s="9" t="n">
        <x:v>0.7685</x:v>
      </x:c>
      <x:c r="R422" s="9" t="n">
        <x:v>0.2069</x:v>
      </x:c>
      <x:c r="S422" s="9" t="n">
        <x:v>0.159</x:v>
      </x:c>
    </x:row>
    <x:row r="423" ht="128" customHeight="1">
      <x:c r="A423" s="2" t="str">
        <x:v>moissanite rings for women</x:v>
      </x:c>
      <x:c r="B423" s="15" t="str">
        <x:v>moissanite rings for women, moissanite cocktail rings for women, moissanite ring for women, wedding rings for women moissanite, vintage moissanite rings for women, unique moissanite rings for women, moissanite rings women, moissanite 3 stone rings for women, newshe moissanite rings for women, 3 stone moissanite rings for women</x:v>
      </x:c>
      <x:c r="C423" s="10" t="n">
        <x:v>88</x:v>
      </x:c>
      <x:c r="D423" s="10" t="n">
        <x:v>130260</x:v>
      </x:c>
      <x:c r="E423" s="9" t="str">
        <x:v>'-0.1655</x:v>
      </x:c>
      <x:c r="F423" s="10" t="n">
        <x:v>4729107</x:v>
      </x:c>
      <x:c r="G423" s="10" t="n">
        <x:v>47805</x:v>
      </x:c>
      <x:c r="H423" s="9" t="str">
        <x:v>'-0.1515</x:v>
      </x:c>
      <x:c r="I423" s="9" t="n">
        <x:v>0.3669</x:v>
      </x:c>
      <x:c r="J423" s="9" t="n">
        <x:v>0.0038</x:v>
      </x:c>
      <x:c r="K423" s="9" t="n">
        <x:v>0.0014</x:v>
      </x:c>
      <x:c r="L423" s="10" t="n">
        <x:v>186</x:v>
      </x:c>
      <x:c r="M423" s="10" t="n">
        <x:v>20477</x:v>
      </x:c>
      <x:c r="N423" s="9" t="str">
        <x:v>'-0.1678</x:v>
      </x:c>
      <x:c r="O423" s="10" t="n">
        <x:v>15963</x:v>
      </x:c>
      <x:c r="P423" s="10" t="n">
        <x:v>983</x:v>
      </x:c>
      <x:c r="Q423" s="9" t="n">
        <x:v>0.7795</x:v>
      </x:c>
      <x:c r="R423" s="9" t="n">
        <x:v>0.0615</x:v>
      </x:c>
      <x:c r="S423" s="9" t="n">
        <x:v>0.048</x:v>
      </x:c>
    </x:row>
    <x:row r="424" ht="90" customHeight="1">
      <x:c r="A424" s="2" t="str">
        <x:v>chicken drumsticks</x:v>
      </x:c>
      <x:c r="B424" s="15" t="str">
        <x:v>chicken drumsticks, chicken legs, chicken leg, turkey leg, organic chicken drumsticks, chicken legs drumsticks, organic chicken legs, chicken drumstick, chicken drums, drumsticks chicken</x:v>
      </x:c>
      <x:c r="C424" s="10" t="n">
        <x:v>105</x:v>
      </x:c>
      <x:c r="D424" s="10" t="n">
        <x:v>130167</x:v>
      </x:c>
      <x:c r="E424" s="9" t="n">
        <x:v>0.3743</x:v>
      </x:c>
      <x:c r="F424" s="10" t="n">
        <x:v>1759749</x:v>
      </x:c>
      <x:c r="G424" s="10" t="n">
        <x:v>41663</x:v>
      </x:c>
      <x:c r="H424" s="9" t="n">
        <x:v>0.1704</x:v>
      </x:c>
      <x:c r="I424" s="9" t="n">
        <x:v>0.32</x:v>
      </x:c>
      <x:c r="J424" s="9" t="n">
        <x:v>0.3505</x:v>
      </x:c>
      <x:c r="K424" s="9" t="n">
        <x:v>0.1122</x:v>
      </x:c>
      <x:c r="L424" s="10" t="n">
        <x:v>14605</x:v>
      </x:c>
      <x:c r="M424" s="10" t="n">
        <x:v>34501</x:v>
      </x:c>
      <x:c r="N424" s="9" t="n">
        <x:v>0.2552</x:v>
      </x:c>
      <x:c r="O424" s="10" t="n">
        <x:v>28594</x:v>
      </x:c>
      <x:c r="P424" s="10" t="n">
        <x:v>14486</x:v>
      </x:c>
      <x:c r="Q424" s="9" t="n">
        <x:v>0.8287</x:v>
      </x:c>
      <x:c r="R424" s="9" t="n">
        <x:v>0.5066</x:v>
      </x:c>
      <x:c r="S424" s="9" t="n">
        <x:v>0.4198</x:v>
      </x:c>
    </x:row>
    <x:row r="425" ht="128" customHeight="1">
      <x:c r="A425" s="2" t="str">
        <x:v>mens sunglasses polarized</x:v>
      </x:c>
      <x:c r="B425" s="15" t="str">
        <x:v>mens sunglasses polarized, mens polarized sunglasses, scratch resistant sunglasses, polarized sunglasses men uv400 protection, polarized sun glasses, polarized sunglasses driving, sunglasses for extreme sunlight, night driving glasses anti glare polarized, antiglare glasses for night driving, lentes sol hombre</x:v>
      </x:c>
      <x:c r="C425" s="10" t="n">
        <x:v>163</x:v>
      </x:c>
      <x:c r="D425" s="10" t="n">
        <x:v>130014</x:v>
      </x:c>
      <x:c r="E425" s="9" t="str">
        <x:v>'-0.1373</x:v>
      </x:c>
      <x:c r="F425" s="10" t="n">
        <x:v>5314981</x:v>
      </x:c>
      <x:c r="G425" s="10" t="n">
        <x:v>51601</x:v>
      </x:c>
      <x:c r="H425" s="9" t="str">
        <x:v>'-0.1736</x:v>
      </x:c>
      <x:c r="I425" s="9" t="n">
        <x:v>0.3968</x:v>
      </x:c>
      <x:c r="J425" s="9" t="n">
        <x:v>0.0813</x:v>
      </x:c>
      <x:c r="K425" s="9" t="n">
        <x:v>0.0322</x:v>
      </x:c>
      <x:c r="L425" s="10" t="n">
        <x:v>4196</x:v>
      </x:c>
      <x:c r="M425" s="10" t="n">
        <x:v>32783</x:v>
      </x:c>
      <x:c r="N425" s="9" t="str">
        <x:v>'-0.1178</x:v>
      </x:c>
      <x:c r="O425" s="10" t="n">
        <x:v>26296</x:v>
      </x:c>
      <x:c r="P425" s="10" t="n">
        <x:v>8262</x:v>
      </x:c>
      <x:c r="Q425" s="9" t="n">
        <x:v>0.8021</x:v>
      </x:c>
      <x:c r="R425" s="9" t="n">
        <x:v>0.3141</x:v>
      </x:c>
      <x:c r="S425" s="9" t="n">
        <x:v>0.252</x:v>
      </x:c>
    </x:row>
    <x:row r="426" ht="90" customHeight="1">
      <x:c r="A426" s="2" t="str">
        <x:v>3d printer stand</x:v>
      </x:c>
      <x:c r="B426" s="15" t="str">
        <x:v>3d printer stand, 3d printer table, 3d printer desk, 3d printer stand with filament storage, 3d printer cart, 3d printer table with storage, 3d printer shelf, 3d printer stand with storage, 3d printing table, sturdy 3d printer stand</x:v>
      </x:c>
      <x:c r="C426" s="10" t="n">
        <x:v>143</x:v>
      </x:c>
      <x:c r="D426" s="10" t="n">
        <x:v>129947</x:v>
      </x:c>
      <x:c r="E426" s="9" t="n">
        <x:v>0.1077</x:v>
      </x:c>
      <x:c r="F426" s="10" t="n">
        <x:v>3413269</x:v>
      </x:c>
      <x:c r="G426" s="10" t="n">
        <x:v>47597</x:v>
      </x:c>
      <x:c r="H426" s="9" t="n">
        <x:v>0.1204</x:v>
      </x:c>
      <x:c r="I426" s="9" t="n">
        <x:v>0.3662</x:v>
      </x:c>
      <x:c r="J426" s="9" t="n">
        <x:v>0.0323</x:v>
      </x:c>
      <x:c r="K426" s="9" t="n">
        <x:v>0.0118</x:v>
      </x:c>
      <x:c r="L426" s="10" t="n">
        <x:v>1541</x:v>
      </x:c>
      <x:c r="M426" s="10" t="n">
        <x:v>25911</x:v>
      </x:c>
      <x:c r="N426" s="9" t="n">
        <x:v>0.1026</x:v>
      </x:c>
      <x:c r="O426" s="10" t="n">
        <x:v>18326</x:v>
      </x:c>
      <x:c r="P426" s="10" t="n">
        <x:v>1952</x:v>
      </x:c>
      <x:c r="Q426" s="9" t="n">
        <x:v>0.7072</x:v>
      </x:c>
      <x:c r="R426" s="9" t="n">
        <x:v>0.1065</x:v>
      </x:c>
      <x:c r="S426" s="9" t="n">
        <x:v>0.0753</x:v>
      </x:c>
    </x:row>
    <x:row r="427" ht="71" customHeight="1">
      <x:c r="A427" s="2" t="str">
        <x:v>yellow top</x:v>
      </x:c>
      <x:c r="B427" s="15" t="str">
        <x:v>yellow top, yellow tops, butter yellow, yellow babydoll top, cute yellow top, yellow flowy top, yellow y2k top, yellow too, cute yellow tops for women, cute yellow tops</x:v>
      </x:c>
      <x:c r="C427" s="10" t="n">
        <x:v>111</x:v>
      </x:c>
      <x:c r="D427" s="10" t="n">
        <x:v>129926</x:v>
      </x:c>
      <x:c r="E427" s="9" t="n">
        <x:v>0.0449</x:v>
      </x:c>
      <x:c r="F427" s="10" t="n">
        <x:v>3700715</x:v>
      </x:c>
      <x:c r="G427" s="10" t="n">
        <x:v>30636</x:v>
      </x:c>
      <x:c r="H427" s="9" t="n">
        <x:v>0.0871</x:v>
      </x:c>
      <x:c r="I427" s="9" t="n">
        <x:v>0.2357</x:v>
      </x:c>
      <x:c r="J427" s="9" t="n">
        <x:v>0.0211</x:v>
      </x:c>
      <x:c r="K427" s="9" t="n">
        <x:v>0.0049</x:v>
      </x:c>
      <x:c r="L427" s="10" t="n">
        <x:v>647</x:v>
      </x:c>
      <x:c r="M427" s="10" t="n">
        <x:v>19881</x:v>
      </x:c>
      <x:c r="N427" s="9" t="n">
        <x:v>0.0515</x:v>
      </x:c>
      <x:c r="O427" s="10" t="n">
        <x:v>14826</x:v>
      </x:c>
      <x:c r="P427" s="10" t="n">
        <x:v>1788</x:v>
      </x:c>
      <x:c r="Q427" s="9" t="n">
        <x:v>0.7457</x:v>
      </x:c>
      <x:c r="R427" s="9" t="n">
        <x:v>0.1205</x:v>
      </x:c>
      <x:c r="S427" s="9" t="n">
        <x:v>0.0899</x:v>
      </x:c>
    </x:row>
    <x:row r="428" ht="90" customHeight="1">
      <x:c r="A428" s="2" t="str">
        <x:v>baking powder</x:v>
      </x:c>
      <x:c r="B428" s="15" t="str">
        <x:v>baking powder, organic baking powder, polvo para hornear, baking powder for cooking, polvo de hornear, low sodium baking powder, baking powder organic, gluten free baking powder, double acting baking powder, red mill baking powder</x:v>
      </x:c>
      <x:c r="C428" s="10" t="n">
        <x:v>159</x:v>
      </x:c>
      <x:c r="D428" s="10" t="n">
        <x:v>129634</x:v>
      </x:c>
      <x:c r="E428" s="9" t="n">
        <x:v>0.1917</x:v>
      </x:c>
      <x:c r="F428" s="10" t="n">
        <x:v>3663216</x:v>
      </x:c>
      <x:c r="G428" s="10" t="n">
        <x:v>74716</x:v>
      </x:c>
      <x:c r="H428" s="9" t="n">
        <x:v>0.1973</x:v>
      </x:c>
      <x:c r="I428" s="9" t="n">
        <x:v>0.5763</x:v>
      </x:c>
      <x:c r="J428" s="9" t="n">
        <x:v>0.3607</x:v>
      </x:c>
      <x:c r="K428" s="9" t="n">
        <x:v>0.2079</x:v>
      </x:c>
      <x:c r="L428" s="10" t="n">
        <x:v>26954</x:v>
      </x:c>
      <x:c r="M428" s="10" t="n">
        <x:v>59990</x:v>
      </x:c>
      <x:c r="N428" s="9" t="n">
        <x:v>0.1663</x:v>
      </x:c>
      <x:c r="O428" s="10" t="n">
        <x:v>52511</x:v>
      </x:c>
      <x:c r="P428" s="10" t="n">
        <x:v>26314</x:v>
      </x:c>
      <x:c r="Q428" s="9" t="n">
        <x:v>0.8753</x:v>
      </x:c>
      <x:c r="R428" s="9" t="n">
        <x:v>0.5011</x:v>
      </x:c>
      <x:c r="S428" s="9" t="n">
        <x:v>0.4386</x:v>
      </x:c>
    </x:row>
    <x:row r="429" ht="90" customHeight="1">
      <x:c r="A429" s="2" t="str">
        <x:v>cookie jar</x:v>
      </x:c>
      <x:c r="B429" s="15" t="str">
        <x:v>cookie jar, cookie jars with lids airtight, cookie jars with lids, cute cookie jar, chicken cookie jar, mushroom cookie jar, farmhouse cookie jar, decorative cookie jar, vintage cookie jars 1950s, unique cookie jar</x:v>
      </x:c>
      <x:c r="C429" s="10" t="n">
        <x:v>129</x:v>
      </x:c>
      <x:c r="D429" s="10" t="n">
        <x:v>129291</x:v>
      </x:c>
      <x:c r="E429" s="9" t="n">
        <x:v>0.0603</x:v>
      </x:c>
      <x:c r="F429" s="10" t="n">
        <x:v>3814755</x:v>
      </x:c>
      <x:c r="G429" s="10" t="n">
        <x:v>36000</x:v>
      </x:c>
      <x:c r="H429" s="9" t="n">
        <x:v>0.0893</x:v>
      </x:c>
      <x:c r="I429" s="9" t="n">
        <x:v>0.2784</x:v>
      </x:c>
      <x:c r="J429" s="9" t="n">
        <x:v>0.0423</x:v>
      </x:c>
      <x:c r="K429" s="9" t="n">
        <x:v>0.0117</x:v>
      </x:c>
      <x:c r="L429" s="10" t="n">
        <x:v>1523</x:v>
      </x:c>
      <x:c r="M429" s="10" t="n">
        <x:v>24840</x:v>
      </x:c>
      <x:c r="N429" s="9" t="n">
        <x:v>0.0763</x:v>
      </x:c>
      <x:c r="O429" s="10" t="n">
        <x:v>16239</x:v>
      </x:c>
      <x:c r="P429" s="10" t="n">
        <x:v>1970</x:v>
      </x:c>
      <x:c r="Q429" s="9" t="n">
        <x:v>0.6537</x:v>
      </x:c>
      <x:c r="R429" s="9" t="n">
        <x:v>0.1213</x:v>
      </x:c>
      <x:c r="S429" s="9" t="n">
        <x:v>0.0793</x:v>
      </x:c>
    </x:row>
    <x:row r="430" ht="109" customHeight="1">
      <x:c r="A430" s="2" t="str">
        <x:v>heavy cream powder</x:v>
      </x:c>
      <x:c r="B430" s="15" t="str">
        <x:v>heavy cream powder, heavy cream powder organic, powdered heavy cream, heavy whipping cream powder, powdered cream, natural foods heavy cream powder, cream powder, organic heavy cream powder, heavy cream powder organic grass fed, whipping cream powder</x:v>
      </x:c>
      <x:c r="C430" s="10" t="n">
        <x:v>133</x:v>
      </x:c>
      <x:c r="D430" s="10" t="n">
        <x:v>129158</x:v>
      </x:c>
      <x:c r="E430" s="9" t="n">
        <x:v>1.3326</x:v>
      </x:c>
      <x:c r="F430" s="10" t="n">
        <x:v>2740674</x:v>
      </x:c>
      <x:c r="G430" s="10" t="n">
        <x:v>70469</x:v>
      </x:c>
      <x:c r="H430" s="9" t="n">
        <x:v>1.2863</x:v>
      </x:c>
      <x:c r="I430" s="9" t="n">
        <x:v>0.5456</x:v>
      </x:c>
      <x:c r="J430" s="9" t="n">
        <x:v>0.083</x:v>
      </x:c>
      <x:c r="K430" s="9" t="n">
        <x:v>0.0453</x:v>
      </x:c>
      <x:c r="L430" s="10" t="n">
        <x:v>5853</x:v>
      </x:c>
      <x:c r="M430" s="10" t="n">
        <x:v>32561</x:v>
      </x:c>
      <x:c r="N430" s="9" t="n">
        <x:v>1.3014</x:v>
      </x:c>
      <x:c r="O430" s="10" t="n">
        <x:v>25877</x:v>
      </x:c>
      <x:c r="P430" s="10" t="n">
        <x:v>5154</x:v>
      </x:c>
      <x:c r="Q430" s="9" t="n">
        <x:v>0.7947</x:v>
      </x:c>
      <x:c r="R430" s="9" t="n">
        <x:v>0.1991</x:v>
      </x:c>
      <x:c r="S430" s="9" t="n">
        <x:v>0.1582</x:v>
      </x:c>
    </x:row>
    <x:row r="431" ht="90" customHeight="1">
      <x:c r="A431" s="2" t="str">
        <x:v>pineapple juice</x:v>
      </x:c>
      <x:c r="B431" s="15" t="str">
        <x:v>pineapple juice, pineapple juice cans, jugo de piña, pineapple juice no sugar added, light pineapple juice, pineapple juice can, canned pineapple juice, canned apple juice, zero sugar pineapple juice, orange pineapple</x:v>
      </x:c>
      <x:c r="C431" s="10" t="n">
        <x:v>93</x:v>
      </x:c>
      <x:c r="D431" s="10" t="n">
        <x:v>128853</x:v>
      </x:c>
      <x:c r="E431" s="9" t="n">
        <x:v>0.0666</x:v>
      </x:c>
      <x:c r="F431" s="10" t="n">
        <x:v>3388338</x:v>
      </x:c>
      <x:c r="G431" s="10" t="n">
        <x:v>50960</x:v>
      </x:c>
      <x:c r="H431" s="9" t="n">
        <x:v>0.0477</x:v>
      </x:c>
      <x:c r="I431" s="9" t="n">
        <x:v>0.3954</x:v>
      </x:c>
      <x:c r="J431" s="9" t="n">
        <x:v>0.2943</x:v>
      </x:c>
      <x:c r="K431" s="9" t="n">
        <x:v>0.1163</x:v>
      </x:c>
      <x:c r="L431" s="10" t="n">
        <x:v>14998</x:v>
      </x:c>
      <x:c r="M431" s="10" t="n">
        <x:v>43151</x:v>
      </x:c>
      <x:c r="N431" s="9" t="n">
        <x:v>0.0273</x:v>
      </x:c>
      <x:c r="O431" s="10" t="n">
        <x:v>34862</x:v>
      </x:c>
      <x:c r="P431" s="10" t="n">
        <x:v>15141</x:v>
      </x:c>
      <x:c r="Q431" s="9" t="n">
        <x:v>0.8079</x:v>
      </x:c>
      <x:c r="R431" s="9" t="n">
        <x:v>0.4343</x:v>
      </x:c>
      <x:c r="S431" s="9" t="n">
        <x:v>0.3508</x:v>
      </x:c>
    </x:row>
    <x:row r="432" ht="71" customHeight="1">
      <x:c r="A432" s="2" t="str">
        <x:v>cheesecake</x:v>
      </x:c>
      <x:c r="B432" s="15" t="str">
        <x:v>cheesecake, cheese cake, strawberry cheesecake, cheesecakes, sugar free cheesecake, gluten free cheesecake, keto cheesecake, cheese cake slice, oreo cheesecake, frozen cheesecake</x:v>
      </x:c>
      <x:c r="C432" s="10" t="n">
        <x:v>149</x:v>
      </x:c>
      <x:c r="D432" s="10" t="n">
        <x:v>128702</x:v>
      </x:c>
      <x:c r="E432" s="9" t="n">
        <x:v>0.1309</x:v>
      </x:c>
      <x:c r="F432" s="10" t="n">
        <x:v>2720509</x:v>
      </x:c>
      <x:c r="G432" s="10" t="n">
        <x:v>39586</x:v>
      </x:c>
      <x:c r="H432" s="9" t="n">
        <x:v>0.0388</x:v>
      </x:c>
      <x:c r="I432" s="9" t="n">
        <x:v>0.3075</x:v>
      </x:c>
      <x:c r="J432" s="9" t="n">
        <x:v>0.2084</x:v>
      </x:c>
      <x:c r="K432" s="9" t="n">
        <x:v>0.0641</x:v>
      </x:c>
      <x:c r="L432" s="10" t="n">
        <x:v>8250</x:v>
      </x:c>
      <x:c r="M432" s="10" t="n">
        <x:v>30962</x:v>
      </x:c>
      <x:c r="N432" s="9" t="n">
        <x:v>0.0841</x:v>
      </x:c>
      <x:c r="O432" s="10" t="n">
        <x:v>22346</x:v>
      </x:c>
      <x:c r="P432" s="10" t="n">
        <x:v>7472</x:v>
      </x:c>
      <x:c r="Q432" s="9" t="n">
        <x:v>0.7217</x:v>
      </x:c>
      <x:c r="R432" s="9" t="n">
        <x:v>0.3343</x:v>
      </x:c>
      <x:c r="S432" s="9" t="n">
        <x:v>0.2413</x:v>
      </x:c>
    </x:row>
    <x:row r="433" ht="109" customHeight="1">
      <x:c r="A433" s="2" t="str">
        <x:v>fortnite costumes</x:v>
      </x:c>
      <x:c r="B433" s="15" t="str">
        <x:v>fortnite costumes, fortnite costumes for kids, fortnite costume, fortnite halloween costumes, fortnite halloween costumes boys, fortnite costumes for boys, fortnite halloween costume, fortnite costume kids, kids fortnite costume, fortnite kids costume</x:v>
      </x:c>
      <x:c r="C433" s="10" t="n">
        <x:v>115</x:v>
      </x:c>
      <x:c r="D433" s="10" t="n">
        <x:v>128685</x:v>
      </x:c>
      <x:c r="E433" s="9" t="n">
        <x:v>1.9122</x:v>
      </x:c>
      <x:c r="F433" s="10" t="n">
        <x:v>1203144</x:v>
      </x:c>
      <x:c r="G433" s="10" t="n">
        <x:v>40093</x:v>
      </x:c>
      <x:c r="H433" s="9" t="n">
        <x:v>1.9707</x:v>
      </x:c>
      <x:c r="I433" s="9" t="n">
        <x:v>0.3115</x:v>
      </x:c>
      <x:c r="J433" s="9" t="n">
        <x:v>0.0055</x:v>
      </x:c>
      <x:c r="K433" s="9" t="n">
        <x:v>0.0017</x:v>
      </x:c>
      <x:c r="L433" s="10" t="n">
        <x:v>222</x:v>
      </x:c>
      <x:c r="M433" s="10" t="n">
        <x:v>8128</x:v>
      </x:c>
      <x:c r="N433" s="9" t="n">
        <x:v>1.959</x:v>
      </x:c>
      <x:c r="O433" s="10" t="n">
        <x:v>5632</x:v>
      </x:c>
      <x:c r="P433" s="10" t="n">
        <x:v>160</x:v>
      </x:c>
      <x:c r="Q433" s="9" t="n">
        <x:v>0.6929</x:v>
      </x:c>
      <x:c r="R433" s="9" t="n">
        <x:v>0.0284</x:v>
      </x:c>
      <x:c r="S433" s="9" t="n">
        <x:v>0.0196</x:v>
      </x:c>
    </x:row>
    <x:row r="434" ht="90" customHeight="1">
      <x:c r="A434" s="2" t="str">
        <x:v>bible study supplies</x:v>
      </x:c>
      <x:c r="B434" s="15" t="str">
        <x:v>bible study supplies, bible markers, bible kit, marcadores para biblia, loaded bible kit, bible essentials, bible annotation kit, esther bible journaling kit, bible set, bible journal kit</x:v>
      </x:c>
      <x:c r="C434" s="10" t="n">
        <x:v>157</x:v>
      </x:c>
      <x:c r="D434" s="10" t="n">
        <x:v>128668</x:v>
      </x:c>
      <x:c r="E434" s="9" t="n">
        <x:v>0.0976</x:v>
      </x:c>
      <x:c r="F434" s="10" t="n">
        <x:v>3729110</x:v>
      </x:c>
      <x:c r="G434" s="10" t="n">
        <x:v>55687</x:v>
      </x:c>
      <x:c r="H434" s="9" t="n">
        <x:v>0.1202</x:v>
      </x:c>
      <x:c r="I434" s="9" t="n">
        <x:v>0.4327</x:v>
      </x:c>
      <x:c r="J434" s="9" t="n">
        <x:v>0.0472</x:v>
      </x:c>
      <x:c r="K434" s="9" t="n">
        <x:v>0.0204</x:v>
      </x:c>
      <x:c r="L434" s="10" t="n">
        <x:v>2631</x:v>
      </x:c>
      <x:c r="M434" s="10" t="n">
        <x:v>22554</x:v>
      </x:c>
      <x:c r="N434" s="9" t="n">
        <x:v>0.067</x:v>
      </x:c>
      <x:c r="O434" s="10" t="n">
        <x:v>19308</x:v>
      </x:c>
      <x:c r="P434" s="10" t="n">
        <x:v>3010</x:v>
      </x:c>
      <x:c r="Q434" s="9" t="n">
        <x:v>0.856</x:v>
      </x:c>
      <x:c r="R434" s="9" t="n">
        <x:v>0.1558</x:v>
      </x:c>
      <x:c r="S434" s="9" t="n">
        <x:v>0.1334</x:v>
      </x:c>
    </x:row>
    <x:row r="435" ht="71" customHeight="1">
      <x:c r="A435" s="2" t="str">
        <x:v>coin purse</x:v>
      </x:c>
      <x:c r="B435" s="15" t="str">
        <x:v>coin purse, coin bag, coin wallet, coin purses, wildcard pouch, squeeze coin pouch, coin holder for purse, magnetic coin pouch, coin pouch for car, porta monedas</x:v>
      </x:c>
      <x:c r="C435" s="10" t="n">
        <x:v>81</x:v>
      </x:c>
      <x:c r="D435" s="10" t="n">
        <x:v>128449</x:v>
      </x:c>
      <x:c r="E435" s="9" t="str">
        <x:v>'-0.0006</x:v>
      </x:c>
      <x:c r="F435" s="10" t="n">
        <x:v>4420618</x:v>
      </x:c>
      <x:c r="G435" s="10" t="n">
        <x:v>52712</x:v>
      </x:c>
      <x:c r="H435" s="9" t="n">
        <x:v>0.0052</x:v>
      </x:c>
      <x:c r="I435" s="9" t="n">
        <x:v>0.4103</x:v>
      </x:c>
      <x:c r="J435" s="9" t="n">
        <x:v>0.0384</x:v>
      </x:c>
      <x:c r="K435" s="9" t="n">
        <x:v>0.0157</x:v>
      </x:c>
      <x:c r="L435" s="10" t="n">
        <x:v>2025</x:v>
      </x:c>
      <x:c r="M435" s="10" t="n">
        <x:v>25247</x:v>
      </x:c>
      <x:c r="N435" s="9" t="n">
        <x:v>0.0142</x:v>
      </x:c>
      <x:c r="O435" s="10" t="n">
        <x:v>20263</x:v>
      </x:c>
      <x:c r="P435" s="10" t="n">
        <x:v>4019</x:v>
      </x:c>
      <x:c r="Q435" s="9" t="n">
        <x:v>0.8025</x:v>
      </x:c>
      <x:c r="R435" s="9" t="n">
        <x:v>0.1983</x:v>
      </x:c>
      <x:c r="S435" s="9" t="n">
        <x:v>0.1591</x:v>
      </x:c>
    </x:row>
    <x:row r="436" ht="90" customHeight="1">
      <x:c r="A436" s="2" t="str">
        <x:v>birthday cake</x:v>
      </x:c>
      <x:c r="B436" s="15" t="str">
        <x:v>birthday cake, birthday cakes delivered fresh, birthday cakes, cake birthday, birthday cakes for delivery, bizcocho de cumpleaños, birthday party cake, cake delivery, birthday cakes delivered, bakery cakes delivered</x:v>
      </x:c>
      <x:c r="C436" s="10" t="n">
        <x:v>68</x:v>
      </x:c>
      <x:c r="D436" s="10" t="n">
        <x:v>128243</x:v>
      </x:c>
      <x:c r="E436" s="9" t="n">
        <x:v>0.2213</x:v>
      </x:c>
      <x:c r="F436" s="10" t="n">
        <x:v>2539195</x:v>
      </x:c>
      <x:c r="G436" s="10" t="n">
        <x:v>26840</x:v>
      </x:c>
      <x:c r="H436" s="9" t="n">
        <x:v>0.0858</x:v>
      </x:c>
      <x:c r="I436" s="9" t="n">
        <x:v>0.2092</x:v>
      </x:c>
      <x:c r="J436" s="9" t="n">
        <x:v>0.1217</x:v>
      </x:c>
      <x:c r="K436" s="9" t="n">
        <x:v>0.0254</x:v>
      </x:c>
      <x:c r="L436" s="10" t="n">
        <x:v>3267</x:v>
      </x:c>
      <x:c r="M436" s="10" t="n">
        <x:v>21042</x:v>
      </x:c>
      <x:c r="N436" s="9" t="n">
        <x:v>0.1796</x:v>
      </x:c>
      <x:c r="O436" s="10" t="n">
        <x:v>13237</x:v>
      </x:c>
      <x:c r="P436" s="10" t="n">
        <x:v>3253</x:v>
      </x:c>
      <x:c r="Q436" s="9" t="n">
        <x:v>0.629</x:v>
      </x:c>
      <x:c r="R436" s="9" t="n">
        <x:v>0.2457</x:v>
      </x:c>
      <x:c r="S436" s="9" t="n">
        <x:v>0.1545</x:v>
      </x:c>
    </x:row>
    <x:row r="437" ht="90" customHeight="1">
      <x:c r="A437" s="2" t="str">
        <x:v>beige dress for women</x:v>
      </x:c>
      <x:c r="B437" s="15" t="str">
        <x:v>beige dress for women, vestido beige para mujer, beige midi dress women, womens beige dress, beige maxi dress women, vestidos beige para mujer, beige dresses for women, beige dress women, beige summer dress for women, women beige dress</x:v>
      </x:c>
      <x:c r="C437" s="10" t="n">
        <x:v>119</x:v>
      </x:c>
      <x:c r="D437" s="10" t="n">
        <x:v>128013</x:v>
      </x:c>
      <x:c r="E437" s="9" t="n">
        <x:v>0.0796</x:v>
      </x:c>
      <x:c r="F437" s="10" t="n">
        <x:v>3745630</x:v>
      </x:c>
      <x:c r="G437" s="10" t="n">
        <x:v>33256</x:v>
      </x:c>
      <x:c r="H437" s="9" t="n">
        <x:v>0.1013</x:v>
      </x:c>
      <x:c r="I437" s="9" t="n">
        <x:v>0.2597</x:v>
      </x:c>
      <x:c r="J437" s="9" t="n">
        <x:v>0.012</x:v>
      </x:c>
      <x:c r="K437" s="9" t="n">
        <x:v>0.0031</x:v>
      </x:c>
      <x:c r="L437" s="10" t="n">
        <x:v>402</x:v>
      </x:c>
      <x:c r="M437" s="10" t="n">
        <x:v>16087</x:v>
      </x:c>
      <x:c r="N437" s="9" t="n">
        <x:v>0.0649</x:v>
      </x:c>
      <x:c r="O437" s="10" t="n">
        <x:v>13355</x:v>
      </x:c>
      <x:c r="P437" s="10" t="n">
        <x:v>1402</x:v>
      </x:c>
      <x:c r="Q437" s="9" t="n">
        <x:v>0.8301</x:v>
      </x:c>
      <x:c r="R437" s="9" t="n">
        <x:v>0.1049</x:v>
      </x:c>
      <x:c r="S437" s="9" t="n">
        <x:v>0.0871</x:v>
      </x:c>
    </x:row>
    <x:row r="438" ht="90" customHeight="1">
      <x:c r="A438" s="2" t="str">
        <x:v>essentials hoodie</x:v>
      </x:c>
      <x:c r="B438" s="15" t="str">
        <x:v>essentials hoodie, essential hoodie, essential hoodies, hoodie essentials, essentials hoodies, hoodies essentials, essentials+hoodie, essentials pullover hoodie, essentials hoodie original, essentials zip up hoodie</x:v>
      </x:c>
      <x:c r="C438" s="10" t="n">
        <x:v>41</x:v>
      </x:c>
      <x:c r="D438" s="10" t="n">
        <x:v>127969</x:v>
      </x:c>
      <x:c r="E438" s="9" t="str">
        <x:v>'-0.2252</x:v>
      </x:c>
      <x:c r="F438" s="10" t="n">
        <x:v>2845933</x:v>
      </x:c>
      <x:c r="G438" s="10" t="n">
        <x:v>51798</x:v>
      </x:c>
      <x:c r="H438" s="9" t="str">
        <x:v>'-0.2608</x:v>
      </x:c>
      <x:c r="I438" s="9" t="n">
        <x:v>0.4047</x:v>
      </x:c>
      <x:c r="J438" s="9" t="n">
        <x:v>0.0049</x:v>
      </x:c>
      <x:c r="K438" s="9" t="n">
        <x:v>0.002</x:v>
      </x:c>
      <x:c r="L438" s="10" t="n">
        <x:v>257</x:v>
      </x:c>
      <x:c r="M438" s="10" t="n">
        <x:v>23853</x:v>
      </x:c>
      <x:c r="N438" s="9" t="str">
        <x:v>'-0.147</x:v>
      </x:c>
      <x:c r="O438" s="10" t="n">
        <x:v>17647</x:v>
      </x:c>
      <x:c r="P438" s="10" t="n">
        <x:v>1031</x:v>
      </x:c>
      <x:c r="Q438" s="9" t="n">
        <x:v>0.7398</x:v>
      </x:c>
      <x:c r="R438" s="9" t="n">
        <x:v>0.0584</x:v>
      </x:c>
      <x:c r="S438" s="9" t="n">
        <x:v>0.0432</x:v>
      </x:c>
    </x:row>
    <x:row r="439" ht="71" customHeight="1">
      <x:c r="A439" s="2" t="str">
        <x:v>spices</x:v>
      </x:c>
      <x:c r="B439" s="15" t="str">
        <x:v>spices, spice, spices under 1 dollar, especias, full spice set, spiced, just spices, basic spices, just spices seasoning, spices clearance</x:v>
      </x:c>
      <x:c r="C439" s="10" t="n">
        <x:v>59</x:v>
      </x:c>
      <x:c r="D439" s="10" t="n">
        <x:v>127910</x:v>
      </x:c>
      <x:c r="E439" s="9" t="n">
        <x:v>0.181</x:v>
      </x:c>
      <x:c r="F439" s="10" t="n">
        <x:v>2949196</x:v>
      </x:c>
      <x:c r="G439" s="10" t="n">
        <x:v>41526</x:v>
      </x:c>
      <x:c r="H439" s="9" t="n">
        <x:v>0.1516</x:v>
      </x:c>
      <x:c r="I439" s="9" t="n">
        <x:v>0.3246</x:v>
      </x:c>
      <x:c r="J439" s="9" t="n">
        <x:v>0.2085</x:v>
      </x:c>
      <x:c r="K439" s="9" t="n">
        <x:v>0.0676</x:v>
      </x:c>
      <x:c r="L439" s="10" t="n">
        <x:v>8659</x:v>
      </x:c>
      <x:c r="M439" s="10" t="n">
        <x:v>22081</x:v>
      </x:c>
      <x:c r="N439" s="9" t="n">
        <x:v>0.2282</x:v>
      </x:c>
      <x:c r="O439" s="10" t="n">
        <x:v>15200</x:v>
      </x:c>
      <x:c r="P439" s="10" t="n">
        <x:v>3935</x:v>
      </x:c>
      <x:c r="Q439" s="9" t="n">
        <x:v>0.6883</x:v>
      </x:c>
      <x:c r="R439" s="9" t="n">
        <x:v>0.2588</x:v>
      </x:c>
      <x:c r="S439" s="9" t="n">
        <x:v>0.1782</x:v>
      </x:c>
    </x:row>
    <x:row r="440" ht="128" customHeight="1">
      <x:c r="A440" s="2" t="str">
        <x:v>freddy krueger costume</x:v>
      </x:c>
      <x:c r="B440" s="15" t="str">
        <x:v>freddy krueger costume, freddy krueger costume women, freddy krueger costume kids, womens freddy krueger costume, kids freddy krueger costume, sexy freddy krueger costume for women, freddy krueger costume girls, female freddy krueger costume, freddy krueger costume men, freddy krueger costume for kids</x:v>
      </x:c>
      <x:c r="C440" s="10" t="n">
        <x:v>99</x:v>
      </x:c>
      <x:c r="D440" s="10" t="n">
        <x:v>127894</x:v>
      </x:c>
      <x:c r="E440" s="9" t="n">
        <x:v>2.079</x:v>
      </x:c>
      <x:c r="F440" s="10" t="n">
        <x:v>1110274</x:v>
      </x:c>
      <x:c r="G440" s="10" t="n">
        <x:v>43471</x:v>
      </x:c>
      <x:c r="H440" s="9" t="n">
        <x:v>2.0204</x:v>
      </x:c>
      <x:c r="I440" s="9" t="n">
        <x:v>0.3398</x:v>
      </x:c>
      <x:c r="J440" s="9" t="n">
        <x:v>0.0073</x:v>
      </x:c>
      <x:c r="K440" s="9" t="n">
        <x:v>0.0024</x:v>
      </x:c>
      <x:c r="L440" s="10" t="n">
        <x:v>319</x:v>
      </x:c>
      <x:c r="M440" s="10" t="n">
        <x:v>9326</x:v>
      </x:c>
      <x:c r="N440" s="9" t="n">
        <x:v>2.0426</x:v>
      </x:c>
      <x:c r="O440" s="10" t="n">
        <x:v>6832</x:v>
      </x:c>
      <x:c r="P440" s="10" t="n">
        <x:v>185</x:v>
      </x:c>
      <x:c r="Q440" s="9" t="n">
        <x:v>0.7325</x:v>
      </x:c>
      <x:c r="R440" s="9" t="n">
        <x:v>0.027</x:v>
      </x:c>
      <x:c r="S440" s="9" t="n">
        <x:v>0.0198</x:v>
      </x:c>
    </x:row>
    <x:row r="441" ht="90" customHeight="1">
      <x:c r="A441" s="2" t="str">
        <x:v>football helmet</x:v>
      </x:c>
      <x:c r="B441" s="15" t="str">
        <x:v>football helmet, football helmets, youth football helmet, youth football helmets, adult football helmets, helmet football, football helmet youth, football helmets youth, nfl helmet, football helmet adult</x:v>
      </x:c>
      <x:c r="C441" s="10" t="n">
        <x:v>137</x:v>
      </x:c>
      <x:c r="D441" s="10" t="n">
        <x:v>127826</x:v>
      </x:c>
      <x:c r="E441" s="9" t="n">
        <x:v>0.2386</x:v>
      </x:c>
      <x:c r="F441" s="10" t="n">
        <x:v>1926245</x:v>
      </x:c>
      <x:c r="G441" s="10" t="n">
        <x:v>32164</x:v>
      </x:c>
      <x:c r="H441" s="9" t="n">
        <x:v>0.0365</x:v>
      </x:c>
      <x:c r="I441" s="9" t="n">
        <x:v>0.2516</x:v>
      </x:c>
      <x:c r="J441" s="9" t="n">
        <x:v>0.0052</x:v>
      </x:c>
      <x:c r="K441" s="9" t="n">
        <x:v>0.0013</x:v>
      </x:c>
      <x:c r="L441" s="10" t="n">
        <x:v>168</x:v>
      </x:c>
      <x:c r="M441" s="10" t="n">
        <x:v>18402</x:v>
      </x:c>
      <x:c r="N441" s="9" t="n">
        <x:v>0.4639</x:v>
      </x:c>
      <x:c r="O441" s="10" t="n">
        <x:v>10939</x:v>
      </x:c>
      <x:c r="P441" s="10" t="n">
        <x:v>528</x:v>
      </x:c>
      <x:c r="Q441" s="9" t="n">
        <x:v>0.5944</x:v>
      </x:c>
      <x:c r="R441" s="9" t="n">
        <x:v>0.0482</x:v>
      </x:c>
      <x:c r="S441" s="9" t="n">
        <x:v>0.0286</x:v>
      </x:c>
    </x:row>
    <x:row r="442" ht="90" customHeight="1">
      <x:c r="A442" s="2" t="str">
        <x:v>azo</x:v>
      </x:c>
      <x:c r="B442" s="15" t="str">
        <x:v>azo, azo maximum strength urinary pain relief, azo urinary pain relief, azo uti, azo urinary tract defense, phenazopyridine urinary pain relief, azo uti relief, azo pain relief, azo bladder pain relief, azo uti treatment</x:v>
      </x:c>
      <x:c r="C442" s="10" t="n">
        <x:v>130</x:v>
      </x:c>
      <x:c r="D442" s="10" t="n">
        <x:v>127781</x:v>
      </x:c>
      <x:c r="E442" s="9" t="n">
        <x:v>0.0565</x:v>
      </x:c>
      <x:c r="F442" s="10" t="n">
        <x:v>4420664</x:v>
      </x:c>
      <x:c r="G442" s="10" t="n">
        <x:v>70435</x:v>
      </x:c>
      <x:c r="H442" s="9" t="n">
        <x:v>0.062</x:v>
      </x:c>
      <x:c r="I442" s="9" t="n">
        <x:v>0.5512</x:v>
      </x:c>
      <x:c r="J442" s="9" t="n">
        <x:v>0.353</x:v>
      </x:c>
      <x:c r="K442" s="9" t="n">
        <x:v>0.1946</x:v>
      </x:c>
      <x:c r="L442" s="10" t="n">
        <x:v>24867</x:v>
      </x:c>
      <x:c r="M442" s="10" t="n">
        <x:v>62106</x:v>
      </x:c>
      <x:c r="N442" s="9" t="n">
        <x:v>0.0461</x:v>
      </x:c>
      <x:c r="O442" s="10" t="n">
        <x:v>52556</x:v>
      </x:c>
      <x:c r="P442" s="10" t="n">
        <x:v>26828</x:v>
      </x:c>
      <x:c r="Q442" s="9" t="n">
        <x:v>0.8462</x:v>
      </x:c>
      <x:c r="R442" s="9" t="n">
        <x:v>0.5104</x:v>
      </x:c>
      <x:c r="S442" s="9" t="n">
        <x:v>0.4319</x:v>
      </x:c>
    </x:row>
    <x:row r="443" ht="90" customHeight="1">
      <x:c r="A443" s="2" t="str">
        <x:v>notre dame apparel</x:v>
      </x:c>
      <x:c r="B443" s="15" t="str">
        <x:v>notre dame apparel, notre dame shirt, notre dame t shirt, south carolina gamecocks shirt, notre dame football shirt, womens notre dame apparel, notre dame t-shirts, notre dame tshirt, notre dame shirts for men, notre dame womens shirt</x:v>
      </x:c>
      <x:c r="C443" s="10" t="n">
        <x:v>118</x:v>
      </x:c>
      <x:c r="D443" s="10" t="n">
        <x:v>127600</x:v>
      </x:c>
      <x:c r="E443" s="9" t="n">
        <x:v>2.244</x:v>
      </x:c>
      <x:c r="F443" s="10" t="n">
        <x:v>1704230</x:v>
      </x:c>
      <x:c r="G443" s="10" t="n">
        <x:v>33794</x:v>
      </x:c>
      <x:c r="H443" s="9" t="n">
        <x:v>2.4128</x:v>
      </x:c>
      <x:c r="I443" s="9" t="n">
        <x:v>0.2648</x:v>
      </x:c>
      <x:c r="J443" s="9" t="n">
        <x:v>0.0557</x:v>
      </x:c>
      <x:c r="K443" s="9" t="n">
        <x:v>0.0147</x:v>
      </x:c>
      <x:c r="L443" s="10" t="n">
        <x:v>1884</x:v>
      </x:c>
      <x:c r="M443" s="10" t="n">
        <x:v>10326</x:v>
      </x:c>
      <x:c r="N443" s="9" t="n">
        <x:v>2.0984</x:v>
      </x:c>
      <x:c r="O443" s="10" t="n">
        <x:v>6215</x:v>
      </x:c>
      <x:c r="P443" s="10" t="n">
        <x:v>948</x:v>
      </x:c>
      <x:c r="Q443" s="9" t="n">
        <x:v>0.6018</x:v>
      </x:c>
      <x:c r="R443" s="9" t="n">
        <x:v>0.1525</x:v>
      </x:c>
      <x:c r="S443" s="9" t="n">
        <x:v>0.0918</x:v>
      </x:c>
    </x:row>
    <x:row r="444" ht="109" customHeight="1">
      <x:c r="A444" s="2" t="str">
        <x:v>headlights assembly</x:v>
      </x:c>
      <x:c r="B444" s="15" t="str">
        <x:v>headlights assembly, headlight assembly, head lights for truck, truck headlights, replacement headlight assembly, front headlights assembly set, cateye headlights, cat eye headlights, automotive lighting assemblies, 2003 chevy silverado 1500 headlights</x:v>
      </x:c>
      <x:c r="C444" s="10" t="n">
        <x:v>37</x:v>
      </x:c>
      <x:c r="D444" s="10" t="n">
        <x:v>127358</x:v>
      </x:c>
      <x:c r="E444" s="9" t="str">
        <x:v>'-0.0859</x:v>
      </x:c>
      <x:c r="F444" s="10" t="n">
        <x:v>2989929</x:v>
      </x:c>
      <x:c r="G444" s="10" t="n">
        <x:v>34827</x:v>
      </x:c>
      <x:c r="H444" s="9" t="str">
        <x:v>'-0.0642</x:v>
      </x:c>
      <x:c r="I444" s="9" t="n">
        <x:v>0.2734</x:v>
      </x:c>
      <x:c r="J444" s="9" t="n">
        <x:v>0.0339</x:v>
      </x:c>
      <x:c r="K444" s="9" t="n">
        <x:v>0.0092</x:v>
      </x:c>
      <x:c r="L444" s="10" t="n">
        <x:v>1183</x:v>
      </x:c>
      <x:c r="M444" s="10" t="n">
        <x:v>19587</x:v>
      </x:c>
      <x:c r="N444" s="9" t="str">
        <x:v>'-0.1057</x:v>
      </x:c>
      <x:c r="O444" s="10" t="n">
        <x:v>14730</x:v>
      </x:c>
      <x:c r="P444" s="10" t="n">
        <x:v>1455</x:v>
      </x:c>
      <x:c r="Q444" s="9" t="n">
        <x:v>0.752</x:v>
      </x:c>
      <x:c r="R444" s="9" t="n">
        <x:v>0.0987</x:v>
      </x:c>
      <x:c r="S444" s="9" t="n">
        <x:v>0.0742</x:v>
      </x:c>
    </x:row>
    <x:row r="445" ht="71" customHeight="1">
      <x:c r="A445" s="2" t="str">
        <x:v>korean drama</x:v>
      </x:c>
      <x:c r="B445" s="15" t="str">
        <x:v>korean drama, korean romance, asian drama, korean dramas, korean drama shows, korean drama romance, korean drama prime free, korean comedy, hand ma, korean romance drama</x:v>
      </x:c>
      <x:c r="C445" s="10" t="n">
        <x:v>21</x:v>
      </x:c>
      <x:c r="D445" s="10" t="n">
        <x:v>126993</x:v>
      </x:c>
      <x:c r="E445" s="9" t="n">
        <x:v>0.141</x:v>
      </x:c>
      <x:c r="F445" s="10" t="n">
        <x:v>774350</x:v>
      </x:c>
      <x:c r="G445" s="10" t="n">
        <x:v>1038</x:v>
      </x:c>
      <x:c r="H445" s="9" t="n">
        <x:v>0.6068</x:v>
      </x:c>
      <x:c r="I445" s="9" t="n">
        <x:v>0.0081</x:v>
      </x:c>
      <x:c r="J445" s="9" t="n">
        <x:v>0.0086</x:v>
      </x:c>
      <x:c r="K445" s="9" t="n">
        <x:v>0</x:v>
      </x:c>
      <x:c r="L445" s="10" t="n">
        <x:v>9</x:v>
      </x:c>
      <x:c r="M445" s="10" t="n">
        <x:v>17481</x:v>
      </x:c>
      <x:c r="N445" s="9" t="n">
        <x:v>0.124</x:v>
      </x:c>
      <x:c r="O445" s="10" t="n">
        <x:v>7114</x:v>
      </x:c>
      <x:c r="P445" s="10" t="n">
        <x:v>6</x:v>
      </x:c>
      <x:c r="Q445" s="9" t="n">
        <x:v>0.4069</x:v>
      </x:c>
      <x:c r="R445" s="9" t="n">
        <x:v>0.0008</x:v>
      </x:c>
      <x:c r="S445" s="9" t="n">
        <x:v>0.0003</x:v>
      </x:c>
    </x:row>
    <x:row r="446" ht="109" customHeight="1">
      <x:c r="A446" s="2" t="str">
        <x:v>counter height stools</x:v>
      </x:c>
      <x:c r="B446" s="15" t="str">
        <x:v>counter height stools, counter height chairs, counter height stool, counter height stools set of 3, counter height bar stool, set of 3 counter height stools, counter height stools with back, counter height chairs set of 3, backless counter height stools, low back counter height stools</x:v>
      </x:c>
      <x:c r="C446" s="10" t="n">
        <x:v>187</x:v>
      </x:c>
      <x:c r="D446" s="10" t="n">
        <x:v>126904</x:v>
      </x:c>
      <x:c r="E446" s="9" t="str">
        <x:v>'-0.0201</x:v>
      </x:c>
      <x:c r="F446" s="10" t="n">
        <x:v>3979782</x:v>
      </x:c>
      <x:c r="G446" s="10" t="n">
        <x:v>46888</x:v>
      </x:c>
      <x:c r="H446" s="9" t="str">
        <x:v>'-0.0169</x:v>
      </x:c>
      <x:c r="I446" s="9" t="n">
        <x:v>0.3694</x:v>
      </x:c>
      <x:c r="J446" s="9" t="n">
        <x:v>0.0066</x:v>
      </x:c>
      <x:c r="K446" s="9" t="n">
        <x:v>0.0024</x:v>
      </x:c>
      <x:c r="L446" s="10" t="n">
        <x:v>314</x:v>
      </x:c>
      <x:c r="M446" s="10" t="n">
        <x:v>22421</x:v>
      </x:c>
      <x:c r="N446" s="9" t="str">
        <x:v>'-0.0344</x:v>
      </x:c>
      <x:c r="O446" s="10" t="n">
        <x:v>16948</x:v>
      </x:c>
      <x:c r="P446" s="10" t="n">
        <x:v>744</x:v>
      </x:c>
      <x:c r="Q446" s="9" t="n">
        <x:v>0.7558</x:v>
      </x:c>
      <x:c r="R446" s="9" t="n">
        <x:v>0.0438</x:v>
      </x:c>
      <x:c r="S446" s="9" t="n">
        <x:v>0.0331</x:v>
      </x:c>
    </x:row>
    <x:row r="447" ht="90" customHeight="1">
      <x:c r="A447" s="2" t="str">
        <x:v>white romper</x:v>
      </x:c>
      <x:c r="B447" s="15" t="str">
        <x:v>white romper, white romper women, womens white romper, white rompers, white romper shorts, all white romper, white short romper, white shorts romper, white flowy romper, white dressy romper</x:v>
      </x:c>
      <x:c r="C447" s="10" t="n">
        <x:v>174</x:v>
      </x:c>
      <x:c r="D447" s="10" t="n">
        <x:v>126809</x:v>
      </x:c>
      <x:c r="E447" s="9" t="str">
        <x:v>'-0.0752</x:v>
      </x:c>
      <x:c r="F447" s="10" t="n">
        <x:v>4666541</x:v>
      </x:c>
      <x:c r="G447" s="10" t="n">
        <x:v>43409</x:v>
      </x:c>
      <x:c r="H447" s="9" t="str">
        <x:v>'-0.0992</x:v>
      </x:c>
      <x:c r="I447" s="9" t="n">
        <x:v>0.3423</x:v>
      </x:c>
      <x:c r="J447" s="9" t="n">
        <x:v>0.0118</x:v>
      </x:c>
      <x:c r="K447" s="9" t="n">
        <x:v>0.004</x:v>
      </x:c>
      <x:c r="L447" s="10" t="n">
        <x:v>516</x:v>
      </x:c>
      <x:c r="M447" s="10" t="n">
        <x:v>20628</x:v>
      </x:c>
      <x:c r="N447" s="9" t="str">
        <x:v>'-0.0447</x:v>
      </x:c>
      <x:c r="O447" s="10" t="n">
        <x:v>17064</x:v>
      </x:c>
      <x:c r="P447" s="10" t="n">
        <x:v>1779</x:v>
      </x:c>
      <x:c r="Q447" s="9" t="n">
        <x:v>0.8272</x:v>
      </x:c>
      <x:c r="R447" s="9" t="n">
        <x:v>0.1042</x:v>
      </x:c>
      <x:c r="S447" s="9" t="n">
        <x:v>0.0862</x:v>
      </x:c>
    </x:row>
    <x:row r="448" ht="109" customHeight="1">
      <x:c r="A448" s="2" t="str">
        <x:v>halloween dresses for women</x:v>
      </x:c>
      <x:c r="B448" s="15" t="str">
        <x:v>halloween dresses for women, halloween dress women, pumpkin dresses for women, skull dress for women, spooky dresses for women, women halloween dress, pumpkin dress women, cute halloween dresses for women, halloween dresses for women 2026, halloween themed dresses for women</x:v>
      </x:c>
      <x:c r="C448" s="10" t="n">
        <x:v>105</x:v>
      </x:c>
      <x:c r="D448" s="10" t="n">
        <x:v>126808</x:v>
      </x:c>
      <x:c r="E448" s="9" t="n">
        <x:v>1.7114</x:v>
      </x:c>
      <x:c r="F448" s="10" t="n">
        <x:v>2259945</x:v>
      </x:c>
      <x:c r="G448" s="10" t="n">
        <x:v>40125</x:v>
      </x:c>
      <x:c r="H448" s="9" t="n">
        <x:v>1.9597</x:v>
      </x:c>
      <x:c r="I448" s="9" t="n">
        <x:v>0.3164</x:v>
      </x:c>
      <x:c r="J448" s="9" t="n">
        <x:v>0.0111</x:v>
      </x:c>
      <x:c r="K448" s="9" t="n">
        <x:v>0.0035</x:v>
      </x:c>
      <x:c r="L448" s="10" t="n">
        <x:v>449</x:v>
      </x:c>
      <x:c r="M448" s="10" t="n">
        <x:v>9322</x:v>
      </x:c>
      <x:c r="N448" s="9" t="n">
        <x:v>1.4592</x:v>
      </x:c>
      <x:c r="O448" s="10" t="n">
        <x:v>7900</x:v>
      </x:c>
      <x:c r="P448" s="10" t="n">
        <x:v>466</x:v>
      </x:c>
      <x:c r="Q448" s="9" t="n">
        <x:v>0.8474</x:v>
      </x:c>
      <x:c r="R448" s="9" t="n">
        <x:v>0.0589</x:v>
      </x:c>
      <x:c r="S448" s="9" t="n">
        <x:v>0.0499</x:v>
      </x:c>
    </x:row>
    <x:row r="449" ht="109" customHeight="1">
      <x:c r="A449" s="2" t="str">
        <x:v>baby essentials for newborn boy</x:v>
      </x:c>
      <x:c r="B449" s="15" t="str">
        <x:v>baby essentials for newborn boy, baby boy items, baby boy newborn essentials, newborn baby boy essentials, newborn essentials must haves boy, baby boy essentials must haves, baby boy necessities, new born essentials for baby boy, new born boy essentials, baby boy must haves for newborn</x:v>
      </x:c>
      <x:c r="C449" s="10" t="n">
        <x:v>117</x:v>
      </x:c>
      <x:c r="D449" s="10" t="n">
        <x:v>126702</x:v>
      </x:c>
      <x:c r="E449" s="9" t="str">
        <x:v>'-0.0381</x:v>
      </x:c>
      <x:c r="F449" s="10" t="n">
        <x:v>3713597</x:v>
      </x:c>
      <x:c r="G449" s="10" t="n">
        <x:v>44381</x:v>
      </x:c>
      <x:c r="H449" s="9" t="str">
        <x:v>'-0.0505</x:v>
      </x:c>
      <x:c r="I449" s="9" t="n">
        <x:v>0.3502</x:v>
      </x:c>
      <x:c r="J449" s="9" t="n">
        <x:v>0.0332</x:v>
      </x:c>
      <x:c r="K449" s="9" t="n">
        <x:v>0.0116</x:v>
      </x:c>
      <x:c r="L449" s="10" t="n">
        <x:v>1475</x:v>
      </x:c>
      <x:c r="M449" s="10" t="n">
        <x:v>15359</x:v>
      </x:c>
      <x:c r="N449" s="9" t="str">
        <x:v>'-0.0494</x:v>
      </x:c>
      <x:c r="O449" s="10" t="n">
        <x:v>12513</x:v>
      </x:c>
      <x:c r="P449" s="10" t="n">
        <x:v>1299</x:v>
      </x:c>
      <x:c r="Q449" s="9" t="n">
        <x:v>0.8147</x:v>
      </x:c>
      <x:c r="R449" s="9" t="n">
        <x:v>0.1038</x:v>
      </x:c>
      <x:c r="S449" s="9" t="n">
        <x:v>0.0845</x:v>
      </x:c>
    </x:row>
    <x:row r="450" ht="109" customHeight="1">
      <x:c r="A450" s="2" t="str">
        <x:v>scooby doo costume</x:v>
      </x:c>
      <x:c r="B450" s="15" t="str">
        <x:v>scooby doo costume, oogie boogie costume, scooby doo costume kids, toddler scooby doo costume, scooby doo costume toddler, scooby doo toddler costume, kids scooby doo costume, scooby doo kids costume, scooby doo costume men, oogie boogie adult costume</x:v>
      </x:c>
      <x:c r="C450" s="10" t="n">
        <x:v>101</x:v>
      </x:c>
      <x:c r="D450" s="10" t="n">
        <x:v>126303</x:v>
      </x:c>
      <x:c r="E450" s="9" t="n">
        <x:v>1.5426</x:v>
      </x:c>
      <x:c r="F450" s="10" t="n">
        <x:v>1605988</x:v>
      </x:c>
      <x:c r="G450" s="10" t="n">
        <x:v>44500</x:v>
      </x:c>
      <x:c r="H450" s="9" t="n">
        <x:v>1.5897</x:v>
      </x:c>
      <x:c r="I450" s="9" t="n">
        <x:v>0.3523</x:v>
      </x:c>
      <x:c r="J450" s="9" t="n">
        <x:v>0.0113</x:v>
      </x:c>
      <x:c r="K450" s="9" t="n">
        <x:v>0.0039</x:v>
      </x:c>
      <x:c r="L450" s="10" t="n">
        <x:v>504</x:v>
      </x:c>
      <x:c r="M450" s="10" t="n">
        <x:v>13119</x:v>
      </x:c>
      <x:c r="N450" s="9" t="n">
        <x:v>1.5966</x:v>
      </x:c>
      <x:c r="O450" s="10" t="n">
        <x:v>9772</x:v>
      </x:c>
      <x:c r="P450" s="10" t="n">
        <x:v>388</x:v>
      </x:c>
      <x:c r="Q450" s="9" t="n">
        <x:v>0.7448</x:v>
      </x:c>
      <x:c r="R450" s="9" t="n">
        <x:v>0.0397</x:v>
      </x:c>
      <x:c r="S450" s="9" t="n">
        <x:v>0.0295</x:v>
      </x:c>
    </x:row>
    <x:row r="451" ht="109" customHeight="1">
      <x:c r="A451" s="2" t="str">
        <x:v>michael myers mask</x:v>
      </x:c>
      <x:c r="B451" s="15" t="str">
        <x:v>michael myers mask, halloween michael myers, mike myers mask, michael myers mask adult, michael myers mask kids, kids michael myers mask, realistic michael myers, michael myers 1978 classic replica mask, michael myers masks, michael myers mask 1978</x:v>
      </x:c>
      <x:c r="C451" s="10" t="n">
        <x:v>103</x:v>
      </x:c>
      <x:c r="D451" s="10" t="n">
        <x:v>126165</x:v>
      </x:c>
      <x:c r="E451" s="9" t="n">
        <x:v>2.0385</x:v>
      </x:c>
      <x:c r="F451" s="10" t="n">
        <x:v>1281599</x:v>
      </x:c>
      <x:c r="G451" s="10" t="n">
        <x:v>54296</x:v>
      </x:c>
      <x:c r="H451" s="9" t="n">
        <x:v>2.1766</x:v>
      </x:c>
      <x:c r="I451" s="9" t="n">
        <x:v>0.4303</x:v>
      </x:c>
      <x:c r="J451" s="9" t="n">
        <x:v>0.0448</x:v>
      </x:c>
      <x:c r="K451" s="9" t="n">
        <x:v>0.0193</x:v>
      </x:c>
      <x:c r="L451" s="10" t="n">
        <x:v>2437</x:v>
      </x:c>
      <x:c r="M451" s="10" t="n">
        <x:v>10629</x:v>
      </x:c>
      <x:c r="N451" s="9" t="n">
        <x:v>2.0817</x:v>
      </x:c>
      <x:c r="O451" s="10" t="n">
        <x:v>8095</x:v>
      </x:c>
      <x:c r="P451" s="10" t="n">
        <x:v>1077</x:v>
      </x:c>
      <x:c r="Q451" s="9" t="n">
        <x:v>0.7615</x:v>
      </x:c>
      <x:c r="R451" s="9" t="n">
        <x:v>0.133</x:v>
      </x:c>
      <x:c r="S451" s="9" t="n">
        <x:v>0.1013</x:v>
      </x:c>
    </x:row>
    <x:row r="452" ht="109" customHeight="1">
      <x:c r="A452" s="2" t="str">
        <x:v>salt and stone deodorant</x:v>
      </x:c>
      <x:c r="B452" s="15" t="str">
        <x:v>salt and stone deodorant, salt stone deodorant, deodorant salt and stone, salt and stone deodorant men, salt and stone deodorants, salt and stone mens deodorant, salt and stone gel, salt and stone deodorant for men, deodorant men salt and stone, salt and stone deodorant set</x:v>
      </x:c>
      <x:c r="C452" s="10" t="n">
        <x:v>54</x:v>
      </x:c>
      <x:c r="D452" s="10" t="n">
        <x:v>125943</x:v>
      </x:c>
      <x:c r="E452" s="9" t="n">
        <x:v>0.0866</x:v>
      </x:c>
      <x:c r="F452" s="10" t="n">
        <x:v>5146944</x:v>
      </x:c>
      <x:c r="G452" s="10" t="n">
        <x:v>70734</x:v>
      </x:c>
      <x:c r="H452" s="9" t="n">
        <x:v>0.0778</x:v>
      </x:c>
      <x:c r="I452" s="9" t="n">
        <x:v>0.5616</x:v>
      </x:c>
      <x:c r="J452" s="9" t="n">
        <x:v>0.2183</x:v>
      </x:c>
      <x:c r="K452" s="9" t="n">
        <x:v>0.1226</x:v>
      </x:c>
      <x:c r="L452" s="10" t="n">
        <x:v>15446</x:v>
      </x:c>
      <x:c r="M452" s="10" t="n">
        <x:v>65783</x:v>
      </x:c>
      <x:c r="N452" s="9" t="n">
        <x:v>0.0533</x:v>
      </x:c>
      <x:c r="O452" s="10" t="n">
        <x:v>55474</x:v>
      </x:c>
      <x:c r="P452" s="10" t="n">
        <x:v>21832</x:v>
      </x:c>
      <x:c r="Q452" s="9" t="n">
        <x:v>0.8432</x:v>
      </x:c>
      <x:c r="R452" s="9" t="n">
        <x:v>0.3935</x:v>
      </x:c>
      <x:c r="S452" s="9" t="n">
        <x:v>0.3318</x:v>
      </x:c>
    </x:row>
    <x:row r="453" ht="90" customHeight="1">
      <x:c r="A453" s="2" t="str">
        <x:v>sexy panties</x:v>
      </x:c>
      <x:c r="B453" s="15" t="str">
        <x:v>sexy panties, tangas sexys para mujer y lencería hot, slutty panties, underwear sexy, thongs lingerie, womens sexy thong, tangas sexis para coger, tangitas sexys de hilito, lacey thongs, ropa interior mujer hilos sexys</x:v>
      </x:c>
      <x:c r="C453" s="10" t="n">
        <x:v>31</x:v>
      </x:c>
      <x:c r="D453" s="10" t="n">
        <x:v>125738</x:v>
      </x:c>
      <x:c r="E453" s="9" t="n">
        <x:v>0.1433</x:v>
      </x:c>
      <x:c r="F453" s="10" t="n">
        <x:v>2805031</x:v>
      </x:c>
      <x:c r="G453" s="10" t="n">
        <x:v>41718</x:v>
      </x:c>
      <x:c r="H453" s="9" t="n">
        <x:v>0.1668</x:v>
      </x:c>
      <x:c r="I453" s="9" t="n">
        <x:v>0.3317</x:v>
      </x:c>
      <x:c r="J453" s="9" t="n">
        <x:v>0.0155</x:v>
      </x:c>
      <x:c r="K453" s="9" t="n">
        <x:v>0.0051</x:v>
      </x:c>
      <x:c r="L453" s="10" t="n">
        <x:v>649</x:v>
      </x:c>
      <x:c r="M453" s="10" t="n">
        <x:v>14536</x:v>
      </x:c>
      <x:c r="N453" s="9" t="n">
        <x:v>0.1195</x:v>
      </x:c>
      <x:c r="O453" s="10" t="n">
        <x:v>11873</x:v>
      </x:c>
      <x:c r="P453" s="10" t="n">
        <x:v>1661</x:v>
      </x:c>
      <x:c r="Q453" s="9" t="n">
        <x:v>0.8167</x:v>
      </x:c>
      <x:c r="R453" s="9" t="n">
        <x:v>0.1398</x:v>
      </x:c>
      <x:c r="S453" s="9" t="n">
        <x:v>0.1142</x:v>
      </x:c>
    </x:row>
    <x:row r="454" ht="71" customHeight="1">
      <x:c r="A454" s="2" t="str">
        <x:v>steamer for cooking</x:v>
      </x:c>
      <x:c r="B454" s="15" t="str">
        <x:v>steamer for cooking, vegetable steamer, veggie steamer, steamer cooking, steamer for vegetables, cooking steamer, seafood steamer, vegetables steamer, steamer cooker, steam food</x:v>
      </x:c>
      <x:c r="C454" s="10" t="n">
        <x:v>137</x:v>
      </x:c>
      <x:c r="D454" s="10" t="n">
        <x:v>125690</x:v>
      </x:c>
      <x:c r="E454" s="9" t="n">
        <x:v>0.0203</x:v>
      </x:c>
      <x:c r="F454" s="10" t="n">
        <x:v>4335868</x:v>
      </x:c>
      <x:c r="G454" s="10" t="n">
        <x:v>52469</x:v>
      </x:c>
      <x:c r="H454" s="9" t="n">
        <x:v>0.012</x:v>
      </x:c>
      <x:c r="I454" s="9" t="n">
        <x:v>0.4174</x:v>
      </x:c>
      <x:c r="J454" s="9" t="n">
        <x:v>0.0913</x:v>
      </x:c>
      <x:c r="K454" s="9" t="n">
        <x:v>0.0381</x:v>
      </x:c>
      <x:c r="L454" s="10" t="n">
        <x:v>4792</x:v>
      </x:c>
      <x:c r="M454" s="10" t="n">
        <x:v>39506</x:v>
      </x:c>
      <x:c r="N454" s="9" t="str">
        <x:v>'-0.0067</x:v>
      </x:c>
      <x:c r="O454" s="10" t="n">
        <x:v>29669</x:v>
      </x:c>
      <x:c r="P454" s="10" t="n">
        <x:v>6713</x:v>
      </x:c>
      <x:c r="Q454" s="9" t="n">
        <x:v>0.7509</x:v>
      </x:c>
      <x:c r="R454" s="9" t="n">
        <x:v>0.2262</x:v>
      </x:c>
      <x:c r="S454" s="9" t="n">
        <x:v>0.1699</x:v>
      </x:c>
    </x:row>
    <x:row r="455" ht="71" customHeight="1">
      <x:c r="A455" s="2" t="str">
        <x:v>oled tv</x:v>
      </x:c>
      <x:c r="B455" s="15" t="str">
        <x:v>oled tv, tv oled, oled televisions, oled tv clearance, oled tvs, oled tvs on sale clearance, qd oled tv, oled smart tv, smart tv oled, oled gaming tv</x:v>
      </x:c>
      <x:c r="C455" s="10" t="n">
        <x:v>126</x:v>
      </x:c>
      <x:c r="D455" s="10" t="n">
        <x:v>125677</x:v>
      </x:c>
      <x:c r="E455" s="9" t="n">
        <x:v>0.1383</x:v>
      </x:c>
      <x:c r="F455" s="10" t="n">
        <x:v>2797632</x:v>
      </x:c>
      <x:c r="G455" s="10" t="n">
        <x:v>34054</x:v>
      </x:c>
      <x:c r="H455" s="9" t="n">
        <x:v>0.1812</x:v>
      </x:c>
      <x:c r="I455" s="9" t="n">
        <x:v>0.2709</x:v>
      </x:c>
      <x:c r="J455" s="9" t="n">
        <x:v>0.005</x:v>
      </x:c>
      <x:c r="K455" s="9" t="n">
        <x:v>0.0013</x:v>
      </x:c>
      <x:c r="L455" s="10" t="n">
        <x:v>173</x:v>
      </x:c>
      <x:c r="M455" s="10" t="n">
        <x:v>34605</x:v>
      </x:c>
      <x:c r="N455" s="9" t="n">
        <x:v>0.1058</x:v>
      </x:c>
      <x:c r="O455" s="10" t="n">
        <x:v>15935</x:v>
      </x:c>
      <x:c r="P455" s="10" t="n">
        <x:v>212</x:v>
      </x:c>
      <x:c r="Q455" s="9" t="n">
        <x:v>0.4604</x:v>
      </x:c>
      <x:c r="R455" s="9" t="n">
        <x:v>0.0133</x:v>
      </x:c>
      <x:c r="S455" s="9" t="n">
        <x:v>0.0061</x:v>
      </x:c>
    </x:row>
    <x:row r="456" ht="90" customHeight="1">
      <x:c r="A456" s="2" t="str">
        <x:v>combination wrenches</x:v>
      </x:c>
      <x:c r="B456" s="15" t="str">
        <x:v>combination wrenches, metric wrench set, juego de llaves para mecánico, llaves para mecanica, wrench set metric and standard, wrenches set, wrench tool set, sae ratcheting wrench set, spanner set, open wrench set</x:v>
      </x:c>
      <x:c r="C456" s="10" t="n">
        <x:v>79</x:v>
      </x:c>
      <x:c r="D456" s="10" t="n">
        <x:v>125596</x:v>
      </x:c>
      <x:c r="E456" s="9" t="n">
        <x:v>0.5306</x:v>
      </x:c>
      <x:c r="F456" s="10" t="n">
        <x:v>2156738</x:v>
      </x:c>
      <x:c r="G456" s="10" t="n">
        <x:v>34649</x:v>
      </x:c>
      <x:c r="H456" s="9" t="n">
        <x:v>0.0716</x:v>
      </x:c>
      <x:c r="I456" s="9" t="n">
        <x:v>0.2758</x:v>
      </x:c>
      <x:c r="J456" s="9" t="n">
        <x:v>0.0654</x:v>
      </x:c>
      <x:c r="K456" s="9" t="n">
        <x:v>0.018</x:v>
      </x:c>
      <x:c r="L456" s="10" t="n">
        <x:v>2268</x:v>
      </x:c>
      <x:c r="M456" s="10" t="n">
        <x:v>16436</x:v>
      </x:c>
      <x:c r="N456" s="9" t="n">
        <x:v>1.1068</x:v>
      </x:c>
      <x:c r="O456" s="10" t="n">
        <x:v>13110</x:v>
      </x:c>
      <x:c r="P456" s="10" t="n">
        <x:v>2559</x:v>
      </x:c>
      <x:c r="Q456" s="9" t="n">
        <x:v>0.7976</x:v>
      </x:c>
      <x:c r="R456" s="9" t="n">
        <x:v>0.1951</x:v>
      </x:c>
      <x:c r="S456" s="9" t="n">
        <x:v>0.1556</x:v>
      </x:c>
    </x:row>
    <x:row r="457" ht="55" customHeight="1">
      <x:c r="A457" s="2" t="str">
        <x:v>plums</x:v>
      </x:c>
      <x:c r="B457" s="15" t="str">
        <x:v>plums, plum, plums fresh fruit, organic plums, organic plum, cherry plums, pluot, plumcot, black plums, red plum</x:v>
      </x:c>
      <x:c r="C457" s="10" t="n">
        <x:v>81</x:v>
      </x:c>
      <x:c r="D457" s="10" t="n">
        <x:v>125317</x:v>
      </x:c>
      <x:c r="E457" s="9" t="str">
        <x:v>'-0.0522</x:v>
      </x:c>
      <x:c r="F457" s="10" t="n">
        <x:v>2626921</x:v>
      </x:c>
      <x:c r="G457" s="10" t="n">
        <x:v>59837</x:v>
      </x:c>
      <x:c r="H457" s="9" t="str">
        <x:v>'-0.1648</x:v>
      </x:c>
      <x:c r="I457" s="9" t="n">
        <x:v>0.4774</x:v>
      </x:c>
      <x:c r="J457" s="9" t="n">
        <x:v>0.354</x:v>
      </x:c>
      <x:c r="K457" s="9" t="n">
        <x:v>0.169</x:v>
      </x:c>
      <x:c r="L457" s="10" t="n">
        <x:v>21186</x:v>
      </x:c>
      <x:c r="M457" s="10" t="n">
        <x:v>61830</x:v>
      </x:c>
      <x:c r="N457" s="9" t="str">
        <x:v>'-0.0403</x:v>
      </x:c>
      <x:c r="O457" s="10" t="n">
        <x:v>51424</x:v>
      </x:c>
      <x:c r="P457" s="10" t="n">
        <x:v>22061</x:v>
      </x:c>
      <x:c r="Q457" s="9" t="n">
        <x:v>0.8316</x:v>
      </x:c>
      <x:c r="R457" s="9" t="n">
        <x:v>0.429</x:v>
      </x:c>
      <x:c r="S457" s="9" t="n">
        <x:v>0.3568</x:v>
      </x:c>
    </x:row>
    <x:row r="458" ht="71" customHeight="1">
      <x:c r="A458" s="2" t="str">
        <x:v>garlic bread</x:v>
      </x:c>
      <x:c r="B458" s="15" t="str">
        <x:v>garlic bread, garlic bread frozen, frozen garlic bread, pan de ajo, organic garlic bread, bread garlic, garlic bread loaf, vegan garlic bread, cheesy garlic bread, pan con ajo</x:v>
      </x:c>
      <x:c r="C458" s="10" t="n">
        <x:v>47</x:v>
      </x:c>
      <x:c r="D458" s="10" t="n">
        <x:v>124964</x:v>
      </x:c>
      <x:c r="E458" s="9" t="n">
        <x:v>0.166</x:v>
      </x:c>
      <x:c r="F458" s="10" t="n">
        <x:v>2389351</x:v>
      </x:c>
      <x:c r="G458" s="10" t="n">
        <x:v>48899</x:v>
      </x:c>
      <x:c r="H458" s="9" t="n">
        <x:v>0.0602</x:v>
      </x:c>
      <x:c r="I458" s="9" t="n">
        <x:v>0.3913</x:v>
      </x:c>
      <x:c r="J458" s="9" t="n">
        <x:v>0.408</x:v>
      </x:c>
      <x:c r="K458" s="9" t="n">
        <x:v>0.1596</x:v>
      </x:c>
      <x:c r="L458" s="10" t="n">
        <x:v>19955</x:v>
      </x:c>
      <x:c r="M458" s="10" t="n">
        <x:v>40477</x:v>
      </x:c>
      <x:c r="N458" s="9" t="n">
        <x:v>0.0971</x:v>
      </x:c>
      <x:c r="O458" s="10" t="n">
        <x:v>35702</x:v>
      </x:c>
      <x:c r="P458" s="10" t="n">
        <x:v>19701</x:v>
      </x:c>
      <x:c r="Q458" s="9" t="n">
        <x:v>0.882</x:v>
      </x:c>
      <x:c r="R458" s="9" t="n">
        <x:v>0.5518</x:v>
      </x:c>
      <x:c r="S458" s="9" t="n">
        <x:v>0.4867</x:v>
      </x:c>
    </x:row>
    <x:row r="459" ht="55" customHeight="1">
      <x:c r="A459" s="2" t="str">
        <x:v>rope</x:v>
      </x:c>
      <x:c r="B459" s="15" t="str">
        <x:v>rope, ropes, roping rope, 1 rope, rahabs rope, sash cord, q rope, 2 rope, white cotton rope, rope for basket making</x:v>
      </x:c>
      <x:c r="C459" s="10" t="n">
        <x:v>79</x:v>
      </x:c>
      <x:c r="D459" s="10" t="n">
        <x:v>124712</x:v>
      </x:c>
      <x:c r="E459" s="9" t="n">
        <x:v>0.0323</x:v>
      </x:c>
      <x:c r="F459" s="10" t="n">
        <x:v>3269147</x:v>
      </x:c>
      <x:c r="G459" s="10" t="n">
        <x:v>45314</x:v>
      </x:c>
      <x:c r="H459" s="9" t="n">
        <x:v>0.0094</x:v>
      </x:c>
      <x:c r="I459" s="9" t="n">
        <x:v>0.3633</x:v>
      </x:c>
      <x:c r="J459" s="9" t="n">
        <x:v>0.1435</x:v>
      </x:c>
      <x:c r="K459" s="9" t="n">
        <x:v>0.0521</x:v>
      </x:c>
      <x:c r="L459" s="10" t="n">
        <x:v>6505</x:v>
      </x:c>
      <x:c r="M459" s="10" t="n">
        <x:v>34174</x:v>
      </x:c>
      <x:c r="N459" s="9" t="n">
        <x:v>0.0163</x:v>
      </x:c>
      <x:c r="O459" s="10" t="n">
        <x:v>25317</x:v>
      </x:c>
      <x:c r="P459" s="10" t="n">
        <x:v>8779</x:v>
      </x:c>
      <x:c r="Q459" s="9" t="n">
        <x:v>0.7408</x:v>
      </x:c>
      <x:c r="R459" s="9" t="n">
        <x:v>0.3467</x:v>
      </x:c>
      <x:c r="S459" s="9" t="n">
        <x:v>0.2568</x:v>
      </x:c>
    </x:row>
    <x:row r="460" ht="90" customHeight="1">
      <x:c r="A460" s="2" t="str">
        <x:v>ladybug costume</x:v>
      </x:c>
      <x:c r="B460" s="15" t="str">
        <x:v>ladybug costume, ladybug dress, ladybug halloween costume, ladybug costume adult, ladybug costume for women, ladybug outfit, disfraz de ladybug para niña, ladybug halloween costume women, ladybug costume for kids girls, teen ladybug costume</x:v>
      </x:c>
      <x:c r="C460" s="10" t="n">
        <x:v>70</x:v>
      </x:c>
      <x:c r="D460" s="10" t="n">
        <x:v>124624</x:v>
      </x:c>
      <x:c r="E460" s="9" t="n">
        <x:v>1.3804</x:v>
      </x:c>
      <x:c r="F460" s="10" t="n">
        <x:v>1278332</x:v>
      </x:c>
      <x:c r="G460" s="10" t="n">
        <x:v>51032</x:v>
      </x:c>
      <x:c r="H460" s="9" t="n">
        <x:v>1.6946</x:v>
      </x:c>
      <x:c r="I460" s="9" t="n">
        <x:v>0.4094</x:v>
      </x:c>
      <x:c r="J460" s="9" t="n">
        <x:v>0.0062</x:v>
      </x:c>
      <x:c r="K460" s="9" t="n">
        <x:v>0.0025</x:v>
      </x:c>
      <x:c r="L460" s="10" t="n">
        <x:v>318</x:v>
      </x:c>
      <x:c r="M460" s="10" t="n">
        <x:v>9278</x:v>
      </x:c>
      <x:c r="N460" s="9" t="n">
        <x:v>1.2927</x:v>
      </x:c>
      <x:c r="O460" s="10" t="n">
        <x:v>7051</x:v>
      </x:c>
      <x:c r="P460" s="10" t="n">
        <x:v>289</x:v>
      </x:c>
      <x:c r="Q460" s="9" t="n">
        <x:v>0.7599</x:v>
      </x:c>
      <x:c r="R460" s="9" t="n">
        <x:v>0.0409</x:v>
      </x:c>
      <x:c r="S460" s="9" t="n">
        <x:v>0.0311</x:v>
      </x:c>
    </x:row>
    <x:row r="461" ht="71" customHeight="1">
      <x:c r="A461" s="2" t="str">
        <x:v>pillar candles</x:v>
      </x:c>
      <x:c r="B461" s="15" t="str">
        <x:v>pillar candles, pillar candle, unscented candles, hurricane candles, candle pillars, pilar candles, unscented pillar candles, 3 inch candles, candles pillar, 3 pillar candles</x:v>
      </x:c>
      <x:c r="C461" s="10" t="n">
        <x:v>143</x:v>
      </x:c>
      <x:c r="D461" s="10" t="n">
        <x:v>124600</x:v>
      </x:c>
      <x:c r="E461" s="9" t="n">
        <x:v>0.2825</x:v>
      </x:c>
      <x:c r="F461" s="10" t="n">
        <x:v>3666284</x:v>
      </x:c>
      <x:c r="G461" s="10" t="n">
        <x:v>43579</x:v>
      </x:c>
      <x:c r="H461" s="9" t="n">
        <x:v>0.2768</x:v>
      </x:c>
      <x:c r="I461" s="9" t="n">
        <x:v>0.3497</x:v>
      </x:c>
      <x:c r="J461" s="9" t="n">
        <x:v>0.0784</x:v>
      </x:c>
      <x:c r="K461" s="9" t="n">
        <x:v>0.0274</x:v>
      </x:c>
      <x:c r="L461" s="10" t="n">
        <x:v>3418</x:v>
      </x:c>
      <x:c r="M461" s="10" t="n">
        <x:v>27668</x:v>
      </x:c>
      <x:c r="N461" s="9" t="n">
        <x:v>0.2823</x:v>
      </x:c>
      <x:c r="O461" s="10" t="n">
        <x:v>19994</x:v>
      </x:c>
      <x:c r="P461" s="10" t="n">
        <x:v>3920</x:v>
      </x:c>
      <x:c r="Q461" s="9" t="n">
        <x:v>0.7226</x:v>
      </x:c>
      <x:c r="R461" s="9" t="n">
        <x:v>0.196</x:v>
      </x:c>
      <x:c r="S461" s="9" t="n">
        <x:v>0.1416</x:v>
      </x:c>
    </x:row>
    <x:row r="462" ht="90" customHeight="1">
      <x:c r="A462" s="2" t="str">
        <x:v>belly fanny pack</x:v>
      </x:c>
      <x:c r="B462" s="15" t="str">
        <x:v>belly fanny pack, belly bag, beer belly fanny pack, belly fanny pack funny, fat belly fanny pack, funny belly fanny pack, belly bag fanny pack, big belly fanny pack, dad bod fanny pack, stomach fanny pack</x:v>
      </x:c>
      <x:c r="C462" s="10" t="n">
        <x:v>154</x:v>
      </x:c>
      <x:c r="D462" s="10" t="n">
        <x:v>124551</x:v>
      </x:c>
      <x:c r="E462" s="9" t="n">
        <x:v>21.8282</x:v>
      </x:c>
      <x:c r="F462" s="10" t="n">
        <x:v>921241</x:v>
      </x:c>
      <x:c r="G462" s="10" t="n">
        <x:v>57827</x:v>
      </x:c>
      <x:c r="H462" s="9" t="n">
        <x:v>27.7983</x:v>
      </x:c>
      <x:c r="I462" s="9" t="n">
        <x:v>0.4642</x:v>
      </x:c>
      <x:c r="J462" s="9" t="n">
        <x:v>0.046</x:v>
      </x:c>
      <x:c r="K462" s="9" t="n">
        <x:v>0.0213</x:v>
      </x:c>
      <x:c r="L462" s="10" t="n">
        <x:v>2662</x:v>
      </x:c>
      <x:c r="M462" s="10" t="n">
        <x:v>10383</x:v>
      </x:c>
      <x:c r="N462" s="9" t="n">
        <x:v>23.7391</x:v>
      </x:c>
      <x:c r="O462" s="10" t="n">
        <x:v>8210</x:v>
      </x:c>
      <x:c r="P462" s="10" t="n">
        <x:v>822</x:v>
      </x:c>
      <x:c r="Q462" s="9" t="n">
        <x:v>0.7907</x:v>
      </x:c>
      <x:c r="R462" s="9" t="n">
        <x:v>0.1001</x:v>
      </x:c>
      <x:c r="S462" s="9" t="n">
        <x:v>0.0791</x:v>
      </x:c>
    </x:row>
    <x:row r="463" ht="71" customHeight="1">
      <x:c r="A463" s="2" t="str">
        <x:v>cute room decor</x:v>
      </x:c>
      <x:c r="B463" s="15" t="str">
        <x:v>cute room decor, kids room, toddler girl room, girls bedroom, toddler bedroom, toddler girl bedroom, kid room, kid bedroom, childrens room, habitacion niño</x:v>
      </x:c>
      <x:c r="C463" s="10" t="n">
        <x:v>22</x:v>
      </x:c>
      <x:c r="D463" s="10" t="n">
        <x:v>124240</x:v>
      </x:c>
      <x:c r="E463" s="9" t="str">
        <x:v>'-0.0882</x:v>
      </x:c>
      <x:c r="F463" s="10" t="n">
        <x:v>2561508</x:v>
      </x:c>
      <x:c r="G463" s="10" t="n">
        <x:v>35763</x:v>
      </x:c>
      <x:c r="H463" s="9" t="str">
        <x:v>'-0.049</x:v>
      </x:c>
      <x:c r="I463" s="9" t="n">
        <x:v>0.2878</x:v>
      </x:c>
      <x:c r="J463" s="9" t="n">
        <x:v>0.0099</x:v>
      </x:c>
      <x:c r="K463" s="9" t="n">
        <x:v>0.0028</x:v>
      </x:c>
      <x:c r="L463" s="10" t="n">
        <x:v>356</x:v>
      </x:c>
      <x:c r="M463" s="10" t="n">
        <x:v>12804</x:v>
      </x:c>
      <x:c r="N463" s="9" t="str">
        <x:v>'-0.0789</x:v>
      </x:c>
      <x:c r="O463" s="10" t="n">
        <x:v>9192</x:v>
      </x:c>
      <x:c r="P463" s="10" t="n">
        <x:v>383</x:v>
      </x:c>
      <x:c r="Q463" s="9" t="n">
        <x:v>0.7179</x:v>
      </x:c>
      <x:c r="R463" s="9" t="n">
        <x:v>0.0416</x:v>
      </x:c>
      <x:c r="S463" s="9" t="n">
        <x:v>0.0299</x:v>
      </x:c>
    </x:row>
    <x:row r="464" ht="90" customHeight="1">
      <x:c r="A464" s="2" t="str">
        <x:v>rave outfit</x:v>
      </x:c>
      <x:c r="B464" s="15" t="str">
        <x:v>rave outfit, rave outfits, y2k rave outfit, baddie festival outfit, halloween rave outfit, cute rave outfits, camo rave outfit, reflective rave outfit, techno baddie outfit, cheetah rave outfit</x:v>
      </x:c>
      <x:c r="C464" s="10" t="n">
        <x:v>98</x:v>
      </x:c>
      <x:c r="D464" s="10" t="n">
        <x:v>124215</x:v>
      </x:c>
      <x:c r="E464" s="9" t="n">
        <x:v>0.3843</x:v>
      </x:c>
      <x:c r="F464" s="10" t="n">
        <x:v>3400511</x:v>
      </x:c>
      <x:c r="G464" s="10" t="n">
        <x:v>32479</x:v>
      </x:c>
      <x:c r="H464" s="9" t="n">
        <x:v>0.41</x:v>
      </x:c>
      <x:c r="I464" s="9" t="n">
        <x:v>0.2614</x:v>
      </x:c>
      <x:c r="J464" s="9" t="n">
        <x:v>0.0195</x:v>
      </x:c>
      <x:c r="K464" s="9" t="n">
        <x:v>0.0051</x:v>
      </x:c>
      <x:c r="L464" s="10" t="n">
        <x:v>636</x:v>
      </x:c>
      <x:c r="M464" s="10" t="n">
        <x:v>13536</x:v>
      </x:c>
      <x:c r="N464" s="9" t="n">
        <x:v>0.3801</x:v>
      </x:c>
      <x:c r="O464" s="10" t="n">
        <x:v>10109</x:v>
      </x:c>
      <x:c r="P464" s="10" t="n">
        <x:v>829</x:v>
      </x:c>
      <x:c r="Q464" s="9" t="n">
        <x:v>0.7468</x:v>
      </x:c>
      <x:c r="R464" s="9" t="n">
        <x:v>0.082</x:v>
      </x:c>
      <x:c r="S464" s="9" t="n">
        <x:v>0.0612</x:v>
      </x:c>
    </x:row>
    <x:row r="465" ht="90" customHeight="1">
      <x:c r="A465" s="2" t="str">
        <x:v>peptide pen</x:v>
      </x:c>
      <x:c r="B465" s="15" t="str">
        <x:v>peptide pen, peptide pen injector, insulin pen, reusable insulin pen, peptide pens, insulin pens, reusable peptide injection pens, injector pen, refillable insulin pen injector, peptide injection pen</x:v>
      </x:c>
      <x:c r="C465" s="10" t="n">
        <x:v>161</x:v>
      </x:c>
      <x:c r="D465" s="10" t="n">
        <x:v>123663</x:v>
      </x:c>
      <x:c r="E465" s="9" t="n">
        <x:v>0.0735</x:v>
      </x:c>
      <x:c r="F465" s="10" t="n">
        <x:v>3265506</x:v>
      </x:c>
      <x:c r="G465" s="10" t="n">
        <x:v>51585</x:v>
      </x:c>
      <x:c r="H465" s="9" t="n">
        <x:v>0.1004</x:v>
      </x:c>
      <x:c r="I465" s="9" t="n">
        <x:v>0.4171</x:v>
      </x:c>
      <x:c r="J465" s="9" t="n">
        <x:v>0.0543</x:v>
      </x:c>
      <x:c r="K465" s="9" t="n">
        <x:v>0.0226</x:v>
      </x:c>
      <x:c r="L465" s="10" t="n">
        <x:v>2804</x:v>
      </x:c>
      <x:c r="M465" s="10" t="n">
        <x:v>33578</x:v>
      </x:c>
      <x:c r="N465" s="9" t="n">
        <x:v>0.0697</x:v>
      </x:c>
      <x:c r="O465" s="10" t="n">
        <x:v>24323</x:v>
      </x:c>
      <x:c r="P465" s="10" t="n">
        <x:v>3162</x:v>
      </x:c>
      <x:c r="Q465" s="9" t="n">
        <x:v>0.7243</x:v>
      </x:c>
      <x:c r="R465" s="9" t="n">
        <x:v>0.13</x:v>
      </x:c>
      <x:c r="S465" s="9" t="n">
        <x:v>0.0941</x:v>
      </x:c>
    </x:row>
    <x:row r="466" ht="90" customHeight="1">
      <x:c r="A466" s="2" t="str">
        <x:v>cotton socks for women</x:v>
      </x:c>
      <x:c r="B466" s="15" t="str">
        <x:v>cotton socks for women, cotton socks, womens cotton socks, socks cotton, cotton crew socks, women cotton socks, womens socks cotton, womens cotton crew socks, cotton womens socks, thick cotton socks</x:v>
      </x:c>
      <x:c r="C466" s="10" t="n">
        <x:v>150</x:v>
      </x:c>
      <x:c r="D466" s="10" t="n">
        <x:v>123496</x:v>
      </x:c>
      <x:c r="E466" s="9" t="n">
        <x:v>0.0304</x:v>
      </x:c>
      <x:c r="F466" s="10" t="n">
        <x:v>4471960</x:v>
      </x:c>
      <x:c r="G466" s="10" t="n">
        <x:v>57624</x:v>
      </x:c>
      <x:c r="H466" s="9" t="n">
        <x:v>0.039</x:v>
      </x:c>
      <x:c r="I466" s="9" t="n">
        <x:v>0.4666</x:v>
      </x:c>
      <x:c r="J466" s="9" t="n">
        <x:v>0.0675</x:v>
      </x:c>
      <x:c r="K466" s="9" t="n">
        <x:v>0.0315</x:v>
      </x:c>
      <x:c r="L466" s="10" t="n">
        <x:v>3895</x:v>
      </x:c>
      <x:c r="M466" s="10" t="n">
        <x:v>33138</x:v>
      </x:c>
      <x:c r="N466" s="9" t="str">
        <x:v>'-0.0017</x:v>
      </x:c>
      <x:c r="O466" s="10" t="n">
        <x:v>27574</x:v>
      </x:c>
      <x:c r="P466" s="10" t="n">
        <x:v>7547</x:v>
      </x:c>
      <x:c r="Q466" s="9" t="n">
        <x:v>0.832</x:v>
      </x:c>
      <x:c r="R466" s="9" t="n">
        <x:v>0.2736</x:v>
      </x:c>
      <x:c r="S466" s="9" t="n">
        <x:v>0.2277</x:v>
      </x:c>
    </x:row>
    <x:row r="467" ht="109" customHeight="1">
      <x:c r="A467" s="2" t="str">
        <x:v>paw patrol costume</x:v>
      </x:c>
      <x:c r="B467" s="15" t="str">
        <x:v>paw patrol costume, paw patrol halloween costume, paw patrol costumes for kids, paw patrol costumes, paw patrol costume toddler, baby paw patrol costume, toddler paw patrol costume, paw patrol toddler costume, paw patrol baby costume, paw patrol dress up</x:v>
      </x:c>
      <x:c r="C467" s="10" t="n">
        <x:v>140</x:v>
      </x:c>
      <x:c r="D467" s="10" t="n">
        <x:v>123249</x:v>
      </x:c>
      <x:c r="E467" s="9" t="n">
        <x:v>1.141</x:v>
      </x:c>
      <x:c r="F467" s="10" t="n">
        <x:v>1940180</x:v>
      </x:c>
      <x:c r="G467" s="10" t="n">
        <x:v>46475</x:v>
      </x:c>
      <x:c r="H467" s="9" t="n">
        <x:v>1.2345</x:v>
      </x:c>
      <x:c r="I467" s="9" t="n">
        <x:v>0.377</x:v>
      </x:c>
      <x:c r="J467" s="9" t="n">
        <x:v>0.0103</x:v>
      </x:c>
      <x:c r="K467" s="9" t="n">
        <x:v>0.0039</x:v>
      </x:c>
      <x:c r="L467" s="10" t="n">
        <x:v>483</x:v>
      </x:c>
      <x:c r="M467" s="10" t="n">
        <x:v>16452</x:v>
      </x:c>
      <x:c r="N467" s="9" t="n">
        <x:v>1.1797</x:v>
      </x:c>
      <x:c r="O467" s="10" t="n">
        <x:v>11425</x:v>
      </x:c>
      <x:c r="P467" s="10" t="n">
        <x:v>512</x:v>
      </x:c>
      <x:c r="Q467" s="9" t="n">
        <x:v>0.6944</x:v>
      </x:c>
      <x:c r="R467" s="9" t="n">
        <x:v>0.0448</x:v>
      </x:c>
      <x:c r="S467" s="9" t="n">
        <x:v>0.0311</x:v>
      </x:c>
    </x:row>
    <x:row r="468" ht="71" customHeight="1">
      <x:c r="A468" s="2" t="str">
        <x:v>chuck roast</x:v>
      </x:c>
      <x:c r="B468" s="15" t="str">
        <x:v>chuck roast, pot roast, beef roast, beef chuck, beef shank, boneless beef chuck roast, beef pot roast, pot roast beef, beef roast chuck, pork shoulder roast</x:v>
      </x:c>
      <x:c r="C468" s="10" t="n">
        <x:v>104</x:v>
      </x:c>
      <x:c r="D468" s="10" t="n">
        <x:v>123183</x:v>
      </x:c>
      <x:c r="E468" s="9" t="n">
        <x:v>0.2847</x:v>
      </x:c>
      <x:c r="F468" s="10" t="n">
        <x:v>1921506</x:v>
      </x:c>
      <x:c r="G468" s="10" t="n">
        <x:v>47346</x:v>
      </x:c>
      <x:c r="H468" s="9" t="n">
        <x:v>0.2695</x:v>
      </x:c>
      <x:c r="I468" s="9" t="n">
        <x:v>0.3843</x:v>
      </x:c>
      <x:c r="J468" s="9" t="n">
        <x:v>0.3024</x:v>
      </x:c>
      <x:c r="K468" s="9" t="n">
        <x:v>0.1162</x:v>
      </x:c>
      <x:c r="L468" s="10" t="n">
        <x:v>14318</x:v>
      </x:c>
      <x:c r="M468" s="10" t="n">
        <x:v>38181</x:v>
      </x:c>
      <x:c r="N468" s="9" t="n">
        <x:v>0.2749</x:v>
      </x:c>
      <x:c r="O468" s="10" t="n">
        <x:v>28913</x:v>
      </x:c>
      <x:c r="P468" s="10" t="n">
        <x:v>12390</x:v>
      </x:c>
      <x:c r="Q468" s="9" t="n">
        <x:v>0.7572</x:v>
      </x:c>
      <x:c r="R468" s="9" t="n">
        <x:v>0.4285</x:v>
      </x:c>
      <x:c r="S468" s="9" t="n">
        <x:v>0.3245</x:v>
      </x:c>
    </x:row>
    <x:row r="469" ht="109" customHeight="1">
      <x:c r="A469" s="2" t="str">
        <x:v>dried cranberries</x:v>
      </x:c>
      <x:c r="B469" s="15" t="str">
        <x:v>dried cranberries, cranberries, cranberries dried fruit, dried cranberries unsweetened, unsweetened dried cranberries, unsweetened cranberries, organic dried cranberries, dried cranberries no sugar added, cranberries dried fruit unsweetened, dry cranberry</x:v>
      </x:c>
      <x:c r="C469" s="10" t="n">
        <x:v>148</x:v>
      </x:c>
      <x:c r="D469" s="10" t="n">
        <x:v>122965</x:v>
      </x:c>
      <x:c r="E469" s="9" t="n">
        <x:v>0.2149</x:v>
      </x:c>
      <x:c r="F469" s="10" t="n">
        <x:v>3680952</x:v>
      </x:c>
      <x:c r="G469" s="10" t="n">
        <x:v>61981</x:v>
      </x:c>
      <x:c r="H469" s="9" t="n">
        <x:v>0.2206</x:v>
      </x:c>
      <x:c r="I469" s="9" t="n">
        <x:v>0.504</x:v>
      </x:c>
      <x:c r="J469" s="9" t="n">
        <x:v>0.2513</x:v>
      </x:c>
      <x:c r="K469" s="9" t="n">
        <x:v>0.1266</x:v>
      </x:c>
      <x:c r="L469" s="10" t="n">
        <x:v>15576</x:v>
      </x:c>
      <x:c r="M469" s="10" t="n">
        <x:v>43910</x:v>
      </x:c>
      <x:c r="N469" s="9" t="n">
        <x:v>0.2008</x:v>
      </x:c>
      <x:c r="O469" s="10" t="n">
        <x:v>36760</x:v>
      </x:c>
      <x:c r="P469" s="10" t="n">
        <x:v>15679</x:v>
      </x:c>
      <x:c r="Q469" s="9" t="n">
        <x:v>0.8371</x:v>
      </x:c>
      <x:c r="R469" s="9" t="n">
        <x:v>0.4265</x:v>
      </x:c>
      <x:c r="S469" s="9" t="n">
        <x:v>0.357</x:v>
      </x:c>
    </x:row>
    <x:row r="470" ht="71" customHeight="1">
      <x:c r="A470" s="2" t="str">
        <x:v>meme shirt</x:v>
      </x:c>
      <x:c r="B470" s="15" t="str">
        <x:v>meme shirt, meme shirts, wolf shirt, meme t shirt, fih, alpha shirt, shirts funny, wolf t shirt, shirt funny, meme tshirts</x:v>
      </x:c>
      <x:c r="C470" s="10" t="n">
        <x:v>31</x:v>
      </x:c>
      <x:c r="D470" s="10" t="n">
        <x:v>122905</x:v>
      </x:c>
      <x:c r="E470" s="9" t="n">
        <x:v>0.3828</x:v>
      </x:c>
      <x:c r="F470" s="10" t="n">
        <x:v>2149120</x:v>
      </x:c>
      <x:c r="G470" s="10" t="n">
        <x:v>45467</x:v>
      </x:c>
      <x:c r="H470" s="9" t="n">
        <x:v>0.4275</x:v>
      </x:c>
      <x:c r="I470" s="9" t="n">
        <x:v>0.3699</x:v>
      </x:c>
      <x:c r="J470" s="9" t="n">
        <x:v>0.0259</x:v>
      </x:c>
      <x:c r="K470" s="9" t="n">
        <x:v>0.0095</x:v>
      </x:c>
      <x:c r="L470" s="10" t="n">
        <x:v>1178</x:v>
      </x:c>
      <x:c r="M470" s="10" t="n">
        <x:v>11667</x:v>
      </x:c>
      <x:c r="N470" s="9" t="n">
        <x:v>0.231</x:v>
      </x:c>
      <x:c r="O470" s="10" t="n">
        <x:v>9040</x:v>
      </x:c>
      <x:c r="P470" s="10" t="n">
        <x:v>1346</x:v>
      </x:c>
      <x:c r="Q470" s="9" t="n">
        <x:v>0.7748</x:v>
      </x:c>
      <x:c r="R470" s="9" t="n">
        <x:v>0.1488</x:v>
      </x:c>
      <x:c r="S470" s="9" t="n">
        <x:v>0.1153</x:v>
      </x:c>
    </x:row>
    <x:row r="471" ht="109" customHeight="1">
      <x:c r="A471" s="2" t="str">
        <x:v>coffee bar organizer</x:v>
      </x:c>
      <x:c r="B471" s="15" t="str">
        <x:v>coffee bar organizer, coffee organizer station, coffee bar accessories and organizer, coffee station organizer countertop, coffee stand for countertop, organizador de cafe, coffee stand organizer, coffee accessories organizer, coffee bar for countertop, countertop coffee station organizer</x:v>
      </x:c>
      <x:c r="C471" s="10" t="n">
        <x:v>121</x:v>
      </x:c>
      <x:c r="D471" s="10" t="n">
        <x:v>122799</x:v>
      </x:c>
      <x:c r="E471" s="9" t="n">
        <x:v>0.1104</x:v>
      </x:c>
      <x:c r="F471" s="10" t="n">
        <x:v>3300884</x:v>
      </x:c>
      <x:c r="G471" s="10" t="n">
        <x:v>41529</x:v>
      </x:c>
      <x:c r="H471" s="9" t="n">
        <x:v>0.1061</x:v>
      </x:c>
      <x:c r="I471" s="9" t="n">
        <x:v>0.3381</x:v>
      </x:c>
      <x:c r="J471" s="9" t="n">
        <x:v>0.0403</x:v>
      </x:c>
      <x:c r="K471" s="9" t="n">
        <x:v>0.0136</x:v>
      </x:c>
      <x:c r="L471" s="10" t="n">
        <x:v>1676</x:v>
      </x:c>
      <x:c r="M471" s="10" t="n">
        <x:v>24163</x:v>
      </x:c>
      <x:c r="N471" s="9" t="n">
        <x:v>0.103</x:v>
      </x:c>
      <x:c r="O471" s="10" t="n">
        <x:v>18290</x:v>
      </x:c>
      <x:c r="P471" s="10" t="n">
        <x:v>2132</x:v>
      </x:c>
      <x:c r="Q471" s="9" t="n">
        <x:v>0.7569</x:v>
      </x:c>
      <x:c r="R471" s="9" t="n">
        <x:v>0.1165</x:v>
      </x:c>
      <x:c r="S471" s="9" t="n">
        <x:v>0.0882</x:v>
      </x:c>
    </x:row>
    <x:row r="472" ht="90" customHeight="1">
      <x:c r="A472" s="2" t="str">
        <x:v>ptt headset</x:v>
      </x:c>
      <x:c r="B472" s="15" t="str">
        <x:v>ptt headset, helmet radio kit, two-way radio headsets, tactical communication headset, tactical radio headset, motorcycle two way radio headset, imsa helmet radio kit, tactical gaming headset, combat headset, tactical communication headsets</x:v>
      </x:c>
      <x:c r="C472" s="10" t="n">
        <x:v>45</x:v>
      </x:c>
      <x:c r="D472" s="10" t="n">
        <x:v>122751</x:v>
      </x:c>
      <x:c r="E472" s="9" t="n">
        <x:v>30.5717</x:v>
      </x:c>
      <x:c r="F472" s="10" t="n">
        <x:v>58434</x:v>
      </x:c>
      <x:c r="G472" s="10" t="n">
        <x:v>884</x:v>
      </x:c>
      <x:c r="H472" s="9" t="n">
        <x:v>0.0267</x:v>
      </x:c>
      <x:c r="I472" s="9" t="n">
        <x:v>0.0072</x:v>
      </x:c>
      <x:c r="J472" s="9" t="n">
        <x:v>0.0373</x:v>
      </x:c>
      <x:c r="K472" s="9" t="n">
        <x:v>0.0002</x:v>
      </x:c>
      <x:c r="L472" s="10" t="n">
        <x:v>33</x:v>
      </x:c>
      <x:c r="M472" s="10" t="n">
        <x:v>630</x:v>
      </x:c>
      <x:c r="N472" s="9" t="n">
        <x:v>47.8299</x:v>
      </x:c>
      <x:c r="O472" s="10" t="n">
        <x:v>445</x:v>
      </x:c>
      <x:c r="P472" s="10" t="n">
        <x:v>23</x:v>
      </x:c>
      <x:c r="Q472" s="9" t="n">
        <x:v>0.7063</x:v>
      </x:c>
      <x:c r="R472" s="9" t="n">
        <x:v>0.0516</x:v>
      </x:c>
      <x:c r="S472" s="9" t="n">
        <x:v>0.0365</x:v>
      </x:c>
    </x:row>
    <x:row r="473" ht="147" customHeight="1">
      <x:c r="A473" s="2" t="str">
        <x:v>strawberry shortcake costume</x:v>
      </x:c>
      <x:c r="B473" s="15" t="str">
        <x:v>strawberry shortcake costume, strawberry shortcake costume women, strawberry shortcake halloween costume, adult strawberry shortcake costume dress, strawberry shortcake costume adult, strawberry shortcake adult costume, adult strawberry shortcake costume, strawberry shortcake costumes, womens strawberry shortcake costume, strawberry shortcake costume for adults</x:v>
      </x:c>
      <x:c r="C473" s="10" t="n">
        <x:v>77</x:v>
      </x:c>
      <x:c r="D473" s="10" t="n">
        <x:v>122162</x:v>
      </x:c>
      <x:c r="E473" s="9" t="n">
        <x:v>1.8698</x:v>
      </x:c>
      <x:c r="F473" s="10" t="n">
        <x:v>1218861</x:v>
      </x:c>
      <x:c r="G473" s="10" t="n">
        <x:v>39012</x:v>
      </x:c>
      <x:c r="H473" s="9" t="n">
        <x:v>2.0298</x:v>
      </x:c>
      <x:c r="I473" s="9" t="n">
        <x:v>0.3193</x:v>
      </x:c>
      <x:c r="J473" s="9" t="n">
        <x:v>0.0067</x:v>
      </x:c>
      <x:c r="K473" s="9" t="n">
        <x:v>0.0021</x:v>
      </x:c>
      <x:c r="L473" s="10" t="n">
        <x:v>264</x:v>
      </x:c>
      <x:c r="M473" s="10" t="n">
        <x:v>9772</x:v>
      </x:c>
      <x:c r="N473" s="9" t="n">
        <x:v>1.8749</x:v>
      </x:c>
      <x:c r="O473" s="10" t="n">
        <x:v>6630</x:v>
      </x:c>
      <x:c r="P473" s="10" t="n">
        <x:v>166</x:v>
      </x:c>
      <x:c r="Q473" s="9" t="n">
        <x:v>0.6784</x:v>
      </x:c>
      <x:c r="R473" s="9" t="n">
        <x:v>0.025</x:v>
      </x:c>
      <x:c r="S473" s="9" t="n">
        <x:v>0.0169</x:v>
      </x:c>
    </x:row>
    <x:row r="474" ht="90" customHeight="1">
      <x:c r="A474" s="2" t="str">
        <x:v>hiking shoes</x:v>
      </x:c>
      <x:c r="B474" s="15" t="str">
        <x:v>hiking shoes, hike shoes, hike, hike barefoot shoes, comfort hike shoes, hike sneakers, hike barefoot shoes women sale, bright footwear barefoot shoes, hike shoes on sale, hike shoes for women clearance</x:v>
      </x:c>
      <x:c r="C474" s="10" t="n">
        <x:v>88</x:v>
      </x:c>
      <x:c r="D474" s="10" t="n">
        <x:v>122093</x:v>
      </x:c>
      <x:c r="E474" s="9" t="str">
        <x:v>'-0.0455</x:v>
      </x:c>
      <x:c r="F474" s="10" t="n">
        <x:v>4213967</x:v>
      </x:c>
      <x:c r="G474" s="10" t="n">
        <x:v>35432</x:v>
      </x:c>
      <x:c r="H474" s="9" t="str">
        <x:v>'-0.0165</x:v>
      </x:c>
      <x:c r="I474" s="9" t="n">
        <x:v>0.2902</x:v>
      </x:c>
      <x:c r="J474" s="9" t="n">
        <x:v>0.0079</x:v>
      </x:c>
      <x:c r="K474" s="9" t="n">
        <x:v>0.0023</x:v>
      </x:c>
      <x:c r="L474" s="10" t="n">
        <x:v>281</x:v>
      </x:c>
      <x:c r="M474" s="10" t="n">
        <x:v>31457</x:v>
      </x:c>
      <x:c r="N474" s="9" t="str">
        <x:v>'-0.0343</x:v>
      </x:c>
      <x:c r="O474" s="10" t="n">
        <x:v>21331</x:v>
      </x:c>
      <x:c r="P474" s="10" t="n">
        <x:v>2674</x:v>
      </x:c>
      <x:c r="Q474" s="9" t="n">
        <x:v>0.6781</x:v>
      </x:c>
      <x:c r="R474" s="9" t="n">
        <x:v>0.1253</x:v>
      </x:c>
      <x:c r="S474" s="9" t="n">
        <x:v>0.085</x:v>
      </x:c>
    </x:row>
    <x:row r="475" ht="90" customHeight="1">
      <x:c r="A475" s="2" t="str">
        <x:v>toddler costume</x:v>
      </x:c>
      <x:c r="B475" s="15" t="str">
        <x:v>toddler costume, toddler bat costume, dalmatian costume baby, toddler cow costume, baby dalmatian costume, cow costume toddler, halloween toddler costume, monkey costume toddler, toddler monkey costume, dalmatian costume toddler</x:v>
      </x:c>
      <x:c r="C475" s="10" t="n">
        <x:v>139</x:v>
      </x:c>
      <x:c r="D475" s="10" t="n">
        <x:v>122089</x:v>
      </x:c>
      <x:c r="E475" s="9" t="n">
        <x:v>1.9161</x:v>
      </x:c>
      <x:c r="F475" s="10" t="n">
        <x:v>1799027</x:v>
      </x:c>
      <x:c r="G475" s="10" t="n">
        <x:v>46940</x:v>
      </x:c>
      <x:c r="H475" s="9" t="n">
        <x:v>2.1193</x:v>
      </x:c>
      <x:c r="I475" s="9" t="n">
        <x:v>0.3844</x:v>
      </x:c>
      <x:c r="J475" s="9" t="n">
        <x:v>0.0124</x:v>
      </x:c>
      <x:c r="K475" s="9" t="n">
        <x:v>0.0047</x:v>
      </x:c>
      <x:c r="L475" s="10" t="n">
        <x:v>586</x:v>
      </x:c>
      <x:c r="M475" s="10" t="n">
        <x:v>14658</x:v>
      </x:c>
      <x:c r="N475" s="9" t="n">
        <x:v>1.899</x:v>
      </x:c>
      <x:c r="O475" s="10" t="n">
        <x:v>11349</x:v>
      </x:c>
      <x:c r="P475" s="10" t="n">
        <x:v>519</x:v>
      </x:c>
      <x:c r="Q475" s="9" t="n">
        <x:v>0.7742</x:v>
      </x:c>
      <x:c r="R475" s="9" t="n">
        <x:v>0.0457</x:v>
      </x:c>
      <x:c r="S475" s="9" t="n">
        <x:v>0.0354</x:v>
      </x:c>
    </x:row>
    <x:row r="476" ht="90" customHeight="1">
      <x:c r="A476" s="2" t="str">
        <x:v>heated jacket</x:v>
      </x:c>
      <x:c r="B476" s="15" t="str">
        <x:v>heated jacket, heated jackets for men, womens heated jacket, mens heated jacket, heated coat for women, heated coat, heated jackets, heated coat for men, heated jacket for men, heated womens jacket</x:v>
      </x:c>
      <x:c r="C476" s="10" t="n">
        <x:v>169</x:v>
      </x:c>
      <x:c r="D476" s="10" t="n">
        <x:v>122064</x:v>
      </x:c>
      <x:c r="E476" s="9" t="n">
        <x:v>0.9847</x:v>
      </x:c>
      <x:c r="F476" s="10" t="n">
        <x:v>2008351</x:v>
      </x:c>
      <x:c r="G476" s="10" t="n">
        <x:v>39483</x:v>
      </x:c>
      <x:c r="H476" s="9" t="n">
        <x:v>1.1796</x:v>
      </x:c>
      <x:c r="I476" s="9" t="n">
        <x:v>0.3234</x:v>
      </x:c>
      <x:c r="J476" s="9" t="n">
        <x:v>0.0095</x:v>
      </x:c>
      <x:c r="K476" s="9" t="n">
        <x:v>0.003</x:v>
      </x:c>
      <x:c r="L476" s="10" t="n">
        <x:v>378</x:v>
      </x:c>
      <x:c r="M476" s="10" t="n">
        <x:v>16798</x:v>
      </x:c>
      <x:c r="N476" s="9" t="n">
        <x:v>0.8136</x:v>
      </x:c>
      <x:c r="O476" s="10" t="n">
        <x:v>11917</x:v>
      </x:c>
      <x:c r="P476" s="10" t="n">
        <x:v>548</x:v>
      </x:c>
      <x:c r="Q476" s="9" t="n">
        <x:v>0.7094</x:v>
      </x:c>
      <x:c r="R476" s="9" t="n">
        <x:v>0.0459</x:v>
      </x:c>
      <x:c r="S476" s="9" t="n">
        <x:v>0.0326</x:v>
      </x:c>
    </x:row>
    <x:row r="477" ht="109" customHeight="1">
      <x:c r="A477" s="2" t="str">
        <x:v>washing machine</x:v>
      </x:c>
      <x:c r="B477" s="15" t="str">
        <x:v>washing machine, top load washing machines, washing machines on clearance, washing machines, top load washing machine, top load washer, best top load washing machine, washing machine clearance sale, washing machines on sale, washing machine top load</x:v>
      </x:c>
      <x:c r="C477" s="10" t="n">
        <x:v>120</x:v>
      </x:c>
      <x:c r="D477" s="10" t="n">
        <x:v>121752</x:v>
      </x:c>
      <x:c r="E477" s="9" t="str">
        <x:v>'-0.0124</x:v>
      </x:c>
      <x:c r="F477" s="10" t="n">
        <x:v>2525324</x:v>
      </x:c>
      <x:c r="G477" s="10" t="n">
        <x:v>29908</x:v>
      </x:c>
      <x:c r="H477" s="9" t="str">
        <x:v>'-0.0502</x:v>
      </x:c>
      <x:c r="I477" s="9" t="n">
        <x:v>0.2456</x:v>
      </x:c>
      <x:c r="J477" s="9" t="n">
        <x:v>0.0106</x:v>
      </x:c>
      <x:c r="K477" s="9" t="n">
        <x:v>0.0026</x:v>
      </x:c>
      <x:c r="L477" s="10" t="n">
        <x:v>320</x:v>
      </x:c>
      <x:c r="M477" s="10" t="n">
        <x:v>25948</x:v>
      </x:c>
      <x:c r="N477" s="9" t="n">
        <x:v>0.0076</x:v>
      </x:c>
      <x:c r="O477" s="10" t="n">
        <x:v>13072</x:v>
      </x:c>
      <x:c r="P477" s="10" t="n">
        <x:v>383</x:v>
      </x:c>
      <x:c r="Q477" s="9" t="n">
        <x:v>0.5037</x:v>
      </x:c>
      <x:c r="R477" s="9" t="n">
        <x:v>0.0292</x:v>
      </x:c>
      <x:c r="S477" s="9" t="n">
        <x:v>0.0147</x:v>
      </x:c>
    </x:row>
    <x:row r="478" ht="71" customHeight="1">
      <x:c r="A478" s="2" t="str">
        <x:v>flag pole</x:v>
      </x:c>
      <x:c r="B478" s="15" t="str">
        <x:v>flag pole, flag pole kit, flagpole, flag poles, flagpoles, utv flag pole, flags for flag pole, spinning flag pole, flag pole for wind sock, flag pole and holder</x:v>
      </x:c>
      <x:c r="C478" s="10" t="n">
        <x:v>129</x:v>
      </x:c>
      <x:c r="D478" s="10" t="n">
        <x:v>121613</x:v>
      </x:c>
      <x:c r="E478" s="9" t="n">
        <x:v>0.1462</x:v>
      </x:c>
      <x:c r="F478" s="10" t="n">
        <x:v>3289520</x:v>
      </x:c>
      <x:c r="G478" s="10" t="n">
        <x:v>46252</x:v>
      </x:c>
      <x:c r="H478" s="9" t="n">
        <x:v>0.2151</x:v>
      </x:c>
      <x:c r="I478" s="9" t="n">
        <x:v>0.3803</x:v>
      </x:c>
      <x:c r="J478" s="9" t="n">
        <x:v>0.1434</x:v>
      </x:c>
      <x:c r="K478" s="9" t="n">
        <x:v>0.0545</x:v>
      </x:c>
      <x:c r="L478" s="10" t="n">
        <x:v>6635</x:v>
      </x:c>
      <x:c r="M478" s="10" t="n">
        <x:v>31703</x:v>
      </x:c>
      <x:c r="N478" s="9" t="n">
        <x:v>0.1367</x:v>
      </x:c>
      <x:c r="O478" s="10" t="n">
        <x:v>22959</x:v>
      </x:c>
      <x:c r="P478" s="10" t="n">
        <x:v>6914</x:v>
      </x:c>
      <x:c r="Q478" s="9" t="n">
        <x:v>0.7241</x:v>
      </x:c>
      <x:c r="R478" s="9" t="n">
        <x:v>0.3011</x:v>
      </x:c>
      <x:c r="S478" s="9" t="n">
        <x:v>0.218</x:v>
      </x:c>
    </x:row>
    <x:row r="479" ht="71" customHeight="1">
      <x:c r="A479" s="2" t="str">
        <x:v>fall jacket</x:v>
      </x:c>
      <x:c r="B479" s="15" t="str">
        <x:v>fall jacket, fall jackets, western jacket, fall coats, brown bomber jacket, cute fall jacket, cute fall jackets, trendy jackets, going out jackets, jacket fall</x:v>
      </x:c>
      <x:c r="C479" s="10" t="n">
        <x:v>97</x:v>
      </x:c>
      <x:c r="D479" s="10" t="n">
        <x:v>121444</x:v>
      </x:c>
      <x:c r="E479" s="9" t="n">
        <x:v>1.4488</x:v>
      </x:c>
      <x:c r="F479" s="10" t="n">
        <x:v>2249232</x:v>
      </x:c>
      <x:c r="G479" s="10" t="n">
        <x:v>34149</x:v>
      </x:c>
      <x:c r="H479" s="9" t="n">
        <x:v>1.5336</x:v>
      </x:c>
      <x:c r="I479" s="9" t="n">
        <x:v>0.2811</x:v>
      </x:c>
      <x:c r="J479" s="9" t="n">
        <x:v>0.0078</x:v>
      </x:c>
      <x:c r="K479" s="9" t="n">
        <x:v>0.0021</x:v>
      </x:c>
      <x:c r="L479" s="10" t="n">
        <x:v>267</x:v>
      </x:c>
      <x:c r="M479" s="10" t="n">
        <x:v>13839</x:v>
      </x:c>
      <x:c r="N479" s="9" t="n">
        <x:v>1.3636</x:v>
      </x:c>
      <x:c r="O479" s="10" t="n">
        <x:v>10523</x:v>
      </x:c>
      <x:c r="P479" s="10" t="n">
        <x:v>486</x:v>
      </x:c>
      <x:c r="Q479" s="9" t="n">
        <x:v>0.7603</x:v>
      </x:c>
      <x:c r="R479" s="9" t="n">
        <x:v>0.0461</x:v>
      </x:c>
      <x:c r="S479" s="9" t="n">
        <x:v>0.0351</x:v>
      </x:c>
    </x:row>
    <x:row r="480" ht="71" customHeight="1">
      <x:c r="A480" s="2" t="str">
        <x:v>red going out top</x:v>
      </x:c>
      <x:c r="B480" s="15" t="str">
        <x:v>red going out top, red halter top, red halter, red cowl neck top, halter top red, red tie front top, red halter neck top, red halter too, halter red top, red halter tank top</x:v>
      </x:c>
      <x:c r="C480" s="10" t="n">
        <x:v>88</x:v>
      </x:c>
      <x:c r="D480" s="10" t="n">
        <x:v>121244</x:v>
      </x:c>
      <x:c r="E480" s="9" t="n">
        <x:v>0.4435</x:v>
      </x:c>
      <x:c r="F480" s="10" t="n">
        <x:v>3511799</x:v>
      </x:c>
      <x:c r="G480" s="10" t="n">
        <x:v>33738</x:v>
      </x:c>
      <x:c r="H480" s="9" t="n">
        <x:v>0.4844</x:v>
      </x:c>
      <x:c r="I480" s="9" t="n">
        <x:v>0.2782</x:v>
      </x:c>
      <x:c r="J480" s="9" t="n">
        <x:v>0.028</x:v>
      </x:c>
      <x:c r="K480" s="9" t="n">
        <x:v>0.0078</x:v>
      </x:c>
      <x:c r="L480" s="10" t="n">
        <x:v>946</x:v>
      </x:c>
      <x:c r="M480" s="10" t="n">
        <x:v>15358</x:v>
      </x:c>
      <x:c r="N480" s="9" t="n">
        <x:v>0.3582</x:v>
      </x:c>
      <x:c r="O480" s="10" t="n">
        <x:v>12707</x:v>
      </x:c>
      <x:c r="P480" s="10" t="n">
        <x:v>1940</x:v>
      </x:c>
      <x:c r="Q480" s="9" t="n">
        <x:v>0.8273</x:v>
      </x:c>
      <x:c r="R480" s="9" t="n">
        <x:v>0.1526</x:v>
      </x:c>
      <x:c r="S480" s="9" t="n">
        <x:v>0.1263</x:v>
      </x:c>
    </x:row>
    <x:row r="481" ht="90" customHeight="1">
      <x:c r="A481" s="2" t="str">
        <x:v>chucky doll</x:v>
      </x:c>
      <x:c r="B481" s="15" t="str">
        <x:v>chucky doll, chucky muñeco, muñeco chucky, chucky dolls, chucky animatronic, muñeco de chucky original, muñeco de chucky, muñeco chucky original, chucky muñeco original, remote control chucky doll</x:v>
      </x:c>
      <x:c r="C481" s="10" t="n">
        <x:v>147</x:v>
      </x:c>
      <x:c r="D481" s="10" t="n">
        <x:v>120845</x:v>
      </x:c>
      <x:c r="E481" s="9" t="str">
        <x:v>'-0.0992</x:v>
      </x:c>
      <x:c r="F481" s="10" t="n">
        <x:v>2077788</x:v>
      </x:c>
      <x:c r="G481" s="10" t="n">
        <x:v>43197</x:v>
      </x:c>
      <x:c r="H481" s="9" t="str">
        <x:v>'-0.1285</x:v>
      </x:c>
      <x:c r="I481" s="9" t="n">
        <x:v>0.3574</x:v>
      </x:c>
      <x:c r="J481" s="9" t="n">
        <x:v>0.0115</x:v>
      </x:c>
      <x:c r="K481" s="9" t="n">
        <x:v>0.0041</x:v>
      </x:c>
      <x:c r="L481" s="10" t="n">
        <x:v>498</x:v>
      </x:c>
      <x:c r="M481" s="10" t="n">
        <x:v>20653</x:v>
      </x:c>
      <x:c r="N481" s="9" t="str">
        <x:v>'-0.0888</x:v>
      </x:c>
      <x:c r="O481" s="10" t="n">
        <x:v>13910</x:v>
      </x:c>
      <x:c r="P481" s="10" t="n">
        <x:v>371</x:v>
      </x:c>
      <x:c r="Q481" s="9" t="n">
        <x:v>0.6735</x:v>
      </x:c>
      <x:c r="R481" s="9" t="n">
        <x:v>0.0266</x:v>
      </x:c>
      <x:c r="S481" s="9" t="n">
        <x:v>0.0179</x:v>
      </x:c>
    </x:row>
    <x:row r="482" ht="109" customHeight="1">
      <x:c r="A482" s="2" t="str">
        <x:v>bamboo mattress topper</x:v>
      </x:c>
      <x:c r="B482" s="15" t="str">
        <x:v>bamboo mattress topper, bamboo cooling mattress topper, hanare bamboo mattress topper, orthobed bamboo mattress topper, bamboo bed topper, bamboo mattress pad, bamboo topper, mattress topper bamboo, cooling bamboo mattress topper, true sleep bamboo mattress topper</x:v>
      </x:c>
      <x:c r="C482" s="10" t="n">
        <x:v>171</x:v>
      </x:c>
      <x:c r="D482" s="10" t="n">
        <x:v>120639</x:v>
      </x:c>
      <x:c r="E482" s="9" t="n">
        <x:v>0.1724</x:v>
      </x:c>
      <x:c r="F482" s="10" t="n">
        <x:v>3444928</x:v>
      </x:c>
      <x:c r="G482" s="10" t="n">
        <x:v>55644</x:v>
      </x:c>
      <x:c r="H482" s="9" t="n">
        <x:v>0.2227</x:v>
      </x:c>
      <x:c r="I482" s="9" t="n">
        <x:v>0.4612</x:v>
      </x:c>
      <x:c r="J482" s="9" t="n">
        <x:v>0.0612</x:v>
      </x:c>
      <x:c r="K482" s="9" t="n">
        <x:v>0.0282</x:v>
      </x:c>
      <x:c r="L482" s="10" t="n">
        <x:v>3407</x:v>
      </x:c>
      <x:c r="M482" s="10" t="n">
        <x:v>47581</x:v>
      </x:c>
      <x:c r="N482" s="9" t="n">
        <x:v>0.1739</x:v>
      </x:c>
      <x:c r="O482" s="10" t="n">
        <x:v>41112</x:v>
      </x:c>
      <x:c r="P482" s="10" t="n">
        <x:v>8681</x:v>
      </x:c>
      <x:c r="Q482" s="9" t="n">
        <x:v>0.864</x:v>
      </x:c>
      <x:c r="R482" s="9" t="n">
        <x:v>0.2111</x:v>
      </x:c>
      <x:c r="S482" s="9" t="n">
        <x:v>0.1824</x:v>
      </x:c>
    </x:row>
    <x:row r="483" ht="109" customHeight="1">
      <x:c r="A483" s="2" t="str">
        <x:v>cartilage earrings for women</x:v>
      </x:c>
      <x:c r="B483" s="15" t="str">
        <x:v>cartilage earrings for women, cartilage earrings, upper ear cartilage earring, ear cartilage earrings, hypoallergenic cartilage earrings, earrings cartilage, hypoallergenic helix earrings, leaf stud earrings, earring for helix piercing, earrings for top of ear</x:v>
      </x:c>
      <x:c r="C483" s="10" t="n">
        <x:v>129</x:v>
      </x:c>
      <x:c r="D483" s="10" t="n">
        <x:v>120495</x:v>
      </x:c>
      <x:c r="E483" s="9" t="n">
        <x:v>0.0153</x:v>
      </x:c>
      <x:c r="F483" s="10" t="n">
        <x:v>4293545</x:v>
      </x:c>
      <x:c r="G483" s="10" t="n">
        <x:v>48086</x:v>
      </x:c>
      <x:c r="H483" s="9" t="str">
        <x:v>'-0.01</x:v>
      </x:c>
      <x:c r="I483" s="9" t="n">
        <x:v>0.399</x:v>
      </x:c>
      <x:c r="J483" s="9" t="n">
        <x:v>0.0654</x:v>
      </x:c>
      <x:c r="K483" s="9" t="n">
        <x:v>0.0261</x:v>
      </x:c>
      <x:c r="L483" s="10" t="n">
        <x:v>3148</x:v>
      </x:c>
      <x:c r="M483" s="10" t="n">
        <x:v>25656</x:v>
      </x:c>
      <x:c r="N483" s="9" t="n">
        <x:v>0.0069</x:v>
      </x:c>
      <x:c r="O483" s="10" t="n">
        <x:v>20361</x:v>
      </x:c>
      <x:c r="P483" s="10" t="n">
        <x:v>4382</x:v>
      </x:c>
      <x:c r="Q483" s="9" t="n">
        <x:v>0.7936</x:v>
      </x:c>
      <x:c r="R483" s="9" t="n">
        <x:v>0.2152</x:v>
      </x:c>
      <x:c r="S483" s="9" t="n">
        <x:v>0.1707</x:v>
      </x:c>
    </x:row>
    <x:row r="484" ht="109" customHeight="1">
      <x:c r="A484" s="2" t="str">
        <x:v>black leather shorts</x:v>
      </x:c>
      <x:c r="B484" s="15" t="str">
        <x:v>black leather shorts, leather black shorts, black shorts leather, womens black leather shorts, black leather shorts low rise, black leather shorts high waisted, black leather short, black leather booty shorts, black leather shorts with belt, leather shorts black</x:v>
      </x:c>
      <x:c r="C484" s="10" t="n">
        <x:v>142</x:v>
      </x:c>
      <x:c r="D484" s="10" t="n">
        <x:v>120352</x:v>
      </x:c>
      <x:c r="E484" s="9" t="n">
        <x:v>0.4405</x:v>
      </x:c>
      <x:c r="F484" s="10" t="n">
        <x:v>3108583</x:v>
      </x:c>
      <x:c r="G484" s="10" t="n">
        <x:v>35569</x:v>
      </x:c>
      <x:c r="H484" s="9" t="n">
        <x:v>0.3965</x:v>
      </x:c>
      <x:c r="I484" s="9" t="n">
        <x:v>0.2955</x:v>
      </x:c>
      <x:c r="J484" s="9" t="n">
        <x:v>0.029</x:v>
      </x:c>
      <x:c r="K484" s="9" t="n">
        <x:v>0.0085</x:v>
      </x:c>
      <x:c r="L484" s="10" t="n">
        <x:v>1034</x:v>
      </x:c>
      <x:c r="M484" s="10" t="n">
        <x:v>21167</x:v>
      </x:c>
      <x:c r="N484" s="9" t="n">
        <x:v>0.4632</x:v>
      </x:c>
      <x:c r="O484" s="10" t="n">
        <x:v>17565</x:v>
      </x:c>
      <x:c r="P484" s="10" t="n">
        <x:v>2924</x:v>
      </x:c>
      <x:c r="Q484" s="9" t="n">
        <x:v>0.8298</x:v>
      </x:c>
      <x:c r="R484" s="9" t="n">
        <x:v>0.1664</x:v>
      </x:c>
      <x:c r="S484" s="9" t="n">
        <x:v>0.1381</x:v>
      </x:c>
    </x:row>
    <x:row r="485" ht="109" customHeight="1">
      <x:c r="A485" s="2" t="str">
        <x:v>minnie mouse costume</x:v>
      </x:c>
      <x:c r="B485" s="15" t="str">
        <x:v>minnie mouse costume, minnie mouse costume toddler, toddler minnie mouse costume, minnie mouse toddler costume, minnie mouse costume 2t, minnie mouse costume 3t, disfraz de minnie mouse para niña, minnie mouse baby costume, minnie mouse halloween costume toddler, 2t minnie mouse costume</x:v>
      </x:c>
      <x:c r="C485" s="10" t="n">
        <x:v>185</x:v>
      </x:c>
      <x:c r="D485" s="10" t="n">
        <x:v>120202</x:v>
      </x:c>
      <x:c r="E485" s="9" t="n">
        <x:v>1.7915</x:v>
      </x:c>
      <x:c r="F485" s="10" t="n">
        <x:v>1672741</x:v>
      </x:c>
      <x:c r="G485" s="10" t="n">
        <x:v>48278</x:v>
      </x:c>
      <x:c r="H485" s="9" t="n">
        <x:v>1.8</x:v>
      </x:c>
      <x:c r="I485" s="9" t="n">
        <x:v>0.4016</x:v>
      </x:c>
      <x:c r="J485" s="9" t="n">
        <x:v>0.0151</x:v>
      </x:c>
      <x:c r="K485" s="9" t="n">
        <x:v>0.006</x:v>
      </x:c>
      <x:c r="L485" s="10" t="n">
        <x:v>731</x:v>
      </x:c>
      <x:c r="M485" s="10" t="n">
        <x:v>14217</x:v>
      </x:c>
      <x:c r="N485" s="9" t="n">
        <x:v>1.7788</x:v>
      </x:c>
      <x:c r="O485" s="10" t="n">
        <x:v>10741</x:v>
      </x:c>
      <x:c r="P485" s="10" t="n">
        <x:v>576</x:v>
      </x:c>
      <x:c r="Q485" s="9" t="n">
        <x:v>0.7555</x:v>
      </x:c>
      <x:c r="R485" s="9" t="n">
        <x:v>0.0536</x:v>
      </x:c>
      <x:c r="S485" s="9" t="n">
        <x:v>0.0405</x:v>
      </x:c>
    </x:row>
    <x:row r="486" ht="109" customHeight="1">
      <x:c r="A486" s="2" t="str">
        <x:v>womens watches</x:v>
      </x:c>
      <x:c r="B486" s="15" t="str">
        <x:v>womens watches, stainless steel watches for women, womens stainless steel watch, stainless steel womens watch, women stainless steel watch, stainless steel watch women, reloj acero inoxidable mujer, womens watch stainless steel, womens stainless steel watches, stainless steel watch for women</x:v>
      </x:c>
      <x:c r="C486" s="10" t="n">
        <x:v>45</x:v>
      </x:c>
      <x:c r="D486" s="10" t="n">
        <x:v>120107</x:v>
      </x:c>
      <x:c r="E486" s="9" t="n">
        <x:v>0.0827</x:v>
      </x:c>
      <x:c r="F486" s="10" t="n">
        <x:v>3725717</x:v>
      </x:c>
      <x:c r="G486" s="10" t="n">
        <x:v>36589</x:v>
      </x:c>
      <x:c r="H486" s="9" t="n">
        <x:v>0.0784</x:v>
      </x:c>
      <x:c r="I486" s="9" t="n">
        <x:v>0.3046</x:v>
      </x:c>
      <x:c r="J486" s="9" t="n">
        <x:v>0.0295</x:v>
      </x:c>
      <x:c r="K486" s="9" t="n">
        <x:v>0.009</x:v>
      </x:c>
      <x:c r="L486" s="10" t="n">
        <x:v>1081</x:v>
      </x:c>
      <x:c r="M486" s="10" t="n">
        <x:v>16093</x:v>
      </x:c>
      <x:c r="N486" s="9" t="n">
        <x:v>0.0752</x:v>
      </x:c>
      <x:c r="O486" s="10" t="n">
        <x:v>11834</x:v>
      </x:c>
      <x:c r="P486" s="10" t="n">
        <x:v>1809</x:v>
      </x:c>
      <x:c r="Q486" s="9" t="n">
        <x:v>0.7353</x:v>
      </x:c>
      <x:c r="R486" s="9" t="n">
        <x:v>0.1528</x:v>
      </x:c>
      <x:c r="S486" s="9" t="n">
        <x:v>0.1124</x:v>
      </x:c>
    </x:row>
    <x:row r="487" ht="71" customHeight="1">
      <x:c r="A487" s="2" t="str">
        <x:v>jackass</x:v>
      </x:c>
      <x:c r="B487" s="15" t="str">
        <x:v>jackass, jackass dvd, jackass blu ray, jackass dvd collection, jackass box set, jackass all movies, jackass bluray, jackass blu ray collection, jackass dvd set, jackass dvds</x:v>
      </x:c>
      <x:c r="C487" s="10" t="n">
        <x:v>14</x:v>
      </x:c>
      <x:c r="D487" s="10" t="n">
        <x:v>119283</x:v>
      </x:c>
      <x:c r="E487" s="9" t="str">
        <x:v>'-0.4099</x:v>
      </x:c>
      <x:c r="F487" s="10" t="n">
        <x:v>1307221</x:v>
      </x:c>
      <x:c r="G487" s="10" t="n">
        <x:v>15449</x:v>
      </x:c>
      <x:c r="H487" s="9" t="n">
        <x:v>2.7101</x:v>
      </x:c>
      <x:c r="I487" s="9" t="n">
        <x:v>0.1295</x:v>
      </x:c>
      <x:c r="J487" s="9" t="n">
        <x:v>0.0061</x:v>
      </x:c>
      <x:c r="K487" s="9" t="n">
        <x:v>0.0007</x:v>
      </x:c>
      <x:c r="L487" s="10" t="n">
        <x:v>95</x:v>
      </x:c>
      <x:c r="M487" s="10" t="n">
        <x:v>25611</x:v>
      </x:c>
      <x:c r="N487" s="9" t="str">
        <x:v>'-0.4033</x:v>
      </x:c>
      <x:c r="O487" s="10" t="n">
        <x:v>15415</x:v>
      </x:c>
      <x:c r="P487" s="10" t="n">
        <x:v>123</x:v>
      </x:c>
      <x:c r="Q487" s="9" t="n">
        <x:v>0.6018</x:v>
      </x:c>
      <x:c r="R487" s="9" t="n">
        <x:v>0.0079</x:v>
      </x:c>
      <x:c r="S487" s="9" t="n">
        <x:v>0.0048</x:v>
      </x:c>
    </x:row>
    <x:row r="488" ht="109" customHeight="1">
      <x:c r="A488" s="2" t="str">
        <x:v>throne of glass series</x:v>
      </x:c>
      <x:c r="B488" s="15" t="str">
        <x:v>throne of glass series, throne of glass box set, throne of glass series box set, a throne of glass series, throne of glass hardcover box set, throne if glass series, thrones of glass series, throne of glass book 2, throne of glass book set, throne if glass</x:v>
      </x:c>
      <x:c r="C488" s="10" t="n">
        <x:v>123</x:v>
      </x:c>
      <x:c r="D488" s="10" t="n">
        <x:v>119241</x:v>
      </x:c>
      <x:c r="E488" s="9" t="str">
        <x:v>'-0.0638</x:v>
      </x:c>
      <x:c r="F488" s="10" t="n">
        <x:v>2409966</x:v>
      </x:c>
      <x:c r="G488" s="10" t="n">
        <x:v>71238</x:v>
      </x:c>
      <x:c r="H488" s="9" t="str">
        <x:v>'-0.0807</x:v>
      </x:c>
      <x:c r="I488" s="9" t="n">
        <x:v>0.5974</x:v>
      </x:c>
      <x:c r="J488" s="9" t="n">
        <x:v>0.0953</x:v>
      </x:c>
      <x:c r="K488" s="9" t="n">
        <x:v>0.0569</x:v>
      </x:c>
      <x:c r="L488" s="10" t="n">
        <x:v>6791</x:v>
      </x:c>
      <x:c r="M488" s="10" t="n">
        <x:v>55389</x:v>
      </x:c>
      <x:c r="N488" s="9" t="str">
        <x:v>'-0.0696</x:v>
      </x:c>
      <x:c r="O488" s="10" t="n">
        <x:v>44998</x:v>
      </x:c>
      <x:c r="P488" s="10" t="n">
        <x:v>7636</x:v>
      </x:c>
      <x:c r="Q488" s="9" t="n">
        <x:v>0.8123</x:v>
      </x:c>
      <x:c r="R488" s="9" t="n">
        <x:v>0.1696</x:v>
      </x:c>
      <x:c r="S488" s="9" t="n">
        <x:v>0.1378</x:v>
      </x:c>
    </x:row>
    <x:row r="489" ht="109" customHeight="1">
      <x:c r="A489" s="2" t="str">
        <x:v>medias de compresión para mujer</x:v>
      </x:c>
      <x:c r="B489" s="15" t="str">
        <x:v>medias de compresión para mujer, medias de compresión para varices, medias de compresión, medias de compresión mujer, medias de compresion mujer, womens compression, womens support hose, medias de compresion para varices, medias de descanso para mujer varices, medias cortas de compresión para mujer</x:v>
      </x:c>
      <x:c r="C489" s="10" t="n">
        <x:v>48</x:v>
      </x:c>
      <x:c r="D489" s="10" t="n">
        <x:v>119240</x:v>
      </x:c>
      <x:c r="E489" s="9" t="str">
        <x:v>'-0.0064</x:v>
      </x:c>
      <x:c r="F489" s="10" t="n">
        <x:v>3107297</x:v>
      </x:c>
      <x:c r="G489" s="10" t="n">
        <x:v>52366</x:v>
      </x:c>
      <x:c r="H489" s="9" t="n">
        <x:v>0.0238</x:v>
      </x:c>
      <x:c r="I489" s="9" t="n">
        <x:v>0.4391</x:v>
      </x:c>
      <x:c r="J489" s="9" t="n">
        <x:v>0.0338</x:v>
      </x:c>
      <x:c r="K489" s="9" t="n">
        <x:v>0.0148</x:v>
      </x:c>
      <x:c r="L489" s="10" t="n">
        <x:v>1771</x:v>
      </x:c>
      <x:c r="M489" s="10" t="n">
        <x:v>25574</x:v>
      </x:c>
      <x:c r="N489" s="9" t="n">
        <x:v>0.0036</x:v>
      </x:c>
      <x:c r="O489" s="10" t="n">
        <x:v>21037</x:v>
      </x:c>
      <x:c r="P489" s="10" t="n">
        <x:v>4019</x:v>
      </x:c>
      <x:c r="Q489" s="9" t="n">
        <x:v>0.8225</x:v>
      </x:c>
      <x:c r="R489" s="9" t="n">
        <x:v>0.191</x:v>
      </x:c>
      <x:c r="S489" s="9" t="n">
        <x:v>0.1571</x:v>
      </x:c>
    </x:row>
    <x:row r="490" ht="90" customHeight="1">
      <x:c r="A490" s="2" t="str">
        <x:v>turkey lunch meat</x:v>
      </x:c>
      <x:c r="B490" s="15" t="str">
        <x:v>turkey lunch meat, turkey deli meat, deli meat turkey, turkey sandwich, honey roasted turkey, lunch meat turkey, turkey sandwich meat, deli sliced turkey, honey baked turkey, sandwich turkey</x:v>
      </x:c>
      <x:c r="C490" s="10" t="n">
        <x:v>74</x:v>
      </x:c>
      <x:c r="D490" s="10" t="n">
        <x:v>119226</x:v>
      </x:c>
      <x:c r="E490" s="9" t="n">
        <x:v>0.008</x:v>
      </x:c>
      <x:c r="F490" s="10" t="n">
        <x:v>2765353</x:v>
      </x:c>
      <x:c r="G490" s="10" t="n">
        <x:v>49393</x:v>
      </x:c>
      <x:c r="H490" s="9" t="str">
        <x:v>'-0.0387</x:v>
      </x:c>
      <x:c r="I490" s="9" t="n">
        <x:v>0.4142</x:v>
      </x:c>
      <x:c r="J490" s="9" t="n">
        <x:v>0.4355</x:v>
      </x:c>
      <x:c r="K490" s="9" t="n">
        <x:v>0.1804</x:v>
      </x:c>
      <x:c r="L490" s="10" t="n">
        <x:v>21511</x:v>
      </x:c>
      <x:c r="M490" s="10" t="n">
        <x:v>46505</x:v>
      </x:c>
      <x:c r="N490" s="9" t="n">
        <x:v>0.0032</x:v>
      </x:c>
      <x:c r="O490" s="10" t="n">
        <x:v>42202</x:v>
      </x:c>
      <x:c r="P490" s="10" t="n">
        <x:v>24728</x:v>
      </x:c>
      <x:c r="Q490" s="9" t="n">
        <x:v>0.9074</x:v>
      </x:c>
      <x:c r="R490" s="9" t="n">
        <x:v>0.5859</x:v>
      </x:c>
      <x:c r="S490" s="9" t="n">
        <x:v>0.5317</x:v>
      </x:c>
    </x:row>
    <x:row r="491" ht="90" customHeight="1">
      <x:c r="A491" s="2" t="str">
        <x:v>humanoid robot</x:v>
      </x:c>
      <x:c r="B491" s="15" t="str">
        <x:v>humanoid robot, robot humanoid, robot humanoide, humanoid robot for adults, robot human, humanoid robot for sale, ai robot for adults, robots humanoides, life size humanoid robot for sale, humanoid robot for adults ai</x:v>
      </x:c>
      <x:c r="C491" s="10" t="n">
        <x:v>74</x:v>
      </x:c>
      <x:c r="D491" s="10" t="n">
        <x:v>118979</x:v>
      </x:c>
      <x:c r="E491" s="9" t="n">
        <x:v>3.7096</x:v>
      </x:c>
      <x:c r="F491" s="10" t="n">
        <x:v>609357</x:v>
      </x:c>
      <x:c r="G491" s="10" t="n">
        <x:v>60182</x:v>
      </x:c>
      <x:c r="H491" s="9" t="n">
        <x:v>5.2669</x:v>
      </x:c>
      <x:c r="I491" s="9" t="n">
        <x:v>0.5058</x:v>
      </x:c>
      <x:c r="J491" s="9" t="n">
        <x:v>0.0007</x:v>
      </x:c>
      <x:c r="K491" s="9" t="n">
        <x:v>0.0004</x:v>
      </x:c>
      <x:c r="L491" s="10" t="n">
        <x:v>48</x:v>
      </x:c>
      <x:c r="M491" s="10" t="n">
        <x:v>6627</x:v>
      </x:c>
      <x:c r="N491" s="9" t="n">
        <x:v>3.7947</x:v>
      </x:c>
      <x:c r="O491" s="10" t="n">
        <x:v>4521</x:v>
      </x:c>
      <x:c r="P491" s="10" t="n">
        <x:v>32</x:v>
      </x:c>
      <x:c r="Q491" s="9" t="n">
        <x:v>0.6822</x:v>
      </x:c>
      <x:c r="R491" s="9" t="n">
        <x:v>0.007</x:v>
      </x:c>
      <x:c r="S491" s="9" t="n">
        <x:v>0.0048</x:v>
      </x:c>
    </x:row>
    <x:row r="492" ht="71" customHeight="1">
      <x:c r="A492" s="2" t="str">
        <x:v>dairy free yogurt</x:v>
      </x:c>
      <x:c r="B492" s="15" t="str">
        <x:v>dairy free yogurt, vegan yogurt, non dairy yogurt, forager yogurt, soy yogurt, cashew yogurt, yogurt dairy free, silk soy yogurt, yogurt non dairy, yogurt vegan</x:v>
      </x:c>
      <x:c r="C492" s="10" t="n">
        <x:v>75</x:v>
      </x:c>
      <x:c r="D492" s="10" t="n">
        <x:v>118688</x:v>
      </x:c>
      <x:c r="E492" s="9" t="n">
        <x:v>0.114</x:v>
      </x:c>
      <x:c r="F492" s="10" t="n">
        <x:v>2687851</x:v>
      </x:c>
      <x:c r="G492" s="10" t="n">
        <x:v>48844</x:v>
      </x:c>
      <x:c r="H492" s="9" t="n">
        <x:v>0.0236</x:v>
      </x:c>
      <x:c r="I492" s="9" t="n">
        <x:v>0.4115</x:v>
      </x:c>
      <x:c r="J492" s="9" t="n">
        <x:v>0.223</x:v>
      </x:c>
      <x:c r="K492" s="9" t="n">
        <x:v>0.0917</x:v>
      </x:c>
      <x:c r="L492" s="10" t="n">
        <x:v>10894</x:v>
      </x:c>
      <x:c r="M492" s="10" t="n">
        <x:v>30231</x:v>
      </x:c>
      <x:c r="N492" s="9" t="n">
        <x:v>0.106</x:v>
      </x:c>
      <x:c r="O492" s="10" t="n">
        <x:v>25230</x:v>
      </x:c>
      <x:c r="P492" s="10" t="n">
        <x:v>9592</x:v>
      </x:c>
      <x:c r="Q492" s="9" t="n">
        <x:v>0.8345</x:v>
      </x:c>
      <x:c r="R492" s="9" t="n">
        <x:v>0.3801</x:v>
      </x:c>
      <x:c r="S492" s="9" t="n">
        <x:v>0.3172</x:v>
      </x:c>
    </x:row>
    <x:row r="493" ht="90" customHeight="1">
      <x:c r="A493" s="2" t="str">
        <x:v>green dress women</x:v>
      </x:c>
      <x:c r="B493" s="15" t="str">
        <x:v>green dress women, women green dress, green church dress for women, green wrap dress, green a line dress, green funeral dress for women, vestidos color verde, casual green dress for women, green summer dresses, green garden party dress</x:v>
      </x:c>
      <x:c r="C493" s="10" t="n">
        <x:v>112</x:v>
      </x:c>
      <x:c r="D493" s="10" t="n">
        <x:v>118405</x:v>
      </x:c>
      <x:c r="E493" s="9" t="n">
        <x:v>0.0115</x:v>
      </x:c>
      <x:c r="F493" s="10" t="n">
        <x:v>3678412</x:v>
      </x:c>
      <x:c r="G493" s="10" t="n">
        <x:v>29122</x:v>
      </x:c>
      <x:c r="H493" s="9" t="n">
        <x:v>0.0428</x:v>
      </x:c>
      <x:c r="I493" s="9" t="n">
        <x:v>0.2459</x:v>
      </x:c>
      <x:c r="J493" s="9" t="n">
        <x:v>0.0143</x:v>
      </x:c>
      <x:c r="K493" s="9" t="n">
        <x:v>0.0035</x:v>
      </x:c>
      <x:c r="L493" s="10" t="n">
        <x:v>419</x:v>
      </x:c>
      <x:c r="M493" s="10" t="n">
        <x:v>15671</x:v>
      </x:c>
      <x:c r="N493" s="9" t="n">
        <x:v>0.0485</x:v>
      </x:c>
      <x:c r="O493" s="10" t="n">
        <x:v>12380</x:v>
      </x:c>
      <x:c r="P493" s="10" t="n">
        <x:v>1357</x:v>
      </x:c>
      <x:c r="Q493" s="9" t="n">
        <x:v>0.7899</x:v>
      </x:c>
      <x:c r="R493" s="9" t="n">
        <x:v>0.1096</x:v>
      </x:c>
      <x:c r="S493" s="9" t="n">
        <x:v>0.0865</x:v>
      </x:c>
    </x:row>
    <x:row r="494" ht="90" customHeight="1">
      <x:c r="A494" s="2" t="str">
        <x:v>sex games</x:v>
      </x:c>
      <x:c r="B494" s="15" t="str">
        <x:v>sex games, sex game, sex games for couples, couples sex games, sex position cards, fun sex bedroom games for couples, couples sex game, couple sex games, sex games for adults, juegos sexuales para parejas</x:v>
      </x:c>
      <x:c r="C494" s="10" t="n">
        <x:v>81</x:v>
      </x:c>
      <x:c r="D494" s="10" t="n">
        <x:v>118100</x:v>
      </x:c>
      <x:c r="E494" s="9" t="str">
        <x:v>'-0.0216</x:v>
      </x:c>
      <x:c r="F494" s="10" t="n">
        <x:v>1446401</x:v>
      </x:c>
      <x:c r="G494" s="10" t="n">
        <x:v>55357</x:v>
      </x:c>
      <x:c r="H494" s="9" t="str">
        <x:v>'-0.0126</x:v>
      </x:c>
      <x:c r="I494" s="9" t="n">
        <x:v>0.4687</x:v>
      </x:c>
      <x:c r="J494" s="9" t="n">
        <x:v>0.0339</x:v>
      </x:c>
      <x:c r="K494" s="9" t="n">
        <x:v>0.0159</x:v>
      </x:c>
      <x:c r="L494" s="10" t="n">
        <x:v>1882</x:v>
      </x:c>
      <x:c r="M494" s="10" t="n">
        <x:v>14159</x:v>
      </x:c>
      <x:c r="N494" s="9" t="str">
        <x:v>'-0.0383</x:v>
      </x:c>
      <x:c r="O494" s="10" t="n">
        <x:v>12233</x:v>
      </x:c>
      <x:c r="P494" s="10" t="n">
        <x:v>1622</x:v>
      </x:c>
      <x:c r="Q494" s="9" t="n">
        <x:v>0.8639</x:v>
      </x:c>
      <x:c r="R494" s="9" t="n">
        <x:v>0.1325</x:v>
      </x:c>
      <x:c r="S494" s="9" t="n">
        <x:v>0.1145</x:v>
      </x:c>
    </x:row>
    <x:row r="495" ht="90" customHeight="1">
      <x:c r="A495" s="2" t="str">
        <x:v>large wall art</x:v>
      </x:c>
      <x:c r="B495" s="15" t="str">
        <x:v>large wall art, wall art large, large paintings, large 3d wall art, large wall prints, large contemporary wall art, very large wall art, large wall art abstract, 3 piece large wall art, large art for wall</x:v>
      </x:c>
      <x:c r="C495" s="10" t="n">
        <x:v>61</x:v>
      </x:c>
      <x:c r="D495" s="10" t="n">
        <x:v>118093</x:v>
      </x:c>
      <x:c r="E495" s="9" t="str">
        <x:v>'-0.0965</x:v>
      </x:c>
      <x:c r="F495" s="10" t="n">
        <x:v>3685179</x:v>
      </x:c>
      <x:c r="G495" s="10" t="n">
        <x:v>43979</x:v>
      </x:c>
      <x:c r="H495" s="9" t="str">
        <x:v>'-0.0709</x:v>
      </x:c>
      <x:c r="I495" s="9" t="n">
        <x:v>0.3724</x:v>
      </x:c>
      <x:c r="J495" s="9" t="n">
        <x:v>0.0055</x:v>
      </x:c>
      <x:c r="K495" s="9" t="n">
        <x:v>0.002</x:v>
      </x:c>
      <x:c r="L495" s="10" t="n">
        <x:v>242</x:v>
      </x:c>
      <x:c r="M495" s="10" t="n">
        <x:v>19041</x:v>
      </x:c>
      <x:c r="N495" s="9" t="str">
        <x:v>'-0.1057</x:v>
      </x:c>
      <x:c r="O495" s="10" t="n">
        <x:v>14414</x:v>
      </x:c>
      <x:c r="P495" s="10" t="n">
        <x:v>426</x:v>
      </x:c>
      <x:c r="Q495" s="9" t="n">
        <x:v>0.7569</x:v>
      </x:c>
      <x:c r="R495" s="9" t="n">
        <x:v>0.0295</x:v>
      </x:c>
      <x:c r="S495" s="9" t="n">
        <x:v>0.0223</x:v>
      </x:c>
    </x:row>
    <x:row r="496" ht="90" customHeight="1">
      <x:c r="A496" s="2" t="str">
        <x:v>pistachio cream</x:v>
      </x:c>
      <x:c r="B496" s="15" t="str">
        <x:v>pistachio cream, crema de pistacho, pistachios cream, pistachio creme, pistachio cream spread, pistachio cream pisti, pasta de pistacho, pistachio cream ebt eligible, italian pistachio cream, crema de pistachio</x:v>
      </x:c>
      <x:c r="C496" s="10" t="n">
        <x:v>104</x:v>
      </x:c>
      <x:c r="D496" s="10" t="n">
        <x:v>117872</x:v>
      </x:c>
      <x:c r="E496" s="9" t="n">
        <x:v>0.0022</x:v>
      </x:c>
      <x:c r="F496" s="10" t="n">
        <x:v>4012608</x:v>
      </x:c>
      <x:c r="G496" s="10" t="n">
        <x:v>46728</x:v>
      </x:c>
      <x:c r="H496" s="9" t="str">
        <x:v>'-0.0859</x:v>
      </x:c>
      <x:c r="I496" s="9" t="n">
        <x:v>0.3964</x:v>
      </x:c>
      <x:c r="J496" s="9" t="n">
        <x:v>0.1389</x:v>
      </x:c>
      <x:c r="K496" s="9" t="n">
        <x:v>0.055</x:v>
      </x:c>
      <x:c r="L496" s="10" t="n">
        <x:v>6492</x:v>
      </x:c>
      <x:c r="M496" s="10" t="n">
        <x:v>36643</x:v>
      </x:c>
      <x:c r="N496" s="9" t="str">
        <x:v>'-0.0513</x:v>
      </x:c>
      <x:c r="O496" s="10" t="n">
        <x:v>27448</x:v>
      </x:c>
      <x:c r="P496" s="10" t="n">
        <x:v>8273</x:v>
      </x:c>
      <x:c r="Q496" s="9" t="n">
        <x:v>0.749</x:v>
      </x:c>
      <x:c r="R496" s="9" t="n">
        <x:v>0.3014</x:v>
      </x:c>
      <x:c r="S496" s="9" t="n">
        <x:v>0.2257</x:v>
      </x:c>
    </x:row>
    <x:row r="497" ht="90" customHeight="1">
      <x:c r="A497" s="2" t="str">
        <x:v>chocolate cake</x:v>
      </x:c>
      <x:c r="B497" s="15" t="str">
        <x:v>chocolate cake, cakes bakery fresh, chocolate cake fresh bakery, bizcocho, chocolate cakes, fresh cake, black forest cake, cake chocolate, chocolate snack cakes, chocolate birthday cake</x:v>
      </x:c>
      <x:c r="C497" s="10" t="n">
        <x:v>58</x:v>
      </x:c>
      <x:c r="D497" s="10" t="n">
        <x:v>117714</x:v>
      </x:c>
      <x:c r="E497" s="9" t="n">
        <x:v>0.1861</x:v>
      </x:c>
      <x:c r="F497" s="10" t="n">
        <x:v>2561320</x:v>
      </x:c>
      <x:c r="G497" s="10" t="n">
        <x:v>31557</x:v>
      </x:c>
      <x:c r="H497" s="9" t="n">
        <x:v>0.0542</x:v>
      </x:c>
      <x:c r="I497" s="9" t="n">
        <x:v>0.268</x:v>
      </x:c>
      <x:c r="J497" s="9" t="n">
        <x:v>0.1932</x:v>
      </x:c>
      <x:c r="K497" s="9" t="n">
        <x:v>0.0518</x:v>
      </x:c>
      <x:c r="L497" s="10" t="n">
        <x:v>6098</x:v>
      </x:c>
      <x:c r="M497" s="10" t="n">
        <x:v>23706</x:v>
      </x:c>
      <x:c r="N497" s="9" t="n">
        <x:v>0.0997</x:v>
      </x:c>
      <x:c r="O497" s="10" t="n">
        <x:v>17537</x:v>
      </x:c>
      <x:c r="P497" s="10" t="n">
        <x:v>5697</x:v>
      </x:c>
      <x:c r="Q497" s="9" t="n">
        <x:v>0.7397</x:v>
      </x:c>
      <x:c r="R497" s="9" t="n">
        <x:v>0.3248</x:v>
      </x:c>
      <x:c r="S497" s="9" t="n">
        <x:v>0.2403</x:v>
      </x:c>
    </x:row>
    <x:row r="498" ht="90" customHeight="1">
      <x:c r="A498" s="2" t="str">
        <x:v>complete series dvd</x:v>
      </x:c>
      <x:c r="B498" s="15" t="str">
        <x:v>complete series dvd, tv series dvd complete series, tv shows on dvd complete series, dvd complete series, tv series, dvd box sets complete series, dvd series, anime dvd complete series, tv series dvd, dvd tv series complete sets</x:v>
      </x:c>
      <x:c r="C498" s="10" t="n">
        <x:v>162</x:v>
      </x:c>
      <x:c r="D498" s="10" t="n">
        <x:v>117682</x:v>
      </x:c>
      <x:c r="E498" s="9" t="n">
        <x:v>0.0862</x:v>
      </x:c>
      <x:c r="F498" s="10" t="n">
        <x:v>2586443</x:v>
      </x:c>
      <x:c r="G498" s="10" t="n">
        <x:v>25347</x:v>
      </x:c>
      <x:c r="H498" s="9" t="n">
        <x:v>0.0695</x:v>
      </x:c>
      <x:c r="I498" s="9" t="n">
        <x:v>0.2153</x:v>
      </x:c>
      <x:c r="J498" s="9" t="n">
        <x:v>0.0335</x:v>
      </x:c>
      <x:c r="K498" s="9" t="n">
        <x:v>0.0072</x:v>
      </x:c>
      <x:c r="L498" s="10" t="n">
        <x:v>850</x:v>
      </x:c>
      <x:c r="M498" s="10" t="n">
        <x:v>10502</x:v>
      </x:c>
      <x:c r="N498" s="9" t="n">
        <x:v>0.0865</x:v>
      </x:c>
      <x:c r="O498" s="10" t="n">
        <x:v>6823</x:v>
      </x:c>
      <x:c r="P498" s="10" t="n">
        <x:v>647</x:v>
      </x:c>
      <x:c r="Q498" s="9" t="n">
        <x:v>0.6496</x:v>
      </x:c>
      <x:c r="R498" s="9" t="n">
        <x:v>0.0948</x:v>
      </x:c>
      <x:c r="S498" s="9" t="n">
        <x:v>0.0616</x:v>
      </x:c>
    </x:row>
    <x:row r="499" ht="90" customHeight="1">
      <x:c r="A499" s="2" t="str">
        <x:v>teen girl</x:v>
      </x:c>
      <x:c r="B499" s="15" t="str">
        <x:v>teen girl, teen girls, christmas presents for teen girls, teenage girl, best presents for 13 year old girl, presents for teen girls, basket stuffers for college girls, 13 year old girl, for teen girls, things for 14 year old girls</x:v>
      </x:c>
      <x:c r="C499" s="10" t="n">
        <x:v>139</x:v>
      </x:c>
      <x:c r="D499" s="10" t="n">
        <x:v>117436</x:v>
      </x:c>
      <x:c r="E499" s="9" t="n">
        <x:v>0.192</x:v>
      </x:c>
      <x:c r="F499" s="10" t="n">
        <x:v>1689556</x:v>
      </x:c>
      <x:c r="G499" s="10" t="n">
        <x:v>27393</x:v>
      </x:c>
      <x:c r="H499" s="9" t="n">
        <x:v>0.2628</x:v>
      </x:c>
      <x:c r="I499" s="9" t="n">
        <x:v>0.2332</x:v>
      </x:c>
      <x:c r="J499" s="9" t="n">
        <x:v>0.0353</x:v>
      </x:c>
      <x:c r="K499" s="9" t="n">
        <x:v>0.0082</x:v>
      </x:c>
      <x:c r="L499" s="10" t="n">
        <x:v>967</x:v>
      </x:c>
      <x:c r="M499" s="10" t="n">
        <x:v>8611</x:v>
      </x:c>
      <x:c r="N499" s="9" t="n">
        <x:v>0.1214</x:v>
      </x:c>
      <x:c r="O499" s="10" t="n">
        <x:v>5755</x:v>
      </x:c>
      <x:c r="P499" s="10" t="n">
        <x:v>816</x:v>
      </x:c>
      <x:c r="Q499" s="9" t="n">
        <x:v>0.6683</x:v>
      </x:c>
      <x:c r="R499" s="9" t="n">
        <x:v>0.1417</x:v>
      </x:c>
      <x:c r="S499" s="9" t="n">
        <x:v>0.0947</x:v>
      </x:c>
    </x:row>
    <x:row r="500" ht="90" customHeight="1">
      <x:c r="A500" s="2" t="str">
        <x:v>lolita dress</x:v>
      </x:c>
      <x:c r="B500" s="15" t="str">
        <x:v>lolita dress, gothic lolita dress, gothic lolita, lolita dresses, sweet lolita dress, goth lolita dress, goth lolita dresses, vintage victorian dress, doll dress costume, lolita gothic dress</x:v>
      </x:c>
      <x:c r="C500" s="10" t="n">
        <x:v>84</x:v>
      </x:c>
      <x:c r="D500" s="10" t="n">
        <x:v>117404</x:v>
      </x:c>
      <x:c r="E500" s="9" t="n">
        <x:v>0.3694</x:v>
      </x:c>
      <x:c r="F500" s="10" t="n">
        <x:v>1024975</x:v>
      </x:c>
      <x:c r="G500" s="10" t="n">
        <x:v>35525</x:v>
      </x:c>
      <x:c r="H500" s="9" t="n">
        <x:v>0.387</x:v>
      </x:c>
      <x:c r="I500" s="9" t="n">
        <x:v>0.3025</x:v>
      </x:c>
      <x:c r="J500" s="9" t="n">
        <x:v>0.0036</x:v>
      </x:c>
      <x:c r="K500" s="9" t="n">
        <x:v>0.001</x:v>
      </x:c>
      <x:c r="L500" s="10" t="n">
        <x:v>128</x:v>
      </x:c>
      <x:c r="M500" s="10" t="n">
        <x:v>6280</x:v>
      </x:c>
      <x:c r="N500" s="9" t="n">
        <x:v>0.3349</x:v>
      </x:c>
      <x:c r="O500" s="10" t="n">
        <x:v>5148</x:v>
      </x:c>
      <x:c r="P500" s="10" t="n">
        <x:v>201</x:v>
      </x:c>
      <x:c r="Q500" s="9" t="n">
        <x:v>0.8197</x:v>
      </x:c>
      <x:c r="R500" s="9" t="n">
        <x:v>0.039</x:v>
      </x:c>
      <x:c r="S500" s="9" t="n">
        <x:v>0.032</x:v>
      </x:c>
    </x:row>
    <x:row r="501" ht="109" customHeight="1">
      <x:c r="A501" s="2" t="str">
        <x:v>ghost spider costume</x:v>
      </x:c>
      <x:c r="B501" s="15" t="str">
        <x:v>ghost spider costume, ghost spider costume 5t, ghost spider costume for kids, toddler ghost spider costume, ghost spider toddler costume, ghost spider costume kids, ghost-spider costume, ghost spider costume toddler, baby ghost spider costume, ghost spider halloween costume</x:v>
      </x:c>
      <x:c r="C501" s="10" t="n">
        <x:v>141</x:v>
      </x:c>
      <x:c r="D501" s="10" t="n">
        <x:v>117324</x:v>
      </x:c>
      <x:c r="E501" s="9" t="n">
        <x:v>0.5427</x:v>
      </x:c>
      <x:c r="F501" s="10" t="n">
        <x:v>2680804</x:v>
      </x:c>
      <x:c r="G501" s="10" t="n">
        <x:v>58352</x:v>
      </x:c>
      <x:c r="H501" s="9" t="n">
        <x:v>0.611</x:v>
      </x:c>
      <x:c r="I501" s="9" t="n">
        <x:v>0.4973</x:v>
      </x:c>
      <x:c r="J501" s="9" t="n">
        <x:v>0.0207</x:v>
      </x:c>
      <x:c r="K501" s="9" t="n">
        <x:v>0.0102</x:v>
      </x:c>
      <x:c r="L501" s="10" t="n">
        <x:v>1208</x:v>
      </x:c>
      <x:c r="M501" s="10" t="n">
        <x:v>20752</x:v>
      </x:c>
      <x:c r="N501" s="9" t="n">
        <x:v>0.5625</x:v>
      </x:c>
      <x:c r="O501" s="10" t="n">
        <x:v>17376</x:v>
      </x:c>
      <x:c r="P501" s="10" t="n">
        <x:v>1453</x:v>
      </x:c>
      <x:c r="Q501" s="9" t="n">
        <x:v>0.8373</x:v>
      </x:c>
      <x:c r="R501" s="9" t="n">
        <x:v>0.0836</x:v>
      </x:c>
      <x:c r="S501" s="9" t="n">
        <x:v>0.07</x:v>
      </x:c>
    </x:row>
    <x:row r="502" ht="109" customHeight="1">
      <x:c r="A502" s="2" t="str">
        <x:v>digestive enzymes for women</x:v>
      </x:c>
      <x:c r="B502" s="15" t="str">
        <x:v>digestive enzymes for women, bloating relief for women, debloating supplement for women, anti bloating for women, bloated stomach relief for women, debloating for women, antibloat for women, de bloating for women, natural digestive enzymes women, severe bloating relief for women</x:v>
      </x:c>
      <x:c r="C502" s="10" t="n">
        <x:v>156</x:v>
      </x:c>
      <x:c r="D502" s="10" t="n">
        <x:v>117270</x:v>
      </x:c>
      <x:c r="E502" s="9" t="n">
        <x:v>0.0265</x:v>
      </x:c>
      <x:c r="F502" s="10" t="n">
        <x:v>3834338</x:v>
      </x:c>
      <x:c r="G502" s="10" t="n">
        <x:v>61773</x:v>
      </x:c>
      <x:c r="H502" s="9" t="n">
        <x:v>0.0563</x:v>
      </x:c>
      <x:c r="I502" s="9" t="n">
        <x:v>0.5267</x:v>
      </x:c>
      <x:c r="J502" s="9" t="n">
        <x:v>0.1411</x:v>
      </x:c>
      <x:c r="K502" s="9" t="n">
        <x:v>0.0743</x:v>
      </x:c>
      <x:c r="L502" s="10" t="n">
        <x:v>8721</x:v>
      </x:c>
      <x:c r="M502" s="10" t="n">
        <x:v>51787</x:v>
      </x:c>
      <x:c r="N502" s="9" t="n">
        <x:v>0.0192</x:v>
      </x:c>
      <x:c r="O502" s="10" t="n">
        <x:v>42354</x:v>
      </x:c>
      <x:c r="P502" s="10" t="n">
        <x:v>10880</x:v>
      </x:c>
      <x:c r="Q502" s="9" t="n">
        <x:v>0.8178</x:v>
      </x:c>
      <x:c r="R502" s="9" t="n">
        <x:v>0.2568</x:v>
      </x:c>
      <x:c r="S502" s="9" t="n">
        <x:v>0.21</x:v>
      </x:c>
    </x:row>
    <x:row r="503" ht="109" customHeight="1">
      <x:c r="A503" s="2" t="str">
        <x:v>tinkerbell costume for women</x:v>
      </x:c>
      <x:c r="B503" s="15" t="str">
        <x:v>tinkerbell costume for women, womens tinkerbell costume, adult tinkerbell costume, tinkerbell costume women, adult tinkerbell costume women, disfraz de tinkerbell para mujer, tinkerbell costume adult, tinkerbell adult costume, tinkerbell costume for teens, sexy tinkerbell costume for women</x:v>
      </x:c>
      <x:c r="C503" s="10" t="n">
        <x:v>86</x:v>
      </x:c>
      <x:c r="D503" s="10" t="n">
        <x:v>117269</x:v>
      </x:c>
      <x:c r="E503" s="9" t="n">
        <x:v>1.5276</x:v>
      </x:c>
      <x:c r="F503" s="10" t="n">
        <x:v>1652663</x:v>
      </x:c>
      <x:c r="G503" s="10" t="n">
        <x:v>43491</x:v>
      </x:c>
      <x:c r="H503" s="9" t="n">
        <x:v>1.6216</x:v>
      </x:c>
      <x:c r="I503" s="9" t="n">
        <x:v>0.3708</x:v>
      </x:c>
      <x:c r="J503" s="9" t="n">
        <x:v>0.0092</x:v>
      </x:c>
      <x:c r="K503" s="9" t="n">
        <x:v>0.0034</x:v>
      </x:c>
      <x:c r="L503" s="10" t="n">
        <x:v>404</x:v>
      </x:c>
      <x:c r="M503" s="10" t="n">
        <x:v>10885</x:v>
      </x:c>
      <x:c r="N503" s="9" t="n">
        <x:v>1.5247</x:v>
      </x:c>
      <x:c r="O503" s="10" t="n">
        <x:v>8273</x:v>
      </x:c>
      <x:c r="P503" s="10" t="n">
        <x:v>301</x:v>
      </x:c>
      <x:c r="Q503" s="9" t="n">
        <x:v>0.76</x:v>
      </x:c>
      <x:c r="R503" s="9" t="n">
        <x:v>0.0363</x:v>
      </x:c>
      <x:c r="S503" s="9" t="n">
        <x:v>0.0276</x:v>
      </x:c>
    </x:row>
    <x:row r="504" ht="25" customHeight="1">
      <x:c r="A504" s="2"/>
      <x:c r="B504" s="2"/>
      <x:c r="C504" s="2"/>
      <x:c r="D504" s="2"/>
      <x:c r="E504" s="2"/>
      <x:c r="F504" s="2"/>
      <x:c r="G504" s="2"/>
      <x:c r="H504" s="2"/>
      <x:c r="I504" s="2"/>
      <x:c r="J504" s="2"/>
      <x:c r="K504" s="2"/>
      <x:c r="L504" s="2"/>
      <x:c r="M504" s="2"/>
      <x:c r="N504" s="2"/>
      <x:c r="O504" s="2"/>
      <x:c r="P504" s="2"/>
      <x:c r="Q504" s="2"/>
      <x:c r="R504" s="2"/>
      <x:c r="S504" s="2"/>
    </x:row>
  </x:sheetData>
  <x:pageMargins left="0.7" right="0.7" top="0.75" bottom="0.75" header="0.3" footer="0.3"/>
  <x:tableParts count="1">
    <x:tablePart xmlns:r="http://schemas.openxmlformats.org/officeDocument/2006/relationships" r:id="Refd59c1578244d07"/>
  </x:tableParts>
</x:worksheet>
</file>

<file path=xl/worksheets/sheet5.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7" hidden="0" customWidth="1"/>
    <x:col min="2" max="2" width="30" hidden="0" customWidth="1"/>
    <x:col min="3" max="3" width="55" hidden="0" customWidth="1"/>
    <x:col min="4" max="4" width="30" hidden="0" customWidth="1"/>
    <x:col min="5" max="5" width="73" hidden="0" customWidth="1"/>
    <x:col min="6" max="6" width="65" hidden="0" customWidth="1"/>
    <x:col min="7" max="7" width="45" hidden="0" customWidth="1"/>
  </x:cols>
  <x:sheetData>
    <x:row r="1" ht="25" customHeight="1">
      <x:c r="A1" s="2"/>
      <x:c r="B1" s="2"/>
      <x:c r="C1" s="2"/>
      <x:c r="D1" s="2"/>
      <x:c r="E1" s="2"/>
      <x:c r="F1" s="2"/>
      <x:c r="G1" s="2"/>
    </x:row>
    <x:row r="2" ht="32" customHeight="1">
      <x:c r="A2" s="3" t="str">
        <x:v>证据、统计口径与筛选规则</x:v>
      </x:c>
      <x:c r="B2" s="2"/>
      <x:c r="C2" s="2"/>
      <x:c r="D2" s="2"/>
      <x:c r="E2" s="2"/>
      <x:c r="F2" s="2"/>
      <x:c r="G2" s="2"/>
    </x:row>
    <x:row r="3" ht="25" customHeight="1">
      <x:c r="A3" s="2"/>
      <x:c r="B3" s="2"/>
      <x:c r="C3" s="2"/>
      <x:c r="D3" s="2"/>
      <x:c r="E3" s="2"/>
      <x:c r="F3" s="2"/>
      <x:c r="G3" s="2"/>
    </x:row>
    <x:row r="4" ht="25" customHeight="1">
      <x:c r="A4" s="4" t="str">
        <x:v>检索日 2026-10-07；本轮覆盖上传表的500个意图市场。</x:v>
      </x:c>
      <x:c r="B4" s="2"/>
      <x:c r="C4" s="2"/>
      <x:c r="D4" s="2"/>
      <x:c r="E4" s="2"/>
      <x:c r="F4" s="2"/>
      <x:c r="G4" s="2"/>
    </x:row>
    <x:row r="5" ht="25" customHeight="1">
      <x:c r="A5" s="2"/>
      <x:c r="B5" s="2"/>
      <x:c r="C5" s="2"/>
      <x:c r="D5" s="2"/>
      <x:c r="E5" s="2"/>
      <x:c r="F5" s="2"/>
      <x:c r="G5" s="2"/>
    </x:row>
    <x:row r="6" ht="40" customHeight="1">
      <x:c r="A6" s="8" t="str">
        <x:v>筛选条件</x:v>
      </x:c>
      <x:c r="B6" s="8" t="str">
        <x:v>可调整阈值</x:v>
      </x:c>
      <x:c r="C6" s="8" t="str">
        <x:v>含义</x:v>
      </x:c>
      <x:c r="D6" s="2"/>
      <x:c r="E6" s="2"/>
      <x:c r="F6" s="2"/>
      <x:c r="G6" s="2"/>
    </x:row>
    <x:row r="7" ht="25" customHeight="1">
      <x:c r="A7" s="2" t="str">
        <x:v>最低搜索量</x:v>
      </x:c>
      <x:c r="B7" s="13" t="n">
        <x:v>100000</x:v>
      </x:c>
      <x:c r="C7" s="2" t="str">
        <x:v>表内统计周期未知，不能解释为月搜索量</x:v>
      </x:c>
      <x:c r="D7" s="2"/>
      <x:c r="E7" s="2"/>
      <x:c r="F7" s="2"/>
      <x:c r="G7" s="2"/>
    </x:row>
    <x:row r="8" ht="25" customHeight="1">
      <x:c r="A8" s="2" t="str">
        <x:v>最低购买量</x:v>
      </x:c>
      <x:c r="B8" s="13" t="n">
        <x:v>2000</x:v>
      </x:c>
      <x:c r="C8" s="2" t="str">
        <x:v>来源字段，不认定为售出件数</x:v>
      </x:c>
      <x:c r="D8" s="2"/>
      <x:c r="E8" s="2"/>
      <x:c r="F8" s="2"/>
      <x:c r="G8" s="2"/>
    </x:row>
    <x:row r="9" ht="25" customHeight="1">
      <x:c r="A9" s="2" t="str">
        <x:v>最低点击购买率</x:v>
      </x:c>
      <x:c r="B9" s="14" t="n">
        <x:v>0.05</x:v>
      </x:c>
      <x:c r="C9" s="2" t="str">
        <x:v>购买量/点击量，非广告CVR</x:v>
      </x:c>
      <x:c r="D9" s="2"/>
      <x:c r="E9" s="2"/>
      <x:c r="F9" s="2"/>
      <x:c r="G9" s="2"/>
    </x:row>
    <x:row r="10" ht="25" customHeight="1">
      <x:c r="A10" s="2" t="str">
        <x:v>最低搜索增长</x:v>
      </x:c>
      <x:c r="B10" s="14" t="n">
        <x:v>0</x:v>
      </x:c>
      <x:c r="C10" s="2" t="str">
        <x:v>比较基期未知</x:v>
      </x:c>
      <x:c r="D10" s="2"/>
      <x:c r="E10" s="2"/>
      <x:c r="F10" s="2"/>
      <x:c r="G10" s="2"/>
    </x:row>
    <x:row r="11" ht="25" customHeight="1">
      <x:c r="A11" s="2" t="str">
        <x:v>最低点击增长</x:v>
      </x:c>
      <x:c r="B11" s="14" t="n">
        <x:v>0</x:v>
      </x:c>
      <x:c r="C11" s="2" t="str">
        <x:v>比较基期未知</x:v>
      </x:c>
      <x:c r="D11" s="2"/>
      <x:c r="E11" s="2"/>
      <x:c r="F11" s="2"/>
      <x:c r="G11" s="2"/>
    </x:row>
    <x:row r="12" ht="25" customHeight="1">
      <x:c r="A12" s="2"/>
      <x:c r="B12" s="2"/>
      <x:c r="C12" s="2"/>
      <x:c r="D12" s="2"/>
      <x:c r="E12" s="2"/>
      <x:c r="F12" s="2"/>
      <x:c r="G12" s="2"/>
    </x:row>
    <x:row r="13" ht="25" customHeight="1">
      <x:c r="A13" s="2"/>
      <x:c r="B13" s="2"/>
      <x:c r="C13" s="2"/>
      <x:c r="D13" s="2"/>
      <x:c r="E13" s="2"/>
      <x:c r="F13" s="2"/>
      <x:c r="G13" s="2"/>
    </x:row>
    <x:row r="14" ht="40" customHeight="1">
      <x:c r="A14" s="8" t="str">
        <x:v>项目</x:v>
      </x:c>
      <x:c r="B14" s="8" t="str">
        <x:v>核验结果</x:v>
      </x:c>
      <x:c r="C14" s="8" t="str">
        <x:v>使用方法</x:v>
      </x:c>
      <x:c r="D14" s="2"/>
      <x:c r="E14" s="2"/>
      <x:c r="F14" s="2"/>
      <x:c r="G14" s="2"/>
    </x:row>
    <x:row r="15" ht="55" customHeight="1">
      <x:c r="A15" s="15" t="str">
        <x:v>市场范围</x:v>
      </x:c>
      <x:c r="B15" s="15" t="str">
        <x:v>按用户要求以美国站分析；文件未内置国家标签</x:v>
      </x:c>
      <x:c r="C15" s="15" t="str">
        <x:v>下单前核对导出站点</x:v>
      </x:c>
      <x:c r="D15" s="2"/>
      <x:c r="E15" s="2"/>
      <x:c r="F15" s="2"/>
      <x:c r="G15" s="2"/>
    </x:row>
    <x:row r="16" ht="55" customHeight="1">
      <x:c r="A16" s="15" t="str">
        <x:v>时间范围</x:v>
      </x:c>
      <x:c r="B16" s="15" t="str">
        <x:v>文件名标记2026-09-29；表内无开始日、结束日和增长基期</x:v>
      </x:c>
      <x:c r="C16" s="15" t="str">
        <x:v>不标注月度/年度，不将增长称作同比或环比</x:v>
      </x:c>
      <x:c r="D16" s="2"/>
      <x:c r="E16" s="2"/>
      <x:c r="F16" s="2"/>
      <x:c r="G16" s="2"/>
    </x:row>
    <x:row r="17" ht="55" customHeight="1">
      <x:c r="A17" s="15" t="str">
        <x:v>覆盖</x:v>
      </x:c>
      <x:c r="B17" s="15" t="str">
        <x:v>500行、19字段；意图无重复，无空值</x:v>
      </x:c>
      <x:c r="C17" s="15" t="str">
        <x:v>购买意图不等于互不重叠的叶子类目</x:v>
      </x:c>
      <x:c r="D17" s="2"/>
      <x:c r="E17" s="2"/>
      <x:c r="F17" s="2"/>
      <x:c r="G17" s="2"/>
    </x:row>
    <x:row r="18" ht="55" customHeight="1">
      <x:c r="A18" s="15" t="str">
        <x:v>标准化</x:v>
      </x:c>
      <x:c r="B18" s="15" t="str">
        <x:v>431个负增长值为带引号文本</x:v>
      </x:c>
      <x:c r="C18" s="15" t="str">
        <x:v>保留原始值；需求筛选转为数值</x:v>
      </x:c>
      <x:c r="D18" s="2"/>
      <x:c r="E18" s="2"/>
      <x:c r="F18" s="2"/>
      <x:c r="G18" s="2"/>
    </x:row>
    <x:row r="19" ht="55" customHeight="1">
      <x:c r="A19" s="15" t="str">
        <x:v>点击率</x:v>
      </x:c>
      <x:c r="B19" s="15" t="str">
        <x:v>原字段=点击量/搜索量</x:v>
      </x:c>
      <x:c r="C19" s="15" t="str">
        <x:v>不等于曝光CTR；曝光CTR另算</x:v>
      </x:c>
      <x:c r="D19" s="2"/>
      <x:c r="E19" s="2"/>
      <x:c r="F19" s="2"/>
      <x:c r="G19" s="2"/>
    </x:row>
    <x:row r="20" ht="55" customHeight="1">
      <x:c r="A20" s="15" t="str">
        <x:v>点击购买率</x:v>
      </x:c>
      <x:c r="B20" s="15" t="str">
        <x:v>购买量/点击量；500行与源率差异均≤0.0001</x:v>
      </x:c>
      <x:c r="C20" s="15" t="str">
        <x:v>源表小数截断约0.01个百分点</x:v>
      </x:c>
      <x:c r="D20" s="2"/>
      <x:c r="E20" s="2"/>
      <x:c r="F20" s="2"/>
      <x:c r="G20" s="2"/>
    </x:row>
    <x:row r="21" ht="55" customHeight="1">
      <x:c r="A21" s="15" t="str">
        <x:v>会话购买率</x:v>
      </x:c>
      <x:c r="B21" s="15" t="str">
        <x:v>会话购买点击量/会话点击量</x:v>
      </x:c>
      <x:c r="C21" s="15" t="str">
        <x:v>同一漏斗但分母不同，不定义为广告CVR上限</x:v>
      </x:c>
      <x:c r="D21" s="2"/>
      <x:c r="E21" s="2"/>
      <x:c r="F21" s="2"/>
      <x:c r="G21" s="2"/>
    </x:row>
    <x:row r="22" ht="55" customHeight="1">
      <x:c r="A22" s="15" t="str">
        <x:v>搜索转化率</x:v>
      </x:c>
      <x:c r="B22" s="15" t="str">
        <x:v>购买量/搜索量</x:v>
      </x:c>
      <x:c r="C22" s="15" t="str">
        <x:v>不可直接用于CPC、CPA估算</x:v>
      </x:c>
      <x:c r="D22" s="2"/>
      <x:c r="E22" s="2"/>
      <x:c r="F22" s="2"/>
      <x:c r="G22" s="2"/>
    </x:row>
    <x:row r="23" ht="55" customHeight="1">
      <x:c r="A23" s="15" t="str">
        <x:v>缺失数据</x:v>
      </x:c>
      <x:c r="B23" s="15" t="str">
        <x:v>售价、退款率、利润、CPC、广告CVR、品牌/卖家份额、ASIN列表</x:v>
      </x:c>
      <x:c r="C23" s="15" t="str">
        <x:v>所有候选保留DATA HOLD</x:v>
      </x:c>
      <x:c r="D23" s="2"/>
      <x:c r="E23" s="2"/>
      <x:c r="F23" s="2"/>
      <x:c r="G23" s="2"/>
    </x:row>
    <x:row r="24" ht="55" customHeight="1">
      <x:c r="A24" s="15" t="str">
        <x:v>研究优先级</x:v>
      </x:c>
      <x:c r="B24" s="15" t="str">
        <x:v>P0优先验证，P1第二梯队，P2探索</x:v>
      </x:c>
      <x:c r="C24" s="15" t="str">
        <x:v>分析师判断；不等同入库或采购批准</x:v>
      </x:c>
      <x:c r="D24" s="2"/>
      <x:c r="E24" s="2"/>
      <x:c r="F24" s="2"/>
      <x:c r="G24" s="2"/>
    </x:row>
    <x:row r="25" ht="55" customHeight="1">
      <x:c r="A25" s="15" t="str">
        <x:v>需求门槛</x:v>
      </x:c>
      <x:c r="B25" s="15" t="str">
        <x:v>仅需求筛选，不能证明利润、竞争与供给可行</x:v>
      </x:c>
      <x:c r="C25" s="15" t="str">
        <x:v>筛选通过不等于选品GO</x:v>
      </x:c>
      <x:c r="D25" s="2"/>
      <x:c r="E25" s="2"/>
      <x:c r="F25" s="2"/>
      <x:c r="G25" s="2"/>
    </x:row>
    <x:row r="26" ht="55" customHeight="1">
      <x:c r="A26" s="15" t="str">
        <x:v>完整类目机会分</x:v>
      </x:c>
      <x:c r="B26" s="15" t="str">
        <x:v>暂不计算</x:v>
      </x:c>
      <x:c r="C26" s="15" t="str">
        <x:v>竞争、广告、VOC、供应链、IP等缺失，不补虚拟分</x:v>
      </x:c>
      <x:c r="D26" s="2"/>
      <x:c r="E26" s="2"/>
      <x:c r="F26" s="2"/>
      <x:c r="G26" s="2"/>
    </x:row>
    <x:row r="27" ht="55" customHeight="1">
      <x:c r="A27" s="15" t="str">
        <x:v>实际竞争榜单</x:v>
      </x:c>
      <x:c r="B27" s="15" t="str">
        <x:v>未采集当前同形态Top50/Top10</x:v>
      </x:c>
      <x:c r="C27" s="15" t="str">
        <x:v>下方ASIN只作复核种子，不标当前排名</x:v>
      </x:c>
      <x:c r="D27" s="2"/>
      <x:c r="E27" s="2"/>
      <x:c r="F27" s="2"/>
      <x:c r="G27" s="2"/>
    </x:row>
    <x:row r="28" ht="55" customHeight="1">
      <x:c r="A28" s="15" t="str">
        <x:v>新品节奏</x:v>
      </x:c>
      <x:c r="B28" s="15" t="str">
        <x:v>现货可单独评估Q4；从0开发优先准备2027Q1</x:v>
      </x:c>
      <x:c r="C28" s="15" t="str">
        <x:v>不为赶节日跳过打样与利润验证</x:v>
      </x:c>
      <x:c r="D28" s="2"/>
      <x:c r="E28" s="2"/>
      <x:c r="F28" s="2"/>
      <x:c r="G28" s="2"/>
    </x:row>
    <x:row r="29" ht="55" customHeight="1">
      <x:c r="A29" s="15"/>
      <x:c r="B29" s="15"/>
      <x:c r="C29" s="15"/>
      <x:c r="D29" s="2"/>
      <x:c r="E29" s="2"/>
      <x:c r="F29" s="2"/>
      <x:c r="G29" s="2"/>
    </x:row>
    <x:row r="30" ht="25" customHeight="1">
      <x:c r="A30" s="2"/>
      <x:c r="B30" s="2"/>
      <x:c r="C30" s="2"/>
      <x:c r="D30" s="2"/>
      <x:c r="E30" s="2"/>
      <x:c r="F30" s="2"/>
      <x:c r="G30" s="2"/>
    </x:row>
    <x:row r="31" ht="40" customHeight="1">
      <x:c r="A31" s="8" t="str">
        <x:v>检索日</x:v>
      </x:c>
      <x:c r="B31" s="8" t="str">
        <x:v>来源类型</x:v>
      </x:c>
      <x:c r="C31" s="8" t="str">
        <x:v>数据/规则期间</x:v>
      </x:c>
      <x:c r="D31" s="8" t="str">
        <x:v>对象</x:v>
      </x:c>
      <x:c r="E31" s="8" t="str">
        <x:v>发现与限制</x:v>
      </x:c>
      <x:c r="F31" s="8" t="str">
        <x:v>来源URL</x:v>
      </x:c>
      <x:c r="G31" s="2"/>
    </x:row>
    <x:row r="32" ht="70" customHeight="1">
      <x:c r="A32" s="15" t="str">
        <x:v>2026-10-07</x:v>
      </x:c>
      <x:c r="B32" s="15" t="str">
        <x:v>亚马逊官方</x:v>
      </x:c>
      <x:c r="C32" s="15" t="str">
        <x:v>2026-10-06至07</x:v>
      </x:c>
      <x:c r="D32" s="15" t="str">
        <x:v>Prime Big Deal Days</x:v>
      </x:c>
      <x:c r="E32" s="15" t="str">
        <x:v>活动包含家居、厨房、工具、服装及节日场景；当前促销价格需与常态价分开。</x:v>
      </x:c>
      <x:c r="F32" s="15" t="str">
        <x:v>https://www.aboutamazon.com/news/retail/prime-big-deal-days-best-deals-savings-2026</x:v>
      </x:c>
      <x:c r="G32" s="2"/>
    </x:row>
    <x:row r="33" ht="70" customHeight="1">
      <x:c r="A33" s="15" t="str">
        <x:v>2026-10-07</x:v>
      </x:c>
      <x:c r="B33" s="15" t="str">
        <x:v>亚马逊官方搜索摘要</x:v>
      </x:c>
      <x:c r="C33" s="15" t="str">
        <x:v>2026费用规则</x:v>
      </x:c>
      <x:c r="D33" s="15" t="str">
        <x:v>FBA履约费用</x:v>
      </x:c>
      <x:c r="E33" s="15" t="str">
        <x:v>4月17日起3.5%燃油物流附加费；旺季费用10月15日至2027年1月14日；具体SKU须用全包费用核算。页面正文受登录/脚本限制。</x:v>
      </x:c>
      <x:c r="F33" s="15" t="str">
        <x:v>https://sellercentral.amazon.com/help/hub/reference/external/GMUTB89XM7AATPR3?language=en_us</x:v>
      </x:c>
      <x:c r="G33" s="2"/>
    </x:row>
    <x:row r="34" ht="70" customHeight="1">
      <x:c r="A34" s="15" t="str">
        <x:v>2026-10-07</x:v>
      </x:c>
      <x:c r="B34" s="15" t="str">
        <x:v>政府原始发布</x:v>
      </x:c>
      <x:c r="C34" s="15" t="str">
        <x:v>2026Q2，待修订</x:v>
      </x:c>
      <x:c r="D34" s="15" t="str">
        <x:v>美国电商背景</x:v>
      </x:c>
      <x:c r="E34" s="15" t="str">
        <x:v>8月发布的Q2同比12.2%；9月28日注明估算待修订。仅作背景，不把它称作最新亚马逊增长率。</x:v>
      </x:c>
      <x:c r="F34" s="15" t="str">
        <x:v>https://www.census.gov/retail/ecommerce.html</x:v>
      </x:c>
      <x:c r="G34" s="2"/>
    </x:row>
    <x:row r="35" ht="70" customHeight="1">
      <x:c r="A35" s="15" t="str">
        <x:v>2026-10-07</x:v>
      </x:c>
      <x:c r="B35" s="15" t="str">
        <x:v>第三方估算</x:v>
      </x:c>
      <x:c r="C35" s="15" t="str">
        <x:v>2026-07</x:v>
      </x:c>
      <x:c r="D35" s="15" t="str">
        <x:v>can opener</x:v>
      </x:c>
      <x:c r="E35" s="15" t="str">
        <x:v>Top50估算159,200件；报告均价17.11美元，销售额/件数=16.89美元；混合手动和电动。仅辅助验证。</x:v>
      </x:c>
      <x:c r="F35" s="15" t="str">
        <x:v>https://www.asinsight.com/market-analysis/US/can-opener</x:v>
      </x:c>
      <x:c r="G35" s="2"/>
    </x:row>
    <x:row r="36" ht="70" customHeight="1">
      <x:c r="A36" s="15" t="str">
        <x:v>2026-10-07</x:v>
      </x:c>
      <x:c r="B36" s="15" t="str">
        <x:v>第三方估算</x:v>
      </x:c>
      <x:c r="C36" s="15" t="str">
        <x:v>2026-07</x:v>
      </x:c>
      <x:c r="D36" s="15" t="str">
        <x:v>wire stripper</x:v>
      </x:c>
      <x:c r="E36" s="15" t="str">
        <x:v>Top50估算53,000件；报告均价30.07美元，销售额/件数=24.07美元；手动、自动及高价设备需拆分。</x:v>
      </x:c>
      <x:c r="F36" s="15" t="str">
        <x:v>https://www.asinsight.com/market-analysis/US/wire-stripper</x:v>
      </x:c>
      <x:c r="G36" s="2"/>
    </x:row>
    <x:row r="37" ht="70" customHeight="1">
      <x:c r="A37" s="15" t="str">
        <x:v>2026-10-07</x:v>
      </x:c>
      <x:c r="B37" s="15" t="str">
        <x:v>第三方估算</x:v>
      </x:c>
      <x:c r="C37" s="15" t="str">
        <x:v>2026-07</x:v>
      </x:c>
      <x:c r="D37" s="15" t="str">
        <x:v>pancake batter dispenser</x:v>
      </x:c>
      <x:c r="E37" s="15" t="str">
        <x:v>Top50估算21,550件，环比-17.6%；报告均价18.01美元。不同报告对第二名与销售量存在差异，不作为当前榜单。</x:v>
      </x:c>
      <x:c r="F37" s="15" t="str">
        <x:v>https://www.asinsight.com/market-analysis/US/pancake-batter-dispenser</x:v>
      </x:c>
      <x:c r="G37" s="2"/>
    </x:row>
    <x:row r="38" ht="70" customHeight="1">
      <x:c r="A38" s="15" t="str">
        <x:v>2026-10-07</x:v>
      </x:c>
      <x:c r="B38" s="15" t="str">
        <x:v>第三方估算</x:v>
      </x:c>
      <x:c r="C38" s="15" t="str">
        <x:v>2026-07</x:v>
      </x:c>
      <x:c r="D38" s="15" t="str">
        <x:v>coffee bar organizer</x:v>
      </x:c>
      <x:c r="E38" s="15" t="str">
        <x:v>报告均价25.42美元；样本含浴室抽屉、冰箱磁架、糖浆瓶和专用咖啡抽屉。不能直接采用其市场容量或集中度。</x:v>
      </x:c>
      <x:c r="F38" s="15" t="str">
        <x:v>https://www.asinsight.com/market-analysis/US/coffee-bar-organizer</x:v>
      </x:c>
      <x:c r="G38" s="2"/>
    </x:row>
    <x:row r="39" ht="70" customHeight="1">
      <x:c r="A39" s="15" t="str">
        <x:v>2026-10-07</x:v>
      </x:c>
      <x:c r="B39" s="15" t="str">
        <x:v>第三方估算</x:v>
      </x:c>
      <x:c r="C39" s="15" t="str">
        <x:v>2026-07</x:v>
      </x:c>
      <x:c r="D39" s="15" t="str">
        <x:v>scalp oil applicator</x:v>
      </x:c>
      <x:c r="E39" s="15" t="str">
        <x:v>样本混入护发精油；工具例B0DGCXMW6H为9.99美元。工具市场容量、均价和集中度须重建。</x:v>
      </x:c>
      <x:c r="F39" s="15" t="str">
        <x:v>https://www.asinsight.com/market-analysis/US/scalp-oil-applicator</x:v>
      </x:c>
      <x:c r="G39" s="2"/>
    </x:row>
    <x:row r="40" ht="70" customHeight="1">
      <x:c r="A40" s="15" t="str">
        <x:v>2026-10-07</x:v>
      </x:c>
      <x:c r="B40" s="15" t="str">
        <x:v>品牌官网</x:v>
      </x:c>
      <x:c r="C40" s="15" t="str">
        <x:v>检索时页面</x:v>
      </x:c>
      <x:c r="D40" s="15" t="str">
        <x:v>OXO Smooth Edge</x:v>
      </x:c>
      <x:c r="E40" s="15" t="str">
        <x:v>官网24.99美元；已有侧切、舒适握柄及免接触取盖。上述功能已存在，不能直接视为创新。</x:v>
      </x:c>
      <x:c r="F40" s="15" t="str">
        <x:v>https://www.oxo.com/smooth-edge-can-opener.html</x:v>
      </x:c>
      <x:c r="G40" s="2"/>
    </x:row>
    <x:row r="41" ht="70" customHeight="1">
      <x:c r="A41" s="15" t="str">
        <x:v>2026-10-07</x:v>
      </x:c>
      <x:c r="B41" s="15" t="str">
        <x:v>品牌官网</x:v>
      </x:c>
      <x:c r="C41" s="15" t="str">
        <x:v>检索时页面</x:v>
      </x:c>
      <x:c r="D41" s="15" t="str">
        <x:v>Klein 11055</x:v>
      </x:c>
      <x:c r="E41" s="15" t="str">
        <x:v>官方规格覆盖10–18AWG实心、12–20AWG绞线及螺丝剪切；清晰标识和舒适握柄已是竞品功能。</x:v>
      </x:c>
      <x:c r="F41" s="15" t="str">
        <x:v>https://www.kleintools.com/catalog/combination-cutting-tools/solid-and-stranded-copper-wire-stripper-and-cutter</x:v>
      </x:c>
      <x:c r="G41" s="2"/>
    </x:row>
    <x:row r="42" ht="70" customHeight="1">
      <x:c r="A42" s="15" t="str">
        <x:v>2026-10-07</x:v>
      </x:c>
      <x:c r="B42" s="15" t="str">
        <x:v>品牌官网</x:v>
      </x:c>
      <x:c r="C42" s="15" t="str">
        <x:v>检索时页面</x:v>
      </x:c>
      <x:c r="D42" s="15" t="str">
        <x:v>Kitsch scalp applicator</x:v>
      </x:c>
      <x:c r="E42" s="15" t="str">
        <x:v>品牌官网工具报价12美元。高价套装需要证明额外价值，不把官网评价当亚马逊评价或退款率。</x:v>
      </x:c>
      <x:c r="F42" s="15" t="str">
        <x:v>https://www.mykitsch.com/products/scalp-oil-applicator</x:v>
      </x:c>
      <x:c r="G42" s="2"/>
    </x:row>
    <x:row r="43" ht="70" customHeight="1">
      <x:c r="A43" s="15" t="str">
        <x:v>2026-10-07</x:v>
      </x:c>
      <x:c r="B43" s="15" t="str">
        <x:v>品牌官网</x:v>
      </x:c>
      <x:c r="C43" s="15" t="str">
        <x:v>检索时页面</x:v>
      </x:c>
      <x:c r="D43" s="15" t="str">
        <x:v>Whiskware batter mixer</x:v>
      </x:c>
      <x:c r="E43" s="15" t="str">
        <x:v>核验瓶式混合/分配形态，具体亚马逊价格及销量未实时验证。</x:v>
      </x:c>
      <x:c r="F43" s="15" t="str">
        <x:v>https://www.whiskware.com/products/batter-mixer</x:v>
      </x:c>
      <x:c r="G43" s="2"/>
    </x:row>
    <x:row r="44" ht="25" customHeight="1">
      <x:c r="A44" s="2"/>
      <x:c r="B44" s="2"/>
      <x:c r="C44" s="2"/>
      <x:c r="D44" s="2"/>
      <x:c r="E44" s="2"/>
      <x:c r="F44" s="2"/>
      <x:c r="G44" s="2"/>
    </x:row>
    <x:row r="45" ht="25" customHeight="1">
      <x:c r="A45" s="2"/>
      <x:c r="B45" s="2"/>
      <x:c r="C45" s="2"/>
      <x:c r="D45" s="2"/>
      <x:c r="E45" s="2"/>
      <x:c r="F45" s="2"/>
      <x:c r="G45" s="2"/>
    </x:row>
    <x:row r="46" ht="25" customHeight="1">
      <x:c r="A46" s="2"/>
      <x:c r="B46" s="2"/>
      <x:c r="C46" s="2"/>
      <x:c r="D46" s="2"/>
      <x:c r="E46" s="2"/>
      <x:c r="F46" s="2"/>
      <x:c r="G46" s="2"/>
    </x:row>
    <x:row r="47" ht="40" customHeight="1">
      <x:c r="A47" s="8" t="str">
        <x:v>关键词市场</x:v>
      </x:c>
      <x:c r="B47" s="8" t="str">
        <x:v>ASIN</x:v>
      </x:c>
      <x:c r="C47" s="8" t="str">
        <x:v>品牌</x:v>
      </x:c>
      <x:c r="D47" s="8" t="str">
        <x:v>形态</x:v>
      </x:c>
      <x:c r="E47" s="8" t="str">
        <x:v>参考价USD</x:v>
      </x:c>
      <x:c r="F47" s="8" t="str">
        <x:v>数据期间</x:v>
      </x:c>
      <x:c r="G47" s="8" t="str">
        <x:v>核验状态</x:v>
      </x:c>
    </x:row>
    <x:row r="48" ht="45" customHeight="1">
      <x:c r="A48" s="15" t="str">
        <x:v>can opener</x:v>
      </x:c>
      <x:c r="B48" s="15" t="str">
        <x:v>B07YP2VH4B</x:v>
      </x:c>
      <x:c r="C48" s="15" t="str">
        <x:v>KitchenAid</x:v>
      </x:c>
      <x:c r="D48" s="15" t="str">
        <x:v>手动开罐器</x:v>
      </x:c>
      <x:c r="E48" s="17" t="n">
        <x:v>14.99</x:v>
      </x:c>
      <x:c r="F48" s="15" t="str">
        <x:v>2026-07</x:v>
      </x:c>
      <x:c r="G48" s="15" t="str">
        <x:v>第三方样本，当前价/排名未核验</x:v>
      </x:c>
    </x:row>
    <x:row r="49" ht="45" customHeight="1">
      <x:c r="A49" s="15" t="str">
        <x:v>can opener</x:v>
      </x:c>
      <x:c r="B49" s="15" t="str">
        <x:v>B000AX13US</x:v>
      </x:c>
      <x:c r="C49" s="15" t="str">
        <x:v>GoodCook</x:v>
      </x:c>
      <x:c r="D49" s="15" t="str">
        <x:v>侧切手动开罐器</x:v>
      </x:c>
      <x:c r="E49" s="17"/>
      <x:c r="F49" s="15" t="str">
        <x:v>2026-07</x:v>
      </x:c>
      <x:c r="G49" s="15" t="str">
        <x:v>第三方样本，当前价/排名未核验</x:v>
      </x:c>
    </x:row>
    <x:row r="50" ht="45" customHeight="1">
      <x:c r="A50" s="15" t="str">
        <x:v>wire stripper</x:v>
      </x:c>
      <x:c r="B50" s="15" t="str">
        <x:v>B073YG65N2</x:v>
      </x:c>
      <x:c r="C50" s="15" t="str">
        <x:v>WGGE</x:v>
      </x:c>
      <x:c r="D50" s="15" t="str">
        <x:v>手动剥线压线钳</x:v>
      </x:c>
      <x:c r="E50" s="17" t="n">
        <x:v>8.99</x:v>
      </x:c>
      <x:c r="F50" s="15" t="str">
        <x:v>2026-07</x:v>
      </x:c>
      <x:c r="G50" s="15" t="str">
        <x:v>第三方样本，当前价/排名未核验</x:v>
      </x:c>
    </x:row>
    <x:row r="51" ht="45" customHeight="1">
      <x:c r="A51" s="15" t="str">
        <x:v>wire stripper</x:v>
      </x:c>
      <x:c r="B51" s="15" t="str">
        <x:v>B00080DPNQ</x:v>
      </x:c>
      <x:c r="C51" s="15" t="str">
        <x:v>Klein</x:v>
      </x:c>
      <x:c r="D51" s="15" t="str">
        <x:v>手动剥线钳</x:v>
      </x:c>
      <x:c r="E51" s="17"/>
      <x:c r="F51" s="15" t="str">
        <x:v>2026-07</x:v>
      </x:c>
      <x:c r="G51" s="15" t="str">
        <x:v>第三方样本，当前价/排名未核验</x:v>
      </x:c>
    </x:row>
    <x:row r="52" ht="45" customHeight="1">
      <x:c r="A52" s="15" t="str">
        <x:v>wire stripper</x:v>
      </x:c>
      <x:c r="B52" s="15" t="str">
        <x:v>B0B2NWK1QX</x:v>
      </x:c>
      <x:c r="C52" s="15" t="str">
        <x:v>haisstronica</x:v>
      </x:c>
      <x:c r="D52" s="15" t="str">
        <x:v>自动剥线钳</x:v>
      </x:c>
      <x:c r="E52" s="17"/>
      <x:c r="F52" s="15" t="str">
        <x:v>2026-07</x:v>
      </x:c>
      <x:c r="G52" s="15" t="str">
        <x:v>第三方样本，当前价/排名未核验</x:v>
      </x:c>
    </x:row>
    <x:row r="53" ht="45" customHeight="1">
      <x:c r="A53" s="15" t="str">
        <x:v>pancake batter dispenser</x:v>
      </x:c>
      <x:c r="B53" s="15" t="str">
        <x:v>B01JG57JJ4</x:v>
      </x:c>
      <x:c r="C53" s="15" t="str">
        <x:v>Whiskware</x:v>
      </x:c>
      <x:c r="D53" s="15" t="str">
        <x:v>瓶式混合分配器</x:v>
      </x:c>
      <x:c r="E53" s="17" t="n">
        <x:v>14.99</x:v>
      </x:c>
      <x:c r="F53" s="15" t="str">
        <x:v>2026-07</x:v>
      </x:c>
      <x:c r="G53" s="15" t="str">
        <x:v>第三方样本，当前价/排名未核验</x:v>
      </x:c>
    </x:row>
    <x:row r="54" ht="45" customHeight="1">
      <x:c r="A54" s="15" t="str">
        <x:v>pancake batter dispenser</x:v>
      </x:c>
      <x:c r="B54" s="15" t="str">
        <x:v>B00R48FNTE</x:v>
      </x:c>
      <x:c r="C54" s="15" t="str">
        <x:v>KPKitchen</x:v>
      </x:c>
      <x:c r="D54" s="15" t="str">
        <x:v>扳机式分配器</x:v>
      </x:c>
      <x:c r="E54" s="17" t="n">
        <x:v>23.99</x:v>
      </x:c>
      <x:c r="F54" s="15" t="str">
        <x:v>2026-07</x:v>
      </x:c>
      <x:c r="G54" s="15" t="str">
        <x:v>另一公开报告报价；当前价/排名未核验</x:v>
      </x:c>
    </x:row>
    <x:row r="55" ht="45" customHeight="1">
      <x:c r="A55" s="15" t="str">
        <x:v>pancake batter dispenser</x:v>
      </x:c>
      <x:c r="B55" s="15" t="str">
        <x:v>B07G5VGJPM</x:v>
      </x:c>
      <x:c r="C55" s="15" t="str">
        <x:v>OXO</x:v>
      </x:c>
      <x:c r="D55" s="15" t="str">
        <x:v>扳机式分配器</x:v>
      </x:c>
      <x:c r="E55" s="17"/>
      <x:c r="F55" s="15" t="str">
        <x:v>2026-07</x:v>
      </x:c>
      <x:c r="G55" s="15" t="str">
        <x:v>第三方样本，当前价/排名未核验</x:v>
      </x:c>
    </x:row>
    <x:row r="56" ht="45" customHeight="1">
      <x:c r="A56" s="15" t="str">
        <x:v>scalp oil applicator</x:v>
      </x:c>
      <x:c r="B56" s="15" t="str">
        <x:v>B0DGCXMW6H</x:v>
      </x:c>
      <x:c r="C56" s="15" t="str">
        <x:v>待核验</x:v>
      </x:c>
      <x:c r="D56" s="15" t="str">
        <x:v>小型涂油工具</x:v>
      </x:c>
      <x:c r="E56" s="17" t="n">
        <x:v>9.99</x:v>
      </x:c>
      <x:c r="F56" s="15" t="str">
        <x:v>2026-07</x:v>
      </x:c>
      <x:c r="G56" s="15" t="str">
        <x:v>第三方样本，当前价/排名未核验</x:v>
      </x:c>
    </x:row>
    <x:row r="57" ht="45" customHeight="1">
      <x:c r="A57" s="15" t="str">
        <x:v>coffee bar organizer</x:v>
      </x:c>
      <x:c r="B57" s="15" t="str">
        <x:v>B0FZGZ2QK6</x:v>
      </x:c>
      <x:c r="C57" s="15" t="str">
        <x:v>Vtopmart</x:v>
      </x:c>
      <x:c r="D57" s="15" t="str">
        <x:v>咖啡胶囊抽屉</x:v>
      </x:c>
      <x:c r="E57" s="17" t="n">
        <x:v>20.99</x:v>
      </x:c>
      <x:c r="F57" s="15" t="str">
        <x:v>2026-07</x:v>
      </x:c>
      <x:c r="G57" s="15" t="str">
        <x:v>第三方样本，当前价/排名未核验</x:v>
      </x:c>
    </x:row>
    <x:row r="58" ht="45" customHeight="1">
      <x:c r="A58" s="15" t="str">
        <x:v>coffee bar organizer</x:v>
      </x:c>
      <x:c r="B58" s="15" t="str">
        <x:v>B0169ZDUSI</x:v>
      </x:c>
      <x:c r="C58" s="15" t="str">
        <x:v>Mind Reader</x:v>
      </x:c>
      <x:c r="D58" s="15" t="str">
        <x:v>咖啡调味收纳架</x:v>
      </x:c>
      <x:c r="E58" s="17"/>
      <x:c r="F58" s="15" t="str">
        <x:v>2026-07</x:v>
      </x:c>
      <x:c r="G58" s="15" t="str">
        <x:v>第三方样本，当前价/排名未核验</x:v>
      </x:c>
    </x:row>
    <x:row r="59" ht="25" customHeight="1">
      <x:c r="A59" s="2"/>
      <x:c r="B59" s="2"/>
      <x:c r="C59" s="2"/>
      <x:c r="D59" s="2"/>
      <x:c r="E59" s="2"/>
      <x:c r="F59" s="2"/>
      <x:c r="G59" s="2"/>
    </x:row>
    <x:row r="60" ht="25" customHeight="1">
      <x:c r="A60" s="2"/>
      <x:c r="B60" s="2"/>
      <x:c r="C60" s="2"/>
      <x:c r="D60" s="2"/>
      <x:c r="E60" s="2"/>
      <x:c r="F60" s="2"/>
      <x:c r="G60" s="2"/>
    </x:row>
    <x:row r="61" ht="25" customHeight="1">
      <x:c r="A61" s="2"/>
      <x:c r="B61" s="2"/>
      <x:c r="C61" s="2"/>
      <x:c r="D61" s="2"/>
      <x:c r="E61" s="2"/>
      <x:c r="F61" s="2"/>
      <x:c r="G61" s="2"/>
    </x:row>
    <x:row r="62" ht="40" customHeight="1">
      <x:c r="A62" s="8" t="str">
        <x:v>验证顺序</x:v>
      </x:c>
      <x:c r="B62" s="8" t="str">
        <x:v>完成条件</x:v>
      </x:c>
      <x:c r="C62" s="8" t="str">
        <x:v>必要证据</x:v>
      </x:c>
      <x:c r="D62" s="2"/>
      <x:c r="E62" s="2"/>
      <x:c r="F62" s="2"/>
      <x:c r="G62" s="2"/>
    </x:row>
    <x:row r="63" ht="55" customHeight="1">
      <x:c r="A63" s="15" t="str">
        <x:v>市场定义</x:v>
      </x:c>
      <x:c r="B63" s="15" t="str">
        <x:v>按功能、形态、尺寸和价格细分</x:v>
      </x:c>
      <x:c r="C63" s="15" t="str">
        <x:v>US、邮编、关键词组、叶子节点、采集时间</x:v>
      </x:c>
      <x:c r="D63" s="2"/>
      <x:c r="E63" s="2"/>
      <x:c r="F63" s="2"/>
      <x:c r="G63" s="2"/>
    </x:row>
    <x:row r="64" ht="55" customHeight="1">
      <x:c r="A64" s="15" t="str">
        <x:v>竞争</x:v>
      </x:c>
      <x:c r="B64" s="15" t="str">
        <x:v>Top50结构与Top10深审</x:v>
      </x:c>
      <x:c r="C64" s="15" t="str">
        <x:v>连续榜位、去重父子ASIN、常态价/促销价、品牌和卖家份额</x:v>
      </x:c>
      <x:c r="D64" s="2"/>
      <x:c r="E64" s="2"/>
      <x:c r="F64" s="2"/>
      <x:c r="G64" s="2"/>
    </x:row>
    <x:row r="65" ht="55" customHeight="1">
      <x:c r="A65" s="15" t="str">
        <x:v>需求</x:v>
      </x:c>
      <x:c r="B65" s="15" t="str">
        <x:v>近13周与过去24个月趋势</x:v>
      </x:c>
      <x:c r="C65" s="15" t="str">
        <x:v>区分季节性、促销、短期热点及品牌词</x:v>
      </x:c>
      <x:c r="D65" s="2"/>
      <x:c r="E65" s="2"/>
      <x:c r="F65" s="2"/>
      <x:c r="G65" s="2"/>
    </x:row>
    <x:row r="66" ht="55" customHeight="1">
      <x:c r="A66" s="15" t="str">
        <x:v>VOC</x:v>
      </x:c>
      <x:c r="B66" s="15" t="str">
        <x:v>至少三个反复出现且样品可解决的问题</x:v>
      </x:c>
      <x:c r="C66" s="15" t="str">
        <x:v>可追溯评论、Q&amp;A、退货/退款证据</x:v>
      </x:c>
      <x:c r="D66" s="2"/>
      <x:c r="E66" s="2"/>
      <x:c r="F66" s="2"/>
      <x:c r="G66" s="2"/>
    </x:row>
    <x:row r="67" ht="55" customHeight="1">
      <x:c r="A67" s="15" t="str">
        <x:v>流量</x:v>
      </x:c>
      <x:c r="B67" s="15" t="str">
        <x:v>实际CPC、广告点击CVR与核心词门槛</x:v>
      </x:c>
      <x:c r="C67" s="15" t="str">
        <x:v>同形态、相似价格及相近阶段的广告数据</x:v>
      </x:c>
      <x:c r="D67" s="2"/>
      <x:c r="E67" s="2"/>
      <x:c r="F67" s="2"/>
      <x:c r="G67" s="2"/>
    </x:row>
    <x:row r="68" ht="55" customHeight="1">
      <x:c r="A68" s="15" t="str">
        <x:v>经济</x:v>
      </x:c>
      <x:c r="B68" s="15" t="str">
        <x:v>填真实到岸成本、尺寸重量、全包FBA费用与退款损失</x:v>
      </x:c>
      <x:c r="C68" s="15" t="str">
        <x:v>单位广告订单贡献、自然占比、现金流和备货周期</x:v>
      </x:c>
      <x:c r="D68" s="2"/>
      <x:c r="E68" s="2"/>
      <x:c r="F68" s="2"/>
      <x:c r="G68" s="2"/>
    </x:row>
    <x:row r="69" ht="55" customHeight="1">
      <x:c r="A69" s="15" t="str">
        <x:v>供给</x:v>
      </x:c>
      <x:c r="B69" s="15" t="str">
        <x:v>报价、样品测试、IP及必要测试完成</x:v>
      </x:c>
      <x:c r="C69" s="15" t="str">
        <x:v>至少三家可比较报价；具体产品测试路线</x:v>
      </x:c>
      <x:c r="D69" s="2"/>
      <x:c r="E69" s="2"/>
      <x:c r="F69" s="2"/>
      <x:c r="G69" s="2"/>
    </x:row>
    <x:row r="70" ht="55" customHeight="1">
      <x:c r="A70" s="15" t="str">
        <x:v>试销</x:v>
      </x:c>
      <x:c r="B70" s="15" t="str">
        <x:v>仅关键证据通过后进入小批试销</x:v>
      </x:c>
      <x:c r="C70" s="15" t="str">
        <x:v>首批建议100–200件为可调整计划，非本轮采购决定</x:v>
      </x:c>
      <x:c r="D70" s="2"/>
      <x:c r="E70" s="2"/>
      <x:c r="F70" s="2"/>
      <x:c r="G70" s="2"/>
    </x:row>
    <x:row r="71" ht="25" customHeight="1">
      <x:c r="A71" s="2"/>
      <x:c r="B71" s="2"/>
      <x:c r="C71" s="2"/>
      <x:c r="D71" s="2"/>
      <x:c r="E71" s="2"/>
      <x:c r="F71" s="2"/>
      <x:c r="G71" s="2"/>
    </x:row>
    <x:row r="72" ht="25" customHeight="1">
      <x:c r="A72" s="2"/>
      <x:c r="B72" s="2"/>
      <x:c r="C72" s="2"/>
      <x:c r="D72" s="2"/>
      <x:c r="E72" s="2"/>
      <x:c r="F72" s="2"/>
      <x:c r="G72" s="2"/>
    </x:row>
    <x:row r="73" ht="25" customHeight="1">
      <x:c r="A73" s="2"/>
      <x:c r="B73" s="2"/>
      <x:c r="C73" s="2"/>
      <x:c r="D73" s="2"/>
      <x:c r="E73" s="2"/>
      <x:c r="F73" s="2"/>
      <x:c r="G73" s="2"/>
    </x:row>
    <x:row r="74" ht="25" customHeight="1">
      <x:c r="A74" s="2"/>
      <x:c r="B74" s="2"/>
      <x:c r="C74" s="2"/>
      <x:c r="D74" s="2"/>
      <x:c r="E74" s="2"/>
      <x:c r="F74" s="2"/>
      <x:c r="G74" s="2"/>
    </x:row>
    <x:row r="75" ht="25" customHeight="1">
      <x:c r="A75" s="2"/>
      <x:c r="B75" s="2"/>
      <x:c r="C75" s="2"/>
      <x:c r="D75" s="2"/>
      <x:c r="E75" s="2"/>
      <x:c r="F75" s="2"/>
      <x:c r="G75" s="2"/>
    </x:row>
    <x:row r="76" ht="25" customHeight="1">
      <x:c r="A76" s="2"/>
      <x:c r="B76" s="2"/>
      <x:c r="C76" s="2"/>
      <x:c r="D76" s="2"/>
      <x:c r="E76" s="2"/>
      <x:c r="F76" s="2"/>
      <x:c r="G76" s="2"/>
    </x:row>
    <x:row r="77" ht="25" customHeight="1">
      <x:c r="A77" s="2"/>
      <x:c r="B77" s="2"/>
      <x:c r="C77" s="2"/>
      <x:c r="D77" s="2"/>
      <x:c r="E77" s="2"/>
      <x:c r="F77" s="2"/>
      <x:c r="G77" s="2"/>
    </x:row>
    <x:row r="78" ht="25" customHeight="1">
      <x:c r="A78" s="2"/>
      <x:c r="B78" s="2"/>
      <x:c r="C78" s="2"/>
      <x:c r="D78" s="2"/>
      <x:c r="E78" s="2"/>
      <x:c r="F78" s="2"/>
      <x:c r="G78" s="2"/>
    </x:row>
    <x:row r="79" ht="25" customHeight="1">
      <x:c r="A79" s="2"/>
      <x:c r="B79" s="2"/>
      <x:c r="C79" s="2"/>
      <x:c r="D79" s="2"/>
      <x:c r="E79" s="2"/>
      <x:c r="F79" s="2"/>
      <x:c r="G79" s="2"/>
    </x:row>
    <x:row r="80" ht="25" customHeight="1">
      <x:c r="A80" s="2"/>
      <x:c r="B80" s="2"/>
      <x:c r="C80" s="2"/>
      <x:c r="D80" s="2"/>
      <x:c r="E80" s="2"/>
      <x:c r="F80" s="2"/>
      <x:c r="G80" s="2"/>
    </x:row>
    <x:row r="81" ht="25" customHeight="1">
      <x:c r="A81" s="2"/>
      <x:c r="B81" s="2"/>
      <x:c r="C81" s="2"/>
      <x:c r="D81" s="2"/>
      <x:c r="E81" s="2"/>
      <x:c r="F81" s="2"/>
      <x:c r="G81" s="2"/>
    </x:row>
    <x:row r="82" ht="25" customHeight="1">
      <x:c r="A82" s="2"/>
      <x:c r="B82" s="2"/>
      <x:c r="C82" s="2"/>
      <x:c r="D82" s="2"/>
      <x:c r="E82" s="2"/>
      <x:c r="F82" s="2"/>
      <x:c r="G82" s="2"/>
    </x:row>
    <x:row r="83" ht="25" customHeight="1">
      <x:c r="A83" s="2"/>
      <x:c r="B83" s="2"/>
      <x:c r="C83" s="2"/>
      <x:c r="D83" s="2"/>
      <x:c r="E83" s="2"/>
      <x:c r="F83" s="2"/>
      <x:c r="G83" s="2"/>
    </x:row>
    <x:row r="84" ht="25" customHeight="1">
      <x:c r="A84" s="2"/>
      <x:c r="B84" s="2"/>
      <x:c r="C84" s="2"/>
      <x:c r="D84" s="2"/>
      <x:c r="E84" s="2"/>
      <x:c r="F84" s="2"/>
      <x:c r="G84" s="2"/>
    </x:row>
    <x:row r="85" ht="25" customHeight="1">
      <x:c r="A85" s="2"/>
      <x:c r="B85" s="2"/>
      <x:c r="C85" s="2"/>
      <x:c r="D85" s="2"/>
      <x:c r="E85" s="2"/>
      <x:c r="F85" s="2"/>
      <x:c r="G85" s="2"/>
    </x:row>
    <x:row r="86" ht="25" customHeight="1">
      <x:c r="A86" s="2"/>
      <x:c r="B86" s="2"/>
      <x:c r="C86" s="2"/>
      <x:c r="D86" s="2"/>
      <x:c r="E86" s="2"/>
      <x:c r="F86" s="2"/>
      <x:c r="G86" s="2"/>
    </x:row>
    <x:row r="87" ht="25" customHeight="1">
      <x:c r="A87" s="2"/>
      <x:c r="B87" s="2"/>
      <x:c r="C87" s="2"/>
      <x:c r="D87" s="2"/>
      <x:c r="E87" s="2"/>
      <x:c r="F87" s="2"/>
      <x:c r="G87" s="2"/>
    </x:row>
    <x:row r="88" ht="25" customHeight="1">
      <x:c r="A88" s="2"/>
      <x:c r="B88" s="2"/>
      <x:c r="C88" s="2"/>
      <x:c r="D88" s="2"/>
      <x:c r="E88" s="2"/>
      <x:c r="F88" s="2"/>
      <x:c r="G88" s="2"/>
    </x:row>
    <x:row r="89" ht="25" customHeight="1">
      <x:c r="A89" s="2"/>
      <x:c r="B89" s="2"/>
      <x:c r="C89" s="2"/>
      <x:c r="D89" s="2"/>
      <x:c r="E89" s="2"/>
      <x:c r="F89" s="2"/>
      <x:c r="G89" s="2"/>
    </x:row>
    <x:row r="90" ht="25" customHeight="1">
      <x:c r="A90" s="2"/>
      <x:c r="B90" s="2"/>
      <x:c r="C90" s="2"/>
      <x:c r="D90" s="2"/>
      <x:c r="E90" s="2"/>
      <x:c r="F90" s="2"/>
      <x:c r="G90" s="2"/>
    </x:row>
    <x:row r="91" ht="25" customHeight="1">
      <x:c r="A91" s="2"/>
      <x:c r="B91" s="2"/>
      <x:c r="C91" s="2"/>
      <x:c r="D91" s="2"/>
      <x:c r="E91" s="2"/>
      <x:c r="F91" s="2"/>
      <x:c r="G91" s="2"/>
    </x:row>
    <x:row r="92" ht="25" customHeight="1">
      <x:c r="A92" s="2"/>
      <x:c r="B92" s="2"/>
      <x:c r="C92" s="2"/>
      <x:c r="D92" s="2"/>
      <x:c r="E92" s="2"/>
      <x:c r="F92" s="2"/>
      <x:c r="G92" s="2"/>
    </x:row>
    <x:row r="93" ht="25" customHeight="1">
      <x:c r="A93" s="2"/>
      <x:c r="B93" s="2"/>
      <x:c r="C93" s="2"/>
      <x:c r="D93" s="2"/>
      <x:c r="E93" s="2"/>
      <x:c r="F93" s="2"/>
      <x:c r="G93" s="2"/>
    </x:row>
    <x:row r="94" ht="25" customHeight="1">
      <x:c r="A94" s="2"/>
      <x:c r="B94" s="2"/>
      <x:c r="C94" s="2"/>
      <x:c r="D94" s="2"/>
      <x:c r="E94" s="2"/>
      <x:c r="F94" s="2"/>
      <x:c r="G94" s="2"/>
    </x:row>
    <x:row r="95" ht="25" customHeight="1">
      <x:c r="A95" s="2"/>
      <x:c r="B95" s="2"/>
      <x:c r="C95" s="2"/>
      <x:c r="D95" s="2"/>
      <x:c r="E95" s="2"/>
      <x:c r="F95" s="2"/>
      <x:c r="G95" s="2"/>
    </x:row>
  </x:sheetData>
  <x:pageMargins left="0.7" right="0.7" top="0.75" bottom="0.75" header="0.3" footer="0.3"/>
</x:worksheet>
</file>