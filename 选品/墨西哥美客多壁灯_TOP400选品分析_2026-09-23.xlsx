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ouyan\Downloads\"/>
    </mc:Choice>
  </mc:AlternateContent>
  <bookViews>
    <workbookView windowWidth="22188" windowHeight="10500" activeTab="2"/>
  </bookViews>
  <sheets>
    <sheet name="决策总览" sheetId="1" r:id="rId1"/>
    <sheet name="重点竞品" sheetId="2" r:id="rId2"/>
    <sheet name="400链接明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<sst xmlns="http://schemas.openxmlformats.org/spreadsheetml/2006/main" count="7058" uniqueCount="2231">
  <si>
    <t>墨西哥美客多｜壁灯选品决策</t>
  </si>
  <si>
    <t>范围：用户上传的TOP400商品链接；近30天销量与销售额为工具估算值。全站结果数3,586来自截图，不作为市场总量分母。</t>
  </si>
  <si>
    <t>样本链接</t>
  </si>
  <si>
    <t>样本30天销量</t>
  </si>
  <si>
    <t>样本销售额 MXN</t>
  </si>
  <si>
    <t>核心壁灯链接</t>
  </si>
  <si>
    <r>
      <t>平均销售额</t>
    </r>
    <r>
      <rPr>
        <sz val="10"/>
        <color rgb="FF263746"/>
        <rFont val="Arial"/>
        <charset val="134"/>
      </rPr>
      <t>MXN</t>
    </r>
  </si>
  <si>
    <t>核心壁灯销量</t>
  </si>
  <si>
    <t>核心壁灯销售额 MXN</t>
  </si>
  <si>
    <t>相邻/待复核销量</t>
  </si>
  <si>
    <t>原排序TOP30销量</t>
  </si>
  <si>
    <t>细分结构：主用途互斥归类；只用“核心壁灯”五类计算壁灯机会</t>
  </si>
  <si>
    <t>细分</t>
  </si>
  <si>
    <t>链接数</t>
  </si>
  <si>
    <t>30天销量</t>
  </si>
  <si>
    <t>30天销售额 MXN</t>
  </si>
  <si>
    <t>平均标价 MXN</t>
  </si>
  <si>
    <t>占核心销量</t>
  </si>
  <si>
    <t>判断</t>
  </si>
  <si>
    <t>有线户外/通用壁灯</t>
  </si>
  <si>
    <t>高需求，高同质化</t>
  </si>
  <si>
    <t>太阳能户外壁灯</t>
  </si>
  <si>
    <t>感应/续航可差异化</t>
  </si>
  <si>
    <t>充电/感应壁灯</t>
  </si>
  <si>
    <t>先验证电池与退货</t>
  </si>
  <si>
    <t>复古/灯笼壁灯</t>
  </si>
  <si>
    <t>套装与外观有价差</t>
  </si>
  <si>
    <t>室内装饰壁灯</t>
  </si>
  <si>
    <t>低规模，造型定向验证</t>
  </si>
  <si>
    <t>核心壁灯合计</t>
  </si>
  <si>
    <t>邻近：橱柜/衣柜灯</t>
  </si>
  <si>
    <t>关键词污染：单独成类</t>
  </si>
  <si>
    <t>邻近：路灯/投光灯</t>
  </si>
  <si>
    <t>远离壁灯核心定义</t>
  </si>
  <si>
    <t>邻近：镜前灯</t>
  </si>
  <si>
    <t>另作镜前灯赛道</t>
  </si>
  <si>
    <t>邻近：楼梯/嵌入灯</t>
  </si>
  <si>
    <t>独立场景验证</t>
  </si>
  <si>
    <t>邻近：顶灯/配件/地灯</t>
  </si>
  <si>
    <t>非核心</t>
  </si>
  <si>
    <t>待人工复核</t>
  </si>
  <si>
    <t>链接用途需人工复核</t>
  </si>
  <si>
    <t>相邻/待复核合计</t>
  </si>
  <si>
    <t>400链接校核</t>
  </si>
  <si>
    <t>核心壁灯价格带（链接标价；套装仍按单链接计销量）</t>
  </si>
  <si>
    <t>标价 MXN</t>
  </si>
  <si>
    <t>销量占比</t>
  </si>
  <si>
    <t>&lt;100</t>
  </si>
  <si>
    <t>试验优先级</t>
  </si>
  <si>
    <t>切入与判断</t>
  </si>
  <si>
    <t>100–149</t>
  </si>
  <si>
    <t>1 有线户外</t>
  </si>
  <si>
    <t>单支 150–199；双支套装 309–349：检验防水、色温、安装与净利。</t>
  </si>
  <si>
    <t>150–199</t>
  </si>
  <si>
    <t>2 复古/灯笼</t>
  </si>
  <si>
    <t>单支/双支、黑色/铜色，明确是否含灯泡、底座安装方式。</t>
  </si>
  <si>
    <t>200–299</t>
  </si>
  <si>
    <t>3 太阳能户外</t>
  </si>
  <si>
    <t>双支 229–299；实测续航、雨淋、感应距离，不夸大流明。</t>
  </si>
  <si>
    <t>300–499</t>
  </si>
  <si>
    <t>4 充电感应</t>
  </si>
  <si>
    <t>先小样试点；验证电池寿命、磁吸跌落、传感误触与退货。</t>
  </si>
  <si>
    <t>≥500</t>
  </si>
  <si>
    <t>决策门槛</t>
  </si>
  <si>
    <t>取得单SKU实际费率/运费/税/广告/退货成本后再计算边际利润。</t>
  </si>
  <si>
    <t>店铺结构：核心壁灯样本</t>
  </si>
  <si>
    <t>店铺类型</t>
  </si>
  <si>
    <t>每链接30天销量</t>
  </si>
  <si>
    <t>本土店</t>
  </si>
  <si>
    <t>跨境店</t>
  </si>
  <si>
    <t>核心壁灯品牌（按归一品牌汇总；“Genérica”是泛称）</t>
  </si>
  <si>
    <t>品牌</t>
  </si>
  <si>
    <t>dehobo</t>
  </si>
  <si>
    <t>vanance</t>
  </si>
  <si>
    <t>judeng</t>
  </si>
  <si>
    <t>generica</t>
  </si>
  <si>
    <t>time4buy</t>
  </si>
  <si>
    <t>hutiirich</t>
  </si>
  <si>
    <t>geopower</t>
  </si>
  <si>
    <t>gosun</t>
  </si>
  <si>
    <t>luminicola</t>
  </si>
  <si>
    <t>ambueco</t>
  </si>
  <si>
    <t>emotinia</t>
  </si>
  <si>
    <t>sonheo</t>
  </si>
  <si>
    <t>方法：细分与套装件数仅根据标题判定；销售额沿用原表，不能以当前标价×近30天销量替代；库存覆盖=库存快照÷(近30天销量/30)，只作预警；转化率非广告CVR。</t>
  </si>
  <si>
    <t>核对：原排序TOP30=20,551件，TOP10=9,642件，TOP30平均685.03件；截图的9.98%为前30条工具转化率简单均值，定义待平台核实。</t>
  </si>
  <si>
    <t>重点竞品 | 来源于400条链接</t>
  </si>
  <si>
    <t>按场景选择代表款，非全站热销排名。库存覆盖天数按静态库存÷近30天日均销量；标价和评论均为抓取时快照。</t>
  </si>
  <si>
    <t>原排序</t>
  </si>
  <si>
    <t>商品ID</t>
  </si>
  <si>
    <t>套装件数*</t>
  </si>
  <si>
    <t>估算每件标价 MXN*</t>
  </si>
  <si>
    <t>库存覆盖天数*</t>
  </si>
  <si>
    <t>评论数</t>
  </si>
  <si>
    <t>上架日期</t>
  </si>
  <si>
    <t>要观察什么</t>
  </si>
  <si>
    <t>商品链接</t>
  </si>
  <si>
    <t>MLM3854627100</t>
  </si>
  <si>
    <t>HUTIIRICH</t>
  </si>
  <si>
    <t>低价长销；核实20W实际功率、安装与售后</t>
  </si>
  <si>
    <t>https://articulo.mercadolibre.com.mx/MLM-3854627100-hutiirich-lamparas-de-pared-exterior-y-interiores-color-negro-cuadrado-arbotante-20w-modernas-decorativas-3000k-luz-blanco-calido-impermeable-lamparas-para-jardin-sala-bano-rectangulo-negro-_JM</t>
  </si>
  <si>
    <t>MLM5194406162</t>
  </si>
  <si>
    <t>Vanance</t>
  </si>
  <si>
    <t>低价长销；核实调光功能与实际电压</t>
  </si>
  <si>
    <t>https://articulo.mercadolibre.com.mx/MLM-5194406162-vanance-lampara-pared-luces-luz-calida-interiores-exterior-muro-12w-lamparas-modernas-regulador-de-luz-lampara-arbotante-lampara-decorativas-color-negro-_JM</t>
  </si>
  <si>
    <t>MLM4124322628</t>
  </si>
  <si>
    <t>Raganet</t>
  </si>
  <si>
    <t>双支复古套装，高销量；查是否含灯泡</t>
  </si>
  <si>
    <t>https://articulo.mercadolibre.com.mx/MLM-4124322628-kit-2-lamparas-decorativas-de-pared-intext-vintage-retro-negro-_JM</t>
  </si>
  <si>
    <t>MLM5598303430</t>
  </si>
  <si>
    <t>AGTCOBT</t>
  </si>
  <si>
    <t>六支充电感应灯；极低单件价与短库存</t>
  </si>
  <si>
    <t>https://articulo.mercadolibre.com.mx/MLM-5598303430-6pcs-lampara-pared-recargable-sensor-movimiento-led-luces-_JM</t>
  </si>
  <si>
    <t>MLM5542913308</t>
  </si>
  <si>
    <t>EMOTINIA</t>
  </si>
  <si>
    <t>多色温有线款；观察竞品同款分流</t>
  </si>
  <si>
    <t>https://articulo.mercadolibre.com.mx/MLM-5542913308-lampara-pared-exterior-impermeable-arbotante-moderna-3-modos-negro-_JM</t>
  </si>
  <si>
    <t>MLM3854640070</t>
  </si>
  <si>
    <t>同牌圆款；验证造型变体带来的销量</t>
  </si>
  <si>
    <t>https://articulo.mercadolibre.com.mx/MLM-3854640070-hutiirich-lamparas-de-pared-exterior-y-interiores-color-negro-redondo-arbotante-20w-modernas-decorativas-3000k-luz-blanco-calido-impermeable-lamparas-para-jardin-sala-bano-redondo-negro-_JM</t>
  </si>
  <si>
    <t>MLM2979688231</t>
  </si>
  <si>
    <t>SONHEO</t>
  </si>
  <si>
    <t>双灯头/三色温；留意与同质款的差别</t>
  </si>
  <si>
    <t>https://articulo.mercadolibre.com.mx/MLM-2979688231-sonheo-lampara-de-pared-exterior-y-interior-moderna-decorativas-para-jardin-sala-con-2-focos-y-3-modos-de-luz-blancacalidaneutra-negro-_JM</t>
  </si>
  <si>
    <t>MLM2326733309</t>
  </si>
  <si>
    <t>Geopower</t>
  </si>
  <si>
    <t>单支复古灯；与双支套装比价格</t>
  </si>
  <si>
    <t>https://articulo.mercadolibre.com.mx/MLM-2326733309-lampara-de-pared-exterior-farol-decorativo-negro-espanol-100-w-geopower-_JM</t>
  </si>
  <si>
    <t>MLM4243156976</t>
  </si>
  <si>
    <t>Vedd</t>
  </si>
  <si>
    <t>太阳能高客单；库存很薄，核实续航</t>
  </si>
  <si>
    <t>https://articulo.mercadolibre.com.mx/MLM-4243156976-vedd-lampara-solar-de-paruz-192-led-estructura-negro-_JM</t>
  </si>
  <si>
    <t>MLM2280811385</t>
  </si>
  <si>
    <t>HSLING</t>
  </si>
  <si>
    <t>3000K壁灯；7天速度比30天更快</t>
  </si>
  <si>
    <t>https://articulo.mercadolibre.com.mx/MLM-2280811385-aplique-led-de-pared-ip65-negro-3000k-lampara-interior-y-exterior-_JM</t>
  </si>
  <si>
    <t>MLM2517942983</t>
  </si>
  <si>
    <t>Gosun</t>
  </si>
  <si>
    <t>灯笼造型；验证不含灯泡说明</t>
  </si>
  <si>
    <t>https://articulo.mercadolibre.com.mx/MLM-2517942983-farol-hexagonal-pared-negro-e27-exterior-impermeable-aluminio-_JM</t>
  </si>
  <si>
    <t>MLM4780094146</t>
  </si>
  <si>
    <t>Ambueco</t>
  </si>
  <si>
    <t>太阳能三色温；本土供给</t>
  </si>
  <si>
    <t>https://articulo.mercadolibre.com.mx/MLM-4780094146-lampara-pared-led-solar-exterior-moderna-impermeable-3-modosluz-blanca-calida-neutralmodernas-decorativa-para-jardin-arbotante-exterior-ambueco-negro-_JM</t>
  </si>
  <si>
    <t>MLM2980774929</t>
  </si>
  <si>
    <t>YETONE</t>
  </si>
  <si>
    <t>太阳能双支套装；比较单件标价</t>
  </si>
  <si>
    <t>https://articulo.mercadolibre.com.mx/MLM-2980774929-lamparas-solares-exterior-lamparas-solares-lampara-led-2pcs-_JM</t>
  </si>
  <si>
    <t>MLM4478861044</t>
  </si>
  <si>
    <t>Cyotman</t>
  </si>
  <si>
    <t>低价太阳能感应；验电池与光衰</t>
  </si>
  <si>
    <t>https://articulo.mercadolibre.com.mx/MLM-4478861044-lampara-solar-exterior-de-pared-de-120-cob-con-sensor-_JM</t>
  </si>
  <si>
    <t>MLM2910627089</t>
  </si>
  <si>
    <t>Time4buy</t>
  </si>
  <si>
    <t>三支有线套装；看每件到手利润</t>
  </si>
  <si>
    <t>https://articulo.mercadolibre.com.mx/MLM-2910627089-time4buy-3pzs-lampara-de-pared-led-6w-exteriores-interior-angulo-de-luz-ajustable-10x10x10cm-haz-superior-e-inferior-impermeable-exterior-para-jardin-patio-terraza-inicio-luz-calida--_JM</t>
  </si>
  <si>
    <t>MLM2609956161</t>
  </si>
  <si>
    <t>NENSED</t>
  </si>
  <si>
    <t>高价太阳能壁灯；核实实际亮度</t>
  </si>
  <si>
    <t>https://articulo.mercadolibre.com.mx/MLM-2609956161-lampara-solar-pared-exterior-con-sensor-de-movimiento-jardin-_JM</t>
  </si>
  <si>
    <t>MLM2852310939</t>
  </si>
  <si>
    <t>低价有线款；品牌多SKU矩阵</t>
  </si>
  <si>
    <t>https://articulo.mercadolibre.com.mx/MLM-2852310939-vanance-lamparas-de-pared-led-exterior-interiores-arbotante-decorativa-modernas-impermeable-luz-calida-lampara-led-pared-de-24w-lamparas-para-jardin-sala-bano-negro-_JM</t>
  </si>
  <si>
    <t>MLM5782662244</t>
  </si>
  <si>
    <t>CCALMX</t>
  </si>
  <si>
    <t>近90天新款无评论仍有销量；复核真伪</t>
  </si>
  <si>
    <t>https://articulo.mercadolibre.com.mx/MLM-5782662244-lamparas-solares-de-pared-sensor-recargable-exterior-jardin-negro-_JM</t>
  </si>
  <si>
    <t>MLM5827853256</t>
  </si>
  <si>
    <t>YASIMING</t>
  </si>
  <si>
    <t>近90天双向照明，价格偏高</t>
  </si>
  <si>
    <t>https://articulo.mercadolibre.com.mx/MLM-5827853256-lampara-de-pared-yasiming-led-rectangular-para-interior-y-exterior-en-negro-gris-oscuro-_JM</t>
  </si>
  <si>
    <t>MLM6072589752</t>
  </si>
  <si>
    <t>Qzgyoool</t>
  </si>
  <si>
    <t>新款太阳能感应，关注评价走势</t>
  </si>
  <si>
    <t>https://articulo.mercadolibre.com.mx/MLM-6072589752-lampara-solar-de-pared-exterior-con-sensor-de-movimiento-luz-led-impermeable-ip65lamparas-de-pared-para-jardin-patio-casa-y-acceso-negro-_JM</t>
  </si>
  <si>
    <t>MLM5971841976</t>
  </si>
  <si>
    <t>新款太阳能三色温，评论起量快</t>
  </si>
  <si>
    <t>https://articulo.mercadolibre.com.mx/MLM-5971841976-lamparas-modernas-de-jardin-solar-exterior-3-modoscon-3-modos-de-luz-3-modos-de-luz-luz-blanca-calida-neutralpara-jardines-patios-pasillos-escaleras-ambueco-temperatura-tricolor-_JM</t>
  </si>
  <si>
    <t>MLM5828230094</t>
  </si>
  <si>
    <t>新款双支双向照明，评价较少</t>
  </si>
  <si>
    <t>https://articulo.mercadolibre.com.mx/MLM-5828230094-lampara-de-pared-yasiming-negra-bi-direccional-para-interior-y-exterior-pack-de-2-gris-oscuro-_JM</t>
  </si>
  <si>
    <t>MLM6130071982</t>
  </si>
  <si>
    <t>Glowlin</t>
  </si>
  <si>
    <t>新款太阳能双支，销量快而评论少</t>
  </si>
  <si>
    <t>https://articulo.mercadolibre.com.mx/MLM-6130071982-lamparas-solares-glowlin-led-para-pared-pack-de-2-con-sensor-de-movimiento-y-3-modos-blanco-calido-_JM</t>
  </si>
  <si>
    <t>MLM3140818875</t>
  </si>
  <si>
    <t>Pcmos</t>
  </si>
  <si>
    <t>室内装饰；低评论高销量样本</t>
  </si>
  <si>
    <t>https://articulo.mercadolibre.com.mx/MLM-3140818875-aplique-de-pared-led-moderno-para-interior-_JM</t>
  </si>
  <si>
    <t>墨西哥美客多壁灯 | 400条链接逐条明细</t>
  </si>
  <si>
    <t>来源：用户上传「400_商品列表 (39).xlsx」；采集时间未写在源表；30天销售额、转化率、库存均为第三方工具口径。细分/套装件数按标题推断，请逐条复核。</t>
  </si>
  <si>
    <t>商品名称</t>
  </si>
  <si>
    <t>细分（标题判断）</t>
  </si>
  <si>
    <t>标价带 MXN</t>
  </si>
  <si>
    <t>品牌（原表）</t>
  </si>
  <si>
    <t>品牌（归一）</t>
  </si>
  <si>
    <t>卖家</t>
  </si>
  <si>
    <t>7天销量</t>
  </si>
  <si>
    <t>90天销量</t>
  </si>
  <si>
    <t>累计销量</t>
  </si>
  <si>
    <t>近30天销售额 MXN*</t>
  </si>
  <si>
    <t>7天折算/30天</t>
  </si>
  <si>
    <t>库存数（快照）</t>
  </si>
  <si>
    <t>库存类型</t>
  </si>
  <si>
    <t>评分</t>
  </si>
  <si>
    <t>转化率*</t>
  </si>
  <si>
    <t>上架龄</t>
  </si>
  <si>
    <t>BSR</t>
  </si>
  <si>
    <t>销量环比</t>
  </si>
  <si>
    <t>长度</t>
  </si>
  <si>
    <t>宽度</t>
  </si>
  <si>
    <t>高度</t>
  </si>
  <si>
    <t>重量</t>
  </si>
  <si>
    <t>商品状态</t>
  </si>
  <si>
    <t>原类目</t>
  </si>
  <si>
    <t>核心壁灯标识</t>
  </si>
  <si>
    <t>Hutiirich® Lámparas De Pared Exterior Y Interiores Color Negro Cuadrado Arbotante 20w Modernas Decorativas 3000k Luz Blanco Cálido Impermeable Lámparas Para Jardín Sala Baño Rectángulo Negro</t>
  </si>
  <si>
    <t>GREEN08EVEREVEN</t>
  </si>
  <si>
    <t>FULL</t>
  </si>
  <si>
    <t>更早</t>
  </si>
  <si>
    <t>21.6 cm</t>
  </si>
  <si>
    <t>10.8 cm</t>
  </si>
  <si>
    <t>9.4 cm</t>
  </si>
  <si>
    <t>1.26 kg</t>
  </si>
  <si>
    <t>在售</t>
  </si>
  <si>
    <t>Hogar, Muebles y Jardín(家居、家具和花园) -&gt; Iluminación para el Hogar(家居照明) -&gt; Lámparas(灯具) -&gt; Lámparas de Pared(壁灯)</t>
  </si>
  <si>
    <t>Vanance® Lámpara Pared Luces Luz Cálida Interiores Exterior Muro 12w Lamparas Modernas Regulador De Luz Lampara Arbotante Lampara Decorativas Color Negro</t>
  </si>
  <si>
    <t>VANANCE</t>
  </si>
  <si>
    <t>91–180天</t>
  </si>
  <si>
    <t>21.4 cm</t>
  </si>
  <si>
    <t>0.3 kg</t>
  </si>
  <si>
    <t>Kit 2 Lámparas Decorativas De Pared Int/ext. Vintage Retro Negro</t>
  </si>
  <si>
    <t>raganet</t>
  </si>
  <si>
    <t>JANSEK</t>
  </si>
  <si>
    <t>48.8 cm</t>
  </si>
  <si>
    <t>24.8 cm</t>
  </si>
  <si>
    <t>11.6 cm</t>
  </si>
  <si>
    <t>1.18 kg</t>
  </si>
  <si>
    <t>6pcs Lampara Pared Recargable Sensor Movimiento Led Luces</t>
  </si>
  <si>
    <t>agtcobt</t>
  </si>
  <si>
    <t>NIUDEYIBI</t>
  </si>
  <si>
    <t>近90天上架</t>
  </si>
  <si>
    <t>38.3 cm</t>
  </si>
  <si>
    <t>16.2 cm</t>
  </si>
  <si>
    <t>3.1 cm</t>
  </si>
  <si>
    <t>0.9 kg</t>
  </si>
  <si>
    <t>Lámpara Pared Exterior Impermeable Arbotante Moderna 3 Modos Negro</t>
  </si>
  <si>
    <t>FALOVIGNADOSHOP</t>
  </si>
  <si>
    <t>36.6 cm</t>
  </si>
  <si>
    <t>21.8 cm</t>
  </si>
  <si>
    <t>9.6 cm</t>
  </si>
  <si>
    <t>0.44 kg</t>
  </si>
  <si>
    <t>Hutiirich® Lámparas De Pared Exterior Y Interiores Color Negro Redondo Arbotante 20w Modernas Decorativas 3000k Luz Blanco Cálido Impermeable Lámparas Para Jardín Sala Baño Redondo Negro</t>
  </si>
  <si>
    <t>22 cm</t>
  </si>
  <si>
    <t>11.4 cm</t>
  </si>
  <si>
    <t>0.26 kg</t>
  </si>
  <si>
    <t>MLM2740945503</t>
  </si>
  <si>
    <t>Bakeway Reflector Lámpara Led Solar Exterior Luminaria Suburbanas 2500w Led Solar Light Lámparas De Pared</t>
  </si>
  <si>
    <t>BAKEWAY</t>
  </si>
  <si>
    <t>bakeway</t>
  </si>
  <si>
    <t>O C</t>
  </si>
  <si>
    <t>38.4 cm</t>
  </si>
  <si>
    <t>20.2 cm</t>
  </si>
  <si>
    <t>25.8 cm</t>
  </si>
  <si>
    <t>0.72 kg</t>
  </si>
  <si>
    <t>https://articulo.mercadolibre.com.mx/MLM-2740945503-lampara-solar-led-exterior-suburbana-alumbrado-publiclamparas-de-pared-focos-solares-led-exteriore-impermeable-_JM</t>
  </si>
  <si>
    <t>MLM4348721588</t>
  </si>
  <si>
    <t>6pzs Luz De Led Clóset Lámpara Armario Noche Recargable Usb Led Closet Light 6 Packs</t>
  </si>
  <si>
    <t>Zhimatiandi</t>
  </si>
  <si>
    <t>zhimatiandi</t>
  </si>
  <si>
    <t>ZHIMATIANDI</t>
  </si>
  <si>
    <t>15.8 cm</t>
  </si>
  <si>
    <t>8.8 cm</t>
  </si>
  <si>
    <t>9 cm</t>
  </si>
  <si>
    <t>https://articulo.mercadolibre.com.mx/MLM-4348721588-6pzs-luz-de-led-closet-lampara-armario-noche-recargable-usb-led-closet-light-6-packs-_JM</t>
  </si>
  <si>
    <t>Sonheo® Lampara De Pared Exterior Y Interior Moderna Decorativas Para Jardin Sala Con 2 Focos Y 3 Modos De Luz Blanca,cálida,neutra</t>
  </si>
  <si>
    <t>FANOKI</t>
  </si>
  <si>
    <t>30 cm</t>
  </si>
  <si>
    <t>1.08 kg</t>
  </si>
  <si>
    <t>Lámpara De Pared Exterior Farol Decorativo Negro Español 100 W Geopower</t>
  </si>
  <si>
    <t>GEOPOWER</t>
  </si>
  <si>
    <t>20.6 cm</t>
  </si>
  <si>
    <t>16.5 cm</t>
  </si>
  <si>
    <t>14.3 cm</t>
  </si>
  <si>
    <t>1.09 kg</t>
  </si>
  <si>
    <t>Vedd® Lámpara Solar De Pared Exteriores Sensor Luz 192 Led Estructura Negro</t>
  </si>
  <si>
    <t>vedd</t>
  </si>
  <si>
    <t>VEDD</t>
  </si>
  <si>
    <t>21 cm</t>
  </si>
  <si>
    <t>14 cm</t>
  </si>
  <si>
    <t>14.6 cm</t>
  </si>
  <si>
    <t>0.65 kg</t>
  </si>
  <si>
    <t>Lámpara De Pared Led De Foco Flotante Moderno 3000k Estructura Negro</t>
  </si>
  <si>
    <t>hsling</t>
  </si>
  <si>
    <t>QISHUIQISHUI</t>
  </si>
  <si>
    <t>11 cm</t>
  </si>
  <si>
    <t>11.2 cm</t>
  </si>
  <si>
    <t>Gosun® Hexágono Faroles Lámparas De Pared Casa Decoración No Focos Wei World Zt-302 Color De Negro</t>
  </si>
  <si>
    <t>CNWEIWORLD-MXF</t>
  </si>
  <si>
    <t>15.2 cm</t>
  </si>
  <si>
    <t>16.8 cm</t>
  </si>
  <si>
    <t>20.8 cm</t>
  </si>
  <si>
    <t>MLM3699273080</t>
  </si>
  <si>
    <t>Lámpara Pared Exterior Impermeable Arbotante Moderna 3 Modos</t>
  </si>
  <si>
    <t>arbotante exterior,arbotante de pared,lampara arbotante exterior</t>
  </si>
  <si>
    <t>8.6 cm</t>
  </si>
  <si>
    <t>https://articulo.mercadolibre.com.mx/MLM-3699273080-lampara-pared-exterior-impermeable-arbotante-moderna-3-modos-negro-_JM</t>
  </si>
  <si>
    <t>MLM3323814200</t>
  </si>
  <si>
    <t>Sensor De Movimiento Led Inalámbrico My Bajo Luces Color Silver 40cm</t>
  </si>
  <si>
    <t>Genérica</t>
  </si>
  <si>
    <t>CNTORISE-MXF</t>
  </si>
  <si>
    <t>41.2 cm</t>
  </si>
  <si>
    <t>4.6 cm</t>
  </si>
  <si>
    <t>2.2 cm</t>
  </si>
  <si>
    <t>0.16 kg</t>
  </si>
  <si>
    <t>https://articulo.mercadolibre.com.mx/MLM-3323814200-sensor-de-movimiento-led-inalambrico-my-bajo-luces-color-silver-40cm-_JM</t>
  </si>
  <si>
    <t>Lampara Pared Led Solar Exterior Moderna Impermeable 3 Modos,luz Blanca / Cálida / Neutral,modernas Decorativa Para Jardín Arbotante Exterior Ambueco® Negro</t>
  </si>
  <si>
    <t>ZENITHIA</t>
  </si>
  <si>
    <t>18.8 cm</t>
  </si>
  <si>
    <t>8.4 cm</t>
  </si>
  <si>
    <t>6.6 cm</t>
  </si>
  <si>
    <t>0.35 kg</t>
  </si>
  <si>
    <t>Lamparas Solares Exterior Lamparas Solares Lampara Led 2pcs</t>
  </si>
  <si>
    <t>yetone</t>
  </si>
  <si>
    <t>CNYUEHT-MXF</t>
  </si>
  <si>
    <t>11.8 cm</t>
  </si>
  <si>
    <t>10 cm</t>
  </si>
  <si>
    <t>0.36 kg</t>
  </si>
  <si>
    <t>Lámpara Solar Exterior De Pared De 120 Cob Con Sensor</t>
  </si>
  <si>
    <t>cyotman</t>
  </si>
  <si>
    <t>23.1 cm</t>
  </si>
  <si>
    <t>9.2 cm</t>
  </si>
  <si>
    <t>4.4 cm</t>
  </si>
  <si>
    <t>0.21 kg</t>
  </si>
  <si>
    <t>MLM4289959428</t>
  </si>
  <si>
    <t>6800w Lámpara Led Solar Exterior Suburbana Alumbrado Públic</t>
  </si>
  <si>
    <t>General</t>
  </si>
  <si>
    <t>general</t>
  </si>
  <si>
    <t>OUTLETMEX</t>
  </si>
  <si>
    <t>46.8 cm</t>
  </si>
  <si>
    <t>27.8 cm</t>
  </si>
  <si>
    <t>5.6 cm</t>
  </si>
  <si>
    <t>1.62 kg</t>
  </si>
  <si>
    <t>https://articulo.mercadolibre.com.mx/MLM-4289959428-7800w-lampara-led-solar-exterior-suburbana-alumbrado-public-_JM</t>
  </si>
  <si>
    <t>MLM4121803576</t>
  </si>
  <si>
    <t>6 Pzs Luz Led Clóset Lámpara Armario Noche Recargable Usb</t>
  </si>
  <si>
    <t>RSHX</t>
  </si>
  <si>
    <t>16 cm</t>
  </si>
  <si>
    <t>0.27 kg</t>
  </si>
  <si>
    <t>https://articulo.mercadolibre.com.mx/MLM-4121803576-6-pzs-luz-led-closet-lampara-armario-noche-recargable-usb-blanco-_JM</t>
  </si>
  <si>
    <t>MLM2551024807</t>
  </si>
  <si>
    <t>2pcs 50cm Luz De Led Clóset Usb Con Sensor Movimiento</t>
  </si>
  <si>
    <t>Tongze</t>
  </si>
  <si>
    <t>tongze</t>
  </si>
  <si>
    <t>TONGZE</t>
  </si>
  <si>
    <t>51 cm</t>
  </si>
  <si>
    <t>4.8 cm</t>
  </si>
  <si>
    <t>0.38 kg</t>
  </si>
  <si>
    <t>https://articulo.mercadolibre.com.mx/MLM-2551024807-2pcs-50cm-luz-de-led-closet-usb-con-sensor-movimiento-_JM</t>
  </si>
  <si>
    <t>MLM4308432370</t>
  </si>
  <si>
    <t>30cmcon Sensor Movimiento Luz De Led Clóset Usb 5 Piezas</t>
  </si>
  <si>
    <t>Try Me</t>
  </si>
  <si>
    <t>try me</t>
  </si>
  <si>
    <t>OSASKUFHBED</t>
  </si>
  <si>
    <t>37.8 cm</t>
  </si>
  <si>
    <t>12.6 cm</t>
  </si>
  <si>
    <t>3 cm</t>
  </si>
  <si>
    <t>0.34 kg</t>
  </si>
  <si>
    <t>https://articulo.mercadolibre.com.mx/MLM-4308432370-30cmcon-sensor-movimiento-luz-de-led-closet-usb-5-piezas-_JM</t>
  </si>
  <si>
    <t>MLM3632053106</t>
  </si>
  <si>
    <t>Gosun® Lámpara De Pared Led 12w Impermeable Foco Flotante Estructura Negro - Blanco Cálido</t>
  </si>
  <si>
    <t>https://articulo.mercadolibre.com.mx/MLM-3632053106-gosun-lampara-de-pared-led-12w-impermeable-foco-flotante-estructura-negro-blanco-calido-_JM</t>
  </si>
  <si>
    <t>MLM2766217743</t>
  </si>
  <si>
    <t>2 Barras Led 50cm Lampara Inteligente Con Sensor Corporal</t>
  </si>
  <si>
    <t>Rindion</t>
  </si>
  <si>
    <t>rindion</t>
  </si>
  <si>
    <t>RINDION</t>
  </si>
  <si>
    <t>52.2 cm</t>
  </si>
  <si>
    <t>5.2 cm</t>
  </si>
  <si>
    <t>https://articulo.mercadolibre.com.mx/MLM-2766217743-2-barras-led-50cm-lampara-inteligente-con-sensor-corporal-_JM</t>
  </si>
  <si>
    <t>Time4buy 3pzs Lámpara De Pared Led 12w Exteriores Interior Impermeable Exterior Para Jardín, Patio, Terraza, Inicio (luz Cálida )</t>
  </si>
  <si>
    <t>TIME4BUY</t>
  </si>
  <si>
    <t>35 cm</t>
  </si>
  <si>
    <t>0.79 kg</t>
  </si>
  <si>
    <t>Lámpara Solar Pared Exterior Con Sensor De Movimiento Jardin</t>
  </si>
  <si>
    <t>nensed</t>
  </si>
  <si>
    <t>NENSED STORE</t>
  </si>
  <si>
    <t>20.4 cm</t>
  </si>
  <si>
    <t>19 cm</t>
  </si>
  <si>
    <t>13.6 cm</t>
  </si>
  <si>
    <t>0.61 kg</t>
  </si>
  <si>
    <t>MLM2115041365</t>
  </si>
  <si>
    <t>2 Barra De Luz Led Inteligente Con Sensor De Cuerpo Humano</t>
  </si>
  <si>
    <t>TIANZHI</t>
  </si>
  <si>
    <t>tianzhi</t>
  </si>
  <si>
    <t>40.2 cm</t>
  </si>
  <si>
    <t>4 cm</t>
  </si>
  <si>
    <t>0.25 kg</t>
  </si>
  <si>
    <t>https://articulo.mercadolibre.com.mx/MLM-2115041365-2-barra-de-luz-led-inteligente-con-sensor-de-cuerpo-humano-_JM</t>
  </si>
  <si>
    <t>MLM2284562447</t>
  </si>
  <si>
    <t>Judeng® Lámpara Led De Pared Impermeable Para Interior Y Exterior Lampara De Pared Exterior Y Interior Moderna Decorativas Para Jardin Sala Con 2 Focos Y 3 Modos De Luz Blanca,cálida,neutra Negro</t>
  </si>
  <si>
    <t>Judeng</t>
  </si>
  <si>
    <t>CNJUDENG-MXF</t>
  </si>
  <si>
    <t>0.68 kg</t>
  </si>
  <si>
    <t>https://articulo.mercadolibre.com.mx/MLM-2284562447-lampara-de-pared-judeng-led-cuadrada-negra-para-exterior-e-interior-negro-_JM</t>
  </si>
  <si>
    <t>MLM3897340848</t>
  </si>
  <si>
    <t>Dehobo Lámparas Pared Exterior Focos Impermeable Ip65 8w, Led Moderna Y Decorativas Arbotante Iluminacion Hogar Lamparas Exteriores,iluminacion Led Pared Uso Exterior/interior Color Negro,luz Cálida</t>
  </si>
  <si>
    <t>DEHOBO</t>
  </si>
  <si>
    <t>CNHAIZHILIMYMXF</t>
  </si>
  <si>
    <t>22.6 cm</t>
  </si>
  <si>
    <t>https://articulo.mercadolibre.com.mx/MLM-3897340848-dehobo-lamparas-pared-exterior-focos-impermeable-ip65-8w-led-moderna-y-decorativas-arbotante-iluminacion-hogar-lamparas-exterioresiluminacion-led-pared-uso-exteriorinterior-color-negroluz-calida-_JM</t>
  </si>
  <si>
    <t>Vanance® Lamparas De Pared Led Exterior Interiores Arbotante Decorativa Modernas Impermeable Luz Cálida Lámpara Led Pared De 24w Lámparas Para Jardín Sala Baño Negro</t>
  </si>
  <si>
    <t>12 cm</t>
  </si>
  <si>
    <t>0.37 kg</t>
  </si>
  <si>
    <t>MLM2863105865</t>
  </si>
  <si>
    <t>6 Piezas Lampara Con Sensor Movimiento Luz De Led Clóset Usb</t>
  </si>
  <si>
    <t>RIFENGSHAN</t>
  </si>
  <si>
    <t>26 cm</t>
  </si>
  <si>
    <t>9.5 cm</t>
  </si>
  <si>
    <t>5.7 cm</t>
  </si>
  <si>
    <t>0.4 kg</t>
  </si>
  <si>
    <t>https://articulo.mercadolibre.com.mx/MLM-2863105865-6-piezas-lampara-con-sensor-movimiento-luz-de-led-closet-usb-_JM</t>
  </si>
  <si>
    <t>MLM4308534336</t>
  </si>
  <si>
    <t>50cm Con Sensor Movimiento Luz De Led Clóset Usb 5 Piezas</t>
  </si>
  <si>
    <t>56 cm</t>
  </si>
  <si>
    <t>12.2 cm</t>
  </si>
  <si>
    <t>2.8 cm</t>
  </si>
  <si>
    <t>0.48 kg</t>
  </si>
  <si>
    <t>https://articulo.mercadolibre.com.mx/MLM-4308534336-50cm-con-sensor-movimiento-luz-de-led-closet-usb-5-piezas-_JM</t>
  </si>
  <si>
    <t>MLM2630649971</t>
  </si>
  <si>
    <t>Judeng® Lámpara De Pared Negra Impermeable Para Lámpara De Pared Led Para Exteriores Lampara De Pared Exterior Y Interior Moderna Decorativas Para Jardin Sala 3 Modos De Luz Blanca,cálida,neutra Negro</t>
  </si>
  <si>
    <t>JUDENG ONLINE</t>
  </si>
  <si>
    <t>31.4 cm</t>
  </si>
  <si>
    <t>13.8 cm</t>
  </si>
  <si>
    <t>0.7 kg</t>
  </si>
  <si>
    <t>https://articulo.mercadolibre.com.mx/MLM-2630649971-lampara-de-pared-judeng-led-de-2-focos-para-exterior-e-interior-_JM</t>
  </si>
  <si>
    <t>MLM2658745862</t>
  </si>
  <si>
    <t>Lámpara Plástica Esférica Tipo Pantalla Decorativa De 15cm De Diámetro Cubre Socket Y Cubre Foco En Techo Y Pared O' Farrill Lucefacil-lf02t Color Blanco Opalino</t>
  </si>
  <si>
    <t>O Farrill Refract</t>
  </si>
  <si>
    <t>o farrill refract</t>
  </si>
  <si>
    <t>LOFFA</t>
  </si>
  <si>
    <t>16.6 cm</t>
  </si>
  <si>
    <t>https://articulo.mercadolibre.com.mx/MLM-2658745862-lampara-esferica-blanca-o-farrill-techo-y-pared-para-led-e26e27-interior-exterior-blanco-_JM</t>
  </si>
  <si>
    <t>MLM2231781627</t>
  </si>
  <si>
    <t>3pack 40cm Luz De Led Clóset Usb Con Sensor Movimiento</t>
  </si>
  <si>
    <t>OCEBEEC</t>
  </si>
  <si>
    <t>ocebeec</t>
  </si>
  <si>
    <t>JUOYTGXZ</t>
  </si>
  <si>
    <t>43 cm</t>
  </si>
  <si>
    <t>9.9 cm</t>
  </si>
  <si>
    <t>5.4 cm</t>
  </si>
  <si>
    <t>https://articulo.mercadolibre.com.mx/MLM-2231781627-3pack-40cm-luz-de-led-closet-usb-con-sensor-movimiento-blanco-_JM</t>
  </si>
  <si>
    <t>MLM2310510009</t>
  </si>
  <si>
    <t>Yuju Lámpara De Pared Led Impermeable Sobreponer Para Exterior Lamparas De Pared Exterior Lampara Arbotante Lampara Arbotante Potencia 60 W Negro</t>
  </si>
  <si>
    <t>Yuju</t>
  </si>
  <si>
    <t>yuju</t>
  </si>
  <si>
    <t>YU JU STORE</t>
  </si>
  <si>
    <t>30.6 cm</t>
  </si>
  <si>
    <t>16.4 cm</t>
  </si>
  <si>
    <t>0.8 kg</t>
  </si>
  <si>
    <t>https://articulo.mercadolibre.com.mx/MLM-2310510009-lampara-de-pared-para-exterior-led-ip65-y-con-diseno-de-iluminacion-arriba-y-abajo-e27-negro-_JM</t>
  </si>
  <si>
    <t>MLM2220599481</t>
  </si>
  <si>
    <t>2 Piezas Lámparas De Pared Lampara Solar Jardin Impermeables</t>
  </si>
  <si>
    <t>Wasume</t>
  </si>
  <si>
    <t>wasume</t>
  </si>
  <si>
    <t>WASUME</t>
  </si>
  <si>
    <t>25.6 cm</t>
  </si>
  <si>
    <t>17.7 cm</t>
  </si>
  <si>
    <t>6.8 cm</t>
  </si>
  <si>
    <t>https://articulo.mercadolibre.com.mx/MLM-2220599481-2-piezas-lamparas-de-pared-lampara-solar-jardin-impermeables-_JM</t>
  </si>
  <si>
    <t>MLM2866035563</t>
  </si>
  <si>
    <t>Time4buy® 4pzs Lámpara 2led Pared Luces Iluminacion Exterior Interiore,pared Moderna, Ip65 Impermeable, Para Porche, Escaleras, Pasillo (negro Luz Cálida)</t>
  </si>
  <si>
    <t>20 cm</t>
  </si>
  <si>
    <t>9.8 cm</t>
  </si>
  <si>
    <t>0.96 kg</t>
  </si>
  <si>
    <t>https://articulo.mercadolibre.com.mx/MLM-2866035563-time4buy-4pcs-lampara-de-4w-led-exterior-22-leds-superior-e-inferior-10x8x4-cm-ip65-impermeable-kit-completo-para-fachadas-jardines-escaleras-pasillos-luz-calida-negro-_JM</t>
  </si>
  <si>
    <t>MLM2187123085</t>
  </si>
  <si>
    <t>4lampara Led Escalera Pared Cortesía Empotrable Foco 3w Ip65 Negro</t>
  </si>
  <si>
    <t>Utieer</t>
  </si>
  <si>
    <t>utieer</t>
  </si>
  <si>
    <t>ILLSORY</t>
  </si>
  <si>
    <t>10.6 cm</t>
  </si>
  <si>
    <t>19.4 cm</t>
  </si>
  <si>
    <t>0.6 kg</t>
  </si>
  <si>
    <t>https://articulo.mercadolibre.com.mx/MLM-2187123085-4lampara-led-escalera-pared-cortesia-empotrable-foco-3w-ip65-negro-_JM</t>
  </si>
  <si>
    <t>MLM1498036164</t>
  </si>
  <si>
    <t>Lámpara De Pared Led De 12w Foco Flotante Moderno</t>
  </si>
  <si>
    <t>arbotantes de techo,arbotante exterior,arbotante interior,lamparas para jardin,lámparas para exterior modernas,lampara de pared interior,lamparas para jardin de pared</t>
  </si>
  <si>
    <t>arbotantes de techo,arbotante exterior,arbotante interior,lamparas para jardin,lamparas para exterior modernas,lampara de pared interior,lamparas para jardin de pared</t>
  </si>
  <si>
    <t>DELAIDATECH</t>
  </si>
  <si>
    <t>12.4 cm</t>
  </si>
  <si>
    <t>0.2 kg</t>
  </si>
  <si>
    <t>https://articulo.mercadolibre.com.mx/MLM-1498036164-lampara-de-pared-led-de-12w-foco-flotante-moderno-_JM</t>
  </si>
  <si>
    <t>Lámparas Solares De Pared Sensor Recargable Exterior Jardin</t>
  </si>
  <si>
    <t>ccalmx</t>
  </si>
  <si>
    <t>CCAL</t>
  </si>
  <si>
    <t>0.62 kg</t>
  </si>
  <si>
    <t>MLM2038288378</t>
  </si>
  <si>
    <t>Lámpara De Pared Led De 6w Impermeable Foco Flotante</t>
  </si>
  <si>
    <t>https://articulo.mercadolibre.com.mx/MLM-2038288378-lampara-de-pared-led-de-6w-impermeable-foco-flotante-_JM</t>
  </si>
  <si>
    <t>MLM5039859338</t>
  </si>
  <si>
    <t>Vanance® Lámpara Luz Led Lamparas Arbotante Pared Interiores Exterior Cuadrado Impermeable 6w Lampara Arbotante Lampara Decorativas De Alta Eficiencialuz Ajustable Manualmente Negro</t>
  </si>
  <si>
    <t>11.3 cm</t>
  </si>
  <si>
    <t>https://articulo.mercadolibre.com.mx/MLM-5039859338-vanance-lampara-luz-led-lamparas-arbotante-pared-interiores-exterior-cuadrado-impermeable-6w-lampara-arbotante-lampara-decorativas-de-alta-eficiencialuz-ajustable-manualmente-negro-_JM</t>
  </si>
  <si>
    <t>MLM3584405842</t>
  </si>
  <si>
    <t>Lampara Tecnolite De Exterior Aplicación Suspendido Decorativa 26 W Color Negro Ftl-6003/n</t>
  </si>
  <si>
    <t>Tecnolite</t>
  </si>
  <si>
    <t>tecnolite</t>
  </si>
  <si>
    <t>MERCADOLIBRE HOME_MX</t>
  </si>
  <si>
    <t>18.6 cm</t>
  </si>
  <si>
    <t>18.4 cm</t>
  </si>
  <si>
    <t>24.4 cm</t>
  </si>
  <si>
    <t>0.51 kg</t>
  </si>
  <si>
    <t>https://articulo.mercadolibre.com.mx/MLM-3584405842-lampara-tecnolite-de-exterior-aplicacion-suspendido-decorativa-26-w-color-negro-ftl-6003n-_JM</t>
  </si>
  <si>
    <t>MLM4344060268</t>
  </si>
  <si>
    <t>Lámpara Pared Solar Exterior Impermeable Moderna Con 3 Modos Estructura Temperatura Tricolor</t>
  </si>
  <si>
    <t>AMBUECO SHOP</t>
  </si>
  <si>
    <t>33 cm</t>
  </si>
  <si>
    <t>6.4 cm</t>
  </si>
  <si>
    <t>0.55 kg</t>
  </si>
  <si>
    <t>https://articulo.mercadolibre.com.mx/MLM-4344060268-lampara-pared-solar-exterior-impermeable-moderna-con-3-modos-estructura-temperatura-tricolor-_JM</t>
  </si>
  <si>
    <t>MLM2809299349</t>
  </si>
  <si>
    <t>Vanance® Lámpara Pared Exterior Y Interiores 3000k Luz Cálida Impermeable 24w Modernas Led Lampara Ambiente Decorativas Para Sala Iluminacion Lamparas Para Exteriores 110-265v Color Negro Blanco</t>
  </si>
  <si>
    <t>9.7 cm</t>
  </si>
  <si>
    <t>25.9 cm</t>
  </si>
  <si>
    <t>https://articulo.mercadolibre.com.mx/MLM-2809299349-vanance-lampara-pared-exterior-y-interiores-3000k-luz-calida-impermeable-24w-modernas-led-lampara-ambiente-decorativas-para-sala-iluminacion-lamparas-para-exteriores-110-265v-color-negro-blanco-_JM</t>
  </si>
  <si>
    <t>MLM3094430028</t>
  </si>
  <si>
    <t>Gosun® Hexágono Faroles Lámparas De Pared Casa Decoración No Focos Wei World Zt-302 Color Darado Bronce</t>
  </si>
  <si>
    <t>GOSUN</t>
  </si>
  <si>
    <t>26.8 cm</t>
  </si>
  <si>
    <t>29.8 cm</t>
  </si>
  <si>
    <t>1.03 kg</t>
  </si>
  <si>
    <t>https://articulo.mercadolibre.com.mx/MLM-3094430028-gosun-hexagono-faroles-lamparas-de-pared-casa-decoracion-no-focos-wei-world-zt-302-color-darado-bronce-_JM</t>
  </si>
  <si>
    <t>MLM2809250589</t>
  </si>
  <si>
    <t>Lámpara Pared Exterior Y Interiores 24w Vanance® Lámpara Muro Pared Impermeables Luz Cálida 3000k De Modernas Decorativa Pare Jardín Pasillos Escaleras Sala Baño Arbotante Negro</t>
  </si>
  <si>
    <t>1.19 kg</t>
  </si>
  <si>
    <t>https://articulo.mercadolibre.com.mx/MLM-2809250589-lampara-pared-exterior-y-interiores-24w-vanance-lampara-muro-pared-impermeables-luz-calida-3000k-de-modernas-decorativa-pare-jardin-pasillos-escaleras-sala-bano-arbotante-negro-_JM</t>
  </si>
  <si>
    <t>MLM2858051029</t>
  </si>
  <si>
    <t>Vanance Lámpara Pared Luces Luz Cálida Interiores Exterior Muro Color Negro 4w Regulador De Luz Luz Arbotante Lamparas Modernas Lampara Decorativas</t>
  </si>
  <si>
    <t>13.2 cm</t>
  </si>
  <si>
    <t>5 cm</t>
  </si>
  <si>
    <t>https://articulo.mercadolibre.com.mx/MLM-2858051029-vanance-lampara-pared-luces-luz-calida-interiores-exterior-muro-color-negro-4w-regulador-de-luz-luz-arbotante-lamparas-modernas-lampara-decorativas-_JM</t>
  </si>
  <si>
    <t>MLM4428679062</t>
  </si>
  <si>
    <t>Luminicola Aplique De Pared Exterior Negro Led 12w Ip65 Para Jardín Y Patio</t>
  </si>
  <si>
    <t>Luminicola</t>
  </si>
  <si>
    <t>CNLUMINICOLAMXF</t>
  </si>
  <si>
    <t>11.7 cm</t>
  </si>
  <si>
    <t>12.1 cm</t>
  </si>
  <si>
    <t>13.4 cm</t>
  </si>
  <si>
    <t>0.28 kg</t>
  </si>
  <si>
    <t>https://articulo.mercadolibre.com.mx/MLM-4428679062-luminicola-lampara-de-pared-led-exterior-ip65-negra-3000k-luz-calida-para-interior-exterior-impermeable-negro-_JM</t>
  </si>
  <si>
    <t>MLM3011039024</t>
  </si>
  <si>
    <t>Lámparas De Pared Decorativa Exteriores Interior Jardin Ip65</t>
  </si>
  <si>
    <t>Nifuna</t>
  </si>
  <si>
    <t>nifuna</t>
  </si>
  <si>
    <t>CNNIFUNA</t>
  </si>
  <si>
    <t>34.8 cm</t>
  </si>
  <si>
    <t>0.66 kg</t>
  </si>
  <si>
    <t>https://articulo.mercadolibre.com.mx/MLM-3011039024-lamparas-de-pared-decorativa-exteriores-interior-jardin-ip65-_JM</t>
  </si>
  <si>
    <t>MLM3479661302</t>
  </si>
  <si>
    <t>Lámpara De Pared De Interior Cristal Decorativa Moderna Estructura Cuadrado Dorado</t>
  </si>
  <si>
    <t>Lumoku</t>
  </si>
  <si>
    <t>lumoku</t>
  </si>
  <si>
    <t>TIENDAOFICIAL LUMOKU</t>
  </si>
  <si>
    <t>15.5 cm</t>
  </si>
  <si>
    <t>15 cm</t>
  </si>
  <si>
    <t>14.5 cm</t>
  </si>
  <si>
    <t>https://articulo.mercadolibre.com.mx/MLM-3479661302-lampara-de-pared-de-interior-cristal-decorativa-moderna-estructura-cuadrado-dorado-_JM</t>
  </si>
  <si>
    <t>MLM4427663676</t>
  </si>
  <si>
    <t>Dehobo 2pcs Lampara Exterior Decorativas Pared Led 3000k,luces Exterior Jardin Impermeable,lámparas De Moderna Pared Para Interior Y Exterior Porche, Escaleras, Pasillo,sala. Negro</t>
  </si>
  <si>
    <t>CNMINGHOUMXFMXF</t>
  </si>
  <si>
    <t>17.2 cm</t>
  </si>
  <si>
    <t>0.22 kg</t>
  </si>
  <si>
    <t>https://articulo.mercadolibre.com.mx/MLM-4427663676-dehobo-2pcs-lamparas-para-escaleras-exterior-lampara-pared-led-focos-3000kluces-exterior-jardin-impermeablelamparas-para-bano-para-interior-y-exterior-porche-escaleras-pasillosala-negro-_JM</t>
  </si>
  <si>
    <t>MLM1790041085</t>
  </si>
  <si>
    <t>Lámpara Luz De Pared Solar Led Pared Exterior Sensor 3 Modos</t>
  </si>
  <si>
    <t>CNDLXZXDL-MXF</t>
  </si>
  <si>
    <t>10.4 cm</t>
  </si>
  <si>
    <t>https://articulo.mercadolibre.com.mx/MLM-1790041085-lampara-luz-de-pared-solar-led-pared-exterior-sensor-3-modos-_JM</t>
  </si>
  <si>
    <t>MLM2846207451</t>
  </si>
  <si>
    <t>Lámpara Led De Pared Ondulado 60cm 3 Tono Blanco Cálido Nneutro Interior Exterior Dormitor Estructura Negro</t>
  </si>
  <si>
    <t>Yishabeier</t>
  </si>
  <si>
    <t>yishabeier</t>
  </si>
  <si>
    <t>HOOMEEMXF</t>
  </si>
  <si>
    <t>38.8 cm</t>
  </si>
  <si>
    <t>https://articulo.mercadolibre.com.mx/MLM-2846207451-lampara-led-de-pared-ondulado-60cm-3-tono-blanco-calido-nneutro-interior-exterior-dormitor-estructura-negro-_JM</t>
  </si>
  <si>
    <t>MLM5194320708</t>
  </si>
  <si>
    <t>2 Pack 60cm Luz De Led Clóset Usb Con Sensor Movimiento,lampara De Pared De Recargable, Inalámbrica Y 3-color Dimmable,para Dormitorio, Sala De Estar, Pasillo, Cocina, Vitrina, Guardarropa,negro</t>
  </si>
  <si>
    <t>DGSITC</t>
  </si>
  <si>
    <t>dgsitc</t>
  </si>
  <si>
    <t>SLMXSHOP</t>
  </si>
  <si>
    <t>62.2 cm</t>
  </si>
  <si>
    <t>0.54 kg</t>
  </si>
  <si>
    <t>https://articulo.mercadolibre.com.mx/MLM-5194320708-pack-2-lamparas-led-con-sensor-de-movimiento-de-60-cm-recargables-y-3-colores-negro-_JM</t>
  </si>
  <si>
    <t>MLM2237372899</t>
  </si>
  <si>
    <t>Farol Decorativo Español Blanco Exterior Luminario Pared 100w Geopower</t>
  </si>
  <si>
    <t>QUALITY_TECH_BRANDS</t>
  </si>
  <si>
    <t>14.2 cm</t>
  </si>
  <si>
    <t>0.78 kg</t>
  </si>
  <si>
    <t>https://articulo.mercadolibre.com.mx/MLM-2237372899-lampara-de-pared-exterior-farol-decorativo-blanco-espanol-100w-geopower-_JM</t>
  </si>
  <si>
    <t>MLM5123360450</t>
  </si>
  <si>
    <t>Vanance® Lámpara De Pared De Exterior Y Interiores Moderna Decorativas Foco Led Luz Estructura Redondo Arbotante 12w Luz Blanco Cálido Impermeable Negro</t>
  </si>
  <si>
    <t>0.67 kg</t>
  </si>
  <si>
    <t>https://articulo.mercadolibre.com.mx/MLM-5123360450-vanance-lampara-de-pared-de-exterior-y-interiores-moderna-decorativas-foco-led-luz-estructura-redondo-arbotante-12w-luz-blanco-calido-impermeable-negro-_JM</t>
  </si>
  <si>
    <t>Lámparas De Pared Led Para Interior Y Exterior Negra Con Iluminación Bi-direccional, Rectangulares, De Aluminio Y Acrílico, Impermeable Ip67, Moderna Y Decorativa, Fácil De Montar. Gris Oscuro</t>
  </si>
  <si>
    <t>yasiming</t>
  </si>
  <si>
    <t>AUDIOSIGNALGLOBAL</t>
  </si>
  <si>
    <t>30.4 cm</t>
  </si>
  <si>
    <t>12.8 cm</t>
  </si>
  <si>
    <t>MLM2465201109</t>
  </si>
  <si>
    <t>Dehobo Lamparas De Pared Arbotantes 3000k, Ángulo De Luz Ajustable Lampara Arbotante Exterior Adecuado Para Instalación En Jardines, Pasillos, Portales Y Otros Ambientes Interiores Y Exteriores Negro</t>
  </si>
  <si>
    <t>DADA</t>
  </si>
  <si>
    <t>https://articulo.mercadolibre.com.mx/MLM-2465201109-dehobo-lamparas-de-pared-exterior-arbotantes-3000kangulo-de-luz-ajustable-lampara-arbotante-exterior-adecuado-para-negro-_JM</t>
  </si>
  <si>
    <t>MLM2639303019</t>
  </si>
  <si>
    <t>Dehobo Lampara De Pared Exterior 2pcs, 4 Led Focos Impermeable, Fácil De Instalar, Lámpara De Pared Elegante, Con Luces... Negro</t>
  </si>
  <si>
    <t>https://articulo.mercadolibre.com.mx/MLM-2639303019-dehobo-2pcs-lampara-de-pared-led-modernopara-exterior-e-interior-pack-de-2-luces-arriba-y-abajo-luz-calida-3000k-impermeable-ip65para-salasdormitoriosescalerasjardinespatios-y-paredes-negro-_JM</t>
  </si>
  <si>
    <t>Lámpara Solar De Pared Exterior Con Sensor De Movimiento, Luz Led Impermeable Ip65,lámparas De Pared Para Jardín, Patio, Casa Y Acceso Negro</t>
  </si>
  <si>
    <t>qzgyoool</t>
  </si>
  <si>
    <t>GWRZJ STORE</t>
  </si>
  <si>
    <t>0.42 kg</t>
  </si>
  <si>
    <t>MLM5350389264</t>
  </si>
  <si>
    <t>Time4buy® 2pzs Lámpara De Pared Led 12w Exteriores Interior Impermeable Iluminación Exterior Para Jardín, Patio, Terraza, Inicio (luz Cálida ) Negro</t>
  </si>
  <si>
    <t>22.4 cm</t>
  </si>
  <si>
    <t>7.4 cm</t>
  </si>
  <si>
    <t>https://articulo.mercadolibre.com.mx/MLM-5350389264-time4buy-2pzs-lampara-de-pared-led-aluminio-12w-exteriores-interior-carcasa-robusta-y-duradera-ip65-impermeable-para-jardin-patio-terraza-inicio-negro-luz-calida--_JM</t>
  </si>
  <si>
    <t>MLM5477308968</t>
  </si>
  <si>
    <t>12w Luz De Pared Luz Arbotante Led Pared Uso Exterior 3000k Estructura Negro</t>
  </si>
  <si>
    <t>Lámpara Pared Led</t>
  </si>
  <si>
    <t>lampara pared led</t>
  </si>
  <si>
    <t>LEIKETECHNOLOGYLEIKETECHNOLO</t>
  </si>
  <si>
    <t>5.8 cm</t>
  </si>
  <si>
    <t>0.43 kg</t>
  </si>
  <si>
    <t>https://articulo.mercadolibre.com.mx/MLM-5477308968-12w-luz-de-pared-luz-arbotante-led-pared-uso-exterior-3000k-estructura-negro-_JM</t>
  </si>
  <si>
    <t>MLM4893841770</t>
  </si>
  <si>
    <t>2pcs Lámparas Led Pared Interior Recargable Con Sensor Movimiento Aplique Inalámbricas Magnética Foco Emergencia Dormitorio Cocina Marrón Con Patrón De Madera Blanco Cálido Neutro Frío Gm Genmigos</t>
  </si>
  <si>
    <t>GM Genmigos</t>
  </si>
  <si>
    <t>gm genmigos</t>
  </si>
  <si>
    <t>BE20250829166666</t>
  </si>
  <si>
    <t>28.8 cm</t>
  </si>
  <si>
    <t>4.2 cm</t>
  </si>
  <si>
    <t>https://articulo.mercadolibre.com.mx/MLM-4893841770-pack-2-lamparas-led-pared-interior-aplique-recargable-con-sensor-movimiento-inalambricas-magnetica-foco-emergencia-dormitorio-cocina-marron-con-patron-de-madera-blanco-calido-neutro-frio-gm-genmigos-_JM</t>
  </si>
  <si>
    <t>MLM4555681314</t>
  </si>
  <si>
    <t>Dehobo Lamparas Led Para Moderna Exteriores 3000k, Lampara Impermeable Ip65 Pared Decorativas Led Luces,lámparas... Negro</t>
  </si>
  <si>
    <t>19.2 cm</t>
  </si>
  <si>
    <t>8.2 cm</t>
  </si>
  <si>
    <t>0.29 kg</t>
  </si>
  <si>
    <t>https://articulo.mercadolibre.com.mx/MLM-4555681314-dehobo-lamparas-led-para-moderna-exteriores-3000k-lampara-impermeable-ip65-pared-decorativas-led-luceslamparas-negro-_JM</t>
  </si>
  <si>
    <t>MLM2281396897</t>
  </si>
  <si>
    <t>Judeng Lámpara Led De Pared Impermeable Para Interior/exterior Lamparas De Pared Interior Y Exterior Focos Led Moderna... Negro</t>
  </si>
  <si>
    <t>24.2 cm</t>
  </si>
  <si>
    <t>14.4 cm</t>
  </si>
  <si>
    <t>https://articulo.mercadolibre.com.mx/MLM-2281396897-lampara-de-pared-led-para-interior-y-exterior-negra-con-iluminacion-bi-direccional-negro-_JM</t>
  </si>
  <si>
    <t>MLM2641629649</t>
  </si>
  <si>
    <t>Dehobo Lampara De Pared Exterior 6w, 3000k Led Lampara Exterior Pared Moderna, Luces Exterior Jardin Impermeable Ip65, Iluminación De Pared Exterior Para Porche, Escaleras, Pasillo, Negro</t>
  </si>
  <si>
    <t>WEWE20240106010117</t>
  </si>
  <si>
    <t>6 cm</t>
  </si>
  <si>
    <t>https://articulo.mercadolibre.com.mx/MLM-2641629649-dehobo-lampara-de-pared-led-para-exterior-de-6w-3000k-negro-lampara-exteriores-pared-moderna-luceslamparas-iluminacion-pared-eluz-calida-ip65-para-jardino-en-locales-comerciales-como-restaurantes-_JM</t>
  </si>
  <si>
    <t>MLM2716865735</t>
  </si>
  <si>
    <t>Dehobo Lámparas De Pared Para Exterior Interior Y Impermeable 3000k,lampara Arbotante Exterior Resistente Al Agua Y Al Sol, Puede Emitir Luz Tanto Desde Arriba Como Desde Abajo. Negro</t>
  </si>
  <si>
    <t>13 cm</t>
  </si>
  <si>
    <t>0.15 kg</t>
  </si>
  <si>
    <t>https://articulo.mercadolibre.com.mx/MLM-2716865735-lampara-de-pared-dehobo-led-para-exterior-e-interior-luz-calida-3000-k-y-4-w-negro-_JM</t>
  </si>
  <si>
    <t>MLM2194041233</t>
  </si>
  <si>
    <t>Lámpara De Pared De Interior Cristal Decorativa Moderna Estructura Ronda Dorada</t>
  </si>
  <si>
    <t>https://articulo.mercadolibre.com.mx/MLM-2194041233-lampara-de-pared-de-interior-cristal-decorativa-moderna-estructura-ronda-dorada-_JM</t>
  </si>
  <si>
    <t>Lamparas Modernas De Jardin Solar Exterior 3 Modos,con 3 Modos De Luz, 3 Modos De Luz, Luz Blanca / Cálida / Neutral,para Jardines, Patios, Pasillos, Escaleras Ambueco Temperatura Tricolor</t>
  </si>
  <si>
    <t>AB20260518104845</t>
  </si>
  <si>
    <t>32.7 cm</t>
  </si>
  <si>
    <t>0.56 kg</t>
  </si>
  <si>
    <t>2pcs Lámparas De Pared Led Para Interior Y Exterior Negra Con Iluminación Bi-direccional, Rectangulares, De Aluminio Y Acrílico, Impermeable Ip67, Moderna Y Decorativa, Fácil De Montar. Gris Oscuro</t>
  </si>
  <si>
    <t>23.9 cm</t>
  </si>
  <si>
    <t>23.6 cm</t>
  </si>
  <si>
    <t>0.77 kg</t>
  </si>
  <si>
    <t>MLM2255722503</t>
  </si>
  <si>
    <t>Lamparas De Pared Inteligentes Interior Con Sensor 33cm 10w</t>
  </si>
  <si>
    <t>Treck</t>
  </si>
  <si>
    <t>treck</t>
  </si>
  <si>
    <t>TRECKTRECK20230627132042</t>
  </si>
  <si>
    <t>31 cm</t>
  </si>
  <si>
    <t>0.18 kg</t>
  </si>
  <si>
    <t>https://articulo.mercadolibre.com.mx/MLM-2255722503-lamparas-de-pared-inteligentes-interior-con-sensor-33cm-10w-blanco-_JM</t>
  </si>
  <si>
    <t>MLM5248639530</t>
  </si>
  <si>
    <t>Vanance Lámparas De Pared Led Interiores Exterior Impermeable Arbotante Moderna Decorativas 3000k Lampara Luz Blanco Cálido Luces Jardin Cristal Hogar Decorativ 12w Color Negro</t>
  </si>
  <si>
    <t>11.5 cm</t>
  </si>
  <si>
    <t>https://articulo.mercadolibre.com.mx/MLM-5248639530-vanance-lamparas-de-pared-led-interiores-exterior-impermeable-arbotante-moderna-decorativas-3000k-lampara-luz-blanco-calido-luces-jardin-cristal-hogar-decorativ-12w-color-negro-_JM</t>
  </si>
  <si>
    <t>MLM2208228539</t>
  </si>
  <si>
    <t>Lámpara Led Sensor Movimiento Goodea Recargable Usb Para Armario Cocina Plateado</t>
  </si>
  <si>
    <t>Goode</t>
  </si>
  <si>
    <t>goode</t>
  </si>
  <si>
    <t>CNHAPPYFANLE-MXF</t>
  </si>
  <si>
    <t>23.8 cm</t>
  </si>
  <si>
    <t>3.8 cm</t>
  </si>
  <si>
    <t>https://articulo.mercadolibre.com.mx/MLM-2208228539-lampara-led-sensor-movimiento-goodea-recargable-usb-luces-iluminacion-led-luz-para-interiores-para-armario-cocina-3000k4000k6500k-plateado-_JM</t>
  </si>
  <si>
    <t>MLM2195420501</t>
  </si>
  <si>
    <t>Lámpara Led Recargable Con Sensor Movimiento Pack 6 Piezas 30cm, Luce Inalámbrica Recargable Usb Lámpara De Barra Magnética Iluminación Nocturna Para Gabinete Clóset Luz Blanca Para Interiores Blanco</t>
  </si>
  <si>
    <t>40.8 cm</t>
  </si>
  <si>
    <t>https://articulo.mercadolibre.com.mx/MLM-2195420501-6pzs-lamparas-sensor-movimiento-recargable-usb-luz-led-30cm-3000k-lamparas-de-pared-interior-luces-con-sensor-para-armario-cocina-closet-blanco-_JM</t>
  </si>
  <si>
    <t>MLM3517137784</t>
  </si>
  <si>
    <t>Lampara De Pared Led Impermeable Para Exterior Simplicidad</t>
  </si>
  <si>
    <t>7.2 cm</t>
  </si>
  <si>
    <t>0.45 kg</t>
  </si>
  <si>
    <t>https://articulo.mercadolibre.com.mx/MLM-3517137784-lampara-de-pared-led-impermeable-para-exterior-simplicidad-_JM</t>
  </si>
  <si>
    <t>MLM2568962317</t>
  </si>
  <si>
    <t>2pcs Lámpara Solarexterior Pared Sensor 240led 3modos+remoto</t>
  </si>
  <si>
    <t>ZYTURIAFLY</t>
  </si>
  <si>
    <t>zyturiafly</t>
  </si>
  <si>
    <t>15.7 cm</t>
  </si>
  <si>
    <t>16.3 cm</t>
  </si>
  <si>
    <t>0.46 kg</t>
  </si>
  <si>
    <t>https://articulo.mercadolibre.com.mx/MLM-2568962317-2pcs-lampara-solar-de-pared-exteriores-sensor-luz-3-modos-negro-_JM</t>
  </si>
  <si>
    <t>MLM4410821994</t>
  </si>
  <si>
    <t>Lámpara Pared Exterior 2 Focos Led Moderna Negra Impermeable Negro</t>
  </si>
  <si>
    <t>15.6 cm</t>
  </si>
  <si>
    <t>0.58 kg</t>
  </si>
  <si>
    <t>https://articulo.mercadolibre.com.mx/MLM-4410821994-aplique-led-de-pared-luminicola-negro-para-exterior-bidireccional-ip65-_JM</t>
  </si>
  <si>
    <t>MLM4724679976</t>
  </si>
  <si>
    <t>Pack 4 Lampara Foco Solar Aplique Exterior Impermeable</t>
  </si>
  <si>
    <t>KEYIFA</t>
  </si>
  <si>
    <t>keyifa</t>
  </si>
  <si>
    <t>MOBKERO</t>
  </si>
  <si>
    <t>37.7 cm</t>
  </si>
  <si>
    <t>30.8 cm</t>
  </si>
  <si>
    <t>7.5 cm</t>
  </si>
  <si>
    <t>https://articulo.mercadolibre.com.mx/MLM-4724679976-pack-4-luces-solares-para-pared-keyifa-apliques-led-con-sensor-de-movimiento-y-3-modos-impermeables-ip65-para-jardin-y-patio-negro-_JM</t>
  </si>
  <si>
    <t>MLM2802749657</t>
  </si>
  <si>
    <t>Lámpara De Pared Led Moderna A Prueba De Agua De 10w Para Exteriores</t>
  </si>
  <si>
    <t>28.4 cm</t>
  </si>
  <si>
    <t>https://articulo.mercadolibre.com.mx/MLM-2802749657-judeng-lampara-de-pared-led-moderna-a-prueba-de-agua-de-10w-para-exteriores-_JM</t>
  </si>
  <si>
    <t>MLM2042026349</t>
  </si>
  <si>
    <t>Lámpara De Pared Led Impermeable Sobreponer Para Exterior</t>
  </si>
  <si>
    <t>Loho Tech</t>
  </si>
  <si>
    <t>loho tech</t>
  </si>
  <si>
    <t>0.82 kg</t>
  </si>
  <si>
    <t>https://articulo.mercadolibre.com.mx/MLM-2042026349-lampara-de-pared-led-impermeable-sobreponer-para-exterior-negro-_JM</t>
  </si>
  <si>
    <t>MLM2244626171</t>
  </si>
  <si>
    <t>Judeng Lámpara De Pared Led 8w Bidireccional Ip65 Interior Exterior Luz Cálida 3000k Negra Negro</t>
  </si>
  <si>
    <t>0.32 kg</t>
  </si>
  <si>
    <t>https://articulo.mercadolibre.com.mx/MLM-2244626171-lampara-de-pared-judeng-led-8w-luz-calida-3000k-negra-para-interiores-y-exteriores-negro-_JM</t>
  </si>
  <si>
    <t>MLM5115676566</t>
  </si>
  <si>
    <t>Vanance 4 Pcs Lámpara Pared Luces Cálida Interiores Exterior Muro Color Negro 4w Regulador De Luz Luz Arbotante Lamparas Moderna</t>
  </si>
  <si>
    <t>19.6 cm</t>
  </si>
  <si>
    <t>https://articulo.mercadolibre.com.mx/MLM-5115676566-vanance-4-pcs-lampara-2led-pared-luces-calida-interiores-exterior-muro-color-negro-4w-regulador-de-luz-luz-arbotante-lamparas-moderna-ip65-_JM</t>
  </si>
  <si>
    <t>MLM5929008056</t>
  </si>
  <si>
    <t>Eobromd 6pcs Luz Led Recargable Sensor De Movimiento Clóset Lámpara Pared Usb 3 Colores,luz Led Para Interiores,ideal... Blanco</t>
  </si>
  <si>
    <t>EOBROMD</t>
  </si>
  <si>
    <t>eobromd</t>
  </si>
  <si>
    <t>BEMANDA</t>
  </si>
  <si>
    <t>7.6 cm</t>
  </si>
  <si>
    <t>1 kg</t>
  </si>
  <si>
    <t>https://articulo.mercadolibre.com.mx/MLM-5929008056-eobromd-6pcs-luz-led-recargable-sensor-de-movimiento-closet-lampara-pared-usb-3-coloresluz-led-para-interioresideal-blanco-_JM</t>
  </si>
  <si>
    <t>Lámparas Solares Glowlin 2 Piezas Para Pared Exterior, Sensor De Movimiento 3 Modos, Luz Led Automática Impermeable Para Jardín, Patio, Garaje, Entrada Y Terraza Blanco Cálido</t>
  </si>
  <si>
    <t>glowlin</t>
  </si>
  <si>
    <t>GLOWLIN TIENDA OFICAL</t>
  </si>
  <si>
    <t>0.71 kg</t>
  </si>
  <si>
    <t>MLM2350300939</t>
  </si>
  <si>
    <t>Lámpara De Pared Negra Retro Exterior Impermeable Jardín</t>
  </si>
  <si>
    <t>28.2 cm</t>
  </si>
  <si>
    <t>17.6 cm</t>
  </si>
  <si>
    <t>https://articulo.mercadolibre.com.mx/MLM-2350300939-lampara-de-pared-negra-retro-exterior-impermeable-jardin-_JM</t>
  </si>
  <si>
    <t>MLM4756124104</t>
  </si>
  <si>
    <t>2 Pack Lámpara De Pared Giratoria Multiforma Magnéticas Luz Blanca / Luz Cálida / Luz Neutra</t>
  </si>
  <si>
    <t>ASVEL</t>
  </si>
  <si>
    <t>asvel</t>
  </si>
  <si>
    <t>DIAZOBERTODIAZOBERTO</t>
  </si>
  <si>
    <t>32.6 cm</t>
  </si>
  <si>
    <t>14.8 cm</t>
  </si>
  <si>
    <t>https://articulo.mercadolibre.com.mx/MLM-4756124104-2-pack-lampara-de-pared-giratoria-multiforma-magneticas-luz-blanca-luz-calida-luz-neutra-_JM</t>
  </si>
  <si>
    <t>MLM5318189194</t>
  </si>
  <si>
    <t>Time4buy 2pcs Lámpara 5 Led 12w Pared Para Exterior Jardín Luz,ip65 Impermeable Iluminación De Pared Exterior Para Porche,escaleras,pasillo (negro Luz Amarillo)</t>
  </si>
  <si>
    <t>https://articulo.mercadolibre.com.mx/MLM-5318189194-time4buy-2pcs-lampara-55-led-10w-pared-para-exterior-jardin-luzip65-impermeable-27x8x5-cm-iluminacion-de-pared-exterior-para-porcheescaleraspasillo-negro-luz-amarillo-_JM</t>
  </si>
  <si>
    <t>MLM2622843495</t>
  </si>
  <si>
    <t>2pack 60cm Luz De Led Clóset Usb Con Sensor Movimiento Negro Negro</t>
  </si>
  <si>
    <t>RR20250A6051166666</t>
  </si>
  <si>
    <t>62 cm</t>
  </si>
  <si>
    <t>6.2 cm</t>
  </si>
  <si>
    <t>https://articulo.mercadolibre.com.mx/MLM-2622843495-2pack-60cm-luz-de-led-closet-usb-con-sensor-movimiento-negro-negro-_JM</t>
  </si>
  <si>
    <t>MLM4683918834</t>
  </si>
  <si>
    <t>2 Pack Modernas Lámpara De Pared Led Recargable,inteligente</t>
  </si>
  <si>
    <t>BLIMEXOTAGE</t>
  </si>
  <si>
    <t>blimexotage</t>
  </si>
  <si>
    <t>0.24 kg</t>
  </si>
  <si>
    <t>https://articulo.mercadolibre.com.mx/MLM-4683918834-2-pack-modernas-lampara-de-pared-led-recargableinteligente-_JM</t>
  </si>
  <si>
    <t>MLM2535655985</t>
  </si>
  <si>
    <t>20cmcon Sensor Movimiento Luz De Led Clóset Usb 5 Piezas</t>
  </si>
  <si>
    <t>27.6 cm</t>
  </si>
  <si>
    <t>2.6 cm</t>
  </si>
  <si>
    <t>https://articulo.mercadolibre.com.mx/MLM-2535655985-20cmcon-sensor-movimiento-luz-de-led-closet-usb-5-piezas-_JM</t>
  </si>
  <si>
    <t>MLM2824263577</t>
  </si>
  <si>
    <t>Vanance® Lámpara De Pared Giratoria Multiforma Lampara Led Con Reloj Usb Recargable Ajustable Con Táctil Y Remoto 3 Modos Luz Cálida Blanca Neutra Luz De Led Clóset Blanco</t>
  </si>
  <si>
    <t>https://articulo.mercadolibre.com.mx/MLM-2824263577-vanance-lampara-de-pared-giratoria-multiforma-lampara-led-con-reloj-usb-recargable-ajustable-con-tactil-y-remoto-3-modos-luz-calida-blanca-neutra-luz-de-led-closet-blanco-_JM</t>
  </si>
  <si>
    <t>MLM5461697990</t>
  </si>
  <si>
    <t>12w Luz De Pared Luz Arbotante Led Pared Uso Exterior 3000k Estructura Negro Luz Blanca</t>
  </si>
  <si>
    <t>https://articulo.mercadolibre.com.mx/MLM-5461697990-12w-luz-de-pared-luz-arbotante-led-pared-uso-exterior-3000k-estructura-negro-luz-blanca-_JM</t>
  </si>
  <si>
    <t>MLM2295917709</t>
  </si>
  <si>
    <t>Lámparas De Pared Exterior Lámparas Decorativas Modernas</t>
  </si>
  <si>
    <t>0.95 kg</t>
  </si>
  <si>
    <t>https://articulo.mercadolibre.com.mx/MLM-2295917709-lamparas-de-pared-exterior-lamparas-decorativas-modernas-_JM</t>
  </si>
  <si>
    <t>Aplique De Pared Led Moderno Para Interior</t>
  </si>
  <si>
    <t>pcmos</t>
  </si>
  <si>
    <t>PCMOS SHOP</t>
  </si>
  <si>
    <t>42.5 cm</t>
  </si>
  <si>
    <t>12.9 cm</t>
  </si>
  <si>
    <t>8.5 cm</t>
  </si>
  <si>
    <t>MLM5129764298</t>
  </si>
  <si>
    <t>Vanance® Lámpara De Pared Giratoria Multiforma Lampara Led Recargable Ajustable Interior Con Táctil Y Remoto 3 Modos Luz Cálida Blanca Neutra Luz De Led Clóset Usb Blanco</t>
  </si>
  <si>
    <t>https://articulo.mercadolibre.com.mx/MLM-5129764298-vanance-lampara-de-pared-giratoria-multiforma-lampara-led-recargable-ajustable-interior-con-tactil-y-remoto-3-modos-luz-calida-blanca-neutra-luz-de-led-closet-usb-blanco-_JM</t>
  </si>
  <si>
    <t>MLM6177009850</t>
  </si>
  <si>
    <t>Dehobo Lámpara Aplique Led De Pared Para Interior Y Exterior, Ideal Para Escaleras, Jardines, Terrazas Y Pasillos, Luz... Negro</t>
  </si>
  <si>
    <t>YZLDM</t>
  </si>
  <si>
    <t>yzldm</t>
  </si>
  <si>
    <t>0 kg</t>
  </si>
  <si>
    <t>https://articulo.mercadolibre.com.mx/MLM-6177009850-dehobo-lampara-aplique-led-de-pared-para-interior-y-exterior-ideal-para-escaleras-jardines-terrazas-y-pasillos-luz-negro-_JM</t>
  </si>
  <si>
    <t>MLM5319657174</t>
  </si>
  <si>
    <t>Time4buy - 6pzs Lámpara Led Pared Luces Iluminacion Exterior Interiore , Pared Moderna, Ip65 Impermeable, Para Porche, Escaleras, Pasillo (luz Cálida) Negro</t>
  </si>
  <si>
    <t>16.7 cm</t>
  </si>
  <si>
    <t>0.33 kg</t>
  </si>
  <si>
    <t>https://articulo.mercadolibre.com.mx/MLM-5319657174-time4buy-6pzs-lampara-led-pared-luces-iluminacion-exterior-interiore-11-leds-superior-e-inferior-75x40x42-mm-pared-moderna-ip65-impermeable-para-porche-escaleras-pasillo-luz-calida-negro-_JM</t>
  </si>
  <si>
    <t>MLM5176178434</t>
  </si>
  <si>
    <t>PERFECT STORE</t>
  </si>
  <si>
    <t>45.7 cm</t>
  </si>
  <si>
    <t>5.9 cm</t>
  </si>
  <si>
    <t>1.38 kg</t>
  </si>
  <si>
    <t>https://articulo.mercadolibre.com.mx/MLM-5176178434-6800w-lampara-led-solar-exterior-suburbana-alumbrado-public-_JM</t>
  </si>
  <si>
    <t>MLM5482513942</t>
  </si>
  <si>
    <t>Lámpara Pared Exterior Interior Impermeable Modernas Decorativas 3000k Luz Blanco Cálido Impermeable Lámparas Para Jardín,sala,baño,escalera Negro</t>
  </si>
  <si>
    <t>Waikil</t>
  </si>
  <si>
    <t>waikil</t>
  </si>
  <si>
    <t>HONGKONGE</t>
  </si>
  <si>
    <t>https://articulo.mercadolibre.com.mx/MLM-5482513942-lampara-pared-exterior-interior-impermeable-modernas-decorativas-3000k-luz-blanco-calido-impermeable-lamparas-para-jardinsalabanoescalera-negro-_JM</t>
  </si>
  <si>
    <t>MLM3699274352</t>
  </si>
  <si>
    <t>2pz Lámpara Pared Exterior Impermeable Moderna Con 3 Modos</t>
  </si>
  <si>
    <t>25.4 cm</t>
  </si>
  <si>
    <t>18.7 cm</t>
  </si>
  <si>
    <t>0.63 kg</t>
  </si>
  <si>
    <t>https://articulo.mercadolibre.com.mx/MLM-3699274352-2pz-lampara-pared-exterior-impermeable-moderna-con-3-modos-negro-_JM</t>
  </si>
  <si>
    <t>MLM3567659302</t>
  </si>
  <si>
    <t>Judeng® Lámpara De Pared Exterior/interior Impermeable Luz Blanca Lámparas De Pared Led Muro Impermeable Modernas Para... Negro</t>
  </si>
  <si>
    <t>https://articulo.mercadolibre.com.mx/MLM-3567659302-lampara-de-pared-led-judeng-para-exterior-e-interior-luz-blanca-fria-de-10w-negro-_JM</t>
  </si>
  <si>
    <t>MLM3336628560</t>
  </si>
  <si>
    <t>2 Faroles Solares De Pared Para Jardín Al Aire Libre</t>
  </si>
  <si>
    <t>Generic</t>
  </si>
  <si>
    <t>generic</t>
  </si>
  <si>
    <t>RAINMAOMX</t>
  </si>
  <si>
    <t>27.4 cm</t>
  </si>
  <si>
    <t>22.8 cm</t>
  </si>
  <si>
    <t>https://articulo.mercadolibre.com.mx/MLM-3336628560-2-faroles-solares-de-pared-para-jardin-al-aire-libre-_JM</t>
  </si>
  <si>
    <t>MLM2779397637</t>
  </si>
  <si>
    <t>Lámpara De Pared Para Espejo De Baño Luz Moderno Led 60cm</t>
  </si>
  <si>
    <t>MANGCAO</t>
  </si>
  <si>
    <t>mangcao</t>
  </si>
  <si>
    <t>MANG CAO ONLINE</t>
  </si>
  <si>
    <t>42.6 cm</t>
  </si>
  <si>
    <t>12.5 cm</t>
  </si>
  <si>
    <t>8.7 cm</t>
  </si>
  <si>
    <t>0.39 kg</t>
  </si>
  <si>
    <t>https://articulo.mercadolibre.com.mx/MLM-2779397637-lampara-de-pared-para-espejo-de-bano-luz-moderno-led-60cm-_JM</t>
  </si>
  <si>
    <t>MLM3574049072</t>
  </si>
  <si>
    <t>Judeng Lámpara De Pared Impermeable Para Exterior Arbotante Moderna Lámparas De Pared Led Muro Impermeable Moderna Para... Negro</t>
  </si>
  <si>
    <t>23 cm</t>
  </si>
  <si>
    <t>https://articulo.mercadolibre.com.mx/MLM-3574049072-lampara-de-pared-led-moderna-para-exterior-e-interior-de-12w-con-luz-calida-negro-_JM</t>
  </si>
  <si>
    <t>MLM3441831536</t>
  </si>
  <si>
    <t>Gosun® Lámpara De Pared Dormitorio Decorativa Luz Tricolor Estructura Negro</t>
  </si>
  <si>
    <t>18 cm</t>
  </si>
  <si>
    <t>7 cm</t>
  </si>
  <si>
    <t>https://articulo.mercadolibre.com.mx/MLM-3441831536-gosun-lampara-de-pared-dormitorio-decorativa-luz-tricolor-estructura-negro-_JM</t>
  </si>
  <si>
    <t>MLM5682633336</t>
  </si>
  <si>
    <t>2 Barra De Luz Led Inteligente Con Sensor De Cuerpo Humano Estructura Blanco Tianzhi</t>
  </si>
  <si>
    <t>QIHANG SHOP</t>
  </si>
  <si>
    <t>41 cm</t>
  </si>
  <si>
    <t>0.13 kg</t>
  </si>
  <si>
    <t>https://articulo.mercadolibre.com.mx/MLM-5682633336-2-barra-de-luz-led-inteligente-con-sensor-de-cuerpo-humano-estructura-blanco-tianzhi-_JM</t>
  </si>
  <si>
    <t>MLM5733668204</t>
  </si>
  <si>
    <t>Lamparas De Pared Exterior E Interiores, Lámpara Muro Pared Impermeables, Luz Cálida 3000k De Modernas Decorativa Pare Jardín Pasillos Escaleras Sala Baño Arbotante Negro</t>
  </si>
  <si>
    <t>HJDWQN</t>
  </si>
  <si>
    <t>https://articulo.mercadolibre.com.mx/MLM-5733668204-lampara-de-pared-led-para-exterior-e-interior-luz-calida-3000k-negra-24w-negro-_JM</t>
  </si>
  <si>
    <t>MLM5456820014</t>
  </si>
  <si>
    <t>Lámpara Solar De Pared Exteris Estructura De Lampara Solares Jardín Con Mando A Distancia, Lámparas De Pared Reflectora... Blanco</t>
  </si>
  <si>
    <t>HKGUANGYAOLANGYUYOUXIANMXF</t>
  </si>
  <si>
    <t>12.7 cm</t>
  </si>
  <si>
    <t>10.2 cm</t>
  </si>
  <si>
    <t>https://articulo.mercadolibre.com.mx/MLM-5456820014-lampara-solar-de-pared-bakeway-con-mando-a-distancia-y-luz-blanca-neutra-blanco-_JM</t>
  </si>
  <si>
    <t>MLM3946139324</t>
  </si>
  <si>
    <t>6pzs Lámparas Sensor Movimiento Luz Led Clóset 30cm 3000k</t>
  </si>
  <si>
    <t>HEIBAGO</t>
  </si>
  <si>
    <t>heibago</t>
  </si>
  <si>
    <t>TUJOVA</t>
  </si>
  <si>
    <t>38 cm</t>
  </si>
  <si>
    <t>https://articulo.mercadolibre.com.mx/MLM-3946139324-6pzs-lamparas-sensor-movimiento-luz-led-closet-30cm-3000k-_JM</t>
  </si>
  <si>
    <t>MLM3613436650</t>
  </si>
  <si>
    <t>Judeng Lámpara De Pared Led Aplique Impermeable Negro Exterior Lámparas De Pared Exterior Lámparas Decorativas Modernas Para Exteriores Jardin Impermeable 3 Modos De Color De Luz</t>
  </si>
  <si>
    <t>23.4 cm</t>
  </si>
  <si>
    <t>0.31 kg</t>
  </si>
  <si>
    <t>https://articulo.mercadolibre.com.mx/MLM-3613436650-aplique-de-pared-led-judeng-para-exterior-negro-con-3-modos-de-luz-_JM</t>
  </si>
  <si>
    <t>MLM3631855284</t>
  </si>
  <si>
    <t>Gosun® Lámpara De Pared Led 12w Impermeable Foco Flotante Estructura Blanco - Blanco Cálido</t>
  </si>
  <si>
    <t>https://articulo.mercadolibre.com.mx/MLM-3631855284-gosun-lampara-de-pared-led-12w-impermeable-foco-flotante-estructura-blanco-blanco-calido-_JM</t>
  </si>
  <si>
    <t>MLM6089764362</t>
  </si>
  <si>
    <t>Homioce 9pzs Con Sensor Movimiento 30cm Luz De Led Clóset Usb Blanca Blanco</t>
  </si>
  <si>
    <t>Homioce</t>
  </si>
  <si>
    <t>homioce</t>
  </si>
  <si>
    <t>NAHANDENAHANDE</t>
  </si>
  <si>
    <t>40 cm</t>
  </si>
  <si>
    <t>https://articulo.mercadolibre.com.mx/MLM-6089764362-homioce-9pzs-con-sensor-movimiento-30cm-luz-de-led-closet-usb-blanca-blanco-_JM</t>
  </si>
  <si>
    <t>MLM5318189196</t>
  </si>
  <si>
    <t>Time4buy 2pcs Lámpara 5 Led 12w Pared Para Exterior Jardín Luz,ip65 Impermeable Iluminación De Pared Exterior Para Porche,escaleras,pasillo (negro Luz Blanco)</t>
  </si>
  <si>
    <t>https://articulo.mercadolibre.com.mx/MLM-5318189196-time4buy-2pcs-lampara-55-led-10w-pared-para-exterior-jardin-luzip65-impermeable-27x8x5-cm-iluminacion-de-pared-exterior-para-porcheescaleraspasillo-negro-luz-blanco-_JM</t>
  </si>
  <si>
    <t>MLM5238930040</t>
  </si>
  <si>
    <t>Lámpara Pared Led 60cm, Luz De Tocador Para Baño,moderna Lampara De Pared Para Espejo, Ahorro Energía Fácil Instalación,adecuado Para Baños, Dormitorios, Salas De Estar, Pasillos, Etc. Plateado</t>
  </si>
  <si>
    <t>lamparas para espejos de bano</t>
  </si>
  <si>
    <t>LEOKYMY</t>
  </si>
  <si>
    <t>64 cm</t>
  </si>
  <si>
    <t>0.86 kg</t>
  </si>
  <si>
    <t>https://articulo.mercadolibre.com.mx/MLM-5238930040-lampara-de-pared-cromo-led-de-12-w-para-tocador-y-bano-plateado-_JM</t>
  </si>
  <si>
    <t>MLM4205942612</t>
  </si>
  <si>
    <t>Dehobo Lampara Exterior Pared Estilo Minimalista Rectangular Negro,lampara Led Ip65 Impermeable,lámpara De Pared Decorativa Moderna Para Exteriores,jardin,pasillo, Porche, Parque, Garaje, Salón, Campo</t>
  </si>
  <si>
    <t>https://articulo.mercadolibre.com.mx/MLM-4205942612-dehobo-lampara-exterior-pared-estilo-minimalista-rectangular-negrolampara-led-ip65-impermeablelampara-de-pared-decorativa-moderna-para-exterioresjardinpasillo-porche-parque-garaje-salon-campo-_JM</t>
  </si>
  <si>
    <t>MLM4511307466</t>
  </si>
  <si>
    <t>Judeng® Lámpara De Pared De Interior Cristal Moderna Lámparas Decorativas Moderna Lámparas Para Baño Sala Dormitorio... Negro</t>
  </si>
  <si>
    <t>24.9 cm</t>
  </si>
  <si>
    <t>https://articulo.mercadolibre.com.mx/MLM-4511307466-lampara-de-pared-led-moderna-de-cristal-para-interiores-con-3-modos-de-luz-y-24w-negro-_JM</t>
  </si>
  <si>
    <t>MLM4771765730</t>
  </si>
  <si>
    <t>Lámpara De Muro Terminado Negro/globo Transparente Calux Negro</t>
  </si>
  <si>
    <t>Calux</t>
  </si>
  <si>
    <t>calux</t>
  </si>
  <si>
    <t>CALUX_</t>
  </si>
  <si>
    <t>https://articulo.mercadolibre.com.mx/MLM-4771765730-lampara-de-muro-arbotante-para-exterior-terminado-negroglobo-transparente-vd7036ne-calux-_JM</t>
  </si>
  <si>
    <t>MLM4417746382</t>
  </si>
  <si>
    <t>Dos Lámparas De Pared Negras Modernas Con Cubierta De Tela Negro</t>
  </si>
  <si>
    <t>AOSIHUANUO</t>
  </si>
  <si>
    <t>aosihuanuo</t>
  </si>
  <si>
    <t>LUZ PARA VIVIR</t>
  </si>
  <si>
    <t>15.4 cm</t>
  </si>
  <si>
    <t>https://articulo.mercadolibre.com.mx/MLM-4417746382-dos-lamparas-de-pared-negras-modernas-con-cubierta-de-tela-negro-_JM</t>
  </si>
  <si>
    <t>MLM5194410582</t>
  </si>
  <si>
    <t>Time4buy® 4pzs Lámpara 2led Pared Luces Iluminacion Exterior Interiore,pared Moderna, Ip65 Impermeable, Para Porche, Escaleras, Pasillo (negro Luz Blanco)</t>
  </si>
  <si>
    <t>https://articulo.mercadolibre.com.mx/MLM-5194410582-time4buy-4pcs-lampara-de-4w-led-exterior-22-leds-superior-e-inferior-10x8x4-cm-ip65-impermeable-kit-completo-para-fachadas-jardines-escaleras-pasillos-luz-blanco-negro-_JM</t>
  </si>
  <si>
    <t>MLM2384202830</t>
  </si>
  <si>
    <t>30cm Lámpara 60 Led Barra Luz Sensor Movimiento Casa Baño</t>
  </si>
  <si>
    <t>YOBETT2023</t>
  </si>
  <si>
    <t>36.4 cm</t>
  </si>
  <si>
    <t>https://articulo.mercadolibre.com.mx/MLM-2384202830-30cm-lampara-60-led-barra-luz-sensor-movimiento-casa-bano-_JM</t>
  </si>
  <si>
    <t>MLM3562074666</t>
  </si>
  <si>
    <t>Lampara De Pared Focos Led Moderna Impermeable Luz Calida</t>
  </si>
  <si>
    <t>https://articulo.mercadolibre.com.mx/MLM-3562074666-lampara-de-pared-focos-led-moderna-impermeable-luz-calida-_JM</t>
  </si>
  <si>
    <t>MLM5993616360</t>
  </si>
  <si>
    <t>Yzldm Aplique De Pared Led Exterior Impermeable Ip65 Negro Mate, Luz Fría 6w, Diseño Moderno Montable Para Interiores Y Exteriores, Jardin, Pasillo, Baño, Escalera, Terraza, Cocina, Comedor, Hotel</t>
  </si>
  <si>
    <t>JKLLIMOMXF</t>
  </si>
  <si>
    <t>18.2 cm</t>
  </si>
  <si>
    <t>https://articulo.mercadolibre.com.mx/MLM-5993616360-yzldm-aplique-de-pared-led-exterior-impermeable-ip65-negro-mate-luz-fria-6w-diseno-moderno-montable-para-interiores-y-exteriores-jardin-pasillo-bano-escalera-terraza-cocina-comedor-hotel-_JM</t>
  </si>
  <si>
    <t>MLM2910627087</t>
  </si>
  <si>
    <t>Time4buy 3pzs Lámpara De Pared Led 12w Exteriores Interior Impermeable Exterior Para Jardín, Patio, Terraza, Inicio (luz Blanco )</t>
  </si>
  <si>
    <t>34.4 cm</t>
  </si>
  <si>
    <t>1.13 kg</t>
  </si>
  <si>
    <t>https://articulo.mercadolibre.com.mx/MLM-2910627087-time4buy-3pzs-lampara-de-pared-led-6w-exteriores-interior-angulo-de-luz-ajustable-10x10x10cm-haz-superior-e-inferior-impermeable-exterior-para-jardin-patio-terraza-inicio-luz-blanco--_JM</t>
  </si>
  <si>
    <t>MLM3497044942</t>
  </si>
  <si>
    <t>Lámpara De Pared Doble Impermeable De Exterior Moderna</t>
  </si>
  <si>
    <t>CNYUJU-MXF</t>
  </si>
  <si>
    <t>21.2 cm</t>
  </si>
  <si>
    <t>https://articulo.mercadolibre.com.mx/MLM-3497044942-lampara-de-pared-doble-impermeable-de-exterior-moderna-_JM</t>
  </si>
  <si>
    <t>MLM2959434590</t>
  </si>
  <si>
    <t xml:space="preserve"> 6pzs Con Sensor Movimiento 30cm Luz De Led Clóset Usb 3000k</t>
  </si>
  <si>
    <t>YASIMING SHOP</t>
  </si>
  <si>
    <t>https://articulo.mercadolibre.com.mx/MLM-2959434590-6pzs-con-sensor-movimiento-30cm-luz-de-led-closet-usb-3000k-_JM</t>
  </si>
  <si>
    <t>MLM5877241702</t>
  </si>
  <si>
    <t>Lámpara De Pared Led Para Interior Y Exterior Negra Con Iluminación Bi-direccional, Rectangulares, De Aluminio Y Acrílico, Impermeable Ip67, Moderna Y Decorativa, Fácil De Montar. Gris Oscuro</t>
  </si>
  <si>
    <t>37.4 cm</t>
  </si>
  <si>
    <t>https://articulo.mercadolibre.com.mx/MLM-5877241702-lamparas-de-pared-led-para-interior-y-exterior-negra-iluminacion-bi-direccional-rectangulares-de-aluminio-y-acrilico-impermeable-ip67-moderna-y-decorativa-facil-de-montar-gris-oscuro-_JM</t>
  </si>
  <si>
    <t>MLM4944982740</t>
  </si>
  <si>
    <t>8pcs Lampara Escalera Exterior Con Sensor De Movimiento</t>
  </si>
  <si>
    <t>lampara led para escalera;foco con cable;luces led empotrables;focos para escaleras;lamparas con cable;lampara de pared</t>
  </si>
  <si>
    <t>CNNEVERMOREMXF</t>
  </si>
  <si>
    <t>https://articulo.mercadolibre.com.mx/MLM-4944982740-8pcs-lampara-escalera-exterior-con-sensor-de-movimiento-_JM</t>
  </si>
  <si>
    <t>MLM3677717872</t>
  </si>
  <si>
    <t>Lámpara De Pared Moderna Led 20w Para Exteriores Impermeable</t>
  </si>
  <si>
    <t>26.4 cm</t>
  </si>
  <si>
    <t>https://articulo.mercadolibre.com.mx/MLM-3677717872-lampara-de-pared-moderna-led-20w-para-exteriores-impermeable-_JM</t>
  </si>
  <si>
    <t>MLM1873742951</t>
  </si>
  <si>
    <t>Lámpara De Pared Tipo Vaso 120v Negro Volteck Arb-002s</t>
  </si>
  <si>
    <t>Volteck</t>
  </si>
  <si>
    <t>volteck</t>
  </si>
  <si>
    <t>FIX FERRETERÍAS</t>
  </si>
  <si>
    <t>17.8 cm</t>
  </si>
  <si>
    <t>https://articulo.mercadolibre.com.mx/MLM-1873742951-lampara-de-pared-tipo-vaso-120v-negro-volteck-arb-002s-_JM</t>
  </si>
  <si>
    <t>MLM3216932787</t>
  </si>
  <si>
    <t>Lámparas De Pared Interior/exterior Decorativas Vintage</t>
  </si>
  <si>
    <t>Ttey</t>
  </si>
  <si>
    <t>ttey</t>
  </si>
  <si>
    <t>TTEYMX</t>
  </si>
  <si>
    <t>31.3 cm</t>
  </si>
  <si>
    <t>0.59 kg</t>
  </si>
  <si>
    <t>https://articulo.mercadolibre.com.mx/MLM-3216932787-lamparas-de-pared-interiorexterior-decorativas-vintage-_JM</t>
  </si>
  <si>
    <t>MLM4722579732</t>
  </si>
  <si>
    <t>Dehobo Lamparas De Pared Led Decorativas Exterior Y Interiores 3000k Luz Cálida,lamparas De Pared Arbotantes Modernas Impermeable Focos Fara Salas Exteriores,lamparas Para Sala Lámparas Jardín Negro</t>
  </si>
  <si>
    <t>https://articulo.mercadolibre.com.mx/MLM-4722579732-lampara-de-pared-led-dehobo-decorativa-para-exterior-e-interior-luz-calida-3000k-negro-_JM</t>
  </si>
  <si>
    <t>MLM2016000905</t>
  </si>
  <si>
    <t xml:space="preserve">Lampara De Pared Arbotante Led 8w 3500k Luz Calida 4 Luces  </t>
  </si>
  <si>
    <t>Lumicraft</t>
  </si>
  <si>
    <t>lumicraft</t>
  </si>
  <si>
    <t>SOMLUZLED</t>
  </si>
  <si>
    <t>LOCAL</t>
  </si>
  <si>
    <t>https://articulo.mercadolibre.com.mx/MLM-2016000905-lampara-de-pared-arbotante-led-8w-3500k-luz-calida-4-luces-luz-calida-_JM</t>
  </si>
  <si>
    <t>MLM5305228244</t>
  </si>
  <si>
    <t>Vanance Lámpara Pared Luces Luz Cálida Arbotante Interiores Exterior Muro Color Negro 6w Regulador De Luz Lampara Arbotante Lamparas Modernas Lampara Decorativas</t>
  </si>
  <si>
    <t>31.6 cm</t>
  </si>
  <si>
    <t>https://articulo.mercadolibre.com.mx/MLM-5305228244-vanance-lampara-pared-luces-luz-calida-arbotante-interiores-exterior-muro-color-negro-6w-regulador-de-luz-lampara-arbotante-lamparas-modernas-lampara-decorativas-_JM</t>
  </si>
  <si>
    <t>MLM3510632472</t>
  </si>
  <si>
    <t>Lamparas De Pared Exterior Focos Led Moderna Luz Negra</t>
  </si>
  <si>
    <t>CNAPRICITYMXF</t>
  </si>
  <si>
    <t>0.47 kg</t>
  </si>
  <si>
    <t>https://articulo.mercadolibre.com.mx/MLM-3510632472-lamparas-de-pared-exterior-focos-led-moderna-luz-negra-_JM</t>
  </si>
  <si>
    <t>MLM1328527128</t>
  </si>
  <si>
    <t>Kit 10 Luces De Escalera Lámpara Empotrable Foco Con Cajas</t>
  </si>
  <si>
    <t>Canmeijia</t>
  </si>
  <si>
    <t>canmeijia</t>
  </si>
  <si>
    <t>CANMEIJIA</t>
  </si>
  <si>
    <t>10.5 cm</t>
  </si>
  <si>
    <t>20.5 cm</t>
  </si>
  <si>
    <t>1.21 kg</t>
  </si>
  <si>
    <t>https://articulo.mercadolibre.com.mx/MLM-1328527128-kit-10-luces-de-escalera-lampara-empotrable-foco-con-cajas-_JM</t>
  </si>
  <si>
    <t>MLM4560719430</t>
  </si>
  <si>
    <t>Dehobo Lámpara Led De Pared Para Exterior, 6 Led De Luz Fría 6000k , Led Lámpara De Pared Para Exterior Y Interior, Lampara De Pared Moderno Instalado En Pasillos, Jardines, Garajes Y Escaleras. Negro</t>
  </si>
  <si>
    <t>https://articulo.mercadolibre.com.mx/MLM-4560719430-dehobo-aplique-de-pared-led-de-6w-luz-fria-resistente-al-agua-ip65-luz-decorativa-moderna-apta-para-uso-negro-_JM</t>
  </si>
  <si>
    <t>MLM5039924996</t>
  </si>
  <si>
    <t>Lámpara Led De Pared Ondulado 60cm 3 Tono Blanco Cálido Nneutro Interior Exterior Dormitor Estructura</t>
  </si>
  <si>
    <t>39 cm</t>
  </si>
  <si>
    <t>https://articulo.mercadolibre.com.mx/MLM-5039924996-lampara-led-de-pared-ondulado-60cm-3-tono-blanco-calido-nneutro-interior-exterior-dormitor-estructura-dorado-_JM</t>
  </si>
  <si>
    <t>MLM5427014220</t>
  </si>
  <si>
    <t>2pzas Barra Luz Led Sensor Movimiento Magnética 30cm 3-color</t>
  </si>
  <si>
    <t>EDAFEGBHC61266</t>
  </si>
  <si>
    <t>36.2 cm</t>
  </si>
  <si>
    <t>3.2 cm</t>
  </si>
  <si>
    <t>https://articulo.mercadolibre.com.mx/MLM-5427014220-2pzas-barra-luz-led-sensor-movimiento-magnetica-30cm-3-color-_JM</t>
  </si>
  <si>
    <t>MLM4718640360</t>
  </si>
  <si>
    <t>Dehobo Lamparas De Pared/techo Decorativas Cuadrado,lamparas De Pared Arbotantes Ip65 Impermeable,luz Cálida 3000k,lampara Para Escalera Para Balcones, Escaleras, Caminos, Patios, Porches Negro</t>
  </si>
  <si>
    <t>0.19 kg</t>
  </si>
  <si>
    <t>https://articulo.mercadolibre.com.mx/MLM-4718640360-lampara-de-pared-dehobo-led-cuadrada-para-exterior-luz-calida-de-3000k-y-proteccion-ip65-negro-_JM</t>
  </si>
  <si>
    <t>MLM4838334774</t>
  </si>
  <si>
    <t>Time4buy 3pcs Lámpara De Pared Giratoria Multiforma Temporizada Lampara Led Con Reloj Usb Recargable Ajustable Con Táctil Y Remoto 5 Modos Luz Cálida Blanca Neutra Luz De Led Clóset Blanco</t>
  </si>
  <si>
    <t>EJ4 LA LIBERTAD PRIMERO</t>
  </si>
  <si>
    <t>35.2 cm</t>
  </si>
  <si>
    <t>https://articulo.mercadolibre.com.mx/MLM-4838334774-pack-de-3-lamparas-led-time4buy-para-pared-recargables-con-control-remoto-y-angulo-ajustable-blanco-_JM</t>
  </si>
  <si>
    <t>MLM2895419631</t>
  </si>
  <si>
    <t>Lámpara Led De Pared Moderna De Luz Cálida 8w Para Exterior</t>
  </si>
  <si>
    <t>Umexus</t>
  </si>
  <si>
    <t>umexus</t>
  </si>
  <si>
    <t>UMEXUS HOGAR</t>
  </si>
  <si>
    <t>https://articulo.mercadolibre.com.mx/MLM-2895419631-lampara-led-de-pared-moderna-de-luz-calida-8w-para-exterior-_JM</t>
  </si>
  <si>
    <t>MLM2722946198</t>
  </si>
  <si>
    <t>Lámpara De Pared Resistente Al Agua Para Exterior En Jardín.</t>
  </si>
  <si>
    <t>36 cm</t>
  </si>
  <si>
    <t>https://articulo.mercadolibre.com.mx/MLM-2722946198-lampara-de-pared-resistente-al-agua-para-exterior-en-jardin-_JM</t>
  </si>
  <si>
    <t>MLM5180927272</t>
  </si>
  <si>
    <t>2pcs Lámpara Solar De Pared Exteriores Sensor Luz 3 Modos</t>
  </si>
  <si>
    <t>SUNLKCHES</t>
  </si>
  <si>
    <t>sunlkches</t>
  </si>
  <si>
    <t>TIENDA SHUYUE</t>
  </si>
  <si>
    <t>https://articulo.mercadolibre.com.mx/MLM-5180927272-2pcs-lampara-solar-de-pared-exteriores-sensor-luz-3-modos-_JM</t>
  </si>
  <si>
    <t>MLM2836515281</t>
  </si>
  <si>
    <t>Pack 8 Lamparas Pared Farol Español Negro 100w Geopower Negro</t>
  </si>
  <si>
    <t>33.6 cm</t>
  </si>
  <si>
    <t>30.2 cm</t>
  </si>
  <si>
    <t>42.4 cm</t>
  </si>
  <si>
    <t>6.22 kg</t>
  </si>
  <si>
    <t>https://articulo.mercadolibre.com.mx/MLM-2836515281-pack-8-lamparas-pared-farol-espanol-negro-100w-geopower-negro-_JM</t>
  </si>
  <si>
    <t>MLM5825112696</t>
  </si>
  <si>
    <t>Lámpara De Pared Dehobo Led 6w Con Luz Fría Para Interior Y Exterior Negro</t>
  </si>
  <si>
    <t>https://articulo.mercadolibre.com.mx/MLM-5825112696-dehobo-lamparas-de-para-jardines-exteriores-lamparas-de-led-pared-modernas-arbotantes-luz-fria-3000k-ip65-6wdecorativas-negro-_JM</t>
  </si>
  <si>
    <t>MLM5487336290</t>
  </si>
  <si>
    <t>Lámpara Led Solar Exterior Recargable Para Pared 4 Piezas Amarillo</t>
  </si>
  <si>
    <t>SQEEQE</t>
  </si>
  <si>
    <t>sqeeqe</t>
  </si>
  <si>
    <t>HLIN</t>
  </si>
  <si>
    <t>https://articulo.mercadolibre.com.mx/MLM-5487336290-lampara-led-solar-exterior-recargable-para-pared-4-piezas-amarillo-_JM</t>
  </si>
  <si>
    <t>MLM2259066087</t>
  </si>
  <si>
    <t>Lámpara Moderna Led Pared Impermeable Para Exterior Foco 10w</t>
  </si>
  <si>
    <t>27 cm</t>
  </si>
  <si>
    <t>https://articulo.mercadolibre.com.mx/MLM-2259066087-lampara-moderna-led-pared-impermeable-para-exterior-foco-10w-negro-_JM</t>
  </si>
  <si>
    <t>MLM4244209866</t>
  </si>
  <si>
    <t>Nifuna Lámpara Pared Exterior 2 Focos Led Moderna Negra Impermeable Lámpara Pared Luces Luz Cálida Interiores Exterior Muro Color Negro 60w Regulador De Luz Lampara Arbotante Lamparas Modernas</t>
  </si>
  <si>
    <t>0.76 kg</t>
  </si>
  <si>
    <t>https://articulo.mercadolibre.com.mx/MLM-4244209866-plafon-de-pared-exterior-nifuna-con-2-focos-e27-y-luz-led-negro-_JM</t>
  </si>
  <si>
    <t>MLM5318189184</t>
  </si>
  <si>
    <t>Time4buy® 2pzc Lámpara Led Exterior Jardin Pared Interiores Luz Cálida Blanco,ip65 Impermeable Iluminación Exterior Para Jardín, Patio, Terraza, Inicio(luz Cálida) Negro</t>
  </si>
  <si>
    <t>22.2 cm</t>
  </si>
  <si>
    <t>https://articulo.mercadolibre.com.mx/MLM-5318189184-time4buy-2pzc-lampara-led-exterior-jardin-pared-interiores-luz-calida-blancoip65-impermeable-iluminacion-exterior-para-jardin-patio-terraza-inicioluz-calida-negro-_JM</t>
  </si>
  <si>
    <t>MLM2990143089</t>
  </si>
  <si>
    <t>Vanance Lampara Pared Arbotante Exterior Interiores Impermeable Moderna Decorativas Con 3 Modos Luz Cálida Blanca Neutra Lámpara Cristal Luz Led 24w Lamparas Para Jardines Negro</t>
  </si>
  <si>
    <t>https://articulo.mercadolibre.com.mx/MLM-2990143089-vanance-lampara-pared-arbotante-exterior-interiores-impermeable-moderna-decorativas-con-3-modos-luz-calida-blanca-neutra-lampara-cristal-luz-led-24w-lamparas-para-jardines-negro-_JM</t>
  </si>
  <si>
    <t>MLM2415685607</t>
  </si>
  <si>
    <t>Lámpara Led De Pared Moderna Globo Bola Cristal 1pcs Dorado</t>
  </si>
  <si>
    <t>FUTUROHOGAROFFICIALMX</t>
  </si>
  <si>
    <t>futurohogarofficialmx</t>
  </si>
  <si>
    <t>19.5 cm</t>
  </si>
  <si>
    <t>19.8 cm</t>
  </si>
  <si>
    <t>https://articulo.mercadolibre.com.mx/MLM-2415685607-lampara-led-de-pared-moderna-globo-bola-cristal-1pcs-dorado-_JM</t>
  </si>
  <si>
    <t>MLM2780105067</t>
  </si>
  <si>
    <t>2pcs Aplique Lampara Led Recargable Con Sensor De Movimiento Marrón</t>
  </si>
  <si>
    <t>YSODUFGVUIW</t>
  </si>
  <si>
    <t>7.3 cm</t>
  </si>
  <si>
    <t>4.1 cm</t>
  </si>
  <si>
    <t>https://articulo.mercadolibre.com.mx/MLM-2780105067-2pcs-aplique-lampara-led-recargable-con-sensor-de-movimiento-marron-_JM</t>
  </si>
  <si>
    <t>MLM3562074702</t>
  </si>
  <si>
    <t>Lámpara Led Pared Exterior Impermeable Lámpara Decorativa</t>
  </si>
  <si>
    <t>https://articulo.mercadolibre.com.mx/MLM-3562074702-lampara-led-pared-exterior-impermeable-lampara-decorativa-_JM</t>
  </si>
  <si>
    <t>MLM5647362540</t>
  </si>
  <si>
    <t xml:space="preserve">2pzs Plafón Led 7w Empotrable Techo Luz Blanca Fría 6500k </t>
  </si>
  <si>
    <t>Rubise</t>
  </si>
  <si>
    <t>rubise</t>
  </si>
  <si>
    <t>MILLION GLOBAL</t>
  </si>
  <si>
    <t>https://articulo.mercadolibre.com.mx/MLM-5647362540-2pzs-plafon-led-7w-empotrable-techo-luz-blanca-fria-6500k-_JM</t>
  </si>
  <si>
    <t>MLM2724430653</t>
  </si>
  <si>
    <t>Dehobo Lamparas Led Pared Arbotante 12w Pared Exterior 3000k Luz Cálida,lamparas De Pared Decorativas Iluminacion Hogar Exteriores,pasillo,dormitorio,sala,lamparas Para Jardines Exteriores Negro</t>
  </si>
  <si>
    <t>8 cm</t>
  </si>
  <si>
    <t>https://articulo.mercadolibre.com.mx/MLM-2724430653-dehobo-lamparas-de-exteriores-pared-led-luz-calida-modernas-negro-lamparas-impermeable-iluminacion-lampara-cristallampara-para-exterior-led-lampara-arbotante-decorativa-lamparas-jardines-bano-cocina-_JM</t>
  </si>
  <si>
    <t>MLM2690992671</t>
  </si>
  <si>
    <t>6pz Luz De Noche Lámparas De Pared Focos Led Baño Dormitorio Blanco Amarillo</t>
  </si>
  <si>
    <t>MENDILUOMENDILUO</t>
  </si>
  <si>
    <t>https://articulo.mercadolibre.com.mx/MLM-2690992671-6pz-luz-de-noche-lamparas-de-pared-focos-led-bano-dormitorio-blanco-_JM</t>
  </si>
  <si>
    <t>MLM3784260504</t>
  </si>
  <si>
    <t>6pzs Con Sensor Movimiento 30cm Luz De Led Clóset Usb</t>
  </si>
  <si>
    <t>35.8 cm</t>
  </si>
  <si>
    <t>https://articulo.mercadolibre.com.mx/MLM-3784260504-6pzs-con-sensor-movimiento-30cm-luz-de-led-closet-usb-_JM</t>
  </si>
  <si>
    <t>MLM2637360545</t>
  </si>
  <si>
    <t>Dehobo Lamparas De Pared Decorativas Led 8w Negro,semicircular Impermeable Ip65, Se Puede Instalar En Interiores O Exteriores,esta Lámpara De Pared Decorativa Se Puede Instalar En El Patio</t>
  </si>
  <si>
    <t>https://articulo.mercadolibre.com.mx/MLM-2637360545-lampara-de-pared-led-dehobo-8-w-para-exterior-e-interior-negro-_JM</t>
  </si>
  <si>
    <t>MLM5182677228</t>
  </si>
  <si>
    <t>Lámpara Solar De Pared Exteriores Con Sensor Movimiento Luz</t>
  </si>
  <si>
    <t>21.3 cm</t>
  </si>
  <si>
    <t>https://articulo.mercadolibre.com.mx/MLM-5182677228-lampara-solar-de-pared-exteriores-con-sensor-movimiento-luz-_JM</t>
  </si>
  <si>
    <t>MLM4429704358</t>
  </si>
  <si>
    <t>Lámpara De Pared Luces Luz Cálida Interiores Exterior Muro</t>
  </si>
  <si>
    <t>0.1 kg</t>
  </si>
  <si>
    <t>https://articulo.mercadolibre.com.mx/MLM-4429704358-lampara-de-pared-luces-luz-calida-interiores-exterior-muro-_JM</t>
  </si>
  <si>
    <t>MLM2846705757</t>
  </si>
  <si>
    <t>2pzs Lámpara Led De Pared Tira 100cm 3tono Interior Exterior</t>
  </si>
  <si>
    <t>JZZB</t>
  </si>
  <si>
    <t>jzzb</t>
  </si>
  <si>
    <t>100.4 cm</t>
  </si>
  <si>
    <t>0.98 kg</t>
  </si>
  <si>
    <t>https://articulo.mercadolibre.com.mx/MLM-2846705757-2pzs-lampara-led-de-pared-tira-100cm-3tono-interior-exterior-_JM</t>
  </si>
  <si>
    <t>MLM5334166212</t>
  </si>
  <si>
    <t>Lamparas De Pared Interior Moderna E26 Cuarto Apliques Pared Pasillo Iluminación Dorado</t>
  </si>
  <si>
    <t>Marca FUPE</t>
  </si>
  <si>
    <t>marca fupe</t>
  </si>
  <si>
    <t>CAEGCBDHF26607</t>
  </si>
  <si>
    <t>https://articulo.mercadolibre.com.mx/MLM-5334166212-lamparas-de-pared-interior-moderna-e26-cuarto-apliques-pared-pasillo-iluminacion-dorado-_JM</t>
  </si>
  <si>
    <t>MLM4722540186</t>
  </si>
  <si>
    <t>Dehobo Lamparas De Pared Decorativas Led 3000k Luz Cálida Negr,lamparas Arbotantes Modernas Impermeables Exterior Y Interiores Decorativos Pared Led Luces Jardin,lamparas Para Sala Exteriores Negro</t>
  </si>
  <si>
    <t>https://articulo.mercadolibre.com.mx/MLM-4722540186-lampara-de-pared-dehobo-led-de-8w-con-luz-calida-3000k-negra-para-interior-y-exterior-negro-_JM</t>
  </si>
  <si>
    <t>MLM5946146258</t>
  </si>
  <si>
    <t>Lámpara Solar Led Exterior De 2000 Vatios Negro</t>
  </si>
  <si>
    <t>ATOZELE</t>
  </si>
  <si>
    <t>atozele</t>
  </si>
  <si>
    <t>CNCHANGSHAXINGBEIKEJIYO1MXF</t>
  </si>
  <si>
    <t>38.2 cm</t>
  </si>
  <si>
    <t>https://articulo.mercadolibre.com.mx/MLM-5946146258-lampara-solar-led-exterior-de-2000-vatios-negro-_JM</t>
  </si>
  <si>
    <t>MLM5827856556</t>
  </si>
  <si>
    <t>Vanance Lampara Pared Arbotante Exterior Interiores Lámpara Cristal Luz Led Impermeable Moderna Decorativas Con 3 Modos Luz Cálida Blanca Neutra 24w Lamparas Para Jardin Sala Negro</t>
  </si>
  <si>
    <t>22.3 cm</t>
  </si>
  <si>
    <t>https://articulo.mercadolibre.com.mx/MLM-5827856556-vanance-lampara-pared-arbotante-exterior-interiores-lampara-cristal-luz-led-impermeable-moderna-decorativas-con-3-modos-luz-calida-blanca-neutra-24w-lamparas-para-jardin-sala-negro-_JM</t>
  </si>
  <si>
    <t>MLM2251549051</t>
  </si>
  <si>
    <t>Lámpara De Exterior Led Para Sobreponer 30 W Tecnolite Estructura Blanco</t>
  </si>
  <si>
    <t>35.4 cm</t>
  </si>
  <si>
    <t>https://articulo.mercadolibre.com.mx/MLM-2251549051-lampara-pared-fotocelda-30w-ip65-exterior-30esled520mv65b-blanco-_JM</t>
  </si>
  <si>
    <t>MLM5182337998</t>
  </si>
  <si>
    <t>Lámpara Solar De Pared Exterior Con Sensor Movimiento Luz</t>
  </si>
  <si>
    <t>15.3 cm</t>
  </si>
  <si>
    <t>https://articulo.mercadolibre.com.mx/MLM-5182337998-lampara-solar-de-pared-exterior-con-sensor-movimiento-luz-_JM</t>
  </si>
  <si>
    <t>MLM4242122352</t>
  </si>
  <si>
    <t>4pcs Lámpara De Pared Recargable Con Sensor De Movimiento Blanco</t>
  </si>
  <si>
    <t>AmillDSA</t>
  </si>
  <si>
    <t>amilldsa</t>
  </si>
  <si>
    <t>TIENDA ANMI</t>
  </si>
  <si>
    <t>https://articulo.mercadolibre.com.mx/MLM-4242122352-lampara-led-recargable-de-pared-4pcs-con-sensor-de-movimiento-y-luz-tricromatica-blanco-_JM</t>
  </si>
  <si>
    <t>MLM5195595106</t>
  </si>
  <si>
    <t>Vanance 24w Lámparas Pared Luz Cálida Interiores 3000k Muro Lampara Decorativa Lampara Led Exterior Lamparas Arbotante Modernas Color Negro</t>
  </si>
  <si>
    <t>https://articulo.mercadolibre.com.mx/MLM-5195595106-vanance-24w-lamparas-pared-luz-calida-interiores-3000k-muro-lampara-decorativa-lampara-led-exterior-lamparas-arbotante-modernas-color-negro-_JM</t>
  </si>
  <si>
    <t>MLM5254607290</t>
  </si>
  <si>
    <t>Lámpara De Led Pared Moderna Muro Luz Arbotante Exterior 6w</t>
  </si>
  <si>
    <t>4.9 cm</t>
  </si>
  <si>
    <t>https://articulo.mercadolibre.com.mx/MLM-5254607290-lampara-de-led-pared-moderna-muro-luz-arbotante-exterior-6w-_JM</t>
  </si>
  <si>
    <t>MLM5082809872</t>
  </si>
  <si>
    <t>3pack 50cm Luz De Led Clóset Usb Con Sensor Movimiento</t>
  </si>
  <si>
    <t>Motgom</t>
  </si>
  <si>
    <t>motgom</t>
  </si>
  <si>
    <t>52.4 cm</t>
  </si>
  <si>
    <t>7.8 cm</t>
  </si>
  <si>
    <t>https://articulo.mercadolibre.com.mx/MLM-5082809872-3pack-50cm-luz-de-led-closet-usb-con-sensor-movimiento-_JM</t>
  </si>
  <si>
    <t>MLM5872483224</t>
  </si>
  <si>
    <t>Lámpara De Pared Exterior Yzldm Led 4w Negro, Focos Exterior 3000k Luz Calida Ip65 Impermeable, Lamparas Modernas Pared Exterior, Iluminación Hogar Led Para Interior Y Exterior, Cafeterías, Tiendas</t>
  </si>
  <si>
    <t>YOO JIAE STORE</t>
  </si>
  <si>
    <t>0.17 kg</t>
  </si>
  <si>
    <t>https://articulo.mercadolibre.com.mx/MLM-5872483224-yzldm-lampara-de-pared-exterior-led-4w-negro-focos-exterior-3000k-luz-calida-ip65-impermeable-lamparas-modernas-pared-exterior-iluminacion-hogar-led-para-interior-y-exterior-cafeterias-tiendas-_JM</t>
  </si>
  <si>
    <t>MLM5330142612</t>
  </si>
  <si>
    <t>Vanance Lámparas De Pared Exterior Y Interiores Arbotante Modernas Decorativas 3000k Impermeable Lampara Luz Blanco Cálido Luces Jardin Decoracion 12w Color Negro</t>
  </si>
  <si>
    <t>https://articulo.mercadolibre.com.mx/MLM-5330142612-vanance-lamparas-de-pared-exterior-y-interiores-arbotante-modernas-decorativas-3000k-impermeable-lampara-luz-blanco-calido-luces-jardin-decoracion-12w-color-negro-_JM</t>
  </si>
  <si>
    <t>MLM3796450126</t>
  </si>
  <si>
    <t>2 Lamparas De Pared Led Moderna Para Exterior Interior Ip65</t>
  </si>
  <si>
    <t>Goodea</t>
  </si>
  <si>
    <t>goodea</t>
  </si>
  <si>
    <t>LOJA WUYE</t>
  </si>
  <si>
    <t>https://articulo.mercadolibre.com.mx/MLM-3796450126-2-lamparas-de-pared-led-moderna-para-exterior-interior-ip65-_JM</t>
  </si>
  <si>
    <t>MLM4395722744</t>
  </si>
  <si>
    <t>Lampara Pared Exterior Led 10w Luz Cálida Impermeable Ip65</t>
  </si>
  <si>
    <t>27.2 cm</t>
  </si>
  <si>
    <t>https://articulo.mercadolibre.com.mx/MLM-4395722744-lampara-pared-exterior-led-10w-luz-calida-impermeable-ip65-_JM</t>
  </si>
  <si>
    <t>MLM2596035579</t>
  </si>
  <si>
    <t>Lámpara De Pared Led Recargable Bylifity Control Remoto 8000mah 3 Temperaturas De Luz Montaje En Pared</t>
  </si>
  <si>
    <t>Bylifity</t>
  </si>
  <si>
    <t>bylifity</t>
  </si>
  <si>
    <t>BYLIFITY</t>
  </si>
  <si>
    <t>25.2 cm</t>
  </si>
  <si>
    <t>https://articulo.mercadolibre.com.mx/MLM-2596035579-bylifity-lampara-de-pared-led-interior-con-bateria-recargable-y-extraible-de-8000mah-1pz-lampara-de-3-colores-de-temperatura-y-regulable-con-pantalla-led-y-mando-a-distancia-luz-de-pared-dormitorio-_JM</t>
  </si>
  <si>
    <t>MLM4691195422</t>
  </si>
  <si>
    <t>Banna 30cm10pc Lampara Con Sensor Movimiento Luz De Led Clóset Usb Apto Para Armarios / Cocina / Dormitorio Ahorro Energético Y Batería De Larga Duración</t>
  </si>
  <si>
    <t>Banna</t>
  </si>
  <si>
    <t>banna</t>
  </si>
  <si>
    <t>KEIYANYING</t>
  </si>
  <si>
    <t>39.4 cm</t>
  </si>
  <si>
    <t>13.1 cm</t>
  </si>
  <si>
    <t>1.23 kg</t>
  </si>
  <si>
    <t>https://articulo.mercadolibre.com.mx/MLM-4691195422-lampara-tira-led-banna-con-sensor-de-movimiento-para-closet-y-cocina-pack-de-10-luces-inalambricas-usb-_JM</t>
  </si>
  <si>
    <t>MLM2897472561</t>
  </si>
  <si>
    <t>Lampara Solar Led Pared Exterior Sensor Movimiento Moderna Negro</t>
  </si>
  <si>
    <t>https://articulo.mercadolibre.com.mx/MLM-2897472561-lampara-solar-led-pared-exterior-sensor-movimiento-moderna-negro-_JM</t>
  </si>
  <si>
    <t>MLM5058098230</t>
  </si>
  <si>
    <t>Arbotante Exterior Con 2 Spots, Lámparas Negro</t>
  </si>
  <si>
    <t>FIX FERRETERIAS</t>
  </si>
  <si>
    <t>0.49 kg</t>
  </si>
  <si>
    <t>https://articulo.mercadolibre.com.mx/MLM-5058098230-arbotante-exterior-2-spots-sin-focos-volteck-arb-210s-negro-_JM</t>
  </si>
  <si>
    <t>MLM6154227144</t>
  </si>
  <si>
    <t>Lámpara De Pared Decorativas Para Baño Sala Dormitorio Con 3 Modos De Luz Incluye Luz Blanca 12w Color Blanco-waikil</t>
  </si>
  <si>
    <t>SAOSAOFRAN</t>
  </si>
  <si>
    <t>https://articulo.mercadolibre.com.mx/MLM-6154227144-lampara-de-pared-decorativas-para-bano-sala-dormitorio-con-3-modos-de-luz-incluye-luz-blanca-12w-color-blanco-waikil-_JM</t>
  </si>
  <si>
    <t>MLM5307089224</t>
  </si>
  <si>
    <t>9pzs Con Sensor Movimiento 30cm Luz De Led Clóset Usb Blanca</t>
  </si>
  <si>
    <t>YASIMINGMXF</t>
  </si>
  <si>
    <t>35.1 cm</t>
  </si>
  <si>
    <t>7.7 cm</t>
  </si>
  <si>
    <t>https://articulo.mercadolibre.com.mx/MLM-5307089224-9pzs-con-sensor-movimiento-30cm-luz-de-led-closet-usb-blanca-_JM</t>
  </si>
  <si>
    <t>MLM2307688734</t>
  </si>
  <si>
    <t>Lámpara De Pared Exteriores Led Para Impermeable Moderna</t>
  </si>
  <si>
    <t>https://articulo.mercadolibre.com.mx/MLM-2307688734-lampara-de-pared-exteriores-led-para-impermeable-moderna-_JM</t>
  </si>
  <si>
    <t>MLM5319657180</t>
  </si>
  <si>
    <t>Time4buy - 6pzs Lámpara Led Pared Luces Iluminacion Exterior Interiore , Pared Moderna, Ip65 Impermeable, Para Porche, Escaleras, Pasillo(luz Blanco) Negro</t>
  </si>
  <si>
    <t>0.64 kg</t>
  </si>
  <si>
    <t>https://articulo.mercadolibre.com.mx/MLM-5319657180-time4buy-6pzs-lampara-led-pared-luces-iluminacion-exterior-interiore-11-leds-superior-e-inferior-75x40x42-mm-pared-moderna-ip65-impermeable-para-porche-escaleras-pasillo-luz-fria-negro-_JM</t>
  </si>
  <si>
    <t>MLM5461697106</t>
  </si>
  <si>
    <t>Dehobo Lamparas De Moderna Pared E27 Exteriores Lamparas Decorativas Impermeable Arbotantes Iluminación Hacia Arriba Y... Negro</t>
  </si>
  <si>
    <t>CNSIMINGMXMXF</t>
  </si>
  <si>
    <t>https://articulo.mercadolibre.com.mx/MLM-5461697106-dehobo-lamparas-de-moderna-pared-e27-exterioreslamparas-decorativas-impermeable-arbotantes-iluminacion-hacia-arriba-y-negro-_JM</t>
  </si>
  <si>
    <t>MLM4992767904</t>
  </si>
  <si>
    <t>Dehobo Lamparas Led Para Decorativas Jardines Exteriores 8w 6000w Negro Lamparas Decorativas Iluminacion Impermeable Lampara Pared Modernos Exteriores Y Interiores Comedores Jardin Sala Dormitorio</t>
  </si>
  <si>
    <t>https://articulo.mercadolibre.com.mx/MLM-4992767904-dehobo-lamparas-led-para-decorativas-jardines-exteriores-8w-6000w-negro-lamparas-decorativas-iluminacion-impermeable-lampara-pared-modernos-exteriores-y-interiores-comedores-jardin-sala-dormitorio-_JM</t>
  </si>
  <si>
    <t>MLM5266422476</t>
  </si>
  <si>
    <t>Lámpara Solar Led De Pared Exterior 2 Pzs Con Sensor De Movimiento 3 Modos Luz Automática Impermeable Ip65 Para Jardín Patio Terraza Seguridad Ahorro Energía Negro</t>
  </si>
  <si>
    <t>BAZNO</t>
  </si>
  <si>
    <t>bazno</t>
  </si>
  <si>
    <t>https://articulo.mercadolibre.com.mx/MLM-5266422476-lampara-solar-led-de-pared-exterior-2-pzs-con-sensor-de-movimiento-3-modos-luz-automatica-impermeable-ip65-para-jardin-patio-terraza-seguridad-ahorro-energia-negro-_JM</t>
  </si>
  <si>
    <t>MLM4686642616</t>
  </si>
  <si>
    <t>Banna 20cm8pcs Lampara Con Sensor Movimiento Luz De Led Clóset Usb Apto Para Armarios / Cocina / Dormitorio Ahorro Energético Y Batería De Larga Duración</t>
  </si>
  <si>
    <t>3.4 cm</t>
  </si>
  <si>
    <t>https://articulo.mercadolibre.com.mx/MLM-4686642616-banna-20cm8pcs-lampara-con-sensor-movimiento-luz-de-led-closet-usb-apto-para-armarios-cocina-dormitorio-ahorro-energetico-y-bateria-de-larga-duracion-_JM</t>
  </si>
  <si>
    <t>MLM3648526030</t>
  </si>
  <si>
    <t>Lámpara De Luz Lampara Arbotante Lamparas Modernas 110v-265v</t>
  </si>
  <si>
    <t>https://articulo.mercadolibre.com.mx/MLM-3648526030-lampara-de-luz-lampara-arbotante-lamparas-modernas-110v-265v-_JM</t>
  </si>
  <si>
    <t>MLM5782417348</t>
  </si>
  <si>
    <t>Lamparas De Pared Decorativas Recargable Exterior Jardin 4pc Negro</t>
  </si>
  <si>
    <t>0.5 kg</t>
  </si>
  <si>
    <t>https://articulo.mercadolibre.com.mx/MLM-5782417348-lamparas-de-pared-decorativas-recargable-exterior-jardin-4pc-negro-_JM</t>
  </si>
  <si>
    <t>MLM5399295480</t>
  </si>
  <si>
    <t>Time4buy Luz Led Clóset 30cm Sensor Movimiento Recargable Blanco Pack 4</t>
  </si>
  <si>
    <t>https://articulo.mercadolibre.com.mx/MLM-5399295480-time4buy-luz-led-closet-30cm-sensor-movimiento-recargable-blanco-pack-4-_JM</t>
  </si>
  <si>
    <t>MLM2049731759</t>
  </si>
  <si>
    <t>Farol Pared Exterior Negro E-27 Modelo España Aluminio  Negro</t>
  </si>
  <si>
    <t>Wanergy</t>
  </si>
  <si>
    <t>wanergy</t>
  </si>
  <si>
    <t>VIELTRUMSADECVVIELTRUMSAD</t>
  </si>
  <si>
    <t>https://articulo.mercadolibre.com.mx/MLM-2049731759-farol-pared-exterior-negro-e-27-modelo-espana-aluminio-negro-_JM</t>
  </si>
  <si>
    <t>MLM2876651563</t>
  </si>
  <si>
    <t>6500k Lámpara Solar De Pared Exteriores Sensor Luz 4000 Mah</t>
  </si>
  <si>
    <t>YHDZSW</t>
  </si>
  <si>
    <t>yhdzsw</t>
  </si>
  <si>
    <t>22.7 cm</t>
  </si>
  <si>
    <t>0.14 kg</t>
  </si>
  <si>
    <t>https://articulo.mercadolibre.com.mx/MLM-2876651563-6500k-lampara-solar-de-pared-exteriores-sensor-luz-4000-mah-_JM</t>
  </si>
  <si>
    <t>MLM5120682744</t>
  </si>
  <si>
    <t>Lámpara De Pared Para Espejo De Baño  Luz Led Tricolor 60cm</t>
  </si>
  <si>
    <t>64.4 cm</t>
  </si>
  <si>
    <t>https://articulo.mercadolibre.com.mx/MLM-5120682744-lampara-de-pared-para-espejo-de-bano-luz-led-tricolor-60cm-_JM</t>
  </si>
  <si>
    <t>MLM2637345431</t>
  </si>
  <si>
    <t>Dehobo Luz Cálida 3000k 10w Impermeable Para Exteriores,lampara De Pared Decorativa Arbotantes Minimalistas Moderna Led Minimalista Lamparas De Pared Impermeable Moderna Jardin Negro</t>
  </si>
  <si>
    <t>28.6 cm</t>
  </si>
  <si>
    <t>0.23 kg</t>
  </si>
  <si>
    <t>https://articulo.mercadolibre.com.mx/MLM-2637345431-dehobo-lamparas-moderna-led-de-pared-luz-calida-3000k-10w-ip65-impermeable-para-exteriorinterior-para-de-pared-decorativa-arbotantes-minimalistas-lamparas-de-pared-jardin-negro-_JM</t>
  </si>
  <si>
    <t>MLM5894842362</t>
  </si>
  <si>
    <t>Lámpara De Pared Larga Tira 60cm Interior Moderno Adjustable Tricolor Negro Espejo Bano Luz,lampara Baño,espejos Bano Luz</t>
  </si>
  <si>
    <t>CNSOIARLLTMXF</t>
  </si>
  <si>
    <t>61.2 cm</t>
  </si>
  <si>
    <t>https://articulo.mercadolibre.com.mx/MLM-5894842362-lampara-de-pared-luz-moderno-led-espejo-de-bano-3-modos-60cm-arbotante-led-moderna-interior-negro-_JM</t>
  </si>
  <si>
    <t>MLM4299730802</t>
  </si>
  <si>
    <t>Gosun® Lámpara De Pared Led 12w Impermeable Foco Flotante Estructura Negro - Luz Blanca Y Fría</t>
  </si>
  <si>
    <t>https://articulo.mercadolibre.com.mx/MLM-4299730802-gosun-lampara-de-pared-led-12w-impermeable-foco-flotante-estructura-negro-luz-blanca-y-fria-_JM</t>
  </si>
  <si>
    <t>MLM4631239894</t>
  </si>
  <si>
    <t>Dehobo Lámparas Moderna Led De Pared Decorativa Interior Exterior 8w Luz Cálida 3000k,lamparas Pared Impermeable... Negro</t>
  </si>
  <si>
    <t>https://articulo.mercadolibre.com.mx/MLM-4631239894-dehobo-lamparas-moderna-led-de-pared-decorativa-8w-luz-calida-3000k-ip65-impermeable-lamparas-para-bano-arbotantes-interior-exterior-lamparas-decorativas-luces-jardin-lamparas-para-bano-negro-_JM</t>
  </si>
  <si>
    <t>MLM3595869572</t>
  </si>
  <si>
    <t>Lámpara De Pared Interior Y Exterior Moderna Led Impermeable</t>
  </si>
  <si>
    <t>https://articulo.mercadolibre.com.mx/MLM-3595869572-lampara-de-pared-interior-y-exterior-moderna-led-impermeable-_JM</t>
  </si>
  <si>
    <t>MLM4555669284</t>
  </si>
  <si>
    <t>Dehobo 2pcs Lampara Pared Exterior Led 3000k,iluminacion Modernas Impermeable Exterior,los Apliques De Pared Impermeables Son Adecuados Para Decorativas Instalar En Puertas Y Patios Negro</t>
  </si>
  <si>
    <t>https://articulo.mercadolibre.com.mx/MLM-4555669284-dehobo-2pcs-lampara-pared-exteriores-led-3000k-calidailuminacion-modernas-ip65-impermeable-exteriorlampara-apliques-de-negro-_JM</t>
  </si>
  <si>
    <t>MLM3714875690</t>
  </si>
  <si>
    <t>Lámpara Led Solar Exterior Recargable Para Pared 4 Piezas</t>
  </si>
  <si>
    <t>COMMUNITYCOMMUNITY</t>
  </si>
  <si>
    <t>https://articulo.mercadolibre.com.mx/MLM-3714875690-lampara-led-solar-exterior-recargable-para-pared-4-piezas-amarillo-_JM</t>
  </si>
  <si>
    <t>MLM4994238530</t>
  </si>
  <si>
    <t>Naterhome 4 Pcs Lámpara Pared Luces Cálida Interiores Exterior Muro Color Negro 6w Regulador De Luz Luz Arbotante Lamparas Moderna Dorado</t>
  </si>
  <si>
    <t>NATERHOME</t>
  </si>
  <si>
    <t>naterhome</t>
  </si>
  <si>
    <t>VIVATREND</t>
  </si>
  <si>
    <t>https://articulo.mercadolibre.com.mx/MLM-4994238530-4-pack-6w-lamparas-de-pared-naterhome-led-para-interiores-y-exteriores-con-luz-calida-dorado-_JM</t>
  </si>
  <si>
    <t>MLM5190285316</t>
  </si>
  <si>
    <t>16w Lámpara De Pared Led Exterior De Lámpara Arbotante Ip66 Negro Calida Luzcasa Bw</t>
  </si>
  <si>
    <t>LUZCASA</t>
  </si>
  <si>
    <t>luzcasa</t>
  </si>
  <si>
    <t>LUZCASAMX</t>
  </si>
  <si>
    <t>8.3 cm</t>
  </si>
  <si>
    <t>https://articulo.mercadolibre.com.mx/MLM-5190285316-16w-lampara-de-pared-led-exterior-de-lampara-arbotante-ip66-negro-calida-luzcasa-bw-_JM</t>
  </si>
  <si>
    <t>MLM2465438627</t>
  </si>
  <si>
    <t>Estevez Luminario Led De Cortesía Wall-rectangle 1w 2700k</t>
  </si>
  <si>
    <t>Estevez</t>
  </si>
  <si>
    <t>estevez</t>
  </si>
  <si>
    <t>LUZDECO OFICIAL</t>
  </si>
  <si>
    <t>1.35 kg</t>
  </si>
  <si>
    <t>https://articulo.mercadolibre.com.mx/MLM-2465438627-estevez-luminario-led-de-cortesia-wall-rectangle-1w-2700k-_JM</t>
  </si>
  <si>
    <t>MLM5259428404</t>
  </si>
  <si>
    <t>Sonheo® Lámparas Decorativas Moderna De Pared Lámparas Para Baño Sala Dormitorio Lamparas De Pared Interior Con 3 Modos De Luz Incluye Luz Blanca, Cálida Y Neutra Celosías</t>
  </si>
  <si>
    <t>CHEFGDCBA95181</t>
  </si>
  <si>
    <t>https://articulo.mercadolibre.com.mx/MLM-5259428404-sonheo-lamparas-decorativas-moderna-de-pared-lamparas-para-bano-sala-dormitorio-lamparas-de-pared-interior-con-3-modos-de-luz-incluye-luz-blanca-calida-y-neutra-celosias-_JM</t>
  </si>
  <si>
    <t>MLM2950997005</t>
  </si>
  <si>
    <t>Lámparas Para Pared Exterior Y Interiores Redondo Arbotante</t>
  </si>
  <si>
    <t>https://articulo.mercadolibre.com.mx/MLM-2950997005-lamparas-para-pared-exterior-y-interiores-redondo-arbotante-_JM</t>
  </si>
  <si>
    <t>MLM3463167806</t>
  </si>
  <si>
    <t>2pz Vintage Lámpara De Pared Decorativa Exterior Intercordón</t>
  </si>
  <si>
    <t>https://articulo.mercadolibre.com.mx/MLM-3463167806-2pz-vintage-lampara-de-pared-decorativa-exterior-intercordon-_JM</t>
  </si>
  <si>
    <t>MLM4363605036</t>
  </si>
  <si>
    <t>Lámparas De Pared Modernas Decorativas Interior Tres Colores</t>
  </si>
  <si>
    <t>Findea</t>
  </si>
  <si>
    <t>findea</t>
  </si>
  <si>
    <t>FINEDEA STORE</t>
  </si>
  <si>
    <t>0.69 kg</t>
  </si>
  <si>
    <t>https://articulo.mercadolibre.com.mx/MLM-4363605036-lamparas-de-pared-modernas-decorativas-interior-tres-colores-_JM</t>
  </si>
  <si>
    <t>MLM2703554681</t>
  </si>
  <si>
    <t>Dehobo Lamparas Para Baño Negro,ip65 Impermeable,diseño Rectangular Simple Lampara Para Jardin Hogar Lamparas De Pared Interior/exterior Para Garaje, Balcón, Patio.</t>
  </si>
  <si>
    <t>2 kg</t>
  </si>
  <si>
    <t>https://articulo.mercadolibre.com.mx/MLM-2703554681-dehobo-lampara-pared-exterior-led-modernalamparas-para-bano-negroip65-impermeablediseno-rectangular-simple-lampara-para-jardin-hogar-lamparas-de-pared-interiorexterior-para-garaje-balcon-patio-_JM</t>
  </si>
  <si>
    <t>MLM2774746437</t>
  </si>
  <si>
    <t>6 Pzs Con Sensor Movimiento 30cm Luz De Led Clóset Usb 3000k</t>
  </si>
  <si>
    <t>Genérico,lamparas de pared,lámparas de pared,lamparas para cocina,lampara para cocina,lampara de pared interior,lampara</t>
  </si>
  <si>
    <t>generico,lamparas de pared,lamparas de pared,lamparas para cocina,lampara para cocina,lampara de pared interior,lampara</t>
  </si>
  <si>
    <t>JIHEHONGNING</t>
  </si>
  <si>
    <t>https://articulo.mercadolibre.com.mx/MLM-2774746437-6-pzs-con-sensor-movimiento-30cm-luz-de-led-closet-usb-3000k-_JM</t>
  </si>
  <si>
    <t>MLM2038522880</t>
  </si>
  <si>
    <t>Lámpara De Pared De Modernas Para El Hogar</t>
  </si>
  <si>
    <t>PIKAPIKAMX1</t>
  </si>
  <si>
    <t>17.4 cm</t>
  </si>
  <si>
    <t>https://articulo.mercadolibre.com.mx/MLM-2038522880-lampara-de-pared-de-modernas-para-el-hogar-_JM</t>
  </si>
  <si>
    <t>MLM2802901981</t>
  </si>
  <si>
    <t>Judeng N1281 Lámpara De Pared Exterior Impermeable Flotante Moderna</t>
  </si>
  <si>
    <t>https://articulo.mercadolibre.com.mx/MLM-2802901981-aplique-led-de-pared-judeng-20-w-con-luz-calida-3000-k-_JM</t>
  </si>
  <si>
    <t>MLM4504316564</t>
  </si>
  <si>
    <t>Lamparas De Pared Inalambricas Recargables Led 13 Color Rgb</t>
  </si>
  <si>
    <t>CNYINYUANKEJIMXF</t>
  </si>
  <si>
    <t>https://articulo.mercadolibre.com.mx/MLM-4504316564-lamparas-de-pared-inalambricas-recargables-led-13-color-rgb-_JM</t>
  </si>
  <si>
    <t>MLM5872484566</t>
  </si>
  <si>
    <t>2pcs Lámparas De Pared Exterior Y Interiores Color Negro Redondo Arbotante 20w Modernas Decorativas 3000k Luz Blanco Cálido Impermeable Lámparas Para Jardín Sala Baño</t>
  </si>
  <si>
    <t>YAGO SHOP</t>
  </si>
  <si>
    <t>https://articulo.mercadolibre.com.mx/MLM-5872484566-pack-de-2-arbotantes-modernos-de-pared-impermeables-para-exterior-e-interior-luz-blanca-calida-blanco-_JM</t>
  </si>
  <si>
    <t>MLM4748446476</t>
  </si>
  <si>
    <t>Sjrohe® Lámpara Solar De Pared Exterior De 234 Led Con Sensor De Movimiento Luz 3 Modos Estructura De Focos Lampara... Negro</t>
  </si>
  <si>
    <t>SJROHE</t>
  </si>
  <si>
    <t>sjrohe</t>
  </si>
  <si>
    <t>ELEL20240404131330</t>
  </si>
  <si>
    <t>https://articulo.mercadolibre.com.mx/MLM-4748446476-sjrohe-lampara-solar-de-pared-exterior-de-234-led-con-sensor-de-movimiento-luz-3-modos-estructura-de-focos-lampara-negro-_JM</t>
  </si>
  <si>
    <t>MLM2925884659</t>
  </si>
  <si>
    <t>6pzs Luz De Led Clóset Lámpara Armario Noche Recargable Usb</t>
  </si>
  <si>
    <t>YOCHI</t>
  </si>
  <si>
    <t>yochi</t>
  </si>
  <si>
    <t>YOCHIMXF</t>
  </si>
  <si>
    <t>https://articulo.mercadolibre.com.mx/MLM-2925884659-6pzs-luz-de-led-closet-lampara-armario-noche-recargable-usb-_JM</t>
  </si>
  <si>
    <t>MLM4591088710</t>
  </si>
  <si>
    <t>Lámpara Plafón Led Rgbw Recargable 4 Unidades Control Remoto Tipo C Bylifity Blanco</t>
  </si>
  <si>
    <t>https://articulo.mercadolibre.com.mx/MLM-4591088710-bylifity-4pzs-rgb-recargable-puck-luces-con-mando-a-distancia-bajo-el-gabinete-de-iluminacion-inalambrica-regulable-blanco-_JM</t>
  </si>
  <si>
    <t>MLM5789505376</t>
  </si>
  <si>
    <t>3 Lampara Led Recargable Pared Noche Clóset Interior Remoto Lampara Led Recargable,lampara De Pared Recargable,lamparas De Pared Interior,lampara Arbotante,luz De Noche,focos Recargables Led Blanco</t>
  </si>
  <si>
    <t>DIXI GLOBAL</t>
  </si>
  <si>
    <t>https://articulo.mercadolibre.com.mx/MLM-5789505376-pack-3-lamparas-led-recargables-para-pared-con-sensor-de-movimiento-y-control-remoto-blanco-_JM</t>
  </si>
  <si>
    <t>MLM2619294705</t>
  </si>
  <si>
    <t>Lámpara Pared Exterior Arbotante Led Para Muros Sobreponer Negra Anticorrosiva Luz Cálida 4w 2700k Ip65 Para Fachadas Y Jardines Lámpara De Cortesía Illux Beam Ml-9908.n27 Negro</t>
  </si>
  <si>
    <t>Illux</t>
  </si>
  <si>
    <t>illux</t>
  </si>
  <si>
    <t>ILLUX MEXICO</t>
  </si>
  <si>
    <t>4.7 cm</t>
  </si>
  <si>
    <t>https://articulo.mercadolibre.com.mx/MLM-2619294705-lampara-de-cortesia-pared-exterior-led-arbotante-anticorrosiva-luces-escalera-luz-calida-4w-2700k-ip65-fachadas-jardines-illux-beam-ml-9908n27-negro-_JM</t>
  </si>
  <si>
    <t>MLM5074455104</t>
  </si>
  <si>
    <t>Dehobo Lamparas Banos Modernas,3000k Ip65 Impermeable Negro,lamparas De Decorativas Exterior Pared Iluminacion Jardin, Lamparas Modernas Para Sala,cocina, Escaleras,baño Interior Y Exterior</t>
  </si>
  <si>
    <t>CNFONWAYMXFMXF</t>
  </si>
  <si>
    <t>https://articulo.mercadolibre.com.mx/MLM-5074455104-lampara-de-pared-led-dehobo-8w-y-3000k-negra-para-exterior-e-interior-negro-_JM</t>
  </si>
  <si>
    <t>MLM3195185101</t>
  </si>
  <si>
    <t>Lámpara Led De Tocador 30 Cm, Color Ajustable, Giratoria 330°, Luz Tricolor, Diseño Moderno Blanco Para Interiores. Branco</t>
  </si>
  <si>
    <t>https://articulo.mercadolibre.com.mx/MLM-3195185101-yzldm-lampara-de-bano-moderna-blanca-luz-led-de-tocador-de-30-cm-3-color-luz-tricolor-giratoria-de-330-adecuada-branco-_JM</t>
  </si>
  <si>
    <t>MLM5138602098</t>
  </si>
  <si>
    <t>Cortes Luz Led Inteligente Recargable Con Sensor De Movimiento Magnética Para Pasillo, Dormitorio Y Cocina, 2 Luces Cálidas, 1 Luz Blanca, 3 Cables Usb Y Cinta Adhesiva</t>
  </si>
  <si>
    <t>CORTES</t>
  </si>
  <si>
    <t>cortes</t>
  </si>
  <si>
    <t>OO20250517141516</t>
  </si>
  <si>
    <t>https://articulo.mercadolibre.com.mx/MLM-5138602098-set-de-3-lamparas-led-inalambricas-con-sensor-de-movimiento-para-pasillo-y-cocina-_JM</t>
  </si>
  <si>
    <t>MLM4097175762</t>
  </si>
  <si>
    <t>Lámparas Exteriores Led Solar Farol Pared Broncineo</t>
  </si>
  <si>
    <t>KENDIM SHOP</t>
  </si>
  <si>
    <t>32.3 cm</t>
  </si>
  <si>
    <t>https://articulo.mercadolibre.com.mx/MLM-4097175762-lamparas-exteriores-led-solar-farol-pared-broncineo-_JM</t>
  </si>
  <si>
    <t>MLM3558680886</t>
  </si>
  <si>
    <t>Lampara De Pared Madera Con Sensor Movimiento Recargable 2pc</t>
  </si>
  <si>
    <t>Finedea</t>
  </si>
  <si>
    <t>finedea</t>
  </si>
  <si>
    <t>CNFINEDEAMXF</t>
  </si>
  <si>
    <t>https://articulo.mercadolibre.com.mx/MLM-3558680886-lampara-de-pared-madera-con-sensor-movimiento-recargable-2pc-_JM</t>
  </si>
  <si>
    <t>MLM3093418243</t>
  </si>
  <si>
    <t>Lámpara De Pared De Interior Decorativa Moderna Negro Baño Negro</t>
  </si>
  <si>
    <t>Allin</t>
  </si>
  <si>
    <t>allin</t>
  </si>
  <si>
    <t>MINSHOP</t>
  </si>
  <si>
    <t>https://articulo.mercadolibre.com.mx/MLM-3093418243-lampara-de-pared-de-interior-decorativa-moderna-negro-bano-negro-_JM</t>
  </si>
  <si>
    <t>MLM5669269832</t>
  </si>
  <si>
    <t>Pack De 2 Lámparas De Pared Inalámbricas Sondiko Con Control Remoto Y Batería Recargable Negro-001</t>
  </si>
  <si>
    <t>Sondiko</t>
  </si>
  <si>
    <t>sondiko</t>
  </si>
  <si>
    <t>HDFHAGEBC88862</t>
  </si>
  <si>
    <t>0.52 kg</t>
  </si>
  <si>
    <t>https://articulo.mercadolibre.com.mx/MLM-5669269832-pack-de-2-lamparas-de-pared-inalambricas-sondiko-con-control-remoto-y-bateria-recargable-negro-001-_JM</t>
  </si>
  <si>
    <t>MLM4427668238</t>
  </si>
  <si>
    <t>Lámparas De Pared Rgb Noche Recargables Arbotante Led 2pcs</t>
  </si>
  <si>
    <t>https://articulo.mercadolibre.com.mx/MLM-4427668238-lamparas-de-pared-rgb-noche-recargables-arbotante-led-2pcs-_JM</t>
  </si>
  <si>
    <t>MLM2618768955</t>
  </si>
  <si>
    <t>20w Lámpara De Pared Led Exterior De Lámpara Arbotante Ip66 Calida</t>
  </si>
  <si>
    <t>https://articulo.mercadolibre.com.mx/MLM-2618768955-20w-lampara-de-pared-led-exterior-de-lampara-arbotante-ip66-calida-_JM</t>
  </si>
  <si>
    <t>MLM5307019414</t>
  </si>
  <si>
    <t>9pzs Con Sensor Movimiento 30cm Luz De Led Clóset Usb 3000k</t>
  </si>
  <si>
    <t>https://articulo.mercadolibre.com.mx/MLM-5307019414-9pzs-con-sensor-movimiento-30cm-luz-de-led-closet-usb-3000k-_JM</t>
  </si>
  <si>
    <t>MLM5895128008</t>
  </si>
  <si>
    <t>Lámpara De Pared Led Moderna Dorada 51 Cm, Luz Tricolor Para Interior Dorado</t>
  </si>
  <si>
    <t>0.92 kg</t>
  </si>
  <si>
    <t>https://articulo.mercadolibre.com.mx/MLM-5895128008-lampara-de-pared-led-moderna-dorada-51-cm-luz-tricolor-para-interior-dorado-_JM</t>
  </si>
  <si>
    <t>MLM3775729218</t>
  </si>
  <si>
    <t>3 Lampara Led Recargable Pared Noche Clóset Interior Remoto</t>
  </si>
  <si>
    <t>TIENDA YUNFEI</t>
  </si>
  <si>
    <t>https://articulo.mercadolibre.com.mx/MLM-3775729218-3-lampara-led-recargable-pared-noche-closet-interior-remoto-_JM</t>
  </si>
  <si>
    <t>MLM5670508142</t>
  </si>
  <si>
    <t>Sondiko Aplique Inalámbrico Control Remoto Recargable 2pcs Color Negro</t>
  </si>
  <si>
    <t>https://articulo.mercadolibre.com.mx/MLM-5670508142-sondiko-aplique-inalambrico-control-remoto-recargable-2pcs-color-negro-_JM</t>
  </si>
  <si>
    <t>MLM5224330182</t>
  </si>
  <si>
    <t>Lámparas De Pared Exterior Lámparas Decorativas Modernas Para Exteriores Jardin Impermeable Incluye 4 Bombillas Y 3 Modos De Color De Luz 2pzs Rectangular Sonheo</t>
  </si>
  <si>
    <t>23.2 cm</t>
  </si>
  <si>
    <t>https://articulo.mercadolibre.com.mx/MLM-5224330182-sonheo-lamparas-de-pared-exterior-lamparas-decorativas-modernas-para-exteriores-jardin-impermeable-incluye-4-bombillas-y-3-modos-de-color-de-luz-2pzs-rectangular-_JM</t>
  </si>
  <si>
    <t>MLM4606490566</t>
  </si>
  <si>
    <t>2pc Lampara De Pared Solar Sensor Ip65 Farol Exterior Jardin Faroles Para Exterior,faroles Exteriores,farol... Blanco Caliente</t>
  </si>
  <si>
    <t>https://articulo.mercadolibre.com.mx/MLM-4606490566-pack-de-2-faroles-solares-led-goodea-para-jardin-con-sensor-de-movimiento-carga-dual-y-luz-calida-blanco-caliente-_JM</t>
  </si>
  <si>
    <t>MLM5068683336</t>
  </si>
  <si>
    <t>Lampara Pared Exterior Moderna Arbotantes Led Moderna 12w Beige</t>
  </si>
  <si>
    <t>Impermeable</t>
  </si>
  <si>
    <t>impermeable</t>
  </si>
  <si>
    <t>ESPECIALES DIARIOS</t>
  </si>
  <si>
    <t>https://articulo.mercadolibre.com.mx/MLM-5068683336-lampara-pared-led-exterior-moderna-impermeable-arbotante-12w-beige-_JM</t>
  </si>
  <si>
    <t>MLM2862505489</t>
  </si>
  <si>
    <t>4pack 60cm Luz De Led Clóset Usb Con Sensor Movimiento</t>
  </si>
  <si>
    <t>CCEFDHBAG78355</t>
  </si>
  <si>
    <t>63.6 cm</t>
  </si>
  <si>
    <t>https://articulo.mercadolibre.com.mx/MLM-2862505489-4pack-60cm-luz-de-led-closet-usb-con-sensor-movimiento-_JM</t>
  </si>
  <si>
    <t>MLM6055459434</t>
  </si>
  <si>
    <t>Luces Solares De Pared Exterior Con Sensor Paquete 2 Unida Negro</t>
  </si>
  <si>
    <t>Solpex</t>
  </si>
  <si>
    <t>solpex</t>
  </si>
  <si>
    <t>JI20260622232703</t>
  </si>
  <si>
    <t>https://articulo.mercadolibre.com.mx/MLM-6055459434-luces-solares-de-pared-exterior-con-sensor-paquete-2-unida-negro-_JM</t>
  </si>
  <si>
    <t>MLM5350389266</t>
  </si>
  <si>
    <t>Time4buy® 2pzc Lámpara Led Exterior Jardin Pared Interiores Luz Cálida Blanco,ip65 Impermeable Iluminación Exterior Para Jardín, Patio, Terraza, Inicio(luz Blancao Negro</t>
  </si>
  <si>
    <t>https://articulo.mercadolibre.com.mx/MLM-5350389266-time4buy-2pzc-lampara-led-exterior-jardin-pared-interiores-luz-calida-blancoip65-impermeable-iluminacion-exterior-para-jardin-patio-terraza-inicio-blanca-fria-negro-_JM</t>
  </si>
  <si>
    <t>MLM2941108515</t>
  </si>
  <si>
    <t>Lámpara De Pared Exterior Led Negra Impermeable Ip65 Moderna</t>
  </si>
  <si>
    <t>https://articulo.mercadolibre.com.mx/MLM-2941108515-lampara-de-pared-exterior-led-negra-impermeable-ip65-moderna-_JM</t>
  </si>
  <si>
    <t>MLM4975069868</t>
  </si>
  <si>
    <t>FANGFEIFURONGMINGCHARUSUKUIRAN</t>
  </si>
  <si>
    <t>0.84 kg</t>
  </si>
  <si>
    <t>https://articulo.mercadolibre.com.mx/MLM-4975069868-6-pzs-con-sensor-movimiento-30cm-luz-de-led-closet-usb-3000k-_JM</t>
  </si>
  <si>
    <t>MLM2734551177</t>
  </si>
  <si>
    <t>Lámparas De Pared Rgb Noche Recargables Arbotante Led 2pcs Negro</t>
  </si>
  <si>
    <t>Mektor</t>
  </si>
  <si>
    <t>mektor</t>
  </si>
  <si>
    <t>CH BOA MED ONLINE</t>
  </si>
  <si>
    <t>9.3 cm</t>
  </si>
  <si>
    <t>https://articulo.mercadolibre.com.mx/MLM-2734551177-lamparas-de-pared-rgb-noche-recargables-arbotante-led-2pcs-lampara-led-rgb-recargables-lampara-de-noche-led-negro-lamparas-decorativas-pared-focos-para-la-noche-con-control-remoto-_JM</t>
  </si>
  <si>
    <t>MLM5119713970</t>
  </si>
  <si>
    <t>Dehobo Lámpara De Tocador Moderna De 3 Luces, 30cm Negro Lámpara De Pared De Baño Sobre Espejo Accesorio De Iluminación De Tocador Para Mesa De Dessing, Vestidor, Baño</t>
  </si>
  <si>
    <t>31.2 cm</t>
  </si>
  <si>
    <t>https://articulo.mercadolibre.com.mx/MLM-5119713970-dehobo-lampara-de-techolampara-de-tocador-led-moderna-de-3-luces-30cm-negro-lampara-de-pared-de-bano-sobre-espejo-accesorio-de-iluminacion-de-tocador-para-mesa-de-dessing-vestidor-bano-_JM</t>
  </si>
  <si>
    <t>MLM6004965058</t>
  </si>
  <si>
    <t>Time4buy 2pzs Lámpara De Pared Led Aluminio 12w Exteriores Interior Carcasa Robusta Y Duradera, Ip65 Impermeable, Para Jardín, Patio, Terraza, Inicio (blanca Luz Cálida) Blanco</t>
  </si>
  <si>
    <t>https://articulo.mercadolibre.com.mx/MLM-6004965058-time4buy-2pzs-lampara-de-pared-led-aluminio-12w-exteriores-interior-carcasa-robusta-y-duradera-ip65-impermeable-para-jardin-patio-terraza-inicio-blanca-luz-calida-blanco-_JM</t>
  </si>
  <si>
    <t>MLM5902900856</t>
  </si>
  <si>
    <t>Lampara De Pared 4 Luces Pantalla De Vidrio Negro Mate Negro Mate</t>
  </si>
  <si>
    <t>Home Decorators Collection</t>
  </si>
  <si>
    <t>home decorators collection</t>
  </si>
  <si>
    <t>BLOWTECHNOLOGIES</t>
  </si>
  <si>
    <t>2.08 kg</t>
  </si>
  <si>
    <t>https://articulo.mercadolibre.com.mx/MLM-5902900856-lampara-de-pared-4-luces-pantalla-de-vidrio-negro-mate-negro-mate-_JM</t>
  </si>
  <si>
    <t>MLM5241334646</t>
  </si>
  <si>
    <t>Vanance® Lámpara De Pared Impermeable Iluminación Lámpara Cristal Luz Led 24w Para Interiores Exterior 3 Modos Luz Cálida Blanca Neutra Lampara Arbotante Decorativa Negro</t>
  </si>
  <si>
    <t>0.41 kg</t>
  </si>
  <si>
    <t>https://articulo.mercadolibre.com.mx/MLM-5241334646-vanance-lampara-de-pared-impermeable-iluminacion-lampara-cristal-luz-led-24w-para-interiores-exterior-3-modos-luz-calida-blanca-neutra-lampara-arbotante-decorativa-negro-_JM</t>
  </si>
  <si>
    <t>MLM3727886462</t>
  </si>
  <si>
    <t>Par Lámparas De Pared Arbotante Led Interior Recargables Rgb</t>
  </si>
  <si>
    <t>Lampara/lampara de pared/lamparas/lampara de pared interior/lampara de pared recargable</t>
  </si>
  <si>
    <t>lampara/lampara de pared/lamparas/lampara de pared interior/lampara de pared recargable</t>
  </si>
  <si>
    <t>https://articulo.mercadolibre.com.mx/MLM-3727886462-par-lamparas-de-pared-arbotante-led-interior-recargables-rgb-_JM</t>
  </si>
  <si>
    <t>MLM2670777595</t>
  </si>
  <si>
    <t>Dehobo Lampara De Modernas Pared Exterior, 8w Negro 6000k Led Lampara Jardin Pared Moderna, Impermeable Ip65, Iluminación De Pared Exterior Para Porche, Escaleras, Pasillo,</t>
  </si>
  <si>
    <t>https://articulo.mercadolibre.com.mx/MLM-2670777595-dehobo-lampara-de-pared-exteriorluces-exterior-jardin8w-6000k-negro-led-lampara-jardin-pared-moderna-ip65emision-de-luz-bidireccional-iluminacion-de-pared-exterior-para-porcheescaleraspasillo-_JM</t>
  </si>
  <si>
    <t>MLM5538681914</t>
  </si>
  <si>
    <t>Lámpara De Pared Solar Led De 60w Con Sensor De Movimiento Y 3 Modos Para Exterior Negro</t>
  </si>
  <si>
    <t>https://articulo.mercadolibre.com.mx/MLM-5538681914-lampara-solar-de-pared-led-yhdzsw-con-sensor-de-movimiento-para-exterior-pack-de-2-negro-_JM</t>
  </si>
  <si>
    <t>MLM5255393152</t>
  </si>
  <si>
    <t>Luz Spot Empotrable Lampara De Piso Led Impermeable Exterior</t>
  </si>
  <si>
    <t>https://articulo.mercadolibre.com.mx/MLM-5255393152-luz-spot-empotrable-lampara-de-piso-led-impermeable-exterior-_JM</t>
  </si>
  <si>
    <t>MLM3445449972</t>
  </si>
  <si>
    <t>Waikil 2 Luz Led De Gabinete Con Sensor Movimiento Recargable 30cm Led Lights,lamparas Led,regulador De Luz,lamparas Recargables,gabinetes Lusesleed,lamparas Para Baño Blanco</t>
  </si>
  <si>
    <t>CNJINGYA-MXF</t>
  </si>
  <si>
    <t>33.8 cm</t>
  </si>
  <si>
    <t>1.8 cm</t>
  </si>
  <si>
    <t>https://articulo.mercadolibre.com.mx/MLM-3445449972-2pcs-lampara-con-sensor-movimiento-recargable-usb-30cm-luces-inteligentes-lamparas-de-pared-interior-luz-led-de-gabinete-con-sensor-para-sala-armario-cocina-closet-3000k4500k6000k-blanco-_JM</t>
  </si>
  <si>
    <t>MLM5872484564</t>
  </si>
  <si>
    <t>2 Lámparas De Pared Exterior Y Interiores Color Negro Redondo Arbotante 20w Modernas Decorativas 6000k Luz Blanco Impermeable Lámparas Para Jardín Sala Baño</t>
  </si>
  <si>
    <t>19.7 cm</t>
  </si>
  <si>
    <t>18.3 cm</t>
  </si>
  <si>
    <t>https://articulo.mercadolibre.com.mx/MLM-5872484564-pack-de-2-arbotantes-led-modernos-para-pared-18w-blancos-frios-redondos-y-decorativos-para-exterior-e-interior-blanco-_JM</t>
  </si>
  <si>
    <t>MLM2583041613</t>
  </si>
  <si>
    <t>Lámparas De Pared Luz Tricolor Ajust Cristal Hogar Decorativ</t>
  </si>
  <si>
    <t>ZHENWANGXIN</t>
  </si>
  <si>
    <t>zhenwangxin</t>
  </si>
  <si>
    <t>TIENDA PANELES LUMINA</t>
  </si>
  <si>
    <t>https://articulo.mercadolibre.com.mx/MLM-2583041613-lamparas-de-pared-luz-tricolor-ajust-cristal-hogar-decorativ-_JM</t>
  </si>
  <si>
    <t>MLM5486902156</t>
  </si>
  <si>
    <t>Farol Exterior Tipo Español Dorado Pared Estilo Retro Aluminio Vidrio</t>
  </si>
  <si>
    <t>Bextsrack</t>
  </si>
  <si>
    <t>bextsrack</t>
  </si>
  <si>
    <t>YESSENGLI</t>
  </si>
  <si>
    <t>https://articulo.mercadolibre.com.mx/MLM-5486902156-farol-exterior-tipo-espanol-dorado-pared-estilo-retro-aluminio-vidrio-_JM</t>
  </si>
  <si>
    <t>MLM4828616008</t>
  </si>
  <si>
    <t>Lamparas Pared Led Decorativas Exteriores Jardin Sala Negro</t>
  </si>
  <si>
    <t>DEHOB</t>
  </si>
  <si>
    <t>dehob</t>
  </si>
  <si>
    <t>https://articulo.mercadolibre.com.mx/MLM-4828616008-lamparas-pared-led-decorativas-exteriores-jardin-sala-negro-_JM</t>
  </si>
  <si>
    <t>MLM3579798832</t>
  </si>
  <si>
    <t>Lámpara Arbotante Espejo Dormitorio Pared Baño Luz Led 30cm</t>
  </si>
  <si>
    <t>Merveluos</t>
  </si>
  <si>
    <t>merveluos</t>
  </si>
  <si>
    <t>MERVELUOSMERVELUOS</t>
  </si>
  <si>
    <t>32 cm</t>
  </si>
  <si>
    <t>https://articulo.mercadolibre.com.mx/MLM-3579798832-lampara-arbotante-espejo-dormitorio-pared-bano-luz-led-30cm-negro-_JM</t>
  </si>
  <si>
    <t>MLM2518018647</t>
  </si>
  <si>
    <t>Gosun® Hexágono Faroles Lámparas De Pared Casa Decoración No Focos Zt-302 Color De Blanco</t>
  </si>
  <si>
    <t>16.9 cm</t>
  </si>
  <si>
    <t>https://articulo.mercadolibre.com.mx/MLM-2518018647-gosun-hexagono-faroles-lamparas-de-pared-casa-decoracion-no-focos-zt-302-color-de-blanco-_JM</t>
  </si>
  <si>
    <t>MLM2637707383</t>
  </si>
  <si>
    <t>2pack 60cm Luz De Led Clóset Usb Con Sensor Movimiento Negro</t>
  </si>
  <si>
    <t>S2KSHOPMX</t>
  </si>
  <si>
    <t>https://articulo.mercadolibre.com.mx/MLM-2637707383-2pack-60cm-luz-de-led-closet-usb-con-sensor-movimiento-negro-_JM</t>
  </si>
  <si>
    <t>MLM5880932466</t>
  </si>
  <si>
    <t>Yzldm Lampara Modernas Led De Pared Decorativa 8w Luz Calida 3000k, Lamparas Para Bano Arbotantes Interior Exterior, Lamparas Decorativas Luces Jardin, Lamparas Para Bano Negro, Ip65 Impermeable</t>
  </si>
  <si>
    <t>https://articulo.mercadolibre.com.mx/MLM-5880932466-yzldm-lampara-modernas-led-de-pared-decorativa-8w-luz-calida-3000k-lamparas-para-bano-arbotantes-interior-exterior-lamparas-decorativas-luces-jardin-lamparas-para-bano-negro-ip65-impermeable-_JM</t>
  </si>
  <si>
    <t>MLM4895025420</t>
  </si>
  <si>
    <t>60cm Lámpara De Pared Interior Led Tricolor Para Baño Espejo Blanco</t>
  </si>
  <si>
    <t>63 cm</t>
  </si>
  <si>
    <t>https://articulo.mercadolibre.com.mx/MLM-4895025420-60cm-lampara-de-pared-interior-led-tricolor-para-bano-espejo-blanco-_JM</t>
  </si>
  <si>
    <t>MLM796110643</t>
  </si>
  <si>
    <t>Lampara Suburbana Led Lupa 50w Megaluz Alumbrado Publico 500</t>
  </si>
  <si>
    <t>Tianlai</t>
  </si>
  <si>
    <t>tianlai</t>
  </si>
  <si>
    <t>DISTRIBUIDORA_MONCADA</t>
  </si>
  <si>
    <t>https://articulo.mercadolibre.com.mx/MLM-796110643-lampara-suburbana-led-lupa-50w-megaluz-alumbrado-publico-500-negro-_JM</t>
  </si>
  <si>
    <t>MLM2879375835</t>
  </si>
  <si>
    <t>Lampara De Pared De Vidrio Blanco Esmerilado De Mediados Dorado</t>
  </si>
  <si>
    <t>https://articulo.mercadolibre.com.mx/MLM-2879375835-lampara-de-pared-de-vidrio-blanco-esmerilado-de-mediados-dorado-_JM</t>
  </si>
  <si>
    <t>MLM2325316098</t>
  </si>
  <si>
    <t>Lámpara De Pared Led De 12w Foco Flotante Moderno Interior</t>
  </si>
  <si>
    <t>SJMSJM20230121124232</t>
  </si>
  <si>
    <t>https://articulo.mercadolibre.com.mx/MLM-2325316098-lampara-de-pared-led-de-12w-foco-flotante-moderno-interior-_JM</t>
  </si>
  <si>
    <t>MLM4526685762</t>
  </si>
  <si>
    <t>Dos Lámpara De Pared Interior Decorativa Vintage Dormitorio</t>
  </si>
  <si>
    <t>SAINT YA</t>
  </si>
  <si>
    <t>28 cm</t>
  </si>
  <si>
    <t>2.2 kg</t>
  </si>
  <si>
    <t>https://articulo.mercadolibre.com.mx/MLM-4526685762-dos-lampara-de-pared-interior-decorativa-vintage-dormitorio-_JM</t>
  </si>
  <si>
    <t>MLM5910052522</t>
  </si>
  <si>
    <t>Lámpara Arbotante Espejo Dormitorio Pared Baño Luz Led 30cm Negro</t>
  </si>
  <si>
    <t>DNBE CONSULTING</t>
  </si>
  <si>
    <t>dnbe consulting</t>
  </si>
  <si>
    <t>DNBECONSULTING</t>
  </si>
  <si>
    <t>2.14 kg</t>
  </si>
  <si>
    <t>https://articulo.mercadolibre.com.mx/MLM-5910052522-lampara-arbotante-espejo-dormitorio-pared-bano-luz-led-30cm-negro-_JM</t>
  </si>
  <si>
    <t>MLM2752196931</t>
  </si>
  <si>
    <t>Lamparas De Led Pared Exteriores Impermeable Jardines Negro</t>
  </si>
  <si>
    <t>https://articulo.mercadolibre.com.mx/MLM-2752196931-lamparas-de-led-pared-exteriores-impermeable-jardines-negro-_JM</t>
  </si>
  <si>
    <t>MLM5194478388</t>
  </si>
  <si>
    <t>DGSITCSTORE</t>
  </si>
  <si>
    <t>https://articulo.mercadolibre.com.mx/MLM-5194478388-2pack-60cm-luz-de-led-closet-usb-con-sensor-movimiento-negro-_JM</t>
  </si>
  <si>
    <t>MLM5872483230</t>
  </si>
  <si>
    <t>Lámpara De Pared Exterior Moderna Yzldm, Lamparas Para Baño Negro, Impermeable Ip65, Diseño Rectangular Simple, Lámpara Para Jardín, Lámparas De Pared Interior/exterior Para Garaje, Balcón, Patio</t>
  </si>
  <si>
    <t>https://articulo.mercadolibre.com.mx/MLM-5872483230-yzldm-lampara-de-pared-exterior-moderna-lamparas-para-bano-negro-impermeable-ip65-diseno-rectangular-simple-lampara-para-jardin-lamparas-de-pared-interiorexterior-para-garaje-balcon-patio-_JM</t>
  </si>
  <si>
    <t>MLM4968224272</t>
  </si>
  <si>
    <t>2pzs Lámparas Solares Exterior Luces Led Jardin Pared Jardín Amarillo</t>
  </si>
  <si>
    <t>Inteloco</t>
  </si>
  <si>
    <t>inteloco</t>
  </si>
  <si>
    <t>SUERTE</t>
  </si>
  <si>
    <t>https://articulo.mercadolibre.com.mx/MLM-4968224272-2pzs-lamparas-solares-exterior-luces-led-jardin-pared-jardin-amarillo-_JM</t>
  </si>
  <si>
    <t>MLM4509131480</t>
  </si>
  <si>
    <t>Lámpara Pared Exterior Arbotante Led Para Muros Negra Anticorrosiva Luz Cálida 2w 2700k Ip65 Para Fachadas Y Jardines Illux Senda I Ml-9903.n27</t>
  </si>
  <si>
    <t>0.11 kg</t>
  </si>
  <si>
    <t>https://articulo.mercadolibre.com.mx/MLM-4509131480-lampara-de-cortesia-pared-exterior-led-arbotante-anticorrosiva-luces-escalera-luz-calida-2w-2700k-ip65-fachadas-jardines-illux-senda-i-ml-9903n27-negro-_JM</t>
  </si>
  <si>
    <t>MLM5171663670</t>
  </si>
  <si>
    <t>Luz Solar Exterior Lámpara Solar Iluminación Al Aire Libre Linterna De Campamento,lampara Focos Solares Led Exteriore Qzgyoool Negro</t>
  </si>
  <si>
    <t>CHIYUE GLOBAL-QZGYOOOL</t>
  </si>
  <si>
    <t>https://articulo.mercadolibre.com.mx/MLM-5171663670-lampara-solar-de-pared-exterior-con-sensor-de-movimiento-luz-led-impermeable-ip65lamparas-de-pared-para-jardin-patio-casa-y-acceso-negro-_JM</t>
  </si>
  <si>
    <t>MLM5839717314</t>
  </si>
  <si>
    <t>Lampara De Noche Enchufable Led Con Sensor De Luz Para 2pz</t>
  </si>
  <si>
    <t>JUGOMÁS</t>
  </si>
  <si>
    <t>jugomas</t>
  </si>
  <si>
    <t>https://articulo.mercadolibre.com.mx/MLM-5839717314-lampara-de-noche-enchufable-led-con-sensor-de-luz-para-2pz-_JM</t>
  </si>
  <si>
    <t>MLM5617125578</t>
  </si>
  <si>
    <t>10 Unidades Lámparas De Pared Exteriores Empotradas Con Sensor De Movimiento, Luz Cálida 3500k Negro</t>
  </si>
  <si>
    <t>Ktmouw</t>
  </si>
  <si>
    <t>ktmouw</t>
  </si>
  <si>
    <t>HELIANSHUN TRAM STORE</t>
  </si>
  <si>
    <t>30.7 cm</t>
  </si>
  <si>
    <t>1.24 kg</t>
  </si>
  <si>
    <t>https://articulo.mercadolibre.com.mx/MLM-5617125578-10-unidades-lamparas-de-pared-exteriores-empotradas-con-sensor-de-movimiento-luz-calida-3500k-negro-_JM</t>
  </si>
  <si>
    <t>MLM5170729996</t>
  </si>
  <si>
    <t>Lámpara De Pared De Interior Decorativa Moderna  Baño 2pcs</t>
  </si>
  <si>
    <t>Gemmy</t>
  </si>
  <si>
    <t>gemmy</t>
  </si>
  <si>
    <t>GEMMY ILUMINACIÓN</t>
  </si>
  <si>
    <t>1.06 kg</t>
  </si>
  <si>
    <t>https://articulo.mercadolibre.com.mx/MLM-5170729996-lampara-de-pared-de-interior-decorativa-moderna-bano-2pcs-_JM</t>
  </si>
  <si>
    <t>MLM4851808760</t>
  </si>
  <si>
    <t>5pzs Lampara Led Recargable Foco Con Sensor De Movimiento Blanco</t>
  </si>
  <si>
    <t>luz con sensor de movimiento,lamparas led recargables pared,luces para closet,luz closet,lampara inalambrica pared</t>
  </si>
  <si>
    <t>KATSOG</t>
  </si>
  <si>
    <t>26.6 cm</t>
  </si>
  <si>
    <t>https://articulo.mercadolibre.com.mx/MLM-4851808760-5pzs-lampara-led-recargable-foco-con-sensor-de-movimiento-blanco-_JM</t>
  </si>
  <si>
    <t>MLM6015803154</t>
  </si>
  <si>
    <t>2pzs Lámpara Solar Pared Exterior Sensor Movimiento Moderna Negro</t>
  </si>
  <si>
    <t>https://articulo.mercadolibre.com.mx/MLM-6015803154-2pzs-lampara-solar-pared-exterior-sensor-movimiento-moderna-negro-_JM</t>
  </si>
  <si>
    <t>MLM2703666961</t>
  </si>
  <si>
    <t>Lámpara De Pared Inalámbrica Para Espejo Control Remoto 33cm</t>
  </si>
  <si>
    <t>https://articulo.mercadolibre.com.mx/MLM-2703666961-lampara-de-pared-inalambrica-para-espejo-control-remoto-33cm-_JM</t>
  </si>
  <si>
    <t>MLM3488045126</t>
  </si>
  <si>
    <t>192 Led Lámpara Focos Solar De Pared Exteriores Sensor Luz Negro</t>
  </si>
  <si>
    <t>Simple Houseware</t>
  </si>
  <si>
    <t>simple houseware</t>
  </si>
  <si>
    <t>BSMKDBSMKD20230606225322</t>
  </si>
  <si>
    <t>0.74 kg</t>
  </si>
  <si>
    <t>https://articulo.mercadolibre.com.mx/MLM-3488045126-192-led-lampara-focos-solar-de-pared-exteriores-sensor-luz-negro-_JM</t>
  </si>
  <si>
    <t>MLM6110791730</t>
  </si>
  <si>
    <t>12w Luz De Pared Luz Arbotante Led Pared Uso Exterior 3000k Estructura Blanco+cálida Luz Amarilla Blancocálida Luz Amarilla</t>
  </si>
  <si>
    <t>PUNENG</t>
  </si>
  <si>
    <t>https://articulo.mercadolibre.com.mx/MLM-6110791730-12w-luz-de-pared-luz-arbotante-led-pared-uso-exterior-3000k-estructura-blancocalida-luz-amarilla-blancocalida-luz-amarilla-_JM</t>
  </si>
  <si>
    <t>MLM5877242520</t>
  </si>
  <si>
    <t>Lámpara Para Cuadros De Pared Recargable 8000 Mah Control Remoto Magnética Con Brazo Flexible Y Control Táctil 3 Tonos Y... Dorado</t>
  </si>
  <si>
    <t>ELITEAIR</t>
  </si>
  <si>
    <t>eliteair</t>
  </si>
  <si>
    <t>ELITE AIR SHOP</t>
  </si>
  <si>
    <t>44.6 cm</t>
  </si>
  <si>
    <t>https://articulo.mercadolibre.com.mx/MLM-5877242520-lampara-para-cuadros-de-pared-recargable-8000-mah-control-remoto-magnetica-con-brazo-flexible-y-control-tactil-3-tonos-y-dorado-_JM</t>
  </si>
  <si>
    <t>MLM4636751484</t>
  </si>
  <si>
    <t>Lámpara Con Sensor De Pared Recargable Usb Movimiento 4pcs</t>
  </si>
  <si>
    <t>https://articulo.mercadolibre.com.mx/MLM-4636751484-lampara-con-sensor-de-pared-recargable-usb-movimiento-4pcs-_JM</t>
  </si>
  <si>
    <t>MLM3842285146</t>
  </si>
  <si>
    <t>Lampara Suburbana Led Con Fotocelda 100w Ip65 Hd Estructura Gris Oscuro</t>
  </si>
  <si>
    <t>Megaluz</t>
  </si>
  <si>
    <t>megaluz</t>
  </si>
  <si>
    <t>GRUPO GONVEA</t>
  </si>
  <si>
    <t>39.8 cm</t>
  </si>
  <si>
    <t>1.1 kg</t>
  </si>
  <si>
    <t>https://articulo.mercadolibre.com.mx/MLM-3842285146-lampara-suburbana-led-con-fotocelda-100w-ip65-hd-estructura-gris-oscuro-_JM</t>
  </si>
  <si>
    <t>MLM4696275672</t>
  </si>
  <si>
    <t>Lámpara De Pared Decorativa Pared Interior Focos Vintage 2pc</t>
  </si>
  <si>
    <t>https://articulo.mercadolibre.com.mx/MLM-4696275672-lampara-de-pared-decorativa-pared-interior-focos-vintage-2pc-_JM</t>
  </si>
  <si>
    <t>MLM6055457968</t>
  </si>
  <si>
    <t>Lámpara De Pared Mxsimedarby Led De 12w Para Interior Y Exterior, Luz Cálida Negra Negro</t>
  </si>
  <si>
    <t>MXSIMEDARBY</t>
  </si>
  <si>
    <t>mxsimedarby</t>
  </si>
  <si>
    <t>https://articulo.mercadolibre.com.mx/MLM-6055457968-lampara-de-pared-mxsimedarby-led-de-12w-para-interior-y-exterior-luz-calida-negra-negro-_JM</t>
  </si>
  <si>
    <t>MLM2940367024</t>
  </si>
  <si>
    <t>Aplique Decorativo Moderno Cristal Lámpara De Pared Negro Negro</t>
  </si>
  <si>
    <t>AILUNFEIERNANDUOMEISALUODEGESI</t>
  </si>
  <si>
    <t>https://articulo.mercadolibre.com.mx/MLM-2940367024-aplique-decorativo-moderno-cristal-lampara-de-pared-negro-negro-_JM</t>
  </si>
  <si>
    <t>MLM3874987654</t>
  </si>
  <si>
    <t>Lámpara De Pared Impermeable Para Exterior Arbotante Moderna</t>
  </si>
  <si>
    <t>XGMR</t>
  </si>
  <si>
    <t>24.3 cm</t>
  </si>
  <si>
    <t>https://articulo.mercadolibre.com.mx/MLM-3874987654-lampara-de-pared-impermeable-para-exterior-arbotante-moderna-_JM</t>
  </si>
  <si>
    <t>MLM2471645339</t>
  </si>
  <si>
    <t>Luces Noche Led Sensor De Movimiento Clóset Luz Nocturna3 Colores Usb 6pzs Redonda Lámpara Led De Armario Inalámbricas... Blanco</t>
  </si>
  <si>
    <t>AdooAdii</t>
  </si>
  <si>
    <t>adooadii</t>
  </si>
  <si>
    <t>FELIZAMORMX</t>
  </si>
  <si>
    <t>https://articulo.mercadolibre.com.mx/MLM-2471645339-luces-noche-led-sensor-de-movimiento-closet-luz-nocturna3-colores-usb-6pzs-redonda-lampara-led-de-armario-inalambricas-blanco-_JM</t>
  </si>
  <si>
    <t>MLM5361690212</t>
  </si>
  <si>
    <t>Lámparas Pared Interior/exterior Decorativas Vintage-cristal Negro</t>
  </si>
  <si>
    <t>Kalei</t>
  </si>
  <si>
    <t>kalei</t>
  </si>
  <si>
    <t>BECKHAM</t>
  </si>
  <si>
    <t>13.5 cm</t>
  </si>
  <si>
    <t>19.9 cm</t>
  </si>
  <si>
    <t>https://articulo.mercadolibre.com.mx/MLM-5361690212-lamparas-pared-interiorexterior-decorativas-vintage-cristal-negro-_JM</t>
  </si>
  <si>
    <t>MLM5379678578</t>
  </si>
  <si>
    <t>2pz Lámpara Led Recargable Rgb Con Sensor De Movimiento</t>
  </si>
  <si>
    <t>MBYULO</t>
  </si>
  <si>
    <t>mbyulo</t>
  </si>
  <si>
    <t>0.12 kg</t>
  </si>
  <si>
    <t>https://articulo.mercadolibre.com.mx/MLM-5379678578-2pz-lampara-led-recargable-rgb-con-sensor-de-movimiento-blanco-_JM</t>
  </si>
  <si>
    <t>MLM2198544403</t>
  </si>
  <si>
    <t>Lámpara De Pared Decorativa De Cristal Moderno En Oro Rosa Ronda Dorada</t>
  </si>
  <si>
    <t>0.88 kg</t>
  </si>
  <si>
    <t>https://articulo.mercadolibre.com.mx/MLM-2198544403-lampara-de-pared-decorativa-de-cristal-moderno-en-oro-rosa-ronda-dorada-_JM</t>
  </si>
  <si>
    <t>MLM2941605275</t>
  </si>
  <si>
    <t>Lámpara De Pared Exterior Led Moderno 12w Impermeable</t>
  </si>
  <si>
    <t>DIBI LUN STORE</t>
  </si>
  <si>
    <t>https://articulo.mercadolibre.com.mx/MLM-2941605275-lampara-de-pared-exterior-led-moderno-12w-impermeable-_JM</t>
  </si>
  <si>
    <t>MLM3518796160</t>
  </si>
  <si>
    <t>Lamparas De Pared Exterior Focos Led Moderna Luz Negra 2focs</t>
  </si>
  <si>
    <t>https://articulo.mercadolibre.com.mx/MLM-3518796160-lamparas-de-pared-exterior-focos-led-moderna-luz-negra-2focs-_JM</t>
  </si>
  <si>
    <t>MLM5307190078</t>
  </si>
  <si>
    <t>5pzs Con Sensor Movimiento 50cm Luz De Led Clóset Usb 3000k</t>
  </si>
  <si>
    <t>54.8 cm</t>
  </si>
  <si>
    <t>13.3 cm</t>
  </si>
  <si>
    <t>https://articulo.mercadolibre.com.mx/MLM-5307190078-5pzs-con-sensor-movimiento-50cm-luz-de-led-closet-usb-3000k-_JM</t>
  </si>
  <si>
    <t>MLM3137715513</t>
  </si>
  <si>
    <t>Sondiko Aplique Magnético 2pcs Luz Oficina/estudio/noche Negro</t>
  </si>
  <si>
    <t>https://articulo.mercadolibre.com.mx/MLM-3137715513-sondiko-aplique-magnetico-2pcs-luz-oficinaestudionoche-negro-_JM</t>
  </si>
  <si>
    <t>MLM2717509473</t>
  </si>
  <si>
    <t>Dehobo Dehobo Lampara Exterior Pared, Led Lampara De Pared, Ip65 Impermeable Fuentes De Luz Superior E Inferior Para La Iluminación Interior Y Exterior,10w, Luz Blanca Negro</t>
  </si>
  <si>
    <t>https://articulo.mercadolibre.com.mx/MLM-2717509473-dehobo-lampara-de-pared-led-para-exterior-con-iluminacion-superior-e-inferior-lamparas-para-jardines-exteriores-luz-blanca-fria-6000k-ip65-de-10w-negro-_JM</t>
  </si>
  <si>
    <t>MLM4722514572</t>
  </si>
  <si>
    <t>Dehobo Lampara Pared Led Exterior Modernas Negro 3000k Luz Cálida,lamparas De Pared Impermeable Arbotantes Modernas Exterior Y Interiores Focos Decorativos Pared Led Lámparas Jardín Sala Dormitorio</t>
  </si>
  <si>
    <t>https://articulo.mercadolibre.com.mx/MLM-4722514572-lampara-de-pared-led-dehobo-exterior-cuadrada-negra-luz-calida-3000k-de-5w-negro-_JM</t>
  </si>
  <si>
    <t>MLM4605081358</t>
  </si>
  <si>
    <t>Dehobo Lamparas Led Impermeable Pared Decorativas Exteriores 3000k Luz Cálida, Lampara Pared Redond Interior Y Exterior... Negro</t>
  </si>
  <si>
    <t>https://articulo.mercadolibre.com.mx/MLM-4605081358-dehobo-lamparas-led-impermeable-pared-decorativas-exteriores-3000k-luz-calida-lampara-pared-redond-interior-y-exterior-negro-_JM</t>
  </si>
  <si>
    <t>MLM3623683728</t>
  </si>
  <si>
    <t>Lampara De Pared Interior Gabinete Escritorio Usb 2pcs</t>
  </si>
  <si>
    <t>BULINGBULINGNO1</t>
  </si>
  <si>
    <t>bulingbulingno1</t>
  </si>
  <si>
    <t>BULING BULING ONLINE</t>
  </si>
  <si>
    <t>33.2 cm</t>
  </si>
  <si>
    <t>https://articulo.mercadolibre.com.mx/MLM-3623683728-lampara-de-pared-interior-gabinete-escritorio-usb-2pcs-_JM</t>
  </si>
  <si>
    <t>MLM3216038473</t>
  </si>
  <si>
    <t>Lámpara De Pared Led Interior Aplique Vintage E2 Socket 2pcs Negro</t>
  </si>
  <si>
    <t>LR</t>
  </si>
  <si>
    <t>lr</t>
  </si>
  <si>
    <t>GAGFCDBHE OFFICIAL STORE</t>
  </si>
  <si>
    <t>8.1 cm</t>
  </si>
  <si>
    <t>https://articulo.mercadolibre.com.mx/MLM-3216038473-lampara-de-pared-led-interior-aplique-vintage-e2-socket-2pcs-negro-_JM</t>
  </si>
  <si>
    <t>MLM5346766908</t>
  </si>
  <si>
    <t>Luz Led Bajo Gabinete Y Clóset 2pzs Recargable 2000mah Sensor Movimiento Magnética Inalámbrica Pantalla Digital Sensor... Blanco</t>
  </si>
  <si>
    <t>Intelligence Space</t>
  </si>
  <si>
    <t>intelligence space</t>
  </si>
  <si>
    <t>INTELLIGENCE SHOP</t>
  </si>
  <si>
    <t>43.4 cm</t>
  </si>
  <si>
    <t>6.1 cm</t>
  </si>
  <si>
    <t>https://articulo.mercadolibre.com.mx/MLM-5346766908-luz-led-bajo-gabinete-y-closet-2pzs-recargable-2000mah-sensor-movimiento-magnetica-inalambrica-pantalla-digital-sensor-blanco-_JM</t>
  </si>
  <si>
    <t>MLM5061497710</t>
  </si>
  <si>
    <t>Par Lampara Pared Recargable Led Interior Sensor Movimiento</t>
  </si>
  <si>
    <t>EHGCEAFDB71991</t>
  </si>
  <si>
    <t>https://articulo.mercadolibre.com.mx/MLM-5061497710-par-lampara-pared-recargable-led-interior-sensor-movimiento-_JM</t>
  </si>
  <si>
    <t>MLM2639388837</t>
  </si>
  <si>
    <t>Dehobo Lampara Led De Pared 3000k Cálido Interior , Lamparas Moderna Impermeable Focos Para Exteriores,lamparas Parad... Negro</t>
  </si>
  <si>
    <t>https://articulo.mercadolibre.com.mx/MLM-2639388837-dehobo-lampara-led-de-pared-3000k-calido-interior-lamparas-moderna-impermeable-focos-para-exterioreslamparas-parad-negro-_JM</t>
  </si>
  <si>
    <t>MLM5192040126</t>
  </si>
  <si>
    <t>Lamparas Para Baño Sala De Pared Atenuación Exterior Led</t>
  </si>
  <si>
    <t>AIDISHIM</t>
  </si>
  <si>
    <t>aidishim</t>
  </si>
  <si>
    <t>TIENDA SPEED</t>
  </si>
  <si>
    <t>52.6 cm</t>
  </si>
  <si>
    <t>https://articulo.mercadolibre.com.mx/MLM-5192040126-lamparas-para-bano-sala-de-pared-atenuacion-exterior-led-_JM</t>
  </si>
  <si>
    <t>MLM3645616116</t>
  </si>
  <si>
    <t>Lámparas De Pared Con Pilas Recargable Usb Led Rgbw 13 Color Negro</t>
  </si>
  <si>
    <t>Libershine</t>
  </si>
  <si>
    <t>libershine</t>
  </si>
  <si>
    <t>FORBSITEFORBSITE20230519121012</t>
  </si>
  <si>
    <t>https://articulo.mercadolibre.com.mx/MLM-3645616116-lamparas-de-pared-con-pilas-recargable-usb-led-rgbw-13-color-negro-_JM</t>
  </si>
  <si>
    <t>MLM4532409048</t>
  </si>
  <si>
    <t>Lámpara Led Pared De Interior Exterior Impermeable Deco 12w</t>
  </si>
  <si>
    <t>Marett</t>
  </si>
  <si>
    <t>marett</t>
  </si>
  <si>
    <t>MARETT</t>
  </si>
  <si>
    <t>https://articulo.mercadolibre.com.mx/MLM-4532409048-lampara-led-pared-de-interior-exterior-impermeable-deco-12w-_JM</t>
  </si>
  <si>
    <t>MLM2804317413</t>
  </si>
  <si>
    <t>https://articulo.mercadolibre.com.mx/MLM-2804317413-dehobo-lampara-led-de-pared-para-exterior-aplique-de-pared-montable-negro-mate-de-moderno-de-diseno-6-led-luz-calida-ip65-nuevo-con-luces-integradas-de-ideal-para-interiores-y-exteriores-_JM</t>
  </si>
  <si>
    <t>MLM5668222964</t>
  </si>
  <si>
    <t>WM9OUZCR</t>
  </si>
  <si>
    <t>https://articulo.mercadolibre.com.mx/MLM-5668222964-lampara-led-de-pared-moderna-de-luz-calida-8w-para-exterior-_JM</t>
  </si>
  <si>
    <t>MLM2837997665</t>
  </si>
  <si>
    <t>Dehobo Lámparas De Led Pared Exterior Y Interiores 3000k Luz Cálido Negro Cuadrado Arbotante Lampara Pared Modernas Decorativas Impermeable Lampara Decorativas Jardín Sala Baño</t>
  </si>
  <si>
    <t>https://articulo.mercadolibre.com.mx/MLM-2837997665-dehobo-lamparas-pared-led-lampara-de-pared-modernas-impermeables-ip65-iluminacion-jardin-led-3000-k-luz-calida-lampara-decorativas-negro-lamparas-exteriores-interiores-para-jardin-sala-bano-_JM</t>
  </si>
  <si>
    <t>MLM5664638476</t>
  </si>
  <si>
    <t>Lámpara De Pared Decorativas Crystal Modernas Led Interiore</t>
  </si>
  <si>
    <t>https://articulo.mercadolibre.com.mx/MLM-5664638476-lampara-de-pared-decorativas-crystal-modernas-led-interiore-_JM</t>
  </si>
  <si>
    <t>MLM5847120220</t>
  </si>
  <si>
    <t>Lámpara Para Cuadros De Pared Recargable 8000 Mah Control Remoto Magnética Con Brazo Flexible Y Control Táctil 3 Tonos Y... Negro</t>
  </si>
  <si>
    <t>cokoou</t>
  </si>
  <si>
    <t>FFCABHDEG95240</t>
  </si>
  <si>
    <t>44.7 cm</t>
  </si>
  <si>
    <t>https://articulo.mercadolibre.com.mx/MLM-5847120220-lampara-para-cuadros-de-pared-recargable-8000-mah-control-remoto-magnetica-con-brazo-flexible-y-control-tactil-3-tonos-y-negro-_JM</t>
  </si>
  <si>
    <t>MLM2668340817</t>
  </si>
  <si>
    <t>Lámpara De Pared Led Vintage Decorativa Para Interiores E26</t>
  </si>
  <si>
    <t>Mlihove</t>
  </si>
  <si>
    <t>mlihove</t>
  </si>
  <si>
    <t>MLIHO VE STORE</t>
  </si>
  <si>
    <t>https://articulo.mercadolibre.com.mx/MLM-2668340817-lampara-de-pared-led-vintage-decorativa-para-interiores-e26-_JM</t>
  </si>
  <si>
    <t>MLM6015976022</t>
  </si>
  <si>
    <t>Lámpara Led De Pared Apply For Bathroom, Interior And Exterior, 6w Light Fry Power 6000 K, Decorative Illumination For Pasillos, Escaleras, Terrazas And Jardins, Resistant Light For Home Use Negro</t>
  </si>
  <si>
    <t>TIENDA LEDA</t>
  </si>
  <si>
    <t>https://articulo.mercadolibre.com.mx/MLM-6015976022-lampara-led-de-pared-dehobo-para-exterior-e-interior-luz-fria-de-6000-k-6w-negro-_JM</t>
  </si>
  <si>
    <t>MLM4942891656</t>
  </si>
  <si>
    <t>Lampara Led Pared Recargable Tres Colores Interior 2pcs 1200mah Ajuste De Brillo Interior Rotatorio Lamparas De Pared Modernas,lampara Led Recargable Lampara De Interior Negro</t>
  </si>
  <si>
    <t>https://articulo.mercadolibre.com.mx/MLM-4942891656-pack-de-2-lamparas-de-pared-led-recargables-inalambricas-y-giratorias-con-3-colores-de-luz-y-brillo-ajustable-negro-_JM</t>
  </si>
  <si>
    <t>MLM2780493053</t>
  </si>
  <si>
    <t>Lámpara De Pared Decorativa Interior Vintage 2pcs Negro</t>
  </si>
  <si>
    <t>SANWEDS</t>
  </si>
  <si>
    <t>https://articulo.mercadolibre.com.mx/MLM-2780493053-lampara-de-pared-decorativa-interior-vintage-2pcs-negro-_JM</t>
  </si>
  <si>
    <t>MLM5152078430</t>
  </si>
  <si>
    <t>Vanance Lámparas De Pared Led Exterior Y Interiores Impermeable Arbotante Moderna Decorativas 3000k Lampara Luz Blanco Cálido Luces Jardin Decoracion 12w Color Negro</t>
  </si>
  <si>
    <t>https://articulo.mercadolibre.com.mx/MLM-5152078430-vanance-lamparas-de-pared-led-exterior-y-interiores-impermeable-arbotante-moderna-decorativas-3000k-lampara-luz-blanco-calido-luces-jardin-decoracion-12w-color-negro-_JM</t>
  </si>
  <si>
    <t>MLM5254609952</t>
  </si>
  <si>
    <t>Lámpara Led De Pared Moderna De Luz Cálida 10w Para Exterior</t>
  </si>
  <si>
    <t>https://articulo.mercadolibre.com.mx/MLM-5254609952-lampara-led-de-pared-moderna-de-luz-calida-10w-para-exterior-_JM</t>
  </si>
  <si>
    <t>MLM2982725228</t>
  </si>
  <si>
    <t>Lámparas De Pared Exterior Iluminación Impermeable Moderna</t>
  </si>
  <si>
    <t>37.5 cm</t>
  </si>
  <si>
    <t>10.7 cm</t>
  </si>
  <si>
    <t>https://articulo.mercadolibre.com.mx/MLM-2982725228-lamparas-de-pared-exterior-iluminacion-impermeable-moderna-_JM</t>
  </si>
  <si>
    <t>MLM3431898573</t>
  </si>
  <si>
    <t>Dehobo Lámpara De Pared Led Cuadrado 12w,iluminación Bidireccional Arriba Y Abajo,lámpara De Pared Moderna, Uso Interior... Negro</t>
  </si>
  <si>
    <t>https://articulo.mercadolibre.com.mx/MLM-3431898573-dehobo-lampara-de-pared-led-cuadrado-12wiluminacion-bidireccional-arriba-y-abajolampara-de-pared-moderna-uso-interior-negro-_JM</t>
  </si>
  <si>
    <t>MLM4518584964</t>
  </si>
  <si>
    <t>6 Piezas Lampara Con Sensor Movimiento Luz De Led Clóset Usb Blanco</t>
  </si>
  <si>
    <t>AA20250612123352</t>
  </si>
  <si>
    <t>https://articulo.mercadolibre.com.mx/MLM-4518584964-6-piezas-lampara-con-sensor-movimiento-luz-de-led-closet-usb-blanco-_JM</t>
  </si>
  <si>
    <t>MLM4787499614</t>
  </si>
  <si>
    <t>Lámpara De Pared Led Vintage Farole Solar Para Exterior Ip65 Blanco</t>
  </si>
  <si>
    <t>YAGO</t>
  </si>
  <si>
    <t>yago</t>
  </si>
  <si>
    <t>17.3 cm</t>
  </si>
  <si>
    <t>https://articulo.mercadolibre.com.mx/MLM-4787499614-lampara-solar-pared-exterior-jardin-farol-led-solar-de-pared-vintage-con-luz-calida-fria-y-natural-farol-solar-exterior-lampara-de-pared-con-sensor-luz-le-ip65-blanco-_JM</t>
  </si>
  <si>
    <t>MLM3689393010</t>
  </si>
  <si>
    <t>Goodea® Lámpara Con Sensor Movimiento 6 Blanco Recargable Noche Led 6pzs</t>
  </si>
  <si>
    <t>LOJA YULUO</t>
  </si>
  <si>
    <t>https://articulo.mercadolibre.com.mx/MLM-3689393010-pack-de-6-lamparas-led-recargables-de-30-cm-con-sensor-de-movimiento-para-armario-y-cocina-blanco-_JM</t>
  </si>
  <si>
    <t>MLM2700719653</t>
  </si>
  <si>
    <t>Deylinghs® 4 Pcs Lámpara Pared Luces Cálida Interiores Exterior Muro Color Negro 4w Regulador De Luz Luz Arbotante Lamparas Modernaled Lampara De Pared Exterior, Ip65 Impermeable,aplique De Pared</t>
  </si>
  <si>
    <t>Deylinghs</t>
  </si>
  <si>
    <t>deylinghs</t>
  </si>
  <si>
    <t>TEDOBE</t>
  </si>
  <si>
    <t>35.6 cm</t>
  </si>
  <si>
    <t>https://articulo.mercadolibre.com.mx/MLM-2700719653-4-set-de-arbotante-lamparas-4w-para-exterior-con-luz-regulador-de-luz-calida-y-diseno-moderno-negro-deylinghs-_JM</t>
  </si>
  <si>
    <t>MLM2350192127</t>
  </si>
  <si>
    <t>Lámpara De Pared Led Impermeable Interior/exterior Moderna</t>
  </si>
  <si>
    <t>31.8 cm</t>
  </si>
  <si>
    <t>https://articulo.mercadolibre.com.mx/MLM-2350192127-lampara-de-pared-led-impermeable-interiorexterior-moderna-_JM</t>
  </si>
  <si>
    <t>MLM2782824905</t>
  </si>
  <si>
    <t>Dehobo Lamparas Baño Modernas,lampara Led De Pared Interior/exterior,luz Cálida 3000k Luces Led Pared Para Baño Jardín Dormitorio Pasillo Escaleras,luces Jardin Negro Ip65 Impermeable 6w</t>
  </si>
  <si>
    <t>https://articulo.mercadolibre.com.mx/MLM-2782824905-dehobo-lampara-de-pared-lamparas-bano-modernaslampara-led-de-pared-interiorexteriorluz-calida-3000k-luces-led-pared-para-bano-jardin-dormitorio-pasillo-escalerasluces-jardin-negro-ip65-impermeable-_JM</t>
  </si>
  <si>
    <t>MLM5073238996</t>
  </si>
  <si>
    <t>Lampara De Pared Focos Para Exterior Led Decorativo Farol Blanco</t>
  </si>
  <si>
    <t>https://articulo.mercadolibre.com.mx/MLM-5073238996-lampara-de-pared-focos-para-exterior-led-decorativo-farol-blanco-_JM</t>
  </si>
  <si>
    <t>MLM2434642163</t>
  </si>
  <si>
    <t>Lámpara Led 40cm Boamed Con Sensor Movimiento Inalámbrica Pared Negra Negro</t>
  </si>
  <si>
    <t>BOAMED</t>
  </si>
  <si>
    <t>boamed</t>
  </si>
  <si>
    <t>https://articulo.mercadolibre.com.mx/MLM-2434642163-lampara-led-40cm-boamed-con-sensor-movimiento-inalambrica-pared-negra-negro-_JM</t>
  </si>
  <si>
    <t>MLM1657415472</t>
  </si>
  <si>
    <t>Lámpara De Pared Acero Inoxidable 2 Spot Arbotante Exterior Color Plateado Gris</t>
  </si>
  <si>
    <t>Artlite</t>
  </si>
  <si>
    <t>artlite</t>
  </si>
  <si>
    <t>LaitLed</t>
  </si>
  <si>
    <t>17.1 cm</t>
  </si>
  <si>
    <t>https://articulo.mercadolibre.com.mx/MLM-1657415472-lampara-de-pared-acero-inoxidable-2-spot-arbotante-exterior-color-plateado-gris-_JM</t>
  </si>
  <si>
    <t>MLM5564063198</t>
  </si>
  <si>
    <t>Lámpara De Pared Luce Luz Moderno Interior/exterior Tricolor Negro</t>
  </si>
  <si>
    <t>32.8 cm</t>
  </si>
  <si>
    <t>https://articulo.mercadolibre.com.mx/MLM-5564063198-lampara-de-pared-luce-luz-moderno-interiorexterior-tricolor-negro-_JM</t>
  </si>
  <si>
    <t>MLM2828708439</t>
  </si>
  <si>
    <t>Lámpara Led De Pared Larga Tira 60cm 3 Tono Luz Cálido Nneutra Blanca Para Interior Exterior Baños Y Pasillos Y Salones Y Balcones Y Terrazas Y Cafeterías Y Tiendas Negro</t>
  </si>
  <si>
    <t>TECNOLOGIATECNOLOGIA2023082113</t>
  </si>
  <si>
    <t>60.4 cm</t>
  </si>
  <si>
    <t>https://articulo.mercadolibre.com.mx/MLM-2828708439-lampara-de-pared-led-de-60-cm-con-3-tonos-de-luz-para-interiores-y-exteriores-negro-_JM</t>
  </si>
  <si>
    <t>MLM4659854670</t>
  </si>
  <si>
    <t>Dehobo Lamparas Para Baño Led,3 Temperaturas Colores,lamparas Bano Pared Interior,puede Girar 330° Horizontalmente.lámpara De Pared Dormitorio Interiores Baño Lámpara De Noche Negro</t>
  </si>
  <si>
    <t>https://articulo.mercadolibre.com.mx/MLM-4659854670-dehobo-lamparas-para-bano-ledlampara-esquinera-sala-3-temperaturas-coloreslamparas-bano-pared-interiorpuede-girar-negro-_JM</t>
  </si>
  <si>
    <t>MLM2978881771</t>
  </si>
  <si>
    <t>Lampara Pared Exterior Led 4w Impermeable Ip66 Exterior Fria</t>
  </si>
  <si>
    <t>https://articulo.mercadolibre.com.mx/MLM-2978881771-lampara-pared-exterior-led-4w-impermeable-ip66-exterior-fria-_JM</t>
  </si>
  <si>
    <t>MLM2766482055</t>
  </si>
  <si>
    <t>2pcs Lámparas De Pared Rgb Noche Recargables Arbotante Led</t>
  </si>
  <si>
    <t>https://articulo.mercadolibre.com.mx/MLM-2766482055-2pcs-lamparas-de-pared-rgb-noche-recargables-arbotante-led-_JM</t>
  </si>
  <si>
    <t>MLM4358945832</t>
  </si>
  <si>
    <t>Lámpara Led De Pared Larga Tira 60cm 3 Tono Blanco Cálido Nneutro Interior Exterior Estructura Negro</t>
  </si>
  <si>
    <t>61.8 cm</t>
  </si>
  <si>
    <t>https://articulo.mercadolibre.com.mx/MLM-4358945832-lampara-led-de-pared-larga-tira-60cm-3-tono-blanco-calido-nneutro-interior-exterior-estructura-negro-_JM</t>
  </si>
  <si>
    <t>MLM4162250604</t>
  </si>
  <si>
    <t>10 Lámpara De Escalera Empotrada Con Sensor De Movimiento, 2w Led, 3000k Luz Cálida, Negro - Para Pasillos, Habitaciones Y Muebles</t>
  </si>
  <si>
    <t>Shineknot</t>
  </si>
  <si>
    <t>shineknot</t>
  </si>
  <si>
    <t>SHINEKNOT</t>
  </si>
  <si>
    <t>26.898 cm</t>
  </si>
  <si>
    <t>18.796 cm</t>
  </si>
  <si>
    <t>10.414 cm</t>
  </si>
  <si>
    <t>https://articulo.mercadolibre.com.mx/MLM-4162250604-10-lampara-de-escalera-empotrada-con-sensor-de-movimiento-2w-led-3000k-luz-calida-negro-para-pasillos-habitaciones-y-muebles-_JM</t>
  </si>
  <si>
    <t>MLM3648819288</t>
  </si>
  <si>
    <t>Lámparas De Pared Led Muro Impermeable Moderna Para Exterior</t>
  </si>
  <si>
    <t>https://articulo.mercadolibre.com.mx/MLM-3648819288-lamparas-de-pared-led-muro-impermeable-moderna-para-exterior-_JM</t>
  </si>
  <si>
    <t>MLM4778654702</t>
  </si>
  <si>
    <t>Doubem 6pzs Lámpara Led 50cm Con Sensor De Movimiento Recargable Usb Barra Magnética Iluminación,debajo Armario... Blanco</t>
  </si>
  <si>
    <t>DOUBEM</t>
  </si>
  <si>
    <t>doubem</t>
  </si>
  <si>
    <t>55.6 cm</t>
  </si>
  <si>
    <t>https://articulo.mercadolibre.com.mx/MLM-4778654702-pack-de-6-lamparas-led-inalambricas-de-50-cm-con-sensor-de-movimiento-recargables-usb-para-armario-cocina-y-escaleras-blanco-_JM</t>
  </si>
  <si>
    <t>MLM3436641274</t>
  </si>
  <si>
    <t>Lampara De Pared Farol Decorativo Tipo Español Vintage Negro</t>
  </si>
  <si>
    <t>HAPEMEIN SHOP</t>
  </si>
  <si>
    <t>https://articulo.mercadolibre.com.mx/MLM-3436641274-lampara-de-pared-farol-decorativo-tipo-espanol-vintage-negro-_JM</t>
  </si>
  <si>
    <t>MLM2347418309</t>
  </si>
  <si>
    <t>Dehobo Luces Led Para Espejo Led 3 Temperaturas De Color Ajustables,3000k/4000k/6000k ,lampara Para Baño Moderna Lámpara De Baño Dormitorio Lamparas De Pared Interior Lampara Led Blanco</t>
  </si>
  <si>
    <t>https://articulo.mercadolibre.com.mx/MLM-2347418309-dehobo-luces-led-30cm-para-espejo-led-3-temperaturas-de-color-ajustablesluz-de-tocador-para-banolamparas-de-pared-blanco-_JM</t>
  </si>
  <si>
    <t>MLM2603747829</t>
  </si>
  <si>
    <t>Bylifity G5485 Luces Led Recargables Para Pared 3pzs Rgb Lampara De Pared Magnetica Con Remote Luz Led Inalámbricas De Pintura 13 Colores Y 5 Niveles Brillo Lampara De Pared Decorativa Color Negro</t>
  </si>
  <si>
    <t>11.1 cm</t>
  </si>
  <si>
    <t>https://articulo.mercadolibre.com.mx/MLM-2603747829-pack-de-3-plafones-led-bylifity-inalambricos-para-pared-rgb-con-control-remoto-y-13-colores-negro-_JM</t>
  </si>
  <si>
    <t>MLM2792391433</t>
  </si>
  <si>
    <t>JAAMNIU</t>
  </si>
  <si>
    <t>jaamniu</t>
  </si>
  <si>
    <t>NABRISANNABRISAN</t>
  </si>
  <si>
    <t>17.9 cm</t>
  </si>
  <si>
    <t>https://articulo.mercadolibre.com.mx/MLM-2792391433-lamparas-pared-interiorexterior-decorativas-vintage-cristal-negro-_JM</t>
  </si>
  <si>
    <t>MLM3719869686</t>
  </si>
  <si>
    <t>Lámparas De Pared Luz Led Clóset Con Sensor Movimiento 40cm</t>
  </si>
  <si>
    <t>44.2 cm</t>
  </si>
  <si>
    <t>https://articulo.mercadolibre.com.mx/MLM-3719869686-lamparas-de-pared-luz-led-closet-con-sensor-movimiento-40cm-_JM</t>
  </si>
  <si>
    <t>MLM3045659547</t>
  </si>
  <si>
    <t>Lámpara De Pared Con Fotocelda Entrada E27 Sin Foco Blanco</t>
  </si>
  <si>
    <t>SUMINISTROS DIAMANTE</t>
  </si>
  <si>
    <t>0.89 kg</t>
  </si>
  <si>
    <t>https://articulo.mercadolibre.com.mx/MLM-3045659547-lampara-de-pared-con-fotocelda-entrada-e27-sin-foco-blanco-_JM</t>
  </si>
  <si>
    <t>MLM2911784131</t>
  </si>
  <si>
    <t>2 Lámparas De Pared Led Interior De Pared Magnética Moderno Blanco</t>
  </si>
  <si>
    <t>Bochengzg</t>
  </si>
  <si>
    <t>bochengzg</t>
  </si>
  <si>
    <t>AP20260123131911</t>
  </si>
  <si>
    <t>https://articulo.mercadolibre.com.mx/MLM-2911784131-2-lamparas-de-pared-led-interior-de-pared-magnetica-moderno-blanco-_JM</t>
  </si>
  <si>
    <t>MLM4975040634</t>
  </si>
  <si>
    <t>Lámparas De Pared Creativas Para Dormitorios Y Salones Negro</t>
  </si>
  <si>
    <t>ML19</t>
  </si>
  <si>
    <t>ml19</t>
  </si>
  <si>
    <t>ZEDENTISZEDENTIS</t>
  </si>
  <si>
    <t>48.5 cm</t>
  </si>
  <si>
    <t>12.3 cm</t>
  </si>
  <si>
    <t>6.9 cm</t>
  </si>
  <si>
    <t>https://articulo.mercadolibre.com.mx/MLM-4975040634-lamparas-de-pared-creativas-para-dormitorios-y-salones-negro-_JM</t>
  </si>
  <si>
    <t>MLM2465304077</t>
  </si>
  <si>
    <t>Dehobo Lampara Pared Led Exterior Moderna 3000k Negro, Interior/exterior Impermeable Adecuado Para Instalación En Jardines, Portones, Patios, Salas De Estar, Hotelesescaleras, Habitación Infantil</t>
  </si>
  <si>
    <t>https://articulo.mercadolibre.com.mx/MLM-2465304077-dehobo-lamparas-de-para-led-moderna-patio-exterior-3000k-negrointeriorexterior-impermeable-adecuado-para-instalacion-en-jardinesportonespatiossalas-de-estarhotelesescalerashabitacion-infantil-_JM</t>
  </si>
  <si>
    <t>MLM4686614702</t>
  </si>
  <si>
    <t>2 Lampara De Pared Luces Moderna Para Exterior Interior Ip65</t>
  </si>
  <si>
    <t>CAIYAN STORE</t>
  </si>
  <si>
    <t>https://articulo.mercadolibre.com.mx/MLM-4686614702-2-lampara-de-pared-luces-moderna-para-exterior-interior-ip65-_JM</t>
  </si>
  <si>
    <t>MLM2285643719</t>
  </si>
  <si>
    <t>Lámparas De Pared Con Pilas Recargable Usb Led Rgbw 13 Color Oro</t>
  </si>
  <si>
    <t>https://articulo.mercadolibre.com.mx/MLM-2285643719-lamparas-de-pared-con-pilas-recargable-usb-led-rgbw-13-color-oro-_JM</t>
  </si>
  <si>
    <t>MLM2593835283</t>
  </si>
  <si>
    <t>Luces Solares De Pilar Para Exterior Impermeables Patio</t>
  </si>
  <si>
    <t>TIENDA LUMINA</t>
  </si>
  <si>
    <t>17 cm</t>
  </si>
  <si>
    <t>https://articulo.mercadolibre.com.mx/MLM-2593835283-luces-solares-de-pilar-para-exterior-impermeables-patio-_JM</t>
  </si>
  <si>
    <t>MLM1908661755</t>
  </si>
  <si>
    <t>Paquete De 2 Lamparas Arbotante Cubo Luz Cálida 12w Negro</t>
  </si>
  <si>
    <t>LiteOnLed</t>
  </si>
  <si>
    <t>liteonled</t>
  </si>
  <si>
    <t>WANERGY OFICIAL</t>
  </si>
  <si>
    <t>https://articulo.mercadolibre.com.mx/MLM-1908661755-paquete-de-2-lamparas-arbotante-cubo-luz-calida-12w-negro-_JM</t>
  </si>
  <si>
    <t>MLM2205470032</t>
  </si>
  <si>
    <t>Lámpara Led De Pared Moderna De Luz Blanca Para Exteriores</t>
  </si>
  <si>
    <t>https://articulo.mercadolibre.com.mx/MLM-2205470032-lampara-led-de-pared-moderna-de-luz-blanca-para-exteriores-_JM</t>
  </si>
  <si>
    <t>MLM5116185064</t>
  </si>
  <si>
    <t>Dehobo Lamparas Pared Decorativas Led Luz Cálida 3000 K Arbotante Negro Lamparas Pared Exteriores Lamparas Decorativas Pared Impermeable Lamparas Parad Moderna Jardines Exteriores</t>
  </si>
  <si>
    <t>https://articulo.mercadolibre.com.mx/MLM-5116185064-dehobo-lamparas-pared-decorativas-led-luz-calida-3000-k-arbotante-negro-lamparas-pared-interiores-y-exteriores-lamparas-decorativas-pared-led-impermeable-lamparas-parad-moderna-jardines-exteriores-_JM</t>
  </si>
  <si>
    <t>MLM5096042364</t>
  </si>
  <si>
    <t>5pcs Lamparas De Pared Exterior Focos Led Moderna Luz Ip65</t>
  </si>
  <si>
    <t>SUOYING</t>
  </si>
  <si>
    <t>47.4 cm</t>
  </si>
  <si>
    <t>0.94 kg</t>
  </si>
  <si>
    <t>https://articulo.mercadolibre.com.mx/MLM-5096042364-5pcs-lamparas-de-pared-exterior-focos-led-moderna-luz-ip65-_JM</t>
  </si>
  <si>
    <t>MLM3311703350</t>
  </si>
  <si>
    <t>Barra Led 35cm Magnética Regulable Táctil Y Control Remoto</t>
  </si>
  <si>
    <t>LIJ.MX</t>
  </si>
  <si>
    <t>lij.mx</t>
  </si>
  <si>
    <t>CNLIJUN-MXF</t>
  </si>
  <si>
    <t>37.2 cm</t>
  </si>
  <si>
    <t>https://articulo.mercadolibre.com.mx/MLM-3311703350-barra-led-35cm-recargable-closet-cocina-iman-control-remoto-_JM</t>
  </si>
  <si>
    <t>MLM4371604580</t>
  </si>
  <si>
    <t>Lámpara Pared Exterior Arbotante Led Para Muros Negra Anticorrosiva Luz Cálida 4w 2700k Ip65 Para Fachadas Y Jardines Illux Stripe Ml-9905.n27 Negro</t>
  </si>
  <si>
    <t>1.27 kg</t>
  </si>
  <si>
    <t>https://articulo.mercadolibre.com.mx/MLM-4371604580-lampara-de-cortesia-pared-exterior-led-arbotante-anticorrosiva-luces-escalera-luz-calida-4w-2700k-ip65-fachadas-jardines-illux-stripe-ml-9905n27-negro-_JM</t>
  </si>
  <si>
    <t>MLM4116717590</t>
  </si>
  <si>
    <t>Lámpara Pared Exterior Dehobo Negra Led Diseño Moderno Resistente Al Agua Ip65 Negro</t>
  </si>
  <si>
    <t>https://articulo.mercadolibre.com.mx/MLM-4116717590-lampara-de-pared-dehobo-led-moderna-y-minimalista-con-rosca-e27-para-exterior-negro-_JM</t>
  </si>
  <si>
    <t>MLM4460748116</t>
  </si>
  <si>
    <t>Lampara De Pared Recargable Con Sensor Movimiento 20cm Blanco</t>
  </si>
  <si>
    <t>Tarwik</t>
  </si>
  <si>
    <t>tarwik</t>
  </si>
  <si>
    <t>TYTW</t>
  </si>
  <si>
    <t>26.2 cm</t>
  </si>
  <si>
    <t>2.1 cm</t>
  </si>
  <si>
    <t>0.08 kg</t>
  </si>
  <si>
    <t>https://articulo.mercadolibre.com.mx/MLM-4460748116-lampara-pared-recargable-tarwik-led-sensor-movimiento-3-colores-20-cm-blanco-_JM</t>
  </si>
  <si>
    <t>MLM2894900503</t>
  </si>
  <si>
    <t>Super Lampara Led Arbotante Industrial Luz Rgb 6 Luces Hd Estructura Negro</t>
  </si>
  <si>
    <t>COMERCIALIZADORA MAYENA SADCV</t>
  </si>
  <si>
    <t>https://articulo.mercadolibre.com.mx/MLM-2894900503-super-lampara-led-arbotante-industrial-luz-rgb-6-luces-hd-estructura-negro-_JM</t>
  </si>
  <si>
    <t>MLM2685170433</t>
  </si>
  <si>
    <t>Dehobo Lamparas De Pared Led Decorativas 3000k Negro,lamparas Banos Modernas Pared Cuadrada Impermeable,lampara Pared Modernas Exteriores Arbotante Luces Jardin Decoracion Dormitorio Recibidor Garaje</t>
  </si>
  <si>
    <t>https://articulo.mercadolibre.com.mx/MLM-2685170433-lampara-de-pared-dehobo-led-cuadrada-de-5w-luz-calida-para-exteriores-negro-_JM</t>
  </si>
  <si>
    <t>MLM5077467088</t>
  </si>
  <si>
    <t>Dehobo Lampara De Pared Exterior 12w,iluminacion Arbotantes Exterior,lampara De Pared Led Baño Decorativas Para Jardines,ángulo De Luz Ajustable Negro</t>
  </si>
  <si>
    <t>https://articulo.mercadolibre.com.mx/MLM-5077467088-lampara-de-pared-dehobo-led-negra-con-angulo-ajustable-para-jardin-negro-_JM</t>
  </si>
  <si>
    <t>MLM5319657764</t>
  </si>
  <si>
    <t>Lámpara De Pared Para Espejo De Baño Luz Moderno Led 60cm Estructura Negro</t>
  </si>
  <si>
    <t>LAMPEELECTRO</t>
  </si>
  <si>
    <t>lampeelectro</t>
  </si>
  <si>
    <t>63.2 cm</t>
  </si>
  <si>
    <t>https://articulo.mercadolibre.com.mx/MLM-5319657764-lampara-pared-led-60cm-luz-de-tocador-para-banomoderna-lampara-de-pared-para-espejo-ahorro-energia-facil-instalacionadecuado-para-banos-dormitorios-salas-de-estar-pasillos-etc-negro-_JM</t>
  </si>
  <si>
    <t>MLM2010455006</t>
  </si>
  <si>
    <t>Lámpara Led De Pared Moderna 12w Para Exterior Arbotante</t>
  </si>
  <si>
    <t>https://articulo.mercadolibre.com.mx/MLM-2010455006-lampara-led-de-pared-moderna-12w-para-exterior-arbotante-_JM</t>
  </si>
  <si>
    <t>MLM4349304212</t>
  </si>
  <si>
    <t>Lámparas De Pared Modernas Ldeal Para Pasillo Comedor O Sala</t>
  </si>
  <si>
    <t>JOHO</t>
  </si>
  <si>
    <t>joho</t>
  </si>
  <si>
    <t>JOHO LIGHTING</t>
  </si>
  <si>
    <t>https://articulo.mercadolibre.com.mx/MLM-4349304212-lamparas-de-pared-modernas-ldeal-para-pasillo-comedor-o-sala-_JM</t>
  </si>
  <si>
    <t>MLM4395175532</t>
  </si>
  <si>
    <t>2pcs Lamparas De Pared Modernas Para Exterior Arbotante Ip65</t>
  </si>
  <si>
    <t>https://articulo.mercadolibre.com.mx/MLM-4395175532-2pcs-lamparas-de-pared-modernas-para-exterior-arbotante-ip65-_JM</t>
  </si>
  <si>
    <t>MLM5603603758</t>
  </si>
  <si>
    <t>Time4buy - 2pcs Apliques Led Exterior Rectangulares 12w , 4+4 Leds Puntuales + Tira Led Central , Ip65 Impermeable, Fachada, Jardín, Entrada (luz Blanco)</t>
  </si>
  <si>
    <t>1.01 kg</t>
  </si>
  <si>
    <t>https://articulo.mercadolibre.com.mx/MLM-5603603758-time4buy-2pcs-lampara-led-exterior-rectangulares-12w-44-leds-puntuales-tira-led-central-ip65-impermeable-fachada-jardin-entrada-blanca-fria-_JM</t>
  </si>
  <si>
    <t>MLM5112885832</t>
  </si>
  <si>
    <t>Arbotante Negro Con Sensor De Movimiento, 2xe26, Max. 300 W Volteck 47275</t>
  </si>
  <si>
    <t>https://articulo.mercadolibre.com.mx/MLM-5112885832-arbotante-negro-con-sensor-de-movimiento-volteck-arb-902s-negro-_JM</t>
  </si>
  <si>
    <t>MLM5471382146</t>
  </si>
  <si>
    <t>Luces Hexagonales De Garaje 11 Hexagonales Regulables N/a</t>
  </si>
  <si>
    <t>Litezone</t>
  </si>
  <si>
    <t>litezone</t>
  </si>
  <si>
    <t>GUGU20240111194726</t>
  </si>
  <si>
    <t>46.2 cm</t>
  </si>
  <si>
    <t>4.48 kg</t>
  </si>
  <si>
    <t>https://articulo.mercadolibre.com.mx/MLM-5471382146-luces-hexagonales-de-garaje-11-hexagonales-regulables-na-_JM</t>
  </si>
  <si>
    <t>MLM4427224258</t>
  </si>
  <si>
    <t>Lampara Led Dehobo Negra Moderna Exterior Interior Pared Impermeable Negro</t>
  </si>
  <si>
    <t>https://articulo.mercadolibre.com.mx/MLM-4427224258-dehobo-lampara-de-paranegra-led-3000k-luz-calidaluces-jardin-decoracionlampara-de-techopared-decorativas-led-moderna-exterior-interior-restaurantescafeteriastiendas-ip65-impermeable-negro-_JM</t>
  </si>
  <si>
    <t>MLM5068277732</t>
  </si>
  <si>
    <t>Dehobo Pared Modern Exteriors Lamparas Arbotantes Decorative Pared Bath Negro</t>
  </si>
  <si>
    <t>https://articulo.mercadolibre.com.mx/MLM-5068277732-dehobo-lamparas-pared-modernas-led-decorativas-10w-6000k-negro-lampara-arbotante-iluminacion-lamparas-impermeables-ip65-exteriors-lamparas-arbotantes-decorative-pared-lamparas-para-jardin-sala-bano-_JM</t>
  </si>
  <si>
    <t>MLM4615300278</t>
  </si>
  <si>
    <t>Lámpara De Pared Modernas Led Luz Tricolor Oro Para Hogar</t>
  </si>
  <si>
    <t>https://articulo.mercadolibre.com.mx/MLM-4615300278-lampara-de-pared-modernas-led-luz-tricolor-oro-para-hogar-_JM</t>
  </si>
  <si>
    <t>MLM5196549426</t>
  </si>
  <si>
    <t>Lámpara Led Solar Exterior Recargable Para Pared 4 Piezas Negro</t>
  </si>
  <si>
    <t>Dunao</t>
  </si>
  <si>
    <t>dunao</t>
  </si>
  <si>
    <t>BERSATINGENIOBERSATINGENIO2023</t>
  </si>
  <si>
    <t>https://articulo.mercadolibre.com.mx/MLM-5196549426-lampara-led-solar-exterior-recargable-para-pared-4-piezas-negro-_JM</t>
  </si>
  <si>
    <t>MLM3613449598</t>
  </si>
  <si>
    <t>Judeng Lámpara Pared De Arbotante Led Espejo De Baño Luz De Tocador Lámpara Arbotante Espejo Dormitorio Pared Baño 3 Colores Luz Negro</t>
  </si>
  <si>
    <t>https://articulo.mercadolibre.com.mx/MLM-3613449598-judeng-lampara-pared-de-arbotante-led-espejo-de-bano-luz-de-tocador-lampara-arbotante-espejo-dormitorio-pared-bano-3-colores-luz-negro-_JM</t>
  </si>
  <si>
    <t>MLM4726527346</t>
  </si>
  <si>
    <t>Lámpara De Pared Led Recargable Para Dormitorio Y Salón 2pz</t>
  </si>
  <si>
    <t>Changm</t>
  </si>
  <si>
    <t>changm</t>
  </si>
  <si>
    <t>CHANGM STORE</t>
  </si>
  <si>
    <t>1.82 kg</t>
  </si>
  <si>
    <t>https://articulo.mercadolibre.com.mx/MLM-4726527346-lampara-de-pared-led-recargable-para-dormitorio-y-salon-2pz-_JM</t>
  </si>
  <si>
    <t>MLM5699439264</t>
  </si>
  <si>
    <t>Time4buy 4pcs Lámpara Tira Central Y 4 Led, Exterior Ip65 Impermeable, Diseño Moderno Para Fachada, Jardín, Balcón Y Escaleras (luz Cálida)</t>
  </si>
  <si>
    <t>13.7 cm</t>
  </si>
  <si>
    <t>https://articulo.mercadolibre.com.mx/MLM-5699439264-time4buy-4-piezas-lampara-exterior-con-tira-central-y-22-leds-12x8x4-cm-ip65-impermeable-para-fachada-jardin-balcon-y-escaleras-luz-calida-_JM</t>
  </si>
  <si>
    <t>MLM2721661375</t>
  </si>
  <si>
    <t>192 Led Lámpara Focos Solar De Pared Exteriores Sensor Luz</t>
  </si>
  <si>
    <t>TIENDA HOGAR TECH</t>
  </si>
  <si>
    <t>https://articulo.mercadolibre.com.mx/MLM-2721661375-192-led-lampara-focos-solar-de-pared-exteriores-sensor-luz-_JM</t>
  </si>
  <si>
    <t>MLM4717718774</t>
  </si>
  <si>
    <t>Lámpara De Pared Exterior Moderna Negra Base E27 Sin Luz</t>
  </si>
  <si>
    <t>Silampdi</t>
  </si>
  <si>
    <t>silampdi</t>
  </si>
  <si>
    <t>SILAMPDI ONLINE</t>
  </si>
  <si>
    <t>17.5 cm</t>
  </si>
  <si>
    <t>https://articulo.mercadolibre.com.mx/MLM-4717718774-lampara-de-pared-exterior-moderna-negra-base-e27-sin-luz-_JM</t>
  </si>
  <si>
    <t>MLM2447188181</t>
  </si>
  <si>
    <t>Lámpara De Pared Solar Led Con Sensor De Pared Exterior, 6 U</t>
  </si>
  <si>
    <t>BOSHU SHOP</t>
  </si>
  <si>
    <t>15.1 cm</t>
  </si>
  <si>
    <t>https://articulo.mercadolibre.com.mx/MLM-2447188181-lampara-de-pared-solar-led-con-sensor-de-pared-exterior-6-u-_JM</t>
  </si>
  <si>
    <t>MLM5984321246</t>
  </si>
  <si>
    <t>Yzldm Aplica Led Mural Rectangular Moderno Bidireccional, Lámpara De Pared Ip65 Impermeable Color Negro, Luz Blanca Brillante, Iluminación Decorativa Para Pasillo, Balcón, Patio, Fachada Y Sala</t>
  </si>
  <si>
    <t>HILOPITYMXF</t>
  </si>
  <si>
    <t>https://articulo.mercadolibre.com.mx/MLM-5984321246-yzldm-lampara-de-pared-aplica-led-mural-rectangular-moderno-bidireccionallampara-de-pared-ip65-impermeable-negroluz-blanca-brillanteiluminacion-decorativa-para-pasillobalconpatiofachada-y-sala-_JM</t>
  </si>
  <si>
    <t>MLM5612756416</t>
  </si>
  <si>
    <t>2pzs Lámpara De Pared Mandala Solar Inalámbrica Impermeable Colorida</t>
  </si>
  <si>
    <t>TT20240620164334</t>
  </si>
  <si>
    <t>https://articulo.mercadolibre.com.mx/MLM-5612756416-2pzs-lampara-de-pared-mandala-solar-inalambrica-impermeable-colorida-_JM</t>
  </si>
  <si>
    <t>MLM5237147796</t>
  </si>
  <si>
    <t>Sleep Ritual Luz Led Roja Con Enchufe. Lampara De Pared Negro</t>
  </si>
  <si>
    <t>Sleep Ritual</t>
  </si>
  <si>
    <t>sleep ritual</t>
  </si>
  <si>
    <t>SLEEPRITUAL</t>
  </si>
  <si>
    <t>https://articulo.mercadolibre.com.mx/MLM-5237147796-sleep-ritual-luz-led-roja-con-enchufe-lampara-de-pared-negro-_JM</t>
  </si>
  <si>
    <t>MLM2713093372</t>
  </si>
  <si>
    <t>Lámpara Recargable Pared Con Sensor Movimiento 80led 40cm</t>
  </si>
  <si>
    <t>CNTYTW-MXF</t>
  </si>
  <si>
    <t>2 cm</t>
  </si>
  <si>
    <t>https://articulo.mercadolibre.com.mx/MLM-2713093372-lampara-recargable-pared-con-sensor-movimiento-80led-40cm-_JM</t>
  </si>
  <si>
    <t>MLM3124958583</t>
  </si>
  <si>
    <t>Lámpara De Pared Solar Española Para Exteriores Luz Farol Con Sensor Lámpara Solar Led Jardín Exterior Pared Decorativas Vintage Luz Cálida</t>
  </si>
  <si>
    <t>JINGYA STORE</t>
  </si>
  <si>
    <t>25.3 cm</t>
  </si>
  <si>
    <t>https://articulo.mercadolibre.com.mx/MLM-3124958583-lampara-de-pared-solar-espanola-para-exteriores-luz-farol-con-sensor-lampara-solar-led-jardin-exterior-pared-decorativas-vintage-luz-calida-_JM</t>
  </si>
  <si>
    <t>MLM2004946433</t>
  </si>
  <si>
    <t xml:space="preserve"> Lampara Para Pared Farol Decorativo Tipo Español Vintage Negro</t>
  </si>
  <si>
    <t>https://articulo.mercadolibre.com.mx/MLM-2004946433-lampara-para-pared-farol-decorativo-tipo-espanol-vintage-negro-_JM</t>
  </si>
  <si>
    <t>MLM2234393659</t>
  </si>
  <si>
    <t>Lámparas De Pared Para Decorativas Led Impermeable Exteriors</t>
  </si>
  <si>
    <t>https://articulo.mercadolibre.com.mx/MLM-2234393659-lamparas-de-pared-para-decorativas-led-impermeable-exteriors-_JM</t>
  </si>
  <si>
    <t>MLM5983268916</t>
  </si>
  <si>
    <t>4luz De Escalera 1.5w Empotrable Foco Con Sensor Movimiento</t>
  </si>
  <si>
    <t>Lrniubi</t>
  </si>
  <si>
    <t>lrniubi</t>
  </si>
  <si>
    <t>YQ7DIAVENTUSDIAVENTUS</t>
  </si>
  <si>
    <t>https://articulo.mercadolibre.com.mx/MLM-5983268916-4luz-de-escalera-15w-empotrable-foco-con-sensor-movimiento-_JM</t>
  </si>
  <si>
    <t>MLM2798428921</t>
  </si>
  <si>
    <t>Kit 2 Lámparas Solares Led Para Pared Exterior Jardín White-3led-1unid</t>
  </si>
  <si>
    <t>trebalena</t>
  </si>
  <si>
    <t>BAIMUM MARKET</t>
  </si>
  <si>
    <t>14.7 cm</t>
  </si>
  <si>
    <t>6.7 cm</t>
  </si>
  <si>
    <t>https://articulo.mercadolibre.com.mx/MLM-2798428921-kit-2-lamparas-solares-led-para-pared-exterior-jardin-white-3led-1unid-_JM</t>
  </si>
  <si>
    <t>MLM2409371615</t>
  </si>
  <si>
    <t>PSA COMPUTOYPAPELERIA</t>
  </si>
  <si>
    <t>https://articulo.mercadolibre.com.mx/MLM-2409371615-lampara-suburbana-led-con-fotocelda-100w-ip65-hd-estructura-gris-oscuro-_JM</t>
  </si>
  <si>
    <t>MLM2962815323</t>
  </si>
  <si>
    <t>JINGFENG INTER GLOBAL</t>
  </si>
  <si>
    <t>https://articulo.mercadolibre.com.mx/MLM-2962815323-lamparas-de-pared-inalambricas-recargables-led-13-color-rgb-_JM</t>
  </si>
  <si>
    <t>MLM5795172702</t>
  </si>
  <si>
    <t>Phulal Lampara Pared Larga 120cm Luz Cálida Interior Exterior 1pza Negro</t>
  </si>
  <si>
    <t>PHULAL</t>
  </si>
  <si>
    <t>phulal</t>
  </si>
  <si>
    <t>2.8 kg</t>
  </si>
  <si>
    <t>https://articulo.mercadolibre.com.mx/MLM-5795172702-phulal-lampara-pared-larga-120cm-luz-calida-interior-exterior-1pza-negro-_JM</t>
  </si>
  <si>
    <t>MLM2625430139</t>
  </si>
  <si>
    <t>Lámpara Led De Pared Moderna Globo Bola Cristal Con E26</t>
  </si>
  <si>
    <t>https://articulo.mercadolibre.com.mx/MLM-2625430139-lampara-led-de-pared-moderna-globo-bola-cristal-con-e26-_JM</t>
  </si>
  <si>
    <t>MLM2353554879</t>
  </si>
  <si>
    <t>Dehobo Lamparas De Led Pared Decorativas E27 Negra,lámpara Impermeables Ip67 Pared Exterior Iluminacion Resistente Jardin,lampara Pared Interior Y Exterior Baño, Salón, Cocina, Patio, Piscina Negro</t>
  </si>
  <si>
    <t>https://articulo.mercadolibre.com.mx/MLM-2353554879-dehobo-lamparas-de-led-pared-decorativas-e27-negralampara-impermeables-ip67-pared-exterior-iluminacion-resistente-jardinlampara-pared-interior-y-exterior-bano-salon-cocina-patio-piscina-negro-_JM</t>
  </si>
  <si>
    <t>MLM5333469682</t>
  </si>
  <si>
    <t>Doremama 12w Luz De Pared Luz Arbotante Led Pared Uso Exterior 3000k Luz Amarilla Cálida Iluminación Lámpara, Con Luces Integradas De Ideal Para Exterior Y Interior, Color Negro</t>
  </si>
  <si>
    <t>DOREMAMA</t>
  </si>
  <si>
    <t>doremama</t>
  </si>
  <si>
    <t>https://articulo.mercadolibre.com.mx/MLM-5333469682-doremama-12w-luz-de-pared-luz-arbotante-led-pared-uso-exterior-3000k-luz-amarilla-calida-iluminacion-lampara-con-luces-integradas-de-ideal-para-exterior-y-interior-color-negro-_JM</t>
  </si>
  <si>
    <t>MLM5983268630</t>
  </si>
  <si>
    <t>Dehobo Lámpara De Pared Led Estilo Minimalista Para Exterior Diseño Rectangular Doble Capa Doble Cabeza Color Negro Con Socket E27 Iluminación Decorativa Para Jardín, Fachada, Patio, Terraza Y Áreas A</t>
  </si>
  <si>
    <t>https://articulo.mercadolibre.com.mx/MLM-5983268630-dehobo-lampara-de-pared-led-estilo-minimalista-para-exterior-diseno-rectangular-doble-capa-doble-cabeza-color-negro-con-socket-e27-iluminacion-decorativa-para-jardin-fachada-patio-terraza-y-areas-a-_JM</t>
  </si>
  <si>
    <t>MLM2048474665</t>
  </si>
  <si>
    <t>Lámpara De Pared Decorativa Interior Vintage 2pcs</t>
  </si>
  <si>
    <t>J.R</t>
  </si>
  <si>
    <t>j.r</t>
  </si>
  <si>
    <t>JIAOLUOKEKEJIAOLUOKEKE</t>
  </si>
  <si>
    <t>https://articulo.mercadolibre.com.mx/MLM-2048474665-lampara-de-pared-decorativa-interior-vintage-2pcs-_JM</t>
  </si>
  <si>
    <t>MLM5699439262</t>
  </si>
  <si>
    <t>Time4buy 4pcs Lámpara Tira Central Y 4 Led, Exterior Ip65 Impermeable, Diseño Moderno Para Fachada, Jardín, Balcón Y Escaleras (luz Blanco)</t>
  </si>
  <si>
    <t>https://articulo.mercadolibre.com.mx/MLM-5699439262-time4buy-4-piezas-lampara-exterior-con-tira-central-y-22-leds-12x8x4-cm-ip65-impermeable-para-fachada-jardin-balcon-y-escaleras-luz-blanco-_JM</t>
  </si>
  <si>
    <t>MLM5076151660</t>
  </si>
  <si>
    <t>Lámpara De Pared Decorativa Interior Carpintería Vintage 3pz Negro</t>
  </si>
  <si>
    <t>YEOLINN</t>
  </si>
  <si>
    <t>yeolinn</t>
  </si>
  <si>
    <t>AZUTECH</t>
  </si>
  <si>
    <t>24 cm</t>
  </si>
  <si>
    <t>0.99 kg</t>
  </si>
  <si>
    <t>https://articulo.mercadolibre.com.mx/MLM-5076151660-lampara-de-pared-decorativa-interior-carpinteria-vintage-3pz-negro-_JM</t>
  </si>
  <si>
    <t>MLM2739339031</t>
  </si>
  <si>
    <t>Lámpara Pared Para Baño Sala Dormitorio Con 3 Modos Blanco</t>
  </si>
  <si>
    <t>https://articulo.mercadolibre.com.mx/MLM-2739339031-lampara-pared-para-bano-sala-dormitorio-con-3-modos-blanco-_JM</t>
  </si>
  <si>
    <t>MLM2978860857</t>
  </si>
  <si>
    <t>Lampara Pared Exterior Led 4w Impermeable Ip66 Exterior Calida</t>
  </si>
  <si>
    <t>https://articulo.mercadolibre.com.mx/MLM-2978860857-lampara-pared-exterior-led-4w-impermeable-ip66-exterior-calida-_JM</t>
  </si>
  <si>
    <t>MLM2195645073</t>
  </si>
  <si>
    <t>Goodea® Lámpara De Pared Focos Con Led Magnética Control Táctil Luz La Combinación Perfecta Entre Iluminación Y Diseño. Esta Lámpara Le Dará Vida A Tus Espacios Para Que Puedas Aprovecharlos Al Máximo</t>
  </si>
  <si>
    <t>CNDIXI-MXF</t>
  </si>
  <si>
    <t>34 cm</t>
  </si>
  <si>
    <t>4.3 cm</t>
  </si>
  <si>
    <t>https://articulo.mercadolibre.com.mx/MLM-2195645073-goodea-lampara-de-pared-focos-con-led-magnetica-barra-led-32cm-luz-de-armario-9w-3-colors-recargable-usb-iluminacion-nocturna-para-gabinete-closet-_JM</t>
  </si>
  <si>
    <t>MLM4827169994</t>
  </si>
  <si>
    <t>Lamparas Led Exteriores Modernas Impermeables Jardines 3000k</t>
  </si>
  <si>
    <t>30.5 cm</t>
  </si>
  <si>
    <t>https://articulo.mercadolibre.com.mx/MLM-4827169994-lamparas-led-exteriores-modernas-impermeables-jardines-3000k-_JM</t>
  </si>
  <si>
    <t>MLM3004099071</t>
  </si>
  <si>
    <t>Lámpara Inalámbrica Led De Pared De 33cm A Control Remoto</t>
  </si>
  <si>
    <t>TIENDA LINGJIAO</t>
  </si>
  <si>
    <t>33.3 cm</t>
  </si>
  <si>
    <t>https://articulo.mercadolibre.com.mx/MLM-3004099071-lampara-inalambrica-led-de-pared-de-33cm-a-control-remoto-_JM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</si>
</sst>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MXN &quot;\ #,##0.00"/>
    <numFmt numFmtId="177" formatCode="0.0"/>
    <numFmt numFmtId="178" formatCode="yyyy\-mm\-dd"/>
    <numFmt numFmtId="179" formatCode="0.0%"/>
    <numFmt numFmtId="180" formatCode="&quot;MXN &quot;\ #,##0"/>
  </numFmts>
  <fonts count="30">
    <font>
      <sz val="11"/>
      <name val="Carlito"/>
      <charset val="134"/>
    </font>
    <font>
      <b/>
      <sz val="15"/>
      <color rgb="FF17324C"/>
      <name val="Arial"/>
      <charset val="134"/>
    </font>
    <font>
      <sz val="10"/>
      <color rgb="FF263746"/>
      <name val="Arial"/>
      <charset val="134"/>
    </font>
    <font>
      <i/>
      <sz val="10"/>
      <color rgb="FF5D7180"/>
      <name val="Arial"/>
      <charset val="134"/>
    </font>
    <font>
      <b/>
      <sz val="10"/>
      <color rgb="FFFFFFFF"/>
      <name val="Arial"/>
      <charset val="134"/>
    </font>
    <font>
      <b/>
      <sz val="16"/>
      <color rgb="FF17324C"/>
      <name val="Arial"/>
      <charset val="134"/>
    </font>
    <font>
      <b/>
      <sz val="13"/>
      <color rgb="FF225B86"/>
      <name val="Arial"/>
      <charset val="134"/>
    </font>
    <font>
      <sz val="10"/>
      <color rgb="FF263746"/>
      <name val="宋体"/>
      <charset val="134"/>
    </font>
    <font>
      <b/>
      <sz val="10"/>
      <color rgb="FF17324C"/>
      <name val="Arial"/>
      <charset val="134"/>
    </font>
    <font>
      <i/>
      <sz val="9"/>
      <color rgb="FF5D718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24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F2F7"/>
        <bgColor indexed="64"/>
      </patternFill>
    </fill>
    <fill>
      <patternFill patternType="solid">
        <fgColor rgb="FF225B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89A9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0" fillId="0" borderId="0"/>
  </cellStyleXfs>
  <cellXfs count="36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3" fillId="0" borderId="0" xfId="49" applyNumberFormat="1" applyFont="1" applyFill="1" applyBorder="1"/>
    <xf numFmtId="0" fontId="4" fillId="2" borderId="0" xfId="49" applyNumberFormat="1" applyFont="1" applyFill="1" applyBorder="1" applyAlignment="1">
      <alignment vertical="center" wrapText="1"/>
    </xf>
    <xf numFmtId="176" fontId="2" fillId="0" borderId="0" xfId="49" applyNumberFormat="1" applyFont="1" applyFill="1" applyBorder="1"/>
    <xf numFmtId="3" fontId="2" fillId="0" borderId="0" xfId="49" applyNumberFormat="1" applyFont="1" applyFill="1" applyBorder="1"/>
    <xf numFmtId="2" fontId="2" fillId="0" borderId="0" xfId="49" applyNumberFormat="1" applyFont="1" applyFill="1" applyBorder="1"/>
    <xf numFmtId="177" fontId="2" fillId="0" borderId="0" xfId="49" applyNumberFormat="1" applyFont="1" applyFill="1" applyBorder="1"/>
    <xf numFmtId="10" fontId="2" fillId="0" borderId="0" xfId="49" applyNumberFormat="1" applyFont="1" applyFill="1" applyBorder="1"/>
    <xf numFmtId="178" fontId="2" fillId="0" borderId="0" xfId="49" applyNumberFormat="1" applyFont="1" applyFill="1" applyBorder="1"/>
    <xf numFmtId="179" fontId="2" fillId="0" borderId="0" xfId="49" applyNumberFormat="1" applyFont="1" applyFill="1" applyBorder="1"/>
    <xf numFmtId="176" fontId="0" fillId="0" borderId="0" xfId="49" applyNumberFormat="1" applyFont="1" applyFill="1" applyBorder="1"/>
    <xf numFmtId="3" fontId="0" fillId="0" borderId="0" xfId="49" applyNumberFormat="1" applyFont="1" applyFill="1" applyBorder="1"/>
    <xf numFmtId="2" fontId="0" fillId="0" borderId="0" xfId="49" applyNumberFormat="1" applyFont="1" applyFill="1" applyBorder="1"/>
    <xf numFmtId="177" fontId="0" fillId="0" borderId="0" xfId="49" applyNumberFormat="1" applyFont="1" applyFill="1" applyBorder="1"/>
    <xf numFmtId="10" fontId="0" fillId="0" borderId="0" xfId="49" applyNumberFormat="1" applyFont="1" applyFill="1" applyBorder="1"/>
    <xf numFmtId="178" fontId="0" fillId="0" borderId="0" xfId="49" applyNumberFormat="1" applyFont="1" applyFill="1" applyBorder="1"/>
    <xf numFmtId="179" fontId="0" fillId="0" borderId="0" xfId="49" applyNumberFormat="1" applyFont="1" applyFill="1" applyBorder="1"/>
    <xf numFmtId="0" fontId="4" fillId="2" borderId="0" xfId="49" applyNumberFormat="1" applyFont="1" applyFill="1" applyBorder="1" applyAlignment="1">
      <alignment wrapText="1"/>
    </xf>
    <xf numFmtId="0" fontId="5" fillId="0" borderId="0" xfId="49" applyNumberFormat="1" applyFont="1" applyFill="1" applyBorder="1"/>
    <xf numFmtId="0" fontId="2" fillId="0" borderId="1" xfId="49" applyNumberFormat="1" applyFont="1" applyFill="1" applyBorder="1"/>
    <xf numFmtId="3" fontId="6" fillId="0" borderId="0" xfId="49" applyNumberFormat="1" applyFont="1" applyFill="1" applyBorder="1"/>
    <xf numFmtId="180" fontId="6" fillId="0" borderId="0" xfId="49" applyNumberFormat="1" applyFont="1" applyFill="1" applyBorder="1"/>
    <xf numFmtId="0" fontId="7" fillId="0" borderId="0" xfId="49" applyNumberFormat="1" applyFont="1" applyFill="1" applyBorder="1"/>
    <xf numFmtId="0" fontId="2" fillId="3" borderId="0" xfId="49" applyNumberFormat="1" applyFont="1" applyFill="1" applyBorder="1"/>
    <xf numFmtId="0" fontId="4" fillId="2" borderId="0" xfId="49" applyNumberFormat="1" applyFont="1" applyFill="1" applyBorder="1"/>
    <xf numFmtId="4" fontId="2" fillId="0" borderId="0" xfId="49" applyNumberFormat="1" applyFont="1" applyFill="1" applyBorder="1"/>
    <xf numFmtId="0" fontId="8" fillId="4" borderId="0" xfId="49" applyNumberFormat="1" applyFont="1" applyFill="1" applyBorder="1"/>
    <xf numFmtId="3" fontId="8" fillId="4" borderId="0" xfId="49" applyNumberFormat="1" applyFont="1" applyFill="1" applyBorder="1"/>
    <xf numFmtId="4" fontId="8" fillId="4" borderId="0" xfId="49" applyNumberFormat="1" applyFont="1" applyFill="1" applyBorder="1"/>
    <xf numFmtId="179" fontId="8" fillId="4" borderId="0" xfId="49" applyNumberFormat="1" applyFont="1" applyFill="1" applyBorder="1"/>
    <xf numFmtId="0" fontId="4" fillId="5" borderId="0" xfId="49" applyNumberFormat="1" applyFont="1" applyFill="1" applyBorder="1"/>
    <xf numFmtId="3" fontId="4" fillId="5" borderId="0" xfId="49" applyNumberFormat="1" applyFont="1" applyFill="1" applyBorder="1"/>
    <xf numFmtId="4" fontId="4" fillId="5" borderId="0" xfId="49" applyNumberFormat="1" applyFont="1" applyFill="1" applyBorder="1"/>
    <xf numFmtId="0" fontId="9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rgb="FF9A3412"/>
      </font>
      <fill>
        <patternFill patternType="solid">
          <bgColor rgb="FFFFF1E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>
                <a:latin typeface="Arial" panose="020B0604020202020204"/>
                <a:ea typeface="Arial" panose="020B0604020202020204"/>
                <a:cs typeface="Arial" panose="020B0604020202020204"/>
              </a:rPr>
              <a:t>核心壁灯近30天销量（件）</a:t>
            </a:r>
            <a:endParaRPr sz="900">
              <a:latin typeface="Arial" panose="020B0604020202020204"/>
              <a:ea typeface="Arial" panose="020B0604020202020204"/>
              <a:cs typeface="Arial" panose="020B060402020202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"30天销量"</c:f>
              <c:strCache>
                <c:ptCount val="1"/>
                <c:pt idx="0">
                  <c:v>30天销量</c:v>
                </c:pt>
              </c:strCache>
            </c:strRef>
          </c:tx>
          <c:spPr>
            <a:solidFill>
              <a:srgbClr val="225B86"/>
            </a:solidFill>
          </c:spPr>
          <c:invertIfNegative val="0"/>
          <c:dLbls>
            <c:delete val="1"/>
          </c:dLbls>
          <c:cat>
            <c:strRef>
              <c:f>决策总览!$A$11:$A$15</c:f>
              <c:strCache>
                <c:ptCount val="5"/>
                <c:pt idx="0">
                  <c:v>有线户外/通用壁灯</c:v>
                </c:pt>
                <c:pt idx="1">
                  <c:v>太阳能户外壁灯</c:v>
                </c:pt>
                <c:pt idx="2">
                  <c:v>充电/感应壁灯</c:v>
                </c:pt>
                <c:pt idx="3">
                  <c:v>复古/灯笼壁灯</c:v>
                </c:pt>
                <c:pt idx="4">
                  <c:v>室内装饰壁灯</c:v>
                </c:pt>
              </c:strCache>
            </c:strRef>
          </c:cat>
          <c:val>
            <c:numRef>
              <c:f>决策总览!$C$11:$C$15</c:f>
              <c:numCache>
                <c:formatCode>#,##0</c:formatCode>
                <c:ptCount val="5"/>
                <c:pt idx="0">
                  <c:v>33039</c:v>
                </c:pt>
                <c:pt idx="1">
                  <c:v>8111</c:v>
                </c:pt>
                <c:pt idx="2">
                  <c:v>5107</c:v>
                </c:pt>
                <c:pt idx="3">
                  <c:v>4780</c:v>
                </c:pt>
                <c:pt idx="4">
                  <c:v>3311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7097eb8-866e-4c54-8237-cbf4abb3e695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9</xdr:row>
      <xdr:rowOff>0</xdr:rowOff>
    </xdr:from>
    <xdr:to>
      <xdr:col>17</xdr:col>
      <xdr:colOff>0</xdr:colOff>
      <xdr:row>25</xdr:row>
      <xdr:rowOff>0</xdr:rowOff>
    </xdr:to>
    <xdr:graphicFrame>
      <xdr:nvGraphicFramePr>
        <xdr:cNvPr id="2" name="Chart"/>
        <xdr:cNvGraphicFramePr/>
      </xdr:nvGraphicFramePr>
      <xdr:xfrm>
        <a:off x="12954000" y="2131060"/>
        <a:ext cx="11353800" cy="3411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FocusListings" displayName="FocusListings" ref="A3:O27" totalsRowShown="0">
  <tableColumns count="15">
    <tableColumn id="1" name="原排序"/>
    <tableColumn id="2" name="商品ID"/>
    <tableColumn id="3" name="细分"/>
    <tableColumn id="4" name="标价 MXN"/>
    <tableColumn id="5" name="套装件数*"/>
    <tableColumn id="6" name="估算每件标价 MXN*"/>
    <tableColumn id="7" name="30天销量"/>
    <tableColumn id="8" name="30天销售额 MXN"/>
    <tableColumn id="9" name="库存覆盖天数*"/>
    <tableColumn id="10" name="品牌"/>
    <tableColumn id="11" name="店铺类型"/>
    <tableColumn id="12" name="评论数"/>
    <tableColumn id="13" name="上架日期"/>
    <tableColumn id="14" name="要观察什么"/>
    <tableColumn id="15" name="商品链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WallListings400" displayName="WallListings400" ref="A3:AJ403" totalsRowShown="0">
  <tableColumns count="36">
    <tableColumn id="1" name="原排序"/>
    <tableColumn id="2" name="商品ID"/>
    <tableColumn id="3" name="商品名称"/>
    <tableColumn id="4" name="细分（标题判断）"/>
    <tableColumn id="5" name="标价带 MXN"/>
    <tableColumn id="6" name="品牌（原表）"/>
    <tableColumn id="7" name="品牌（归一）"/>
    <tableColumn id="8" name="卖家"/>
    <tableColumn id="9" name="店铺类型"/>
    <tableColumn id="10" name="标价 MXN"/>
    <tableColumn id="11" name="套装件数*"/>
    <tableColumn id="12" name="估算每件标价 MXN*"/>
    <tableColumn id="13" name="7天销量"/>
    <tableColumn id="14" name="30天销量"/>
    <tableColumn id="15" name="90天销量"/>
    <tableColumn id="16" name="累计销量"/>
    <tableColumn id="17" name="近30天销售额 MXN*"/>
    <tableColumn id="18" name="7天折算/30天"/>
    <tableColumn id="19" name="库存数（快照）"/>
    <tableColumn id="20" name="库存覆盖天数*"/>
    <tableColumn id="21" name="库存类型"/>
    <tableColumn id="22" name="评论数"/>
    <tableColumn id="23" name="评分"/>
    <tableColumn id="24" name="转化率*"/>
    <tableColumn id="25" name="上架日期"/>
    <tableColumn id="26" name="上架龄"/>
    <tableColumn id="27" name="BSR"/>
    <tableColumn id="28" name="销量环比"/>
    <tableColumn id="29" name="长度"/>
    <tableColumn id="30" name="宽度"/>
    <tableColumn id="31" name="高度"/>
    <tableColumn id="32" name="重量"/>
    <tableColumn id="33" name="商品状态"/>
    <tableColumn id="34" name="商品链接"/>
    <tableColumn id="35" name="原类目"/>
    <tableColumn id="36" name="核心壁灯标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324C"/>
  </sheetPr>
  <dimension ref="A1:AJ58"/>
  <sheetViews>
    <sheetView showGridLines="0" topLeftCell="A37" workbookViewId="0">
      <selection activeCell="K5" sqref="K5"/>
    </sheetView>
  </sheetViews>
  <sheetFormatPr defaultColWidth="9" defaultRowHeight="13.8"/>
  <cols>
    <col min="1" max="1" width="26" customWidth="1"/>
    <col min="2" max="3" width="16" customWidth="1"/>
    <col min="4" max="4" width="24" customWidth="1"/>
    <col min="5" max="6" width="19" customWidth="1"/>
    <col min="7" max="7" width="28" customWidth="1"/>
    <col min="8" max="8" width="19" customWidth="1"/>
    <col min="9" max="9" width="3" customWidth="1"/>
    <col min="10" max="10" width="21" customWidth="1"/>
    <col min="11" max="11" width="74" customWidth="1"/>
  </cols>
  <sheetData>
    <row r="1" spans="1:3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21" spans="1:36">
      <c r="A2" s="20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>
      <c r="A4" s="21"/>
      <c r="B4" s="21"/>
      <c r="C4" s="21"/>
      <c r="D4" s="21"/>
      <c r="E4" s="21"/>
      <c r="F4" s="21"/>
      <c r="G4" s="21"/>
      <c r="H4" s="2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32" customHeight="1" spans="1:36">
      <c r="A5" s="2" t="s">
        <v>2</v>
      </c>
      <c r="B5" s="22">
        <f>COUNTA('400链接明细'!B4:B403)</f>
        <v>400</v>
      </c>
      <c r="C5" s="2" t="s">
        <v>3</v>
      </c>
      <c r="D5" s="22">
        <f>SUM('400链接明细'!N4:N403)</f>
        <v>69143</v>
      </c>
      <c r="E5" s="2" t="s">
        <v>4</v>
      </c>
      <c r="F5" s="23">
        <f>SUM('400链接明细'!Q4:Q403)</f>
        <v>15718189.21</v>
      </c>
      <c r="G5" s="2" t="s">
        <v>5</v>
      </c>
      <c r="H5" s="22">
        <f>SUM(B11:B15)</f>
        <v>319</v>
      </c>
      <c r="I5" s="2"/>
      <c r="J5" s="24" t="s">
        <v>6</v>
      </c>
      <c r="K5" s="25">
        <f>15718189/69143</f>
        <v>227.328710064649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32" customHeight="1" spans="1:36">
      <c r="A6" s="2" t="s">
        <v>7</v>
      </c>
      <c r="B6" s="22">
        <f>C16</f>
        <v>54348</v>
      </c>
      <c r="C6" s="2" t="s">
        <v>8</v>
      </c>
      <c r="D6" s="23">
        <f>D16</f>
        <v>11940506.68</v>
      </c>
      <c r="E6" s="2" t="s">
        <v>9</v>
      </c>
      <c r="F6" s="22">
        <f>D5-B6</f>
        <v>14795</v>
      </c>
      <c r="G6" s="2" t="s">
        <v>10</v>
      </c>
      <c r="H6" s="22">
        <f>SUM('400链接明细'!N4:N33)</f>
        <v>20551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>
      <c r="A8" s="2" t="s">
        <v>11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ht="28" customHeight="1" spans="1:36">
      <c r="A10" s="26" t="s">
        <v>12</v>
      </c>
      <c r="B10" s="26" t="s">
        <v>13</v>
      </c>
      <c r="C10" s="26" t="s">
        <v>14</v>
      </c>
      <c r="D10" s="26" t="s">
        <v>15</v>
      </c>
      <c r="E10" s="26" t="s">
        <v>16</v>
      </c>
      <c r="F10" s="26" t="s">
        <v>17</v>
      </c>
      <c r="G10" s="26" t="s">
        <v>18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>
      <c r="A11" s="2" t="s">
        <v>19</v>
      </c>
      <c r="B11" s="6">
        <f>COUNTIF('400链接明细'!$D$4:$D$403,A11)</f>
        <v>189</v>
      </c>
      <c r="C11" s="6">
        <f>SUMIF('400链接明细'!$D$4:$D$403,A11,'400链接明细'!$N$4:$N$403)</f>
        <v>33039</v>
      </c>
      <c r="D11" s="27">
        <f>SUMIF('400链接明细'!$D$4:$D$403,A11,'400链接明细'!$Q$4:$Q$403)</f>
        <v>6436705.6</v>
      </c>
      <c r="E11" s="27">
        <f>IFERROR(AVERAGEIF('400链接明细'!$D$4:$D$403,A11,'400链接明细'!$J$4:$J$403),0)</f>
        <v>201.614338624339</v>
      </c>
      <c r="F11" s="11">
        <f>IFERROR(C11/$C$16,0)</f>
        <v>0.607915654669905</v>
      </c>
      <c r="G11" s="2" t="s">
        <v>20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>
      <c r="A12" s="2" t="s">
        <v>21</v>
      </c>
      <c r="B12" s="6">
        <f>COUNTIF('400链接明细'!$D$4:$D$403,A12)</f>
        <v>41</v>
      </c>
      <c r="C12" s="6">
        <f>SUMIF('400链接明细'!$D$4:$D$403,A12,'400链接明细'!$N$4:$N$403)</f>
        <v>8111</v>
      </c>
      <c r="D12" s="27">
        <f>SUMIF('400链接明细'!$D$4:$D$403,A12,'400链接明细'!$Q$4:$Q$403)</f>
        <v>1940809.98</v>
      </c>
      <c r="E12" s="27">
        <f>IFERROR(AVERAGEIF('400链接明细'!$D$4:$D$403,A12,'400链接明细'!$J$4:$J$403),0)</f>
        <v>240.325853658537</v>
      </c>
      <c r="F12" s="11">
        <f>IFERROR(C12/$C$16,0)</f>
        <v>0.149241922425848</v>
      </c>
      <c r="G12" s="2" t="s">
        <v>22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>
      <c r="A13" s="2" t="s">
        <v>23</v>
      </c>
      <c r="B13" s="6">
        <f>COUNTIF('400链接明细'!$D$4:$D$403,A13)</f>
        <v>39</v>
      </c>
      <c r="C13" s="6">
        <f>SUMIF('400链接明细'!$D$4:$D$403,A13,'400链接明细'!$N$4:$N$403)</f>
        <v>5107</v>
      </c>
      <c r="D13" s="27">
        <f>SUMIF('400链接明细'!$D$4:$D$403,A13,'400链接明细'!$Q$4:$Q$403)</f>
        <v>1196764.35</v>
      </c>
      <c r="E13" s="27">
        <f>IFERROR(AVERAGEIF('400链接明细'!$D$4:$D$403,A13,'400链接明细'!$J$4:$J$403),0)</f>
        <v>265.999487179487</v>
      </c>
      <c r="F13" s="11">
        <f>IFERROR(C13/$C$16,0)</f>
        <v>0.0939684993008022</v>
      </c>
      <c r="G13" s="2" t="s">
        <v>24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>
      <c r="A14" s="2" t="s">
        <v>25</v>
      </c>
      <c r="B14" s="6">
        <f>COUNTIF('400链接明细'!$D$4:$D$403,A14)</f>
        <v>24</v>
      </c>
      <c r="C14" s="6">
        <f>SUMIF('400链接明细'!$D$4:$D$403,A14,'400链接明细'!$N$4:$N$403)</f>
        <v>4780</v>
      </c>
      <c r="D14" s="27">
        <f>SUMIF('400链接明细'!$D$4:$D$403,A14,'400链接明细'!$Q$4:$Q$403)</f>
        <v>1594593.56</v>
      </c>
      <c r="E14" s="27">
        <f>IFERROR(AVERAGEIF('400链接明细'!$D$4:$D$403,A14,'400链接明细'!$J$4:$J$403),0)</f>
        <v>351.529166666667</v>
      </c>
      <c r="F14" s="11">
        <f>IFERROR(C14/$C$16,0)</f>
        <v>0.0879517185545006</v>
      </c>
      <c r="G14" s="2" t="s">
        <v>26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>
      <c r="A15" s="2" t="s">
        <v>27</v>
      </c>
      <c r="B15" s="6">
        <f>COUNTIF('400链接明细'!$D$4:$D$403,A15)</f>
        <v>26</v>
      </c>
      <c r="C15" s="6">
        <f>SUMIF('400链接明细'!$D$4:$D$403,A15,'400链接明细'!$N$4:$N$403)</f>
        <v>3311</v>
      </c>
      <c r="D15" s="27">
        <f>SUMIF('400链接明细'!$D$4:$D$403,A15,'400链接明细'!$Q$4:$Q$403)</f>
        <v>771633.19</v>
      </c>
      <c r="E15" s="27">
        <f>IFERROR(AVERAGEIF('400链接明细'!$D$4:$D$403,A15,'400链接明细'!$J$4:$J$403),0)</f>
        <v>237.449615384615</v>
      </c>
      <c r="F15" s="11">
        <f>IFERROR(C15/$C$16,0)</f>
        <v>0.0609222050489438</v>
      </c>
      <c r="G15" s="2" t="s">
        <v>28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ht="25" customHeight="1" spans="1:36">
      <c r="A16" s="28" t="s">
        <v>29</v>
      </c>
      <c r="B16" s="29">
        <f>SUM(B11:B15)</f>
        <v>319</v>
      </c>
      <c r="C16" s="29">
        <f>SUM(C11:C15)</f>
        <v>54348</v>
      </c>
      <c r="D16" s="30">
        <f>SUM(D11:D15)</f>
        <v>11940506.68</v>
      </c>
      <c r="E16" s="30"/>
      <c r="F16" s="31">
        <f>SUM(F11:F15)</f>
        <v>1</v>
      </c>
      <c r="G16" s="2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>
      <c r="A17" s="2" t="s">
        <v>30</v>
      </c>
      <c r="B17" s="6">
        <f>COUNTIF('400链接明细'!$D$4:$D$403,A17)</f>
        <v>47</v>
      </c>
      <c r="C17" s="6">
        <f>SUMIF('400链接明细'!$D$4:$D$403,A17,'400链接明细'!$N$4:$N$403)</f>
        <v>9588</v>
      </c>
      <c r="D17" s="27">
        <f>SUMIF('400链接明细'!$D$4:$D$403,A17,'400链接明细'!$Q$4:$Q$403)</f>
        <v>1936309.99</v>
      </c>
      <c r="E17" s="27">
        <f>IFERROR(AVERAGEIF('400链接明细'!$D$4:$D$403,A17,'400链接明细'!$J$4:$J$403),0)</f>
        <v>214.506808510638</v>
      </c>
      <c r="F17" s="2"/>
      <c r="G17" s="2" t="s">
        <v>31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>
      <c r="A18" s="2" t="s">
        <v>32</v>
      </c>
      <c r="B18" s="6">
        <f>COUNTIF('400链接明细'!$D$4:$D$403,A18)</f>
        <v>7</v>
      </c>
      <c r="C18" s="6">
        <f>SUMIF('400链接明细'!$D$4:$D$403,A18,'400链接明细'!$N$4:$N$403)</f>
        <v>2031</v>
      </c>
      <c r="D18" s="27">
        <f>SUMIF('400链接明细'!$D$4:$D$403,A18,'400链接明细'!$Q$4:$Q$403)</f>
        <v>767323.67</v>
      </c>
      <c r="E18" s="27">
        <f>IFERROR(AVERAGEIF('400链接明细'!$D$4:$D$403,A18,'400链接明细'!$J$4:$J$403),0)</f>
        <v>296.592857142857</v>
      </c>
      <c r="F18" s="2"/>
      <c r="G18" s="2" t="s">
        <v>33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>
      <c r="A19" s="2" t="s">
        <v>34</v>
      </c>
      <c r="B19" s="6">
        <f>COUNTIF('400链接明细'!$D$4:$D$403,A19)</f>
        <v>14</v>
      </c>
      <c r="C19" s="6">
        <f>SUMIF('400链接明细'!$D$4:$D$403,A19,'400链接明细'!$N$4:$N$403)</f>
        <v>1365</v>
      </c>
      <c r="D19" s="27">
        <f>SUMIF('400链接明细'!$D$4:$D$403,A19,'400链接明细'!$Q$4:$Q$403)</f>
        <v>426682.49</v>
      </c>
      <c r="E19" s="27">
        <f>IFERROR(AVERAGEIF('400链接明细'!$D$4:$D$403,A19,'400链接明细'!$J$4:$J$403),0)</f>
        <v>294.565</v>
      </c>
      <c r="F19" s="2"/>
      <c r="G19" s="2" t="s">
        <v>35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>
      <c r="A20" s="2" t="s">
        <v>36</v>
      </c>
      <c r="B20" s="6">
        <f>COUNTIF('400链接明细'!$D$4:$D$403,A20)</f>
        <v>8</v>
      </c>
      <c r="C20" s="6">
        <f>SUMIF('400链接明细'!$D$4:$D$403,A20,'400链接明细'!$N$4:$N$403)</f>
        <v>1123</v>
      </c>
      <c r="D20" s="27">
        <f>SUMIF('400链接明细'!$D$4:$D$403,A20,'400链接明细'!$Q$4:$Q$403)</f>
        <v>342060.28</v>
      </c>
      <c r="E20" s="27">
        <f>IFERROR(AVERAGEIF('400链接明细'!$D$4:$D$403,A20,'400链接明细'!$J$4:$J$403),0)</f>
        <v>307.185</v>
      </c>
      <c r="F20" s="2"/>
      <c r="G20" s="2" t="s">
        <v>37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>
      <c r="A21" s="2" t="s">
        <v>38</v>
      </c>
      <c r="B21" s="6">
        <f>COUNTIF('400链接明细'!$D$4:$D$403,A21)</f>
        <v>3</v>
      </c>
      <c r="C21" s="6">
        <f>SUMIF('400链接明细'!$D$4:$D$403,A21,'400链接明细'!$N$4:$N$403)</f>
        <v>243</v>
      </c>
      <c r="D21" s="27">
        <f>SUMIF('400链接明细'!$D$4:$D$403,A21,'400链接明细'!$Q$4:$Q$403)</f>
        <v>156691.36</v>
      </c>
      <c r="E21" s="27">
        <f>IFERROR(AVERAGEIF('400链接明细'!$D$4:$D$403,A21,'400链接明细'!$J$4:$J$403),0)</f>
        <v>721.04</v>
      </c>
      <c r="F21" s="2"/>
      <c r="G21" s="2" t="s">
        <v>39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>
      <c r="A22" s="2" t="s">
        <v>40</v>
      </c>
      <c r="B22" s="6">
        <f>COUNTIF('400链接明细'!$D$4:$D$403,A22)</f>
        <v>2</v>
      </c>
      <c r="C22" s="6">
        <f>SUMIF('400链接明细'!$D$4:$D$403,A22,'400链接明细'!$N$4:$N$403)</f>
        <v>445</v>
      </c>
      <c r="D22" s="27">
        <f>SUMIF('400链接明细'!$D$4:$D$403,A22,'400链接明细'!$Q$4:$Q$403)</f>
        <v>148614.74</v>
      </c>
      <c r="E22" s="27">
        <f>IFERROR(AVERAGEIF('400链接明细'!$D$4:$D$403,A22,'400链接明细'!$J$4:$J$403),0)</f>
        <v>380.44</v>
      </c>
      <c r="F22" s="2"/>
      <c r="G22" s="2" t="s">
        <v>41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25" customHeight="1" spans="1:36">
      <c r="A23" s="28" t="s">
        <v>42</v>
      </c>
      <c r="B23" s="29">
        <f>SUM(B17:B22)</f>
        <v>81</v>
      </c>
      <c r="C23" s="29">
        <f>SUM(C17:C22)</f>
        <v>14795</v>
      </c>
      <c r="D23" s="30">
        <f>SUM(D17:D22)</f>
        <v>3777682.53</v>
      </c>
      <c r="E23" s="30"/>
      <c r="F23" s="28"/>
      <c r="G23" s="2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25" customHeight="1" spans="1:36">
      <c r="A24" s="28" t="s">
        <v>43</v>
      </c>
      <c r="B24" s="29">
        <f>B16+B23</f>
        <v>400</v>
      </c>
      <c r="C24" s="29">
        <f>C16+C23</f>
        <v>69143</v>
      </c>
      <c r="D24" s="30">
        <f>D16+D23</f>
        <v>15718189.21</v>
      </c>
      <c r="E24" s="30"/>
      <c r="F24" s="28"/>
      <c r="G24" s="2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>
      <c r="A25" s="2"/>
      <c r="B25" s="6"/>
      <c r="C25" s="6"/>
      <c r="D25" s="27"/>
      <c r="E25" s="2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>
      <c r="A26" s="2"/>
      <c r="B26" s="6"/>
      <c r="C26" s="6"/>
      <c r="D26" s="27"/>
      <c r="E26" s="2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>
      <c r="A27" s="2" t="s">
        <v>44</v>
      </c>
      <c r="B27" s="6"/>
      <c r="C27" s="6"/>
      <c r="D27" s="27"/>
      <c r="E27" s="2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27" customHeight="1" spans="1:36">
      <c r="A28" s="32" t="s">
        <v>45</v>
      </c>
      <c r="B28" s="33" t="s">
        <v>13</v>
      </c>
      <c r="C28" s="33" t="s">
        <v>14</v>
      </c>
      <c r="D28" s="34" t="s">
        <v>15</v>
      </c>
      <c r="E28" s="34" t="s">
        <v>46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>
      <c r="A29" s="2" t="s">
        <v>47</v>
      </c>
      <c r="B29" s="6">
        <f>COUNTIFS('400链接明细'!$J$4:$J$403,"&lt;100",'400链接明细'!$AJ$4:$AJ$403,1)</f>
        <v>21</v>
      </c>
      <c r="C29" s="6">
        <f>SUMIFS('400链接明细'!$N$4:$N$403,'400链接明细'!$J$4:$J$403,"&lt;100",'400链接明细'!$AJ$4:$AJ$403,1)</f>
        <v>3376</v>
      </c>
      <c r="D29" s="27">
        <f>SUMIFS('400链接明细'!$Q$4:$Q$403,'400链接明细'!$J$4:$J$403,"&lt;100",'400链接明细'!$AJ$4:$AJ$403,1)</f>
        <v>309852.26</v>
      </c>
      <c r="E29" s="11">
        <f t="shared" ref="E29:E34" si="0">IFERROR(C29/$C$16,0)</f>
        <v>0.0621182012217561</v>
      </c>
      <c r="F29" s="2"/>
      <c r="G29" s="2"/>
      <c r="H29" s="2"/>
      <c r="I29" s="2"/>
      <c r="J29" s="26" t="s">
        <v>48</v>
      </c>
      <c r="K29" s="26" t="s">
        <v>49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>
      <c r="A30" s="2" t="s">
        <v>50</v>
      </c>
      <c r="B30" s="6">
        <f>COUNTIFS('400链接明细'!$J$4:$J$403,"&gt;=100",'400链接明细'!$J$4:$J$403,"&lt;150",'400链接明细'!$AJ$4:$AJ$403,1)</f>
        <v>64</v>
      </c>
      <c r="C30" s="6">
        <f>SUMIFS('400链接明细'!$N$4:$N$403,'400链接明细'!$J$4:$J$403,"&gt;=100",'400链接明细'!$J$4:$J$403,"&lt;150",'400链接明细'!$AJ$4:$AJ$403,1)</f>
        <v>11604</v>
      </c>
      <c r="D30" s="27">
        <f>SUMIFS('400链接明细'!$Q$4:$Q$403,'400链接明细'!$J$4:$J$403,"&gt;=100",'400链接明细'!$J$4:$J$403,"&lt;150",'400链接明细'!$AJ$4:$AJ$403,1)</f>
        <v>1571267.16</v>
      </c>
      <c r="E30" s="11">
        <f t="shared" si="0"/>
        <v>0.213512916758666</v>
      </c>
      <c r="F30" s="2"/>
      <c r="G30" s="2"/>
      <c r="H30" s="2"/>
      <c r="I30" s="2"/>
      <c r="J30" s="2" t="s">
        <v>51</v>
      </c>
      <c r="K30" s="2" t="s">
        <v>52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>
      <c r="A31" s="2" t="s">
        <v>53</v>
      </c>
      <c r="B31" s="6">
        <f>COUNTIFS('400链接明细'!$J$4:$J$403,"&gt;=150",'400链接明细'!$J$4:$J$403,"&lt;200",'400链接明细'!$AJ$4:$AJ$403,1)</f>
        <v>75</v>
      </c>
      <c r="C31" s="6">
        <f>SUMIFS('400链接明细'!$N$4:$N$403,'400链接明细'!$J$4:$J$403,"&gt;=150",'400链接明细'!$J$4:$J$403,"&lt;200",'400链接明细'!$AJ$4:$AJ$403,1)</f>
        <v>14111</v>
      </c>
      <c r="D31" s="27">
        <f>SUMIFS('400链接明细'!$Q$4:$Q$403,'400链接明细'!$J$4:$J$403,"&gt;=150",'400链接明细'!$J$4:$J$403,"&lt;200",'400链接明细'!$AJ$4:$AJ$403,1)</f>
        <v>2518535.86</v>
      </c>
      <c r="E31" s="11">
        <f t="shared" si="0"/>
        <v>0.259641569146979</v>
      </c>
      <c r="F31" s="2"/>
      <c r="G31" s="2"/>
      <c r="H31" s="2"/>
      <c r="I31" s="2"/>
      <c r="J31" s="2" t="s">
        <v>54</v>
      </c>
      <c r="K31" s="2" t="s">
        <v>55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>
      <c r="A32" s="2" t="s">
        <v>56</v>
      </c>
      <c r="B32" s="6">
        <f>COUNTIFS('400链接明细'!$J$4:$J$403,"&gt;=200",'400链接明细'!$J$4:$J$403,"&lt;300",'400链接明细'!$AJ$4:$AJ$403,1)</f>
        <v>122</v>
      </c>
      <c r="C32" s="6">
        <f>SUMIFS('400链接明细'!$N$4:$N$403,'400链接明细'!$J$4:$J$403,"&gt;=200",'400链接明细'!$J$4:$J$403,"&lt;300",'400链接明细'!$AJ$4:$AJ$403,1)</f>
        <v>20025</v>
      </c>
      <c r="D32" s="27">
        <f>SUMIFS('400链接明细'!$Q$4:$Q$403,'400链接明细'!$J$4:$J$403,"&gt;=200",'400链接明细'!$J$4:$J$403,"&lt;300",'400链接明细'!$AJ$4:$AJ$403,1)</f>
        <v>5178411.53</v>
      </c>
      <c r="E32" s="11">
        <f t="shared" si="0"/>
        <v>0.368458820931773</v>
      </c>
      <c r="F32" s="2"/>
      <c r="G32" s="2"/>
      <c r="H32" s="2"/>
      <c r="I32" s="2"/>
      <c r="J32" s="2" t="s">
        <v>57</v>
      </c>
      <c r="K32" s="2" t="s">
        <v>58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>
      <c r="A33" s="2" t="s">
        <v>59</v>
      </c>
      <c r="B33" s="6">
        <f>COUNTIFS('400链接明细'!$J$4:$J$403,"&gt;=300",'400链接明细'!$J$4:$J$403,"&lt;500",'400链接明细'!$AJ$4:$AJ$403,1)</f>
        <v>28</v>
      </c>
      <c r="C33" s="6">
        <f>SUMIFS('400链接明细'!$N$4:$N$403,'400链接明细'!$J$4:$J$403,"&gt;=300",'400链接明细'!$J$4:$J$403,"&lt;500",'400链接明细'!$AJ$4:$AJ$403,1)</f>
        <v>4413</v>
      </c>
      <c r="D33" s="27">
        <f>SUMIFS('400链接明细'!$Q$4:$Q$403,'400链接明细'!$J$4:$J$403,"&gt;=300",'400链接明细'!$J$4:$J$403,"&lt;500",'400链接明细'!$AJ$4:$AJ$403,1)</f>
        <v>1618128.94</v>
      </c>
      <c r="E33" s="11">
        <f t="shared" si="0"/>
        <v>0.0811989401633915</v>
      </c>
      <c r="F33" s="2"/>
      <c r="G33" s="2"/>
      <c r="H33" s="2"/>
      <c r="I33" s="2"/>
      <c r="J33" s="2" t="s">
        <v>60</v>
      </c>
      <c r="K33" s="2" t="s">
        <v>61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>
      <c r="A34" s="2" t="s">
        <v>62</v>
      </c>
      <c r="B34" s="6">
        <f>COUNTIFS('400链接明细'!$J$4:$J$403,"&gt;=500",'400链接明细'!$AJ$4:$AJ$403,1)</f>
        <v>9</v>
      </c>
      <c r="C34" s="6">
        <f>SUMIFS('400链接明细'!$N$4:$N$403,'400链接明细'!$J$4:$J$403,"&gt;=500",'400链接明细'!$AJ$4:$AJ$403,1)</f>
        <v>819</v>
      </c>
      <c r="D34" s="27">
        <f>SUMIFS('400链接明细'!$Q$4:$Q$403,'400链接明细'!$J$4:$J$403,"&gt;=500",'400链接明细'!$AJ$4:$AJ$403,1)</f>
        <v>744310.93</v>
      </c>
      <c r="E34" s="11">
        <f t="shared" si="0"/>
        <v>0.0150695517774343</v>
      </c>
      <c r="F34" s="2"/>
      <c r="G34" s="2"/>
      <c r="H34" s="2"/>
      <c r="I34" s="2"/>
      <c r="J34" s="2" t="s">
        <v>63</v>
      </c>
      <c r="K34" s="2" t="s">
        <v>64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>
      <c r="A35" s="2"/>
      <c r="B35" s="6"/>
      <c r="C35" s="6"/>
      <c r="D35" s="27"/>
      <c r="E35" s="2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>
      <c r="A36" s="2" t="s">
        <v>65</v>
      </c>
      <c r="B36" s="6"/>
      <c r="C36" s="6"/>
      <c r="D36" s="27"/>
      <c r="E36" s="2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27" customHeight="1" spans="1:36">
      <c r="A37" s="32" t="s">
        <v>66</v>
      </c>
      <c r="B37" s="33" t="s">
        <v>13</v>
      </c>
      <c r="C37" s="33" t="s">
        <v>14</v>
      </c>
      <c r="D37" s="34" t="s">
        <v>15</v>
      </c>
      <c r="E37" s="34" t="s">
        <v>67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>
      <c r="A38" s="2" t="s">
        <v>68</v>
      </c>
      <c r="B38" s="6">
        <f>COUNTIFS('400链接明细'!$I$4:$I$403,A38,'400链接明细'!$AJ$4:$AJ$403,1)</f>
        <v>144</v>
      </c>
      <c r="C38" s="6">
        <f>SUMIFS('400链接明细'!$N$4:$N$403,'400链接明细'!$I$4:$I$403,A38,'400链接明细'!$AJ$4:$AJ$403,1)</f>
        <v>27708</v>
      </c>
      <c r="D38" s="27">
        <f>SUMIFS('400链接明细'!$Q$4:$Q$403,'400链接明细'!$I$4:$I$403,A38,'400链接明细'!$AJ$4:$AJ$403,1)</f>
        <v>5787498.68</v>
      </c>
      <c r="E38" s="27">
        <f>IFERROR(C38/B38,0)</f>
        <v>192.416666666667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>
      <c r="A39" s="2" t="s">
        <v>69</v>
      </c>
      <c r="B39" s="6">
        <f>COUNTIFS('400链接明细'!$I$4:$I$403,A39,'400链接明细'!$AJ$4:$AJ$403,1)</f>
        <v>175</v>
      </c>
      <c r="C39" s="6">
        <f>SUMIFS('400链接明细'!$N$4:$N$403,'400链接明细'!$I$4:$I$403,A39,'400链接明细'!$AJ$4:$AJ$403,1)</f>
        <v>26640</v>
      </c>
      <c r="D39" s="27">
        <f>SUMIFS('400链接明细'!$Q$4:$Q$403,'400链接明细'!$I$4:$I$403,A39,'400链接明细'!$AJ$4:$AJ$403,1)</f>
        <v>6153008</v>
      </c>
      <c r="E39" s="27">
        <f>IFERROR(C39/B39,0)</f>
        <v>152.228571428571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>
      <c r="A40" s="2"/>
      <c r="B40" s="6"/>
      <c r="C40" s="6"/>
      <c r="D40" s="27"/>
      <c r="E40" s="2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>
      <c r="A41" s="2"/>
      <c r="B41" s="6"/>
      <c r="C41" s="6"/>
      <c r="D41" s="27"/>
      <c r="E41" s="2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>
      <c r="A42" s="2" t="s">
        <v>70</v>
      </c>
      <c r="B42" s="6"/>
      <c r="C42" s="6"/>
      <c r="D42" s="27"/>
      <c r="E42" s="2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27" customHeight="1" spans="1:36">
      <c r="A43" s="32" t="s">
        <v>71</v>
      </c>
      <c r="B43" s="33" t="s">
        <v>13</v>
      </c>
      <c r="C43" s="33" t="s">
        <v>14</v>
      </c>
      <c r="D43" s="34" t="s">
        <v>15</v>
      </c>
      <c r="E43" s="2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>
      <c r="A44" s="2" t="s">
        <v>72</v>
      </c>
      <c r="B44" s="6">
        <f>COUNTIFS('400链接明细'!$G$4:$G$403,A44,'400链接明细'!$AJ$4:$AJ$403,1)</f>
        <v>49</v>
      </c>
      <c r="C44" s="6">
        <f>SUMIFS('400链接明细'!$N$4:$N$403,'400链接明细'!$G$4:$G$403,A44,'400链接明细'!$AJ$4:$AJ$403,1)</f>
        <v>6000</v>
      </c>
      <c r="D44" s="27">
        <f>SUMIFS('400链接明细'!$Q$4:$Q$403,'400链接明细'!$G$4:$G$403,A44,'400链接明细'!$AJ$4:$AJ$403,1)</f>
        <v>912497.61</v>
      </c>
      <c r="E44" s="2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>
      <c r="A45" s="2" t="s">
        <v>73</v>
      </c>
      <c r="B45" s="6">
        <f>COUNTIFS('400链接明细'!$G$4:$G$403,A45,'400链接明细'!$AJ$4:$AJ$403,1)</f>
        <v>16</v>
      </c>
      <c r="C45" s="6">
        <f>SUMIFS('400链接明细'!$N$4:$N$403,'400链接明细'!$G$4:$G$403,A45,'400链接明细'!$AJ$4:$AJ$403,1)</f>
        <v>4415</v>
      </c>
      <c r="D45" s="27">
        <f>SUMIFS('400链接明细'!$Q$4:$Q$403,'400链接明细'!$G$4:$G$403,A45,'400链接明细'!$AJ$4:$AJ$403,1)</f>
        <v>684391.54</v>
      </c>
      <c r="E45" s="2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>
      <c r="A46" s="2" t="s">
        <v>74</v>
      </c>
      <c r="B46" s="6">
        <f>COUNTIFS('400链接明细'!$G$4:$G$403,A46,'400链接明细'!$AJ$4:$AJ$403,1)</f>
        <v>22</v>
      </c>
      <c r="C46" s="6">
        <f>SUMIFS('400链接明细'!$N$4:$N$403,'400链接明细'!$G$4:$G$403,A46,'400链接明细'!$AJ$4:$AJ$403,1)</f>
        <v>3979</v>
      </c>
      <c r="D46" s="27">
        <f>SUMIFS('400链接明细'!$Q$4:$Q$403,'400链接明细'!$G$4:$G$403,A46,'400链接明细'!$AJ$4:$AJ$403,1)</f>
        <v>806046.09</v>
      </c>
      <c r="E46" s="2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>
      <c r="A47" s="2" t="s">
        <v>75</v>
      </c>
      <c r="B47" s="6">
        <f>COUNTIFS('400链接明细'!$G$4:$G$403,A47,'400链接明细'!$AJ$4:$AJ$403,1)</f>
        <v>21</v>
      </c>
      <c r="C47" s="6">
        <f>SUMIFS('400链接明细'!$N$4:$N$403,'400链接明细'!$G$4:$G$403,A47,'400链接明细'!$AJ$4:$AJ$403,1)</f>
        <v>2942</v>
      </c>
      <c r="D47" s="27">
        <f>SUMIFS('400链接明细'!$Q$4:$Q$403,'400链接明细'!$G$4:$G$403,A47,'400链接明细'!$AJ$4:$AJ$403,1)</f>
        <v>603740.78</v>
      </c>
      <c r="E47" s="2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>
      <c r="A48" s="2" t="s">
        <v>76</v>
      </c>
      <c r="B48" s="6">
        <f>COUNTIFS('400链接明细'!$G$4:$G$403,A48,'400链接明细'!$AJ$4:$AJ$403,1)</f>
        <v>15</v>
      </c>
      <c r="C48" s="6">
        <f>SUMIFS('400链接明细'!$N$4:$N$403,'400链接明细'!$G$4:$G$403,A48,'400链接明细'!$AJ$4:$AJ$403,1)</f>
        <v>2601</v>
      </c>
      <c r="D48" s="27">
        <f>SUMIFS('400链接明细'!$Q$4:$Q$403,'400链接明细'!$G$4:$G$403,A48,'400链接明细'!$AJ$4:$AJ$403,1)</f>
        <v>693246.13</v>
      </c>
      <c r="E48" s="2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>
      <c r="A49" s="2" t="s">
        <v>77</v>
      </c>
      <c r="B49" s="6">
        <f>COUNTIFS('400链接明细'!$G$4:$G$403,A49,'400链接明细'!$AJ$4:$AJ$403,1)</f>
        <v>2</v>
      </c>
      <c r="C49" s="6">
        <f>SUMIFS('400链接明细'!$N$4:$N$403,'400链接明细'!$G$4:$G$403,A49,'400链接明细'!$AJ$4:$AJ$403,1)</f>
        <v>2205</v>
      </c>
      <c r="D49" s="27">
        <f>SUMIFS('400链接明细'!$Q$4:$Q$403,'400链接明细'!$G$4:$G$403,A49,'400链接明细'!$AJ$4:$AJ$403,1)</f>
        <v>295141.01</v>
      </c>
      <c r="E49" s="27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>
      <c r="A50" s="2" t="s">
        <v>78</v>
      </c>
      <c r="B50" s="6">
        <f>COUNTIFS('400链接明细'!$G$4:$G$403,A50,'400链接明细'!$AJ$4:$AJ$403,1)</f>
        <v>4</v>
      </c>
      <c r="C50" s="6">
        <f>SUMIFS('400链接明细'!$N$4:$N$403,'400链接明细'!$G$4:$G$403,A50,'400链接明细'!$AJ$4:$AJ$403,1)</f>
        <v>1253</v>
      </c>
      <c r="D50" s="27">
        <f>SUMIFS('400链接明细'!$Q$4:$Q$403,'400链接明细'!$G$4:$G$403,A50,'400链接明细'!$AJ$4:$AJ$403,1)</f>
        <v>625767.2</v>
      </c>
      <c r="E50" s="2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>
      <c r="A51" s="2" t="s">
        <v>79</v>
      </c>
      <c r="B51" s="6">
        <f>COUNTIFS('400链接明细'!$G$4:$G$403,A51,'400链接明细'!$AJ$4:$AJ$403,1)</f>
        <v>4</v>
      </c>
      <c r="C51" s="6">
        <f>SUMIFS('400链接明细'!$N$4:$N$403,'400链接明细'!$G$4:$G$403,A51,'400链接明细'!$AJ$4:$AJ$403,1)</f>
        <v>1244</v>
      </c>
      <c r="D51" s="27">
        <f>SUMIFS('400链接明细'!$Q$4:$Q$403,'400链接明细'!$G$4:$G$403,A51,'400链接明细'!$AJ$4:$AJ$403,1)</f>
        <v>322759.61</v>
      </c>
      <c r="E51" s="2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>
      <c r="A52" s="2" t="s">
        <v>80</v>
      </c>
      <c r="B52" s="6">
        <f>COUNTIFS('400链接明细'!$G$4:$G$403,A52,'400链接明细'!$AJ$4:$AJ$403,1)</f>
        <v>7</v>
      </c>
      <c r="C52" s="6">
        <f>SUMIFS('400链接明细'!$N$4:$N$403,'400链接明细'!$G$4:$G$403,A52,'400链接明细'!$AJ$4:$AJ$403,1)</f>
        <v>1228</v>
      </c>
      <c r="D52" s="27">
        <f>SUMIFS('400链接明细'!$Q$4:$Q$403,'400链接明细'!$G$4:$G$403,A52,'400链接明细'!$AJ$4:$AJ$403,1)</f>
        <v>261141.26</v>
      </c>
      <c r="E52" s="2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>
      <c r="A53" s="2" t="s">
        <v>81</v>
      </c>
      <c r="B53" s="6">
        <f>COUNTIFS('400链接明细'!$G$4:$G$403,A53,'400链接明细'!$AJ$4:$AJ$403,1)</f>
        <v>3</v>
      </c>
      <c r="C53" s="6">
        <f>SUMIFS('400链接明细'!$N$4:$N$403,'400链接明细'!$G$4:$G$403,A53,'400链接明细'!$AJ$4:$AJ$403,1)</f>
        <v>1189</v>
      </c>
      <c r="D53" s="27">
        <f>SUMIFS('400链接明细'!$Q$4:$Q$403,'400链接明细'!$G$4:$G$403,A53,'400链接明细'!$AJ$4:$AJ$403,1)</f>
        <v>273829.08</v>
      </c>
      <c r="E53" s="2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>
      <c r="A54" s="2" t="s">
        <v>82</v>
      </c>
      <c r="B54" s="6">
        <f>COUNTIFS('400链接明细'!$G$4:$G$403,A54,'400链接明细'!$AJ$4:$AJ$403,1)</f>
        <v>3</v>
      </c>
      <c r="C54" s="6">
        <f>SUMIFS('400链接明细'!$N$4:$N$403,'400链接明细'!$G$4:$G$403,A54,'400链接明细'!$AJ$4:$AJ$403,1)</f>
        <v>1107</v>
      </c>
      <c r="D54" s="27">
        <f>SUMIFS('400链接明细'!$Q$4:$Q$403,'400链接明细'!$G$4:$G$403,A54,'400链接明细'!$AJ$4:$AJ$403,1)</f>
        <v>213510.17</v>
      </c>
      <c r="E54" s="2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>
      <c r="A55" s="2" t="s">
        <v>83</v>
      </c>
      <c r="B55" s="6">
        <f>COUNTIFS('400链接明细'!$G$4:$G$403,A55,'400链接明细'!$AJ$4:$AJ$403,1)</f>
        <v>3</v>
      </c>
      <c r="C55" s="6">
        <f>SUMIFS('400链接明细'!$N$4:$N$403,'400链接明细'!$G$4:$G$403,A55,'400链接明细'!$AJ$4:$AJ$403,1)</f>
        <v>1015</v>
      </c>
      <c r="D55" s="27">
        <f>SUMIFS('400链接明细'!$Q$4:$Q$403,'400链接明细'!$G$4:$G$403,A55,'400链接明细'!$AJ$4:$AJ$403,1)</f>
        <v>291153.54</v>
      </c>
      <c r="E55" s="2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>
      <c r="A57" s="35" t="s">
        <v>84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</row>
    <row r="58" spans="1:36">
      <c r="A58" s="35" t="s">
        <v>85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25B86"/>
  </sheetPr>
  <dimension ref="A1:AJ56"/>
  <sheetViews>
    <sheetView showGridLines="0" workbookViewId="0">
      <pane ySplit="3" topLeftCell="A17" activePane="bottomLeft" state="frozen"/>
      <selection/>
      <selection pane="bottomLeft" activeCell="A1" sqref="A1"/>
    </sheetView>
  </sheetViews>
  <sheetFormatPr defaultColWidth="9" defaultRowHeight="13.8"/>
  <cols>
    <col min="1" max="1" width="9" customWidth="1"/>
    <col min="2" max="2" width="20" customWidth="1"/>
    <col min="3" max="3" width="23" customWidth="1"/>
    <col min="4" max="9" width="17" customWidth="1"/>
    <col min="10" max="13" width="16" customWidth="1"/>
    <col min="14" max="14" width="58" customWidth="1"/>
    <col min="15" max="15" width="52" customWidth="1"/>
  </cols>
  <sheetData>
    <row r="1" ht="19.2" spans="1:36">
      <c r="A1" s="1" t="s">
        <v>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3" t="s">
        <v>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32" customHeight="1" spans="1:36">
      <c r="A3" s="19" t="s">
        <v>88</v>
      </c>
      <c r="B3" s="19" t="s">
        <v>89</v>
      </c>
      <c r="C3" s="19" t="s">
        <v>12</v>
      </c>
      <c r="D3" s="19" t="s">
        <v>45</v>
      </c>
      <c r="E3" s="19" t="s">
        <v>90</v>
      </c>
      <c r="F3" s="19" t="s">
        <v>91</v>
      </c>
      <c r="G3" s="19" t="s">
        <v>14</v>
      </c>
      <c r="H3" s="19" t="s">
        <v>15</v>
      </c>
      <c r="I3" s="19" t="s">
        <v>92</v>
      </c>
      <c r="J3" s="19" t="s">
        <v>71</v>
      </c>
      <c r="K3" s="19" t="s">
        <v>66</v>
      </c>
      <c r="L3" s="19" t="s">
        <v>93</v>
      </c>
      <c r="M3" s="19" t="s">
        <v>94</v>
      </c>
      <c r="N3" s="19" t="s">
        <v>95</v>
      </c>
      <c r="O3" s="19" t="s">
        <v>96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25" customHeight="1" spans="1:36">
      <c r="A4" s="2">
        <v>1</v>
      </c>
      <c r="B4" s="2" t="s">
        <v>97</v>
      </c>
      <c r="C4" s="2" t="s">
        <v>19</v>
      </c>
      <c r="D4" s="5">
        <v>133.91</v>
      </c>
      <c r="E4" s="2">
        <v>1</v>
      </c>
      <c r="F4" s="5">
        <v>133.91</v>
      </c>
      <c r="G4" s="2">
        <v>1340</v>
      </c>
      <c r="H4" s="5">
        <v>183590.61</v>
      </c>
      <c r="I4" s="8">
        <v>7.1</v>
      </c>
      <c r="J4" s="2" t="s">
        <v>98</v>
      </c>
      <c r="K4" s="2" t="s">
        <v>68</v>
      </c>
      <c r="L4" s="2">
        <v>931</v>
      </c>
      <c r="M4" s="10">
        <v>45860</v>
      </c>
      <c r="N4" s="2" t="s">
        <v>99</v>
      </c>
      <c r="O4" s="2" t="s">
        <v>100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25" customHeight="1" spans="1:36">
      <c r="A5" s="2">
        <v>2</v>
      </c>
      <c r="B5" s="2" t="s">
        <v>101</v>
      </c>
      <c r="C5" s="2" t="s">
        <v>19</v>
      </c>
      <c r="D5" s="5">
        <v>128.96</v>
      </c>
      <c r="E5" s="2">
        <v>1</v>
      </c>
      <c r="F5" s="5">
        <v>128.96</v>
      </c>
      <c r="G5" s="2">
        <v>1241</v>
      </c>
      <c r="H5" s="5">
        <v>160039.36</v>
      </c>
      <c r="I5" s="8">
        <v>26.4</v>
      </c>
      <c r="J5" s="2" t="s">
        <v>102</v>
      </c>
      <c r="K5" s="2" t="s">
        <v>68</v>
      </c>
      <c r="L5" s="2">
        <v>1411</v>
      </c>
      <c r="M5" s="10">
        <v>46127</v>
      </c>
      <c r="N5" s="2" t="s">
        <v>103</v>
      </c>
      <c r="O5" s="2" t="s">
        <v>104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25" customHeight="1" spans="1:36">
      <c r="A6" s="2">
        <v>3</v>
      </c>
      <c r="B6" s="2" t="s">
        <v>105</v>
      </c>
      <c r="C6" s="2" t="s">
        <v>25</v>
      </c>
      <c r="D6" s="5">
        <v>239</v>
      </c>
      <c r="E6" s="2">
        <v>2</v>
      </c>
      <c r="F6" s="5">
        <v>119.5</v>
      </c>
      <c r="G6" s="2">
        <v>1007</v>
      </c>
      <c r="H6" s="5">
        <v>240673</v>
      </c>
      <c r="I6" s="8">
        <v>32.1</v>
      </c>
      <c r="J6" s="2" t="s">
        <v>106</v>
      </c>
      <c r="K6" s="2" t="s">
        <v>68</v>
      </c>
      <c r="L6" s="2">
        <v>35</v>
      </c>
      <c r="M6" s="10">
        <v>45924</v>
      </c>
      <c r="N6" s="2" t="s">
        <v>107</v>
      </c>
      <c r="O6" s="2" t="s">
        <v>108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ht="25" customHeight="1" spans="1:36">
      <c r="A7" s="2">
        <v>4</v>
      </c>
      <c r="B7" s="2" t="s">
        <v>109</v>
      </c>
      <c r="C7" s="2" t="s">
        <v>23</v>
      </c>
      <c r="D7" s="5">
        <v>217.9</v>
      </c>
      <c r="E7" s="2">
        <v>6</v>
      </c>
      <c r="F7" s="5">
        <v>36.32</v>
      </c>
      <c r="G7" s="2">
        <v>987</v>
      </c>
      <c r="H7" s="5">
        <v>215067.3</v>
      </c>
      <c r="I7" s="8">
        <v>5.6</v>
      </c>
      <c r="J7" s="2" t="s">
        <v>110</v>
      </c>
      <c r="K7" s="2" t="s">
        <v>69</v>
      </c>
      <c r="L7" s="2">
        <v>101</v>
      </c>
      <c r="M7" s="10">
        <v>46202</v>
      </c>
      <c r="N7" s="2" t="s">
        <v>111</v>
      </c>
      <c r="O7" s="2" t="s">
        <v>112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ht="25" customHeight="1" spans="1:36">
      <c r="A8" s="2">
        <v>5</v>
      </c>
      <c r="B8" s="2" t="s">
        <v>113</v>
      </c>
      <c r="C8" s="2" t="s">
        <v>19</v>
      </c>
      <c r="D8" s="5">
        <v>184.19</v>
      </c>
      <c r="E8" s="2">
        <v>1</v>
      </c>
      <c r="F8" s="5">
        <v>184.19</v>
      </c>
      <c r="G8" s="2">
        <v>902</v>
      </c>
      <c r="H8" s="5">
        <v>166139.38</v>
      </c>
      <c r="I8" s="8">
        <v>18.2</v>
      </c>
      <c r="J8" s="2" t="s">
        <v>114</v>
      </c>
      <c r="K8" s="2" t="s">
        <v>68</v>
      </c>
      <c r="L8" s="2">
        <v>353</v>
      </c>
      <c r="M8" s="10">
        <v>46194</v>
      </c>
      <c r="N8" s="2" t="s">
        <v>115</v>
      </c>
      <c r="O8" s="2" t="s">
        <v>116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ht="25" customHeight="1" spans="1:36">
      <c r="A9" s="2">
        <v>6</v>
      </c>
      <c r="B9" s="2" t="s">
        <v>117</v>
      </c>
      <c r="C9" s="2" t="s">
        <v>19</v>
      </c>
      <c r="D9" s="5">
        <v>128.96</v>
      </c>
      <c r="E9" s="2">
        <v>1</v>
      </c>
      <c r="F9" s="5">
        <v>128.96</v>
      </c>
      <c r="G9" s="2">
        <v>865</v>
      </c>
      <c r="H9" s="5">
        <v>111550.4</v>
      </c>
      <c r="I9" s="8">
        <v>8.4</v>
      </c>
      <c r="J9" s="2" t="s">
        <v>98</v>
      </c>
      <c r="K9" s="2" t="s">
        <v>68</v>
      </c>
      <c r="L9" s="2">
        <v>931</v>
      </c>
      <c r="M9" s="10">
        <v>45860</v>
      </c>
      <c r="N9" s="2" t="s">
        <v>118</v>
      </c>
      <c r="O9" s="2" t="s">
        <v>119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ht="25" customHeight="1" spans="1:36">
      <c r="A10" s="2">
        <v>9</v>
      </c>
      <c r="B10" s="2" t="s">
        <v>120</v>
      </c>
      <c r="C10" s="2" t="s">
        <v>19</v>
      </c>
      <c r="D10" s="5">
        <v>269.45</v>
      </c>
      <c r="E10" s="2">
        <v>1</v>
      </c>
      <c r="F10" s="5">
        <v>269.45</v>
      </c>
      <c r="G10" s="2">
        <v>817</v>
      </c>
      <c r="H10" s="5">
        <v>225529.65</v>
      </c>
      <c r="I10" s="8">
        <v>15.6</v>
      </c>
      <c r="J10" s="2" t="s">
        <v>121</v>
      </c>
      <c r="K10" s="2" t="s">
        <v>68</v>
      </c>
      <c r="L10" s="2">
        <v>617</v>
      </c>
      <c r="M10" s="10">
        <v>46176</v>
      </c>
      <c r="N10" s="2" t="s">
        <v>122</v>
      </c>
      <c r="O10" s="2" t="s">
        <v>123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ht="25" customHeight="1" spans="1:36">
      <c r="A11" s="2">
        <v>10</v>
      </c>
      <c r="B11" s="2" t="s">
        <v>124</v>
      </c>
      <c r="C11" s="2" t="s">
        <v>25</v>
      </c>
      <c r="D11" s="5">
        <v>314.1</v>
      </c>
      <c r="E11" s="2">
        <v>1</v>
      </c>
      <c r="F11" s="5">
        <v>314.1</v>
      </c>
      <c r="G11" s="2">
        <v>782</v>
      </c>
      <c r="H11" s="5">
        <v>253478.7</v>
      </c>
      <c r="I11" s="8">
        <v>84.7</v>
      </c>
      <c r="J11" s="2" t="s">
        <v>125</v>
      </c>
      <c r="K11" s="2" t="s">
        <v>68</v>
      </c>
      <c r="L11" s="2">
        <v>992</v>
      </c>
      <c r="M11" s="10">
        <v>45806</v>
      </c>
      <c r="N11" s="2" t="s">
        <v>126</v>
      </c>
      <c r="O11" s="2" t="s">
        <v>127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ht="25" customHeight="1" spans="1:36">
      <c r="A12" s="2">
        <v>11</v>
      </c>
      <c r="B12" s="2" t="s">
        <v>128</v>
      </c>
      <c r="C12" s="2" t="s">
        <v>21</v>
      </c>
      <c r="D12" s="5">
        <v>292.57</v>
      </c>
      <c r="E12" s="2">
        <v>1</v>
      </c>
      <c r="F12" s="5">
        <v>292.57</v>
      </c>
      <c r="G12" s="2">
        <v>743</v>
      </c>
      <c r="H12" s="5">
        <v>217379.51</v>
      </c>
      <c r="I12" s="8">
        <v>1.7</v>
      </c>
      <c r="J12" s="2" t="s">
        <v>129</v>
      </c>
      <c r="K12" s="2" t="s">
        <v>69</v>
      </c>
      <c r="L12" s="2">
        <v>780</v>
      </c>
      <c r="M12" s="10">
        <v>45951</v>
      </c>
      <c r="N12" s="2" t="s">
        <v>130</v>
      </c>
      <c r="O12" s="2" t="s">
        <v>131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ht="25" customHeight="1" spans="1:36">
      <c r="A13" s="2">
        <v>12</v>
      </c>
      <c r="B13" s="2" t="s">
        <v>132</v>
      </c>
      <c r="C13" s="2" t="s">
        <v>19</v>
      </c>
      <c r="D13" s="5">
        <v>154.85</v>
      </c>
      <c r="E13" s="2">
        <v>1</v>
      </c>
      <c r="F13" s="5">
        <v>154.85</v>
      </c>
      <c r="G13" s="2">
        <v>705</v>
      </c>
      <c r="H13" s="5">
        <v>113505.05</v>
      </c>
      <c r="I13" s="8">
        <v>2.2</v>
      </c>
      <c r="J13" s="2" t="s">
        <v>133</v>
      </c>
      <c r="K13" s="2" t="s">
        <v>68</v>
      </c>
      <c r="L13" s="2">
        <v>60</v>
      </c>
      <c r="M13" s="10">
        <v>45759</v>
      </c>
      <c r="N13" s="2" t="s">
        <v>134</v>
      </c>
      <c r="O13" s="2" t="s">
        <v>135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ht="25" customHeight="1" spans="1:36">
      <c r="A14" s="2">
        <v>13</v>
      </c>
      <c r="B14" s="2" t="s">
        <v>136</v>
      </c>
      <c r="C14" s="2" t="s">
        <v>25</v>
      </c>
      <c r="D14" s="5">
        <v>273.47</v>
      </c>
      <c r="E14" s="2">
        <v>1</v>
      </c>
      <c r="F14" s="5">
        <v>273.47</v>
      </c>
      <c r="G14" s="2">
        <v>679</v>
      </c>
      <c r="H14" s="5">
        <v>185686.13</v>
      </c>
      <c r="I14" s="8">
        <v>6.5</v>
      </c>
      <c r="J14" s="2" t="s">
        <v>137</v>
      </c>
      <c r="K14" s="2" t="s">
        <v>69</v>
      </c>
      <c r="L14" s="2">
        <v>741</v>
      </c>
      <c r="M14" s="10">
        <v>45951</v>
      </c>
      <c r="N14" s="2" t="s">
        <v>138</v>
      </c>
      <c r="O14" s="2" t="s">
        <v>139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ht="25" customHeight="1" spans="1:36">
      <c r="A15" s="2">
        <v>16</v>
      </c>
      <c r="B15" s="2" t="s">
        <v>140</v>
      </c>
      <c r="C15" s="2" t="s">
        <v>21</v>
      </c>
      <c r="D15" s="5">
        <v>190</v>
      </c>
      <c r="E15" s="2">
        <v>1</v>
      </c>
      <c r="F15" s="5">
        <v>190</v>
      </c>
      <c r="G15" s="2">
        <v>642</v>
      </c>
      <c r="H15" s="5">
        <v>127680</v>
      </c>
      <c r="I15" s="8">
        <v>26.7</v>
      </c>
      <c r="J15" s="2" t="s">
        <v>141</v>
      </c>
      <c r="K15" s="2" t="s">
        <v>68</v>
      </c>
      <c r="L15" s="2">
        <v>204</v>
      </c>
      <c r="M15" s="10">
        <v>46065</v>
      </c>
      <c r="N15" s="2" t="s">
        <v>142</v>
      </c>
      <c r="O15" s="2" t="s">
        <v>143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ht="25" customHeight="1" spans="1:36">
      <c r="A16" s="2">
        <v>17</v>
      </c>
      <c r="B16" s="2" t="s">
        <v>144</v>
      </c>
      <c r="C16" s="2" t="s">
        <v>21</v>
      </c>
      <c r="D16" s="5">
        <v>237.5</v>
      </c>
      <c r="E16" s="2">
        <v>2</v>
      </c>
      <c r="F16" s="5">
        <v>118.75</v>
      </c>
      <c r="G16" s="2">
        <v>589</v>
      </c>
      <c r="H16" s="5">
        <v>139887.5</v>
      </c>
      <c r="I16" s="8">
        <v>6.4</v>
      </c>
      <c r="J16" s="2" t="s">
        <v>145</v>
      </c>
      <c r="K16" s="2" t="s">
        <v>69</v>
      </c>
      <c r="L16" s="2">
        <v>5</v>
      </c>
      <c r="M16" s="10">
        <v>46177</v>
      </c>
      <c r="N16" s="2" t="s">
        <v>146</v>
      </c>
      <c r="O16" s="2" t="s">
        <v>147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ht="25" customHeight="1" spans="1:36">
      <c r="A17" s="2">
        <v>18</v>
      </c>
      <c r="B17" s="2" t="s">
        <v>148</v>
      </c>
      <c r="C17" s="2" t="s">
        <v>21</v>
      </c>
      <c r="D17" s="5">
        <v>115</v>
      </c>
      <c r="E17" s="2">
        <v>1</v>
      </c>
      <c r="F17" s="5">
        <v>115</v>
      </c>
      <c r="G17" s="2">
        <v>588</v>
      </c>
      <c r="H17" s="5">
        <v>69460</v>
      </c>
      <c r="I17" s="8">
        <v>12.1</v>
      </c>
      <c r="J17" s="2" t="s">
        <v>149</v>
      </c>
      <c r="K17" s="2" t="s">
        <v>68</v>
      </c>
      <c r="L17" s="2">
        <v>1668</v>
      </c>
      <c r="M17" s="10">
        <v>45998</v>
      </c>
      <c r="N17" s="2" t="s">
        <v>150</v>
      </c>
      <c r="O17" s="2" t="s">
        <v>151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ht="25" customHeight="1" spans="1:36">
      <c r="A18" s="2">
        <v>25</v>
      </c>
      <c r="B18" s="2" t="s">
        <v>152</v>
      </c>
      <c r="C18" s="2" t="s">
        <v>19</v>
      </c>
      <c r="D18" s="5">
        <v>296.87</v>
      </c>
      <c r="E18" s="2">
        <v>3</v>
      </c>
      <c r="F18" s="5">
        <v>98.96</v>
      </c>
      <c r="G18" s="2">
        <v>440</v>
      </c>
      <c r="H18" s="5">
        <v>134185.24</v>
      </c>
      <c r="I18" s="8">
        <v>14.6</v>
      </c>
      <c r="J18" s="2" t="s">
        <v>153</v>
      </c>
      <c r="K18" s="2" t="s">
        <v>69</v>
      </c>
      <c r="L18" s="2">
        <v>164</v>
      </c>
      <c r="M18" s="10">
        <v>46148</v>
      </c>
      <c r="N18" s="2" t="s">
        <v>154</v>
      </c>
      <c r="O18" s="2" t="s">
        <v>155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ht="25" customHeight="1" spans="1:36">
      <c r="A19" s="2">
        <v>26</v>
      </c>
      <c r="B19" s="2" t="s">
        <v>156</v>
      </c>
      <c r="C19" s="2" t="s">
        <v>21</v>
      </c>
      <c r="D19" s="5">
        <v>343.51</v>
      </c>
      <c r="E19" s="2">
        <v>1</v>
      </c>
      <c r="F19" s="5">
        <v>343.51</v>
      </c>
      <c r="G19" s="2">
        <v>432</v>
      </c>
      <c r="H19" s="5">
        <v>154923.01</v>
      </c>
      <c r="I19" s="8">
        <v>52.1</v>
      </c>
      <c r="J19" s="2" t="s">
        <v>157</v>
      </c>
      <c r="K19" s="2" t="s">
        <v>69</v>
      </c>
      <c r="L19" s="2">
        <v>157</v>
      </c>
      <c r="M19" s="10">
        <v>45999</v>
      </c>
      <c r="N19" s="2" t="s">
        <v>158</v>
      </c>
      <c r="O19" s="2" t="s">
        <v>159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ht="25" customHeight="1" spans="1:36">
      <c r="A20" s="2">
        <v>30</v>
      </c>
      <c r="B20" s="2" t="s">
        <v>160</v>
      </c>
      <c r="C20" s="2" t="s">
        <v>19</v>
      </c>
      <c r="D20" s="5">
        <v>159</v>
      </c>
      <c r="E20" s="2">
        <v>1</v>
      </c>
      <c r="F20" s="5">
        <v>159</v>
      </c>
      <c r="G20" s="2">
        <v>408</v>
      </c>
      <c r="H20" s="5">
        <v>64872</v>
      </c>
      <c r="I20" s="8">
        <v>25.4</v>
      </c>
      <c r="J20" s="2" t="s">
        <v>102</v>
      </c>
      <c r="K20" s="2" t="s">
        <v>68</v>
      </c>
      <c r="L20" s="2">
        <v>97</v>
      </c>
      <c r="M20" s="10">
        <v>46121</v>
      </c>
      <c r="N20" s="2" t="s">
        <v>161</v>
      </c>
      <c r="O20" s="2" t="s">
        <v>162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ht="25" customHeight="1" spans="1:36">
      <c r="A21" s="2">
        <v>41</v>
      </c>
      <c r="B21" s="2" t="s">
        <v>163</v>
      </c>
      <c r="C21" s="2" t="s">
        <v>21</v>
      </c>
      <c r="D21" s="5">
        <v>340.86</v>
      </c>
      <c r="E21" s="2">
        <v>1</v>
      </c>
      <c r="F21" s="5">
        <v>340.86</v>
      </c>
      <c r="G21" s="2">
        <v>344</v>
      </c>
      <c r="H21" s="5">
        <v>117255.84</v>
      </c>
      <c r="I21" s="8">
        <v>33.4</v>
      </c>
      <c r="J21" s="2" t="s">
        <v>164</v>
      </c>
      <c r="K21" s="2" t="s">
        <v>68</v>
      </c>
      <c r="L21" s="2">
        <v>0</v>
      </c>
      <c r="M21" s="10">
        <v>46225</v>
      </c>
      <c r="N21" s="2" t="s">
        <v>165</v>
      </c>
      <c r="O21" s="2" t="s">
        <v>166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25" customHeight="1" spans="1:36">
      <c r="A22" s="2">
        <v>59</v>
      </c>
      <c r="B22" s="2" t="s">
        <v>167</v>
      </c>
      <c r="C22" s="2" t="s">
        <v>19</v>
      </c>
      <c r="D22" s="5">
        <v>259.84</v>
      </c>
      <c r="E22" s="2">
        <v>1</v>
      </c>
      <c r="F22" s="5">
        <v>259.84</v>
      </c>
      <c r="G22" s="2">
        <v>266</v>
      </c>
      <c r="H22" s="5">
        <v>71715.84</v>
      </c>
      <c r="I22" s="8">
        <v>10.9</v>
      </c>
      <c r="J22" s="2" t="s">
        <v>168</v>
      </c>
      <c r="K22" s="2" t="s">
        <v>69</v>
      </c>
      <c r="L22" s="2">
        <v>11</v>
      </c>
      <c r="M22" s="10">
        <v>46231</v>
      </c>
      <c r="N22" s="2" t="s">
        <v>169</v>
      </c>
      <c r="O22" s="2" t="s">
        <v>170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25" customHeight="1" spans="1:36">
      <c r="A23" s="2">
        <v>62</v>
      </c>
      <c r="B23" s="2" t="s">
        <v>171</v>
      </c>
      <c r="C23" s="2" t="s">
        <v>21</v>
      </c>
      <c r="D23" s="5">
        <v>178.64</v>
      </c>
      <c r="E23" s="2">
        <v>1</v>
      </c>
      <c r="F23" s="5">
        <v>178.64</v>
      </c>
      <c r="G23" s="2">
        <v>264</v>
      </c>
      <c r="H23" s="5">
        <v>47160.96</v>
      </c>
      <c r="I23" s="8">
        <v>20.1</v>
      </c>
      <c r="J23" s="2" t="s">
        <v>172</v>
      </c>
      <c r="K23" s="2" t="s">
        <v>69</v>
      </c>
      <c r="L23" s="2">
        <v>70</v>
      </c>
      <c r="M23" s="10">
        <v>46259</v>
      </c>
      <c r="N23" s="2" t="s">
        <v>173</v>
      </c>
      <c r="O23" s="2" t="s">
        <v>174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25" customHeight="1" spans="1:36">
      <c r="A24" s="2">
        <v>71</v>
      </c>
      <c r="B24" s="2" t="s">
        <v>175</v>
      </c>
      <c r="C24" s="2" t="s">
        <v>21</v>
      </c>
      <c r="D24" s="5">
        <v>273</v>
      </c>
      <c r="E24" s="2">
        <v>1</v>
      </c>
      <c r="F24" s="5">
        <v>273</v>
      </c>
      <c r="G24" s="2">
        <v>241</v>
      </c>
      <c r="H24" s="5">
        <v>68523</v>
      </c>
      <c r="I24" s="8">
        <v>16.1</v>
      </c>
      <c r="J24" s="2" t="s">
        <v>141</v>
      </c>
      <c r="K24" s="2" t="s">
        <v>68</v>
      </c>
      <c r="L24" s="2">
        <v>207</v>
      </c>
      <c r="M24" s="10">
        <v>46247</v>
      </c>
      <c r="N24" s="2" t="s">
        <v>176</v>
      </c>
      <c r="O24" s="2" t="s">
        <v>177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25" customHeight="1" spans="1:36">
      <c r="A25" s="2">
        <v>72</v>
      </c>
      <c r="B25" s="2" t="s">
        <v>178</v>
      </c>
      <c r="C25" s="2" t="s">
        <v>19</v>
      </c>
      <c r="D25" s="5">
        <v>292.23</v>
      </c>
      <c r="E25" s="2">
        <v>2</v>
      </c>
      <c r="F25" s="5">
        <v>146.12</v>
      </c>
      <c r="G25" s="2">
        <v>239</v>
      </c>
      <c r="H25" s="5">
        <v>71888.58</v>
      </c>
      <c r="I25" s="8">
        <v>33.8</v>
      </c>
      <c r="J25" s="2" t="s">
        <v>168</v>
      </c>
      <c r="K25" s="2" t="s">
        <v>69</v>
      </c>
      <c r="L25" s="2">
        <v>6</v>
      </c>
      <c r="M25" s="10">
        <v>46231</v>
      </c>
      <c r="N25" s="2" t="s">
        <v>179</v>
      </c>
      <c r="O25" s="2" t="s">
        <v>180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25" customHeight="1" spans="1:36">
      <c r="A26" s="2">
        <v>86</v>
      </c>
      <c r="B26" s="2" t="s">
        <v>181</v>
      </c>
      <c r="C26" s="2" t="s">
        <v>21</v>
      </c>
      <c r="D26" s="5">
        <v>187.74</v>
      </c>
      <c r="E26" s="2">
        <v>2</v>
      </c>
      <c r="F26" s="5">
        <v>93.87</v>
      </c>
      <c r="G26" s="2">
        <v>218</v>
      </c>
      <c r="H26" s="5">
        <v>42053.76</v>
      </c>
      <c r="I26" s="8">
        <v>24.4</v>
      </c>
      <c r="J26" s="2" t="s">
        <v>182</v>
      </c>
      <c r="K26" s="2" t="s">
        <v>68</v>
      </c>
      <c r="L26" s="2">
        <v>7</v>
      </c>
      <c r="M26" s="10">
        <v>46264</v>
      </c>
      <c r="N26" s="2" t="s">
        <v>183</v>
      </c>
      <c r="O26" s="2" t="s">
        <v>184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25" customHeight="1" spans="1:36">
      <c r="A27" s="2">
        <v>96</v>
      </c>
      <c r="B27" s="2" t="s">
        <v>185</v>
      </c>
      <c r="C27" s="2" t="s">
        <v>27</v>
      </c>
      <c r="D27" s="5">
        <v>192.75</v>
      </c>
      <c r="E27" s="2">
        <v>1</v>
      </c>
      <c r="F27" s="5">
        <v>192.75</v>
      </c>
      <c r="G27" s="2">
        <v>192</v>
      </c>
      <c r="H27" s="5">
        <v>37008</v>
      </c>
      <c r="I27" s="8">
        <v>10.3</v>
      </c>
      <c r="J27" s="2" t="s">
        <v>186</v>
      </c>
      <c r="K27" s="2" t="s">
        <v>69</v>
      </c>
      <c r="L27" s="2">
        <v>15</v>
      </c>
      <c r="M27" s="10">
        <v>46219</v>
      </c>
      <c r="N27" s="2" t="s">
        <v>187</v>
      </c>
      <c r="O27" s="2" t="s">
        <v>188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03"/>
  <sheetViews>
    <sheetView showGridLines="0" tabSelected="1" workbookViewId="0">
      <pane ySplit="3" topLeftCell="A4" activePane="bottomLeft" state="frozen"/>
      <selection/>
      <selection pane="bottomLeft" activeCell="A1" sqref="A1"/>
    </sheetView>
  </sheetViews>
  <sheetFormatPr defaultColWidth="9" defaultRowHeight="13.8"/>
  <cols>
    <col min="1" max="1" width="9" customWidth="1"/>
    <col min="2" max="2" width="19" customWidth="1"/>
    <col min="3" max="3" width="57" customWidth="1"/>
    <col min="4" max="4" width="22" customWidth="1"/>
    <col min="5" max="9" width="17" customWidth="1"/>
    <col min="10" max="28" width="16" customWidth="1"/>
    <col min="29" max="33" width="14" customWidth="1"/>
    <col min="34" max="34" width="43" customWidth="1"/>
    <col min="35" max="35" width="33" customWidth="1"/>
    <col min="36" max="36" width="14" customWidth="1"/>
  </cols>
  <sheetData>
    <row r="1" ht="19.2" spans="1:36">
      <c r="A1" s="1" t="s">
        <v>189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3" t="s">
        <v>190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34" customHeight="1" spans="1:36">
      <c r="A3" s="4" t="s">
        <v>88</v>
      </c>
      <c r="B3" s="4" t="s">
        <v>89</v>
      </c>
      <c r="C3" s="4" t="s">
        <v>191</v>
      </c>
      <c r="D3" s="4" t="s">
        <v>192</v>
      </c>
      <c r="E3" s="4" t="s">
        <v>193</v>
      </c>
      <c r="F3" s="4" t="s">
        <v>194</v>
      </c>
      <c r="G3" s="4" t="s">
        <v>195</v>
      </c>
      <c r="H3" s="4" t="s">
        <v>196</v>
      </c>
      <c r="I3" s="4" t="s">
        <v>66</v>
      </c>
      <c r="J3" s="4" t="s">
        <v>45</v>
      </c>
      <c r="K3" s="4" t="s">
        <v>90</v>
      </c>
      <c r="L3" s="4" t="s">
        <v>91</v>
      </c>
      <c r="M3" s="4" t="s">
        <v>197</v>
      </c>
      <c r="N3" s="4" t="s">
        <v>14</v>
      </c>
      <c r="O3" s="4" t="s">
        <v>198</v>
      </c>
      <c r="P3" s="4" t="s">
        <v>199</v>
      </c>
      <c r="Q3" s="4" t="s">
        <v>200</v>
      </c>
      <c r="R3" s="4" t="s">
        <v>201</v>
      </c>
      <c r="S3" s="4" t="s">
        <v>202</v>
      </c>
      <c r="T3" s="4" t="s">
        <v>92</v>
      </c>
      <c r="U3" s="4" t="s">
        <v>203</v>
      </c>
      <c r="V3" s="4" t="s">
        <v>93</v>
      </c>
      <c r="W3" s="4" t="s">
        <v>204</v>
      </c>
      <c r="X3" s="4" t="s">
        <v>205</v>
      </c>
      <c r="Y3" s="4" t="s">
        <v>94</v>
      </c>
      <c r="Z3" s="4" t="s">
        <v>206</v>
      </c>
      <c r="AA3" s="4" t="s">
        <v>207</v>
      </c>
      <c r="AB3" s="4" t="s">
        <v>208</v>
      </c>
      <c r="AC3" s="4" t="s">
        <v>209</v>
      </c>
      <c r="AD3" s="4" t="s">
        <v>210</v>
      </c>
      <c r="AE3" s="4" t="s">
        <v>211</v>
      </c>
      <c r="AF3" s="4" t="s">
        <v>212</v>
      </c>
      <c r="AG3" s="4" t="s">
        <v>213</v>
      </c>
      <c r="AH3" s="4" t="s">
        <v>96</v>
      </c>
      <c r="AI3" s="4" t="s">
        <v>214</v>
      </c>
      <c r="AJ3" s="4" t="s">
        <v>215</v>
      </c>
    </row>
    <row r="4" ht="23" customHeight="1" spans="1:36">
      <c r="A4" s="2">
        <v>1</v>
      </c>
      <c r="B4" s="2" t="s">
        <v>97</v>
      </c>
      <c r="C4" s="2" t="s">
        <v>216</v>
      </c>
      <c r="D4" s="2" t="s">
        <v>19</v>
      </c>
      <c r="E4" s="2" t="s">
        <v>50</v>
      </c>
      <c r="F4" s="2" t="s">
        <v>98</v>
      </c>
      <c r="G4" s="2" t="s">
        <v>77</v>
      </c>
      <c r="H4" s="2" t="s">
        <v>217</v>
      </c>
      <c r="I4" s="2" t="s">
        <v>68</v>
      </c>
      <c r="J4" s="5">
        <v>133.91</v>
      </c>
      <c r="K4" s="2">
        <v>1</v>
      </c>
      <c r="L4" s="5">
        <v>133.91</v>
      </c>
      <c r="M4" s="6">
        <v>393</v>
      </c>
      <c r="N4" s="6">
        <v>1340</v>
      </c>
      <c r="O4" s="6">
        <v>3558</v>
      </c>
      <c r="P4" s="6">
        <v>12756</v>
      </c>
      <c r="Q4" s="5">
        <v>183590.61</v>
      </c>
      <c r="R4" s="7">
        <f t="shared" ref="R4:R67" si="0">IFERROR(M4*30/(N4*7),0)</f>
        <v>1.25692963752665</v>
      </c>
      <c r="S4" s="2">
        <v>316</v>
      </c>
      <c r="T4" s="8">
        <f t="shared" ref="T4:T67" si="1">IFERROR(S4*30/N4,0)</f>
        <v>7.07462686567164</v>
      </c>
      <c r="U4" s="2" t="s">
        <v>218</v>
      </c>
      <c r="V4" s="2">
        <v>931</v>
      </c>
      <c r="W4" s="2">
        <v>4.6</v>
      </c>
      <c r="X4" s="9">
        <v>0.1177</v>
      </c>
      <c r="Y4" s="10">
        <v>45860</v>
      </c>
      <c r="Z4" s="2" t="s">
        <v>219</v>
      </c>
      <c r="AA4" s="2">
        <v>5</v>
      </c>
      <c r="AB4" s="11">
        <v>0.169284467713787</v>
      </c>
      <c r="AC4" s="2" t="s">
        <v>220</v>
      </c>
      <c r="AD4" s="2" t="s">
        <v>221</v>
      </c>
      <c r="AE4" s="2" t="s">
        <v>222</v>
      </c>
      <c r="AF4" s="2" t="s">
        <v>223</v>
      </c>
      <c r="AG4" s="2" t="s">
        <v>224</v>
      </c>
      <c r="AH4" s="2" t="s">
        <v>100</v>
      </c>
      <c r="AI4" s="2" t="s">
        <v>225</v>
      </c>
      <c r="AJ4" s="2">
        <v>1</v>
      </c>
    </row>
    <row r="5" ht="23" customHeight="1" spans="1:36">
      <c r="A5" s="2">
        <v>2</v>
      </c>
      <c r="B5" s="2" t="s">
        <v>101</v>
      </c>
      <c r="C5" s="2" t="s">
        <v>226</v>
      </c>
      <c r="D5" s="2" t="s">
        <v>19</v>
      </c>
      <c r="E5" s="2" t="s">
        <v>50</v>
      </c>
      <c r="F5" s="2" t="s">
        <v>102</v>
      </c>
      <c r="G5" s="2" t="s">
        <v>73</v>
      </c>
      <c r="H5" s="2" t="s">
        <v>227</v>
      </c>
      <c r="I5" s="2" t="s">
        <v>68</v>
      </c>
      <c r="J5" s="5">
        <v>128.96</v>
      </c>
      <c r="K5" s="2">
        <v>1</v>
      </c>
      <c r="L5" s="5">
        <v>128.96</v>
      </c>
      <c r="M5" s="6">
        <v>321</v>
      </c>
      <c r="N5" s="6">
        <v>1241</v>
      </c>
      <c r="O5" s="6">
        <v>3834</v>
      </c>
      <c r="P5" s="6">
        <v>6295</v>
      </c>
      <c r="Q5" s="5">
        <v>160039.36</v>
      </c>
      <c r="R5" s="7">
        <f t="shared" si="0"/>
        <v>1.10855301024519</v>
      </c>
      <c r="S5" s="2">
        <v>1092</v>
      </c>
      <c r="T5" s="8">
        <f t="shared" si="1"/>
        <v>26.3980660757454</v>
      </c>
      <c r="U5" s="2" t="s">
        <v>218</v>
      </c>
      <c r="V5" s="2">
        <v>1411</v>
      </c>
      <c r="W5" s="2">
        <v>4.5</v>
      </c>
      <c r="X5" s="9">
        <v>0.1363</v>
      </c>
      <c r="Y5" s="10">
        <v>46127</v>
      </c>
      <c r="Z5" s="2" t="s">
        <v>228</v>
      </c>
      <c r="AA5" s="2">
        <v>14</v>
      </c>
      <c r="AB5" s="11">
        <v>0.0534804753820034</v>
      </c>
      <c r="AC5" s="2" t="s">
        <v>229</v>
      </c>
      <c r="AD5" s="2" t="s">
        <v>221</v>
      </c>
      <c r="AE5" s="2" t="s">
        <v>222</v>
      </c>
      <c r="AF5" s="2" t="s">
        <v>230</v>
      </c>
      <c r="AG5" s="2" t="s">
        <v>224</v>
      </c>
      <c r="AH5" s="2" t="s">
        <v>104</v>
      </c>
      <c r="AI5" s="2" t="s">
        <v>225</v>
      </c>
      <c r="AJ5" s="2">
        <v>1</v>
      </c>
    </row>
    <row r="6" ht="23" customHeight="1" spans="1:36">
      <c r="A6" s="2">
        <v>3</v>
      </c>
      <c r="B6" s="2" t="s">
        <v>105</v>
      </c>
      <c r="C6" s="2" t="s">
        <v>231</v>
      </c>
      <c r="D6" s="2" t="s">
        <v>25</v>
      </c>
      <c r="E6" s="2" t="s">
        <v>56</v>
      </c>
      <c r="F6" s="2" t="s">
        <v>106</v>
      </c>
      <c r="G6" s="2" t="s">
        <v>232</v>
      </c>
      <c r="H6" s="2" t="s">
        <v>233</v>
      </c>
      <c r="I6" s="2" t="s">
        <v>68</v>
      </c>
      <c r="J6" s="5">
        <v>239</v>
      </c>
      <c r="K6" s="2">
        <v>2</v>
      </c>
      <c r="L6" s="5">
        <v>119.5</v>
      </c>
      <c r="M6" s="6">
        <v>244</v>
      </c>
      <c r="N6" s="6">
        <v>1007</v>
      </c>
      <c r="O6" s="6">
        <v>2226</v>
      </c>
      <c r="P6" s="6">
        <v>6970</v>
      </c>
      <c r="Q6" s="5">
        <v>240673</v>
      </c>
      <c r="R6" s="7">
        <f t="shared" si="0"/>
        <v>1.03844516952759</v>
      </c>
      <c r="S6" s="2">
        <v>1079</v>
      </c>
      <c r="T6" s="8">
        <f t="shared" si="1"/>
        <v>32.1449851042701</v>
      </c>
      <c r="U6" s="2" t="s">
        <v>218</v>
      </c>
      <c r="V6" s="2">
        <v>35</v>
      </c>
      <c r="W6" s="2">
        <v>5</v>
      </c>
      <c r="X6" s="9">
        <v>0.0625</v>
      </c>
      <c r="Y6" s="10">
        <v>45924</v>
      </c>
      <c r="Z6" s="2" t="s">
        <v>219</v>
      </c>
      <c r="AA6" s="2"/>
      <c r="AB6" s="11">
        <v>0.0770053475935829</v>
      </c>
      <c r="AC6" s="2" t="s">
        <v>234</v>
      </c>
      <c r="AD6" s="2" t="s">
        <v>235</v>
      </c>
      <c r="AE6" s="2" t="s">
        <v>236</v>
      </c>
      <c r="AF6" s="2" t="s">
        <v>237</v>
      </c>
      <c r="AG6" s="2" t="s">
        <v>224</v>
      </c>
      <c r="AH6" s="2" t="s">
        <v>108</v>
      </c>
      <c r="AI6" s="2" t="s">
        <v>225</v>
      </c>
      <c r="AJ6" s="2">
        <v>1</v>
      </c>
    </row>
    <row r="7" ht="23" customHeight="1" spans="1:36">
      <c r="A7" s="2">
        <v>4</v>
      </c>
      <c r="B7" s="2" t="s">
        <v>109</v>
      </c>
      <c r="C7" s="2" t="s">
        <v>238</v>
      </c>
      <c r="D7" s="2" t="s">
        <v>23</v>
      </c>
      <c r="E7" s="2" t="s">
        <v>56</v>
      </c>
      <c r="F7" s="2" t="s">
        <v>110</v>
      </c>
      <c r="G7" s="2" t="s">
        <v>239</v>
      </c>
      <c r="H7" s="2" t="s">
        <v>240</v>
      </c>
      <c r="I7" s="2" t="s">
        <v>69</v>
      </c>
      <c r="J7" s="5">
        <v>217.9</v>
      </c>
      <c r="K7" s="2">
        <v>6</v>
      </c>
      <c r="L7" s="5">
        <v>36.32</v>
      </c>
      <c r="M7" s="6">
        <v>142</v>
      </c>
      <c r="N7" s="6">
        <v>987</v>
      </c>
      <c r="O7" s="6">
        <v>1656</v>
      </c>
      <c r="P7" s="6">
        <v>1656</v>
      </c>
      <c r="Q7" s="5">
        <v>215067.3</v>
      </c>
      <c r="R7" s="7">
        <f t="shared" si="0"/>
        <v>0.616587060356057</v>
      </c>
      <c r="S7" s="2">
        <v>184</v>
      </c>
      <c r="T7" s="8">
        <f t="shared" si="1"/>
        <v>5.59270516717325</v>
      </c>
      <c r="U7" s="2" t="s">
        <v>218</v>
      </c>
      <c r="V7" s="2">
        <v>101</v>
      </c>
      <c r="W7" s="2">
        <v>4.7</v>
      </c>
      <c r="X7" s="9">
        <v>0.0769</v>
      </c>
      <c r="Y7" s="10">
        <v>46202</v>
      </c>
      <c r="Z7" s="2" t="s">
        <v>241</v>
      </c>
      <c r="AA7" s="2">
        <v>2</v>
      </c>
      <c r="AB7" s="11">
        <v>0.41</v>
      </c>
      <c r="AC7" s="2" t="s">
        <v>242</v>
      </c>
      <c r="AD7" s="2" t="s">
        <v>243</v>
      </c>
      <c r="AE7" s="2" t="s">
        <v>244</v>
      </c>
      <c r="AF7" s="2" t="s">
        <v>245</v>
      </c>
      <c r="AG7" s="2" t="s">
        <v>224</v>
      </c>
      <c r="AH7" s="2" t="s">
        <v>112</v>
      </c>
      <c r="AI7" s="2" t="s">
        <v>225</v>
      </c>
      <c r="AJ7" s="2">
        <v>1</v>
      </c>
    </row>
    <row r="8" ht="23" customHeight="1" spans="1:36">
      <c r="A8" s="2">
        <v>5</v>
      </c>
      <c r="B8" s="2" t="s">
        <v>113</v>
      </c>
      <c r="C8" s="2" t="s">
        <v>246</v>
      </c>
      <c r="D8" s="2" t="s">
        <v>19</v>
      </c>
      <c r="E8" s="2" t="s">
        <v>53</v>
      </c>
      <c r="F8" s="2" t="s">
        <v>114</v>
      </c>
      <c r="G8" s="2" t="s">
        <v>82</v>
      </c>
      <c r="H8" s="2" t="s">
        <v>247</v>
      </c>
      <c r="I8" s="2" t="s">
        <v>68</v>
      </c>
      <c r="J8" s="5">
        <v>184.19</v>
      </c>
      <c r="K8" s="2">
        <v>1</v>
      </c>
      <c r="L8" s="5">
        <v>184.19</v>
      </c>
      <c r="M8" s="6">
        <v>134</v>
      </c>
      <c r="N8" s="6">
        <v>902</v>
      </c>
      <c r="O8" s="6">
        <v>1377</v>
      </c>
      <c r="P8" s="6">
        <v>1377</v>
      </c>
      <c r="Q8" s="5">
        <v>166139.38</v>
      </c>
      <c r="R8" s="7">
        <f t="shared" si="0"/>
        <v>0.636680392777954</v>
      </c>
      <c r="S8" s="2">
        <v>547</v>
      </c>
      <c r="T8" s="8">
        <f t="shared" si="1"/>
        <v>18.1929046563193</v>
      </c>
      <c r="U8" s="2" t="s">
        <v>218</v>
      </c>
      <c r="V8" s="2">
        <v>353</v>
      </c>
      <c r="W8" s="2">
        <v>4.8</v>
      </c>
      <c r="X8" s="9">
        <v>0.0959</v>
      </c>
      <c r="Y8" s="10">
        <v>46194</v>
      </c>
      <c r="Z8" s="2" t="s">
        <v>228</v>
      </c>
      <c r="AA8" s="2">
        <v>15</v>
      </c>
      <c r="AB8" s="11">
        <v>1.44444444444444</v>
      </c>
      <c r="AC8" s="2" t="s">
        <v>248</v>
      </c>
      <c r="AD8" s="2" t="s">
        <v>249</v>
      </c>
      <c r="AE8" s="2" t="s">
        <v>250</v>
      </c>
      <c r="AF8" s="2" t="s">
        <v>251</v>
      </c>
      <c r="AG8" s="2" t="s">
        <v>224</v>
      </c>
      <c r="AH8" s="2" t="s">
        <v>116</v>
      </c>
      <c r="AI8" s="2" t="s">
        <v>225</v>
      </c>
      <c r="AJ8" s="2">
        <v>1</v>
      </c>
    </row>
    <row r="9" ht="23" customHeight="1" spans="1:36">
      <c r="A9" s="2">
        <v>6</v>
      </c>
      <c r="B9" s="2" t="s">
        <v>117</v>
      </c>
      <c r="C9" s="2" t="s">
        <v>252</v>
      </c>
      <c r="D9" s="2" t="s">
        <v>19</v>
      </c>
      <c r="E9" s="2" t="s">
        <v>50</v>
      </c>
      <c r="F9" s="2" t="s">
        <v>98</v>
      </c>
      <c r="G9" s="2" t="s">
        <v>77</v>
      </c>
      <c r="H9" s="2" t="s">
        <v>217</v>
      </c>
      <c r="I9" s="2" t="s">
        <v>68</v>
      </c>
      <c r="J9" s="5">
        <v>128.96</v>
      </c>
      <c r="K9" s="2">
        <v>1</v>
      </c>
      <c r="L9" s="5">
        <v>128.96</v>
      </c>
      <c r="M9" s="6">
        <v>238</v>
      </c>
      <c r="N9" s="6">
        <v>865</v>
      </c>
      <c r="O9" s="6">
        <v>2940</v>
      </c>
      <c r="P9" s="6">
        <v>9975</v>
      </c>
      <c r="Q9" s="5">
        <v>111550.4</v>
      </c>
      <c r="R9" s="7">
        <f t="shared" si="0"/>
        <v>1.17919075144509</v>
      </c>
      <c r="S9" s="2">
        <v>243</v>
      </c>
      <c r="T9" s="8">
        <f t="shared" si="1"/>
        <v>8.42774566473988</v>
      </c>
      <c r="U9" s="2" t="s">
        <v>218</v>
      </c>
      <c r="V9" s="2">
        <v>931</v>
      </c>
      <c r="W9" s="2">
        <v>4.6</v>
      </c>
      <c r="X9" s="9">
        <v>0.1059</v>
      </c>
      <c r="Y9" s="10">
        <v>45860</v>
      </c>
      <c r="Z9" s="2" t="s">
        <v>219</v>
      </c>
      <c r="AA9" s="2">
        <v>4</v>
      </c>
      <c r="AB9" s="11">
        <v>-0.226988382484361</v>
      </c>
      <c r="AC9" s="2" t="s">
        <v>253</v>
      </c>
      <c r="AD9" s="2" t="s">
        <v>254</v>
      </c>
      <c r="AE9" s="2" t="s">
        <v>250</v>
      </c>
      <c r="AF9" s="2" t="s">
        <v>255</v>
      </c>
      <c r="AG9" s="2" t="s">
        <v>224</v>
      </c>
      <c r="AH9" s="2" t="s">
        <v>119</v>
      </c>
      <c r="AI9" s="2" t="s">
        <v>225</v>
      </c>
      <c r="AJ9" s="2">
        <v>1</v>
      </c>
    </row>
    <row r="10" ht="23" customHeight="1" spans="1:36">
      <c r="A10" s="2">
        <v>7</v>
      </c>
      <c r="B10" s="2" t="s">
        <v>256</v>
      </c>
      <c r="C10" s="2" t="s">
        <v>257</v>
      </c>
      <c r="D10" s="2" t="s">
        <v>32</v>
      </c>
      <c r="E10" s="2" t="s">
        <v>56</v>
      </c>
      <c r="F10" s="2" t="s">
        <v>258</v>
      </c>
      <c r="G10" s="2" t="s">
        <v>259</v>
      </c>
      <c r="H10" s="2" t="s">
        <v>260</v>
      </c>
      <c r="I10" s="2" t="s">
        <v>68</v>
      </c>
      <c r="J10" s="5">
        <v>298</v>
      </c>
      <c r="K10" s="2">
        <v>1</v>
      </c>
      <c r="L10" s="5">
        <v>298</v>
      </c>
      <c r="M10" s="6">
        <v>223</v>
      </c>
      <c r="N10" s="6">
        <v>860</v>
      </c>
      <c r="O10" s="6">
        <v>1388</v>
      </c>
      <c r="P10" s="6">
        <v>2665</v>
      </c>
      <c r="Q10" s="5">
        <v>256280</v>
      </c>
      <c r="R10" s="7">
        <f t="shared" si="0"/>
        <v>1.11129568106312</v>
      </c>
      <c r="S10" s="2">
        <v>110</v>
      </c>
      <c r="T10" s="8">
        <f t="shared" si="1"/>
        <v>3.83720930232558</v>
      </c>
      <c r="U10" s="2" t="s">
        <v>218</v>
      </c>
      <c r="V10" s="2">
        <v>340</v>
      </c>
      <c r="W10" s="2">
        <v>4.7</v>
      </c>
      <c r="X10" s="9">
        <v>0.0766</v>
      </c>
      <c r="Y10" s="10">
        <v>46065</v>
      </c>
      <c r="Z10" s="2" t="s">
        <v>219</v>
      </c>
      <c r="AA10" s="2">
        <v>6</v>
      </c>
      <c r="AB10" s="11">
        <v>2.13868613138686</v>
      </c>
      <c r="AC10" s="2" t="s">
        <v>261</v>
      </c>
      <c r="AD10" s="2" t="s">
        <v>262</v>
      </c>
      <c r="AE10" s="2" t="s">
        <v>263</v>
      </c>
      <c r="AF10" s="2" t="s">
        <v>264</v>
      </c>
      <c r="AG10" s="2" t="s">
        <v>224</v>
      </c>
      <c r="AH10" s="2" t="s">
        <v>265</v>
      </c>
      <c r="AI10" s="2" t="s">
        <v>225</v>
      </c>
      <c r="AJ10" s="2">
        <v>0</v>
      </c>
    </row>
    <row r="11" ht="23" customHeight="1" spans="1:36">
      <c r="A11" s="2">
        <v>8</v>
      </c>
      <c r="B11" s="2" t="s">
        <v>266</v>
      </c>
      <c r="C11" s="2" t="s">
        <v>267</v>
      </c>
      <c r="D11" s="2" t="s">
        <v>30</v>
      </c>
      <c r="E11" s="2" t="s">
        <v>53</v>
      </c>
      <c r="F11" s="2" t="s">
        <v>268</v>
      </c>
      <c r="G11" s="2" t="s">
        <v>269</v>
      </c>
      <c r="H11" s="2" t="s">
        <v>270</v>
      </c>
      <c r="I11" s="2" t="s">
        <v>68</v>
      </c>
      <c r="J11" s="5">
        <v>199.99</v>
      </c>
      <c r="K11" s="2">
        <v>6</v>
      </c>
      <c r="L11" s="5">
        <v>33.33</v>
      </c>
      <c r="M11" s="6">
        <v>73</v>
      </c>
      <c r="N11" s="6">
        <v>841</v>
      </c>
      <c r="O11" s="6">
        <v>2653</v>
      </c>
      <c r="P11" s="6">
        <v>4340</v>
      </c>
      <c r="Q11" s="5">
        <v>168191.59</v>
      </c>
      <c r="R11" s="7">
        <f t="shared" si="0"/>
        <v>0.372006115169016</v>
      </c>
      <c r="S11" s="2">
        <v>231</v>
      </c>
      <c r="T11" s="8">
        <f t="shared" si="1"/>
        <v>8.24019024970274</v>
      </c>
      <c r="U11" s="2" t="s">
        <v>218</v>
      </c>
      <c r="V11" s="2">
        <v>0</v>
      </c>
      <c r="W11" s="2">
        <v>0</v>
      </c>
      <c r="X11" s="9">
        <v>0.0599</v>
      </c>
      <c r="Y11" s="10">
        <v>45970</v>
      </c>
      <c r="Z11" s="2" t="s">
        <v>219</v>
      </c>
      <c r="AA11" s="2"/>
      <c r="AB11" s="11">
        <v>-0.18900675024108</v>
      </c>
      <c r="AC11" s="2" t="s">
        <v>271</v>
      </c>
      <c r="AD11" s="2" t="s">
        <v>272</v>
      </c>
      <c r="AE11" s="2" t="s">
        <v>273</v>
      </c>
      <c r="AF11" s="2" t="s">
        <v>245</v>
      </c>
      <c r="AG11" s="2" t="s">
        <v>224</v>
      </c>
      <c r="AH11" s="2" t="s">
        <v>274</v>
      </c>
      <c r="AI11" s="2" t="s">
        <v>225</v>
      </c>
      <c r="AJ11" s="2">
        <v>0</v>
      </c>
    </row>
    <row r="12" ht="23" customHeight="1" spans="1:36">
      <c r="A12" s="2">
        <v>9</v>
      </c>
      <c r="B12" s="2" t="s">
        <v>120</v>
      </c>
      <c r="C12" s="2" t="s">
        <v>275</v>
      </c>
      <c r="D12" s="2" t="s">
        <v>19</v>
      </c>
      <c r="E12" s="2" t="s">
        <v>56</v>
      </c>
      <c r="F12" s="2" t="s">
        <v>121</v>
      </c>
      <c r="G12" s="2" t="s">
        <v>83</v>
      </c>
      <c r="H12" s="2" t="s">
        <v>276</v>
      </c>
      <c r="I12" s="2" t="s">
        <v>68</v>
      </c>
      <c r="J12" s="5">
        <v>269.45</v>
      </c>
      <c r="K12" s="2">
        <v>1</v>
      </c>
      <c r="L12" s="5">
        <v>269.45</v>
      </c>
      <c r="M12" s="6">
        <v>244</v>
      </c>
      <c r="N12" s="6">
        <v>817</v>
      </c>
      <c r="O12" s="6">
        <v>1542</v>
      </c>
      <c r="P12" s="6">
        <v>1654</v>
      </c>
      <c r="Q12" s="5">
        <v>225529.65</v>
      </c>
      <c r="R12" s="7">
        <f t="shared" si="0"/>
        <v>1.27994404616192</v>
      </c>
      <c r="S12" s="2">
        <v>426</v>
      </c>
      <c r="T12" s="8">
        <f t="shared" si="1"/>
        <v>15.6425948592411</v>
      </c>
      <c r="U12" s="2" t="s">
        <v>218</v>
      </c>
      <c r="V12" s="2">
        <v>617</v>
      </c>
      <c r="W12" s="2">
        <v>4.6</v>
      </c>
      <c r="X12" s="9">
        <v>0.0858</v>
      </c>
      <c r="Y12" s="10">
        <v>46176</v>
      </c>
      <c r="Z12" s="2" t="s">
        <v>228</v>
      </c>
      <c r="AA12" s="2">
        <v>20</v>
      </c>
      <c r="AB12" s="11">
        <v>0.361666666666667</v>
      </c>
      <c r="AC12" s="2" t="s">
        <v>277</v>
      </c>
      <c r="AD12" s="2" t="s">
        <v>243</v>
      </c>
      <c r="AE12" s="2" t="s">
        <v>250</v>
      </c>
      <c r="AF12" s="2" t="s">
        <v>278</v>
      </c>
      <c r="AG12" s="2" t="s">
        <v>224</v>
      </c>
      <c r="AH12" s="2" t="s">
        <v>123</v>
      </c>
      <c r="AI12" s="2" t="s">
        <v>225</v>
      </c>
      <c r="AJ12" s="2">
        <v>1</v>
      </c>
    </row>
    <row r="13" ht="23" customHeight="1" spans="1:36">
      <c r="A13" s="2">
        <v>10</v>
      </c>
      <c r="B13" s="2" t="s">
        <v>124</v>
      </c>
      <c r="C13" s="2" t="s">
        <v>279</v>
      </c>
      <c r="D13" s="2" t="s">
        <v>25</v>
      </c>
      <c r="E13" s="2" t="s">
        <v>59</v>
      </c>
      <c r="F13" s="2" t="s">
        <v>125</v>
      </c>
      <c r="G13" s="2" t="s">
        <v>78</v>
      </c>
      <c r="H13" s="2" t="s">
        <v>280</v>
      </c>
      <c r="I13" s="2" t="s">
        <v>68</v>
      </c>
      <c r="J13" s="5">
        <v>314.1</v>
      </c>
      <c r="K13" s="2">
        <v>1</v>
      </c>
      <c r="L13" s="5">
        <v>314.1</v>
      </c>
      <c r="M13" s="6">
        <v>136</v>
      </c>
      <c r="N13" s="6">
        <v>782</v>
      </c>
      <c r="O13" s="6">
        <v>2089</v>
      </c>
      <c r="P13" s="6">
        <v>13686</v>
      </c>
      <c r="Q13" s="5">
        <v>253478.7</v>
      </c>
      <c r="R13" s="7">
        <f t="shared" si="0"/>
        <v>0.745341614906832</v>
      </c>
      <c r="S13" s="2">
        <v>2208</v>
      </c>
      <c r="T13" s="8">
        <f t="shared" si="1"/>
        <v>84.7058823529412</v>
      </c>
      <c r="U13" s="2" t="s">
        <v>218</v>
      </c>
      <c r="V13" s="2">
        <v>992</v>
      </c>
      <c r="W13" s="2">
        <v>4.8</v>
      </c>
      <c r="X13" s="9">
        <v>0.0933</v>
      </c>
      <c r="Y13" s="10">
        <v>45806</v>
      </c>
      <c r="Z13" s="2" t="s">
        <v>219</v>
      </c>
      <c r="AA13" s="2">
        <v>19</v>
      </c>
      <c r="AB13" s="11">
        <v>-0.321180555555556</v>
      </c>
      <c r="AC13" s="2" t="s">
        <v>281</v>
      </c>
      <c r="AD13" s="2" t="s">
        <v>282</v>
      </c>
      <c r="AE13" s="2" t="s">
        <v>283</v>
      </c>
      <c r="AF13" s="2" t="s">
        <v>284</v>
      </c>
      <c r="AG13" s="2" t="s">
        <v>224</v>
      </c>
      <c r="AH13" s="2" t="s">
        <v>127</v>
      </c>
      <c r="AI13" s="2" t="s">
        <v>225</v>
      </c>
      <c r="AJ13" s="2">
        <v>1</v>
      </c>
    </row>
    <row r="14" ht="23" customHeight="1" spans="1:36">
      <c r="A14" s="2">
        <v>11</v>
      </c>
      <c r="B14" s="2" t="s">
        <v>128</v>
      </c>
      <c r="C14" s="2" t="s">
        <v>285</v>
      </c>
      <c r="D14" s="2" t="s">
        <v>21</v>
      </c>
      <c r="E14" s="2" t="s">
        <v>56</v>
      </c>
      <c r="F14" s="2" t="s">
        <v>129</v>
      </c>
      <c r="G14" s="2" t="s">
        <v>286</v>
      </c>
      <c r="H14" s="2" t="s">
        <v>287</v>
      </c>
      <c r="I14" s="2" t="s">
        <v>69</v>
      </c>
      <c r="J14" s="5">
        <v>292.57</v>
      </c>
      <c r="K14" s="2">
        <v>1</v>
      </c>
      <c r="L14" s="5">
        <v>292.57</v>
      </c>
      <c r="M14" s="6">
        <v>118</v>
      </c>
      <c r="N14" s="6">
        <v>743</v>
      </c>
      <c r="O14" s="6">
        <v>2186</v>
      </c>
      <c r="P14" s="6">
        <v>12767</v>
      </c>
      <c r="Q14" s="5">
        <v>217379.51</v>
      </c>
      <c r="R14" s="7">
        <f t="shared" si="0"/>
        <v>0.680638338781004</v>
      </c>
      <c r="S14" s="2">
        <v>41</v>
      </c>
      <c r="T14" s="8">
        <f t="shared" si="1"/>
        <v>1.65545087483176</v>
      </c>
      <c r="U14" s="2" t="s">
        <v>218</v>
      </c>
      <c r="V14" s="2">
        <v>780</v>
      </c>
      <c r="W14" s="2">
        <v>4.6</v>
      </c>
      <c r="X14" s="9">
        <v>0.108</v>
      </c>
      <c r="Y14" s="10">
        <v>45951</v>
      </c>
      <c r="Z14" s="2" t="s">
        <v>219</v>
      </c>
      <c r="AA14" s="2">
        <v>4</v>
      </c>
      <c r="AB14" s="11">
        <v>-0.0223684210526316</v>
      </c>
      <c r="AC14" s="2" t="s">
        <v>288</v>
      </c>
      <c r="AD14" s="2" t="s">
        <v>289</v>
      </c>
      <c r="AE14" s="2" t="s">
        <v>290</v>
      </c>
      <c r="AF14" s="2" t="s">
        <v>291</v>
      </c>
      <c r="AG14" s="2" t="s">
        <v>224</v>
      </c>
      <c r="AH14" s="2" t="s">
        <v>131</v>
      </c>
      <c r="AI14" s="2" t="s">
        <v>225</v>
      </c>
      <c r="AJ14" s="2">
        <v>1</v>
      </c>
    </row>
    <row r="15" ht="23" customHeight="1" spans="1:36">
      <c r="A15" s="2">
        <v>12</v>
      </c>
      <c r="B15" s="2" t="s">
        <v>132</v>
      </c>
      <c r="C15" s="2" t="s">
        <v>292</v>
      </c>
      <c r="D15" s="2" t="s">
        <v>19</v>
      </c>
      <c r="E15" s="2" t="s">
        <v>53</v>
      </c>
      <c r="F15" s="2" t="s">
        <v>133</v>
      </c>
      <c r="G15" s="2" t="s">
        <v>293</v>
      </c>
      <c r="H15" s="2" t="s">
        <v>294</v>
      </c>
      <c r="I15" s="2" t="s">
        <v>68</v>
      </c>
      <c r="J15" s="5">
        <v>154.85</v>
      </c>
      <c r="K15" s="2">
        <v>1</v>
      </c>
      <c r="L15" s="5">
        <v>154.85</v>
      </c>
      <c r="M15" s="6">
        <v>263</v>
      </c>
      <c r="N15" s="6">
        <v>705</v>
      </c>
      <c r="O15" s="6">
        <v>1526</v>
      </c>
      <c r="P15" s="6">
        <v>2762</v>
      </c>
      <c r="Q15" s="5">
        <v>113505.05</v>
      </c>
      <c r="R15" s="7">
        <f t="shared" si="0"/>
        <v>1.59878419452888</v>
      </c>
      <c r="S15" s="2">
        <v>52</v>
      </c>
      <c r="T15" s="8">
        <f t="shared" si="1"/>
        <v>2.21276595744681</v>
      </c>
      <c r="U15" s="2" t="s">
        <v>218</v>
      </c>
      <c r="V15" s="2">
        <v>60</v>
      </c>
      <c r="W15" s="2">
        <v>4.8</v>
      </c>
      <c r="X15" s="9">
        <v>0.1185</v>
      </c>
      <c r="Y15" s="10">
        <v>45759</v>
      </c>
      <c r="Z15" s="2" t="s">
        <v>219</v>
      </c>
      <c r="AA15" s="2"/>
      <c r="AB15" s="11">
        <v>0.532608695652174</v>
      </c>
      <c r="AC15" s="2" t="s">
        <v>295</v>
      </c>
      <c r="AD15" s="2" t="s">
        <v>296</v>
      </c>
      <c r="AE15" s="2" t="s">
        <v>236</v>
      </c>
      <c r="AF15" s="2" t="s">
        <v>255</v>
      </c>
      <c r="AG15" s="2" t="s">
        <v>224</v>
      </c>
      <c r="AH15" s="2" t="s">
        <v>135</v>
      </c>
      <c r="AI15" s="2" t="s">
        <v>225</v>
      </c>
      <c r="AJ15" s="2">
        <v>1</v>
      </c>
    </row>
    <row r="16" ht="23" customHeight="1" spans="1:36">
      <c r="A16" s="2">
        <v>13</v>
      </c>
      <c r="B16" s="2" t="s">
        <v>136</v>
      </c>
      <c r="C16" s="2" t="s">
        <v>297</v>
      </c>
      <c r="D16" s="2" t="s">
        <v>25</v>
      </c>
      <c r="E16" s="2" t="s">
        <v>56</v>
      </c>
      <c r="F16" s="2" t="s">
        <v>137</v>
      </c>
      <c r="G16" s="2" t="s">
        <v>79</v>
      </c>
      <c r="H16" s="2" t="s">
        <v>298</v>
      </c>
      <c r="I16" s="2" t="s">
        <v>69</v>
      </c>
      <c r="J16" s="5">
        <v>273.47</v>
      </c>
      <c r="K16" s="2">
        <v>1</v>
      </c>
      <c r="L16" s="5">
        <v>273.47</v>
      </c>
      <c r="M16" s="6">
        <v>184</v>
      </c>
      <c r="N16" s="6">
        <v>679</v>
      </c>
      <c r="O16" s="6">
        <v>2480</v>
      </c>
      <c r="P16" s="6">
        <v>18851</v>
      </c>
      <c r="Q16" s="5">
        <v>185686.13</v>
      </c>
      <c r="R16" s="7">
        <f t="shared" si="0"/>
        <v>1.16137176520093</v>
      </c>
      <c r="S16" s="2">
        <v>147</v>
      </c>
      <c r="T16" s="8">
        <f t="shared" si="1"/>
        <v>6.49484536082474</v>
      </c>
      <c r="U16" s="2" t="s">
        <v>218</v>
      </c>
      <c r="V16" s="2">
        <v>741</v>
      </c>
      <c r="W16" s="2">
        <v>4.8</v>
      </c>
      <c r="X16" s="9">
        <v>0.3063</v>
      </c>
      <c r="Y16" s="10">
        <v>45951</v>
      </c>
      <c r="Z16" s="2" t="s">
        <v>219</v>
      </c>
      <c r="AA16" s="2">
        <v>10</v>
      </c>
      <c r="AB16" s="11">
        <v>-0.343326885880077</v>
      </c>
      <c r="AC16" s="2" t="s">
        <v>299</v>
      </c>
      <c r="AD16" s="2" t="s">
        <v>300</v>
      </c>
      <c r="AE16" s="2" t="s">
        <v>301</v>
      </c>
      <c r="AF16" s="2" t="s">
        <v>264</v>
      </c>
      <c r="AG16" s="2" t="s">
        <v>224</v>
      </c>
      <c r="AH16" s="2" t="s">
        <v>139</v>
      </c>
      <c r="AI16" s="2" t="s">
        <v>225</v>
      </c>
      <c r="AJ16" s="2">
        <v>1</v>
      </c>
    </row>
    <row r="17" ht="23" customHeight="1" spans="1:36">
      <c r="A17" s="2">
        <v>14</v>
      </c>
      <c r="B17" s="2" t="s">
        <v>302</v>
      </c>
      <c r="C17" s="2" t="s">
        <v>303</v>
      </c>
      <c r="D17" s="2" t="s">
        <v>19</v>
      </c>
      <c r="E17" s="2" t="s">
        <v>53</v>
      </c>
      <c r="F17" s="2" t="s">
        <v>304</v>
      </c>
      <c r="G17" s="2" t="s">
        <v>304</v>
      </c>
      <c r="H17" s="2" t="s">
        <v>247</v>
      </c>
      <c r="I17" s="2" t="s">
        <v>68</v>
      </c>
      <c r="J17" s="5">
        <v>184.19</v>
      </c>
      <c r="K17" s="2">
        <v>1</v>
      </c>
      <c r="L17" s="5">
        <v>184.19</v>
      </c>
      <c r="M17" s="6">
        <v>266</v>
      </c>
      <c r="N17" s="6">
        <v>674</v>
      </c>
      <c r="O17" s="6">
        <v>1661</v>
      </c>
      <c r="P17" s="6">
        <v>6370</v>
      </c>
      <c r="Q17" s="5">
        <v>124144.06</v>
      </c>
      <c r="R17" s="7">
        <f t="shared" si="0"/>
        <v>1.69139465875371</v>
      </c>
      <c r="S17" s="2">
        <v>191</v>
      </c>
      <c r="T17" s="8">
        <f t="shared" si="1"/>
        <v>8.50148367952522</v>
      </c>
      <c r="U17" s="2" t="s">
        <v>218</v>
      </c>
      <c r="V17" s="2">
        <v>319</v>
      </c>
      <c r="W17" s="2">
        <v>4.8</v>
      </c>
      <c r="X17" s="9">
        <v>0.1102</v>
      </c>
      <c r="Y17" s="10">
        <v>45796</v>
      </c>
      <c r="Z17" s="2" t="s">
        <v>219</v>
      </c>
      <c r="AA17" s="2"/>
      <c r="AB17" s="11">
        <v>0.0853462157809984</v>
      </c>
      <c r="AC17" s="2" t="s">
        <v>229</v>
      </c>
      <c r="AD17" s="2" t="s">
        <v>296</v>
      </c>
      <c r="AE17" s="2" t="s">
        <v>305</v>
      </c>
      <c r="AF17" s="2" t="s">
        <v>255</v>
      </c>
      <c r="AG17" s="2" t="s">
        <v>224</v>
      </c>
      <c r="AH17" s="2" t="s">
        <v>306</v>
      </c>
      <c r="AI17" s="2" t="s">
        <v>225</v>
      </c>
      <c r="AJ17" s="2">
        <v>1</v>
      </c>
    </row>
    <row r="18" ht="23" customHeight="1" spans="1:36">
      <c r="A18" s="2">
        <v>15</v>
      </c>
      <c r="B18" s="2" t="s">
        <v>307</v>
      </c>
      <c r="C18" s="2" t="s">
        <v>308</v>
      </c>
      <c r="D18" s="2" t="s">
        <v>23</v>
      </c>
      <c r="E18" s="2" t="s">
        <v>47</v>
      </c>
      <c r="F18" s="2" t="s">
        <v>309</v>
      </c>
      <c r="G18" s="2" t="s">
        <v>75</v>
      </c>
      <c r="H18" s="2" t="s">
        <v>310</v>
      </c>
      <c r="I18" s="2" t="s">
        <v>69</v>
      </c>
      <c r="J18" s="5">
        <v>84.33</v>
      </c>
      <c r="K18" s="2">
        <v>1</v>
      </c>
      <c r="L18" s="5">
        <v>84.33</v>
      </c>
      <c r="M18" s="6">
        <v>174</v>
      </c>
      <c r="N18" s="6">
        <v>644</v>
      </c>
      <c r="O18" s="6">
        <v>1703</v>
      </c>
      <c r="P18" s="6">
        <v>16817</v>
      </c>
      <c r="Q18" s="5">
        <v>55910.79</v>
      </c>
      <c r="R18" s="7">
        <f t="shared" si="0"/>
        <v>1.15794143744454</v>
      </c>
      <c r="S18" s="2">
        <v>789</v>
      </c>
      <c r="T18" s="8">
        <f t="shared" si="1"/>
        <v>36.7546583850932</v>
      </c>
      <c r="U18" s="2" t="s">
        <v>218</v>
      </c>
      <c r="V18" s="2">
        <v>1573</v>
      </c>
      <c r="W18" s="2">
        <v>4.5</v>
      </c>
      <c r="X18" s="9">
        <v>0.0736</v>
      </c>
      <c r="Y18" s="10">
        <v>45525</v>
      </c>
      <c r="Z18" s="2" t="s">
        <v>219</v>
      </c>
      <c r="AA18" s="2">
        <v>16</v>
      </c>
      <c r="AB18" s="11">
        <v>0.240847784200385</v>
      </c>
      <c r="AC18" s="2" t="s">
        <v>311</v>
      </c>
      <c r="AD18" s="2" t="s">
        <v>312</v>
      </c>
      <c r="AE18" s="2" t="s">
        <v>313</v>
      </c>
      <c r="AF18" s="2" t="s">
        <v>314</v>
      </c>
      <c r="AG18" s="2" t="s">
        <v>224</v>
      </c>
      <c r="AH18" s="2" t="s">
        <v>315</v>
      </c>
      <c r="AI18" s="2" t="s">
        <v>225</v>
      </c>
      <c r="AJ18" s="2">
        <v>1</v>
      </c>
    </row>
    <row r="19" ht="23" customHeight="1" spans="1:36">
      <c r="A19" s="2">
        <v>16</v>
      </c>
      <c r="B19" s="2" t="s">
        <v>140</v>
      </c>
      <c r="C19" s="2" t="s">
        <v>316</v>
      </c>
      <c r="D19" s="2" t="s">
        <v>21</v>
      </c>
      <c r="E19" s="2" t="s">
        <v>53</v>
      </c>
      <c r="F19" s="2" t="s">
        <v>141</v>
      </c>
      <c r="G19" s="2" t="s">
        <v>81</v>
      </c>
      <c r="H19" s="2" t="s">
        <v>317</v>
      </c>
      <c r="I19" s="2" t="s">
        <v>68</v>
      </c>
      <c r="J19" s="5">
        <v>190</v>
      </c>
      <c r="K19" s="2">
        <v>1</v>
      </c>
      <c r="L19" s="5">
        <v>190</v>
      </c>
      <c r="M19" s="6">
        <v>143</v>
      </c>
      <c r="N19" s="6">
        <v>642</v>
      </c>
      <c r="O19" s="6">
        <v>2112</v>
      </c>
      <c r="P19" s="6">
        <v>3955</v>
      </c>
      <c r="Q19" s="5">
        <v>127680</v>
      </c>
      <c r="R19" s="7">
        <f t="shared" si="0"/>
        <v>0.954606141522029</v>
      </c>
      <c r="S19" s="2">
        <v>572</v>
      </c>
      <c r="T19" s="8">
        <f t="shared" si="1"/>
        <v>26.7289719626168</v>
      </c>
      <c r="U19" s="2" t="s">
        <v>218</v>
      </c>
      <c r="V19" s="2">
        <v>204</v>
      </c>
      <c r="W19" s="2">
        <v>4.5</v>
      </c>
      <c r="X19" s="9">
        <v>0.0522</v>
      </c>
      <c r="Y19" s="10">
        <v>46065</v>
      </c>
      <c r="Z19" s="2" t="s">
        <v>219</v>
      </c>
      <c r="AA19" s="2">
        <v>8</v>
      </c>
      <c r="AB19" s="11">
        <v>-0.0641399416909621</v>
      </c>
      <c r="AC19" s="2" t="s">
        <v>318</v>
      </c>
      <c r="AD19" s="2" t="s">
        <v>319</v>
      </c>
      <c r="AE19" s="2" t="s">
        <v>320</v>
      </c>
      <c r="AF19" s="2" t="s">
        <v>321</v>
      </c>
      <c r="AG19" s="2" t="s">
        <v>224</v>
      </c>
      <c r="AH19" s="2" t="s">
        <v>143</v>
      </c>
      <c r="AI19" s="2" t="s">
        <v>225</v>
      </c>
      <c r="AJ19" s="2">
        <v>1</v>
      </c>
    </row>
    <row r="20" ht="23" customHeight="1" spans="1:36">
      <c r="A20" s="2">
        <v>17</v>
      </c>
      <c r="B20" s="2" t="s">
        <v>144</v>
      </c>
      <c r="C20" s="2" t="s">
        <v>322</v>
      </c>
      <c r="D20" s="2" t="s">
        <v>21</v>
      </c>
      <c r="E20" s="2" t="s">
        <v>56</v>
      </c>
      <c r="F20" s="2" t="s">
        <v>145</v>
      </c>
      <c r="G20" s="2" t="s">
        <v>323</v>
      </c>
      <c r="H20" s="2" t="s">
        <v>324</v>
      </c>
      <c r="I20" s="2" t="s">
        <v>69</v>
      </c>
      <c r="J20" s="5">
        <v>237.5</v>
      </c>
      <c r="K20" s="2">
        <v>2</v>
      </c>
      <c r="L20" s="5">
        <v>118.75</v>
      </c>
      <c r="M20" s="6">
        <v>114</v>
      </c>
      <c r="N20" s="6">
        <v>589</v>
      </c>
      <c r="O20" s="6">
        <v>589</v>
      </c>
      <c r="P20" s="6">
        <v>589</v>
      </c>
      <c r="Q20" s="5">
        <v>139887.5</v>
      </c>
      <c r="R20" s="7">
        <f t="shared" si="0"/>
        <v>0.829493087557604</v>
      </c>
      <c r="S20" s="2">
        <v>125</v>
      </c>
      <c r="T20" s="8">
        <f t="shared" si="1"/>
        <v>6.36672325976231</v>
      </c>
      <c r="U20" s="2" t="s">
        <v>218</v>
      </c>
      <c r="V20" s="2">
        <v>5</v>
      </c>
      <c r="W20" s="2">
        <v>4.6</v>
      </c>
      <c r="X20" s="9">
        <v>0.0549</v>
      </c>
      <c r="Y20" s="10">
        <v>46177</v>
      </c>
      <c r="Z20" s="2" t="s">
        <v>228</v>
      </c>
      <c r="AA20" s="2"/>
      <c r="AB20" s="11">
        <v>64.4444444444444</v>
      </c>
      <c r="AC20" s="2" t="s">
        <v>289</v>
      </c>
      <c r="AD20" s="2" t="s">
        <v>325</v>
      </c>
      <c r="AE20" s="2" t="s">
        <v>326</v>
      </c>
      <c r="AF20" s="2" t="s">
        <v>327</v>
      </c>
      <c r="AG20" s="2" t="s">
        <v>224</v>
      </c>
      <c r="AH20" s="2" t="s">
        <v>147</v>
      </c>
      <c r="AI20" s="2" t="s">
        <v>225</v>
      </c>
      <c r="AJ20" s="2">
        <v>1</v>
      </c>
    </row>
    <row r="21" ht="23" customHeight="1" spans="1:36">
      <c r="A21" s="2">
        <v>18</v>
      </c>
      <c r="B21" s="2" t="s">
        <v>148</v>
      </c>
      <c r="C21" s="2" t="s">
        <v>328</v>
      </c>
      <c r="D21" s="2" t="s">
        <v>21</v>
      </c>
      <c r="E21" s="2" t="s">
        <v>50</v>
      </c>
      <c r="F21" s="2" t="s">
        <v>149</v>
      </c>
      <c r="G21" s="2" t="s">
        <v>329</v>
      </c>
      <c r="H21" s="2" t="s">
        <v>260</v>
      </c>
      <c r="I21" s="2" t="s">
        <v>68</v>
      </c>
      <c r="J21" s="5">
        <v>115</v>
      </c>
      <c r="K21" s="2">
        <v>1</v>
      </c>
      <c r="L21" s="5">
        <v>115</v>
      </c>
      <c r="M21" s="6">
        <v>264</v>
      </c>
      <c r="N21" s="6">
        <v>588</v>
      </c>
      <c r="O21" s="6">
        <v>1495</v>
      </c>
      <c r="P21" s="6">
        <v>3751</v>
      </c>
      <c r="Q21" s="5">
        <v>69460</v>
      </c>
      <c r="R21" s="7">
        <f t="shared" si="0"/>
        <v>1.92419825072886</v>
      </c>
      <c r="S21" s="2">
        <v>238</v>
      </c>
      <c r="T21" s="8">
        <f t="shared" si="1"/>
        <v>12.1428571428571</v>
      </c>
      <c r="U21" s="2" t="s">
        <v>218</v>
      </c>
      <c r="V21" s="2">
        <v>1668</v>
      </c>
      <c r="W21" s="2">
        <v>4.3</v>
      </c>
      <c r="X21" s="9">
        <v>0.0656</v>
      </c>
      <c r="Y21" s="10">
        <v>45998</v>
      </c>
      <c r="Z21" s="2" t="s">
        <v>219</v>
      </c>
      <c r="AA21" s="2">
        <v>10</v>
      </c>
      <c r="AB21" s="11">
        <v>0.324324324324324</v>
      </c>
      <c r="AC21" s="2" t="s">
        <v>330</v>
      </c>
      <c r="AD21" s="2" t="s">
        <v>331</v>
      </c>
      <c r="AE21" s="2" t="s">
        <v>332</v>
      </c>
      <c r="AF21" s="2" t="s">
        <v>333</v>
      </c>
      <c r="AG21" s="2" t="s">
        <v>224</v>
      </c>
      <c r="AH21" s="2" t="s">
        <v>151</v>
      </c>
      <c r="AI21" s="2" t="s">
        <v>225</v>
      </c>
      <c r="AJ21" s="2">
        <v>1</v>
      </c>
    </row>
    <row r="22" ht="23" customHeight="1" spans="1:36">
      <c r="A22" s="2">
        <v>19</v>
      </c>
      <c r="B22" s="2" t="s">
        <v>334</v>
      </c>
      <c r="C22" s="2" t="s">
        <v>335</v>
      </c>
      <c r="D22" s="2" t="s">
        <v>32</v>
      </c>
      <c r="E22" s="2" t="s">
        <v>62</v>
      </c>
      <c r="F22" s="2" t="s">
        <v>336</v>
      </c>
      <c r="G22" s="2" t="s">
        <v>337</v>
      </c>
      <c r="H22" s="2" t="s">
        <v>338</v>
      </c>
      <c r="I22" s="2" t="s">
        <v>68</v>
      </c>
      <c r="J22" s="5">
        <v>597.13</v>
      </c>
      <c r="K22" s="2">
        <v>1</v>
      </c>
      <c r="L22" s="5">
        <v>597.13</v>
      </c>
      <c r="M22" s="6">
        <v>139</v>
      </c>
      <c r="N22" s="6">
        <v>586</v>
      </c>
      <c r="O22" s="6">
        <v>2623</v>
      </c>
      <c r="P22" s="6">
        <v>6696</v>
      </c>
      <c r="Q22" s="5">
        <v>356486.61</v>
      </c>
      <c r="R22" s="7">
        <f t="shared" si="0"/>
        <v>1.01657727937591</v>
      </c>
      <c r="S22" s="2">
        <v>413</v>
      </c>
      <c r="T22" s="8">
        <f t="shared" si="1"/>
        <v>21.1433447098976</v>
      </c>
      <c r="U22" s="2" t="s">
        <v>218</v>
      </c>
      <c r="V22" s="2">
        <v>0</v>
      </c>
      <c r="W22" s="2">
        <v>0</v>
      </c>
      <c r="X22" s="9">
        <v>0.0877</v>
      </c>
      <c r="Y22" s="10">
        <v>45959</v>
      </c>
      <c r="Z22" s="2" t="s">
        <v>219</v>
      </c>
      <c r="AA22" s="2"/>
      <c r="AB22" s="11">
        <v>-0.456904541241891</v>
      </c>
      <c r="AC22" s="2" t="s">
        <v>339</v>
      </c>
      <c r="AD22" s="2" t="s">
        <v>340</v>
      </c>
      <c r="AE22" s="2" t="s">
        <v>341</v>
      </c>
      <c r="AF22" s="2" t="s">
        <v>342</v>
      </c>
      <c r="AG22" s="2" t="s">
        <v>224</v>
      </c>
      <c r="AH22" s="2" t="s">
        <v>343</v>
      </c>
      <c r="AI22" s="2" t="s">
        <v>225</v>
      </c>
      <c r="AJ22" s="2">
        <v>0</v>
      </c>
    </row>
    <row r="23" ht="23" customHeight="1" spans="1:36">
      <c r="A23" s="2">
        <v>20</v>
      </c>
      <c r="B23" s="2" t="s">
        <v>344</v>
      </c>
      <c r="C23" s="2" t="s">
        <v>345</v>
      </c>
      <c r="D23" s="2" t="s">
        <v>30</v>
      </c>
      <c r="E23" s="2" t="s">
        <v>53</v>
      </c>
      <c r="F23" s="2" t="s">
        <v>309</v>
      </c>
      <c r="G23" s="2" t="s">
        <v>75</v>
      </c>
      <c r="H23" s="2" t="s">
        <v>346</v>
      </c>
      <c r="I23" s="2" t="s">
        <v>68</v>
      </c>
      <c r="J23" s="5">
        <v>177.73</v>
      </c>
      <c r="K23" s="2">
        <v>6</v>
      </c>
      <c r="L23" s="5">
        <v>29.62</v>
      </c>
      <c r="M23" s="6">
        <v>285</v>
      </c>
      <c r="N23" s="6">
        <v>525</v>
      </c>
      <c r="O23" s="6">
        <v>2252</v>
      </c>
      <c r="P23" s="6">
        <v>4841</v>
      </c>
      <c r="Q23" s="5">
        <v>93308.25</v>
      </c>
      <c r="R23" s="7">
        <f t="shared" si="0"/>
        <v>2.3265306122449</v>
      </c>
      <c r="S23" s="2">
        <v>325</v>
      </c>
      <c r="T23" s="8">
        <f t="shared" si="1"/>
        <v>18.5714285714286</v>
      </c>
      <c r="U23" s="2" t="s">
        <v>218</v>
      </c>
      <c r="V23" s="2">
        <v>58</v>
      </c>
      <c r="W23" s="2">
        <v>4.6</v>
      </c>
      <c r="X23" s="9">
        <v>0.0751</v>
      </c>
      <c r="Y23" s="10">
        <v>45924</v>
      </c>
      <c r="Z23" s="2" t="s">
        <v>219</v>
      </c>
      <c r="AA23" s="2">
        <v>17</v>
      </c>
      <c r="AB23" s="11">
        <v>-0.459320288362513</v>
      </c>
      <c r="AC23" s="2" t="s">
        <v>347</v>
      </c>
      <c r="AD23" s="2" t="s">
        <v>272</v>
      </c>
      <c r="AE23" s="2" t="s">
        <v>305</v>
      </c>
      <c r="AF23" s="2" t="s">
        <v>348</v>
      </c>
      <c r="AG23" s="2" t="s">
        <v>224</v>
      </c>
      <c r="AH23" s="2" t="s">
        <v>349</v>
      </c>
      <c r="AI23" s="2" t="s">
        <v>225</v>
      </c>
      <c r="AJ23" s="2">
        <v>0</v>
      </c>
    </row>
    <row r="24" ht="23" customHeight="1" spans="1:36">
      <c r="A24" s="2">
        <v>21</v>
      </c>
      <c r="B24" s="2" t="s">
        <v>350</v>
      </c>
      <c r="C24" s="2" t="s">
        <v>351</v>
      </c>
      <c r="D24" s="2" t="s">
        <v>30</v>
      </c>
      <c r="E24" s="2" t="s">
        <v>50</v>
      </c>
      <c r="F24" s="2" t="s">
        <v>352</v>
      </c>
      <c r="G24" s="2" t="s">
        <v>353</v>
      </c>
      <c r="H24" s="2" t="s">
        <v>354</v>
      </c>
      <c r="I24" s="2" t="s">
        <v>69</v>
      </c>
      <c r="J24" s="5">
        <v>148.01</v>
      </c>
      <c r="K24" s="2">
        <v>2</v>
      </c>
      <c r="L24" s="5">
        <v>74</v>
      </c>
      <c r="M24" s="6">
        <v>130</v>
      </c>
      <c r="N24" s="6">
        <v>522</v>
      </c>
      <c r="O24" s="6">
        <v>1180</v>
      </c>
      <c r="P24" s="6">
        <v>1948</v>
      </c>
      <c r="Q24" s="5">
        <v>80073.41</v>
      </c>
      <c r="R24" s="7">
        <f t="shared" si="0"/>
        <v>1.06732348111658</v>
      </c>
      <c r="S24" s="2">
        <v>77</v>
      </c>
      <c r="T24" s="8">
        <f t="shared" si="1"/>
        <v>4.42528735632184</v>
      </c>
      <c r="U24" s="2" t="s">
        <v>218</v>
      </c>
      <c r="V24" s="2">
        <v>137</v>
      </c>
      <c r="W24" s="2">
        <v>4.8</v>
      </c>
      <c r="X24" s="9">
        <v>0.0915</v>
      </c>
      <c r="Y24" s="10">
        <v>45969</v>
      </c>
      <c r="Z24" s="2" t="s">
        <v>219</v>
      </c>
      <c r="AA24" s="2">
        <v>12</v>
      </c>
      <c r="AB24" s="11">
        <v>0.373684210526316</v>
      </c>
      <c r="AC24" s="2" t="s">
        <v>355</v>
      </c>
      <c r="AD24" s="2" t="s">
        <v>356</v>
      </c>
      <c r="AE24" s="2" t="s">
        <v>312</v>
      </c>
      <c r="AF24" s="2" t="s">
        <v>357</v>
      </c>
      <c r="AG24" s="2" t="s">
        <v>224</v>
      </c>
      <c r="AH24" s="2" t="s">
        <v>358</v>
      </c>
      <c r="AI24" s="2" t="s">
        <v>225</v>
      </c>
      <c r="AJ24" s="2">
        <v>0</v>
      </c>
    </row>
    <row r="25" ht="23" customHeight="1" spans="1:36">
      <c r="A25" s="2">
        <v>22</v>
      </c>
      <c r="B25" s="2" t="s">
        <v>359</v>
      </c>
      <c r="C25" s="2" t="s">
        <v>360</v>
      </c>
      <c r="D25" s="2" t="s">
        <v>30</v>
      </c>
      <c r="E25" s="2" t="s">
        <v>50</v>
      </c>
      <c r="F25" s="2" t="s">
        <v>361</v>
      </c>
      <c r="G25" s="2" t="s">
        <v>362</v>
      </c>
      <c r="H25" s="2" t="s">
        <v>363</v>
      </c>
      <c r="I25" s="2" t="s">
        <v>68</v>
      </c>
      <c r="J25" s="5">
        <v>149</v>
      </c>
      <c r="K25" s="2">
        <v>5</v>
      </c>
      <c r="L25" s="5">
        <v>29.8</v>
      </c>
      <c r="M25" s="6">
        <v>121</v>
      </c>
      <c r="N25" s="6">
        <v>509</v>
      </c>
      <c r="O25" s="6">
        <v>851</v>
      </c>
      <c r="P25" s="6">
        <v>1425</v>
      </c>
      <c r="Q25" s="5">
        <v>77480</v>
      </c>
      <c r="R25" s="7">
        <f t="shared" si="0"/>
        <v>1.01880437833287</v>
      </c>
      <c r="S25" s="2">
        <v>171</v>
      </c>
      <c r="T25" s="8">
        <f t="shared" si="1"/>
        <v>10.0785854616896</v>
      </c>
      <c r="U25" s="2" t="s">
        <v>218</v>
      </c>
      <c r="V25" s="2">
        <v>138</v>
      </c>
      <c r="W25" s="2">
        <v>4.7</v>
      </c>
      <c r="X25" s="9">
        <v>0.1159</v>
      </c>
      <c r="Y25" s="10">
        <v>45961</v>
      </c>
      <c r="Z25" s="2" t="s">
        <v>219</v>
      </c>
      <c r="AA25" s="2"/>
      <c r="AB25" s="11">
        <v>0.767361111111111</v>
      </c>
      <c r="AC25" s="2" t="s">
        <v>364</v>
      </c>
      <c r="AD25" s="2" t="s">
        <v>365</v>
      </c>
      <c r="AE25" s="2" t="s">
        <v>366</v>
      </c>
      <c r="AF25" s="2" t="s">
        <v>367</v>
      </c>
      <c r="AG25" s="2" t="s">
        <v>224</v>
      </c>
      <c r="AH25" s="2" t="s">
        <v>368</v>
      </c>
      <c r="AI25" s="2" t="s">
        <v>225</v>
      </c>
      <c r="AJ25" s="2">
        <v>0</v>
      </c>
    </row>
    <row r="26" ht="23" customHeight="1" spans="1:36">
      <c r="A26" s="2">
        <v>23</v>
      </c>
      <c r="B26" s="2" t="s">
        <v>369</v>
      </c>
      <c r="C26" s="2" t="s">
        <v>370</v>
      </c>
      <c r="D26" s="2" t="s">
        <v>19</v>
      </c>
      <c r="E26" s="2" t="s">
        <v>53</v>
      </c>
      <c r="F26" s="2" t="s">
        <v>309</v>
      </c>
      <c r="G26" s="2" t="s">
        <v>75</v>
      </c>
      <c r="H26" s="2" t="s">
        <v>298</v>
      </c>
      <c r="I26" s="2" t="s">
        <v>69</v>
      </c>
      <c r="J26" s="5">
        <v>176.23</v>
      </c>
      <c r="K26" s="2">
        <v>1</v>
      </c>
      <c r="L26" s="5">
        <v>176.23</v>
      </c>
      <c r="M26" s="6">
        <v>132</v>
      </c>
      <c r="N26" s="6">
        <v>484</v>
      </c>
      <c r="O26" s="6">
        <v>1293</v>
      </c>
      <c r="P26" s="6">
        <v>6960</v>
      </c>
      <c r="Q26" s="5">
        <v>88291.23</v>
      </c>
      <c r="R26" s="7">
        <f t="shared" si="0"/>
        <v>1.16883116883117</v>
      </c>
      <c r="S26" s="2">
        <v>612</v>
      </c>
      <c r="T26" s="8">
        <f t="shared" si="1"/>
        <v>37.9338842975207</v>
      </c>
      <c r="U26" s="2" t="s">
        <v>218</v>
      </c>
      <c r="V26" s="2">
        <v>301</v>
      </c>
      <c r="W26" s="2">
        <v>4.9</v>
      </c>
      <c r="X26" s="9">
        <v>0.1695</v>
      </c>
      <c r="Y26" s="10">
        <v>45757</v>
      </c>
      <c r="Z26" s="2" t="s">
        <v>219</v>
      </c>
      <c r="AA26" s="2">
        <v>20</v>
      </c>
      <c r="AB26" s="11">
        <v>0.105022831050228</v>
      </c>
      <c r="AC26" s="2" t="s">
        <v>254</v>
      </c>
      <c r="AD26" s="2" t="s">
        <v>295</v>
      </c>
      <c r="AE26" s="2" t="s">
        <v>296</v>
      </c>
      <c r="AF26" s="2" t="s">
        <v>348</v>
      </c>
      <c r="AG26" s="2" t="s">
        <v>224</v>
      </c>
      <c r="AH26" s="2" t="s">
        <v>371</v>
      </c>
      <c r="AI26" s="2" t="s">
        <v>225</v>
      </c>
      <c r="AJ26" s="2">
        <v>1</v>
      </c>
    </row>
    <row r="27" ht="23" customHeight="1" spans="1:36">
      <c r="A27" s="2">
        <v>24</v>
      </c>
      <c r="B27" s="2" t="s">
        <v>372</v>
      </c>
      <c r="C27" s="2" t="s">
        <v>373</v>
      </c>
      <c r="D27" s="2" t="s">
        <v>30</v>
      </c>
      <c r="E27" s="2" t="s">
        <v>53</v>
      </c>
      <c r="F27" s="2" t="s">
        <v>374</v>
      </c>
      <c r="G27" s="2" t="s">
        <v>375</v>
      </c>
      <c r="H27" s="2" t="s">
        <v>376</v>
      </c>
      <c r="I27" s="2" t="s">
        <v>69</v>
      </c>
      <c r="J27" s="5">
        <v>158.81</v>
      </c>
      <c r="K27" s="2">
        <v>2</v>
      </c>
      <c r="L27" s="5">
        <v>79.41</v>
      </c>
      <c r="M27" s="6">
        <v>99</v>
      </c>
      <c r="N27" s="6">
        <v>473</v>
      </c>
      <c r="O27" s="6">
        <v>477</v>
      </c>
      <c r="P27" s="6">
        <v>557</v>
      </c>
      <c r="Q27" s="5">
        <v>75117.13</v>
      </c>
      <c r="R27" s="7">
        <f t="shared" si="0"/>
        <v>0.897009966777409</v>
      </c>
      <c r="S27" s="2">
        <v>98</v>
      </c>
      <c r="T27" s="8">
        <f t="shared" si="1"/>
        <v>6.21564482029598</v>
      </c>
      <c r="U27" s="2" t="s">
        <v>218</v>
      </c>
      <c r="V27" s="2">
        <v>22</v>
      </c>
      <c r="W27" s="2">
        <v>4.9</v>
      </c>
      <c r="X27" s="9">
        <v>0.0649</v>
      </c>
      <c r="Y27" s="10">
        <v>46087</v>
      </c>
      <c r="Z27" s="2" t="s">
        <v>219</v>
      </c>
      <c r="AA27" s="2">
        <v>12</v>
      </c>
      <c r="AB27" s="11">
        <v>117.25</v>
      </c>
      <c r="AC27" s="2" t="s">
        <v>377</v>
      </c>
      <c r="AD27" s="2" t="s">
        <v>378</v>
      </c>
      <c r="AE27" s="2" t="s">
        <v>341</v>
      </c>
      <c r="AF27" s="2" t="s">
        <v>251</v>
      </c>
      <c r="AG27" s="2" t="s">
        <v>224</v>
      </c>
      <c r="AH27" s="2" t="s">
        <v>379</v>
      </c>
      <c r="AI27" s="2" t="s">
        <v>225</v>
      </c>
      <c r="AJ27" s="2">
        <v>0</v>
      </c>
    </row>
    <row r="28" ht="23" customHeight="1" spans="1:36">
      <c r="A28" s="2">
        <v>25</v>
      </c>
      <c r="B28" s="2" t="s">
        <v>152</v>
      </c>
      <c r="C28" s="2" t="s">
        <v>380</v>
      </c>
      <c r="D28" s="2" t="s">
        <v>19</v>
      </c>
      <c r="E28" s="2" t="s">
        <v>56</v>
      </c>
      <c r="F28" s="2" t="s">
        <v>153</v>
      </c>
      <c r="G28" s="2" t="s">
        <v>76</v>
      </c>
      <c r="H28" s="2" t="s">
        <v>381</v>
      </c>
      <c r="I28" s="2" t="s">
        <v>69</v>
      </c>
      <c r="J28" s="5">
        <v>296.87</v>
      </c>
      <c r="K28" s="2">
        <v>3</v>
      </c>
      <c r="L28" s="5">
        <v>98.96</v>
      </c>
      <c r="M28" s="6">
        <v>132</v>
      </c>
      <c r="N28" s="6">
        <v>440</v>
      </c>
      <c r="O28" s="6">
        <v>1486</v>
      </c>
      <c r="P28" s="6">
        <v>2172</v>
      </c>
      <c r="Q28" s="5">
        <v>134185.24</v>
      </c>
      <c r="R28" s="7">
        <f t="shared" si="0"/>
        <v>1.28571428571429</v>
      </c>
      <c r="S28" s="2">
        <v>214</v>
      </c>
      <c r="T28" s="8">
        <f t="shared" si="1"/>
        <v>14.5909090909091</v>
      </c>
      <c r="U28" s="2" t="s">
        <v>218</v>
      </c>
      <c r="V28" s="2">
        <v>164</v>
      </c>
      <c r="W28" s="2">
        <v>4.8</v>
      </c>
      <c r="X28" s="9">
        <v>0.0956</v>
      </c>
      <c r="Y28" s="10">
        <v>46148</v>
      </c>
      <c r="Z28" s="2" t="s">
        <v>228</v>
      </c>
      <c r="AA28" s="2">
        <v>16</v>
      </c>
      <c r="AB28" s="11">
        <v>0.113924050632911</v>
      </c>
      <c r="AC28" s="2" t="s">
        <v>382</v>
      </c>
      <c r="AD28" s="2" t="s">
        <v>236</v>
      </c>
      <c r="AE28" s="2" t="s">
        <v>236</v>
      </c>
      <c r="AF28" s="2" t="s">
        <v>383</v>
      </c>
      <c r="AG28" s="2" t="s">
        <v>224</v>
      </c>
      <c r="AH28" s="2" t="s">
        <v>155</v>
      </c>
      <c r="AI28" s="2" t="s">
        <v>225</v>
      </c>
      <c r="AJ28" s="2">
        <v>1</v>
      </c>
    </row>
    <row r="29" ht="23" customHeight="1" spans="1:36">
      <c r="A29" s="2">
        <v>26</v>
      </c>
      <c r="B29" s="2" t="s">
        <v>156</v>
      </c>
      <c r="C29" s="2" t="s">
        <v>384</v>
      </c>
      <c r="D29" s="2" t="s">
        <v>21</v>
      </c>
      <c r="E29" s="2" t="s">
        <v>59</v>
      </c>
      <c r="F29" s="2" t="s">
        <v>157</v>
      </c>
      <c r="G29" s="2" t="s">
        <v>385</v>
      </c>
      <c r="H29" s="2" t="s">
        <v>386</v>
      </c>
      <c r="I29" s="2" t="s">
        <v>69</v>
      </c>
      <c r="J29" s="5">
        <v>343.51</v>
      </c>
      <c r="K29" s="2">
        <v>1</v>
      </c>
      <c r="L29" s="5">
        <v>343.51</v>
      </c>
      <c r="M29" s="6">
        <v>97</v>
      </c>
      <c r="N29" s="6">
        <v>432</v>
      </c>
      <c r="O29" s="6">
        <v>1495</v>
      </c>
      <c r="P29" s="6">
        <v>2855</v>
      </c>
      <c r="Q29" s="5">
        <v>154923.01</v>
      </c>
      <c r="R29" s="7">
        <f t="shared" si="0"/>
        <v>0.962301587301587</v>
      </c>
      <c r="S29" s="2">
        <v>750</v>
      </c>
      <c r="T29" s="8">
        <f t="shared" si="1"/>
        <v>52.0833333333333</v>
      </c>
      <c r="U29" s="2" t="s">
        <v>218</v>
      </c>
      <c r="V29" s="2">
        <v>157</v>
      </c>
      <c r="W29" s="2">
        <v>4.8</v>
      </c>
      <c r="X29" s="9">
        <v>0.0348</v>
      </c>
      <c r="Y29" s="10">
        <v>45999</v>
      </c>
      <c r="Z29" s="2" t="s">
        <v>219</v>
      </c>
      <c r="AA29" s="2">
        <v>16</v>
      </c>
      <c r="AB29" s="11">
        <v>0.674418604651163</v>
      </c>
      <c r="AC29" s="2" t="s">
        <v>387</v>
      </c>
      <c r="AD29" s="2" t="s">
        <v>388</v>
      </c>
      <c r="AE29" s="2" t="s">
        <v>389</v>
      </c>
      <c r="AF29" s="2" t="s">
        <v>390</v>
      </c>
      <c r="AG29" s="2" t="s">
        <v>224</v>
      </c>
      <c r="AH29" s="2" t="s">
        <v>159</v>
      </c>
      <c r="AI29" s="2" t="s">
        <v>225</v>
      </c>
      <c r="AJ29" s="2">
        <v>1</v>
      </c>
    </row>
    <row r="30" ht="23" customHeight="1" spans="1:36">
      <c r="A30" s="2">
        <v>27</v>
      </c>
      <c r="B30" s="2" t="s">
        <v>391</v>
      </c>
      <c r="C30" s="2" t="s">
        <v>392</v>
      </c>
      <c r="D30" s="2" t="s">
        <v>30</v>
      </c>
      <c r="E30" s="2" t="s">
        <v>50</v>
      </c>
      <c r="F30" s="2" t="s">
        <v>393</v>
      </c>
      <c r="G30" s="2" t="s">
        <v>394</v>
      </c>
      <c r="H30" s="2" t="s">
        <v>393</v>
      </c>
      <c r="I30" s="2" t="s">
        <v>69</v>
      </c>
      <c r="J30" s="5">
        <v>145.52</v>
      </c>
      <c r="K30" s="2">
        <v>2</v>
      </c>
      <c r="L30" s="5">
        <v>72.76</v>
      </c>
      <c r="M30" s="6">
        <v>52</v>
      </c>
      <c r="N30" s="6">
        <v>425</v>
      </c>
      <c r="O30" s="6">
        <v>1298</v>
      </c>
      <c r="P30" s="6">
        <v>5984</v>
      </c>
      <c r="Q30" s="5">
        <v>61846</v>
      </c>
      <c r="R30" s="7">
        <f t="shared" si="0"/>
        <v>0.52436974789916</v>
      </c>
      <c r="S30" s="2">
        <v>145</v>
      </c>
      <c r="T30" s="8">
        <f t="shared" si="1"/>
        <v>10.2352941176471</v>
      </c>
      <c r="U30" s="2" t="s">
        <v>218</v>
      </c>
      <c r="V30" s="2">
        <v>594</v>
      </c>
      <c r="W30" s="2">
        <v>4.6</v>
      </c>
      <c r="X30" s="9">
        <v>0.1248</v>
      </c>
      <c r="Y30" s="10">
        <v>45511</v>
      </c>
      <c r="Z30" s="2" t="s">
        <v>219</v>
      </c>
      <c r="AA30" s="2">
        <v>18</v>
      </c>
      <c r="AB30" s="11">
        <v>0.0216346153846154</v>
      </c>
      <c r="AC30" s="2" t="s">
        <v>395</v>
      </c>
      <c r="AD30" s="2" t="s">
        <v>312</v>
      </c>
      <c r="AE30" s="2" t="s">
        <v>396</v>
      </c>
      <c r="AF30" s="2" t="s">
        <v>397</v>
      </c>
      <c r="AG30" s="2" t="s">
        <v>224</v>
      </c>
      <c r="AH30" s="2" t="s">
        <v>398</v>
      </c>
      <c r="AI30" s="2" t="s">
        <v>225</v>
      </c>
      <c r="AJ30" s="2">
        <v>0</v>
      </c>
    </row>
    <row r="31" ht="23" customHeight="1" spans="1:36">
      <c r="A31" s="2">
        <v>28</v>
      </c>
      <c r="B31" s="2" t="s">
        <v>399</v>
      </c>
      <c r="C31" s="2" t="s">
        <v>400</v>
      </c>
      <c r="D31" s="2" t="s">
        <v>19</v>
      </c>
      <c r="E31" s="2" t="s">
        <v>56</v>
      </c>
      <c r="F31" s="2" t="s">
        <v>401</v>
      </c>
      <c r="G31" s="2" t="s">
        <v>74</v>
      </c>
      <c r="H31" s="2" t="s">
        <v>402</v>
      </c>
      <c r="I31" s="2" t="s">
        <v>69</v>
      </c>
      <c r="J31" s="5">
        <v>259.87</v>
      </c>
      <c r="K31" s="2">
        <v>1</v>
      </c>
      <c r="L31" s="5">
        <v>259.87</v>
      </c>
      <c r="M31" s="6">
        <v>59</v>
      </c>
      <c r="N31" s="6">
        <v>425</v>
      </c>
      <c r="O31" s="6">
        <v>941</v>
      </c>
      <c r="P31" s="6">
        <v>6508</v>
      </c>
      <c r="Q31" s="5">
        <v>110444.75</v>
      </c>
      <c r="R31" s="7">
        <f t="shared" si="0"/>
        <v>0.594957983193277</v>
      </c>
      <c r="S31" s="2">
        <v>977</v>
      </c>
      <c r="T31" s="8">
        <f t="shared" si="1"/>
        <v>68.9647058823529</v>
      </c>
      <c r="U31" s="2" t="s">
        <v>218</v>
      </c>
      <c r="V31" s="2">
        <v>305</v>
      </c>
      <c r="W31" s="2">
        <v>4.7</v>
      </c>
      <c r="X31" s="9">
        <v>0.0893</v>
      </c>
      <c r="Y31" s="10">
        <v>45764</v>
      </c>
      <c r="Z31" s="2" t="s">
        <v>219</v>
      </c>
      <c r="AA31" s="2">
        <v>20</v>
      </c>
      <c r="AB31" s="11">
        <v>1.02380952380952</v>
      </c>
      <c r="AC31" s="2" t="s">
        <v>300</v>
      </c>
      <c r="AD31" s="2" t="s">
        <v>277</v>
      </c>
      <c r="AE31" s="2" t="s">
        <v>250</v>
      </c>
      <c r="AF31" s="2" t="s">
        <v>403</v>
      </c>
      <c r="AG31" s="2" t="s">
        <v>224</v>
      </c>
      <c r="AH31" s="2" t="s">
        <v>404</v>
      </c>
      <c r="AI31" s="2" t="s">
        <v>225</v>
      </c>
      <c r="AJ31" s="2">
        <v>1</v>
      </c>
    </row>
    <row r="32" ht="23" customHeight="1" spans="1:36">
      <c r="A32" s="2">
        <v>29</v>
      </c>
      <c r="B32" s="2" t="s">
        <v>405</v>
      </c>
      <c r="C32" s="2" t="s">
        <v>406</v>
      </c>
      <c r="D32" s="2" t="s">
        <v>19</v>
      </c>
      <c r="E32" s="2" t="s">
        <v>50</v>
      </c>
      <c r="F32" s="2" t="s">
        <v>407</v>
      </c>
      <c r="G32" s="2" t="s">
        <v>72</v>
      </c>
      <c r="H32" s="2" t="s">
        <v>408</v>
      </c>
      <c r="I32" s="2" t="s">
        <v>69</v>
      </c>
      <c r="J32" s="5">
        <v>140.26</v>
      </c>
      <c r="K32" s="2">
        <v>1</v>
      </c>
      <c r="L32" s="5">
        <v>140.26</v>
      </c>
      <c r="M32" s="6">
        <v>45</v>
      </c>
      <c r="N32" s="6">
        <v>416</v>
      </c>
      <c r="O32" s="6">
        <v>816</v>
      </c>
      <c r="P32" s="6">
        <v>2306</v>
      </c>
      <c r="Q32" s="5">
        <v>60031.28</v>
      </c>
      <c r="R32" s="7">
        <f t="shared" si="0"/>
        <v>0.463598901098901</v>
      </c>
      <c r="S32" s="2">
        <v>205</v>
      </c>
      <c r="T32" s="8">
        <f t="shared" si="1"/>
        <v>14.7836538461538</v>
      </c>
      <c r="U32" s="2" t="s">
        <v>218</v>
      </c>
      <c r="V32" s="2">
        <v>79</v>
      </c>
      <c r="W32" s="2">
        <v>4.7</v>
      </c>
      <c r="X32" s="9">
        <v>0.1551</v>
      </c>
      <c r="Y32" s="10">
        <v>45875</v>
      </c>
      <c r="Z32" s="2" t="s">
        <v>219</v>
      </c>
      <c r="AA32" s="2"/>
      <c r="AB32" s="11">
        <v>0.670682730923695</v>
      </c>
      <c r="AC32" s="2" t="s">
        <v>409</v>
      </c>
      <c r="AD32" s="2" t="s">
        <v>272</v>
      </c>
      <c r="AE32" s="2" t="s">
        <v>341</v>
      </c>
      <c r="AF32" s="2" t="s">
        <v>230</v>
      </c>
      <c r="AG32" s="2" t="s">
        <v>224</v>
      </c>
      <c r="AH32" s="2" t="s">
        <v>410</v>
      </c>
      <c r="AI32" s="2" t="s">
        <v>225</v>
      </c>
      <c r="AJ32" s="2">
        <v>1</v>
      </c>
    </row>
    <row r="33" ht="23" customHeight="1" spans="1:36">
      <c r="A33" s="2">
        <v>30</v>
      </c>
      <c r="B33" s="2" t="s">
        <v>160</v>
      </c>
      <c r="C33" s="2" t="s">
        <v>411</v>
      </c>
      <c r="D33" s="2" t="s">
        <v>19</v>
      </c>
      <c r="E33" s="2" t="s">
        <v>53</v>
      </c>
      <c r="F33" s="2" t="s">
        <v>102</v>
      </c>
      <c r="G33" s="2" t="s">
        <v>73</v>
      </c>
      <c r="H33" s="2" t="s">
        <v>227</v>
      </c>
      <c r="I33" s="2" t="s">
        <v>68</v>
      </c>
      <c r="J33" s="5">
        <v>159</v>
      </c>
      <c r="K33" s="2">
        <v>1</v>
      </c>
      <c r="L33" s="5">
        <v>159</v>
      </c>
      <c r="M33" s="6">
        <v>141</v>
      </c>
      <c r="N33" s="6">
        <v>408</v>
      </c>
      <c r="O33" s="6">
        <v>1265</v>
      </c>
      <c r="P33" s="6">
        <v>2056</v>
      </c>
      <c r="Q33" s="5">
        <v>64872</v>
      </c>
      <c r="R33" s="7">
        <f t="shared" si="0"/>
        <v>1.48109243697479</v>
      </c>
      <c r="S33" s="2">
        <v>345</v>
      </c>
      <c r="T33" s="8">
        <f t="shared" si="1"/>
        <v>25.3676470588235</v>
      </c>
      <c r="U33" s="2" t="s">
        <v>218</v>
      </c>
      <c r="V33" s="2">
        <v>97</v>
      </c>
      <c r="W33" s="2">
        <v>4.5</v>
      </c>
      <c r="X33" s="9">
        <v>0.09</v>
      </c>
      <c r="Y33" s="10">
        <v>46121</v>
      </c>
      <c r="Z33" s="2" t="s">
        <v>228</v>
      </c>
      <c r="AA33" s="2"/>
      <c r="AB33" s="11">
        <v>0.0680628272251309</v>
      </c>
      <c r="AC33" s="2" t="s">
        <v>263</v>
      </c>
      <c r="AD33" s="2" t="s">
        <v>412</v>
      </c>
      <c r="AE33" s="2" t="s">
        <v>222</v>
      </c>
      <c r="AF33" s="2" t="s">
        <v>413</v>
      </c>
      <c r="AG33" s="2" t="s">
        <v>224</v>
      </c>
      <c r="AH33" s="2" t="s">
        <v>162</v>
      </c>
      <c r="AI33" s="2" t="s">
        <v>225</v>
      </c>
      <c r="AJ33" s="2">
        <v>1</v>
      </c>
    </row>
    <row r="34" ht="23" customHeight="1" spans="1:36">
      <c r="A34" s="2">
        <v>31</v>
      </c>
      <c r="B34" s="2" t="s">
        <v>414</v>
      </c>
      <c r="C34" s="2" t="s">
        <v>415</v>
      </c>
      <c r="D34" s="2" t="s">
        <v>30</v>
      </c>
      <c r="E34" s="2" t="s">
        <v>53</v>
      </c>
      <c r="F34" s="2" t="s">
        <v>309</v>
      </c>
      <c r="G34" s="2" t="s">
        <v>75</v>
      </c>
      <c r="H34" s="2" t="s">
        <v>416</v>
      </c>
      <c r="I34" s="2" t="s">
        <v>68</v>
      </c>
      <c r="J34" s="5">
        <v>190.78</v>
      </c>
      <c r="K34" s="2">
        <v>6</v>
      </c>
      <c r="L34" s="5">
        <v>31.8</v>
      </c>
      <c r="M34" s="6">
        <v>86</v>
      </c>
      <c r="N34" s="6">
        <v>405</v>
      </c>
      <c r="O34" s="6">
        <v>877</v>
      </c>
      <c r="P34" s="6">
        <v>929</v>
      </c>
      <c r="Q34" s="5">
        <v>77265.9</v>
      </c>
      <c r="R34" s="7">
        <f t="shared" si="0"/>
        <v>0.91005291005291</v>
      </c>
      <c r="S34" s="2">
        <v>229</v>
      </c>
      <c r="T34" s="8">
        <f t="shared" si="1"/>
        <v>16.962962962963</v>
      </c>
      <c r="U34" s="2" t="s">
        <v>218</v>
      </c>
      <c r="V34" s="2">
        <v>60</v>
      </c>
      <c r="W34" s="2">
        <v>4.5</v>
      </c>
      <c r="X34" s="9">
        <v>0.0769</v>
      </c>
      <c r="Y34" s="10">
        <v>46126</v>
      </c>
      <c r="Z34" s="2" t="s">
        <v>228</v>
      </c>
      <c r="AA34" s="2"/>
      <c r="AB34" s="11">
        <v>2.49137931034483</v>
      </c>
      <c r="AC34" s="2" t="s">
        <v>417</v>
      </c>
      <c r="AD34" s="2" t="s">
        <v>418</v>
      </c>
      <c r="AE34" s="2" t="s">
        <v>419</v>
      </c>
      <c r="AF34" s="2" t="s">
        <v>420</v>
      </c>
      <c r="AG34" s="2" t="s">
        <v>224</v>
      </c>
      <c r="AH34" s="2" t="s">
        <v>421</v>
      </c>
      <c r="AI34" s="2" t="s">
        <v>225</v>
      </c>
      <c r="AJ34" s="2">
        <v>0</v>
      </c>
    </row>
    <row r="35" ht="23" customHeight="1" spans="1:36">
      <c r="A35" s="2">
        <v>32</v>
      </c>
      <c r="B35" s="2" t="s">
        <v>422</v>
      </c>
      <c r="C35" s="2" t="s">
        <v>423</v>
      </c>
      <c r="D35" s="2" t="s">
        <v>30</v>
      </c>
      <c r="E35" s="2" t="s">
        <v>53</v>
      </c>
      <c r="F35" s="2" t="s">
        <v>361</v>
      </c>
      <c r="G35" s="2" t="s">
        <v>362</v>
      </c>
      <c r="H35" s="2" t="s">
        <v>363</v>
      </c>
      <c r="I35" s="2" t="s">
        <v>68</v>
      </c>
      <c r="J35" s="5">
        <v>169</v>
      </c>
      <c r="K35" s="2">
        <v>5</v>
      </c>
      <c r="L35" s="5">
        <v>33.8</v>
      </c>
      <c r="M35" s="6">
        <v>123</v>
      </c>
      <c r="N35" s="6">
        <v>401</v>
      </c>
      <c r="O35" s="6">
        <v>539</v>
      </c>
      <c r="P35" s="6">
        <v>800</v>
      </c>
      <c r="Q35" s="5">
        <v>70304</v>
      </c>
      <c r="R35" s="7">
        <f t="shared" si="0"/>
        <v>1.31457071606698</v>
      </c>
      <c r="S35" s="2">
        <v>395</v>
      </c>
      <c r="T35" s="8">
        <f t="shared" si="1"/>
        <v>29.5511221945137</v>
      </c>
      <c r="U35" s="2" t="s">
        <v>218</v>
      </c>
      <c r="V35" s="2">
        <v>62</v>
      </c>
      <c r="W35" s="2">
        <v>4.8</v>
      </c>
      <c r="X35" s="9">
        <v>0.0989</v>
      </c>
      <c r="Y35" s="10">
        <v>45961</v>
      </c>
      <c r="Z35" s="2" t="s">
        <v>219</v>
      </c>
      <c r="AA35" s="2">
        <v>8</v>
      </c>
      <c r="AB35" s="11">
        <v>99.25</v>
      </c>
      <c r="AC35" s="2" t="s">
        <v>424</v>
      </c>
      <c r="AD35" s="2" t="s">
        <v>425</v>
      </c>
      <c r="AE35" s="2" t="s">
        <v>426</v>
      </c>
      <c r="AF35" s="2" t="s">
        <v>427</v>
      </c>
      <c r="AG35" s="2" t="s">
        <v>224</v>
      </c>
      <c r="AH35" s="2" t="s">
        <v>428</v>
      </c>
      <c r="AI35" s="2" t="s">
        <v>225</v>
      </c>
      <c r="AJ35" s="2">
        <v>0</v>
      </c>
    </row>
    <row r="36" ht="23" customHeight="1" spans="1:36">
      <c r="A36" s="2">
        <v>33</v>
      </c>
      <c r="B36" s="2" t="s">
        <v>429</v>
      </c>
      <c r="C36" s="2" t="s">
        <v>430</v>
      </c>
      <c r="D36" s="2" t="s">
        <v>19</v>
      </c>
      <c r="E36" s="2" t="s">
        <v>56</v>
      </c>
      <c r="F36" s="2" t="s">
        <v>401</v>
      </c>
      <c r="G36" s="2" t="s">
        <v>74</v>
      </c>
      <c r="H36" s="2" t="s">
        <v>431</v>
      </c>
      <c r="I36" s="2" t="s">
        <v>69</v>
      </c>
      <c r="J36" s="5">
        <v>254.02</v>
      </c>
      <c r="K36" s="2">
        <v>1</v>
      </c>
      <c r="L36" s="5">
        <v>254.02</v>
      </c>
      <c r="M36" s="6">
        <v>57</v>
      </c>
      <c r="N36" s="6">
        <v>396</v>
      </c>
      <c r="O36" s="6">
        <v>1177</v>
      </c>
      <c r="P36" s="6">
        <v>3089</v>
      </c>
      <c r="Q36" s="5">
        <v>103386.14</v>
      </c>
      <c r="R36" s="7">
        <f t="shared" si="0"/>
        <v>0.616883116883117</v>
      </c>
      <c r="S36" s="2">
        <v>1</v>
      </c>
      <c r="T36" s="8">
        <f t="shared" si="1"/>
        <v>0.0757575757575758</v>
      </c>
      <c r="U36" s="2" t="s">
        <v>218</v>
      </c>
      <c r="V36" s="2">
        <v>98</v>
      </c>
      <c r="W36" s="2">
        <v>4.7</v>
      </c>
      <c r="X36" s="9">
        <v>0.0906</v>
      </c>
      <c r="Y36" s="10">
        <v>46009</v>
      </c>
      <c r="Z36" s="2" t="s">
        <v>219</v>
      </c>
      <c r="AA36" s="2"/>
      <c r="AB36" s="11">
        <v>0.298360655737705</v>
      </c>
      <c r="AC36" s="2" t="s">
        <v>432</v>
      </c>
      <c r="AD36" s="2" t="s">
        <v>433</v>
      </c>
      <c r="AE36" s="2" t="s">
        <v>325</v>
      </c>
      <c r="AF36" s="2" t="s">
        <v>434</v>
      </c>
      <c r="AG36" s="2" t="s">
        <v>224</v>
      </c>
      <c r="AH36" s="2" t="s">
        <v>435</v>
      </c>
      <c r="AI36" s="2" t="s">
        <v>225</v>
      </c>
      <c r="AJ36" s="2">
        <v>1</v>
      </c>
    </row>
    <row r="37" ht="23" customHeight="1" spans="1:36">
      <c r="A37" s="2">
        <v>34</v>
      </c>
      <c r="B37" s="2" t="s">
        <v>436</v>
      </c>
      <c r="C37" s="2" t="s">
        <v>437</v>
      </c>
      <c r="D37" s="2" t="s">
        <v>19</v>
      </c>
      <c r="E37" s="2" t="s">
        <v>53</v>
      </c>
      <c r="F37" s="2" t="s">
        <v>438</v>
      </c>
      <c r="G37" s="2" t="s">
        <v>439</v>
      </c>
      <c r="H37" s="2" t="s">
        <v>440</v>
      </c>
      <c r="I37" s="2" t="s">
        <v>68</v>
      </c>
      <c r="J37" s="5">
        <v>179.99</v>
      </c>
      <c r="K37" s="2">
        <v>1</v>
      </c>
      <c r="L37" s="5">
        <v>179.99</v>
      </c>
      <c r="M37" s="6">
        <v>79</v>
      </c>
      <c r="N37" s="6">
        <v>395</v>
      </c>
      <c r="O37" s="6">
        <v>1392</v>
      </c>
      <c r="P37" s="6">
        <v>26980</v>
      </c>
      <c r="Q37" s="5">
        <v>73075.94</v>
      </c>
      <c r="R37" s="7">
        <f t="shared" si="0"/>
        <v>0.857142857142857</v>
      </c>
      <c r="S37" s="2">
        <v>1489</v>
      </c>
      <c r="T37" s="8">
        <f t="shared" si="1"/>
        <v>113.088607594937</v>
      </c>
      <c r="U37" s="2" t="s">
        <v>218</v>
      </c>
      <c r="V37" s="2">
        <v>4591</v>
      </c>
      <c r="W37" s="2">
        <v>4.5</v>
      </c>
      <c r="X37" s="9">
        <v>0.0956</v>
      </c>
      <c r="Y37" s="10">
        <v>45236</v>
      </c>
      <c r="Z37" s="2" t="s">
        <v>219</v>
      </c>
      <c r="AA37" s="2">
        <v>1</v>
      </c>
      <c r="AB37" s="11">
        <v>-0.276556776556777</v>
      </c>
      <c r="AC37" s="2" t="s">
        <v>441</v>
      </c>
      <c r="AD37" s="2" t="s">
        <v>299</v>
      </c>
      <c r="AE37" s="2" t="s">
        <v>262</v>
      </c>
      <c r="AF37" s="2" t="s">
        <v>314</v>
      </c>
      <c r="AG37" s="2" t="s">
        <v>224</v>
      </c>
      <c r="AH37" s="2" t="s">
        <v>442</v>
      </c>
      <c r="AI37" s="2" t="s">
        <v>225</v>
      </c>
      <c r="AJ37" s="2">
        <v>1</v>
      </c>
    </row>
    <row r="38" ht="23" customHeight="1" spans="1:36">
      <c r="A38" s="2">
        <v>35</v>
      </c>
      <c r="B38" s="2" t="s">
        <v>443</v>
      </c>
      <c r="C38" s="2" t="s">
        <v>444</v>
      </c>
      <c r="D38" s="2" t="s">
        <v>30</v>
      </c>
      <c r="E38" s="2" t="s">
        <v>53</v>
      </c>
      <c r="F38" s="2" t="s">
        <v>445</v>
      </c>
      <c r="G38" s="2" t="s">
        <v>446</v>
      </c>
      <c r="H38" s="2" t="s">
        <v>447</v>
      </c>
      <c r="I38" s="2" t="s">
        <v>68</v>
      </c>
      <c r="J38" s="5">
        <v>173</v>
      </c>
      <c r="K38" s="2">
        <v>3</v>
      </c>
      <c r="L38" s="5">
        <v>57.67</v>
      </c>
      <c r="M38" s="6">
        <v>35</v>
      </c>
      <c r="N38" s="6">
        <v>385</v>
      </c>
      <c r="O38" s="6">
        <v>1057</v>
      </c>
      <c r="P38" s="6">
        <v>3607</v>
      </c>
      <c r="Q38" s="5">
        <v>68681</v>
      </c>
      <c r="R38" s="7">
        <f t="shared" si="0"/>
        <v>0.38961038961039</v>
      </c>
      <c r="S38" s="2">
        <v>123</v>
      </c>
      <c r="T38" s="8">
        <f t="shared" si="1"/>
        <v>9.58441558441558</v>
      </c>
      <c r="U38" s="2" t="s">
        <v>218</v>
      </c>
      <c r="V38" s="2">
        <v>122</v>
      </c>
      <c r="W38" s="2">
        <v>4.7</v>
      </c>
      <c r="X38" s="9">
        <v>0.0645</v>
      </c>
      <c r="Y38" s="10">
        <v>45694</v>
      </c>
      <c r="Z38" s="2" t="s">
        <v>219</v>
      </c>
      <c r="AA38" s="2"/>
      <c r="AB38" s="11">
        <v>0.27906976744186</v>
      </c>
      <c r="AC38" s="2" t="s">
        <v>448</v>
      </c>
      <c r="AD38" s="2" t="s">
        <v>449</v>
      </c>
      <c r="AE38" s="2" t="s">
        <v>450</v>
      </c>
      <c r="AF38" s="2" t="s">
        <v>321</v>
      </c>
      <c r="AG38" s="2" t="s">
        <v>224</v>
      </c>
      <c r="AH38" s="2" t="s">
        <v>451</v>
      </c>
      <c r="AI38" s="2" t="s">
        <v>225</v>
      </c>
      <c r="AJ38" s="2">
        <v>0</v>
      </c>
    </row>
    <row r="39" ht="23" customHeight="1" spans="1:36">
      <c r="A39" s="2">
        <v>36</v>
      </c>
      <c r="B39" s="2" t="s">
        <v>452</v>
      </c>
      <c r="C39" s="2" t="s">
        <v>453</v>
      </c>
      <c r="D39" s="2" t="s">
        <v>19</v>
      </c>
      <c r="E39" s="2" t="s">
        <v>56</v>
      </c>
      <c r="F39" s="2" t="s">
        <v>454</v>
      </c>
      <c r="G39" s="2" t="s">
        <v>455</v>
      </c>
      <c r="H39" s="2" t="s">
        <v>456</v>
      </c>
      <c r="I39" s="2" t="s">
        <v>69</v>
      </c>
      <c r="J39" s="5">
        <v>263.31</v>
      </c>
      <c r="K39" s="2">
        <v>1</v>
      </c>
      <c r="L39" s="5">
        <v>263.31</v>
      </c>
      <c r="M39" s="6">
        <v>93</v>
      </c>
      <c r="N39" s="6">
        <v>383</v>
      </c>
      <c r="O39" s="6">
        <v>1064</v>
      </c>
      <c r="P39" s="6">
        <v>4825</v>
      </c>
      <c r="Q39" s="5">
        <v>105060.69</v>
      </c>
      <c r="R39" s="7">
        <f t="shared" si="0"/>
        <v>1.04065647146587</v>
      </c>
      <c r="S39" s="2">
        <v>579</v>
      </c>
      <c r="T39" s="8">
        <f t="shared" si="1"/>
        <v>45.3524804177546</v>
      </c>
      <c r="U39" s="2" t="s">
        <v>218</v>
      </c>
      <c r="V39" s="2">
        <v>462</v>
      </c>
      <c r="W39" s="2">
        <v>4.7</v>
      </c>
      <c r="X39" s="9">
        <v>0.1074</v>
      </c>
      <c r="Y39" s="10">
        <v>45791</v>
      </c>
      <c r="Z39" s="2" t="s">
        <v>219</v>
      </c>
      <c r="AA39" s="2"/>
      <c r="AB39" s="11">
        <v>0.0186170212765957</v>
      </c>
      <c r="AC39" s="2" t="s">
        <v>457</v>
      </c>
      <c r="AD39" s="2" t="s">
        <v>458</v>
      </c>
      <c r="AE39" s="2" t="s">
        <v>250</v>
      </c>
      <c r="AF39" s="2" t="s">
        <v>459</v>
      </c>
      <c r="AG39" s="2" t="s">
        <v>224</v>
      </c>
      <c r="AH39" s="2" t="s">
        <v>460</v>
      </c>
      <c r="AI39" s="2" t="s">
        <v>225</v>
      </c>
      <c r="AJ39" s="2">
        <v>1</v>
      </c>
    </row>
    <row r="40" ht="23" customHeight="1" spans="1:36">
      <c r="A40" s="2">
        <v>37</v>
      </c>
      <c r="B40" s="2" t="s">
        <v>461</v>
      </c>
      <c r="C40" s="2" t="s">
        <v>462</v>
      </c>
      <c r="D40" s="2" t="s">
        <v>21</v>
      </c>
      <c r="E40" s="2" t="s">
        <v>53</v>
      </c>
      <c r="F40" s="2" t="s">
        <v>463</v>
      </c>
      <c r="G40" s="2" t="s">
        <v>464</v>
      </c>
      <c r="H40" s="2" t="s">
        <v>465</v>
      </c>
      <c r="I40" s="2" t="s">
        <v>69</v>
      </c>
      <c r="J40" s="5">
        <v>194.47</v>
      </c>
      <c r="K40" s="2">
        <v>2</v>
      </c>
      <c r="L40" s="5">
        <v>97.23</v>
      </c>
      <c r="M40" s="6">
        <v>61</v>
      </c>
      <c r="N40" s="6">
        <v>376</v>
      </c>
      <c r="O40" s="6">
        <v>596</v>
      </c>
      <c r="P40" s="6">
        <v>1474</v>
      </c>
      <c r="Q40" s="5">
        <v>73120.72</v>
      </c>
      <c r="R40" s="7">
        <f t="shared" si="0"/>
        <v>0.695288753799392</v>
      </c>
      <c r="S40" s="2">
        <v>21</v>
      </c>
      <c r="T40" s="8">
        <f t="shared" si="1"/>
        <v>1.67553191489362</v>
      </c>
      <c r="U40" s="2" t="s">
        <v>218</v>
      </c>
      <c r="V40" s="2">
        <v>149</v>
      </c>
      <c r="W40" s="2">
        <v>4.5</v>
      </c>
      <c r="X40" s="9">
        <v>0.0946</v>
      </c>
      <c r="Y40" s="10">
        <v>45670</v>
      </c>
      <c r="Z40" s="2" t="s">
        <v>219</v>
      </c>
      <c r="AA40" s="2"/>
      <c r="AB40" s="11">
        <v>0.825242718446602</v>
      </c>
      <c r="AC40" s="2" t="s">
        <v>466</v>
      </c>
      <c r="AD40" s="2" t="s">
        <v>467</v>
      </c>
      <c r="AE40" s="2" t="s">
        <v>468</v>
      </c>
      <c r="AF40" s="2" t="s">
        <v>390</v>
      </c>
      <c r="AG40" s="2" t="s">
        <v>224</v>
      </c>
      <c r="AH40" s="2" t="s">
        <v>469</v>
      </c>
      <c r="AI40" s="2" t="s">
        <v>225</v>
      </c>
      <c r="AJ40" s="2">
        <v>1</v>
      </c>
    </row>
    <row r="41" ht="23" customHeight="1" spans="1:36">
      <c r="A41" s="2">
        <v>38</v>
      </c>
      <c r="B41" s="2" t="s">
        <v>470</v>
      </c>
      <c r="C41" s="2" t="s">
        <v>471</v>
      </c>
      <c r="D41" s="2" t="s">
        <v>19</v>
      </c>
      <c r="E41" s="2" t="s">
        <v>56</v>
      </c>
      <c r="F41" s="2" t="s">
        <v>153</v>
      </c>
      <c r="G41" s="2" t="s">
        <v>76</v>
      </c>
      <c r="H41" s="2" t="s">
        <v>381</v>
      </c>
      <c r="I41" s="2" t="s">
        <v>69</v>
      </c>
      <c r="J41" s="5">
        <v>254.71</v>
      </c>
      <c r="K41" s="2">
        <v>4</v>
      </c>
      <c r="L41" s="5">
        <v>63.68</v>
      </c>
      <c r="M41" s="6">
        <v>76</v>
      </c>
      <c r="N41" s="6">
        <v>368</v>
      </c>
      <c r="O41" s="6">
        <v>1112</v>
      </c>
      <c r="P41" s="6">
        <v>1571</v>
      </c>
      <c r="Q41" s="5">
        <v>93733.28</v>
      </c>
      <c r="R41" s="7">
        <f t="shared" si="0"/>
        <v>0.885093167701863</v>
      </c>
      <c r="S41" s="2">
        <v>352</v>
      </c>
      <c r="T41" s="8">
        <f t="shared" si="1"/>
        <v>28.695652173913</v>
      </c>
      <c r="U41" s="2" t="s">
        <v>218</v>
      </c>
      <c r="V41" s="2">
        <v>192</v>
      </c>
      <c r="W41" s="2">
        <v>4.8</v>
      </c>
      <c r="X41" s="9">
        <v>0.0537</v>
      </c>
      <c r="Y41" s="10">
        <v>46127</v>
      </c>
      <c r="Z41" s="2" t="s">
        <v>228</v>
      </c>
      <c r="AA41" s="2">
        <v>20</v>
      </c>
      <c r="AB41" s="11">
        <v>-0.0441558441558442</v>
      </c>
      <c r="AC41" s="2" t="s">
        <v>472</v>
      </c>
      <c r="AD41" s="2" t="s">
        <v>389</v>
      </c>
      <c r="AE41" s="2" t="s">
        <v>473</v>
      </c>
      <c r="AF41" s="2" t="s">
        <v>474</v>
      </c>
      <c r="AG41" s="2" t="s">
        <v>224</v>
      </c>
      <c r="AH41" s="2" t="s">
        <v>475</v>
      </c>
      <c r="AI41" s="2" t="s">
        <v>225</v>
      </c>
      <c r="AJ41" s="2">
        <v>1</v>
      </c>
    </row>
    <row r="42" ht="23" customHeight="1" spans="1:36">
      <c r="A42" s="2">
        <v>39</v>
      </c>
      <c r="B42" s="2" t="s">
        <v>476</v>
      </c>
      <c r="C42" s="2" t="s">
        <v>477</v>
      </c>
      <c r="D42" s="2" t="s">
        <v>36</v>
      </c>
      <c r="E42" s="2" t="s">
        <v>56</v>
      </c>
      <c r="F42" s="2" t="s">
        <v>478</v>
      </c>
      <c r="G42" s="2" t="s">
        <v>479</v>
      </c>
      <c r="H42" s="2" t="s">
        <v>480</v>
      </c>
      <c r="I42" s="2" t="s">
        <v>68</v>
      </c>
      <c r="J42" s="5">
        <v>239.27</v>
      </c>
      <c r="K42" s="2">
        <v>1</v>
      </c>
      <c r="L42" s="5">
        <v>239.27</v>
      </c>
      <c r="M42" s="6">
        <v>103</v>
      </c>
      <c r="N42" s="6">
        <v>351</v>
      </c>
      <c r="O42" s="6">
        <v>974</v>
      </c>
      <c r="P42" s="6">
        <v>3277</v>
      </c>
      <c r="Q42" s="5">
        <v>83983.77</v>
      </c>
      <c r="R42" s="7">
        <f t="shared" si="0"/>
        <v>1.25763125763126</v>
      </c>
      <c r="S42" s="2">
        <v>653</v>
      </c>
      <c r="T42" s="8">
        <f t="shared" si="1"/>
        <v>55.8119658119658</v>
      </c>
      <c r="U42" s="2" t="s">
        <v>218</v>
      </c>
      <c r="V42" s="2">
        <v>59</v>
      </c>
      <c r="W42" s="2">
        <v>4.9</v>
      </c>
      <c r="X42" s="9">
        <v>0.1196</v>
      </c>
      <c r="Y42" s="10">
        <v>45614</v>
      </c>
      <c r="Z42" s="2" t="s">
        <v>219</v>
      </c>
      <c r="AA42" s="2"/>
      <c r="AB42" s="11">
        <v>0.0446428571428571</v>
      </c>
      <c r="AC42" s="2" t="s">
        <v>295</v>
      </c>
      <c r="AD42" s="2" t="s">
        <v>481</v>
      </c>
      <c r="AE42" s="2" t="s">
        <v>482</v>
      </c>
      <c r="AF42" s="2" t="s">
        <v>483</v>
      </c>
      <c r="AG42" s="2" t="s">
        <v>224</v>
      </c>
      <c r="AH42" s="2" t="s">
        <v>484</v>
      </c>
      <c r="AI42" s="2" t="s">
        <v>225</v>
      </c>
      <c r="AJ42" s="2">
        <v>0</v>
      </c>
    </row>
    <row r="43" ht="23" customHeight="1" spans="1:36">
      <c r="A43" s="2">
        <v>40</v>
      </c>
      <c r="B43" s="2" t="s">
        <v>485</v>
      </c>
      <c r="C43" s="2" t="s">
        <v>486</v>
      </c>
      <c r="D43" s="2" t="s">
        <v>19</v>
      </c>
      <c r="E43" s="2" t="s">
        <v>50</v>
      </c>
      <c r="F43" s="2" t="s">
        <v>487</v>
      </c>
      <c r="G43" s="2" t="s">
        <v>488</v>
      </c>
      <c r="H43" s="2" t="s">
        <v>489</v>
      </c>
      <c r="I43" s="2" t="s">
        <v>68</v>
      </c>
      <c r="J43" s="5">
        <v>129</v>
      </c>
      <c r="K43" s="2">
        <v>1</v>
      </c>
      <c r="L43" s="5">
        <v>129</v>
      </c>
      <c r="M43" s="6">
        <v>63</v>
      </c>
      <c r="N43" s="6">
        <v>347</v>
      </c>
      <c r="O43" s="6">
        <v>976</v>
      </c>
      <c r="P43" s="6">
        <v>22795</v>
      </c>
      <c r="Q43" s="5">
        <v>47343</v>
      </c>
      <c r="R43" s="7">
        <f t="shared" si="0"/>
        <v>0.778097982708934</v>
      </c>
      <c r="S43" s="2">
        <v>332</v>
      </c>
      <c r="T43" s="8">
        <f t="shared" si="1"/>
        <v>28.7031700288184</v>
      </c>
      <c r="U43" s="2" t="s">
        <v>218</v>
      </c>
      <c r="V43" s="2">
        <v>728</v>
      </c>
      <c r="W43" s="2">
        <v>4.5</v>
      </c>
      <c r="X43" s="9">
        <v>0.0951</v>
      </c>
      <c r="Y43" s="10">
        <v>44812</v>
      </c>
      <c r="Z43" s="2" t="s">
        <v>219</v>
      </c>
      <c r="AA43" s="2">
        <v>19</v>
      </c>
      <c r="AB43" s="11">
        <v>0.0358208955223881</v>
      </c>
      <c r="AC43" s="2" t="s">
        <v>490</v>
      </c>
      <c r="AD43" s="2" t="s">
        <v>325</v>
      </c>
      <c r="AE43" s="2" t="s">
        <v>450</v>
      </c>
      <c r="AF43" s="2" t="s">
        <v>491</v>
      </c>
      <c r="AG43" s="2" t="s">
        <v>224</v>
      </c>
      <c r="AH43" s="2" t="s">
        <v>492</v>
      </c>
      <c r="AI43" s="2" t="s">
        <v>225</v>
      </c>
      <c r="AJ43" s="2">
        <v>1</v>
      </c>
    </row>
    <row r="44" ht="23" customHeight="1" spans="1:36">
      <c r="A44" s="2">
        <v>41</v>
      </c>
      <c r="B44" s="2" t="s">
        <v>163</v>
      </c>
      <c r="C44" s="2" t="s">
        <v>493</v>
      </c>
      <c r="D44" s="2" t="s">
        <v>21</v>
      </c>
      <c r="E44" s="2" t="s">
        <v>59</v>
      </c>
      <c r="F44" s="2" t="s">
        <v>164</v>
      </c>
      <c r="G44" s="2" t="s">
        <v>494</v>
      </c>
      <c r="H44" s="2" t="s">
        <v>495</v>
      </c>
      <c r="I44" s="2" t="s">
        <v>68</v>
      </c>
      <c r="J44" s="5">
        <v>340.86</v>
      </c>
      <c r="K44" s="2">
        <v>1</v>
      </c>
      <c r="L44" s="5">
        <v>340.86</v>
      </c>
      <c r="M44" s="6">
        <v>40</v>
      </c>
      <c r="N44" s="6">
        <v>344</v>
      </c>
      <c r="O44" s="6">
        <v>370</v>
      </c>
      <c r="P44" s="6">
        <v>370</v>
      </c>
      <c r="Q44" s="5">
        <v>117255.84</v>
      </c>
      <c r="R44" s="7">
        <f t="shared" si="0"/>
        <v>0.498338870431894</v>
      </c>
      <c r="S44" s="2">
        <v>383</v>
      </c>
      <c r="T44" s="8">
        <f t="shared" si="1"/>
        <v>33.4011627906977</v>
      </c>
      <c r="U44" s="2" t="s">
        <v>218</v>
      </c>
      <c r="V44" s="2">
        <v>0</v>
      </c>
      <c r="W44" s="2">
        <v>0</v>
      </c>
      <c r="X44" s="9">
        <v>0.0383</v>
      </c>
      <c r="Y44" s="10">
        <v>46225</v>
      </c>
      <c r="Z44" s="2" t="s">
        <v>241</v>
      </c>
      <c r="AA44" s="2"/>
      <c r="AB44" s="11">
        <v>7.39024390243902</v>
      </c>
      <c r="AC44" s="2" t="s">
        <v>472</v>
      </c>
      <c r="AD44" s="2" t="s">
        <v>472</v>
      </c>
      <c r="AE44" s="2" t="s">
        <v>389</v>
      </c>
      <c r="AF44" s="2" t="s">
        <v>496</v>
      </c>
      <c r="AG44" s="2" t="s">
        <v>224</v>
      </c>
      <c r="AH44" s="2" t="s">
        <v>166</v>
      </c>
      <c r="AI44" s="2" t="s">
        <v>225</v>
      </c>
      <c r="AJ44" s="2">
        <v>1</v>
      </c>
    </row>
    <row r="45" ht="23" customHeight="1" spans="1:36">
      <c r="A45" s="2">
        <v>42</v>
      </c>
      <c r="B45" s="2" t="s">
        <v>497</v>
      </c>
      <c r="C45" s="2" t="s">
        <v>498</v>
      </c>
      <c r="D45" s="2" t="s">
        <v>19</v>
      </c>
      <c r="E45" s="2" t="s">
        <v>53</v>
      </c>
      <c r="F45" s="2" t="s">
        <v>401</v>
      </c>
      <c r="G45" s="2" t="s">
        <v>74</v>
      </c>
      <c r="H45" s="2" t="s">
        <v>402</v>
      </c>
      <c r="I45" s="2" t="s">
        <v>69</v>
      </c>
      <c r="J45" s="5">
        <v>153.17</v>
      </c>
      <c r="K45" s="2">
        <v>1</v>
      </c>
      <c r="L45" s="5">
        <v>153.17</v>
      </c>
      <c r="M45" s="6">
        <v>77</v>
      </c>
      <c r="N45" s="6">
        <v>336</v>
      </c>
      <c r="O45" s="6">
        <v>1056</v>
      </c>
      <c r="P45" s="6">
        <v>6482</v>
      </c>
      <c r="Q45" s="5">
        <v>54375.35</v>
      </c>
      <c r="R45" s="7">
        <f t="shared" si="0"/>
        <v>0.982142857142857</v>
      </c>
      <c r="S45" s="2">
        <v>450</v>
      </c>
      <c r="T45" s="8">
        <f t="shared" si="1"/>
        <v>40.1785714285714</v>
      </c>
      <c r="U45" s="2" t="s">
        <v>218</v>
      </c>
      <c r="V45" s="2">
        <v>195</v>
      </c>
      <c r="W45" s="2">
        <v>4.7</v>
      </c>
      <c r="X45" s="9">
        <v>0.1757</v>
      </c>
      <c r="Y45" s="10">
        <v>45026</v>
      </c>
      <c r="Z45" s="2" t="s">
        <v>219</v>
      </c>
      <c r="AA45" s="2"/>
      <c r="AB45" s="11">
        <v>-0.216783216783217</v>
      </c>
      <c r="AC45" s="2" t="s">
        <v>296</v>
      </c>
      <c r="AD45" s="2" t="s">
        <v>296</v>
      </c>
      <c r="AE45" s="2" t="s">
        <v>296</v>
      </c>
      <c r="AF45" s="2" t="s">
        <v>397</v>
      </c>
      <c r="AG45" s="2" t="s">
        <v>224</v>
      </c>
      <c r="AH45" s="2" t="s">
        <v>499</v>
      </c>
      <c r="AI45" s="2" t="s">
        <v>225</v>
      </c>
      <c r="AJ45" s="2">
        <v>1</v>
      </c>
    </row>
    <row r="46" ht="23" customHeight="1" spans="1:36">
      <c r="A46" s="2">
        <v>43</v>
      </c>
      <c r="B46" s="2" t="s">
        <v>500</v>
      </c>
      <c r="C46" s="2" t="s">
        <v>501</v>
      </c>
      <c r="D46" s="2" t="s">
        <v>19</v>
      </c>
      <c r="E46" s="2" t="s">
        <v>53</v>
      </c>
      <c r="F46" s="2" t="s">
        <v>102</v>
      </c>
      <c r="G46" s="2" t="s">
        <v>73</v>
      </c>
      <c r="H46" s="2" t="s">
        <v>227</v>
      </c>
      <c r="I46" s="2" t="s">
        <v>68</v>
      </c>
      <c r="J46" s="5">
        <v>154</v>
      </c>
      <c r="K46" s="2">
        <v>1</v>
      </c>
      <c r="L46" s="5">
        <v>154</v>
      </c>
      <c r="M46" s="6">
        <v>104</v>
      </c>
      <c r="N46" s="6">
        <v>323</v>
      </c>
      <c r="O46" s="6">
        <v>749</v>
      </c>
      <c r="P46" s="6">
        <v>1446</v>
      </c>
      <c r="Q46" s="5">
        <v>49742</v>
      </c>
      <c r="R46" s="7">
        <f t="shared" si="0"/>
        <v>1.37992038920831</v>
      </c>
      <c r="S46" s="2">
        <v>229</v>
      </c>
      <c r="T46" s="8">
        <f t="shared" si="1"/>
        <v>21.2693498452012</v>
      </c>
      <c r="U46" s="2" t="s">
        <v>218</v>
      </c>
      <c r="V46" s="2">
        <v>50</v>
      </c>
      <c r="W46" s="2">
        <v>4.7</v>
      </c>
      <c r="X46" s="9">
        <v>0.1517</v>
      </c>
      <c r="Y46" s="10">
        <v>46101</v>
      </c>
      <c r="Z46" s="2" t="s">
        <v>219</v>
      </c>
      <c r="AA46" s="2"/>
      <c r="AB46" s="11">
        <v>0.7</v>
      </c>
      <c r="AC46" s="2" t="s">
        <v>502</v>
      </c>
      <c r="AD46" s="2" t="s">
        <v>502</v>
      </c>
      <c r="AE46" s="2" t="s">
        <v>296</v>
      </c>
      <c r="AF46" s="2" t="s">
        <v>255</v>
      </c>
      <c r="AG46" s="2" t="s">
        <v>224</v>
      </c>
      <c r="AH46" s="2" t="s">
        <v>503</v>
      </c>
      <c r="AI46" s="2" t="s">
        <v>225</v>
      </c>
      <c r="AJ46" s="2">
        <v>1</v>
      </c>
    </row>
    <row r="47" ht="23" customHeight="1" spans="1:36">
      <c r="A47" s="2">
        <v>44</v>
      </c>
      <c r="B47" s="2" t="s">
        <v>504</v>
      </c>
      <c r="C47" s="2" t="s">
        <v>505</v>
      </c>
      <c r="D47" s="2" t="s">
        <v>40</v>
      </c>
      <c r="E47" s="2" t="s">
        <v>56</v>
      </c>
      <c r="F47" s="2" t="s">
        <v>506</v>
      </c>
      <c r="G47" s="2" t="s">
        <v>507</v>
      </c>
      <c r="H47" s="2" t="s">
        <v>508</v>
      </c>
      <c r="I47" s="2" t="s">
        <v>68</v>
      </c>
      <c r="J47" s="5">
        <v>266.18</v>
      </c>
      <c r="K47" s="2">
        <v>1</v>
      </c>
      <c r="L47" s="5">
        <v>266.18</v>
      </c>
      <c r="M47" s="6">
        <v>53</v>
      </c>
      <c r="N47" s="6">
        <v>313</v>
      </c>
      <c r="O47" s="6">
        <v>876</v>
      </c>
      <c r="P47" s="6">
        <v>2929</v>
      </c>
      <c r="Q47" s="5">
        <v>83314.34</v>
      </c>
      <c r="R47" s="7">
        <f t="shared" si="0"/>
        <v>0.725696029210406</v>
      </c>
      <c r="S47" s="2">
        <v>181</v>
      </c>
      <c r="T47" s="8">
        <f t="shared" si="1"/>
        <v>17.3482428115016</v>
      </c>
      <c r="U47" s="2" t="s">
        <v>218</v>
      </c>
      <c r="V47" s="2">
        <v>992</v>
      </c>
      <c r="W47" s="2">
        <v>4.8</v>
      </c>
      <c r="X47" s="9">
        <v>0.1189</v>
      </c>
      <c r="Y47" s="10">
        <v>45721</v>
      </c>
      <c r="Z47" s="2" t="s">
        <v>219</v>
      </c>
      <c r="AA47" s="2">
        <v>19</v>
      </c>
      <c r="AB47" s="11">
        <v>0.462616822429907</v>
      </c>
      <c r="AC47" s="2" t="s">
        <v>509</v>
      </c>
      <c r="AD47" s="2" t="s">
        <v>510</v>
      </c>
      <c r="AE47" s="2" t="s">
        <v>511</v>
      </c>
      <c r="AF47" s="2" t="s">
        <v>512</v>
      </c>
      <c r="AG47" s="2" t="s">
        <v>224</v>
      </c>
      <c r="AH47" s="2" t="s">
        <v>513</v>
      </c>
      <c r="AI47" s="2" t="s">
        <v>225</v>
      </c>
      <c r="AJ47" s="2">
        <v>0</v>
      </c>
    </row>
    <row r="48" ht="23" customHeight="1" spans="1:36">
      <c r="A48" s="2">
        <v>45</v>
      </c>
      <c r="B48" s="2" t="s">
        <v>514</v>
      </c>
      <c r="C48" s="2" t="s">
        <v>515</v>
      </c>
      <c r="D48" s="2" t="s">
        <v>21</v>
      </c>
      <c r="E48" s="2" t="s">
        <v>56</v>
      </c>
      <c r="F48" s="2" t="s">
        <v>141</v>
      </c>
      <c r="G48" s="2" t="s">
        <v>81</v>
      </c>
      <c r="H48" s="2" t="s">
        <v>516</v>
      </c>
      <c r="I48" s="2" t="s">
        <v>69</v>
      </c>
      <c r="J48" s="5">
        <v>253.68</v>
      </c>
      <c r="K48" s="2">
        <v>1</v>
      </c>
      <c r="L48" s="5">
        <v>253.68</v>
      </c>
      <c r="M48" s="6">
        <v>36</v>
      </c>
      <c r="N48" s="6">
        <v>306</v>
      </c>
      <c r="O48" s="6">
        <v>1151</v>
      </c>
      <c r="P48" s="6">
        <v>2403</v>
      </c>
      <c r="Q48" s="5">
        <v>77626.08</v>
      </c>
      <c r="R48" s="7">
        <f t="shared" si="0"/>
        <v>0.504201680672269</v>
      </c>
      <c r="S48" s="2">
        <v>551</v>
      </c>
      <c r="T48" s="8">
        <f t="shared" si="1"/>
        <v>54.0196078431373</v>
      </c>
      <c r="U48" s="2" t="s">
        <v>218</v>
      </c>
      <c r="V48" s="2">
        <v>116</v>
      </c>
      <c r="W48" s="2">
        <v>4.8</v>
      </c>
      <c r="X48" s="9">
        <v>0.0539</v>
      </c>
      <c r="Y48" s="10">
        <v>45968</v>
      </c>
      <c r="Z48" s="2" t="s">
        <v>219</v>
      </c>
      <c r="AA48" s="2">
        <v>17</v>
      </c>
      <c r="AB48" s="11">
        <v>-0.211340206185567</v>
      </c>
      <c r="AC48" s="2" t="s">
        <v>517</v>
      </c>
      <c r="AD48" s="2" t="s">
        <v>305</v>
      </c>
      <c r="AE48" s="2" t="s">
        <v>518</v>
      </c>
      <c r="AF48" s="2" t="s">
        <v>519</v>
      </c>
      <c r="AG48" s="2" t="s">
        <v>224</v>
      </c>
      <c r="AH48" s="2" t="s">
        <v>520</v>
      </c>
      <c r="AI48" s="2" t="s">
        <v>225</v>
      </c>
      <c r="AJ48" s="2">
        <v>1</v>
      </c>
    </row>
    <row r="49" ht="23" customHeight="1" spans="1:36">
      <c r="A49" s="2">
        <v>46</v>
      </c>
      <c r="B49" s="2" t="s">
        <v>521</v>
      </c>
      <c r="C49" s="2" t="s">
        <v>522</v>
      </c>
      <c r="D49" s="2" t="s">
        <v>19</v>
      </c>
      <c r="E49" s="2" t="s">
        <v>53</v>
      </c>
      <c r="F49" s="2" t="s">
        <v>102</v>
      </c>
      <c r="G49" s="2" t="s">
        <v>73</v>
      </c>
      <c r="H49" s="2" t="s">
        <v>227</v>
      </c>
      <c r="I49" s="2" t="s">
        <v>68</v>
      </c>
      <c r="J49" s="5">
        <v>159</v>
      </c>
      <c r="K49" s="2">
        <v>1</v>
      </c>
      <c r="L49" s="5">
        <v>159</v>
      </c>
      <c r="M49" s="6">
        <v>49</v>
      </c>
      <c r="N49" s="6">
        <v>298</v>
      </c>
      <c r="O49" s="6">
        <v>1073</v>
      </c>
      <c r="P49" s="6">
        <v>2644</v>
      </c>
      <c r="Q49" s="5">
        <v>50403</v>
      </c>
      <c r="R49" s="7">
        <f t="shared" si="0"/>
        <v>0.704697986577181</v>
      </c>
      <c r="S49" s="2">
        <v>363</v>
      </c>
      <c r="T49" s="8">
        <f t="shared" si="1"/>
        <v>36.5436241610738</v>
      </c>
      <c r="U49" s="2" t="s">
        <v>218</v>
      </c>
      <c r="V49" s="2">
        <v>260</v>
      </c>
      <c r="W49" s="2">
        <v>4.6</v>
      </c>
      <c r="X49" s="9">
        <v>0.1105</v>
      </c>
      <c r="Y49" s="10">
        <v>46104</v>
      </c>
      <c r="Z49" s="2" t="s">
        <v>219</v>
      </c>
      <c r="AA49" s="2"/>
      <c r="AB49" s="11">
        <v>-0.255</v>
      </c>
      <c r="AC49" s="2" t="s">
        <v>412</v>
      </c>
      <c r="AD49" s="2" t="s">
        <v>523</v>
      </c>
      <c r="AE49" s="2" t="s">
        <v>524</v>
      </c>
      <c r="AF49" s="2" t="s">
        <v>367</v>
      </c>
      <c r="AG49" s="2" t="s">
        <v>224</v>
      </c>
      <c r="AH49" s="2" t="s">
        <v>525</v>
      </c>
      <c r="AI49" s="2" t="s">
        <v>225</v>
      </c>
      <c r="AJ49" s="2">
        <v>1</v>
      </c>
    </row>
    <row r="50" ht="23" customHeight="1" spans="1:36">
      <c r="A50" s="2">
        <v>47</v>
      </c>
      <c r="B50" s="2" t="s">
        <v>526</v>
      </c>
      <c r="C50" s="2" t="s">
        <v>527</v>
      </c>
      <c r="D50" s="2" t="s">
        <v>25</v>
      </c>
      <c r="E50" s="2" t="s">
        <v>56</v>
      </c>
      <c r="F50" s="2" t="s">
        <v>137</v>
      </c>
      <c r="G50" s="2" t="s">
        <v>79</v>
      </c>
      <c r="H50" s="2" t="s">
        <v>528</v>
      </c>
      <c r="I50" s="2" t="s">
        <v>69</v>
      </c>
      <c r="J50" s="5">
        <v>275.36</v>
      </c>
      <c r="K50" s="2">
        <v>1</v>
      </c>
      <c r="L50" s="5">
        <v>275.36</v>
      </c>
      <c r="M50" s="6">
        <v>63</v>
      </c>
      <c r="N50" s="6">
        <v>297</v>
      </c>
      <c r="O50" s="6">
        <v>769</v>
      </c>
      <c r="P50" s="6">
        <v>5014</v>
      </c>
      <c r="Q50" s="5">
        <v>81781.92</v>
      </c>
      <c r="R50" s="7">
        <f t="shared" si="0"/>
        <v>0.909090909090909</v>
      </c>
      <c r="S50" s="2">
        <v>214</v>
      </c>
      <c r="T50" s="8">
        <f t="shared" si="1"/>
        <v>21.6161616161616</v>
      </c>
      <c r="U50" s="2" t="s">
        <v>218</v>
      </c>
      <c r="V50" s="2">
        <v>739</v>
      </c>
      <c r="W50" s="2">
        <v>4.8</v>
      </c>
      <c r="X50" s="9">
        <v>0.0906</v>
      </c>
      <c r="Y50" s="10">
        <v>45437</v>
      </c>
      <c r="Z50" s="2" t="s">
        <v>219</v>
      </c>
      <c r="AA50" s="2">
        <v>11</v>
      </c>
      <c r="AB50" s="11">
        <v>0.027681660899654</v>
      </c>
      <c r="AC50" s="2" t="s">
        <v>529</v>
      </c>
      <c r="AD50" s="2" t="s">
        <v>530</v>
      </c>
      <c r="AE50" s="2" t="s">
        <v>441</v>
      </c>
      <c r="AF50" s="2" t="s">
        <v>531</v>
      </c>
      <c r="AG50" s="2" t="s">
        <v>224</v>
      </c>
      <c r="AH50" s="2" t="s">
        <v>532</v>
      </c>
      <c r="AI50" s="2" t="s">
        <v>225</v>
      </c>
      <c r="AJ50" s="2">
        <v>1</v>
      </c>
    </row>
    <row r="51" ht="23" customHeight="1" spans="1:36">
      <c r="A51" s="2">
        <v>48</v>
      </c>
      <c r="B51" s="2" t="s">
        <v>533</v>
      </c>
      <c r="C51" s="2" t="s">
        <v>534</v>
      </c>
      <c r="D51" s="2" t="s">
        <v>19</v>
      </c>
      <c r="E51" s="2" t="s">
        <v>53</v>
      </c>
      <c r="F51" s="2" t="s">
        <v>102</v>
      </c>
      <c r="G51" s="2" t="s">
        <v>73</v>
      </c>
      <c r="H51" s="2" t="s">
        <v>227</v>
      </c>
      <c r="I51" s="2" t="s">
        <v>68</v>
      </c>
      <c r="J51" s="5">
        <v>163.66</v>
      </c>
      <c r="K51" s="2">
        <v>1</v>
      </c>
      <c r="L51" s="5">
        <v>163.66</v>
      </c>
      <c r="M51" s="6">
        <v>38</v>
      </c>
      <c r="N51" s="6">
        <v>291</v>
      </c>
      <c r="O51" s="6">
        <v>1560</v>
      </c>
      <c r="P51" s="6">
        <v>2438</v>
      </c>
      <c r="Q51" s="5">
        <v>47625.06</v>
      </c>
      <c r="R51" s="7">
        <f t="shared" si="0"/>
        <v>0.559646539027982</v>
      </c>
      <c r="S51" s="2">
        <v>387</v>
      </c>
      <c r="T51" s="8">
        <f t="shared" si="1"/>
        <v>39.8969072164948</v>
      </c>
      <c r="U51" s="2" t="s">
        <v>218</v>
      </c>
      <c r="V51" s="2">
        <v>153</v>
      </c>
      <c r="W51" s="2">
        <v>4.6</v>
      </c>
      <c r="X51" s="9">
        <v>0.1028</v>
      </c>
      <c r="Y51" s="10">
        <v>46104</v>
      </c>
      <c r="Z51" s="2" t="s">
        <v>219</v>
      </c>
      <c r="AA51" s="2">
        <v>20</v>
      </c>
      <c r="AB51" s="11">
        <v>-0.524509803921569</v>
      </c>
      <c r="AC51" s="2" t="s">
        <v>365</v>
      </c>
      <c r="AD51" s="2" t="s">
        <v>250</v>
      </c>
      <c r="AE51" s="2" t="s">
        <v>466</v>
      </c>
      <c r="AF51" s="2" t="s">
        <v>535</v>
      </c>
      <c r="AG51" s="2" t="s">
        <v>224</v>
      </c>
      <c r="AH51" s="2" t="s">
        <v>536</v>
      </c>
      <c r="AI51" s="2" t="s">
        <v>225</v>
      </c>
      <c r="AJ51" s="2">
        <v>1</v>
      </c>
    </row>
    <row r="52" ht="23" customHeight="1" spans="1:36">
      <c r="A52" s="2">
        <v>49</v>
      </c>
      <c r="B52" s="2" t="s">
        <v>537</v>
      </c>
      <c r="C52" s="2" t="s">
        <v>538</v>
      </c>
      <c r="D52" s="2" t="s">
        <v>19</v>
      </c>
      <c r="E52" s="2" t="s">
        <v>47</v>
      </c>
      <c r="F52" s="2" t="s">
        <v>102</v>
      </c>
      <c r="G52" s="2" t="s">
        <v>73</v>
      </c>
      <c r="H52" s="2" t="s">
        <v>227</v>
      </c>
      <c r="I52" s="2" t="s">
        <v>68</v>
      </c>
      <c r="J52" s="5">
        <v>88.45</v>
      </c>
      <c r="K52" s="2">
        <v>1</v>
      </c>
      <c r="L52" s="5">
        <v>88.45</v>
      </c>
      <c r="M52" s="6">
        <v>83</v>
      </c>
      <c r="N52" s="6">
        <v>291</v>
      </c>
      <c r="O52" s="6">
        <v>970</v>
      </c>
      <c r="P52" s="6">
        <v>2096</v>
      </c>
      <c r="Q52" s="5">
        <v>27065.7</v>
      </c>
      <c r="R52" s="7">
        <f t="shared" si="0"/>
        <v>1.22238586156112</v>
      </c>
      <c r="S52" s="2">
        <v>321</v>
      </c>
      <c r="T52" s="8">
        <f t="shared" si="1"/>
        <v>33.0927835051546</v>
      </c>
      <c r="U52" s="2" t="s">
        <v>218</v>
      </c>
      <c r="V52" s="2">
        <v>441</v>
      </c>
      <c r="W52" s="2">
        <v>4.5</v>
      </c>
      <c r="X52" s="9">
        <v>0.0833</v>
      </c>
      <c r="Y52" s="10">
        <v>46123</v>
      </c>
      <c r="Z52" s="2" t="s">
        <v>228</v>
      </c>
      <c r="AA52" s="2">
        <v>17</v>
      </c>
      <c r="AB52" s="11">
        <v>-0.0427631578947368</v>
      </c>
      <c r="AC52" s="2" t="s">
        <v>539</v>
      </c>
      <c r="AD52" s="2" t="s">
        <v>250</v>
      </c>
      <c r="AE52" s="2" t="s">
        <v>540</v>
      </c>
      <c r="AF52" s="2" t="s">
        <v>496</v>
      </c>
      <c r="AG52" s="2" t="s">
        <v>224</v>
      </c>
      <c r="AH52" s="2" t="s">
        <v>541</v>
      </c>
      <c r="AI52" s="2" t="s">
        <v>225</v>
      </c>
      <c r="AJ52" s="2">
        <v>1</v>
      </c>
    </row>
    <row r="53" ht="23" customHeight="1" spans="1:36">
      <c r="A53" s="2">
        <v>50</v>
      </c>
      <c r="B53" s="2" t="s">
        <v>542</v>
      </c>
      <c r="C53" s="2" t="s">
        <v>543</v>
      </c>
      <c r="D53" s="2" t="s">
        <v>19</v>
      </c>
      <c r="E53" s="2" t="s">
        <v>53</v>
      </c>
      <c r="F53" s="2" t="s">
        <v>544</v>
      </c>
      <c r="G53" s="2" t="s">
        <v>80</v>
      </c>
      <c r="H53" s="2" t="s">
        <v>545</v>
      </c>
      <c r="I53" s="2" t="s">
        <v>69</v>
      </c>
      <c r="J53" s="5">
        <v>163.5</v>
      </c>
      <c r="K53" s="2">
        <v>1</v>
      </c>
      <c r="L53" s="5">
        <v>163.5</v>
      </c>
      <c r="M53" s="6">
        <v>20</v>
      </c>
      <c r="N53" s="6">
        <v>285</v>
      </c>
      <c r="O53" s="6">
        <v>438</v>
      </c>
      <c r="P53" s="6">
        <v>1690</v>
      </c>
      <c r="Q53" s="5">
        <v>46597.5</v>
      </c>
      <c r="R53" s="7">
        <f t="shared" si="0"/>
        <v>0.300751879699248</v>
      </c>
      <c r="S53" s="2">
        <v>1</v>
      </c>
      <c r="T53" s="8">
        <f t="shared" si="1"/>
        <v>0.105263157894737</v>
      </c>
      <c r="U53" s="2" t="s">
        <v>218</v>
      </c>
      <c r="V53" s="2">
        <v>51</v>
      </c>
      <c r="W53" s="2">
        <v>4.8</v>
      </c>
      <c r="X53" s="9">
        <v>0.1241</v>
      </c>
      <c r="Y53" s="10">
        <v>45988</v>
      </c>
      <c r="Z53" s="2" t="s">
        <v>219</v>
      </c>
      <c r="AA53" s="2"/>
      <c r="AB53" s="11">
        <v>0.979166666666667</v>
      </c>
      <c r="AC53" s="2" t="s">
        <v>546</v>
      </c>
      <c r="AD53" s="2" t="s">
        <v>547</v>
      </c>
      <c r="AE53" s="2" t="s">
        <v>548</v>
      </c>
      <c r="AF53" s="2" t="s">
        <v>549</v>
      </c>
      <c r="AG53" s="2" t="s">
        <v>224</v>
      </c>
      <c r="AH53" s="2" t="s">
        <v>550</v>
      </c>
      <c r="AI53" s="2" t="s">
        <v>225</v>
      </c>
      <c r="AJ53" s="2">
        <v>1</v>
      </c>
    </row>
    <row r="54" ht="23" customHeight="1" spans="1:36">
      <c r="A54" s="2">
        <v>51</v>
      </c>
      <c r="B54" s="2" t="s">
        <v>551</v>
      </c>
      <c r="C54" s="2" t="s">
        <v>552</v>
      </c>
      <c r="D54" s="2" t="s">
        <v>19</v>
      </c>
      <c r="E54" s="2" t="s">
        <v>56</v>
      </c>
      <c r="F54" s="2" t="s">
        <v>553</v>
      </c>
      <c r="G54" s="2" t="s">
        <v>554</v>
      </c>
      <c r="H54" s="2" t="s">
        <v>555</v>
      </c>
      <c r="I54" s="2" t="s">
        <v>69</v>
      </c>
      <c r="J54" s="5">
        <v>253.16</v>
      </c>
      <c r="K54" s="2">
        <v>1</v>
      </c>
      <c r="L54" s="5">
        <v>253.16</v>
      </c>
      <c r="M54" s="6">
        <v>57</v>
      </c>
      <c r="N54" s="6">
        <v>285</v>
      </c>
      <c r="O54" s="6">
        <v>964</v>
      </c>
      <c r="P54" s="6">
        <v>4774</v>
      </c>
      <c r="Q54" s="5">
        <v>72150.6</v>
      </c>
      <c r="R54" s="7">
        <f t="shared" si="0"/>
        <v>0.857142857142857</v>
      </c>
      <c r="S54" s="2">
        <v>404</v>
      </c>
      <c r="T54" s="8">
        <f t="shared" si="1"/>
        <v>42.5263157894737</v>
      </c>
      <c r="U54" s="2" t="s">
        <v>218</v>
      </c>
      <c r="V54" s="2">
        <v>236</v>
      </c>
      <c r="W54" s="2">
        <v>4.8</v>
      </c>
      <c r="X54" s="9">
        <v>0.0898</v>
      </c>
      <c r="Y54" s="10">
        <v>45397</v>
      </c>
      <c r="Z54" s="2" t="s">
        <v>219</v>
      </c>
      <c r="AA54" s="2"/>
      <c r="AB54" s="11">
        <v>-0.237967914438503</v>
      </c>
      <c r="AC54" s="2" t="s">
        <v>556</v>
      </c>
      <c r="AD54" s="2" t="s">
        <v>412</v>
      </c>
      <c r="AE54" s="2" t="s">
        <v>481</v>
      </c>
      <c r="AF54" s="2" t="s">
        <v>557</v>
      </c>
      <c r="AG54" s="2" t="s">
        <v>224</v>
      </c>
      <c r="AH54" s="2" t="s">
        <v>558</v>
      </c>
      <c r="AI54" s="2" t="s">
        <v>225</v>
      </c>
      <c r="AJ54" s="2">
        <v>1</v>
      </c>
    </row>
    <row r="55" ht="23" customHeight="1" spans="1:36">
      <c r="A55" s="2">
        <v>52</v>
      </c>
      <c r="B55" s="2" t="s">
        <v>559</v>
      </c>
      <c r="C55" s="2" t="s">
        <v>560</v>
      </c>
      <c r="D55" s="2" t="s">
        <v>27</v>
      </c>
      <c r="E55" s="2" t="s">
        <v>53</v>
      </c>
      <c r="F55" s="2" t="s">
        <v>561</v>
      </c>
      <c r="G55" s="2" t="s">
        <v>562</v>
      </c>
      <c r="H55" s="2" t="s">
        <v>563</v>
      </c>
      <c r="I55" s="2" t="s">
        <v>68</v>
      </c>
      <c r="J55" s="5">
        <v>173.44</v>
      </c>
      <c r="K55" s="2">
        <v>1</v>
      </c>
      <c r="L55" s="5">
        <v>173.44</v>
      </c>
      <c r="M55" s="6">
        <v>42</v>
      </c>
      <c r="N55" s="6">
        <v>279</v>
      </c>
      <c r="O55" s="6">
        <v>689</v>
      </c>
      <c r="P55" s="6">
        <v>2506</v>
      </c>
      <c r="Q55" s="5">
        <v>49256.96</v>
      </c>
      <c r="R55" s="7">
        <f t="shared" si="0"/>
        <v>0.645161290322581</v>
      </c>
      <c r="S55" s="2">
        <v>96</v>
      </c>
      <c r="T55" s="8">
        <f t="shared" si="1"/>
        <v>10.3225806451613</v>
      </c>
      <c r="U55" s="2" t="s">
        <v>218</v>
      </c>
      <c r="V55" s="2">
        <v>1418</v>
      </c>
      <c r="W55" s="2">
        <v>4.7</v>
      </c>
      <c r="X55" s="9">
        <v>0.0565</v>
      </c>
      <c r="Y55" s="10">
        <v>45623</v>
      </c>
      <c r="Z55" s="2" t="s">
        <v>219</v>
      </c>
      <c r="AA55" s="2">
        <v>19</v>
      </c>
      <c r="AB55" s="11">
        <v>0.0772200772200772</v>
      </c>
      <c r="AC55" s="2" t="s">
        <v>564</v>
      </c>
      <c r="AD55" s="2" t="s">
        <v>565</v>
      </c>
      <c r="AE55" s="2" t="s">
        <v>566</v>
      </c>
      <c r="AF55" s="2" t="s">
        <v>291</v>
      </c>
      <c r="AG55" s="2" t="s">
        <v>224</v>
      </c>
      <c r="AH55" s="2" t="s">
        <v>567</v>
      </c>
      <c r="AI55" s="2" t="s">
        <v>225</v>
      </c>
      <c r="AJ55" s="2">
        <v>1</v>
      </c>
    </row>
    <row r="56" ht="23" customHeight="1" spans="1:36">
      <c r="A56" s="2">
        <v>53</v>
      </c>
      <c r="B56" s="2" t="s">
        <v>568</v>
      </c>
      <c r="C56" s="2" t="s">
        <v>569</v>
      </c>
      <c r="D56" s="2" t="s">
        <v>19</v>
      </c>
      <c r="E56" s="2" t="s">
        <v>53</v>
      </c>
      <c r="F56" s="2" t="s">
        <v>407</v>
      </c>
      <c r="G56" s="2" t="s">
        <v>72</v>
      </c>
      <c r="H56" s="2" t="s">
        <v>570</v>
      </c>
      <c r="I56" s="2" t="s">
        <v>69</v>
      </c>
      <c r="J56" s="5">
        <v>154.72</v>
      </c>
      <c r="K56" s="2">
        <v>2</v>
      </c>
      <c r="L56" s="5">
        <v>77.36</v>
      </c>
      <c r="M56" s="6">
        <v>104</v>
      </c>
      <c r="N56" s="6">
        <v>279</v>
      </c>
      <c r="O56" s="6">
        <v>1259</v>
      </c>
      <c r="P56" s="6">
        <v>2222</v>
      </c>
      <c r="Q56" s="5">
        <v>43166.88</v>
      </c>
      <c r="R56" s="7">
        <f t="shared" si="0"/>
        <v>1.59754224270353</v>
      </c>
      <c r="S56" s="2">
        <v>263</v>
      </c>
      <c r="T56" s="8">
        <f t="shared" si="1"/>
        <v>28.2795698924731</v>
      </c>
      <c r="U56" s="2" t="s">
        <v>218</v>
      </c>
      <c r="V56" s="2">
        <v>183</v>
      </c>
      <c r="W56" s="2">
        <v>4.7</v>
      </c>
      <c r="X56" s="9">
        <v>0.0451</v>
      </c>
      <c r="Y56" s="10">
        <v>45987</v>
      </c>
      <c r="Z56" s="2" t="s">
        <v>219</v>
      </c>
      <c r="AA56" s="2">
        <v>14</v>
      </c>
      <c r="AB56" s="11">
        <v>-0.476547842401501</v>
      </c>
      <c r="AC56" s="2" t="s">
        <v>571</v>
      </c>
      <c r="AD56" s="2" t="s">
        <v>222</v>
      </c>
      <c r="AE56" s="2" t="s">
        <v>450</v>
      </c>
      <c r="AF56" s="2" t="s">
        <v>572</v>
      </c>
      <c r="AG56" s="2" t="s">
        <v>224</v>
      </c>
      <c r="AH56" s="2" t="s">
        <v>573</v>
      </c>
      <c r="AI56" s="2" t="s">
        <v>225</v>
      </c>
      <c r="AJ56" s="2">
        <v>1</v>
      </c>
    </row>
    <row r="57" ht="23" customHeight="1" spans="1:36">
      <c r="A57">
        <v>54</v>
      </c>
      <c r="B57" t="s">
        <v>574</v>
      </c>
      <c r="C57" t="s">
        <v>575</v>
      </c>
      <c r="D57" t="s">
        <v>21</v>
      </c>
      <c r="E57" t="s">
        <v>50</v>
      </c>
      <c r="F57" t="s">
        <v>258</v>
      </c>
      <c r="G57" t="s">
        <v>259</v>
      </c>
      <c r="H57" t="s">
        <v>576</v>
      </c>
      <c r="I57" t="s">
        <v>69</v>
      </c>
      <c r="J57" s="12">
        <v>125.63</v>
      </c>
      <c r="K57">
        <v>1</v>
      </c>
      <c r="L57" s="12">
        <v>125.63</v>
      </c>
      <c r="M57" s="13">
        <v>36</v>
      </c>
      <c r="N57" s="13">
        <v>277</v>
      </c>
      <c r="O57" s="13">
        <v>766</v>
      </c>
      <c r="P57" s="13">
        <v>6472</v>
      </c>
      <c r="Q57" s="12">
        <v>35930.18</v>
      </c>
      <c r="R57" s="14">
        <f t="shared" si="0"/>
        <v>0.556988138215575</v>
      </c>
      <c r="S57">
        <v>377</v>
      </c>
      <c r="T57" s="15">
        <f t="shared" si="1"/>
        <v>40.8303249097473</v>
      </c>
      <c r="U57" t="s">
        <v>218</v>
      </c>
      <c r="V57">
        <v>820</v>
      </c>
      <c r="W57">
        <v>4.4</v>
      </c>
      <c r="X57" s="16">
        <v>0.0708</v>
      </c>
      <c r="Y57" s="17">
        <v>44957</v>
      </c>
      <c r="Z57" t="s">
        <v>219</v>
      </c>
      <c r="AB57" s="18">
        <v>0.0778210116731518</v>
      </c>
      <c r="AC57" t="s">
        <v>481</v>
      </c>
      <c r="AD57" t="s">
        <v>577</v>
      </c>
      <c r="AE57" t="s">
        <v>577</v>
      </c>
      <c r="AF57" t="s">
        <v>255</v>
      </c>
      <c r="AG57" t="s">
        <v>224</v>
      </c>
      <c r="AH57" t="s">
        <v>578</v>
      </c>
      <c r="AI57" t="s">
        <v>225</v>
      </c>
      <c r="AJ57">
        <v>1</v>
      </c>
    </row>
    <row r="58" ht="23" customHeight="1" spans="1:36">
      <c r="A58">
        <v>55</v>
      </c>
      <c r="B58" t="s">
        <v>579</v>
      </c>
      <c r="C58" t="s">
        <v>580</v>
      </c>
      <c r="D58" t="s">
        <v>19</v>
      </c>
      <c r="E58" t="s">
        <v>56</v>
      </c>
      <c r="F58" t="s">
        <v>581</v>
      </c>
      <c r="G58" t="s">
        <v>582</v>
      </c>
      <c r="H58" t="s">
        <v>583</v>
      </c>
      <c r="I58" t="s">
        <v>69</v>
      </c>
      <c r="J58" s="12">
        <v>285.51</v>
      </c>
      <c r="K58">
        <v>1</v>
      </c>
      <c r="L58" s="12">
        <v>285.51</v>
      </c>
      <c r="M58" s="13">
        <v>71</v>
      </c>
      <c r="N58" s="13">
        <v>274</v>
      </c>
      <c r="O58" s="13">
        <v>531</v>
      </c>
      <c r="P58" s="13">
        <v>960</v>
      </c>
      <c r="Q58" s="12">
        <v>78229.74</v>
      </c>
      <c r="R58" s="14">
        <f t="shared" si="0"/>
        <v>1.11053180396246</v>
      </c>
      <c r="S58">
        <v>38</v>
      </c>
      <c r="T58" s="15">
        <f t="shared" si="1"/>
        <v>4.16058394160584</v>
      </c>
      <c r="U58" t="s">
        <v>218</v>
      </c>
      <c r="V58">
        <v>53</v>
      </c>
      <c r="W58">
        <v>4.7</v>
      </c>
      <c r="X58" s="16">
        <v>0.0499</v>
      </c>
      <c r="Y58" s="17">
        <v>46118</v>
      </c>
      <c r="Z58" t="s">
        <v>228</v>
      </c>
      <c r="AB58" s="18">
        <v>1.88421052631579</v>
      </c>
      <c r="AC58" t="s">
        <v>584</v>
      </c>
      <c r="AD58" t="s">
        <v>473</v>
      </c>
      <c r="AE58" t="s">
        <v>312</v>
      </c>
      <c r="AF58" t="s">
        <v>321</v>
      </c>
      <c r="AG58" t="s">
        <v>224</v>
      </c>
      <c r="AH58" t="s">
        <v>585</v>
      </c>
      <c r="AI58" t="s">
        <v>225</v>
      </c>
      <c r="AJ58">
        <v>1</v>
      </c>
    </row>
    <row r="59" ht="23" customHeight="1" spans="1:36">
      <c r="A59">
        <v>56</v>
      </c>
      <c r="B59" t="s">
        <v>586</v>
      </c>
      <c r="C59" t="s">
        <v>587</v>
      </c>
      <c r="D59" t="s">
        <v>30</v>
      </c>
      <c r="E59" t="s">
        <v>56</v>
      </c>
      <c r="F59" t="s">
        <v>588</v>
      </c>
      <c r="G59" t="s">
        <v>589</v>
      </c>
      <c r="H59" t="s">
        <v>590</v>
      </c>
      <c r="I59" t="s">
        <v>68</v>
      </c>
      <c r="J59" s="12">
        <v>219.99</v>
      </c>
      <c r="K59">
        <v>2</v>
      </c>
      <c r="L59" s="12">
        <v>110</v>
      </c>
      <c r="M59" s="13">
        <v>47</v>
      </c>
      <c r="N59" s="13">
        <v>267</v>
      </c>
      <c r="O59" s="13">
        <v>334</v>
      </c>
      <c r="P59" s="13">
        <v>546</v>
      </c>
      <c r="Q59" s="12">
        <v>59837.28</v>
      </c>
      <c r="R59" s="14">
        <f t="shared" si="0"/>
        <v>0.754414125200642</v>
      </c>
      <c r="S59">
        <v>5</v>
      </c>
      <c r="T59" s="15">
        <f t="shared" si="1"/>
        <v>0.561797752808989</v>
      </c>
      <c r="U59" t="s">
        <v>218</v>
      </c>
      <c r="V59">
        <v>274</v>
      </c>
      <c r="W59">
        <v>4.7</v>
      </c>
      <c r="X59" s="16">
        <v>0.055</v>
      </c>
      <c r="Y59" s="17">
        <v>46127</v>
      </c>
      <c r="Z59" t="s">
        <v>228</v>
      </c>
      <c r="AA59">
        <v>20</v>
      </c>
      <c r="AB59" s="18">
        <v>4.0377358490566</v>
      </c>
      <c r="AC59" t="s">
        <v>591</v>
      </c>
      <c r="AD59" t="s">
        <v>450</v>
      </c>
      <c r="AE59" t="s">
        <v>540</v>
      </c>
      <c r="AF59" t="s">
        <v>592</v>
      </c>
      <c r="AG59" t="s">
        <v>224</v>
      </c>
      <c r="AH59" t="s">
        <v>593</v>
      </c>
      <c r="AI59" t="s">
        <v>225</v>
      </c>
      <c r="AJ59">
        <v>0</v>
      </c>
    </row>
    <row r="60" ht="23" customHeight="1" spans="1:36">
      <c r="A60">
        <v>57</v>
      </c>
      <c r="B60" t="s">
        <v>594</v>
      </c>
      <c r="C60" t="s">
        <v>595</v>
      </c>
      <c r="D60" t="s">
        <v>25</v>
      </c>
      <c r="E60" t="s">
        <v>59</v>
      </c>
      <c r="F60" t="s">
        <v>125</v>
      </c>
      <c r="G60" t="s">
        <v>78</v>
      </c>
      <c r="H60" t="s">
        <v>596</v>
      </c>
      <c r="I60" t="s">
        <v>68</v>
      </c>
      <c r="J60" s="12">
        <v>323.1</v>
      </c>
      <c r="K60">
        <v>1</v>
      </c>
      <c r="L60" s="12">
        <v>323.1</v>
      </c>
      <c r="M60" s="13">
        <v>24</v>
      </c>
      <c r="N60" s="13">
        <v>266</v>
      </c>
      <c r="O60" s="13">
        <v>974</v>
      </c>
      <c r="P60" s="13">
        <v>5046</v>
      </c>
      <c r="Q60" s="12">
        <v>88852.5</v>
      </c>
      <c r="R60" s="14">
        <f t="shared" si="0"/>
        <v>0.386680988184748</v>
      </c>
      <c r="S60">
        <v>647</v>
      </c>
      <c r="T60" s="15">
        <f t="shared" si="1"/>
        <v>72.9699248120301</v>
      </c>
      <c r="U60" t="s">
        <v>218</v>
      </c>
      <c r="V60">
        <v>440</v>
      </c>
      <c r="W60">
        <v>4.8</v>
      </c>
      <c r="X60" s="16">
        <v>0.0646</v>
      </c>
      <c r="Y60" s="17">
        <v>45701</v>
      </c>
      <c r="Z60" t="s">
        <v>219</v>
      </c>
      <c r="AA60">
        <v>14</v>
      </c>
      <c r="AB60" s="18">
        <v>-0.363636363636364</v>
      </c>
      <c r="AC60" t="s">
        <v>458</v>
      </c>
      <c r="AD60" t="s">
        <v>597</v>
      </c>
      <c r="AE60" t="s">
        <v>472</v>
      </c>
      <c r="AF60" t="s">
        <v>598</v>
      </c>
      <c r="AG60" t="s">
        <v>224</v>
      </c>
      <c r="AH60" t="s">
        <v>599</v>
      </c>
      <c r="AI60" t="s">
        <v>225</v>
      </c>
      <c r="AJ60">
        <v>1</v>
      </c>
    </row>
    <row r="61" ht="23" customHeight="1" spans="1:36">
      <c r="A61">
        <v>58</v>
      </c>
      <c r="B61" t="s">
        <v>600</v>
      </c>
      <c r="C61" t="s">
        <v>601</v>
      </c>
      <c r="D61" t="s">
        <v>19</v>
      </c>
      <c r="E61" t="s">
        <v>50</v>
      </c>
      <c r="F61" t="s">
        <v>102</v>
      </c>
      <c r="G61" t="s">
        <v>73</v>
      </c>
      <c r="H61" t="s">
        <v>227</v>
      </c>
      <c r="I61" t="s">
        <v>68</v>
      </c>
      <c r="J61" s="12">
        <v>148.8</v>
      </c>
      <c r="K61">
        <v>1</v>
      </c>
      <c r="L61" s="12">
        <v>148.8</v>
      </c>
      <c r="M61" s="13">
        <v>47</v>
      </c>
      <c r="N61" s="13">
        <v>266</v>
      </c>
      <c r="O61" s="13">
        <v>805</v>
      </c>
      <c r="P61" s="13">
        <v>1706</v>
      </c>
      <c r="Q61" s="12">
        <v>40771.2</v>
      </c>
      <c r="R61" s="14">
        <f t="shared" si="0"/>
        <v>0.757250268528464</v>
      </c>
      <c r="S61">
        <v>233</v>
      </c>
      <c r="T61" s="15">
        <f t="shared" si="1"/>
        <v>26.2781954887218</v>
      </c>
      <c r="U61" t="s">
        <v>218</v>
      </c>
      <c r="V61">
        <v>107</v>
      </c>
      <c r="W61">
        <v>4.7</v>
      </c>
      <c r="X61" s="16">
        <v>0.0725</v>
      </c>
      <c r="Y61" s="17">
        <v>46115</v>
      </c>
      <c r="Z61" t="s">
        <v>228</v>
      </c>
      <c r="AB61" s="18">
        <v>0.1875</v>
      </c>
      <c r="AC61" t="s">
        <v>490</v>
      </c>
      <c r="AD61" t="s">
        <v>236</v>
      </c>
      <c r="AE61" t="s">
        <v>597</v>
      </c>
      <c r="AF61" t="s">
        <v>602</v>
      </c>
      <c r="AG61" t="s">
        <v>224</v>
      </c>
      <c r="AH61" t="s">
        <v>603</v>
      </c>
      <c r="AI61" t="s">
        <v>225</v>
      </c>
      <c r="AJ61">
        <v>1</v>
      </c>
    </row>
    <row r="62" ht="23" customHeight="1" spans="1:36">
      <c r="A62">
        <v>59</v>
      </c>
      <c r="B62" t="s">
        <v>167</v>
      </c>
      <c r="C62" t="s">
        <v>604</v>
      </c>
      <c r="D62" t="s">
        <v>19</v>
      </c>
      <c r="E62" t="s">
        <v>56</v>
      </c>
      <c r="F62" t="s">
        <v>168</v>
      </c>
      <c r="G62" t="s">
        <v>605</v>
      </c>
      <c r="H62" t="s">
        <v>606</v>
      </c>
      <c r="I62" t="s">
        <v>69</v>
      </c>
      <c r="J62" s="12">
        <v>259.84</v>
      </c>
      <c r="K62">
        <v>1</v>
      </c>
      <c r="L62" s="12">
        <v>259.84</v>
      </c>
      <c r="M62" s="13">
        <v>48</v>
      </c>
      <c r="N62" s="13">
        <v>266</v>
      </c>
      <c r="O62" s="13">
        <v>403</v>
      </c>
      <c r="P62" s="13">
        <v>419</v>
      </c>
      <c r="Q62" s="12">
        <v>71715.84</v>
      </c>
      <c r="R62" s="14">
        <f t="shared" si="0"/>
        <v>0.773361976369495</v>
      </c>
      <c r="S62">
        <v>97</v>
      </c>
      <c r="T62" s="15">
        <f t="shared" si="1"/>
        <v>10.9398496240601</v>
      </c>
      <c r="U62" t="s">
        <v>218</v>
      </c>
      <c r="V62">
        <v>11</v>
      </c>
      <c r="W62">
        <v>4.5</v>
      </c>
      <c r="X62" s="16">
        <v>0.1485</v>
      </c>
      <c r="Y62" s="17">
        <v>46231</v>
      </c>
      <c r="Z62" t="s">
        <v>241</v>
      </c>
      <c r="AB62" s="18">
        <v>0.941605839416058</v>
      </c>
      <c r="AC62" t="s">
        <v>607</v>
      </c>
      <c r="AD62" t="s">
        <v>608</v>
      </c>
      <c r="AE62" t="s">
        <v>326</v>
      </c>
      <c r="AF62" t="s">
        <v>602</v>
      </c>
      <c r="AG62" t="s">
        <v>224</v>
      </c>
      <c r="AH62" t="s">
        <v>170</v>
      </c>
      <c r="AI62" t="s">
        <v>225</v>
      </c>
      <c r="AJ62">
        <v>1</v>
      </c>
    </row>
    <row r="63" ht="23" customHeight="1" spans="1:36">
      <c r="A63">
        <v>60</v>
      </c>
      <c r="B63" t="s">
        <v>609</v>
      </c>
      <c r="C63" t="s">
        <v>610</v>
      </c>
      <c r="D63" t="s">
        <v>19</v>
      </c>
      <c r="E63" t="s">
        <v>53</v>
      </c>
      <c r="F63" t="s">
        <v>407</v>
      </c>
      <c r="G63" t="s">
        <v>72</v>
      </c>
      <c r="H63" t="s">
        <v>611</v>
      </c>
      <c r="I63" t="s">
        <v>68</v>
      </c>
      <c r="J63" s="12">
        <v>166.24</v>
      </c>
      <c r="K63">
        <v>1</v>
      </c>
      <c r="L63" s="12">
        <v>166.24</v>
      </c>
      <c r="M63" s="13">
        <v>68</v>
      </c>
      <c r="N63" s="13">
        <v>265</v>
      </c>
      <c r="O63" s="13">
        <v>786</v>
      </c>
      <c r="P63" s="13">
        <v>1713</v>
      </c>
      <c r="Q63" s="12">
        <v>44884.8</v>
      </c>
      <c r="R63" s="14">
        <f t="shared" si="0"/>
        <v>1.09973045822102</v>
      </c>
      <c r="S63">
        <v>35</v>
      </c>
      <c r="T63" s="15">
        <f t="shared" si="1"/>
        <v>3.9622641509434</v>
      </c>
      <c r="U63" t="s">
        <v>218</v>
      </c>
      <c r="V63">
        <v>47</v>
      </c>
      <c r="W63">
        <v>4.7</v>
      </c>
      <c r="X63" s="16">
        <v>0.1408</v>
      </c>
      <c r="Y63" s="17">
        <v>45923</v>
      </c>
      <c r="Z63" t="s">
        <v>219</v>
      </c>
      <c r="AB63" s="18">
        <v>0.193693693693694</v>
      </c>
      <c r="AC63" t="s">
        <v>296</v>
      </c>
      <c r="AD63" t="s">
        <v>296</v>
      </c>
      <c r="AE63" t="s">
        <v>254</v>
      </c>
      <c r="AF63" t="s">
        <v>413</v>
      </c>
      <c r="AG63" t="s">
        <v>224</v>
      </c>
      <c r="AH63" t="s">
        <v>612</v>
      </c>
      <c r="AI63" t="s">
        <v>225</v>
      </c>
      <c r="AJ63">
        <v>1</v>
      </c>
    </row>
    <row r="64" ht="23" customHeight="1" spans="1:36">
      <c r="A64">
        <v>61</v>
      </c>
      <c r="B64" t="s">
        <v>613</v>
      </c>
      <c r="C64" t="s">
        <v>614</v>
      </c>
      <c r="D64" t="s">
        <v>19</v>
      </c>
      <c r="E64" t="s">
        <v>53</v>
      </c>
      <c r="F64" t="s">
        <v>407</v>
      </c>
      <c r="G64" t="s">
        <v>72</v>
      </c>
      <c r="H64" t="s">
        <v>611</v>
      </c>
      <c r="I64" t="s">
        <v>68</v>
      </c>
      <c r="J64" s="12">
        <v>151.42</v>
      </c>
      <c r="K64">
        <v>2</v>
      </c>
      <c r="L64" s="12">
        <v>75.71</v>
      </c>
      <c r="M64" s="13">
        <v>76</v>
      </c>
      <c r="N64" s="13">
        <v>265</v>
      </c>
      <c r="O64" s="13">
        <v>552</v>
      </c>
      <c r="P64" s="13">
        <v>2072</v>
      </c>
      <c r="Q64" s="12">
        <v>40126.3</v>
      </c>
      <c r="R64" s="14">
        <f t="shared" si="0"/>
        <v>1.22911051212938</v>
      </c>
      <c r="S64">
        <v>96</v>
      </c>
      <c r="T64" s="15">
        <f t="shared" si="1"/>
        <v>10.8679245283019</v>
      </c>
      <c r="U64" t="s">
        <v>218</v>
      </c>
      <c r="V64">
        <v>149</v>
      </c>
      <c r="W64">
        <v>4.9</v>
      </c>
      <c r="X64" s="16">
        <v>0.0458</v>
      </c>
      <c r="Y64" s="17">
        <v>46013</v>
      </c>
      <c r="Z64" t="s">
        <v>219</v>
      </c>
      <c r="AA64">
        <v>13</v>
      </c>
      <c r="AB64" s="18">
        <v>0.866197183098592</v>
      </c>
      <c r="AC64" t="s">
        <v>300</v>
      </c>
      <c r="AD64" t="s">
        <v>331</v>
      </c>
      <c r="AE64" t="s">
        <v>450</v>
      </c>
      <c r="AF64" t="s">
        <v>572</v>
      </c>
      <c r="AG64" t="s">
        <v>224</v>
      </c>
      <c r="AH64" t="s">
        <v>615</v>
      </c>
      <c r="AI64" t="s">
        <v>225</v>
      </c>
      <c r="AJ64">
        <v>1</v>
      </c>
    </row>
    <row r="65" ht="23" customHeight="1" spans="1:36">
      <c r="A65">
        <v>62</v>
      </c>
      <c r="B65" t="s">
        <v>171</v>
      </c>
      <c r="C65" t="s">
        <v>616</v>
      </c>
      <c r="D65" t="s">
        <v>21</v>
      </c>
      <c r="E65" t="s">
        <v>53</v>
      </c>
      <c r="F65" t="s">
        <v>172</v>
      </c>
      <c r="G65" t="s">
        <v>617</v>
      </c>
      <c r="H65" t="s">
        <v>618</v>
      </c>
      <c r="I65" t="s">
        <v>69</v>
      </c>
      <c r="J65" s="12">
        <v>178.64</v>
      </c>
      <c r="K65">
        <v>1</v>
      </c>
      <c r="L65" s="12">
        <v>178.64</v>
      </c>
      <c r="M65" s="13">
        <v>88</v>
      </c>
      <c r="N65" s="13">
        <v>264</v>
      </c>
      <c r="O65" s="13">
        <v>264</v>
      </c>
      <c r="P65" s="13">
        <v>264</v>
      </c>
      <c r="Q65" s="12">
        <v>47160.96</v>
      </c>
      <c r="R65" s="14">
        <f t="shared" si="0"/>
        <v>1.42857142857143</v>
      </c>
      <c r="S65">
        <v>177</v>
      </c>
      <c r="T65" s="15">
        <f t="shared" si="1"/>
        <v>20.1136363636364</v>
      </c>
      <c r="U65" t="s">
        <v>218</v>
      </c>
      <c r="V65">
        <v>70</v>
      </c>
      <c r="W65">
        <v>4.6</v>
      </c>
      <c r="X65" s="16">
        <v>0.0544</v>
      </c>
      <c r="Y65" s="17">
        <v>46259</v>
      </c>
      <c r="Z65" t="s">
        <v>241</v>
      </c>
      <c r="AB65" s="18">
        <v>65</v>
      </c>
      <c r="AF65" t="s">
        <v>619</v>
      </c>
      <c r="AG65" t="s">
        <v>224</v>
      </c>
      <c r="AH65" t="s">
        <v>174</v>
      </c>
      <c r="AI65" t="s">
        <v>225</v>
      </c>
      <c r="AJ65">
        <v>1</v>
      </c>
    </row>
    <row r="66" ht="23" customHeight="1" spans="1:36">
      <c r="A66">
        <v>63</v>
      </c>
      <c r="B66" t="s">
        <v>620</v>
      </c>
      <c r="C66" t="s">
        <v>621</v>
      </c>
      <c r="D66" t="s">
        <v>19</v>
      </c>
      <c r="E66" t="s">
        <v>56</v>
      </c>
      <c r="F66" t="s">
        <v>153</v>
      </c>
      <c r="G66" t="s">
        <v>76</v>
      </c>
      <c r="H66" t="s">
        <v>381</v>
      </c>
      <c r="I66" t="s">
        <v>69</v>
      </c>
      <c r="J66" s="12">
        <v>243.67</v>
      </c>
      <c r="K66">
        <v>2</v>
      </c>
      <c r="L66" s="12">
        <v>121.83</v>
      </c>
      <c r="M66" s="13">
        <v>29</v>
      </c>
      <c r="N66" s="13">
        <v>261</v>
      </c>
      <c r="O66" s="13">
        <v>717</v>
      </c>
      <c r="P66" s="13">
        <v>1030</v>
      </c>
      <c r="Q66" s="12">
        <v>65790.9</v>
      </c>
      <c r="R66" s="14">
        <f t="shared" si="0"/>
        <v>0.476190476190476</v>
      </c>
      <c r="S66">
        <v>130</v>
      </c>
      <c r="T66" s="15">
        <f t="shared" si="1"/>
        <v>14.9425287356322</v>
      </c>
      <c r="U66" t="s">
        <v>218</v>
      </c>
      <c r="V66">
        <v>217</v>
      </c>
      <c r="W66">
        <v>4.6</v>
      </c>
      <c r="X66" s="16">
        <v>0.0976</v>
      </c>
      <c r="Y66" s="17">
        <v>46157</v>
      </c>
      <c r="Z66" t="s">
        <v>228</v>
      </c>
      <c r="AB66" s="18">
        <v>0.0235294117647059</v>
      </c>
      <c r="AC66" t="s">
        <v>622</v>
      </c>
      <c r="AD66" t="s">
        <v>254</v>
      </c>
      <c r="AE66" t="s">
        <v>623</v>
      </c>
      <c r="AF66" t="s">
        <v>619</v>
      </c>
      <c r="AG66" t="s">
        <v>224</v>
      </c>
      <c r="AH66" t="s">
        <v>624</v>
      </c>
      <c r="AI66" t="s">
        <v>225</v>
      </c>
      <c r="AJ66">
        <v>1</v>
      </c>
    </row>
    <row r="67" ht="23" customHeight="1" spans="1:36">
      <c r="A67">
        <v>64</v>
      </c>
      <c r="B67" t="s">
        <v>625</v>
      </c>
      <c r="C67" t="s">
        <v>626</v>
      </c>
      <c r="D67" t="s">
        <v>19</v>
      </c>
      <c r="E67" t="s">
        <v>50</v>
      </c>
      <c r="F67" t="s">
        <v>627</v>
      </c>
      <c r="G67" t="s">
        <v>628</v>
      </c>
      <c r="H67" t="s">
        <v>629</v>
      </c>
      <c r="I67" t="s">
        <v>68</v>
      </c>
      <c r="J67" s="12">
        <v>144</v>
      </c>
      <c r="K67">
        <v>1</v>
      </c>
      <c r="L67" s="12">
        <v>144</v>
      </c>
      <c r="M67" s="13">
        <v>103</v>
      </c>
      <c r="N67" s="13">
        <v>260</v>
      </c>
      <c r="O67" s="13">
        <v>1205</v>
      </c>
      <c r="P67" s="13">
        <v>1430</v>
      </c>
      <c r="Q67" s="12">
        <v>38160</v>
      </c>
      <c r="R67" s="14">
        <f t="shared" si="0"/>
        <v>1.6978021978022</v>
      </c>
      <c r="S67">
        <v>476</v>
      </c>
      <c r="T67" s="15">
        <f t="shared" si="1"/>
        <v>54.9230769230769</v>
      </c>
      <c r="U67" t="s">
        <v>218</v>
      </c>
      <c r="V67">
        <v>902</v>
      </c>
      <c r="W67">
        <v>4.5</v>
      </c>
      <c r="X67" s="16">
        <v>0.1288</v>
      </c>
      <c r="Y67" s="17">
        <v>46182</v>
      </c>
      <c r="Z67" t="s">
        <v>228</v>
      </c>
      <c r="AA67">
        <v>20</v>
      </c>
      <c r="AB67" s="18">
        <v>-0.31758530183727</v>
      </c>
      <c r="AC67" t="s">
        <v>539</v>
      </c>
      <c r="AD67" t="s">
        <v>325</v>
      </c>
      <c r="AE67" t="s">
        <v>630</v>
      </c>
      <c r="AF67" t="s">
        <v>631</v>
      </c>
      <c r="AG67" t="s">
        <v>224</v>
      </c>
      <c r="AH67" t="s">
        <v>632</v>
      </c>
      <c r="AI67" t="s">
        <v>225</v>
      </c>
      <c r="AJ67">
        <v>1</v>
      </c>
    </row>
    <row r="68" ht="23" customHeight="1" spans="1:36">
      <c r="A68">
        <v>65</v>
      </c>
      <c r="B68" t="s">
        <v>633</v>
      </c>
      <c r="C68" t="s">
        <v>634</v>
      </c>
      <c r="D68" t="s">
        <v>23</v>
      </c>
      <c r="E68" t="s">
        <v>53</v>
      </c>
      <c r="F68" t="s">
        <v>635</v>
      </c>
      <c r="G68" t="s">
        <v>636</v>
      </c>
      <c r="H68" t="s">
        <v>637</v>
      </c>
      <c r="I68" t="s">
        <v>68</v>
      </c>
      <c r="J68" s="12">
        <v>198.99</v>
      </c>
      <c r="K68">
        <v>2</v>
      </c>
      <c r="L68" s="12">
        <v>99.5</v>
      </c>
      <c r="M68" s="13">
        <v>93</v>
      </c>
      <c r="N68" s="13">
        <v>260</v>
      </c>
      <c r="O68" s="13">
        <v>703</v>
      </c>
      <c r="P68" s="13">
        <v>1157</v>
      </c>
      <c r="Q68" s="12">
        <v>51737.4</v>
      </c>
      <c r="R68" s="14">
        <f t="shared" ref="R68:R131" si="2">IFERROR(M68*30/(N68*7),0)</f>
        <v>1.53296703296703</v>
      </c>
      <c r="S68">
        <v>116</v>
      </c>
      <c r="T68" s="15">
        <f t="shared" ref="T68:T131" si="3">IFERROR(S68*30/N68,0)</f>
        <v>13.3846153846154</v>
      </c>
      <c r="U68" t="s">
        <v>218</v>
      </c>
      <c r="V68">
        <v>121</v>
      </c>
      <c r="W68">
        <v>4.4</v>
      </c>
      <c r="X68" s="16">
        <v>0.0274</v>
      </c>
      <c r="Y68" s="17">
        <v>46083</v>
      </c>
      <c r="Z68" t="s">
        <v>219</v>
      </c>
      <c r="AB68" s="18">
        <v>0.0699588477366255</v>
      </c>
      <c r="AC68" t="s">
        <v>638</v>
      </c>
      <c r="AD68" t="s">
        <v>319</v>
      </c>
      <c r="AE68" t="s">
        <v>639</v>
      </c>
      <c r="AF68" t="s">
        <v>314</v>
      </c>
      <c r="AG68" t="s">
        <v>224</v>
      </c>
      <c r="AH68" t="s">
        <v>640</v>
      </c>
      <c r="AI68" t="s">
        <v>225</v>
      </c>
      <c r="AJ68">
        <v>1</v>
      </c>
    </row>
    <row r="69" ht="23" customHeight="1" spans="1:36">
      <c r="A69">
        <v>66</v>
      </c>
      <c r="B69" t="s">
        <v>641</v>
      </c>
      <c r="C69" t="s">
        <v>642</v>
      </c>
      <c r="D69" t="s">
        <v>19</v>
      </c>
      <c r="E69" t="s">
        <v>53</v>
      </c>
      <c r="F69" t="s">
        <v>407</v>
      </c>
      <c r="G69" t="s">
        <v>72</v>
      </c>
      <c r="H69" t="s">
        <v>570</v>
      </c>
      <c r="I69" t="s">
        <v>69</v>
      </c>
      <c r="J69" s="12">
        <v>163.67</v>
      </c>
      <c r="K69">
        <v>1</v>
      </c>
      <c r="L69" s="12">
        <v>163.67</v>
      </c>
      <c r="M69" s="13">
        <v>46</v>
      </c>
      <c r="N69" s="13">
        <v>258</v>
      </c>
      <c r="O69" s="13">
        <v>509</v>
      </c>
      <c r="P69" s="13">
        <v>1073</v>
      </c>
      <c r="Q69" s="12">
        <v>42226.86</v>
      </c>
      <c r="R69" s="14">
        <f t="shared" si="2"/>
        <v>0.764119601328904</v>
      </c>
      <c r="S69">
        <v>14</v>
      </c>
      <c r="T69" s="15">
        <f t="shared" si="3"/>
        <v>1.62790697674419</v>
      </c>
      <c r="U69" t="s">
        <v>218</v>
      </c>
      <c r="V69">
        <v>36</v>
      </c>
      <c r="W69">
        <v>4.9</v>
      </c>
      <c r="X69" s="16">
        <v>0.069</v>
      </c>
      <c r="Y69" s="17">
        <v>46012</v>
      </c>
      <c r="Z69" t="s">
        <v>219</v>
      </c>
      <c r="AB69" s="18">
        <v>0.211267605633803</v>
      </c>
      <c r="AC69" t="s">
        <v>643</v>
      </c>
      <c r="AD69" t="s">
        <v>418</v>
      </c>
      <c r="AE69" t="s">
        <v>644</v>
      </c>
      <c r="AF69" t="s">
        <v>645</v>
      </c>
      <c r="AG69" t="s">
        <v>224</v>
      </c>
      <c r="AH69" t="s">
        <v>646</v>
      </c>
      <c r="AI69" t="s">
        <v>225</v>
      </c>
      <c r="AJ69">
        <v>1</v>
      </c>
    </row>
    <row r="70" ht="23" customHeight="1" spans="1:36">
      <c r="A70">
        <v>67</v>
      </c>
      <c r="B70" t="s">
        <v>647</v>
      </c>
      <c r="C70" t="s">
        <v>648</v>
      </c>
      <c r="D70" t="s">
        <v>19</v>
      </c>
      <c r="E70" t="s">
        <v>56</v>
      </c>
      <c r="F70" t="s">
        <v>401</v>
      </c>
      <c r="G70" t="s">
        <v>74</v>
      </c>
      <c r="H70" t="s">
        <v>402</v>
      </c>
      <c r="I70" t="s">
        <v>69</v>
      </c>
      <c r="J70" s="12">
        <v>213</v>
      </c>
      <c r="K70">
        <v>1</v>
      </c>
      <c r="L70" s="12">
        <v>213</v>
      </c>
      <c r="M70" s="13">
        <v>1</v>
      </c>
      <c r="N70" s="13">
        <v>256</v>
      </c>
      <c r="O70" s="13">
        <v>1259</v>
      </c>
      <c r="P70" s="13">
        <v>3634</v>
      </c>
      <c r="Q70" s="12">
        <v>54528</v>
      </c>
      <c r="R70" s="14">
        <f t="shared" si="2"/>
        <v>0.0167410714285714</v>
      </c>
      <c r="S70">
        <v>2</v>
      </c>
      <c r="T70" s="15">
        <f t="shared" si="3"/>
        <v>0.234375</v>
      </c>
      <c r="U70" t="s">
        <v>218</v>
      </c>
      <c r="V70">
        <v>142</v>
      </c>
      <c r="W70">
        <v>4.5</v>
      </c>
      <c r="X70" s="16">
        <v>0.0949</v>
      </c>
      <c r="Y70" s="17">
        <v>45760</v>
      </c>
      <c r="Z70" t="s">
        <v>219</v>
      </c>
      <c r="AB70" s="18">
        <v>-0.548500881834215</v>
      </c>
      <c r="AC70" t="s">
        <v>649</v>
      </c>
      <c r="AD70" t="s">
        <v>650</v>
      </c>
      <c r="AE70" t="s">
        <v>325</v>
      </c>
      <c r="AF70" t="s">
        <v>496</v>
      </c>
      <c r="AG70" t="s">
        <v>224</v>
      </c>
      <c r="AH70" t="s">
        <v>651</v>
      </c>
      <c r="AI70" t="s">
        <v>225</v>
      </c>
      <c r="AJ70">
        <v>1</v>
      </c>
    </row>
    <row r="71" ht="23" customHeight="1" spans="1:36">
      <c r="A71">
        <v>68</v>
      </c>
      <c r="B71" t="s">
        <v>652</v>
      </c>
      <c r="C71" t="s">
        <v>653</v>
      </c>
      <c r="D71" t="s">
        <v>19</v>
      </c>
      <c r="E71" t="s">
        <v>47</v>
      </c>
      <c r="F71" t="s">
        <v>407</v>
      </c>
      <c r="G71" t="s">
        <v>72</v>
      </c>
      <c r="H71" t="s">
        <v>654</v>
      </c>
      <c r="I71" t="s">
        <v>68</v>
      </c>
      <c r="J71" s="12">
        <v>98.98</v>
      </c>
      <c r="K71">
        <v>1</v>
      </c>
      <c r="L71" s="12">
        <v>98.98</v>
      </c>
      <c r="M71" s="13">
        <v>130</v>
      </c>
      <c r="N71" s="13">
        <v>253</v>
      </c>
      <c r="O71" s="13">
        <v>729</v>
      </c>
      <c r="P71" s="13">
        <v>2118</v>
      </c>
      <c r="Q71" s="12">
        <v>25041.94</v>
      </c>
      <c r="R71" s="14">
        <f t="shared" si="2"/>
        <v>2.20214568040655</v>
      </c>
      <c r="S71">
        <v>156</v>
      </c>
      <c r="T71" s="15">
        <f t="shared" si="3"/>
        <v>18.498023715415</v>
      </c>
      <c r="U71" t="s">
        <v>218</v>
      </c>
      <c r="V71">
        <v>90</v>
      </c>
      <c r="W71">
        <v>4.8</v>
      </c>
      <c r="X71" s="16">
        <v>0.134</v>
      </c>
      <c r="Y71" s="17">
        <v>46014</v>
      </c>
      <c r="Z71" t="s">
        <v>219</v>
      </c>
      <c r="AB71" s="18">
        <v>0.78169014084507</v>
      </c>
      <c r="AC71" t="s">
        <v>510</v>
      </c>
      <c r="AD71" t="s">
        <v>272</v>
      </c>
      <c r="AE71" t="s">
        <v>655</v>
      </c>
      <c r="AF71" t="s">
        <v>572</v>
      </c>
      <c r="AG71" t="s">
        <v>224</v>
      </c>
      <c r="AH71" t="s">
        <v>656</v>
      </c>
      <c r="AI71" t="s">
        <v>225</v>
      </c>
      <c r="AJ71">
        <v>1</v>
      </c>
    </row>
    <row r="72" ht="23" customHeight="1" spans="1:36">
      <c r="A72">
        <v>69</v>
      </c>
      <c r="B72" t="s">
        <v>657</v>
      </c>
      <c r="C72" t="s">
        <v>658</v>
      </c>
      <c r="D72" t="s">
        <v>19</v>
      </c>
      <c r="E72" t="s">
        <v>47</v>
      </c>
      <c r="F72" t="s">
        <v>407</v>
      </c>
      <c r="G72" t="s">
        <v>72</v>
      </c>
      <c r="H72" t="s">
        <v>611</v>
      </c>
      <c r="I72" t="s">
        <v>68</v>
      </c>
      <c r="J72" s="12">
        <v>88.88</v>
      </c>
      <c r="K72">
        <v>1</v>
      </c>
      <c r="L72" s="12">
        <v>88.88</v>
      </c>
      <c r="M72" s="13">
        <v>80</v>
      </c>
      <c r="N72" s="13">
        <v>252</v>
      </c>
      <c r="O72" s="13">
        <v>640</v>
      </c>
      <c r="P72" s="13">
        <v>1749</v>
      </c>
      <c r="Q72" s="12">
        <v>22397.76</v>
      </c>
      <c r="R72" s="14">
        <f t="shared" si="2"/>
        <v>1.36054421768707</v>
      </c>
      <c r="S72">
        <v>18</v>
      </c>
      <c r="T72" s="15">
        <f t="shared" si="3"/>
        <v>2.14285714285714</v>
      </c>
      <c r="U72" t="s">
        <v>218</v>
      </c>
      <c r="V72">
        <v>70</v>
      </c>
      <c r="W72">
        <v>4.8</v>
      </c>
      <c r="X72" s="16">
        <v>0.1135</v>
      </c>
      <c r="Y72" s="17">
        <v>46049</v>
      </c>
      <c r="Z72" t="s">
        <v>219</v>
      </c>
      <c r="AB72" s="18">
        <v>0.423728813559322</v>
      </c>
      <c r="AC72" t="s">
        <v>659</v>
      </c>
      <c r="AD72" t="s">
        <v>272</v>
      </c>
      <c r="AE72" t="s">
        <v>630</v>
      </c>
      <c r="AF72" t="s">
        <v>660</v>
      </c>
      <c r="AG72" t="s">
        <v>224</v>
      </c>
      <c r="AH72" t="s">
        <v>661</v>
      </c>
      <c r="AI72" t="s">
        <v>225</v>
      </c>
      <c r="AJ72">
        <v>1</v>
      </c>
    </row>
    <row r="73" ht="23" customHeight="1" spans="1:36">
      <c r="A73">
        <v>70</v>
      </c>
      <c r="B73" t="s">
        <v>662</v>
      </c>
      <c r="C73" t="s">
        <v>663</v>
      </c>
      <c r="D73" t="s">
        <v>27</v>
      </c>
      <c r="E73" t="s">
        <v>53</v>
      </c>
      <c r="F73" t="s">
        <v>561</v>
      </c>
      <c r="G73" t="s">
        <v>562</v>
      </c>
      <c r="H73" t="s">
        <v>563</v>
      </c>
      <c r="I73" t="s">
        <v>68</v>
      </c>
      <c r="J73" s="12">
        <v>178.76</v>
      </c>
      <c r="K73">
        <v>1</v>
      </c>
      <c r="L73" s="12">
        <v>178.76</v>
      </c>
      <c r="M73" s="13">
        <v>55</v>
      </c>
      <c r="N73" s="13">
        <v>252</v>
      </c>
      <c r="O73" s="13">
        <v>713</v>
      </c>
      <c r="P73" s="13">
        <v>2564</v>
      </c>
      <c r="Q73" s="12">
        <v>46656.36</v>
      </c>
      <c r="R73" s="14">
        <f t="shared" si="2"/>
        <v>0.935374149659864</v>
      </c>
      <c r="S73">
        <v>9</v>
      </c>
      <c r="T73" s="15">
        <f t="shared" si="3"/>
        <v>1.07142857142857</v>
      </c>
      <c r="U73" t="s">
        <v>218</v>
      </c>
      <c r="V73">
        <v>1415</v>
      </c>
      <c r="W73">
        <v>4.7</v>
      </c>
      <c r="X73" s="16">
        <v>0.0475</v>
      </c>
      <c r="Y73" s="17">
        <v>45623</v>
      </c>
      <c r="Z73" t="s">
        <v>219</v>
      </c>
      <c r="AA73">
        <v>20</v>
      </c>
      <c r="AB73" s="18">
        <v>0.0815450643776824</v>
      </c>
      <c r="AC73" t="s">
        <v>650</v>
      </c>
      <c r="AD73" t="s">
        <v>433</v>
      </c>
      <c r="AE73" t="s">
        <v>441</v>
      </c>
      <c r="AF73" t="s">
        <v>592</v>
      </c>
      <c r="AG73" t="s">
        <v>224</v>
      </c>
      <c r="AH73" t="s">
        <v>664</v>
      </c>
      <c r="AI73" t="s">
        <v>225</v>
      </c>
      <c r="AJ73">
        <v>1</v>
      </c>
    </row>
    <row r="74" ht="23" customHeight="1" spans="1:36">
      <c r="A74">
        <v>71</v>
      </c>
      <c r="B74" t="s">
        <v>175</v>
      </c>
      <c r="C74" t="s">
        <v>665</v>
      </c>
      <c r="D74" t="s">
        <v>21</v>
      </c>
      <c r="E74" t="s">
        <v>56</v>
      </c>
      <c r="F74" t="s">
        <v>141</v>
      </c>
      <c r="G74" t="s">
        <v>81</v>
      </c>
      <c r="H74" t="s">
        <v>666</v>
      </c>
      <c r="I74" t="s">
        <v>68</v>
      </c>
      <c r="J74" s="12">
        <v>273</v>
      </c>
      <c r="K74">
        <v>1</v>
      </c>
      <c r="L74" s="12">
        <v>273</v>
      </c>
      <c r="M74" s="13">
        <v>52</v>
      </c>
      <c r="N74" s="13">
        <v>241</v>
      </c>
      <c r="O74" s="13">
        <v>304</v>
      </c>
      <c r="P74" s="13">
        <v>321</v>
      </c>
      <c r="Q74" s="12">
        <v>68523</v>
      </c>
      <c r="R74" s="14">
        <f t="shared" si="2"/>
        <v>0.924718435091879</v>
      </c>
      <c r="S74">
        <v>129</v>
      </c>
      <c r="T74" s="15">
        <f t="shared" si="3"/>
        <v>16.0580912863071</v>
      </c>
      <c r="U74" t="s">
        <v>218</v>
      </c>
      <c r="V74">
        <v>207</v>
      </c>
      <c r="W74">
        <v>4.4</v>
      </c>
      <c r="X74" s="16">
        <v>0.0427</v>
      </c>
      <c r="Y74" s="17">
        <v>46247</v>
      </c>
      <c r="Z74" t="s">
        <v>241</v>
      </c>
      <c r="AA74">
        <v>3</v>
      </c>
      <c r="AB74" s="18">
        <v>2.82539682539683</v>
      </c>
      <c r="AC74" t="s">
        <v>667</v>
      </c>
      <c r="AD74" t="s">
        <v>319</v>
      </c>
      <c r="AE74" t="s">
        <v>518</v>
      </c>
      <c r="AF74" t="s">
        <v>668</v>
      </c>
      <c r="AG74" t="s">
        <v>224</v>
      </c>
      <c r="AH74" t="s">
        <v>177</v>
      </c>
      <c r="AI74" t="s">
        <v>225</v>
      </c>
      <c r="AJ74">
        <v>1</v>
      </c>
    </row>
    <row r="75" ht="23" customHeight="1" spans="1:36">
      <c r="A75">
        <v>72</v>
      </c>
      <c r="B75" t="s">
        <v>178</v>
      </c>
      <c r="C75" t="s">
        <v>669</v>
      </c>
      <c r="D75" t="s">
        <v>19</v>
      </c>
      <c r="E75" t="s">
        <v>56</v>
      </c>
      <c r="F75" t="s">
        <v>168</v>
      </c>
      <c r="G75" t="s">
        <v>605</v>
      </c>
      <c r="H75" t="s">
        <v>606</v>
      </c>
      <c r="I75" t="s">
        <v>69</v>
      </c>
      <c r="J75" s="12">
        <v>292.23</v>
      </c>
      <c r="K75">
        <v>2</v>
      </c>
      <c r="L75" s="12">
        <v>146.12</v>
      </c>
      <c r="M75" s="13">
        <v>29</v>
      </c>
      <c r="N75" s="13">
        <v>239</v>
      </c>
      <c r="O75" s="13">
        <v>313</v>
      </c>
      <c r="P75" s="13">
        <v>326</v>
      </c>
      <c r="Q75" s="12">
        <v>71888.58</v>
      </c>
      <c r="R75" s="14">
        <f t="shared" si="2"/>
        <v>0.520023909145248</v>
      </c>
      <c r="S75">
        <v>269</v>
      </c>
      <c r="T75" s="15">
        <f t="shared" si="3"/>
        <v>33.765690376569</v>
      </c>
      <c r="U75" t="s">
        <v>218</v>
      </c>
      <c r="V75">
        <v>6</v>
      </c>
      <c r="W75">
        <v>4.3</v>
      </c>
      <c r="X75" s="16">
        <v>0.0855</v>
      </c>
      <c r="Y75" s="17">
        <v>46231</v>
      </c>
      <c r="Z75" t="s">
        <v>241</v>
      </c>
      <c r="AB75" s="18">
        <v>2.27397260273973</v>
      </c>
      <c r="AC75" t="s">
        <v>670</v>
      </c>
      <c r="AD75" t="s">
        <v>671</v>
      </c>
      <c r="AE75" t="s">
        <v>481</v>
      </c>
      <c r="AF75" t="s">
        <v>672</v>
      </c>
      <c r="AG75" t="s">
        <v>224</v>
      </c>
      <c r="AH75" t="s">
        <v>180</v>
      </c>
      <c r="AI75" t="s">
        <v>225</v>
      </c>
      <c r="AJ75">
        <v>1</v>
      </c>
    </row>
    <row r="76" ht="23" customHeight="1" spans="1:36">
      <c r="A76">
        <v>73</v>
      </c>
      <c r="B76" t="s">
        <v>673</v>
      </c>
      <c r="C76" t="s">
        <v>674</v>
      </c>
      <c r="D76" t="s">
        <v>27</v>
      </c>
      <c r="E76" t="s">
        <v>47</v>
      </c>
      <c r="F76" t="s">
        <v>675</v>
      </c>
      <c r="G76" t="s">
        <v>676</v>
      </c>
      <c r="H76" t="s">
        <v>677</v>
      </c>
      <c r="I76" t="s">
        <v>68</v>
      </c>
      <c r="J76" s="12">
        <v>96</v>
      </c>
      <c r="K76">
        <v>1</v>
      </c>
      <c r="L76" s="12">
        <v>96</v>
      </c>
      <c r="M76" s="13">
        <v>68</v>
      </c>
      <c r="N76" s="13">
        <v>235</v>
      </c>
      <c r="O76" s="13">
        <v>683</v>
      </c>
      <c r="P76" s="13">
        <v>2740</v>
      </c>
      <c r="Q76" s="12">
        <v>22560</v>
      </c>
      <c r="R76" s="14">
        <f t="shared" si="2"/>
        <v>1.24012158054711</v>
      </c>
      <c r="S76">
        <v>10</v>
      </c>
      <c r="T76" s="15">
        <f t="shared" si="3"/>
        <v>1.27659574468085</v>
      </c>
      <c r="U76" t="s">
        <v>218</v>
      </c>
      <c r="V76">
        <v>244</v>
      </c>
      <c r="W76">
        <v>4.7</v>
      </c>
      <c r="X76" s="16">
        <v>0.0736</v>
      </c>
      <c r="Y76" s="17">
        <v>45727</v>
      </c>
      <c r="Z76" t="s">
        <v>219</v>
      </c>
      <c r="AB76" s="18">
        <v>0.186868686868687</v>
      </c>
      <c r="AC76" t="s">
        <v>678</v>
      </c>
      <c r="AD76" t="s">
        <v>378</v>
      </c>
      <c r="AE76" t="s">
        <v>639</v>
      </c>
      <c r="AF76" t="s">
        <v>679</v>
      </c>
      <c r="AG76" t="s">
        <v>224</v>
      </c>
      <c r="AH76" t="s">
        <v>680</v>
      </c>
      <c r="AI76" t="s">
        <v>225</v>
      </c>
      <c r="AJ76">
        <v>1</v>
      </c>
    </row>
    <row r="77" ht="23" customHeight="1" spans="1:36">
      <c r="A77">
        <v>74</v>
      </c>
      <c r="B77" t="s">
        <v>681</v>
      </c>
      <c r="C77" t="s">
        <v>682</v>
      </c>
      <c r="D77" t="s">
        <v>19</v>
      </c>
      <c r="E77" t="s">
        <v>53</v>
      </c>
      <c r="F77" t="s">
        <v>102</v>
      </c>
      <c r="G77" t="s">
        <v>73</v>
      </c>
      <c r="H77" t="s">
        <v>227</v>
      </c>
      <c r="I77" t="s">
        <v>68</v>
      </c>
      <c r="J77" s="12">
        <v>154.68</v>
      </c>
      <c r="K77">
        <v>1</v>
      </c>
      <c r="L77" s="12">
        <v>154.68</v>
      </c>
      <c r="M77" s="13">
        <v>68</v>
      </c>
      <c r="N77" s="13">
        <v>234</v>
      </c>
      <c r="O77" s="13">
        <v>565</v>
      </c>
      <c r="P77" s="13">
        <v>843</v>
      </c>
      <c r="Q77" s="12">
        <v>36195.12</v>
      </c>
      <c r="R77" s="14">
        <f t="shared" si="2"/>
        <v>1.24542124542125</v>
      </c>
      <c r="S77">
        <v>110</v>
      </c>
      <c r="T77" s="15">
        <f t="shared" si="3"/>
        <v>14.1025641025641</v>
      </c>
      <c r="U77" t="s">
        <v>218</v>
      </c>
      <c r="V77">
        <v>31</v>
      </c>
      <c r="W77">
        <v>4.9</v>
      </c>
      <c r="X77" s="16">
        <v>0.0563</v>
      </c>
      <c r="Y77" s="17">
        <v>46138</v>
      </c>
      <c r="Z77" t="s">
        <v>228</v>
      </c>
      <c r="AB77" s="18">
        <v>0.17</v>
      </c>
      <c r="AC77" t="s">
        <v>490</v>
      </c>
      <c r="AD77" t="s">
        <v>683</v>
      </c>
      <c r="AE77" t="s">
        <v>283</v>
      </c>
      <c r="AF77" t="s">
        <v>230</v>
      </c>
      <c r="AG77" t="s">
        <v>224</v>
      </c>
      <c r="AH77" t="s">
        <v>684</v>
      </c>
      <c r="AI77" t="s">
        <v>225</v>
      </c>
      <c r="AJ77">
        <v>1</v>
      </c>
    </row>
    <row r="78" ht="23" customHeight="1" spans="1:36">
      <c r="A78">
        <v>75</v>
      </c>
      <c r="B78" t="s">
        <v>685</v>
      </c>
      <c r="C78" t="s">
        <v>686</v>
      </c>
      <c r="D78" t="s">
        <v>30</v>
      </c>
      <c r="E78" t="s">
        <v>56</v>
      </c>
      <c r="F78" t="s">
        <v>687</v>
      </c>
      <c r="G78" t="s">
        <v>688</v>
      </c>
      <c r="H78" t="s">
        <v>689</v>
      </c>
      <c r="I78" t="s">
        <v>69</v>
      </c>
      <c r="J78" s="12">
        <v>256.45</v>
      </c>
      <c r="K78">
        <v>1</v>
      </c>
      <c r="L78" s="12">
        <v>256.45</v>
      </c>
      <c r="M78" s="13">
        <v>44</v>
      </c>
      <c r="N78" s="13">
        <v>234</v>
      </c>
      <c r="O78" s="13">
        <v>686</v>
      </c>
      <c r="P78" s="13">
        <v>3830</v>
      </c>
      <c r="Q78" s="12">
        <v>60009.3</v>
      </c>
      <c r="R78" s="14">
        <f t="shared" si="2"/>
        <v>0.805860805860806</v>
      </c>
      <c r="S78">
        <v>219</v>
      </c>
      <c r="T78" s="15">
        <f t="shared" si="3"/>
        <v>28.0769230769231</v>
      </c>
      <c r="U78" t="s">
        <v>218</v>
      </c>
      <c r="V78">
        <v>630</v>
      </c>
      <c r="W78">
        <v>4.7</v>
      </c>
      <c r="X78" s="16">
        <v>0.0462</v>
      </c>
      <c r="Y78" s="17">
        <v>45645</v>
      </c>
      <c r="Z78" t="s">
        <v>219</v>
      </c>
      <c r="AA78">
        <v>19</v>
      </c>
      <c r="AB78" s="18">
        <v>-0.078740157480315</v>
      </c>
      <c r="AC78" t="s">
        <v>690</v>
      </c>
      <c r="AD78" t="s">
        <v>312</v>
      </c>
      <c r="AE78" t="s">
        <v>691</v>
      </c>
      <c r="AF78" t="s">
        <v>255</v>
      </c>
      <c r="AG78" t="s">
        <v>224</v>
      </c>
      <c r="AH78" t="s">
        <v>692</v>
      </c>
      <c r="AI78" t="s">
        <v>225</v>
      </c>
      <c r="AJ78">
        <v>0</v>
      </c>
    </row>
    <row r="79" ht="23" customHeight="1" spans="1:36">
      <c r="A79">
        <v>76</v>
      </c>
      <c r="B79" t="s">
        <v>693</v>
      </c>
      <c r="C79" t="s">
        <v>694</v>
      </c>
      <c r="D79" t="s">
        <v>30</v>
      </c>
      <c r="E79" t="s">
        <v>56</v>
      </c>
      <c r="F79" t="s">
        <v>309</v>
      </c>
      <c r="G79" t="s">
        <v>75</v>
      </c>
      <c r="H79" t="s">
        <v>689</v>
      </c>
      <c r="I79" t="s">
        <v>69</v>
      </c>
      <c r="J79" s="12">
        <v>280.87</v>
      </c>
      <c r="K79">
        <v>6</v>
      </c>
      <c r="L79" s="12">
        <v>46.81</v>
      </c>
      <c r="M79" s="13">
        <v>31</v>
      </c>
      <c r="N79" s="13">
        <v>233</v>
      </c>
      <c r="O79" s="13">
        <v>826</v>
      </c>
      <c r="P79" s="13">
        <v>3726</v>
      </c>
      <c r="Q79" s="12">
        <v>68251.41</v>
      </c>
      <c r="R79" s="14">
        <f t="shared" si="2"/>
        <v>0.570202329858982</v>
      </c>
      <c r="S79">
        <v>144</v>
      </c>
      <c r="T79" s="15">
        <f t="shared" si="3"/>
        <v>18.5407725321888</v>
      </c>
      <c r="U79" t="s">
        <v>218</v>
      </c>
      <c r="V79">
        <v>530</v>
      </c>
      <c r="W79">
        <v>4.5</v>
      </c>
      <c r="X79" s="16">
        <v>0.0486</v>
      </c>
      <c r="Y79" s="17">
        <v>45624</v>
      </c>
      <c r="Z79" t="s">
        <v>219</v>
      </c>
      <c r="AA79">
        <v>18</v>
      </c>
      <c r="AB79" s="18">
        <v>-0.332378223495702</v>
      </c>
      <c r="AC79" t="s">
        <v>695</v>
      </c>
      <c r="AD79" t="s">
        <v>577</v>
      </c>
      <c r="AE79" t="s">
        <v>341</v>
      </c>
      <c r="AF79" t="s">
        <v>483</v>
      </c>
      <c r="AG79" t="s">
        <v>224</v>
      </c>
      <c r="AH79" t="s">
        <v>696</v>
      </c>
      <c r="AI79" t="s">
        <v>225</v>
      </c>
      <c r="AJ79">
        <v>0</v>
      </c>
    </row>
    <row r="80" ht="23" customHeight="1" spans="1:36">
      <c r="A80">
        <v>77</v>
      </c>
      <c r="B80" t="s">
        <v>697</v>
      </c>
      <c r="C80" t="s">
        <v>698</v>
      </c>
      <c r="D80" t="s">
        <v>19</v>
      </c>
      <c r="E80" t="s">
        <v>56</v>
      </c>
      <c r="F80" t="s">
        <v>401</v>
      </c>
      <c r="G80" t="s">
        <v>74</v>
      </c>
      <c r="H80" t="s">
        <v>402</v>
      </c>
      <c r="I80" t="s">
        <v>69</v>
      </c>
      <c r="J80" s="12">
        <v>230.61</v>
      </c>
      <c r="K80">
        <v>1</v>
      </c>
      <c r="L80" s="12">
        <v>230.61</v>
      </c>
      <c r="M80" s="13">
        <v>49</v>
      </c>
      <c r="N80" s="13">
        <v>232</v>
      </c>
      <c r="O80" s="13">
        <v>488</v>
      </c>
      <c r="P80" s="13">
        <v>1357</v>
      </c>
      <c r="Q80" s="12">
        <v>53501.52</v>
      </c>
      <c r="R80" s="14">
        <f t="shared" si="2"/>
        <v>0.905172413793103</v>
      </c>
      <c r="S80">
        <v>304</v>
      </c>
      <c r="T80" s="15">
        <f t="shared" si="3"/>
        <v>39.3103448275862</v>
      </c>
      <c r="U80" t="s">
        <v>218</v>
      </c>
      <c r="V80">
        <v>39</v>
      </c>
      <c r="W80">
        <v>4.6</v>
      </c>
      <c r="X80" s="16">
        <v>0.091</v>
      </c>
      <c r="Y80" s="17">
        <v>45657</v>
      </c>
      <c r="Z80" t="s">
        <v>219</v>
      </c>
      <c r="AB80" s="18">
        <v>0.73134328358209</v>
      </c>
      <c r="AC80" t="s">
        <v>301</v>
      </c>
      <c r="AD80" t="s">
        <v>299</v>
      </c>
      <c r="AE80" t="s">
        <v>699</v>
      </c>
      <c r="AF80" t="s">
        <v>700</v>
      </c>
      <c r="AG80" t="s">
        <v>224</v>
      </c>
      <c r="AH80" t="s">
        <v>701</v>
      </c>
      <c r="AI80" t="s">
        <v>225</v>
      </c>
      <c r="AJ80">
        <v>1</v>
      </c>
    </row>
    <row r="81" ht="23" customHeight="1" spans="1:36">
      <c r="A81">
        <v>78</v>
      </c>
      <c r="B81" t="s">
        <v>702</v>
      </c>
      <c r="C81" t="s">
        <v>703</v>
      </c>
      <c r="D81" t="s">
        <v>21</v>
      </c>
      <c r="E81" t="s">
        <v>56</v>
      </c>
      <c r="F81" t="s">
        <v>704</v>
      </c>
      <c r="G81" t="s">
        <v>705</v>
      </c>
      <c r="H81" t="s">
        <v>704</v>
      </c>
      <c r="I81" t="s">
        <v>68</v>
      </c>
      <c r="J81" s="12">
        <v>248</v>
      </c>
      <c r="K81">
        <v>2</v>
      </c>
      <c r="L81" s="12">
        <v>124</v>
      </c>
      <c r="M81" s="13">
        <v>54</v>
      </c>
      <c r="N81" s="13">
        <v>232</v>
      </c>
      <c r="O81" s="13">
        <v>1445</v>
      </c>
      <c r="P81" s="13">
        <v>3654</v>
      </c>
      <c r="Q81" s="12">
        <v>57536</v>
      </c>
      <c r="R81" s="14">
        <f t="shared" si="2"/>
        <v>0.997536945812808</v>
      </c>
      <c r="S81">
        <v>6</v>
      </c>
      <c r="T81" s="15">
        <f t="shared" si="3"/>
        <v>0.775862068965517</v>
      </c>
      <c r="U81" t="s">
        <v>218</v>
      </c>
      <c r="V81">
        <v>0</v>
      </c>
      <c r="W81">
        <v>0</v>
      </c>
      <c r="X81" s="16">
        <v>0.0705</v>
      </c>
      <c r="Y81" s="17">
        <v>45978</v>
      </c>
      <c r="Z81" t="s">
        <v>219</v>
      </c>
      <c r="AB81" s="18">
        <v>-0.369565217391304</v>
      </c>
      <c r="AC81" t="s">
        <v>706</v>
      </c>
      <c r="AD81" t="s">
        <v>283</v>
      </c>
      <c r="AE81" t="s">
        <v>707</v>
      </c>
      <c r="AF81" t="s">
        <v>708</v>
      </c>
      <c r="AG81" t="s">
        <v>224</v>
      </c>
      <c r="AH81" t="s">
        <v>709</v>
      </c>
      <c r="AI81" t="s">
        <v>225</v>
      </c>
      <c r="AJ81">
        <v>1</v>
      </c>
    </row>
    <row r="82" ht="23" customHeight="1" spans="1:36">
      <c r="A82">
        <v>79</v>
      </c>
      <c r="B82" t="s">
        <v>710</v>
      </c>
      <c r="C82" t="s">
        <v>711</v>
      </c>
      <c r="D82" t="s">
        <v>19</v>
      </c>
      <c r="E82" t="s">
        <v>56</v>
      </c>
      <c r="F82" t="s">
        <v>544</v>
      </c>
      <c r="G82" t="s">
        <v>80</v>
      </c>
      <c r="H82" t="s">
        <v>545</v>
      </c>
      <c r="I82" t="s">
        <v>69</v>
      </c>
      <c r="J82" s="12">
        <v>219.51</v>
      </c>
      <c r="K82">
        <v>1</v>
      </c>
      <c r="L82" s="12">
        <v>219.51</v>
      </c>
      <c r="M82" s="13">
        <v>42</v>
      </c>
      <c r="N82" s="13">
        <v>230</v>
      </c>
      <c r="O82" s="13">
        <v>631</v>
      </c>
      <c r="P82" s="13">
        <v>2460</v>
      </c>
      <c r="Q82" s="12">
        <v>52023.87</v>
      </c>
      <c r="R82" s="14">
        <f t="shared" si="2"/>
        <v>0.782608695652174</v>
      </c>
      <c r="S82">
        <v>1</v>
      </c>
      <c r="T82" s="15">
        <f t="shared" si="3"/>
        <v>0.130434782608696</v>
      </c>
      <c r="U82" t="s">
        <v>218</v>
      </c>
      <c r="V82">
        <v>87</v>
      </c>
      <c r="W82">
        <v>4.7</v>
      </c>
      <c r="X82" s="16">
        <v>0.1104</v>
      </c>
      <c r="Y82" s="17">
        <v>45984</v>
      </c>
      <c r="Z82" t="s">
        <v>219</v>
      </c>
      <c r="AB82" s="18">
        <v>0.155778894472362</v>
      </c>
      <c r="AC82" t="s">
        <v>712</v>
      </c>
      <c r="AD82" t="s">
        <v>296</v>
      </c>
      <c r="AE82" t="s">
        <v>690</v>
      </c>
      <c r="AF82" t="s">
        <v>713</v>
      </c>
      <c r="AG82" t="s">
        <v>224</v>
      </c>
      <c r="AH82" t="s">
        <v>714</v>
      </c>
      <c r="AI82" t="s">
        <v>225</v>
      </c>
      <c r="AJ82">
        <v>1</v>
      </c>
    </row>
    <row r="83" ht="23" customHeight="1" spans="1:36">
      <c r="A83">
        <v>80</v>
      </c>
      <c r="B83" t="s">
        <v>715</v>
      </c>
      <c r="C83" t="s">
        <v>716</v>
      </c>
      <c r="D83" t="s">
        <v>21</v>
      </c>
      <c r="E83" t="s">
        <v>59</v>
      </c>
      <c r="F83" t="s">
        <v>717</v>
      </c>
      <c r="G83" t="s">
        <v>718</v>
      </c>
      <c r="H83" t="s">
        <v>719</v>
      </c>
      <c r="I83" t="s">
        <v>68</v>
      </c>
      <c r="J83" s="12">
        <v>369.36</v>
      </c>
      <c r="K83">
        <v>4</v>
      </c>
      <c r="L83" s="12">
        <v>92.34</v>
      </c>
      <c r="M83" s="13">
        <v>131</v>
      </c>
      <c r="N83" s="13">
        <v>229</v>
      </c>
      <c r="O83" s="13">
        <v>548</v>
      </c>
      <c r="P83" s="13">
        <v>733</v>
      </c>
      <c r="Q83" s="12">
        <v>84583.44</v>
      </c>
      <c r="R83" s="14">
        <f t="shared" si="2"/>
        <v>2.45165315034311</v>
      </c>
      <c r="S83">
        <v>72</v>
      </c>
      <c r="T83" s="15">
        <f t="shared" si="3"/>
        <v>9.43231441048035</v>
      </c>
      <c r="U83" t="s">
        <v>218</v>
      </c>
      <c r="V83">
        <v>60</v>
      </c>
      <c r="W83">
        <v>4.7</v>
      </c>
      <c r="X83" s="16">
        <v>0.0548</v>
      </c>
      <c r="Y83" s="17">
        <v>46051</v>
      </c>
      <c r="Z83" t="s">
        <v>219</v>
      </c>
      <c r="AB83" s="18">
        <v>0.0956937799043062</v>
      </c>
      <c r="AC83" t="s">
        <v>720</v>
      </c>
      <c r="AD83" t="s">
        <v>721</v>
      </c>
      <c r="AE83" t="s">
        <v>722</v>
      </c>
      <c r="AF83" t="s">
        <v>631</v>
      </c>
      <c r="AG83" t="s">
        <v>224</v>
      </c>
      <c r="AH83" t="s">
        <v>723</v>
      </c>
      <c r="AI83" t="s">
        <v>225</v>
      </c>
      <c r="AJ83">
        <v>1</v>
      </c>
    </row>
    <row r="84" ht="23" customHeight="1" spans="1:36">
      <c r="A84">
        <v>81</v>
      </c>
      <c r="B84" t="s">
        <v>724</v>
      </c>
      <c r="C84" t="s">
        <v>725</v>
      </c>
      <c r="D84" t="s">
        <v>19</v>
      </c>
      <c r="E84" t="s">
        <v>50</v>
      </c>
      <c r="F84" t="s">
        <v>401</v>
      </c>
      <c r="G84" t="s">
        <v>74</v>
      </c>
      <c r="H84" t="s">
        <v>431</v>
      </c>
      <c r="I84" t="s">
        <v>69</v>
      </c>
      <c r="J84" s="12">
        <v>143.82</v>
      </c>
      <c r="K84">
        <v>1</v>
      </c>
      <c r="L84" s="12">
        <v>143.82</v>
      </c>
      <c r="M84" s="13">
        <v>53</v>
      </c>
      <c r="N84" s="13">
        <v>225</v>
      </c>
      <c r="O84" s="13">
        <v>784</v>
      </c>
      <c r="P84" s="13">
        <v>1098</v>
      </c>
      <c r="Q84" s="12">
        <v>32359.5</v>
      </c>
      <c r="R84" s="14">
        <f t="shared" si="2"/>
        <v>1.00952380952381</v>
      </c>
      <c r="S84">
        <v>193</v>
      </c>
      <c r="T84" s="15">
        <f t="shared" si="3"/>
        <v>25.7333333333333</v>
      </c>
      <c r="U84" t="s">
        <v>218</v>
      </c>
      <c r="V84">
        <v>264</v>
      </c>
      <c r="W84">
        <v>4.7</v>
      </c>
      <c r="X84" s="16">
        <v>0.1282</v>
      </c>
      <c r="Y84" s="17">
        <v>46101</v>
      </c>
      <c r="Z84" t="s">
        <v>219</v>
      </c>
      <c r="AB84" s="18">
        <v>0.243093922651934</v>
      </c>
      <c r="AC84" t="s">
        <v>726</v>
      </c>
      <c r="AD84" t="s">
        <v>272</v>
      </c>
      <c r="AE84" t="s">
        <v>320</v>
      </c>
      <c r="AF84" t="s">
        <v>549</v>
      </c>
      <c r="AG84" t="s">
        <v>224</v>
      </c>
      <c r="AH84" t="s">
        <v>727</v>
      </c>
      <c r="AI84" t="s">
        <v>225</v>
      </c>
      <c r="AJ84">
        <v>1</v>
      </c>
    </row>
    <row r="85" ht="23" customHeight="1" spans="1:36">
      <c r="A85">
        <v>82</v>
      </c>
      <c r="B85" t="s">
        <v>728</v>
      </c>
      <c r="C85" t="s">
        <v>729</v>
      </c>
      <c r="D85" t="s">
        <v>19</v>
      </c>
      <c r="E85" t="s">
        <v>56</v>
      </c>
      <c r="F85" t="s">
        <v>730</v>
      </c>
      <c r="G85" t="s">
        <v>731</v>
      </c>
      <c r="H85" t="s">
        <v>489</v>
      </c>
      <c r="I85" t="s">
        <v>68</v>
      </c>
      <c r="J85" s="12">
        <v>261.25</v>
      </c>
      <c r="K85">
        <v>1</v>
      </c>
      <c r="L85" s="12">
        <v>261.25</v>
      </c>
      <c r="M85" s="13">
        <v>57</v>
      </c>
      <c r="N85" s="13">
        <v>224</v>
      </c>
      <c r="O85" s="13">
        <v>224</v>
      </c>
      <c r="P85" s="13">
        <v>3600</v>
      </c>
      <c r="Q85" s="12">
        <v>58520</v>
      </c>
      <c r="R85" s="14">
        <f t="shared" si="2"/>
        <v>1.0905612244898</v>
      </c>
      <c r="S85">
        <v>216</v>
      </c>
      <c r="T85" s="15">
        <f t="shared" si="3"/>
        <v>28.9285714285714</v>
      </c>
      <c r="U85" t="s">
        <v>218</v>
      </c>
      <c r="V85">
        <v>94</v>
      </c>
      <c r="W85">
        <v>4.7</v>
      </c>
      <c r="X85" s="16">
        <v>0.0847</v>
      </c>
      <c r="Y85" s="17">
        <v>45378</v>
      </c>
      <c r="Z85" t="s">
        <v>219</v>
      </c>
      <c r="AB85" s="18">
        <v>224</v>
      </c>
      <c r="AC85" t="s">
        <v>678</v>
      </c>
      <c r="AD85" t="s">
        <v>243</v>
      </c>
      <c r="AE85" t="s">
        <v>250</v>
      </c>
      <c r="AF85" t="s">
        <v>732</v>
      </c>
      <c r="AG85" t="s">
        <v>224</v>
      </c>
      <c r="AH85" t="s">
        <v>733</v>
      </c>
      <c r="AI85" t="s">
        <v>225</v>
      </c>
      <c r="AJ85">
        <v>1</v>
      </c>
    </row>
    <row r="86" ht="23" customHeight="1" spans="1:36">
      <c r="A86">
        <v>83</v>
      </c>
      <c r="B86" t="s">
        <v>734</v>
      </c>
      <c r="C86" t="s">
        <v>735</v>
      </c>
      <c r="D86" t="s">
        <v>19</v>
      </c>
      <c r="E86" t="s">
        <v>50</v>
      </c>
      <c r="F86" t="s">
        <v>401</v>
      </c>
      <c r="G86" t="s">
        <v>74</v>
      </c>
      <c r="H86" t="s">
        <v>402</v>
      </c>
      <c r="I86" t="s">
        <v>69</v>
      </c>
      <c r="J86" s="12">
        <v>127.95</v>
      </c>
      <c r="K86">
        <v>1</v>
      </c>
      <c r="L86" s="12">
        <v>127.95</v>
      </c>
      <c r="M86" s="13">
        <v>34</v>
      </c>
      <c r="N86" s="13">
        <v>221</v>
      </c>
      <c r="O86" s="13">
        <v>550</v>
      </c>
      <c r="P86" s="13">
        <v>4572</v>
      </c>
      <c r="Q86" s="12">
        <v>28276.95</v>
      </c>
      <c r="R86" s="14">
        <f t="shared" si="2"/>
        <v>0.659340659340659</v>
      </c>
      <c r="S86">
        <v>40</v>
      </c>
      <c r="T86" s="15">
        <f t="shared" si="3"/>
        <v>5.42986425339367</v>
      </c>
      <c r="U86" t="s">
        <v>218</v>
      </c>
      <c r="V86">
        <v>196</v>
      </c>
      <c r="W86">
        <v>4.8</v>
      </c>
      <c r="X86" s="16">
        <v>0.1238</v>
      </c>
      <c r="Y86" s="17">
        <v>45712</v>
      </c>
      <c r="Z86" t="s">
        <v>219</v>
      </c>
      <c r="AA86">
        <v>14</v>
      </c>
      <c r="AB86" s="18">
        <v>0.31547619047619</v>
      </c>
      <c r="AC86" t="s">
        <v>466</v>
      </c>
      <c r="AD86" t="s">
        <v>254</v>
      </c>
      <c r="AE86" t="s">
        <v>623</v>
      </c>
      <c r="AF86" t="s">
        <v>736</v>
      </c>
      <c r="AG86" t="s">
        <v>224</v>
      </c>
      <c r="AH86" t="s">
        <v>737</v>
      </c>
      <c r="AI86" t="s">
        <v>225</v>
      </c>
      <c r="AJ86">
        <v>1</v>
      </c>
    </row>
    <row r="87" ht="23" customHeight="1" spans="1:36">
      <c r="A87">
        <v>84</v>
      </c>
      <c r="B87" t="s">
        <v>738</v>
      </c>
      <c r="C87" t="s">
        <v>739</v>
      </c>
      <c r="D87" t="s">
        <v>19</v>
      </c>
      <c r="E87" t="s">
        <v>59</v>
      </c>
      <c r="F87" t="s">
        <v>102</v>
      </c>
      <c r="G87" t="s">
        <v>73</v>
      </c>
      <c r="H87" t="s">
        <v>227</v>
      </c>
      <c r="I87" t="s">
        <v>68</v>
      </c>
      <c r="J87" s="12">
        <v>338.34</v>
      </c>
      <c r="K87">
        <v>4</v>
      </c>
      <c r="L87" s="12">
        <v>84.58</v>
      </c>
      <c r="M87" s="13">
        <v>51</v>
      </c>
      <c r="N87" s="13">
        <v>221</v>
      </c>
      <c r="O87" s="13">
        <v>912</v>
      </c>
      <c r="P87" s="13">
        <v>1680</v>
      </c>
      <c r="Q87" s="12">
        <v>74773.14</v>
      </c>
      <c r="R87" s="14">
        <f t="shared" si="2"/>
        <v>0.989010989010989</v>
      </c>
      <c r="S87">
        <v>295</v>
      </c>
      <c r="T87" s="15">
        <f t="shared" si="3"/>
        <v>40.0452488687783</v>
      </c>
      <c r="U87" t="s">
        <v>218</v>
      </c>
      <c r="V87">
        <v>379</v>
      </c>
      <c r="W87">
        <v>4.7</v>
      </c>
      <c r="X87" s="16">
        <v>0.049</v>
      </c>
      <c r="Y87" s="17">
        <v>46114</v>
      </c>
      <c r="Z87" t="s">
        <v>228</v>
      </c>
      <c r="AA87">
        <v>11</v>
      </c>
      <c r="AB87" s="18">
        <v>-0.240549828178694</v>
      </c>
      <c r="AC87" t="s">
        <v>740</v>
      </c>
      <c r="AD87" t="s">
        <v>389</v>
      </c>
      <c r="AE87" t="s">
        <v>250</v>
      </c>
      <c r="AF87" t="s">
        <v>592</v>
      </c>
      <c r="AG87" t="s">
        <v>224</v>
      </c>
      <c r="AH87" t="s">
        <v>741</v>
      </c>
      <c r="AI87" t="s">
        <v>225</v>
      </c>
      <c r="AJ87">
        <v>1</v>
      </c>
    </row>
    <row r="88" ht="23" customHeight="1" spans="1:36">
      <c r="A88">
        <v>85</v>
      </c>
      <c r="B88" t="s">
        <v>742</v>
      </c>
      <c r="C88" t="s">
        <v>743</v>
      </c>
      <c r="D88" t="s">
        <v>30</v>
      </c>
      <c r="E88" t="s">
        <v>56</v>
      </c>
      <c r="F88" t="s">
        <v>744</v>
      </c>
      <c r="G88" t="s">
        <v>745</v>
      </c>
      <c r="H88" t="s">
        <v>746</v>
      </c>
      <c r="I88" t="s">
        <v>68</v>
      </c>
      <c r="J88" s="12">
        <v>214.56</v>
      </c>
      <c r="K88">
        <v>6</v>
      </c>
      <c r="L88" s="12">
        <v>35.76</v>
      </c>
      <c r="M88" s="13">
        <v>44</v>
      </c>
      <c r="N88" s="13">
        <v>219</v>
      </c>
      <c r="O88" s="13">
        <v>239</v>
      </c>
      <c r="P88" s="13">
        <v>239</v>
      </c>
      <c r="Q88" s="12">
        <v>46988.64</v>
      </c>
      <c r="R88" s="14">
        <f t="shared" si="2"/>
        <v>0.86105675146771</v>
      </c>
      <c r="S88">
        <v>76</v>
      </c>
      <c r="T88" s="15">
        <f t="shared" si="3"/>
        <v>10.4109589041096</v>
      </c>
      <c r="U88" t="s">
        <v>218</v>
      </c>
      <c r="V88">
        <v>196</v>
      </c>
      <c r="W88">
        <v>4.7</v>
      </c>
      <c r="X88" s="16">
        <v>0.0866</v>
      </c>
      <c r="Y88" s="17">
        <v>46243</v>
      </c>
      <c r="Z88" t="s">
        <v>241</v>
      </c>
      <c r="AB88" s="18">
        <v>7.42307692307692</v>
      </c>
      <c r="AC88" t="s">
        <v>740</v>
      </c>
      <c r="AD88" t="s">
        <v>331</v>
      </c>
      <c r="AE88" t="s">
        <v>747</v>
      </c>
      <c r="AF88" t="s">
        <v>748</v>
      </c>
      <c r="AG88" t="s">
        <v>224</v>
      </c>
      <c r="AH88" t="s">
        <v>749</v>
      </c>
      <c r="AI88" t="s">
        <v>225</v>
      </c>
      <c r="AJ88">
        <v>0</v>
      </c>
    </row>
    <row r="89" ht="23" customHeight="1" spans="1:36">
      <c r="A89">
        <v>86</v>
      </c>
      <c r="B89" t="s">
        <v>181</v>
      </c>
      <c r="C89" t="s">
        <v>750</v>
      </c>
      <c r="D89" t="s">
        <v>21</v>
      </c>
      <c r="E89" t="s">
        <v>53</v>
      </c>
      <c r="F89" t="s">
        <v>182</v>
      </c>
      <c r="G89" t="s">
        <v>751</v>
      </c>
      <c r="H89" t="s">
        <v>752</v>
      </c>
      <c r="I89" t="s">
        <v>68</v>
      </c>
      <c r="J89" s="12">
        <v>187.74</v>
      </c>
      <c r="K89">
        <v>2</v>
      </c>
      <c r="L89" s="12">
        <v>93.87</v>
      </c>
      <c r="M89" s="13">
        <v>74</v>
      </c>
      <c r="N89" s="13">
        <v>218</v>
      </c>
      <c r="O89" s="13">
        <v>218</v>
      </c>
      <c r="P89" s="13">
        <v>224</v>
      </c>
      <c r="Q89" s="12">
        <v>42053.76</v>
      </c>
      <c r="R89" s="14">
        <f t="shared" si="2"/>
        <v>1.45478374836173</v>
      </c>
      <c r="S89">
        <v>177</v>
      </c>
      <c r="T89" s="15">
        <f t="shared" si="3"/>
        <v>24.3577981651376</v>
      </c>
      <c r="U89" t="s">
        <v>218</v>
      </c>
      <c r="V89">
        <v>7</v>
      </c>
      <c r="W89">
        <v>4.3</v>
      </c>
      <c r="X89" s="16">
        <v>0.0538</v>
      </c>
      <c r="Y89" s="17">
        <v>46264</v>
      </c>
      <c r="Z89" t="s">
        <v>241</v>
      </c>
      <c r="AB89" s="18">
        <v>218</v>
      </c>
      <c r="AF89" t="s">
        <v>753</v>
      </c>
      <c r="AG89" t="s">
        <v>224</v>
      </c>
      <c r="AH89" t="s">
        <v>184</v>
      </c>
      <c r="AI89" t="s">
        <v>225</v>
      </c>
      <c r="AJ89">
        <v>1</v>
      </c>
    </row>
    <row r="90" ht="23" customHeight="1" spans="1:36">
      <c r="A90">
        <v>87</v>
      </c>
      <c r="B90" t="s">
        <v>754</v>
      </c>
      <c r="C90" t="s">
        <v>755</v>
      </c>
      <c r="D90" t="s">
        <v>25</v>
      </c>
      <c r="E90" t="s">
        <v>59</v>
      </c>
      <c r="F90" t="s">
        <v>401</v>
      </c>
      <c r="G90" t="s">
        <v>74</v>
      </c>
      <c r="H90" t="s">
        <v>431</v>
      </c>
      <c r="I90" t="s">
        <v>69</v>
      </c>
      <c r="J90" s="12">
        <v>352.8</v>
      </c>
      <c r="K90">
        <v>1</v>
      </c>
      <c r="L90" s="12">
        <v>352.8</v>
      </c>
      <c r="M90" s="13">
        <v>37</v>
      </c>
      <c r="N90" s="13">
        <v>217</v>
      </c>
      <c r="O90" s="13">
        <v>352</v>
      </c>
      <c r="P90" s="13">
        <v>569</v>
      </c>
      <c r="Q90" s="12">
        <v>76557.6</v>
      </c>
      <c r="R90" s="14">
        <f t="shared" si="2"/>
        <v>0.730743910467413</v>
      </c>
      <c r="S90">
        <v>270</v>
      </c>
      <c r="T90" s="15">
        <f t="shared" si="3"/>
        <v>37.3271889400922</v>
      </c>
      <c r="U90" t="s">
        <v>218</v>
      </c>
      <c r="V90">
        <v>20</v>
      </c>
      <c r="W90">
        <v>4.1</v>
      </c>
      <c r="X90" s="16">
        <v>0.0635</v>
      </c>
      <c r="Y90" s="17">
        <v>45831</v>
      </c>
      <c r="Z90" t="s">
        <v>219</v>
      </c>
      <c r="AB90" s="18">
        <v>0.722222222222222</v>
      </c>
      <c r="AC90" t="s">
        <v>220</v>
      </c>
      <c r="AD90" t="s">
        <v>756</v>
      </c>
      <c r="AE90" t="s">
        <v>757</v>
      </c>
      <c r="AF90" t="s">
        <v>619</v>
      </c>
      <c r="AG90" t="s">
        <v>224</v>
      </c>
      <c r="AH90" t="s">
        <v>758</v>
      </c>
      <c r="AI90" t="s">
        <v>225</v>
      </c>
      <c r="AJ90">
        <v>1</v>
      </c>
    </row>
    <row r="91" ht="23" customHeight="1" spans="1:36">
      <c r="A91">
        <v>88</v>
      </c>
      <c r="B91" t="s">
        <v>759</v>
      </c>
      <c r="C91" t="s">
        <v>760</v>
      </c>
      <c r="D91" t="s">
        <v>23</v>
      </c>
      <c r="E91" t="s">
        <v>50</v>
      </c>
      <c r="F91" t="s">
        <v>761</v>
      </c>
      <c r="G91" t="s">
        <v>762</v>
      </c>
      <c r="H91" t="s">
        <v>763</v>
      </c>
      <c r="I91" t="s">
        <v>68</v>
      </c>
      <c r="J91" s="12">
        <v>147.63</v>
      </c>
      <c r="K91">
        <v>2</v>
      </c>
      <c r="L91" s="12">
        <v>73.81</v>
      </c>
      <c r="M91" s="13">
        <v>60</v>
      </c>
      <c r="N91" s="13">
        <v>217</v>
      </c>
      <c r="O91" s="13">
        <v>226</v>
      </c>
      <c r="P91" s="13">
        <v>226</v>
      </c>
      <c r="Q91" s="12">
        <v>32035.71</v>
      </c>
      <c r="R91" s="14">
        <f t="shared" si="2"/>
        <v>1.18499012508229</v>
      </c>
      <c r="S91">
        <v>788</v>
      </c>
      <c r="T91" s="15">
        <f t="shared" si="3"/>
        <v>108.940092165899</v>
      </c>
      <c r="U91" t="s">
        <v>218</v>
      </c>
      <c r="V91">
        <v>0</v>
      </c>
      <c r="W91">
        <v>0</v>
      </c>
      <c r="X91" s="16">
        <v>0.0648</v>
      </c>
      <c r="Y91" s="17">
        <v>46059</v>
      </c>
      <c r="Z91" t="s">
        <v>219</v>
      </c>
      <c r="AB91" s="18">
        <v>20.7</v>
      </c>
      <c r="AC91" t="s">
        <v>764</v>
      </c>
      <c r="AD91" t="s">
        <v>765</v>
      </c>
      <c r="AE91" t="s">
        <v>655</v>
      </c>
      <c r="AF91" t="s">
        <v>572</v>
      </c>
      <c r="AG91" t="s">
        <v>224</v>
      </c>
      <c r="AH91" t="s">
        <v>766</v>
      </c>
      <c r="AI91" t="s">
        <v>225</v>
      </c>
      <c r="AJ91">
        <v>1</v>
      </c>
    </row>
    <row r="92" ht="23" customHeight="1" spans="1:36">
      <c r="A92">
        <v>89</v>
      </c>
      <c r="B92" t="s">
        <v>767</v>
      </c>
      <c r="C92" t="s">
        <v>768</v>
      </c>
      <c r="D92" t="s">
        <v>19</v>
      </c>
      <c r="E92" t="s">
        <v>56</v>
      </c>
      <c r="F92" t="s">
        <v>153</v>
      </c>
      <c r="G92" t="s">
        <v>76</v>
      </c>
      <c r="H92" t="s">
        <v>381</v>
      </c>
      <c r="I92" t="s">
        <v>69</v>
      </c>
      <c r="J92" s="12">
        <v>208.59</v>
      </c>
      <c r="K92">
        <v>2</v>
      </c>
      <c r="L92" s="12">
        <v>104.3</v>
      </c>
      <c r="M92" s="13">
        <v>46</v>
      </c>
      <c r="N92" s="13">
        <v>211</v>
      </c>
      <c r="O92" s="13">
        <v>751</v>
      </c>
      <c r="P92" s="13">
        <v>887</v>
      </c>
      <c r="Q92" s="12">
        <v>45472.62</v>
      </c>
      <c r="R92" s="14">
        <f t="shared" si="2"/>
        <v>0.934326337169939</v>
      </c>
      <c r="S92">
        <v>377</v>
      </c>
      <c r="T92" s="15">
        <f t="shared" si="3"/>
        <v>53.6018957345972</v>
      </c>
      <c r="U92" t="s">
        <v>218</v>
      </c>
      <c r="V92">
        <v>249</v>
      </c>
      <c r="W92">
        <v>4.7</v>
      </c>
      <c r="X92" s="16">
        <v>0.0906</v>
      </c>
      <c r="Y92" s="17">
        <v>46153</v>
      </c>
      <c r="Z92" t="s">
        <v>228</v>
      </c>
      <c r="AA92">
        <v>17</v>
      </c>
      <c r="AB92" s="18">
        <v>-0.42032967032967</v>
      </c>
      <c r="AC92" t="s">
        <v>340</v>
      </c>
      <c r="AD92" t="s">
        <v>254</v>
      </c>
      <c r="AE92" t="s">
        <v>319</v>
      </c>
      <c r="AF92" t="s">
        <v>367</v>
      </c>
      <c r="AG92" t="s">
        <v>224</v>
      </c>
      <c r="AH92" t="s">
        <v>769</v>
      </c>
      <c r="AI92" t="s">
        <v>225</v>
      </c>
      <c r="AJ92">
        <v>1</v>
      </c>
    </row>
    <row r="93" ht="23" customHeight="1" spans="1:36">
      <c r="A93">
        <v>90</v>
      </c>
      <c r="B93" t="s">
        <v>770</v>
      </c>
      <c r="C93" t="s">
        <v>771</v>
      </c>
      <c r="D93" t="s">
        <v>30</v>
      </c>
      <c r="E93" t="s">
        <v>56</v>
      </c>
      <c r="F93" t="s">
        <v>336</v>
      </c>
      <c r="G93" t="s">
        <v>337</v>
      </c>
      <c r="H93" t="s">
        <v>772</v>
      </c>
      <c r="I93" t="s">
        <v>68</v>
      </c>
      <c r="J93" s="12">
        <v>217.54</v>
      </c>
      <c r="K93">
        <v>2</v>
      </c>
      <c r="L93" s="12">
        <v>108.77</v>
      </c>
      <c r="M93" s="13">
        <v>24</v>
      </c>
      <c r="N93" s="13">
        <v>210</v>
      </c>
      <c r="O93" s="13">
        <v>257</v>
      </c>
      <c r="P93" s="13">
        <v>517</v>
      </c>
      <c r="Q93" s="12">
        <v>47206.18</v>
      </c>
      <c r="R93" s="14">
        <f t="shared" si="2"/>
        <v>0.489795918367347</v>
      </c>
      <c r="S93">
        <v>37</v>
      </c>
      <c r="T93" s="15">
        <f t="shared" si="3"/>
        <v>5.28571428571429</v>
      </c>
      <c r="U93" t="s">
        <v>218</v>
      </c>
      <c r="V93">
        <v>0</v>
      </c>
      <c r="W93">
        <v>0</v>
      </c>
      <c r="X93" s="16">
        <v>0.0507</v>
      </c>
      <c r="Y93" s="17">
        <v>46006</v>
      </c>
      <c r="Z93" t="s">
        <v>219</v>
      </c>
      <c r="AB93" s="18">
        <v>210</v>
      </c>
      <c r="AC93" t="s">
        <v>773</v>
      </c>
      <c r="AD93" t="s">
        <v>774</v>
      </c>
      <c r="AE93" t="s">
        <v>540</v>
      </c>
      <c r="AF93" t="s">
        <v>420</v>
      </c>
      <c r="AG93" t="s">
        <v>224</v>
      </c>
      <c r="AH93" t="s">
        <v>775</v>
      </c>
      <c r="AI93" t="s">
        <v>225</v>
      </c>
      <c r="AJ93">
        <v>0</v>
      </c>
    </row>
    <row r="94" ht="23" customHeight="1" spans="1:36">
      <c r="A94">
        <v>91</v>
      </c>
      <c r="B94" t="s">
        <v>776</v>
      </c>
      <c r="C94" t="s">
        <v>777</v>
      </c>
      <c r="D94" t="s">
        <v>23</v>
      </c>
      <c r="E94" t="s">
        <v>56</v>
      </c>
      <c r="F94" t="s">
        <v>778</v>
      </c>
      <c r="G94" t="s">
        <v>779</v>
      </c>
      <c r="H94" t="s">
        <v>778</v>
      </c>
      <c r="I94" t="s">
        <v>68</v>
      </c>
      <c r="J94" s="12">
        <v>220</v>
      </c>
      <c r="K94">
        <v>2</v>
      </c>
      <c r="L94" s="12">
        <v>110</v>
      </c>
      <c r="M94" s="13">
        <v>20</v>
      </c>
      <c r="N94" s="13">
        <v>209</v>
      </c>
      <c r="O94" s="13">
        <v>441</v>
      </c>
      <c r="P94" s="13">
        <v>498</v>
      </c>
      <c r="Q94" s="12">
        <v>47080</v>
      </c>
      <c r="R94" s="14">
        <f t="shared" si="2"/>
        <v>0.410116199589884</v>
      </c>
      <c r="S94">
        <v>49</v>
      </c>
      <c r="T94" s="15">
        <f t="shared" si="3"/>
        <v>7.03349282296651</v>
      </c>
      <c r="U94" t="s">
        <v>218</v>
      </c>
      <c r="V94">
        <v>20</v>
      </c>
      <c r="W94">
        <v>4.7</v>
      </c>
      <c r="X94" s="16">
        <v>0.0522</v>
      </c>
      <c r="Y94" s="17">
        <v>46041</v>
      </c>
      <c r="Z94" t="s">
        <v>219</v>
      </c>
      <c r="AB94" s="18">
        <v>0.645669291338583</v>
      </c>
      <c r="AC94" t="s">
        <v>509</v>
      </c>
      <c r="AD94" t="s">
        <v>272</v>
      </c>
      <c r="AE94" t="s">
        <v>623</v>
      </c>
      <c r="AF94" t="s">
        <v>780</v>
      </c>
      <c r="AG94" t="s">
        <v>224</v>
      </c>
      <c r="AH94" t="s">
        <v>781</v>
      </c>
      <c r="AI94" t="s">
        <v>225</v>
      </c>
      <c r="AJ94">
        <v>1</v>
      </c>
    </row>
    <row r="95" ht="23" customHeight="1" spans="1:36">
      <c r="A95">
        <v>92</v>
      </c>
      <c r="B95" t="s">
        <v>782</v>
      </c>
      <c r="C95" t="s">
        <v>783</v>
      </c>
      <c r="D95" t="s">
        <v>30</v>
      </c>
      <c r="E95" t="s">
        <v>50</v>
      </c>
      <c r="F95" t="s">
        <v>361</v>
      </c>
      <c r="G95" t="s">
        <v>362</v>
      </c>
      <c r="H95" t="s">
        <v>363</v>
      </c>
      <c r="I95" t="s">
        <v>68</v>
      </c>
      <c r="J95" s="12">
        <v>139</v>
      </c>
      <c r="K95">
        <v>5</v>
      </c>
      <c r="L95" s="12">
        <v>27.8</v>
      </c>
      <c r="M95" s="13">
        <v>62</v>
      </c>
      <c r="N95" s="13">
        <v>206</v>
      </c>
      <c r="O95" s="13">
        <v>386</v>
      </c>
      <c r="P95" s="13">
        <v>992</v>
      </c>
      <c r="Q95" s="12">
        <v>28634</v>
      </c>
      <c r="R95" s="14">
        <f t="shared" si="2"/>
        <v>1.28987517337032</v>
      </c>
      <c r="S95">
        <v>438</v>
      </c>
      <c r="T95" s="15">
        <f t="shared" si="3"/>
        <v>63.7864077669903</v>
      </c>
      <c r="U95" t="s">
        <v>218</v>
      </c>
      <c r="V95">
        <v>114</v>
      </c>
      <c r="W95">
        <v>4.6</v>
      </c>
      <c r="X95" s="16">
        <v>0.0979</v>
      </c>
      <c r="Y95" s="17">
        <v>45961</v>
      </c>
      <c r="Z95" t="s">
        <v>219</v>
      </c>
      <c r="AB95" s="18">
        <v>0.492753623188406</v>
      </c>
      <c r="AC95" t="s">
        <v>784</v>
      </c>
      <c r="AD95" t="s">
        <v>608</v>
      </c>
      <c r="AE95" t="s">
        <v>785</v>
      </c>
      <c r="AF95" t="s">
        <v>420</v>
      </c>
      <c r="AG95" t="s">
        <v>224</v>
      </c>
      <c r="AH95" t="s">
        <v>786</v>
      </c>
      <c r="AI95" t="s">
        <v>225</v>
      </c>
      <c r="AJ95">
        <v>0</v>
      </c>
    </row>
    <row r="96" ht="23" customHeight="1" spans="1:36">
      <c r="A96">
        <v>93</v>
      </c>
      <c r="B96" t="s">
        <v>787</v>
      </c>
      <c r="C96" t="s">
        <v>788</v>
      </c>
      <c r="D96" t="s">
        <v>30</v>
      </c>
      <c r="E96" t="s">
        <v>50</v>
      </c>
      <c r="F96" t="s">
        <v>102</v>
      </c>
      <c r="G96" t="s">
        <v>73</v>
      </c>
      <c r="H96" t="s">
        <v>227</v>
      </c>
      <c r="I96" t="s">
        <v>68</v>
      </c>
      <c r="J96" s="12">
        <v>148.5</v>
      </c>
      <c r="K96">
        <v>1</v>
      </c>
      <c r="L96" s="12">
        <v>148.5</v>
      </c>
      <c r="M96" s="13">
        <v>49</v>
      </c>
      <c r="N96" s="13">
        <v>205</v>
      </c>
      <c r="O96" s="13">
        <v>635</v>
      </c>
      <c r="P96" s="13">
        <v>972</v>
      </c>
      <c r="Q96" s="12">
        <v>30442.5</v>
      </c>
      <c r="R96" s="14">
        <f t="shared" si="2"/>
        <v>1.02439024390244</v>
      </c>
      <c r="S96">
        <v>189</v>
      </c>
      <c r="T96" s="15">
        <f t="shared" si="3"/>
        <v>27.6585365853659</v>
      </c>
      <c r="U96" t="s">
        <v>218</v>
      </c>
      <c r="V96">
        <v>177</v>
      </c>
      <c r="W96">
        <v>4.7</v>
      </c>
      <c r="X96" s="16">
        <v>0.0355</v>
      </c>
      <c r="Y96" s="17">
        <v>46108</v>
      </c>
      <c r="Z96" t="s">
        <v>228</v>
      </c>
      <c r="AA96">
        <v>18</v>
      </c>
      <c r="AB96" s="18">
        <v>-0.116379310344828</v>
      </c>
      <c r="AC96" t="s">
        <v>457</v>
      </c>
      <c r="AD96" t="s">
        <v>341</v>
      </c>
      <c r="AE96" t="s">
        <v>356</v>
      </c>
      <c r="AF96" t="s">
        <v>491</v>
      </c>
      <c r="AG96" t="s">
        <v>224</v>
      </c>
      <c r="AH96" t="s">
        <v>789</v>
      </c>
      <c r="AI96" t="s">
        <v>225</v>
      </c>
      <c r="AJ96">
        <v>0</v>
      </c>
    </row>
    <row r="97" ht="23" customHeight="1" spans="1:36">
      <c r="A97">
        <v>94</v>
      </c>
      <c r="B97" t="s">
        <v>790</v>
      </c>
      <c r="C97" t="s">
        <v>791</v>
      </c>
      <c r="D97" t="s">
        <v>19</v>
      </c>
      <c r="E97" t="s">
        <v>50</v>
      </c>
      <c r="F97" t="s">
        <v>627</v>
      </c>
      <c r="G97" t="s">
        <v>628</v>
      </c>
      <c r="H97" t="s">
        <v>629</v>
      </c>
      <c r="I97" t="s">
        <v>68</v>
      </c>
      <c r="J97" s="12">
        <v>144</v>
      </c>
      <c r="K97">
        <v>1</v>
      </c>
      <c r="L97" s="12">
        <v>144</v>
      </c>
      <c r="M97" s="13">
        <v>121</v>
      </c>
      <c r="N97" s="13">
        <v>203</v>
      </c>
      <c r="O97" s="13">
        <v>655</v>
      </c>
      <c r="P97" s="13">
        <v>793</v>
      </c>
      <c r="Q97" s="12">
        <v>29232</v>
      </c>
      <c r="R97" s="14">
        <f t="shared" si="2"/>
        <v>2.55453905700211</v>
      </c>
      <c r="S97">
        <v>103</v>
      </c>
      <c r="T97" s="15">
        <f t="shared" si="3"/>
        <v>15.2216748768473</v>
      </c>
      <c r="U97" t="s">
        <v>218</v>
      </c>
      <c r="V97">
        <v>866</v>
      </c>
      <c r="W97">
        <v>4.5</v>
      </c>
      <c r="X97" s="16">
        <v>0.1168</v>
      </c>
      <c r="Y97" s="17">
        <v>46179</v>
      </c>
      <c r="Z97" t="s">
        <v>228</v>
      </c>
      <c r="AA97">
        <v>11</v>
      </c>
      <c r="AB97" s="18">
        <v>0.637096774193548</v>
      </c>
      <c r="AC97" t="s">
        <v>539</v>
      </c>
      <c r="AD97" t="s">
        <v>236</v>
      </c>
      <c r="AE97" t="s">
        <v>341</v>
      </c>
      <c r="AF97" t="s">
        <v>327</v>
      </c>
      <c r="AG97" t="s">
        <v>224</v>
      </c>
      <c r="AH97" t="s">
        <v>792</v>
      </c>
      <c r="AI97" t="s">
        <v>225</v>
      </c>
      <c r="AJ97">
        <v>1</v>
      </c>
    </row>
    <row r="98" ht="23" customHeight="1" spans="1:36">
      <c r="A98">
        <v>95</v>
      </c>
      <c r="B98" t="s">
        <v>793</v>
      </c>
      <c r="C98" t="s">
        <v>794</v>
      </c>
      <c r="D98" t="s">
        <v>19</v>
      </c>
      <c r="E98" t="s">
        <v>56</v>
      </c>
      <c r="F98" t="s">
        <v>544</v>
      </c>
      <c r="G98" t="s">
        <v>80</v>
      </c>
      <c r="H98" t="s">
        <v>545</v>
      </c>
      <c r="I98" t="s">
        <v>69</v>
      </c>
      <c r="J98" s="12">
        <v>280.52</v>
      </c>
      <c r="K98">
        <v>1</v>
      </c>
      <c r="L98" s="12">
        <v>280.52</v>
      </c>
      <c r="M98" s="13">
        <v>54</v>
      </c>
      <c r="N98" s="13">
        <v>199</v>
      </c>
      <c r="O98" s="13">
        <v>528</v>
      </c>
      <c r="P98" s="13">
        <v>1536</v>
      </c>
      <c r="Q98" s="12">
        <v>58067.64</v>
      </c>
      <c r="R98" s="14">
        <f t="shared" si="2"/>
        <v>1.16295764536971</v>
      </c>
      <c r="S98">
        <v>4</v>
      </c>
      <c r="T98" s="15">
        <f t="shared" si="3"/>
        <v>0.603015075376884</v>
      </c>
      <c r="U98" t="s">
        <v>218</v>
      </c>
      <c r="V98">
        <v>64</v>
      </c>
      <c r="W98">
        <v>4.8</v>
      </c>
      <c r="X98" s="16">
        <v>0.0599</v>
      </c>
      <c r="Y98" s="17">
        <v>45776</v>
      </c>
      <c r="Z98" t="s">
        <v>219</v>
      </c>
      <c r="AB98" s="18">
        <v>0.0994475138121547</v>
      </c>
      <c r="AC98" t="s">
        <v>395</v>
      </c>
      <c r="AD98" t="s">
        <v>300</v>
      </c>
      <c r="AE98" t="s">
        <v>481</v>
      </c>
      <c r="AF98" t="s">
        <v>795</v>
      </c>
      <c r="AG98" t="s">
        <v>224</v>
      </c>
      <c r="AH98" t="s">
        <v>796</v>
      </c>
      <c r="AI98" t="s">
        <v>225</v>
      </c>
      <c r="AJ98">
        <v>1</v>
      </c>
    </row>
    <row r="99" ht="23" customHeight="1" spans="1:36">
      <c r="A99">
        <v>96</v>
      </c>
      <c r="B99" t="s">
        <v>185</v>
      </c>
      <c r="C99" t="s">
        <v>797</v>
      </c>
      <c r="D99" t="s">
        <v>27</v>
      </c>
      <c r="E99" t="s">
        <v>53</v>
      </c>
      <c r="F99" t="s">
        <v>186</v>
      </c>
      <c r="G99" t="s">
        <v>798</v>
      </c>
      <c r="H99" t="s">
        <v>799</v>
      </c>
      <c r="I99" t="s">
        <v>69</v>
      </c>
      <c r="J99" s="12">
        <v>192.75</v>
      </c>
      <c r="K99">
        <v>1</v>
      </c>
      <c r="L99" s="12">
        <v>192.75</v>
      </c>
      <c r="M99" s="13">
        <v>67</v>
      </c>
      <c r="N99" s="13">
        <v>192</v>
      </c>
      <c r="O99" s="13">
        <v>494</v>
      </c>
      <c r="P99" s="13">
        <v>494</v>
      </c>
      <c r="Q99" s="12">
        <v>37008</v>
      </c>
      <c r="R99" s="14">
        <f t="shared" si="2"/>
        <v>1.49553571428571</v>
      </c>
      <c r="S99">
        <v>66</v>
      </c>
      <c r="T99" s="15">
        <f t="shared" si="3"/>
        <v>10.3125</v>
      </c>
      <c r="U99" t="s">
        <v>218</v>
      </c>
      <c r="V99">
        <v>15</v>
      </c>
      <c r="W99">
        <v>4.7</v>
      </c>
      <c r="X99" s="16">
        <v>0.0303</v>
      </c>
      <c r="Y99" s="17">
        <v>46219</v>
      </c>
      <c r="Z99" t="s">
        <v>241</v>
      </c>
      <c r="AB99" s="18">
        <v>-0.368421052631579</v>
      </c>
      <c r="AC99" t="s">
        <v>800</v>
      </c>
      <c r="AD99" t="s">
        <v>801</v>
      </c>
      <c r="AE99" t="s">
        <v>802</v>
      </c>
      <c r="AF99" t="s">
        <v>420</v>
      </c>
      <c r="AG99" t="s">
        <v>224</v>
      </c>
      <c r="AH99" t="s">
        <v>188</v>
      </c>
      <c r="AI99" t="s">
        <v>225</v>
      </c>
      <c r="AJ99">
        <v>1</v>
      </c>
    </row>
    <row r="100" ht="23" customHeight="1" spans="1:36">
      <c r="A100">
        <v>97</v>
      </c>
      <c r="B100" t="s">
        <v>803</v>
      </c>
      <c r="C100" t="s">
        <v>804</v>
      </c>
      <c r="D100" t="s">
        <v>30</v>
      </c>
      <c r="E100" t="s">
        <v>50</v>
      </c>
      <c r="F100" t="s">
        <v>102</v>
      </c>
      <c r="G100" t="s">
        <v>73</v>
      </c>
      <c r="H100" t="s">
        <v>227</v>
      </c>
      <c r="I100" t="s">
        <v>68</v>
      </c>
      <c r="J100" s="12">
        <v>118.9</v>
      </c>
      <c r="K100">
        <v>1</v>
      </c>
      <c r="L100" s="12">
        <v>118.9</v>
      </c>
      <c r="M100" s="13">
        <v>38</v>
      </c>
      <c r="N100" s="13">
        <v>192</v>
      </c>
      <c r="O100" s="13">
        <v>427</v>
      </c>
      <c r="P100" s="13">
        <v>555</v>
      </c>
      <c r="Q100" s="12">
        <v>23542.2</v>
      </c>
      <c r="R100" s="14">
        <f t="shared" si="2"/>
        <v>0.848214285714286</v>
      </c>
      <c r="S100">
        <v>164</v>
      </c>
      <c r="T100" s="15">
        <f t="shared" si="3"/>
        <v>25.625</v>
      </c>
      <c r="U100" t="s">
        <v>218</v>
      </c>
      <c r="V100">
        <v>127</v>
      </c>
      <c r="W100">
        <v>4.7</v>
      </c>
      <c r="X100" s="16">
        <v>0.0451</v>
      </c>
      <c r="Y100" s="17">
        <v>46116</v>
      </c>
      <c r="Z100" t="s">
        <v>228</v>
      </c>
      <c r="AA100">
        <v>11</v>
      </c>
      <c r="AB100" s="18">
        <v>0.548387096774194</v>
      </c>
      <c r="AC100" t="s">
        <v>678</v>
      </c>
      <c r="AD100" t="s">
        <v>450</v>
      </c>
      <c r="AE100" t="s">
        <v>341</v>
      </c>
      <c r="AF100" t="s">
        <v>491</v>
      </c>
      <c r="AG100" t="s">
        <v>224</v>
      </c>
      <c r="AH100" t="s">
        <v>805</v>
      </c>
      <c r="AI100" t="s">
        <v>225</v>
      </c>
      <c r="AJ100">
        <v>0</v>
      </c>
    </row>
    <row r="101" ht="23" customHeight="1" spans="1:36">
      <c r="A101">
        <v>98</v>
      </c>
      <c r="B101" t="s">
        <v>806</v>
      </c>
      <c r="C101" t="s">
        <v>807</v>
      </c>
      <c r="D101" t="s">
        <v>19</v>
      </c>
      <c r="E101" t="s">
        <v>47</v>
      </c>
      <c r="F101" t="s">
        <v>808</v>
      </c>
      <c r="G101" t="s">
        <v>809</v>
      </c>
      <c r="H101" t="s">
        <v>654</v>
      </c>
      <c r="I101" t="s">
        <v>68</v>
      </c>
      <c r="J101" s="12">
        <v>85.15</v>
      </c>
      <c r="K101">
        <v>1</v>
      </c>
      <c r="L101" s="12">
        <v>85.15</v>
      </c>
      <c r="M101" s="13">
        <v>168</v>
      </c>
      <c r="N101" s="13">
        <v>191</v>
      </c>
      <c r="O101" s="13">
        <v>192</v>
      </c>
      <c r="P101" s="13">
        <v>199</v>
      </c>
      <c r="Q101" s="12">
        <v>16944.85</v>
      </c>
      <c r="R101" s="14">
        <f t="shared" si="2"/>
        <v>3.7696335078534</v>
      </c>
      <c r="S101">
        <v>132</v>
      </c>
      <c r="T101" s="15">
        <f t="shared" si="3"/>
        <v>20.7329842931937</v>
      </c>
      <c r="U101" t="s">
        <v>218</v>
      </c>
      <c r="V101">
        <v>5</v>
      </c>
      <c r="W101">
        <v>5</v>
      </c>
      <c r="X101" s="16">
        <v>0.1164</v>
      </c>
      <c r="Y101" s="17">
        <v>46271</v>
      </c>
      <c r="Z101" t="s">
        <v>241</v>
      </c>
      <c r="AB101" s="18">
        <v>190</v>
      </c>
      <c r="AF101" t="s">
        <v>810</v>
      </c>
      <c r="AG101" t="s">
        <v>224</v>
      </c>
      <c r="AH101" t="s">
        <v>811</v>
      </c>
      <c r="AI101" t="s">
        <v>225</v>
      </c>
      <c r="AJ101">
        <v>1</v>
      </c>
    </row>
    <row r="102" ht="23" customHeight="1" spans="1:36">
      <c r="A102">
        <v>99</v>
      </c>
      <c r="B102" t="s">
        <v>812</v>
      </c>
      <c r="C102" t="s">
        <v>813</v>
      </c>
      <c r="D102" t="s">
        <v>19</v>
      </c>
      <c r="E102" t="s">
        <v>56</v>
      </c>
      <c r="F102" t="s">
        <v>153</v>
      </c>
      <c r="G102" t="s">
        <v>76</v>
      </c>
      <c r="H102" t="s">
        <v>381</v>
      </c>
      <c r="I102" t="s">
        <v>69</v>
      </c>
      <c r="J102" s="12">
        <v>296.01</v>
      </c>
      <c r="K102">
        <v>6</v>
      </c>
      <c r="L102" s="12">
        <v>49.34</v>
      </c>
      <c r="M102" s="13">
        <v>24</v>
      </c>
      <c r="N102" s="13">
        <v>190</v>
      </c>
      <c r="O102" s="13">
        <v>757</v>
      </c>
      <c r="P102" s="13">
        <v>1049</v>
      </c>
      <c r="Q102" s="12">
        <v>59202</v>
      </c>
      <c r="R102" s="14">
        <f t="shared" si="2"/>
        <v>0.541353383458647</v>
      </c>
      <c r="S102">
        <v>252</v>
      </c>
      <c r="T102" s="15">
        <f t="shared" si="3"/>
        <v>39.7894736842105</v>
      </c>
      <c r="U102" t="s">
        <v>218</v>
      </c>
      <c r="V102">
        <v>130</v>
      </c>
      <c r="W102">
        <v>4.8</v>
      </c>
      <c r="X102" s="16">
        <v>0.042</v>
      </c>
      <c r="Y102" s="17">
        <v>46153</v>
      </c>
      <c r="Z102" t="s">
        <v>228</v>
      </c>
      <c r="AA102">
        <v>20</v>
      </c>
      <c r="AB102" s="18">
        <v>-0.400630914826498</v>
      </c>
      <c r="AC102" t="s">
        <v>814</v>
      </c>
      <c r="AD102" t="s">
        <v>565</v>
      </c>
      <c r="AE102" t="s">
        <v>221</v>
      </c>
      <c r="AF102" t="s">
        <v>815</v>
      </c>
      <c r="AG102" t="s">
        <v>224</v>
      </c>
      <c r="AH102" t="s">
        <v>816</v>
      </c>
      <c r="AI102" t="s">
        <v>225</v>
      </c>
      <c r="AJ102">
        <v>1</v>
      </c>
    </row>
    <row r="103" ht="23" customHeight="1" spans="1:36">
      <c r="A103">
        <v>100</v>
      </c>
      <c r="B103" t="s">
        <v>817</v>
      </c>
      <c r="C103" t="s">
        <v>335</v>
      </c>
      <c r="D103" t="s">
        <v>32</v>
      </c>
      <c r="E103" t="s">
        <v>59</v>
      </c>
      <c r="F103" t="s">
        <v>336</v>
      </c>
      <c r="G103" t="s">
        <v>337</v>
      </c>
      <c r="H103" t="s">
        <v>818</v>
      </c>
      <c r="I103" t="s">
        <v>69</v>
      </c>
      <c r="J103" s="12">
        <v>398.07</v>
      </c>
      <c r="K103">
        <v>1</v>
      </c>
      <c r="L103" s="12">
        <v>398.07</v>
      </c>
      <c r="M103" s="13">
        <v>132</v>
      </c>
      <c r="N103" s="13">
        <v>188</v>
      </c>
      <c r="O103" s="13">
        <v>198</v>
      </c>
      <c r="P103" s="13">
        <v>198</v>
      </c>
      <c r="Q103" s="12">
        <v>74837.16</v>
      </c>
      <c r="R103" s="14">
        <f t="shared" si="2"/>
        <v>3.00911854103343</v>
      </c>
      <c r="S103">
        <v>110</v>
      </c>
      <c r="T103" s="15">
        <f t="shared" si="3"/>
        <v>17.5531914893617</v>
      </c>
      <c r="U103" t="s">
        <v>218</v>
      </c>
      <c r="V103">
        <v>9</v>
      </c>
      <c r="W103">
        <v>4.4</v>
      </c>
      <c r="X103" s="16">
        <v>0.066</v>
      </c>
      <c r="Y103" s="17">
        <v>46125</v>
      </c>
      <c r="Z103" t="s">
        <v>228</v>
      </c>
      <c r="AB103" s="18">
        <v>9.44444444444444</v>
      </c>
      <c r="AC103" t="s">
        <v>819</v>
      </c>
      <c r="AD103" t="s">
        <v>220</v>
      </c>
      <c r="AE103" t="s">
        <v>820</v>
      </c>
      <c r="AF103" t="s">
        <v>821</v>
      </c>
      <c r="AG103" t="s">
        <v>224</v>
      </c>
      <c r="AH103" t="s">
        <v>822</v>
      </c>
      <c r="AI103" t="s">
        <v>225</v>
      </c>
      <c r="AJ103">
        <v>0</v>
      </c>
    </row>
    <row r="104" ht="23" customHeight="1" spans="1:36">
      <c r="A104">
        <v>101</v>
      </c>
      <c r="B104" t="s">
        <v>823</v>
      </c>
      <c r="C104" t="s">
        <v>824</v>
      </c>
      <c r="D104" t="s">
        <v>19</v>
      </c>
      <c r="E104" t="s">
        <v>50</v>
      </c>
      <c r="F104" t="s">
        <v>825</v>
      </c>
      <c r="G104" t="s">
        <v>826</v>
      </c>
      <c r="H104" t="s">
        <v>827</v>
      </c>
      <c r="I104" t="s">
        <v>68</v>
      </c>
      <c r="J104" s="12">
        <v>135.83</v>
      </c>
      <c r="K104">
        <v>1</v>
      </c>
      <c r="L104" s="12">
        <v>135.83</v>
      </c>
      <c r="M104" s="13">
        <v>10</v>
      </c>
      <c r="N104" s="13">
        <v>188</v>
      </c>
      <c r="O104" s="13">
        <v>204</v>
      </c>
      <c r="P104" s="13">
        <v>204</v>
      </c>
      <c r="Q104" s="12">
        <v>25536.04</v>
      </c>
      <c r="R104" s="14">
        <f t="shared" si="2"/>
        <v>0.227963525835866</v>
      </c>
      <c r="S104">
        <v>124</v>
      </c>
      <c r="T104" s="15">
        <f t="shared" si="3"/>
        <v>19.7872340425532</v>
      </c>
      <c r="U104" t="s">
        <v>218</v>
      </c>
      <c r="V104">
        <v>2</v>
      </c>
      <c r="W104">
        <v>5</v>
      </c>
      <c r="X104" s="16">
        <v>0.0735</v>
      </c>
      <c r="Y104" s="17">
        <v>46183</v>
      </c>
      <c r="Z104" t="s">
        <v>228</v>
      </c>
      <c r="AB104" s="18">
        <v>7.17391304347826</v>
      </c>
      <c r="AC104" t="s">
        <v>325</v>
      </c>
      <c r="AD104" t="s">
        <v>236</v>
      </c>
      <c r="AE104" t="s">
        <v>331</v>
      </c>
      <c r="AF104" t="s">
        <v>348</v>
      </c>
      <c r="AG104" t="s">
        <v>224</v>
      </c>
      <c r="AH104" t="s">
        <v>828</v>
      </c>
      <c r="AI104" t="s">
        <v>225</v>
      </c>
      <c r="AJ104">
        <v>1</v>
      </c>
    </row>
    <row r="105" ht="23" customHeight="1" spans="1:36">
      <c r="A105">
        <v>102</v>
      </c>
      <c r="B105" t="s">
        <v>829</v>
      </c>
      <c r="C105" t="s">
        <v>830</v>
      </c>
      <c r="D105" t="s">
        <v>19</v>
      </c>
      <c r="E105" t="s">
        <v>56</v>
      </c>
      <c r="F105" t="s">
        <v>304</v>
      </c>
      <c r="G105" t="s">
        <v>304</v>
      </c>
      <c r="H105" t="s">
        <v>247</v>
      </c>
      <c r="I105" t="s">
        <v>68</v>
      </c>
      <c r="J105" s="12">
        <v>298.99</v>
      </c>
      <c r="K105">
        <v>2</v>
      </c>
      <c r="L105" s="12">
        <v>149.5</v>
      </c>
      <c r="M105" s="13">
        <v>164</v>
      </c>
      <c r="N105" s="13">
        <v>187</v>
      </c>
      <c r="O105" s="13">
        <v>1453</v>
      </c>
      <c r="P105" s="13">
        <v>3805</v>
      </c>
      <c r="Q105" s="12">
        <v>55911.13</v>
      </c>
      <c r="R105" s="14">
        <f t="shared" si="2"/>
        <v>3.75859434682964</v>
      </c>
      <c r="S105">
        <v>248</v>
      </c>
      <c r="T105" s="15">
        <f t="shared" si="3"/>
        <v>39.7860962566845</v>
      </c>
      <c r="U105" t="s">
        <v>218</v>
      </c>
      <c r="V105">
        <v>322</v>
      </c>
      <c r="W105">
        <v>4.8</v>
      </c>
      <c r="X105" s="16">
        <v>0.0916</v>
      </c>
      <c r="Y105" s="17">
        <v>45796</v>
      </c>
      <c r="Z105" t="s">
        <v>219</v>
      </c>
      <c r="AB105" s="18">
        <v>-0.673647469458988</v>
      </c>
      <c r="AC105" t="s">
        <v>831</v>
      </c>
      <c r="AD105" t="s">
        <v>832</v>
      </c>
      <c r="AE105" t="s">
        <v>236</v>
      </c>
      <c r="AF105" t="s">
        <v>833</v>
      </c>
      <c r="AG105" t="s">
        <v>224</v>
      </c>
      <c r="AH105" t="s">
        <v>834</v>
      </c>
      <c r="AI105" t="s">
        <v>225</v>
      </c>
      <c r="AJ105">
        <v>1</v>
      </c>
    </row>
    <row r="106" ht="23" customHeight="1" spans="1:36">
      <c r="A106">
        <v>103</v>
      </c>
      <c r="B106" t="s">
        <v>835</v>
      </c>
      <c r="C106" t="s">
        <v>836</v>
      </c>
      <c r="D106" t="s">
        <v>19</v>
      </c>
      <c r="E106" t="s">
        <v>50</v>
      </c>
      <c r="F106" t="s">
        <v>401</v>
      </c>
      <c r="G106" t="s">
        <v>74</v>
      </c>
      <c r="H106" t="s">
        <v>402</v>
      </c>
      <c r="I106" t="s">
        <v>69</v>
      </c>
      <c r="J106" s="12">
        <v>143.56</v>
      </c>
      <c r="K106">
        <v>1</v>
      </c>
      <c r="L106" s="12">
        <v>143.56</v>
      </c>
      <c r="M106" s="13">
        <v>28</v>
      </c>
      <c r="N106" s="13">
        <v>184</v>
      </c>
      <c r="O106" s="13">
        <v>615</v>
      </c>
      <c r="P106" s="13">
        <v>3005</v>
      </c>
      <c r="Q106" s="12">
        <v>26415.04</v>
      </c>
      <c r="R106" s="14">
        <f t="shared" si="2"/>
        <v>0.652173913043478</v>
      </c>
      <c r="S106">
        <v>270</v>
      </c>
      <c r="T106" s="15">
        <f t="shared" si="3"/>
        <v>44.0217391304348</v>
      </c>
      <c r="U106" t="s">
        <v>218</v>
      </c>
      <c r="V106">
        <v>205</v>
      </c>
      <c r="W106">
        <v>4.7</v>
      </c>
      <c r="X106" s="16">
        <v>0.1002</v>
      </c>
      <c r="Y106" s="17">
        <v>45705</v>
      </c>
      <c r="Z106" t="s">
        <v>219</v>
      </c>
      <c r="AB106" s="18">
        <v>-0.374149659863946</v>
      </c>
      <c r="AC106" t="s">
        <v>756</v>
      </c>
      <c r="AD106" t="s">
        <v>272</v>
      </c>
      <c r="AE106" t="s">
        <v>320</v>
      </c>
      <c r="AF106" t="s">
        <v>251</v>
      </c>
      <c r="AG106" t="s">
        <v>224</v>
      </c>
      <c r="AH106" t="s">
        <v>837</v>
      </c>
      <c r="AI106" t="s">
        <v>225</v>
      </c>
      <c r="AJ106">
        <v>1</v>
      </c>
    </row>
    <row r="107" ht="23" customHeight="1" spans="1:36">
      <c r="A107">
        <v>104</v>
      </c>
      <c r="B107" t="s">
        <v>838</v>
      </c>
      <c r="C107" t="s">
        <v>839</v>
      </c>
      <c r="D107" t="s">
        <v>21</v>
      </c>
      <c r="E107" t="s">
        <v>56</v>
      </c>
      <c r="F107" t="s">
        <v>840</v>
      </c>
      <c r="G107" t="s">
        <v>841</v>
      </c>
      <c r="H107" t="s">
        <v>842</v>
      </c>
      <c r="I107" t="s">
        <v>69</v>
      </c>
      <c r="J107" s="12">
        <v>255.22</v>
      </c>
      <c r="K107">
        <v>2</v>
      </c>
      <c r="L107" s="12">
        <v>127.61</v>
      </c>
      <c r="M107" s="13">
        <v>65</v>
      </c>
      <c r="N107" s="13">
        <v>184</v>
      </c>
      <c r="O107" s="13">
        <v>470</v>
      </c>
      <c r="P107" s="13">
        <v>1908</v>
      </c>
      <c r="Q107" s="12">
        <v>48491.8</v>
      </c>
      <c r="R107" s="14">
        <f t="shared" si="2"/>
        <v>1.5139751552795</v>
      </c>
      <c r="S107">
        <v>318</v>
      </c>
      <c r="T107" s="15">
        <f t="shared" si="3"/>
        <v>51.8478260869565</v>
      </c>
      <c r="U107" t="s">
        <v>218</v>
      </c>
      <c r="V107">
        <v>169</v>
      </c>
      <c r="W107">
        <v>3.9</v>
      </c>
      <c r="X107" s="16">
        <v>0.0331</v>
      </c>
      <c r="Y107" s="17">
        <v>45533</v>
      </c>
      <c r="Z107" t="s">
        <v>219</v>
      </c>
      <c r="AB107" s="18">
        <v>0.978494623655914</v>
      </c>
      <c r="AC107" t="s">
        <v>843</v>
      </c>
      <c r="AD107" t="s">
        <v>844</v>
      </c>
      <c r="AE107" t="s">
        <v>365</v>
      </c>
      <c r="AF107" t="s">
        <v>251</v>
      </c>
      <c r="AG107" t="s">
        <v>224</v>
      </c>
      <c r="AH107" t="s">
        <v>845</v>
      </c>
      <c r="AI107" t="s">
        <v>225</v>
      </c>
      <c r="AJ107">
        <v>1</v>
      </c>
    </row>
    <row r="108" ht="23" customHeight="1" spans="1:36">
      <c r="A108">
        <v>105</v>
      </c>
      <c r="B108" t="s">
        <v>846</v>
      </c>
      <c r="C108" t="s">
        <v>847</v>
      </c>
      <c r="D108" t="s">
        <v>34</v>
      </c>
      <c r="E108" t="s">
        <v>56</v>
      </c>
      <c r="F108" t="s">
        <v>848</v>
      </c>
      <c r="G108" t="s">
        <v>849</v>
      </c>
      <c r="H108" t="s">
        <v>850</v>
      </c>
      <c r="I108" t="s">
        <v>69</v>
      </c>
      <c r="J108" s="12">
        <v>292.57</v>
      </c>
      <c r="K108">
        <v>1</v>
      </c>
      <c r="L108" s="12">
        <v>292.57</v>
      </c>
      <c r="M108" s="13">
        <v>60</v>
      </c>
      <c r="N108" s="13">
        <v>183</v>
      </c>
      <c r="O108" s="13">
        <v>545</v>
      </c>
      <c r="P108" s="13">
        <v>700</v>
      </c>
      <c r="Q108" s="12">
        <v>56466.01</v>
      </c>
      <c r="R108" s="14">
        <f t="shared" si="2"/>
        <v>1.40515222482436</v>
      </c>
      <c r="S108">
        <v>246</v>
      </c>
      <c r="T108" s="15">
        <f t="shared" si="3"/>
        <v>40.327868852459</v>
      </c>
      <c r="U108" t="s">
        <v>218</v>
      </c>
      <c r="V108">
        <v>36</v>
      </c>
      <c r="W108">
        <v>4.8</v>
      </c>
      <c r="X108" s="16">
        <v>0.0572</v>
      </c>
      <c r="Y108" s="17">
        <v>46092</v>
      </c>
      <c r="Z108" t="s">
        <v>219</v>
      </c>
      <c r="AB108" s="18">
        <v>0.355555555555556</v>
      </c>
      <c r="AC108" t="s">
        <v>851</v>
      </c>
      <c r="AD108" t="s">
        <v>852</v>
      </c>
      <c r="AE108" t="s">
        <v>853</v>
      </c>
      <c r="AF108" t="s">
        <v>854</v>
      </c>
      <c r="AG108" t="s">
        <v>224</v>
      </c>
      <c r="AH108" t="s">
        <v>855</v>
      </c>
      <c r="AI108" t="s">
        <v>225</v>
      </c>
      <c r="AJ108">
        <v>0</v>
      </c>
    </row>
    <row r="109" ht="23" customHeight="1" spans="1:36">
      <c r="A109">
        <v>106</v>
      </c>
      <c r="B109" t="s">
        <v>856</v>
      </c>
      <c r="C109" t="s">
        <v>857</v>
      </c>
      <c r="D109" t="s">
        <v>19</v>
      </c>
      <c r="E109" t="s">
        <v>50</v>
      </c>
      <c r="F109" t="s">
        <v>401</v>
      </c>
      <c r="G109" t="s">
        <v>74</v>
      </c>
      <c r="H109" t="s">
        <v>402</v>
      </c>
      <c r="I109" t="s">
        <v>69</v>
      </c>
      <c r="J109" s="12">
        <v>144.67</v>
      </c>
      <c r="K109">
        <v>1</v>
      </c>
      <c r="L109" s="12">
        <v>144.67</v>
      </c>
      <c r="M109" s="13">
        <v>13</v>
      </c>
      <c r="N109" s="13">
        <v>183</v>
      </c>
      <c r="O109" s="13">
        <v>593</v>
      </c>
      <c r="P109" s="13">
        <v>6610</v>
      </c>
      <c r="Q109" s="12">
        <v>26474.61</v>
      </c>
      <c r="R109" s="14">
        <f t="shared" si="2"/>
        <v>0.304449648711944</v>
      </c>
      <c r="S109">
        <v>662</v>
      </c>
      <c r="T109" s="15">
        <f t="shared" si="3"/>
        <v>108.524590163934</v>
      </c>
      <c r="U109" t="s">
        <v>218</v>
      </c>
      <c r="V109">
        <v>372</v>
      </c>
      <c r="W109">
        <v>4.5</v>
      </c>
      <c r="X109" s="16">
        <v>0.1184</v>
      </c>
      <c r="Y109" s="17">
        <v>45712</v>
      </c>
      <c r="Z109" t="s">
        <v>219</v>
      </c>
      <c r="AA109">
        <v>20</v>
      </c>
      <c r="AB109" s="18">
        <v>-0.0567010309278351</v>
      </c>
      <c r="AC109" t="s">
        <v>858</v>
      </c>
      <c r="AD109" t="s">
        <v>412</v>
      </c>
      <c r="AE109" t="s">
        <v>305</v>
      </c>
      <c r="AF109" t="s">
        <v>549</v>
      </c>
      <c r="AG109" t="s">
        <v>224</v>
      </c>
      <c r="AH109" t="s">
        <v>859</v>
      </c>
      <c r="AI109" t="s">
        <v>225</v>
      </c>
      <c r="AJ109">
        <v>1</v>
      </c>
    </row>
    <row r="110" ht="23" customHeight="1" spans="1:36">
      <c r="A110">
        <v>107</v>
      </c>
      <c r="B110" t="s">
        <v>860</v>
      </c>
      <c r="C110" t="s">
        <v>861</v>
      </c>
      <c r="D110" t="s">
        <v>27</v>
      </c>
      <c r="E110" t="s">
        <v>53</v>
      </c>
      <c r="F110" t="s">
        <v>137</v>
      </c>
      <c r="G110" t="s">
        <v>79</v>
      </c>
      <c r="H110" t="s">
        <v>528</v>
      </c>
      <c r="I110" t="s">
        <v>69</v>
      </c>
      <c r="J110" s="12">
        <v>182.88</v>
      </c>
      <c r="K110">
        <v>1</v>
      </c>
      <c r="L110" s="12">
        <v>182.88</v>
      </c>
      <c r="M110" s="13">
        <v>48</v>
      </c>
      <c r="N110" s="13">
        <v>182</v>
      </c>
      <c r="O110" s="13">
        <v>398</v>
      </c>
      <c r="P110" s="13">
        <v>2062</v>
      </c>
      <c r="Q110" s="12">
        <v>33284.16</v>
      </c>
      <c r="R110" s="14">
        <f t="shared" si="2"/>
        <v>1.13029827315542</v>
      </c>
      <c r="S110">
        <v>136</v>
      </c>
      <c r="T110" s="15">
        <f t="shared" si="3"/>
        <v>22.4175824175824</v>
      </c>
      <c r="U110" t="s">
        <v>218</v>
      </c>
      <c r="V110">
        <v>229</v>
      </c>
      <c r="W110">
        <v>4.7</v>
      </c>
      <c r="X110" s="16">
        <v>0.0865</v>
      </c>
      <c r="Y110" s="17">
        <v>45598</v>
      </c>
      <c r="Z110" t="s">
        <v>219</v>
      </c>
      <c r="AA110">
        <v>7</v>
      </c>
      <c r="AB110" s="18">
        <v>-0.157407407407407</v>
      </c>
      <c r="AC110" t="s">
        <v>607</v>
      </c>
      <c r="AD110" t="s">
        <v>862</v>
      </c>
      <c r="AE110" t="s">
        <v>863</v>
      </c>
      <c r="AF110" t="s">
        <v>420</v>
      </c>
      <c r="AG110" t="s">
        <v>224</v>
      </c>
      <c r="AH110" t="s">
        <v>864</v>
      </c>
      <c r="AI110" t="s">
        <v>225</v>
      </c>
      <c r="AJ110">
        <v>1</v>
      </c>
    </row>
    <row r="111" ht="23" customHeight="1" spans="1:36">
      <c r="A111">
        <v>108</v>
      </c>
      <c r="B111" t="s">
        <v>865</v>
      </c>
      <c r="C111" t="s">
        <v>866</v>
      </c>
      <c r="D111" t="s">
        <v>30</v>
      </c>
      <c r="E111" t="s">
        <v>50</v>
      </c>
      <c r="F111" t="s">
        <v>393</v>
      </c>
      <c r="G111" t="s">
        <v>394</v>
      </c>
      <c r="H111" t="s">
        <v>867</v>
      </c>
      <c r="I111" t="s">
        <v>69</v>
      </c>
      <c r="J111" s="12">
        <v>148.18</v>
      </c>
      <c r="K111">
        <v>2</v>
      </c>
      <c r="L111" s="12">
        <v>74.09</v>
      </c>
      <c r="M111" s="13">
        <v>38</v>
      </c>
      <c r="N111" s="13">
        <v>178</v>
      </c>
      <c r="O111" s="13">
        <v>279</v>
      </c>
      <c r="P111" s="13">
        <v>279</v>
      </c>
      <c r="Q111" s="12">
        <v>26376.04</v>
      </c>
      <c r="R111" s="14">
        <f t="shared" si="2"/>
        <v>0.914927768860353</v>
      </c>
      <c r="S111">
        <v>165</v>
      </c>
      <c r="T111" s="15">
        <f t="shared" si="3"/>
        <v>27.8089887640449</v>
      </c>
      <c r="U111" t="s">
        <v>218</v>
      </c>
      <c r="V111">
        <v>15</v>
      </c>
      <c r="W111">
        <v>4.7</v>
      </c>
      <c r="X111" s="16">
        <v>0.0679</v>
      </c>
      <c r="Y111" s="17">
        <v>46213</v>
      </c>
      <c r="Z111" t="s">
        <v>241</v>
      </c>
      <c r="AA111">
        <v>12</v>
      </c>
      <c r="AB111" s="18">
        <v>1.28205128205128</v>
      </c>
      <c r="AC111" t="s">
        <v>868</v>
      </c>
      <c r="AD111" t="s">
        <v>378</v>
      </c>
      <c r="AE111" t="s">
        <v>332</v>
      </c>
      <c r="AF111" t="s">
        <v>869</v>
      </c>
      <c r="AG111" t="s">
        <v>224</v>
      </c>
      <c r="AH111" t="s">
        <v>870</v>
      </c>
      <c r="AI111" t="s">
        <v>225</v>
      </c>
      <c r="AJ111">
        <v>0</v>
      </c>
    </row>
    <row r="112" ht="23" customHeight="1" spans="1:36">
      <c r="A112">
        <v>109</v>
      </c>
      <c r="B112" t="s">
        <v>871</v>
      </c>
      <c r="C112" t="s">
        <v>872</v>
      </c>
      <c r="D112" t="s">
        <v>19</v>
      </c>
      <c r="E112" t="s">
        <v>53</v>
      </c>
      <c r="F112" t="s">
        <v>172</v>
      </c>
      <c r="G112" t="s">
        <v>617</v>
      </c>
      <c r="H112" t="s">
        <v>873</v>
      </c>
      <c r="I112" t="s">
        <v>68</v>
      </c>
      <c r="J112" s="12">
        <v>170.62</v>
      </c>
      <c r="K112">
        <v>1</v>
      </c>
      <c r="L112" s="12">
        <v>170.62</v>
      </c>
      <c r="M112" s="13">
        <v>37</v>
      </c>
      <c r="N112" s="13">
        <v>177</v>
      </c>
      <c r="O112" s="13">
        <v>360</v>
      </c>
      <c r="P112" s="13">
        <v>360</v>
      </c>
      <c r="Q112" s="12">
        <v>30199.74</v>
      </c>
      <c r="R112" s="14">
        <f t="shared" si="2"/>
        <v>0.895883777239709</v>
      </c>
      <c r="S112">
        <v>242</v>
      </c>
      <c r="T112" s="15">
        <f t="shared" si="3"/>
        <v>41.0169491525424</v>
      </c>
      <c r="U112" t="s">
        <v>218</v>
      </c>
      <c r="V112">
        <v>18</v>
      </c>
      <c r="W112">
        <v>4.3</v>
      </c>
      <c r="X112" s="16">
        <v>0.0669</v>
      </c>
      <c r="Y112" s="17">
        <v>46220</v>
      </c>
      <c r="Z112" t="s">
        <v>241</v>
      </c>
      <c r="AB112" s="18">
        <v>0.0792682926829268</v>
      </c>
      <c r="AC112" t="s">
        <v>466</v>
      </c>
      <c r="AD112" t="s">
        <v>325</v>
      </c>
      <c r="AE112" t="s">
        <v>250</v>
      </c>
      <c r="AF112" t="s">
        <v>427</v>
      </c>
      <c r="AG112" t="s">
        <v>224</v>
      </c>
      <c r="AH112" t="s">
        <v>874</v>
      </c>
      <c r="AI112" t="s">
        <v>225</v>
      </c>
      <c r="AJ112">
        <v>1</v>
      </c>
    </row>
    <row r="113" ht="23" customHeight="1" spans="1:36">
      <c r="A113">
        <v>110</v>
      </c>
      <c r="B113" t="s">
        <v>875</v>
      </c>
      <c r="C113" t="s">
        <v>876</v>
      </c>
      <c r="D113" t="s">
        <v>32</v>
      </c>
      <c r="E113" t="s">
        <v>53</v>
      </c>
      <c r="F113" t="s">
        <v>258</v>
      </c>
      <c r="G113" t="s">
        <v>259</v>
      </c>
      <c r="H113" t="s">
        <v>877</v>
      </c>
      <c r="I113" t="s">
        <v>69</v>
      </c>
      <c r="J113" s="12">
        <v>191.55</v>
      </c>
      <c r="K113">
        <v>1</v>
      </c>
      <c r="L113" s="12">
        <v>191.55</v>
      </c>
      <c r="M113" s="13">
        <v>40</v>
      </c>
      <c r="N113" s="13">
        <v>175</v>
      </c>
      <c r="O113" s="13">
        <v>357</v>
      </c>
      <c r="P113" s="13">
        <v>430</v>
      </c>
      <c r="Q113" s="12">
        <v>34862.1</v>
      </c>
      <c r="R113" s="14">
        <f t="shared" si="2"/>
        <v>0.979591836734694</v>
      </c>
      <c r="S113">
        <v>108</v>
      </c>
      <c r="T113" s="15">
        <f t="shared" si="3"/>
        <v>18.5142857142857</v>
      </c>
      <c r="U113" t="s">
        <v>218</v>
      </c>
      <c r="V113">
        <v>31</v>
      </c>
      <c r="W113">
        <v>4.6</v>
      </c>
      <c r="X113" s="16">
        <v>0.0693</v>
      </c>
      <c r="Y113" s="17">
        <v>46177</v>
      </c>
      <c r="Z113" t="s">
        <v>228</v>
      </c>
      <c r="AB113" s="18">
        <v>0.136363636363636</v>
      </c>
      <c r="AC113" t="s">
        <v>243</v>
      </c>
      <c r="AD113" t="s">
        <v>878</v>
      </c>
      <c r="AE113" t="s">
        <v>879</v>
      </c>
      <c r="AF113" t="s">
        <v>255</v>
      </c>
      <c r="AG113" t="s">
        <v>224</v>
      </c>
      <c r="AH113" t="s">
        <v>880</v>
      </c>
      <c r="AI113" t="s">
        <v>225</v>
      </c>
      <c r="AJ113">
        <v>0</v>
      </c>
    </row>
    <row r="114" ht="23" customHeight="1" spans="1:36">
      <c r="A114">
        <v>111</v>
      </c>
      <c r="B114" t="s">
        <v>881</v>
      </c>
      <c r="C114" t="s">
        <v>882</v>
      </c>
      <c r="D114" t="s">
        <v>30</v>
      </c>
      <c r="E114" t="s">
        <v>56</v>
      </c>
      <c r="F114" t="s">
        <v>883</v>
      </c>
      <c r="G114" t="s">
        <v>884</v>
      </c>
      <c r="H114" t="s">
        <v>885</v>
      </c>
      <c r="I114" t="s">
        <v>68</v>
      </c>
      <c r="J114" s="12">
        <v>226.4</v>
      </c>
      <c r="K114">
        <v>6</v>
      </c>
      <c r="L114" s="12">
        <v>37.73</v>
      </c>
      <c r="M114" s="13">
        <v>12</v>
      </c>
      <c r="N114" s="13">
        <v>175</v>
      </c>
      <c r="O114" s="13">
        <v>323</v>
      </c>
      <c r="P114" s="13">
        <v>711</v>
      </c>
      <c r="Q114" s="12">
        <v>39620</v>
      </c>
      <c r="R114" s="14">
        <f t="shared" si="2"/>
        <v>0.293877551020408</v>
      </c>
      <c r="S114">
        <v>125</v>
      </c>
      <c r="T114" s="15">
        <f t="shared" si="3"/>
        <v>21.4285714285714</v>
      </c>
      <c r="U114" t="s">
        <v>218</v>
      </c>
      <c r="V114">
        <v>98</v>
      </c>
      <c r="W114">
        <v>4.7</v>
      </c>
      <c r="X114" s="16">
        <v>0.0616</v>
      </c>
      <c r="Y114" s="17">
        <v>45884</v>
      </c>
      <c r="Z114" t="s">
        <v>219</v>
      </c>
      <c r="AB114" s="18">
        <v>3.06976744186047</v>
      </c>
      <c r="AC114" t="s">
        <v>886</v>
      </c>
      <c r="AD114" t="s">
        <v>305</v>
      </c>
      <c r="AE114" t="s">
        <v>630</v>
      </c>
      <c r="AF114" t="s">
        <v>251</v>
      </c>
      <c r="AG114" t="s">
        <v>224</v>
      </c>
      <c r="AH114" t="s">
        <v>887</v>
      </c>
      <c r="AI114" t="s">
        <v>225</v>
      </c>
      <c r="AJ114">
        <v>0</v>
      </c>
    </row>
    <row r="115" ht="23" customHeight="1" spans="1:36">
      <c r="A115">
        <v>112</v>
      </c>
      <c r="B115" t="s">
        <v>888</v>
      </c>
      <c r="C115" t="s">
        <v>889</v>
      </c>
      <c r="D115" t="s">
        <v>19</v>
      </c>
      <c r="E115" t="s">
        <v>56</v>
      </c>
      <c r="F115" t="s">
        <v>401</v>
      </c>
      <c r="G115" t="s">
        <v>74</v>
      </c>
      <c r="H115" t="s">
        <v>402</v>
      </c>
      <c r="I115" t="s">
        <v>69</v>
      </c>
      <c r="J115" s="12">
        <v>221.26</v>
      </c>
      <c r="K115">
        <v>1</v>
      </c>
      <c r="L115" s="12">
        <v>221.26</v>
      </c>
      <c r="M115" s="13">
        <v>34</v>
      </c>
      <c r="N115" s="13">
        <v>175</v>
      </c>
      <c r="O115" s="13">
        <v>450</v>
      </c>
      <c r="P115" s="13">
        <v>1024</v>
      </c>
      <c r="Q115" s="12">
        <v>40933.1</v>
      </c>
      <c r="R115" s="14">
        <f t="shared" si="2"/>
        <v>0.83265306122449</v>
      </c>
      <c r="S115">
        <v>88</v>
      </c>
      <c r="T115" s="15">
        <f t="shared" si="3"/>
        <v>15.0857142857143</v>
      </c>
      <c r="U115" t="s">
        <v>218</v>
      </c>
      <c r="V115">
        <v>35</v>
      </c>
      <c r="W115">
        <v>4.5</v>
      </c>
      <c r="X115" s="16">
        <v>0.0715</v>
      </c>
      <c r="Y115" s="17">
        <v>45746</v>
      </c>
      <c r="Z115" t="s">
        <v>219</v>
      </c>
      <c r="AB115" s="18">
        <v>0.151315789473684</v>
      </c>
      <c r="AC115" t="s">
        <v>890</v>
      </c>
      <c r="AD115" t="s">
        <v>757</v>
      </c>
      <c r="AE115" t="s">
        <v>699</v>
      </c>
      <c r="AF115" t="s">
        <v>891</v>
      </c>
      <c r="AG115" t="s">
        <v>224</v>
      </c>
      <c r="AH115" t="s">
        <v>892</v>
      </c>
      <c r="AI115" t="s">
        <v>225</v>
      </c>
      <c r="AJ115">
        <v>1</v>
      </c>
    </row>
    <row r="116" ht="23" customHeight="1" spans="1:36">
      <c r="A116">
        <v>113</v>
      </c>
      <c r="B116" t="s">
        <v>893</v>
      </c>
      <c r="C116" t="s">
        <v>894</v>
      </c>
      <c r="D116" t="s">
        <v>19</v>
      </c>
      <c r="E116" t="s">
        <v>53</v>
      </c>
      <c r="F116" t="s">
        <v>309</v>
      </c>
      <c r="G116" t="s">
        <v>75</v>
      </c>
      <c r="H116" t="s">
        <v>298</v>
      </c>
      <c r="I116" t="s">
        <v>69</v>
      </c>
      <c r="J116" s="12">
        <v>165.9</v>
      </c>
      <c r="K116">
        <v>1</v>
      </c>
      <c r="L116" s="12">
        <v>165.9</v>
      </c>
      <c r="M116" s="13">
        <v>71</v>
      </c>
      <c r="N116" s="13">
        <v>173</v>
      </c>
      <c r="O116" s="13">
        <v>275</v>
      </c>
      <c r="P116" s="13">
        <v>935</v>
      </c>
      <c r="Q116" s="12">
        <v>29696.1</v>
      </c>
      <c r="R116" s="14">
        <f t="shared" si="2"/>
        <v>1.7588769611891</v>
      </c>
      <c r="S116">
        <v>17</v>
      </c>
      <c r="T116" s="15">
        <f t="shared" si="3"/>
        <v>2.94797687861272</v>
      </c>
      <c r="U116" t="s">
        <v>218</v>
      </c>
      <c r="V116">
        <v>302</v>
      </c>
      <c r="W116">
        <v>4.9</v>
      </c>
      <c r="X116" s="16">
        <v>0.1255</v>
      </c>
      <c r="Y116" s="17">
        <v>45757</v>
      </c>
      <c r="Z116" t="s">
        <v>219</v>
      </c>
      <c r="AA116">
        <v>3</v>
      </c>
      <c r="AB116" s="18">
        <v>1.08433734939759</v>
      </c>
      <c r="AC116" t="s">
        <v>296</v>
      </c>
      <c r="AD116" t="s">
        <v>254</v>
      </c>
      <c r="AE116" t="s">
        <v>671</v>
      </c>
      <c r="AF116" t="s">
        <v>891</v>
      </c>
      <c r="AG116" t="s">
        <v>224</v>
      </c>
      <c r="AH116" t="s">
        <v>895</v>
      </c>
      <c r="AI116" t="s">
        <v>225</v>
      </c>
      <c r="AJ116">
        <v>1</v>
      </c>
    </row>
    <row r="117" ht="23" customHeight="1" spans="1:36">
      <c r="A117">
        <v>114</v>
      </c>
      <c r="B117" t="s">
        <v>896</v>
      </c>
      <c r="C117" t="s">
        <v>897</v>
      </c>
      <c r="D117" t="s">
        <v>30</v>
      </c>
      <c r="E117" t="s">
        <v>56</v>
      </c>
      <c r="F117" t="s">
        <v>898</v>
      </c>
      <c r="G117" t="s">
        <v>899</v>
      </c>
      <c r="H117" t="s">
        <v>900</v>
      </c>
      <c r="I117" t="s">
        <v>68</v>
      </c>
      <c r="J117" s="12">
        <v>298.66</v>
      </c>
      <c r="K117">
        <v>9</v>
      </c>
      <c r="L117" s="12">
        <v>33.18</v>
      </c>
      <c r="M117" s="13">
        <v>86</v>
      </c>
      <c r="N117" s="13">
        <v>173</v>
      </c>
      <c r="O117" s="13">
        <v>174</v>
      </c>
      <c r="P117" s="13">
        <v>179</v>
      </c>
      <c r="Q117" s="12">
        <v>53460.14</v>
      </c>
      <c r="R117" s="14">
        <f t="shared" si="2"/>
        <v>2.13047068538398</v>
      </c>
      <c r="S117">
        <v>109</v>
      </c>
      <c r="T117" s="15">
        <f t="shared" si="3"/>
        <v>18.9017341040462</v>
      </c>
      <c r="U117" t="s">
        <v>218</v>
      </c>
      <c r="V117">
        <v>8</v>
      </c>
      <c r="W117">
        <v>4.9</v>
      </c>
      <c r="X117" s="16">
        <v>0.0891</v>
      </c>
      <c r="Y117" s="17">
        <v>46260</v>
      </c>
      <c r="Z117" t="s">
        <v>241</v>
      </c>
      <c r="AB117" s="18">
        <v>173</v>
      </c>
      <c r="AC117" t="s">
        <v>901</v>
      </c>
      <c r="AD117" t="s">
        <v>295</v>
      </c>
      <c r="AE117" t="s">
        <v>331</v>
      </c>
      <c r="AF117" t="s">
        <v>602</v>
      </c>
      <c r="AG117" t="s">
        <v>224</v>
      </c>
      <c r="AH117" t="s">
        <v>902</v>
      </c>
      <c r="AI117" t="s">
        <v>225</v>
      </c>
      <c r="AJ117">
        <v>0</v>
      </c>
    </row>
    <row r="118" ht="23" customHeight="1" spans="1:36">
      <c r="A118">
        <v>115</v>
      </c>
      <c r="B118" t="s">
        <v>903</v>
      </c>
      <c r="C118" t="s">
        <v>904</v>
      </c>
      <c r="D118" t="s">
        <v>19</v>
      </c>
      <c r="E118" t="s">
        <v>56</v>
      </c>
      <c r="F118" t="s">
        <v>153</v>
      </c>
      <c r="G118" t="s">
        <v>76</v>
      </c>
      <c r="H118" t="s">
        <v>381</v>
      </c>
      <c r="I118" t="s">
        <v>69</v>
      </c>
      <c r="J118" s="12">
        <v>211.68</v>
      </c>
      <c r="K118">
        <v>2</v>
      </c>
      <c r="L118" s="12">
        <v>105.84</v>
      </c>
      <c r="M118" s="13">
        <v>34</v>
      </c>
      <c r="N118" s="13">
        <v>172</v>
      </c>
      <c r="O118" s="13">
        <v>534</v>
      </c>
      <c r="P118" s="13">
        <v>633</v>
      </c>
      <c r="Q118" s="12">
        <v>36408.96</v>
      </c>
      <c r="R118" s="14">
        <f t="shared" si="2"/>
        <v>0.847176079734219</v>
      </c>
      <c r="S118">
        <v>193</v>
      </c>
      <c r="T118" s="15">
        <f t="shared" si="3"/>
        <v>33.6627906976744</v>
      </c>
      <c r="U118" t="s">
        <v>218</v>
      </c>
      <c r="V118">
        <v>251</v>
      </c>
      <c r="W118">
        <v>4.7</v>
      </c>
      <c r="X118" s="16">
        <v>0.0862</v>
      </c>
      <c r="Y118" s="17">
        <v>46153</v>
      </c>
      <c r="Z118" t="s">
        <v>228</v>
      </c>
      <c r="AA118">
        <v>18</v>
      </c>
      <c r="AB118" s="18">
        <v>-0.184834123222749</v>
      </c>
      <c r="AC118" t="s">
        <v>784</v>
      </c>
      <c r="AD118" t="s">
        <v>325</v>
      </c>
      <c r="AE118" t="s">
        <v>853</v>
      </c>
      <c r="AF118" t="s">
        <v>713</v>
      </c>
      <c r="AG118" t="s">
        <v>224</v>
      </c>
      <c r="AH118" t="s">
        <v>905</v>
      </c>
      <c r="AI118" t="s">
        <v>225</v>
      </c>
      <c r="AJ118">
        <v>1</v>
      </c>
    </row>
    <row r="119" ht="23" customHeight="1" spans="1:36">
      <c r="A119">
        <v>116</v>
      </c>
      <c r="B119" t="s">
        <v>906</v>
      </c>
      <c r="C119" t="s">
        <v>907</v>
      </c>
      <c r="D119" t="s">
        <v>34</v>
      </c>
      <c r="E119" t="s">
        <v>59</v>
      </c>
      <c r="F119" t="s">
        <v>908</v>
      </c>
      <c r="G119" t="s">
        <v>908</v>
      </c>
      <c r="H119" t="s">
        <v>909</v>
      </c>
      <c r="I119" t="s">
        <v>69</v>
      </c>
      <c r="J119" s="12">
        <v>399.27</v>
      </c>
      <c r="K119">
        <v>1</v>
      </c>
      <c r="L119" s="12">
        <v>399.27</v>
      </c>
      <c r="M119" s="13">
        <v>19</v>
      </c>
      <c r="N119" s="13">
        <v>171</v>
      </c>
      <c r="O119" s="13">
        <v>394</v>
      </c>
      <c r="P119" s="13">
        <v>394</v>
      </c>
      <c r="Q119" s="12">
        <v>68275.17</v>
      </c>
      <c r="R119" s="14">
        <f t="shared" si="2"/>
        <v>0.476190476190476</v>
      </c>
      <c r="S119">
        <v>283</v>
      </c>
      <c r="T119" s="15">
        <f t="shared" si="3"/>
        <v>49.6491228070175</v>
      </c>
      <c r="U119" t="s">
        <v>218</v>
      </c>
      <c r="V119">
        <v>15</v>
      </c>
      <c r="W119">
        <v>5</v>
      </c>
      <c r="X119" s="16">
        <v>0.0812</v>
      </c>
      <c r="Y119" s="17">
        <v>46136</v>
      </c>
      <c r="Z119" t="s">
        <v>228</v>
      </c>
      <c r="AB119" s="18">
        <v>0.049079754601227</v>
      </c>
      <c r="AC119" t="s">
        <v>910</v>
      </c>
      <c r="AD119" t="s">
        <v>289</v>
      </c>
      <c r="AE119" t="s">
        <v>319</v>
      </c>
      <c r="AF119" t="s">
        <v>911</v>
      </c>
      <c r="AG119" t="s">
        <v>224</v>
      </c>
      <c r="AH119" t="s">
        <v>912</v>
      </c>
      <c r="AI119" t="s">
        <v>225</v>
      </c>
      <c r="AJ119">
        <v>0</v>
      </c>
    </row>
    <row r="120" ht="23" customHeight="1" spans="1:36">
      <c r="A120">
        <v>117</v>
      </c>
      <c r="B120" t="s">
        <v>913</v>
      </c>
      <c r="C120" t="s">
        <v>914</v>
      </c>
      <c r="D120" t="s">
        <v>19</v>
      </c>
      <c r="E120" t="s">
        <v>56</v>
      </c>
      <c r="F120" t="s">
        <v>407</v>
      </c>
      <c r="G120" t="s">
        <v>72</v>
      </c>
      <c r="H120" t="s">
        <v>408</v>
      </c>
      <c r="I120" t="s">
        <v>69</v>
      </c>
      <c r="J120" s="12">
        <v>229.93</v>
      </c>
      <c r="K120">
        <v>1</v>
      </c>
      <c r="L120" s="12">
        <v>229.93</v>
      </c>
      <c r="M120" s="13">
        <v>30</v>
      </c>
      <c r="N120" s="13">
        <v>171</v>
      </c>
      <c r="O120" s="13">
        <v>818</v>
      </c>
      <c r="P120" s="13">
        <v>2097</v>
      </c>
      <c r="Q120" s="12">
        <v>40697.61</v>
      </c>
      <c r="R120" s="14">
        <f t="shared" si="2"/>
        <v>0.75187969924812</v>
      </c>
      <c r="S120">
        <v>267</v>
      </c>
      <c r="T120" s="15">
        <f t="shared" si="3"/>
        <v>46.8421052631579</v>
      </c>
      <c r="U120" t="s">
        <v>218</v>
      </c>
      <c r="V120">
        <v>89</v>
      </c>
      <c r="W120">
        <v>4.8</v>
      </c>
      <c r="X120" s="16">
        <v>0.1229</v>
      </c>
      <c r="Y120" s="17">
        <v>45944</v>
      </c>
      <c r="Z120" t="s">
        <v>219</v>
      </c>
      <c r="AB120" s="18">
        <v>-0.420338983050847</v>
      </c>
      <c r="AC120" t="s">
        <v>289</v>
      </c>
      <c r="AD120" t="s">
        <v>412</v>
      </c>
      <c r="AE120" t="s">
        <v>409</v>
      </c>
      <c r="AF120" t="s">
        <v>403</v>
      </c>
      <c r="AG120" t="s">
        <v>224</v>
      </c>
      <c r="AH120" t="s">
        <v>915</v>
      </c>
      <c r="AI120" t="s">
        <v>225</v>
      </c>
      <c r="AJ120">
        <v>1</v>
      </c>
    </row>
    <row r="121" ht="23" customHeight="1" spans="1:36">
      <c r="A121">
        <v>118</v>
      </c>
      <c r="B121" t="s">
        <v>916</v>
      </c>
      <c r="C121" t="s">
        <v>917</v>
      </c>
      <c r="D121" t="s">
        <v>27</v>
      </c>
      <c r="E121" t="s">
        <v>53</v>
      </c>
      <c r="F121" t="s">
        <v>401</v>
      </c>
      <c r="G121" t="s">
        <v>74</v>
      </c>
      <c r="H121" t="s">
        <v>431</v>
      </c>
      <c r="I121" t="s">
        <v>69</v>
      </c>
      <c r="J121" s="12">
        <v>196.19</v>
      </c>
      <c r="K121">
        <v>1</v>
      </c>
      <c r="L121" s="12">
        <v>196.19</v>
      </c>
      <c r="M121" s="13">
        <v>63</v>
      </c>
      <c r="N121" s="13">
        <v>171</v>
      </c>
      <c r="O121" s="13">
        <v>379</v>
      </c>
      <c r="P121" s="13">
        <v>489</v>
      </c>
      <c r="Q121" s="12">
        <v>33548.49</v>
      </c>
      <c r="R121" s="14">
        <f t="shared" si="2"/>
        <v>1.57894736842105</v>
      </c>
      <c r="S121">
        <v>125</v>
      </c>
      <c r="T121" s="15">
        <f t="shared" si="3"/>
        <v>21.9298245614035</v>
      </c>
      <c r="U121" t="s">
        <v>218</v>
      </c>
      <c r="V121">
        <v>30</v>
      </c>
      <c r="W121">
        <v>4.8</v>
      </c>
      <c r="X121" s="16">
        <v>0.0489</v>
      </c>
      <c r="Y121" s="17">
        <v>46003</v>
      </c>
      <c r="Z121" t="s">
        <v>219</v>
      </c>
      <c r="AB121" s="18">
        <v>0.117647058823529</v>
      </c>
      <c r="AC121" t="s">
        <v>918</v>
      </c>
      <c r="AD121" t="s">
        <v>283</v>
      </c>
      <c r="AE121" t="s">
        <v>879</v>
      </c>
      <c r="AF121" t="s">
        <v>891</v>
      </c>
      <c r="AG121" t="s">
        <v>224</v>
      </c>
      <c r="AH121" t="s">
        <v>919</v>
      </c>
      <c r="AI121" t="s">
        <v>225</v>
      </c>
      <c r="AJ121">
        <v>1</v>
      </c>
    </row>
    <row r="122" ht="23" customHeight="1" spans="1:36">
      <c r="A122">
        <v>119</v>
      </c>
      <c r="B122" t="s">
        <v>920</v>
      </c>
      <c r="C122" t="s">
        <v>921</v>
      </c>
      <c r="D122" t="s">
        <v>27</v>
      </c>
      <c r="E122" t="s">
        <v>59</v>
      </c>
      <c r="F122" t="s">
        <v>922</v>
      </c>
      <c r="G122" t="s">
        <v>923</v>
      </c>
      <c r="H122" t="s">
        <v>924</v>
      </c>
      <c r="I122" t="s">
        <v>68</v>
      </c>
      <c r="J122" s="12">
        <v>363</v>
      </c>
      <c r="K122">
        <v>1</v>
      </c>
      <c r="L122" s="12">
        <v>363</v>
      </c>
      <c r="M122" s="13">
        <v>36</v>
      </c>
      <c r="N122" s="13">
        <v>169</v>
      </c>
      <c r="O122" s="13">
        <v>543</v>
      </c>
      <c r="P122" s="13">
        <v>809</v>
      </c>
      <c r="Q122" s="12">
        <v>61347</v>
      </c>
      <c r="R122" s="14">
        <f t="shared" si="2"/>
        <v>0.912933220625528</v>
      </c>
      <c r="S122">
        <v>17</v>
      </c>
      <c r="T122" s="15">
        <f t="shared" si="3"/>
        <v>3.01775147928994</v>
      </c>
      <c r="U122" t="s">
        <v>218</v>
      </c>
      <c r="V122">
        <v>107</v>
      </c>
      <c r="W122">
        <v>4.7</v>
      </c>
      <c r="X122" s="16">
        <v>0.0524</v>
      </c>
      <c r="Y122" s="17">
        <v>46063</v>
      </c>
      <c r="Z122" t="s">
        <v>219</v>
      </c>
      <c r="AB122" s="18">
        <v>-0.280851063829787</v>
      </c>
      <c r="AC122" t="s">
        <v>756</v>
      </c>
      <c r="AD122" t="s">
        <v>388</v>
      </c>
      <c r="AE122" t="s">
        <v>509</v>
      </c>
      <c r="AF122" t="s">
        <v>496</v>
      </c>
      <c r="AG122" t="s">
        <v>224</v>
      </c>
      <c r="AH122" t="s">
        <v>925</v>
      </c>
      <c r="AI122" t="s">
        <v>225</v>
      </c>
      <c r="AJ122">
        <v>1</v>
      </c>
    </row>
    <row r="123" ht="23" customHeight="1" spans="1:36">
      <c r="A123">
        <v>120</v>
      </c>
      <c r="B123" t="s">
        <v>926</v>
      </c>
      <c r="C123" t="s">
        <v>927</v>
      </c>
      <c r="D123" t="s">
        <v>27</v>
      </c>
      <c r="E123" t="s">
        <v>59</v>
      </c>
      <c r="F123" t="s">
        <v>928</v>
      </c>
      <c r="G123" t="s">
        <v>929</v>
      </c>
      <c r="H123" t="s">
        <v>930</v>
      </c>
      <c r="I123" t="s">
        <v>68</v>
      </c>
      <c r="J123" s="12">
        <v>369.48</v>
      </c>
      <c r="K123">
        <v>2</v>
      </c>
      <c r="L123" s="12">
        <v>184.74</v>
      </c>
      <c r="M123" s="13">
        <v>29</v>
      </c>
      <c r="N123" s="13">
        <v>169</v>
      </c>
      <c r="O123" s="13">
        <v>242</v>
      </c>
      <c r="P123" s="13">
        <v>460</v>
      </c>
      <c r="Q123" s="12">
        <v>64659</v>
      </c>
      <c r="R123" s="14">
        <f t="shared" si="2"/>
        <v>0.73541842772612</v>
      </c>
      <c r="S123">
        <v>260</v>
      </c>
      <c r="T123" s="15">
        <f t="shared" si="3"/>
        <v>46.1538461538462</v>
      </c>
      <c r="U123" t="s">
        <v>218</v>
      </c>
      <c r="V123">
        <v>122</v>
      </c>
      <c r="W123">
        <v>4.9</v>
      </c>
      <c r="X123" s="16">
        <v>0.0255</v>
      </c>
      <c r="Y123" s="17">
        <v>45986</v>
      </c>
      <c r="Z123" t="s">
        <v>219</v>
      </c>
      <c r="AB123" s="18">
        <v>1.31506849315068</v>
      </c>
      <c r="AC123" t="s">
        <v>299</v>
      </c>
      <c r="AD123" t="s">
        <v>931</v>
      </c>
      <c r="AE123" t="s">
        <v>862</v>
      </c>
      <c r="AF123" t="s">
        <v>519</v>
      </c>
      <c r="AG123" t="s">
        <v>224</v>
      </c>
      <c r="AH123" t="s">
        <v>932</v>
      </c>
      <c r="AI123" t="s">
        <v>225</v>
      </c>
      <c r="AJ123">
        <v>1</v>
      </c>
    </row>
    <row r="124" ht="23" customHeight="1" spans="1:36">
      <c r="A124">
        <v>121</v>
      </c>
      <c r="B124" t="s">
        <v>933</v>
      </c>
      <c r="C124" t="s">
        <v>934</v>
      </c>
      <c r="D124" t="s">
        <v>19</v>
      </c>
      <c r="E124" t="s">
        <v>56</v>
      </c>
      <c r="F124" t="s">
        <v>153</v>
      </c>
      <c r="G124" t="s">
        <v>76</v>
      </c>
      <c r="H124" t="s">
        <v>381</v>
      </c>
      <c r="I124" t="s">
        <v>69</v>
      </c>
      <c r="J124" s="12">
        <v>246.1</v>
      </c>
      <c r="K124">
        <v>4</v>
      </c>
      <c r="L124" s="12">
        <v>61.52</v>
      </c>
      <c r="M124" s="13">
        <v>37</v>
      </c>
      <c r="N124" s="13">
        <v>167</v>
      </c>
      <c r="O124" s="13">
        <v>573</v>
      </c>
      <c r="P124" s="13">
        <v>745</v>
      </c>
      <c r="Q124" s="12">
        <v>43313.6</v>
      </c>
      <c r="R124" s="14">
        <f t="shared" si="2"/>
        <v>0.949529512403764</v>
      </c>
      <c r="S124">
        <v>180</v>
      </c>
      <c r="T124" s="15">
        <f t="shared" si="3"/>
        <v>32.3353293413174</v>
      </c>
      <c r="U124" t="s">
        <v>218</v>
      </c>
      <c r="V124">
        <v>190</v>
      </c>
      <c r="W124">
        <v>4.8</v>
      </c>
      <c r="X124" s="16">
        <v>0.0492</v>
      </c>
      <c r="Y124" s="17">
        <v>46127</v>
      </c>
      <c r="Z124" t="s">
        <v>228</v>
      </c>
      <c r="AA124">
        <v>20</v>
      </c>
      <c r="AB124" s="18">
        <v>-0.286324786324786</v>
      </c>
      <c r="AC124" t="s">
        <v>529</v>
      </c>
      <c r="AD124" t="s">
        <v>740</v>
      </c>
      <c r="AE124" t="s">
        <v>655</v>
      </c>
      <c r="AF124" t="s">
        <v>512</v>
      </c>
      <c r="AG124" t="s">
        <v>224</v>
      </c>
      <c r="AH124" t="s">
        <v>935</v>
      </c>
      <c r="AI124" t="s">
        <v>225</v>
      </c>
      <c r="AJ124">
        <v>1</v>
      </c>
    </row>
    <row r="125" ht="23" customHeight="1" spans="1:36">
      <c r="A125">
        <v>122</v>
      </c>
      <c r="B125" t="s">
        <v>936</v>
      </c>
      <c r="C125" t="s">
        <v>937</v>
      </c>
      <c r="D125" t="s">
        <v>30</v>
      </c>
      <c r="E125" t="s">
        <v>50</v>
      </c>
      <c r="F125" t="s">
        <v>309</v>
      </c>
      <c r="G125" t="s">
        <v>75</v>
      </c>
      <c r="H125" t="s">
        <v>938</v>
      </c>
      <c r="I125" t="s">
        <v>68</v>
      </c>
      <c r="J125" s="12">
        <v>136.29</v>
      </c>
      <c r="K125">
        <v>1</v>
      </c>
      <c r="L125" s="12">
        <v>136.29</v>
      </c>
      <c r="M125" s="13">
        <v>40</v>
      </c>
      <c r="N125" s="13">
        <v>166</v>
      </c>
      <c r="O125" s="13">
        <v>349</v>
      </c>
      <c r="P125" s="13">
        <v>4443</v>
      </c>
      <c r="Q125" s="12">
        <v>22624.14</v>
      </c>
      <c r="R125" s="14">
        <f t="shared" si="2"/>
        <v>1.03270223752151</v>
      </c>
      <c r="S125">
        <v>115</v>
      </c>
      <c r="T125" s="15">
        <f t="shared" si="3"/>
        <v>20.7831325301205</v>
      </c>
      <c r="U125" t="s">
        <v>218</v>
      </c>
      <c r="V125">
        <v>447</v>
      </c>
      <c r="W125">
        <v>4.6</v>
      </c>
      <c r="X125" s="16">
        <v>0.056</v>
      </c>
      <c r="Y125" s="17">
        <v>45140</v>
      </c>
      <c r="Z125" t="s">
        <v>219</v>
      </c>
      <c r="AB125" s="18">
        <v>0.509090909090909</v>
      </c>
      <c r="AC125" t="s">
        <v>939</v>
      </c>
      <c r="AD125" t="s">
        <v>332</v>
      </c>
      <c r="AE125" t="s">
        <v>221</v>
      </c>
      <c r="AF125" t="s">
        <v>321</v>
      </c>
      <c r="AG125" t="s">
        <v>224</v>
      </c>
      <c r="AH125" t="s">
        <v>940</v>
      </c>
      <c r="AI125" t="s">
        <v>225</v>
      </c>
      <c r="AJ125">
        <v>0</v>
      </c>
    </row>
    <row r="126" ht="23" customHeight="1" spans="1:36">
      <c r="A126">
        <v>123</v>
      </c>
      <c r="B126" t="s">
        <v>941</v>
      </c>
      <c r="C126" t="s">
        <v>942</v>
      </c>
      <c r="D126" t="s">
        <v>19</v>
      </c>
      <c r="E126" t="s">
        <v>53</v>
      </c>
      <c r="F126" t="s">
        <v>544</v>
      </c>
      <c r="G126" t="s">
        <v>80</v>
      </c>
      <c r="H126" t="s">
        <v>545</v>
      </c>
      <c r="I126" t="s">
        <v>69</v>
      </c>
      <c r="J126" s="12">
        <v>167.8</v>
      </c>
      <c r="K126">
        <v>1</v>
      </c>
      <c r="L126" s="12">
        <v>167.8</v>
      </c>
      <c r="M126" s="13">
        <v>56</v>
      </c>
      <c r="N126" s="13">
        <v>166</v>
      </c>
      <c r="O126" s="13">
        <v>482</v>
      </c>
      <c r="P126" s="13">
        <v>913</v>
      </c>
      <c r="Q126" s="12">
        <v>27854.8</v>
      </c>
      <c r="R126" s="14">
        <f t="shared" si="2"/>
        <v>1.44578313253012</v>
      </c>
      <c r="S126">
        <v>21</v>
      </c>
      <c r="T126" s="15">
        <f t="shared" si="3"/>
        <v>3.79518072289157</v>
      </c>
      <c r="U126" t="s">
        <v>218</v>
      </c>
      <c r="V126">
        <v>42</v>
      </c>
      <c r="W126">
        <v>4.7</v>
      </c>
      <c r="X126" s="16">
        <v>0.5</v>
      </c>
      <c r="Y126" s="17">
        <v>45701</v>
      </c>
      <c r="Z126" t="s">
        <v>219</v>
      </c>
      <c r="AB126" s="18">
        <v>0.824175824175824</v>
      </c>
      <c r="AC126" t="s">
        <v>643</v>
      </c>
      <c r="AD126" t="s">
        <v>221</v>
      </c>
      <c r="AE126" t="s">
        <v>655</v>
      </c>
      <c r="AF126" t="s">
        <v>572</v>
      </c>
      <c r="AG126" t="s">
        <v>224</v>
      </c>
      <c r="AH126" t="s">
        <v>943</v>
      </c>
      <c r="AI126" t="s">
        <v>225</v>
      </c>
      <c r="AJ126">
        <v>1</v>
      </c>
    </row>
    <row r="127" ht="23" customHeight="1" spans="1:36">
      <c r="A127">
        <v>124</v>
      </c>
      <c r="B127" t="s">
        <v>944</v>
      </c>
      <c r="C127" t="s">
        <v>945</v>
      </c>
      <c r="D127" t="s">
        <v>19</v>
      </c>
      <c r="E127" t="s">
        <v>47</v>
      </c>
      <c r="F127" t="s">
        <v>808</v>
      </c>
      <c r="G127" t="s">
        <v>809</v>
      </c>
      <c r="H127" t="s">
        <v>946</v>
      </c>
      <c r="I127" t="s">
        <v>69</v>
      </c>
      <c r="J127" s="12">
        <v>98.1</v>
      </c>
      <c r="K127">
        <v>1</v>
      </c>
      <c r="L127" s="12">
        <v>98.1</v>
      </c>
      <c r="M127" s="13">
        <v>54</v>
      </c>
      <c r="N127" s="13">
        <v>165</v>
      </c>
      <c r="O127" s="13">
        <v>182</v>
      </c>
      <c r="P127" s="13">
        <v>188</v>
      </c>
      <c r="Q127" s="12">
        <v>16873.2</v>
      </c>
      <c r="R127" s="14">
        <f t="shared" si="2"/>
        <v>1.4025974025974</v>
      </c>
      <c r="S127">
        <v>111</v>
      </c>
      <c r="T127" s="15">
        <f t="shared" si="3"/>
        <v>20.1818181818182</v>
      </c>
      <c r="U127" t="s">
        <v>218</v>
      </c>
      <c r="V127">
        <v>3</v>
      </c>
      <c r="W127">
        <v>5</v>
      </c>
      <c r="X127" s="16">
        <v>0.1044</v>
      </c>
      <c r="Y127" s="17">
        <v>46249</v>
      </c>
      <c r="Z127" t="s">
        <v>241</v>
      </c>
      <c r="AB127" s="18">
        <v>8.70588235294118</v>
      </c>
      <c r="AC127" t="s">
        <v>947</v>
      </c>
      <c r="AD127" t="s">
        <v>272</v>
      </c>
      <c r="AE127" t="s">
        <v>450</v>
      </c>
      <c r="AF127" t="s">
        <v>348</v>
      </c>
      <c r="AG127" t="s">
        <v>224</v>
      </c>
      <c r="AH127" t="s">
        <v>948</v>
      </c>
      <c r="AI127" t="s">
        <v>225</v>
      </c>
      <c r="AJ127">
        <v>1</v>
      </c>
    </row>
    <row r="128" ht="23" customHeight="1" spans="1:36">
      <c r="A128">
        <v>125</v>
      </c>
      <c r="B128" t="s">
        <v>949</v>
      </c>
      <c r="C128" t="s">
        <v>950</v>
      </c>
      <c r="D128" t="s">
        <v>19</v>
      </c>
      <c r="E128" t="s">
        <v>56</v>
      </c>
      <c r="F128" t="s">
        <v>153</v>
      </c>
      <c r="G128" t="s">
        <v>76</v>
      </c>
      <c r="H128" t="s">
        <v>381</v>
      </c>
      <c r="I128" t="s">
        <v>69</v>
      </c>
      <c r="J128" s="12">
        <v>296.87</v>
      </c>
      <c r="K128">
        <v>3</v>
      </c>
      <c r="L128" s="12">
        <v>98.96</v>
      </c>
      <c r="M128" s="13">
        <v>34</v>
      </c>
      <c r="N128" s="13">
        <v>164</v>
      </c>
      <c r="O128" s="13">
        <v>662</v>
      </c>
      <c r="P128" s="13">
        <v>843</v>
      </c>
      <c r="Q128" s="12">
        <v>48686.68</v>
      </c>
      <c r="R128" s="14">
        <f t="shared" si="2"/>
        <v>0.888501742160279</v>
      </c>
      <c r="S128">
        <v>312</v>
      </c>
      <c r="T128" s="15">
        <f t="shared" si="3"/>
        <v>57.0731707317073</v>
      </c>
      <c r="U128" t="s">
        <v>218</v>
      </c>
      <c r="V128">
        <v>161</v>
      </c>
      <c r="W128">
        <v>4.8</v>
      </c>
      <c r="X128" s="16">
        <v>0.0827</v>
      </c>
      <c r="Y128" s="17">
        <v>46148</v>
      </c>
      <c r="Z128" t="s">
        <v>228</v>
      </c>
      <c r="AA128">
        <v>18</v>
      </c>
      <c r="AB128" s="18">
        <v>-0.207729468599034</v>
      </c>
      <c r="AC128" t="s">
        <v>951</v>
      </c>
      <c r="AD128" t="s">
        <v>325</v>
      </c>
      <c r="AE128" t="s">
        <v>236</v>
      </c>
      <c r="AF128" t="s">
        <v>952</v>
      </c>
      <c r="AG128" t="s">
        <v>224</v>
      </c>
      <c r="AH128" t="s">
        <v>953</v>
      </c>
      <c r="AI128" t="s">
        <v>225</v>
      </c>
      <c r="AJ128">
        <v>1</v>
      </c>
    </row>
    <row r="129" ht="23" customHeight="1" spans="1:36">
      <c r="A129">
        <v>126</v>
      </c>
      <c r="B129" t="s">
        <v>954</v>
      </c>
      <c r="C129" t="s">
        <v>955</v>
      </c>
      <c r="D129" t="s">
        <v>19</v>
      </c>
      <c r="E129" t="s">
        <v>56</v>
      </c>
      <c r="F129" t="s">
        <v>454</v>
      </c>
      <c r="G129" t="s">
        <v>455</v>
      </c>
      <c r="H129" t="s">
        <v>956</v>
      </c>
      <c r="I129" t="s">
        <v>69</v>
      </c>
      <c r="J129" s="12">
        <v>252.99</v>
      </c>
      <c r="K129">
        <v>1</v>
      </c>
      <c r="L129" s="12">
        <v>252.99</v>
      </c>
      <c r="M129" s="13">
        <v>14</v>
      </c>
      <c r="N129" s="13">
        <v>163</v>
      </c>
      <c r="O129" s="13">
        <v>477</v>
      </c>
      <c r="P129" s="13">
        <v>1214</v>
      </c>
      <c r="Q129" s="12">
        <v>41237.37</v>
      </c>
      <c r="R129" s="14">
        <f t="shared" si="2"/>
        <v>0.368098159509202</v>
      </c>
      <c r="S129">
        <v>53</v>
      </c>
      <c r="T129" s="15">
        <f t="shared" si="3"/>
        <v>9.75460122699386</v>
      </c>
      <c r="U129" t="s">
        <v>218</v>
      </c>
      <c r="V129">
        <v>33</v>
      </c>
      <c r="W129">
        <v>4.5</v>
      </c>
      <c r="X129" s="16">
        <v>0.1476</v>
      </c>
      <c r="Y129" s="17">
        <v>45637</v>
      </c>
      <c r="Z129" t="s">
        <v>219</v>
      </c>
      <c r="AB129" s="18">
        <v>-0.189054726368159</v>
      </c>
      <c r="AC129" t="s">
        <v>957</v>
      </c>
      <c r="AD129" t="s">
        <v>389</v>
      </c>
      <c r="AE129" t="s">
        <v>747</v>
      </c>
      <c r="AF129" t="s">
        <v>631</v>
      </c>
      <c r="AG129" t="s">
        <v>224</v>
      </c>
      <c r="AH129" t="s">
        <v>958</v>
      </c>
      <c r="AI129" t="s">
        <v>225</v>
      </c>
      <c r="AJ129">
        <v>1</v>
      </c>
    </row>
    <row r="130" ht="23" customHeight="1" spans="1:36">
      <c r="A130">
        <v>127</v>
      </c>
      <c r="B130" t="s">
        <v>959</v>
      </c>
      <c r="C130" t="s">
        <v>960</v>
      </c>
      <c r="D130" t="s">
        <v>30</v>
      </c>
      <c r="E130" t="s">
        <v>53</v>
      </c>
      <c r="F130" t="s">
        <v>153</v>
      </c>
      <c r="G130" t="s">
        <v>76</v>
      </c>
      <c r="H130" t="s">
        <v>961</v>
      </c>
      <c r="I130" t="s">
        <v>68</v>
      </c>
      <c r="J130" s="12">
        <v>199.66</v>
      </c>
      <c r="K130">
        <v>6</v>
      </c>
      <c r="L130" s="12">
        <v>33.28</v>
      </c>
      <c r="M130" s="13">
        <v>46</v>
      </c>
      <c r="N130" s="13">
        <v>163</v>
      </c>
      <c r="O130" s="13">
        <v>171</v>
      </c>
      <c r="P130" s="13">
        <v>1828</v>
      </c>
      <c r="Q130" s="12">
        <v>32544.58</v>
      </c>
      <c r="R130" s="14">
        <f t="shared" si="2"/>
        <v>1.20946538124452</v>
      </c>
      <c r="S130">
        <v>48</v>
      </c>
      <c r="T130" s="15">
        <f t="shared" si="3"/>
        <v>8.83435582822086</v>
      </c>
      <c r="U130" t="s">
        <v>218</v>
      </c>
      <c r="V130">
        <v>441</v>
      </c>
      <c r="W130">
        <v>4.5</v>
      </c>
      <c r="X130" s="16">
        <v>0.0666</v>
      </c>
      <c r="Y130" s="17">
        <v>45372</v>
      </c>
      <c r="Z130" t="s">
        <v>219</v>
      </c>
      <c r="AA130">
        <v>13</v>
      </c>
      <c r="AB130" s="18">
        <v>39.75</v>
      </c>
      <c r="AC130" t="s">
        <v>556</v>
      </c>
      <c r="AD130" t="s">
        <v>319</v>
      </c>
      <c r="AE130" t="s">
        <v>378</v>
      </c>
      <c r="AF130" t="s">
        <v>854</v>
      </c>
      <c r="AG130" t="s">
        <v>224</v>
      </c>
      <c r="AH130" t="s">
        <v>962</v>
      </c>
      <c r="AI130" t="s">
        <v>225</v>
      </c>
      <c r="AJ130">
        <v>0</v>
      </c>
    </row>
    <row r="131" ht="23" customHeight="1" spans="1:36">
      <c r="A131">
        <v>128</v>
      </c>
      <c r="B131" t="s">
        <v>963</v>
      </c>
      <c r="C131" t="s">
        <v>964</v>
      </c>
      <c r="D131" t="s">
        <v>19</v>
      </c>
      <c r="E131" t="s">
        <v>56</v>
      </c>
      <c r="F131" t="s">
        <v>168</v>
      </c>
      <c r="G131" t="s">
        <v>605</v>
      </c>
      <c r="H131" t="s">
        <v>606</v>
      </c>
      <c r="I131" t="s">
        <v>69</v>
      </c>
      <c r="J131" s="12">
        <v>279.83</v>
      </c>
      <c r="K131">
        <v>1</v>
      </c>
      <c r="L131" s="12">
        <v>279.83</v>
      </c>
      <c r="M131" s="13">
        <v>8</v>
      </c>
      <c r="N131" s="13">
        <v>161</v>
      </c>
      <c r="O131" s="13">
        <v>259</v>
      </c>
      <c r="P131" s="13">
        <v>259</v>
      </c>
      <c r="Q131" s="12">
        <v>45052.63</v>
      </c>
      <c r="R131" s="14">
        <f t="shared" si="2"/>
        <v>0.212954747116238</v>
      </c>
      <c r="S131">
        <v>50</v>
      </c>
      <c r="T131" s="15">
        <f t="shared" si="3"/>
        <v>9.3167701863354</v>
      </c>
      <c r="U131" t="s">
        <v>218</v>
      </c>
      <c r="V131">
        <v>6</v>
      </c>
      <c r="W131">
        <v>5</v>
      </c>
      <c r="X131" s="16">
        <v>0.1642</v>
      </c>
      <c r="Y131" s="17">
        <v>46237</v>
      </c>
      <c r="Z131" t="s">
        <v>241</v>
      </c>
      <c r="AB131" s="18">
        <v>0.518867924528302</v>
      </c>
      <c r="AC131" t="s">
        <v>965</v>
      </c>
      <c r="AD131" t="s">
        <v>326</v>
      </c>
      <c r="AE131" t="s">
        <v>262</v>
      </c>
      <c r="AF131" t="s">
        <v>327</v>
      </c>
      <c r="AG131" t="s">
        <v>224</v>
      </c>
      <c r="AH131" t="s">
        <v>966</v>
      </c>
      <c r="AI131" t="s">
        <v>225</v>
      </c>
      <c r="AJ131">
        <v>1</v>
      </c>
    </row>
    <row r="132" ht="23" customHeight="1" spans="1:36">
      <c r="A132">
        <v>129</v>
      </c>
      <c r="B132" t="s">
        <v>967</v>
      </c>
      <c r="C132" t="s">
        <v>968</v>
      </c>
      <c r="D132" t="s">
        <v>36</v>
      </c>
      <c r="E132" t="s">
        <v>56</v>
      </c>
      <c r="F132" t="s">
        <v>969</v>
      </c>
      <c r="G132" t="s">
        <v>969</v>
      </c>
      <c r="H132" t="s">
        <v>970</v>
      </c>
      <c r="I132" t="s">
        <v>69</v>
      </c>
      <c r="J132" s="12">
        <v>291.38</v>
      </c>
      <c r="K132">
        <v>8</v>
      </c>
      <c r="L132" s="12">
        <v>36.42</v>
      </c>
      <c r="M132" s="13">
        <v>32</v>
      </c>
      <c r="N132" s="13">
        <v>160</v>
      </c>
      <c r="O132" s="13">
        <v>297</v>
      </c>
      <c r="P132" s="13">
        <v>369</v>
      </c>
      <c r="Q132" s="12">
        <v>46620.8</v>
      </c>
      <c r="R132" s="14">
        <f t="shared" ref="R132:R195" si="4">IFERROR(M132*30/(N132*7),0)</f>
        <v>0.857142857142857</v>
      </c>
      <c r="S132">
        <v>91</v>
      </c>
      <c r="T132" s="15">
        <f t="shared" ref="T132:T195" si="5">IFERROR(S132*30/N132,0)</f>
        <v>17.0625</v>
      </c>
      <c r="U132" t="s">
        <v>218</v>
      </c>
      <c r="V132">
        <v>21</v>
      </c>
      <c r="W132">
        <v>4.7</v>
      </c>
      <c r="X132" s="16">
        <v>0.0255</v>
      </c>
      <c r="Y132" s="17">
        <v>46085</v>
      </c>
      <c r="Z132" t="s">
        <v>219</v>
      </c>
      <c r="AB132" s="18">
        <v>2.40425531914894</v>
      </c>
      <c r="AC132" t="s">
        <v>630</v>
      </c>
      <c r="AD132" t="s">
        <v>305</v>
      </c>
      <c r="AE132" t="s">
        <v>863</v>
      </c>
      <c r="AF132" t="s">
        <v>679</v>
      </c>
      <c r="AG132" t="s">
        <v>224</v>
      </c>
      <c r="AH132" t="s">
        <v>971</v>
      </c>
      <c r="AI132" t="s">
        <v>225</v>
      </c>
      <c r="AJ132">
        <v>0</v>
      </c>
    </row>
    <row r="133" ht="23" customHeight="1" spans="1:36">
      <c r="A133">
        <v>130</v>
      </c>
      <c r="B133" t="s">
        <v>972</v>
      </c>
      <c r="C133" t="s">
        <v>973</v>
      </c>
      <c r="D133" t="s">
        <v>19</v>
      </c>
      <c r="E133" t="s">
        <v>53</v>
      </c>
      <c r="F133" t="s">
        <v>401</v>
      </c>
      <c r="G133" t="s">
        <v>74</v>
      </c>
      <c r="H133" t="s">
        <v>431</v>
      </c>
      <c r="I133" t="s">
        <v>69</v>
      </c>
      <c r="J133" s="12">
        <v>159.42</v>
      </c>
      <c r="K133">
        <v>1</v>
      </c>
      <c r="L133" s="12">
        <v>159.42</v>
      </c>
      <c r="M133" s="13">
        <v>24</v>
      </c>
      <c r="N133" s="13">
        <v>157</v>
      </c>
      <c r="O133" s="13">
        <v>178</v>
      </c>
      <c r="P133" s="13">
        <v>751</v>
      </c>
      <c r="Q133" s="12">
        <v>25985.46</v>
      </c>
      <c r="R133" s="14">
        <f t="shared" si="4"/>
        <v>0.655141037306642</v>
      </c>
      <c r="S133">
        <v>224</v>
      </c>
      <c r="T133" s="15">
        <f t="shared" si="5"/>
        <v>42.8025477707006</v>
      </c>
      <c r="U133" t="s">
        <v>218</v>
      </c>
      <c r="V133">
        <v>40</v>
      </c>
      <c r="W133">
        <v>4.6</v>
      </c>
      <c r="X133" s="16">
        <v>0.0703</v>
      </c>
      <c r="Y133" s="17">
        <v>45784</v>
      </c>
      <c r="Z133" t="s">
        <v>219</v>
      </c>
      <c r="AB133" s="18">
        <v>25.1666666666667</v>
      </c>
      <c r="AC133" t="s">
        <v>974</v>
      </c>
      <c r="AD133" t="s">
        <v>347</v>
      </c>
      <c r="AE133" t="s">
        <v>518</v>
      </c>
      <c r="AF133" t="s">
        <v>230</v>
      </c>
      <c r="AG133" t="s">
        <v>224</v>
      </c>
      <c r="AH133" t="s">
        <v>975</v>
      </c>
      <c r="AI133" t="s">
        <v>225</v>
      </c>
      <c r="AJ133">
        <v>1</v>
      </c>
    </row>
    <row r="134" ht="23" customHeight="1" spans="1:36">
      <c r="A134">
        <v>131</v>
      </c>
      <c r="B134" t="s">
        <v>976</v>
      </c>
      <c r="C134" t="s">
        <v>977</v>
      </c>
      <c r="D134" t="s">
        <v>19</v>
      </c>
      <c r="E134" t="s">
        <v>56</v>
      </c>
      <c r="F134" t="s">
        <v>978</v>
      </c>
      <c r="G134" t="s">
        <v>979</v>
      </c>
      <c r="H134" t="s">
        <v>980</v>
      </c>
      <c r="I134" t="s">
        <v>68</v>
      </c>
      <c r="J134" s="12">
        <v>225</v>
      </c>
      <c r="K134">
        <v>1</v>
      </c>
      <c r="L134" s="12">
        <v>225</v>
      </c>
      <c r="M134" s="13">
        <v>45</v>
      </c>
      <c r="N134" s="13">
        <v>156</v>
      </c>
      <c r="O134" s="13">
        <v>563</v>
      </c>
      <c r="P134" s="13">
        <v>9934</v>
      </c>
      <c r="Q134" s="12">
        <v>35100</v>
      </c>
      <c r="R134" s="14">
        <f t="shared" si="4"/>
        <v>1.23626373626374</v>
      </c>
      <c r="S134">
        <v>124</v>
      </c>
      <c r="T134" s="15">
        <f t="shared" si="5"/>
        <v>23.8461538461538</v>
      </c>
      <c r="U134" t="s">
        <v>218</v>
      </c>
      <c r="V134">
        <v>989</v>
      </c>
      <c r="W134">
        <v>4.6</v>
      </c>
      <c r="X134" s="16">
        <v>0.0941</v>
      </c>
      <c r="Y134" s="17">
        <v>45021</v>
      </c>
      <c r="Z134" t="s">
        <v>219</v>
      </c>
      <c r="AA134">
        <v>19</v>
      </c>
      <c r="AB134" s="18">
        <v>-0.227722772277228</v>
      </c>
      <c r="AC134" t="s">
        <v>347</v>
      </c>
      <c r="AD134" t="s">
        <v>481</v>
      </c>
      <c r="AE134" t="s">
        <v>981</v>
      </c>
      <c r="AF134" t="s">
        <v>251</v>
      </c>
      <c r="AG134" t="s">
        <v>224</v>
      </c>
      <c r="AH134" t="s">
        <v>982</v>
      </c>
      <c r="AI134" t="s">
        <v>225</v>
      </c>
      <c r="AJ134">
        <v>1</v>
      </c>
    </row>
    <row r="135" ht="23" customHeight="1" spans="1:36">
      <c r="A135">
        <v>132</v>
      </c>
      <c r="B135" t="s">
        <v>983</v>
      </c>
      <c r="C135" t="s">
        <v>984</v>
      </c>
      <c r="D135" t="s">
        <v>25</v>
      </c>
      <c r="E135" t="s">
        <v>56</v>
      </c>
      <c r="F135" t="s">
        <v>985</v>
      </c>
      <c r="G135" t="s">
        <v>986</v>
      </c>
      <c r="H135" t="s">
        <v>987</v>
      </c>
      <c r="I135" t="s">
        <v>68</v>
      </c>
      <c r="J135" s="12">
        <v>269.99</v>
      </c>
      <c r="K135">
        <v>1</v>
      </c>
      <c r="L135" s="12">
        <v>269.99</v>
      </c>
      <c r="M135" s="13">
        <v>1</v>
      </c>
      <c r="N135" s="13">
        <v>155</v>
      </c>
      <c r="O135" s="13">
        <v>199</v>
      </c>
      <c r="P135" s="13">
        <v>199</v>
      </c>
      <c r="Q135" s="12">
        <v>41848.45</v>
      </c>
      <c r="R135" s="14">
        <f t="shared" si="4"/>
        <v>0.0276497695852535</v>
      </c>
      <c r="S135">
        <v>2</v>
      </c>
      <c r="T135" s="15">
        <f t="shared" si="5"/>
        <v>0.387096774193548</v>
      </c>
      <c r="U135" t="s">
        <v>218</v>
      </c>
      <c r="V135">
        <v>7</v>
      </c>
      <c r="W135">
        <v>4.4</v>
      </c>
      <c r="X135" s="16">
        <v>0.0703</v>
      </c>
      <c r="Y135" s="17">
        <v>46233</v>
      </c>
      <c r="Z135" t="s">
        <v>241</v>
      </c>
      <c r="AB135" s="18">
        <v>1.87037037037037</v>
      </c>
      <c r="AC135" t="s">
        <v>988</v>
      </c>
      <c r="AD135" t="s">
        <v>564</v>
      </c>
      <c r="AE135" t="s">
        <v>707</v>
      </c>
      <c r="AF135" t="s">
        <v>989</v>
      </c>
      <c r="AG135" t="s">
        <v>224</v>
      </c>
      <c r="AH135" t="s">
        <v>990</v>
      </c>
      <c r="AI135" t="s">
        <v>225</v>
      </c>
      <c r="AJ135">
        <v>1</v>
      </c>
    </row>
    <row r="136" ht="23" customHeight="1" spans="1:36">
      <c r="A136">
        <v>133</v>
      </c>
      <c r="B136" t="s">
        <v>991</v>
      </c>
      <c r="C136" t="s">
        <v>992</v>
      </c>
      <c r="D136" t="s">
        <v>19</v>
      </c>
      <c r="E136" t="s">
        <v>50</v>
      </c>
      <c r="F136" t="s">
        <v>407</v>
      </c>
      <c r="G136" t="s">
        <v>72</v>
      </c>
      <c r="H136" t="s">
        <v>654</v>
      </c>
      <c r="I136" t="s">
        <v>68</v>
      </c>
      <c r="J136" s="12">
        <v>133.95</v>
      </c>
      <c r="K136">
        <v>1</v>
      </c>
      <c r="L136" s="12">
        <v>133.95</v>
      </c>
      <c r="M136" s="13">
        <v>29</v>
      </c>
      <c r="N136" s="13">
        <v>153</v>
      </c>
      <c r="O136" s="13">
        <v>215</v>
      </c>
      <c r="P136" s="13">
        <v>619</v>
      </c>
      <c r="Q136" s="12">
        <v>20494.35</v>
      </c>
      <c r="R136" s="14">
        <f t="shared" si="4"/>
        <v>0.812324929971989</v>
      </c>
      <c r="S136">
        <v>3</v>
      </c>
      <c r="T136" s="15">
        <f t="shared" si="5"/>
        <v>0.588235294117647</v>
      </c>
      <c r="U136" t="s">
        <v>218</v>
      </c>
      <c r="V136">
        <v>23</v>
      </c>
      <c r="W136">
        <v>4.8</v>
      </c>
      <c r="X136" s="16">
        <v>0.077</v>
      </c>
      <c r="Y136" s="17">
        <v>46050</v>
      </c>
      <c r="Z136" t="s">
        <v>219</v>
      </c>
      <c r="AB136" s="18">
        <v>2.12244897959184</v>
      </c>
      <c r="AC136" t="s">
        <v>325</v>
      </c>
      <c r="AD136" t="s">
        <v>236</v>
      </c>
      <c r="AE136" t="s">
        <v>473</v>
      </c>
      <c r="AF136" t="s">
        <v>491</v>
      </c>
      <c r="AG136" t="s">
        <v>224</v>
      </c>
      <c r="AH136" t="s">
        <v>993</v>
      </c>
      <c r="AI136" t="s">
        <v>225</v>
      </c>
      <c r="AJ136">
        <v>1</v>
      </c>
    </row>
    <row r="137" ht="23" customHeight="1" spans="1:36">
      <c r="A137">
        <v>134</v>
      </c>
      <c r="B137" t="s">
        <v>994</v>
      </c>
      <c r="C137" t="s">
        <v>995</v>
      </c>
      <c r="D137" t="s">
        <v>19</v>
      </c>
      <c r="E137" t="s">
        <v>47</v>
      </c>
      <c r="F137" t="s">
        <v>996</v>
      </c>
      <c r="G137" t="s">
        <v>997</v>
      </c>
      <c r="H137" t="s">
        <v>998</v>
      </c>
      <c r="I137" t="s">
        <v>68</v>
      </c>
      <c r="J137" s="12">
        <v>99</v>
      </c>
      <c r="K137">
        <v>4</v>
      </c>
      <c r="L137" s="12">
        <v>24.75</v>
      </c>
      <c r="M137" s="13">
        <v>61</v>
      </c>
      <c r="N137" s="13">
        <v>153</v>
      </c>
      <c r="O137" s="13">
        <v>298</v>
      </c>
      <c r="P137" s="13">
        <v>327</v>
      </c>
      <c r="Q137" s="12">
        <v>15147</v>
      </c>
      <c r="R137" s="14">
        <f t="shared" si="4"/>
        <v>1.70868347338936</v>
      </c>
      <c r="S137">
        <v>3</v>
      </c>
      <c r="T137" s="15">
        <f t="shared" si="5"/>
        <v>0.588235294117647</v>
      </c>
      <c r="U137" t="s">
        <v>999</v>
      </c>
      <c r="V137">
        <v>2</v>
      </c>
      <c r="W137">
        <v>5</v>
      </c>
      <c r="X137" s="16">
        <v>0.1739</v>
      </c>
      <c r="Y137" s="17">
        <v>45324</v>
      </c>
      <c r="Z137" t="s">
        <v>219</v>
      </c>
      <c r="AB137" s="18">
        <v>0.0851063829787234</v>
      </c>
      <c r="AF137" t="s">
        <v>572</v>
      </c>
      <c r="AG137" t="s">
        <v>224</v>
      </c>
      <c r="AH137" t="s">
        <v>1000</v>
      </c>
      <c r="AI137" t="s">
        <v>225</v>
      </c>
      <c r="AJ137">
        <v>1</v>
      </c>
    </row>
    <row r="138" ht="23" customHeight="1" spans="1:36">
      <c r="A138">
        <v>135</v>
      </c>
      <c r="B138" t="s">
        <v>1001</v>
      </c>
      <c r="C138" t="s">
        <v>1002</v>
      </c>
      <c r="D138" t="s">
        <v>19</v>
      </c>
      <c r="E138" t="s">
        <v>47</v>
      </c>
      <c r="F138" t="s">
        <v>102</v>
      </c>
      <c r="G138" t="s">
        <v>73</v>
      </c>
      <c r="H138" t="s">
        <v>227</v>
      </c>
      <c r="I138" t="s">
        <v>68</v>
      </c>
      <c r="J138" s="12">
        <v>89.28</v>
      </c>
      <c r="K138">
        <v>1</v>
      </c>
      <c r="L138" s="12">
        <v>89.28</v>
      </c>
      <c r="M138" s="13">
        <v>55</v>
      </c>
      <c r="N138" s="13">
        <v>152</v>
      </c>
      <c r="O138" s="13">
        <v>524</v>
      </c>
      <c r="P138" s="13">
        <v>705</v>
      </c>
      <c r="Q138" s="12">
        <v>14463.36</v>
      </c>
      <c r="R138" s="14">
        <f t="shared" si="4"/>
        <v>1.55075187969925</v>
      </c>
      <c r="S138">
        <v>164</v>
      </c>
      <c r="T138" s="15">
        <f t="shared" si="5"/>
        <v>32.3684210526316</v>
      </c>
      <c r="U138" t="s">
        <v>218</v>
      </c>
      <c r="V138">
        <v>292</v>
      </c>
      <c r="W138">
        <v>4.4</v>
      </c>
      <c r="X138" s="16">
        <v>0.0942</v>
      </c>
      <c r="Y138" s="17">
        <v>46149</v>
      </c>
      <c r="Z138" t="s">
        <v>228</v>
      </c>
      <c r="AA138">
        <v>12</v>
      </c>
      <c r="AB138" s="18">
        <v>-0.432835820895522</v>
      </c>
      <c r="AC138" t="s">
        <v>1003</v>
      </c>
      <c r="AD138" t="s">
        <v>243</v>
      </c>
      <c r="AE138" t="s">
        <v>347</v>
      </c>
      <c r="AF138" t="s">
        <v>327</v>
      </c>
      <c r="AG138" t="s">
        <v>224</v>
      </c>
      <c r="AH138" t="s">
        <v>1004</v>
      </c>
      <c r="AI138" t="s">
        <v>225</v>
      </c>
      <c r="AJ138">
        <v>1</v>
      </c>
    </row>
    <row r="139" ht="23" customHeight="1" spans="1:36">
      <c r="A139">
        <v>136</v>
      </c>
      <c r="B139" t="s">
        <v>1005</v>
      </c>
      <c r="C139" t="s">
        <v>1006</v>
      </c>
      <c r="D139" t="s">
        <v>19</v>
      </c>
      <c r="E139" t="s">
        <v>56</v>
      </c>
      <c r="F139" t="s">
        <v>309</v>
      </c>
      <c r="G139" t="s">
        <v>75</v>
      </c>
      <c r="H139" t="s">
        <v>1007</v>
      </c>
      <c r="I139" t="s">
        <v>69</v>
      </c>
      <c r="J139" s="12">
        <v>234.4</v>
      </c>
      <c r="K139">
        <v>1</v>
      </c>
      <c r="L139" s="12">
        <v>234.4</v>
      </c>
      <c r="M139" s="13">
        <v>102</v>
      </c>
      <c r="N139" s="13">
        <v>151</v>
      </c>
      <c r="O139" s="13">
        <v>484</v>
      </c>
      <c r="P139" s="13">
        <v>1412</v>
      </c>
      <c r="Q139" s="12">
        <v>35394.4</v>
      </c>
      <c r="R139" s="14">
        <f t="shared" si="4"/>
        <v>2.89498580889309</v>
      </c>
      <c r="S139">
        <v>58</v>
      </c>
      <c r="T139" s="15">
        <f t="shared" si="5"/>
        <v>11.523178807947</v>
      </c>
      <c r="U139" t="s">
        <v>218</v>
      </c>
      <c r="V139">
        <v>40</v>
      </c>
      <c r="W139">
        <v>4.2</v>
      </c>
      <c r="X139" s="16">
        <v>0.0874</v>
      </c>
      <c r="Y139" s="17">
        <v>45650</v>
      </c>
      <c r="Z139" t="s">
        <v>219</v>
      </c>
      <c r="AB139" s="18">
        <v>9.06666666666667</v>
      </c>
      <c r="AC139" t="s">
        <v>690</v>
      </c>
      <c r="AD139" t="s">
        <v>765</v>
      </c>
      <c r="AE139" t="s">
        <v>747</v>
      </c>
      <c r="AF139" t="s">
        <v>1008</v>
      </c>
      <c r="AG139" t="s">
        <v>224</v>
      </c>
      <c r="AH139" t="s">
        <v>1009</v>
      </c>
      <c r="AI139" t="s">
        <v>225</v>
      </c>
      <c r="AJ139">
        <v>1</v>
      </c>
    </row>
    <row r="140" ht="23" customHeight="1" spans="1:36">
      <c r="A140">
        <v>137</v>
      </c>
      <c r="B140" t="s">
        <v>1010</v>
      </c>
      <c r="C140" t="s">
        <v>1011</v>
      </c>
      <c r="D140" t="s">
        <v>36</v>
      </c>
      <c r="E140" t="s">
        <v>62</v>
      </c>
      <c r="F140" t="s">
        <v>1012</v>
      </c>
      <c r="G140" t="s">
        <v>1013</v>
      </c>
      <c r="H140" t="s">
        <v>1014</v>
      </c>
      <c r="I140" t="s">
        <v>69</v>
      </c>
      <c r="J140" s="12">
        <v>655.36</v>
      </c>
      <c r="K140">
        <v>10</v>
      </c>
      <c r="L140" s="12">
        <v>65.54</v>
      </c>
      <c r="M140" s="13">
        <v>39</v>
      </c>
      <c r="N140" s="13">
        <v>150</v>
      </c>
      <c r="O140" s="13">
        <v>352</v>
      </c>
      <c r="P140" s="13">
        <v>3176</v>
      </c>
      <c r="Q140" s="12">
        <v>102236.16</v>
      </c>
      <c r="R140" s="14">
        <f t="shared" si="4"/>
        <v>1.11428571428571</v>
      </c>
      <c r="S140">
        <v>185</v>
      </c>
      <c r="T140" s="15">
        <f t="shared" si="5"/>
        <v>37</v>
      </c>
      <c r="U140" t="s">
        <v>218</v>
      </c>
      <c r="V140">
        <v>263</v>
      </c>
      <c r="W140">
        <v>4.8</v>
      </c>
      <c r="X140" s="16">
        <v>0.0469</v>
      </c>
      <c r="Y140" s="17">
        <v>44488</v>
      </c>
      <c r="Z140" t="s">
        <v>219</v>
      </c>
      <c r="AB140" s="18">
        <v>0.282051282051282</v>
      </c>
      <c r="AC140" t="s">
        <v>288</v>
      </c>
      <c r="AD140" t="s">
        <v>1015</v>
      </c>
      <c r="AE140" t="s">
        <v>1016</v>
      </c>
      <c r="AF140" t="s">
        <v>1017</v>
      </c>
      <c r="AG140" t="s">
        <v>224</v>
      </c>
      <c r="AH140" t="s">
        <v>1018</v>
      </c>
      <c r="AI140" t="s">
        <v>225</v>
      </c>
      <c r="AJ140">
        <v>0</v>
      </c>
    </row>
    <row r="141" ht="23" customHeight="1" spans="1:36">
      <c r="A141">
        <v>138</v>
      </c>
      <c r="B141" t="s">
        <v>1019</v>
      </c>
      <c r="C141" t="s">
        <v>1020</v>
      </c>
      <c r="D141" t="s">
        <v>19</v>
      </c>
      <c r="E141" t="s">
        <v>50</v>
      </c>
      <c r="F141" t="s">
        <v>407</v>
      </c>
      <c r="G141" t="s">
        <v>72</v>
      </c>
      <c r="H141" t="s">
        <v>654</v>
      </c>
      <c r="I141" t="s">
        <v>68</v>
      </c>
      <c r="J141" s="12">
        <v>114.86</v>
      </c>
      <c r="K141">
        <v>1</v>
      </c>
      <c r="L141" s="12">
        <v>114.86</v>
      </c>
      <c r="M141" s="13">
        <v>37</v>
      </c>
      <c r="N141" s="13">
        <v>150</v>
      </c>
      <c r="O141" s="13">
        <v>294</v>
      </c>
      <c r="P141" s="13">
        <v>1407</v>
      </c>
      <c r="Q141" s="12">
        <v>17229</v>
      </c>
      <c r="R141" s="14">
        <f t="shared" si="4"/>
        <v>1.05714285714286</v>
      </c>
      <c r="S141">
        <v>19</v>
      </c>
      <c r="T141" s="15">
        <f t="shared" si="5"/>
        <v>3.8</v>
      </c>
      <c r="U141" t="s">
        <v>218</v>
      </c>
      <c r="V141">
        <v>94</v>
      </c>
      <c r="W141">
        <v>4.9</v>
      </c>
      <c r="X141" s="16">
        <v>0.0881</v>
      </c>
      <c r="Y141" s="17">
        <v>46013</v>
      </c>
      <c r="Z141" t="s">
        <v>219</v>
      </c>
      <c r="AB141" s="18">
        <v>0.304347826086957</v>
      </c>
      <c r="AC141" t="s">
        <v>510</v>
      </c>
      <c r="AD141" t="s">
        <v>272</v>
      </c>
      <c r="AE141" t="s">
        <v>341</v>
      </c>
      <c r="AF141" t="s">
        <v>572</v>
      </c>
      <c r="AG141" t="s">
        <v>224</v>
      </c>
      <c r="AH141" t="s">
        <v>1021</v>
      </c>
      <c r="AI141" t="s">
        <v>225</v>
      </c>
      <c r="AJ141">
        <v>1</v>
      </c>
    </row>
    <row r="142" ht="23" customHeight="1" spans="1:36">
      <c r="A142">
        <v>139</v>
      </c>
      <c r="B142" t="s">
        <v>1022</v>
      </c>
      <c r="C142" t="s">
        <v>1023</v>
      </c>
      <c r="D142" t="s">
        <v>19</v>
      </c>
      <c r="E142" t="s">
        <v>56</v>
      </c>
      <c r="F142" t="s">
        <v>309</v>
      </c>
      <c r="G142" t="s">
        <v>75</v>
      </c>
      <c r="H142" t="s">
        <v>583</v>
      </c>
      <c r="I142" t="s">
        <v>69</v>
      </c>
      <c r="J142" s="12">
        <v>283.96</v>
      </c>
      <c r="K142">
        <v>1</v>
      </c>
      <c r="L142" s="12">
        <v>283.96</v>
      </c>
      <c r="M142" s="13">
        <v>29</v>
      </c>
      <c r="N142" s="13">
        <v>149</v>
      </c>
      <c r="O142" s="13">
        <v>286</v>
      </c>
      <c r="P142" s="13">
        <v>476</v>
      </c>
      <c r="Q142" s="12">
        <v>44013.8</v>
      </c>
      <c r="R142" s="14">
        <f t="shared" si="4"/>
        <v>0.834132310642378</v>
      </c>
      <c r="S142">
        <v>76</v>
      </c>
      <c r="T142" s="15">
        <f t="shared" si="5"/>
        <v>15.3020134228188</v>
      </c>
      <c r="U142" t="s">
        <v>218</v>
      </c>
      <c r="V142">
        <v>51</v>
      </c>
      <c r="W142">
        <v>4.5</v>
      </c>
      <c r="X142" s="16">
        <v>0.0288</v>
      </c>
      <c r="Y142" s="17">
        <v>46101</v>
      </c>
      <c r="Z142" t="s">
        <v>219</v>
      </c>
      <c r="AB142" s="18">
        <v>0.536082474226804</v>
      </c>
      <c r="AC142" t="s">
        <v>1024</v>
      </c>
      <c r="AD142" t="s">
        <v>326</v>
      </c>
      <c r="AE142" t="s">
        <v>356</v>
      </c>
      <c r="AF142" t="s">
        <v>357</v>
      </c>
      <c r="AG142" t="s">
        <v>224</v>
      </c>
      <c r="AH142" t="s">
        <v>1025</v>
      </c>
      <c r="AI142" t="s">
        <v>225</v>
      </c>
      <c r="AJ142">
        <v>1</v>
      </c>
    </row>
    <row r="143" ht="23" customHeight="1" spans="1:36">
      <c r="A143">
        <v>140</v>
      </c>
      <c r="B143" t="s">
        <v>1026</v>
      </c>
      <c r="C143" t="s">
        <v>1027</v>
      </c>
      <c r="D143" t="s">
        <v>30</v>
      </c>
      <c r="E143" t="s">
        <v>56</v>
      </c>
      <c r="F143" t="s">
        <v>309</v>
      </c>
      <c r="G143" t="s">
        <v>75</v>
      </c>
      <c r="H143" t="s">
        <v>1028</v>
      </c>
      <c r="I143" t="s">
        <v>68</v>
      </c>
      <c r="J143" s="12">
        <v>253.34</v>
      </c>
      <c r="K143">
        <v>2</v>
      </c>
      <c r="L143" s="12">
        <v>126.67</v>
      </c>
      <c r="M143" s="13">
        <v>26</v>
      </c>
      <c r="N143" s="13">
        <v>149</v>
      </c>
      <c r="O143" s="13">
        <v>230</v>
      </c>
      <c r="P143" s="13">
        <v>230</v>
      </c>
      <c r="Q143" s="12">
        <v>37747.66</v>
      </c>
      <c r="R143" s="14">
        <f t="shared" si="4"/>
        <v>0.74784276126558</v>
      </c>
      <c r="S143">
        <v>12</v>
      </c>
      <c r="T143" s="15">
        <f t="shared" si="5"/>
        <v>2.41610738255034</v>
      </c>
      <c r="U143" t="s">
        <v>218</v>
      </c>
      <c r="V143">
        <v>4</v>
      </c>
      <c r="W143">
        <v>5</v>
      </c>
      <c r="X143" s="16">
        <v>0.0641</v>
      </c>
      <c r="Y143" s="17">
        <v>46172</v>
      </c>
      <c r="Z143" t="s">
        <v>228</v>
      </c>
      <c r="AB143" s="18">
        <v>0.637362637362637</v>
      </c>
      <c r="AC143" t="s">
        <v>1029</v>
      </c>
      <c r="AD143" t="s">
        <v>296</v>
      </c>
      <c r="AE143" t="s">
        <v>1030</v>
      </c>
      <c r="AF143" t="s">
        <v>780</v>
      </c>
      <c r="AG143" t="s">
        <v>224</v>
      </c>
      <c r="AH143" t="s">
        <v>1031</v>
      </c>
      <c r="AI143" t="s">
        <v>225</v>
      </c>
      <c r="AJ143">
        <v>0</v>
      </c>
    </row>
    <row r="144" ht="23" customHeight="1" spans="1:36">
      <c r="A144">
        <v>141</v>
      </c>
      <c r="B144" t="s">
        <v>1032</v>
      </c>
      <c r="C144" t="s">
        <v>1033</v>
      </c>
      <c r="D144" t="s">
        <v>19</v>
      </c>
      <c r="E144" t="s">
        <v>50</v>
      </c>
      <c r="F144" t="s">
        <v>407</v>
      </c>
      <c r="G144" t="s">
        <v>72</v>
      </c>
      <c r="H144" t="s">
        <v>611</v>
      </c>
      <c r="I144" t="s">
        <v>68</v>
      </c>
      <c r="J144" s="12">
        <v>136.1</v>
      </c>
      <c r="K144">
        <v>1</v>
      </c>
      <c r="L144" s="12">
        <v>136.1</v>
      </c>
      <c r="M144" s="13">
        <v>34</v>
      </c>
      <c r="N144" s="13">
        <v>148</v>
      </c>
      <c r="O144" s="13">
        <v>444</v>
      </c>
      <c r="P144" s="13">
        <v>890</v>
      </c>
      <c r="Q144" s="12">
        <v>20823.3</v>
      </c>
      <c r="R144" s="14">
        <f t="shared" si="4"/>
        <v>0.984555984555985</v>
      </c>
      <c r="S144">
        <v>271</v>
      </c>
      <c r="T144" s="15">
        <f t="shared" si="5"/>
        <v>54.9324324324324</v>
      </c>
      <c r="U144" t="s">
        <v>218</v>
      </c>
      <c r="V144">
        <v>39</v>
      </c>
      <c r="W144">
        <v>4.5</v>
      </c>
      <c r="X144" s="16">
        <v>0.0913</v>
      </c>
      <c r="Y144" s="17">
        <v>46050</v>
      </c>
      <c r="Z144" t="s">
        <v>219</v>
      </c>
      <c r="AB144" s="18">
        <v>0.0571428571428571</v>
      </c>
      <c r="AC144" t="s">
        <v>325</v>
      </c>
      <c r="AD144" t="s">
        <v>236</v>
      </c>
      <c r="AE144" t="s">
        <v>222</v>
      </c>
      <c r="AF144" t="s">
        <v>1034</v>
      </c>
      <c r="AG144" t="s">
        <v>224</v>
      </c>
      <c r="AH144" t="s">
        <v>1035</v>
      </c>
      <c r="AI144" t="s">
        <v>225</v>
      </c>
      <c r="AJ144">
        <v>1</v>
      </c>
    </row>
    <row r="145" ht="23" customHeight="1" spans="1:36">
      <c r="A145">
        <v>142</v>
      </c>
      <c r="B145" t="s">
        <v>1036</v>
      </c>
      <c r="C145" t="s">
        <v>1037</v>
      </c>
      <c r="D145" t="s">
        <v>30</v>
      </c>
      <c r="E145" t="s">
        <v>56</v>
      </c>
      <c r="F145" t="s">
        <v>153</v>
      </c>
      <c r="G145" t="s">
        <v>76</v>
      </c>
      <c r="H145" t="s">
        <v>1038</v>
      </c>
      <c r="I145" t="s">
        <v>68</v>
      </c>
      <c r="J145" s="12">
        <v>298.8</v>
      </c>
      <c r="K145">
        <v>3</v>
      </c>
      <c r="L145" s="12">
        <v>99.6</v>
      </c>
      <c r="M145" s="13">
        <v>41</v>
      </c>
      <c r="N145" s="13">
        <v>147</v>
      </c>
      <c r="O145" s="13">
        <v>378</v>
      </c>
      <c r="P145" s="13">
        <v>597</v>
      </c>
      <c r="Q145" s="12">
        <v>46015.2</v>
      </c>
      <c r="R145" s="14">
        <f t="shared" si="4"/>
        <v>1.19533527696793</v>
      </c>
      <c r="S145">
        <v>317</v>
      </c>
      <c r="T145" s="15">
        <f t="shared" si="5"/>
        <v>64.6938775510204</v>
      </c>
      <c r="U145" t="s">
        <v>218</v>
      </c>
      <c r="V145">
        <v>72</v>
      </c>
      <c r="W145">
        <v>4.7</v>
      </c>
      <c r="X145" s="16">
        <v>0.058</v>
      </c>
      <c r="Y145" s="17">
        <v>46078</v>
      </c>
      <c r="Z145" t="s">
        <v>219</v>
      </c>
      <c r="AB145" s="18">
        <v>-0.0392156862745098</v>
      </c>
      <c r="AC145" t="s">
        <v>1039</v>
      </c>
      <c r="AD145" t="s">
        <v>597</v>
      </c>
      <c r="AE145" t="s">
        <v>312</v>
      </c>
      <c r="AF145" t="s">
        <v>390</v>
      </c>
      <c r="AG145" t="s">
        <v>224</v>
      </c>
      <c r="AH145" t="s">
        <v>1040</v>
      </c>
      <c r="AI145" t="s">
        <v>225</v>
      </c>
      <c r="AJ145">
        <v>0</v>
      </c>
    </row>
    <row r="146" ht="23" customHeight="1" spans="1:36">
      <c r="A146">
        <v>143</v>
      </c>
      <c r="B146" t="s">
        <v>1041</v>
      </c>
      <c r="C146" t="s">
        <v>1042</v>
      </c>
      <c r="D146" t="s">
        <v>19</v>
      </c>
      <c r="E146" t="s">
        <v>50</v>
      </c>
      <c r="F146" t="s">
        <v>1043</v>
      </c>
      <c r="G146" t="s">
        <v>1044</v>
      </c>
      <c r="H146" t="s">
        <v>1045</v>
      </c>
      <c r="I146" t="s">
        <v>69</v>
      </c>
      <c r="J146" s="12">
        <v>103.95</v>
      </c>
      <c r="K146">
        <v>1</v>
      </c>
      <c r="L146" s="12">
        <v>103.95</v>
      </c>
      <c r="M146" s="13">
        <v>72</v>
      </c>
      <c r="N146" s="13">
        <v>146</v>
      </c>
      <c r="O146" s="13">
        <v>147</v>
      </c>
      <c r="P146" s="13">
        <v>147</v>
      </c>
      <c r="Q146" s="12">
        <v>15176.7</v>
      </c>
      <c r="R146" s="14">
        <f t="shared" si="4"/>
        <v>2.11350293542074</v>
      </c>
      <c r="S146">
        <v>157</v>
      </c>
      <c r="T146" s="15">
        <f t="shared" si="5"/>
        <v>32.2602739726027</v>
      </c>
      <c r="U146" t="s">
        <v>218</v>
      </c>
      <c r="V146">
        <v>3</v>
      </c>
      <c r="W146">
        <v>5</v>
      </c>
      <c r="X146" s="16">
        <v>0.0687</v>
      </c>
      <c r="Y146" s="17">
        <v>46140</v>
      </c>
      <c r="Z146" t="s">
        <v>228</v>
      </c>
      <c r="AB146" s="18">
        <v>72</v>
      </c>
      <c r="AC146" t="s">
        <v>844</v>
      </c>
      <c r="AD146" t="s">
        <v>272</v>
      </c>
      <c r="AE146" t="s">
        <v>341</v>
      </c>
      <c r="AF146" t="s">
        <v>736</v>
      </c>
      <c r="AG146" t="s">
        <v>224</v>
      </c>
      <c r="AH146" t="s">
        <v>1046</v>
      </c>
      <c r="AI146" t="s">
        <v>225</v>
      </c>
      <c r="AJ146">
        <v>1</v>
      </c>
    </row>
    <row r="147" ht="23" customHeight="1" spans="1:36">
      <c r="A147">
        <v>144</v>
      </c>
      <c r="B147" t="s">
        <v>1047</v>
      </c>
      <c r="C147" t="s">
        <v>1048</v>
      </c>
      <c r="D147" t="s">
        <v>19</v>
      </c>
      <c r="E147" t="s">
        <v>56</v>
      </c>
      <c r="F147" t="s">
        <v>309</v>
      </c>
      <c r="G147" t="s">
        <v>75</v>
      </c>
      <c r="H147" t="s">
        <v>1007</v>
      </c>
      <c r="I147" t="s">
        <v>69</v>
      </c>
      <c r="J147" s="12">
        <v>279.66</v>
      </c>
      <c r="K147">
        <v>1</v>
      </c>
      <c r="L147" s="12">
        <v>279.66</v>
      </c>
      <c r="M147" s="13">
        <v>28</v>
      </c>
      <c r="N147" s="13">
        <v>146</v>
      </c>
      <c r="O147" s="13">
        <v>477</v>
      </c>
      <c r="P147" s="13">
        <v>2592</v>
      </c>
      <c r="Q147" s="12">
        <v>43626.96</v>
      </c>
      <c r="R147" s="14">
        <f t="shared" si="4"/>
        <v>0.821917808219178</v>
      </c>
      <c r="S147">
        <v>96</v>
      </c>
      <c r="T147" s="15">
        <f t="shared" si="5"/>
        <v>19.7260273972603</v>
      </c>
      <c r="U147" t="s">
        <v>218</v>
      </c>
      <c r="V147">
        <v>130</v>
      </c>
      <c r="W147">
        <v>4.9</v>
      </c>
      <c r="X147" s="16">
        <v>0.1041</v>
      </c>
      <c r="Y147" s="17">
        <v>45261</v>
      </c>
      <c r="Z147" t="s">
        <v>219</v>
      </c>
      <c r="AB147" s="18">
        <v>-0.359649122807018</v>
      </c>
      <c r="AC147" t="s">
        <v>1049</v>
      </c>
      <c r="AD147" t="s">
        <v>243</v>
      </c>
      <c r="AE147" t="s">
        <v>473</v>
      </c>
      <c r="AF147" t="s">
        <v>403</v>
      </c>
      <c r="AG147" t="s">
        <v>224</v>
      </c>
      <c r="AH147" t="s">
        <v>1050</v>
      </c>
      <c r="AI147" t="s">
        <v>225</v>
      </c>
      <c r="AJ147">
        <v>1</v>
      </c>
    </row>
    <row r="148" ht="23" customHeight="1" spans="1:36">
      <c r="A148">
        <v>145</v>
      </c>
      <c r="B148" t="s">
        <v>1051</v>
      </c>
      <c r="C148" t="s">
        <v>1052</v>
      </c>
      <c r="D148" t="s">
        <v>21</v>
      </c>
      <c r="E148" t="s">
        <v>53</v>
      </c>
      <c r="F148" t="s">
        <v>1053</v>
      </c>
      <c r="G148" t="s">
        <v>1054</v>
      </c>
      <c r="H148" t="s">
        <v>1055</v>
      </c>
      <c r="I148" t="s">
        <v>69</v>
      </c>
      <c r="J148" s="12">
        <v>181.39</v>
      </c>
      <c r="K148">
        <v>2</v>
      </c>
      <c r="L148" s="12">
        <v>90.69</v>
      </c>
      <c r="M148" s="13">
        <v>14</v>
      </c>
      <c r="N148" s="13">
        <v>145</v>
      </c>
      <c r="O148" s="13">
        <v>239</v>
      </c>
      <c r="P148" s="13">
        <v>244</v>
      </c>
      <c r="Q148" s="12">
        <v>27934.06</v>
      </c>
      <c r="R148" s="14">
        <f t="shared" si="4"/>
        <v>0.413793103448276</v>
      </c>
      <c r="S148">
        <v>254</v>
      </c>
      <c r="T148" s="15">
        <f t="shared" si="5"/>
        <v>52.551724137931</v>
      </c>
      <c r="U148" t="s">
        <v>218</v>
      </c>
      <c r="V148">
        <v>11</v>
      </c>
      <c r="W148">
        <v>4.6</v>
      </c>
      <c r="X148" s="16">
        <v>0.0472</v>
      </c>
      <c r="Y148" s="17">
        <v>46126</v>
      </c>
      <c r="Z148" t="s">
        <v>228</v>
      </c>
      <c r="AB148" s="18">
        <v>0.542553191489362</v>
      </c>
      <c r="AC148" t="s">
        <v>707</v>
      </c>
      <c r="AD148" t="s">
        <v>299</v>
      </c>
      <c r="AE148" t="s">
        <v>577</v>
      </c>
      <c r="AF148" t="s">
        <v>815</v>
      </c>
      <c r="AG148" t="s">
        <v>224</v>
      </c>
      <c r="AH148" t="s">
        <v>1056</v>
      </c>
      <c r="AI148" t="s">
        <v>225</v>
      </c>
      <c r="AJ148">
        <v>1</v>
      </c>
    </row>
    <row r="149" ht="23" customHeight="1" spans="1:36">
      <c r="A149">
        <v>146</v>
      </c>
      <c r="B149" t="s">
        <v>1057</v>
      </c>
      <c r="C149" t="s">
        <v>1058</v>
      </c>
      <c r="D149" t="s">
        <v>25</v>
      </c>
      <c r="E149" t="s">
        <v>62</v>
      </c>
      <c r="F149" t="s">
        <v>125</v>
      </c>
      <c r="G149" t="s">
        <v>78</v>
      </c>
      <c r="H149" t="s">
        <v>280</v>
      </c>
      <c r="I149" t="s">
        <v>68</v>
      </c>
      <c r="J149" s="12">
        <v>1836</v>
      </c>
      <c r="K149">
        <v>8</v>
      </c>
      <c r="L149" s="12">
        <v>229.5</v>
      </c>
      <c r="M149" s="13">
        <v>49</v>
      </c>
      <c r="N149" s="13">
        <v>145</v>
      </c>
      <c r="O149" s="13">
        <v>172</v>
      </c>
      <c r="P149" s="13">
        <v>349</v>
      </c>
      <c r="Q149" s="12">
        <v>266220</v>
      </c>
      <c r="R149" s="14">
        <f t="shared" si="4"/>
        <v>1.44827586206897</v>
      </c>
      <c r="S149">
        <v>15</v>
      </c>
      <c r="T149" s="15">
        <f t="shared" si="5"/>
        <v>3.10344827586207</v>
      </c>
      <c r="U149" t="s">
        <v>218</v>
      </c>
      <c r="V149">
        <v>86</v>
      </c>
      <c r="W149">
        <v>4.9</v>
      </c>
      <c r="X149" s="16">
        <v>0.0204</v>
      </c>
      <c r="Y149" s="17">
        <v>46113</v>
      </c>
      <c r="Z149" t="s">
        <v>228</v>
      </c>
      <c r="AB149" s="18">
        <v>4.37037037037037</v>
      </c>
      <c r="AC149" t="s">
        <v>1059</v>
      </c>
      <c r="AD149" t="s">
        <v>1060</v>
      </c>
      <c r="AE149" t="s">
        <v>1061</v>
      </c>
      <c r="AF149" t="s">
        <v>1062</v>
      </c>
      <c r="AG149" t="s">
        <v>224</v>
      </c>
      <c r="AH149" t="s">
        <v>1063</v>
      </c>
      <c r="AI149" t="s">
        <v>225</v>
      </c>
      <c r="AJ149">
        <v>1</v>
      </c>
    </row>
    <row r="150" ht="23" customHeight="1" spans="1:36">
      <c r="A150">
        <v>147</v>
      </c>
      <c r="B150" t="s">
        <v>1064</v>
      </c>
      <c r="C150" t="s">
        <v>1065</v>
      </c>
      <c r="D150" t="s">
        <v>19</v>
      </c>
      <c r="E150" t="s">
        <v>47</v>
      </c>
      <c r="F150" t="s">
        <v>407</v>
      </c>
      <c r="G150" t="s">
        <v>72</v>
      </c>
      <c r="H150" t="s">
        <v>611</v>
      </c>
      <c r="I150" t="s">
        <v>68</v>
      </c>
      <c r="J150" s="12">
        <v>98.98</v>
      </c>
      <c r="K150">
        <v>1</v>
      </c>
      <c r="L150" s="12">
        <v>98.98</v>
      </c>
      <c r="M150" s="13">
        <v>137</v>
      </c>
      <c r="N150" s="13">
        <v>144</v>
      </c>
      <c r="O150" s="13">
        <v>144</v>
      </c>
      <c r="P150" s="13">
        <v>144</v>
      </c>
      <c r="Q150" s="12">
        <v>14253.12</v>
      </c>
      <c r="R150" s="14">
        <f t="shared" si="4"/>
        <v>4.07738095238095</v>
      </c>
      <c r="S150">
        <v>274</v>
      </c>
      <c r="T150" s="15">
        <f t="shared" si="5"/>
        <v>57.0833333333333</v>
      </c>
      <c r="U150" t="s">
        <v>218</v>
      </c>
      <c r="V150">
        <v>0</v>
      </c>
      <c r="W150">
        <v>0</v>
      </c>
      <c r="X150" s="16">
        <v>0.0365</v>
      </c>
      <c r="Y150" s="17">
        <v>46231</v>
      </c>
      <c r="Z150" t="s">
        <v>241</v>
      </c>
      <c r="AB150" s="18">
        <v>144</v>
      </c>
      <c r="AF150" t="s">
        <v>333</v>
      </c>
      <c r="AG150" t="s">
        <v>224</v>
      </c>
      <c r="AH150" t="s">
        <v>1066</v>
      </c>
      <c r="AI150" t="s">
        <v>225</v>
      </c>
      <c r="AJ150">
        <v>1</v>
      </c>
    </row>
    <row r="151" ht="23" customHeight="1" spans="1:36">
      <c r="A151">
        <v>148</v>
      </c>
      <c r="B151" t="s">
        <v>1067</v>
      </c>
      <c r="C151" t="s">
        <v>1068</v>
      </c>
      <c r="D151" t="s">
        <v>21</v>
      </c>
      <c r="E151" t="s">
        <v>56</v>
      </c>
      <c r="F151" t="s">
        <v>1069</v>
      </c>
      <c r="G151" t="s">
        <v>1070</v>
      </c>
      <c r="H151" t="s">
        <v>1071</v>
      </c>
      <c r="I151" t="s">
        <v>68</v>
      </c>
      <c r="J151" s="12">
        <v>236</v>
      </c>
      <c r="K151">
        <v>4</v>
      </c>
      <c r="L151" s="12">
        <v>59</v>
      </c>
      <c r="M151" s="13">
        <v>28</v>
      </c>
      <c r="N151" s="13">
        <v>144</v>
      </c>
      <c r="O151" s="13">
        <v>144</v>
      </c>
      <c r="P151" s="13">
        <v>144</v>
      </c>
      <c r="Q151" s="12">
        <v>33984</v>
      </c>
      <c r="R151" s="14">
        <f t="shared" si="4"/>
        <v>0.833333333333333</v>
      </c>
      <c r="S151">
        <v>29</v>
      </c>
      <c r="T151" s="15">
        <f t="shared" si="5"/>
        <v>6.04166666666667</v>
      </c>
      <c r="U151" t="s">
        <v>218</v>
      </c>
      <c r="V151">
        <v>0</v>
      </c>
      <c r="W151">
        <v>0</v>
      </c>
      <c r="X151" s="16">
        <v>0.0598</v>
      </c>
      <c r="Y151" s="17">
        <v>46183</v>
      </c>
      <c r="Z151" t="s">
        <v>228</v>
      </c>
      <c r="AB151" s="18">
        <v>35</v>
      </c>
      <c r="AC151" t="s">
        <v>577</v>
      </c>
      <c r="AD151" t="s">
        <v>879</v>
      </c>
      <c r="AE151" t="s">
        <v>863</v>
      </c>
      <c r="AF151" t="s">
        <v>549</v>
      </c>
      <c r="AG151" t="s">
        <v>224</v>
      </c>
      <c r="AH151" t="s">
        <v>1072</v>
      </c>
      <c r="AI151" t="s">
        <v>225</v>
      </c>
      <c r="AJ151">
        <v>1</v>
      </c>
    </row>
    <row r="152" ht="23" customHeight="1" spans="1:36">
      <c r="A152">
        <v>149</v>
      </c>
      <c r="B152" t="s">
        <v>1073</v>
      </c>
      <c r="C152" t="s">
        <v>1074</v>
      </c>
      <c r="D152" t="s">
        <v>19</v>
      </c>
      <c r="E152" t="s">
        <v>50</v>
      </c>
      <c r="F152" t="s">
        <v>407</v>
      </c>
      <c r="G152" t="s">
        <v>72</v>
      </c>
      <c r="H152" t="s">
        <v>654</v>
      </c>
      <c r="I152" t="s">
        <v>68</v>
      </c>
      <c r="J152" s="12">
        <v>146.89</v>
      </c>
      <c r="K152">
        <v>1</v>
      </c>
      <c r="L152" s="12">
        <v>146.89</v>
      </c>
      <c r="M152" s="13">
        <v>33</v>
      </c>
      <c r="N152" s="13">
        <v>142</v>
      </c>
      <c r="O152" s="13">
        <v>163</v>
      </c>
      <c r="P152" s="13">
        <v>647</v>
      </c>
      <c r="Q152" s="12">
        <v>21886.61</v>
      </c>
      <c r="R152" s="14">
        <f t="shared" si="4"/>
        <v>0.995975855130785</v>
      </c>
      <c r="S152">
        <v>262</v>
      </c>
      <c r="T152" s="15">
        <f t="shared" si="5"/>
        <v>55.3521126760563</v>
      </c>
      <c r="U152" t="s">
        <v>218</v>
      </c>
      <c r="V152">
        <v>11</v>
      </c>
      <c r="W152">
        <v>4.9</v>
      </c>
      <c r="X152" s="16">
        <v>0.0505</v>
      </c>
      <c r="Y152" s="17">
        <v>45731</v>
      </c>
      <c r="Z152" t="s">
        <v>219</v>
      </c>
      <c r="AB152" s="18">
        <v>5.76190476190476</v>
      </c>
      <c r="AC152" t="s">
        <v>1075</v>
      </c>
      <c r="AD152" t="s">
        <v>272</v>
      </c>
      <c r="AE152" t="s">
        <v>320</v>
      </c>
      <c r="AF152" t="s">
        <v>631</v>
      </c>
      <c r="AG152" t="s">
        <v>224</v>
      </c>
      <c r="AH152" t="s">
        <v>1076</v>
      </c>
      <c r="AI152" t="s">
        <v>225</v>
      </c>
      <c r="AJ152">
        <v>1</v>
      </c>
    </row>
    <row r="153" ht="23" customHeight="1" spans="1:36">
      <c r="A153">
        <v>150</v>
      </c>
      <c r="B153" t="s">
        <v>1077</v>
      </c>
      <c r="C153" t="s">
        <v>1078</v>
      </c>
      <c r="D153" t="s">
        <v>19</v>
      </c>
      <c r="E153" t="s">
        <v>56</v>
      </c>
      <c r="F153" t="s">
        <v>553</v>
      </c>
      <c r="G153" t="s">
        <v>554</v>
      </c>
      <c r="H153" t="s">
        <v>555</v>
      </c>
      <c r="I153" t="s">
        <v>69</v>
      </c>
      <c r="J153" s="12">
        <v>216.85</v>
      </c>
      <c r="K153">
        <v>1</v>
      </c>
      <c r="L153" s="12">
        <v>216.85</v>
      </c>
      <c r="M153" s="13">
        <v>61</v>
      </c>
      <c r="N153" s="13">
        <v>142</v>
      </c>
      <c r="O153" s="13">
        <v>195</v>
      </c>
      <c r="P153" s="13">
        <v>1300</v>
      </c>
      <c r="Q153" s="12">
        <v>32527.5</v>
      </c>
      <c r="R153" s="14">
        <f t="shared" si="4"/>
        <v>1.841046277666</v>
      </c>
      <c r="S153">
        <v>90</v>
      </c>
      <c r="T153" s="15">
        <f t="shared" si="5"/>
        <v>19.0140845070423</v>
      </c>
      <c r="U153" t="s">
        <v>218</v>
      </c>
      <c r="V153">
        <v>24</v>
      </c>
      <c r="W153">
        <v>4.4</v>
      </c>
      <c r="X153" s="16">
        <v>0.1874</v>
      </c>
      <c r="Y153" s="17">
        <v>45951</v>
      </c>
      <c r="Z153" t="s">
        <v>219</v>
      </c>
      <c r="AB153" s="18">
        <v>1.84</v>
      </c>
      <c r="AC153" t="s">
        <v>671</v>
      </c>
      <c r="AD153" t="s">
        <v>243</v>
      </c>
      <c r="AE153" t="s">
        <v>250</v>
      </c>
      <c r="AF153" t="s">
        <v>1079</v>
      </c>
      <c r="AG153" t="s">
        <v>224</v>
      </c>
      <c r="AH153" t="s">
        <v>1080</v>
      </c>
      <c r="AI153" t="s">
        <v>225</v>
      </c>
      <c r="AJ153">
        <v>1</v>
      </c>
    </row>
    <row r="154" ht="23" customHeight="1" spans="1:36">
      <c r="A154">
        <v>151</v>
      </c>
      <c r="B154" t="s">
        <v>1081</v>
      </c>
      <c r="C154" t="s">
        <v>1082</v>
      </c>
      <c r="D154" t="s">
        <v>19</v>
      </c>
      <c r="E154" t="s">
        <v>56</v>
      </c>
      <c r="F154" t="s">
        <v>153</v>
      </c>
      <c r="G154" t="s">
        <v>76</v>
      </c>
      <c r="H154" t="s">
        <v>381</v>
      </c>
      <c r="I154" t="s">
        <v>69</v>
      </c>
      <c r="J154" s="12">
        <v>268.82</v>
      </c>
      <c r="K154">
        <v>2</v>
      </c>
      <c r="L154" s="12">
        <v>134.41</v>
      </c>
      <c r="M154" s="13">
        <v>25</v>
      </c>
      <c r="N154" s="13">
        <v>142</v>
      </c>
      <c r="O154" s="13">
        <v>649</v>
      </c>
      <c r="P154" s="13">
        <v>933</v>
      </c>
      <c r="Q154" s="12">
        <v>39785.36</v>
      </c>
      <c r="R154" s="14">
        <f t="shared" si="4"/>
        <v>0.754527162977867</v>
      </c>
      <c r="S154">
        <v>399</v>
      </c>
      <c r="T154" s="15">
        <f t="shared" si="5"/>
        <v>84.2957746478873</v>
      </c>
      <c r="U154" t="s">
        <v>218</v>
      </c>
      <c r="V154">
        <v>250</v>
      </c>
      <c r="W154">
        <v>4.7</v>
      </c>
      <c r="X154" s="16">
        <v>0.0342</v>
      </c>
      <c r="Y154" s="17">
        <v>46153</v>
      </c>
      <c r="Z154" t="s">
        <v>228</v>
      </c>
      <c r="AA154">
        <v>13</v>
      </c>
      <c r="AB154" s="18">
        <v>-0.393162393162393</v>
      </c>
      <c r="AC154" t="s">
        <v>1083</v>
      </c>
      <c r="AD154" t="s">
        <v>253</v>
      </c>
      <c r="AE154" t="s">
        <v>879</v>
      </c>
      <c r="AF154" t="s">
        <v>679</v>
      </c>
      <c r="AG154" t="s">
        <v>224</v>
      </c>
      <c r="AH154" t="s">
        <v>1084</v>
      </c>
      <c r="AI154" t="s">
        <v>225</v>
      </c>
      <c r="AJ154">
        <v>1</v>
      </c>
    </row>
    <row r="155" ht="23" customHeight="1" spans="1:36">
      <c r="A155">
        <v>152</v>
      </c>
      <c r="B155" t="s">
        <v>1085</v>
      </c>
      <c r="C155" t="s">
        <v>1086</v>
      </c>
      <c r="D155" t="s">
        <v>19</v>
      </c>
      <c r="E155" t="s">
        <v>53</v>
      </c>
      <c r="F155" t="s">
        <v>102</v>
      </c>
      <c r="G155" t="s">
        <v>73</v>
      </c>
      <c r="H155" t="s">
        <v>227</v>
      </c>
      <c r="I155" t="s">
        <v>68</v>
      </c>
      <c r="J155" s="12">
        <v>174.84</v>
      </c>
      <c r="K155">
        <v>1</v>
      </c>
      <c r="L155" s="12">
        <v>174.84</v>
      </c>
      <c r="M155" s="13">
        <v>32</v>
      </c>
      <c r="N155" s="13">
        <v>141</v>
      </c>
      <c r="O155" s="13">
        <v>374</v>
      </c>
      <c r="P155" s="13">
        <v>416</v>
      </c>
      <c r="Q155" s="12">
        <v>26400.84</v>
      </c>
      <c r="R155" s="14">
        <f t="shared" si="4"/>
        <v>0.972644376899696</v>
      </c>
      <c r="S155">
        <v>118</v>
      </c>
      <c r="T155" s="15">
        <f t="shared" si="5"/>
        <v>25.1063829787234</v>
      </c>
      <c r="U155" t="s">
        <v>218</v>
      </c>
      <c r="V155">
        <v>10</v>
      </c>
      <c r="W155">
        <v>4.4</v>
      </c>
      <c r="X155" s="16">
        <v>0.061</v>
      </c>
      <c r="Y155" s="17">
        <v>46180</v>
      </c>
      <c r="Z155" t="s">
        <v>228</v>
      </c>
      <c r="AB155" s="18">
        <v>0.146341463414634</v>
      </c>
      <c r="AC155" t="s">
        <v>784</v>
      </c>
      <c r="AD155" t="s">
        <v>510</v>
      </c>
      <c r="AE155" t="s">
        <v>655</v>
      </c>
      <c r="AF155" t="s">
        <v>427</v>
      </c>
      <c r="AG155" t="s">
        <v>224</v>
      </c>
      <c r="AH155" t="s">
        <v>1087</v>
      </c>
      <c r="AI155" t="s">
        <v>225</v>
      </c>
      <c r="AJ155">
        <v>1</v>
      </c>
    </row>
    <row r="156" ht="23" customHeight="1" spans="1:36">
      <c r="A156">
        <v>153</v>
      </c>
      <c r="B156" t="s">
        <v>1088</v>
      </c>
      <c r="C156" t="s">
        <v>1089</v>
      </c>
      <c r="D156" t="s">
        <v>27</v>
      </c>
      <c r="E156" t="s">
        <v>56</v>
      </c>
      <c r="F156" t="s">
        <v>1090</v>
      </c>
      <c r="G156" t="s">
        <v>1091</v>
      </c>
      <c r="H156" t="s">
        <v>1090</v>
      </c>
      <c r="I156" t="s">
        <v>68</v>
      </c>
      <c r="J156" s="12">
        <v>279.6</v>
      </c>
      <c r="K156">
        <v>1</v>
      </c>
      <c r="L156" s="12">
        <v>279.6</v>
      </c>
      <c r="M156" s="13">
        <v>30</v>
      </c>
      <c r="N156" s="13">
        <v>141</v>
      </c>
      <c r="O156" s="13">
        <v>199</v>
      </c>
      <c r="P156" s="13">
        <v>235</v>
      </c>
      <c r="Q156" s="12">
        <v>39423.6</v>
      </c>
      <c r="R156" s="14">
        <f t="shared" si="4"/>
        <v>0.911854103343465</v>
      </c>
      <c r="S156">
        <v>39</v>
      </c>
      <c r="T156" s="15">
        <f t="shared" si="5"/>
        <v>8.29787234042553</v>
      </c>
      <c r="U156" t="s">
        <v>218</v>
      </c>
      <c r="V156">
        <v>0</v>
      </c>
      <c r="W156">
        <v>0</v>
      </c>
      <c r="X156" s="16">
        <v>0.0684</v>
      </c>
      <c r="Y156" s="17">
        <v>45889</v>
      </c>
      <c r="Z156" t="s">
        <v>219</v>
      </c>
      <c r="AB156" s="18">
        <v>1.43103448275862</v>
      </c>
      <c r="AC156" t="s">
        <v>482</v>
      </c>
      <c r="AD156" t="s">
        <v>1092</v>
      </c>
      <c r="AE156" t="s">
        <v>1093</v>
      </c>
      <c r="AF156" t="s">
        <v>390</v>
      </c>
      <c r="AG156" t="s">
        <v>224</v>
      </c>
      <c r="AH156" t="s">
        <v>1094</v>
      </c>
      <c r="AI156" t="s">
        <v>225</v>
      </c>
      <c r="AJ156">
        <v>1</v>
      </c>
    </row>
    <row r="157" ht="23" customHeight="1" spans="1:36">
      <c r="A157">
        <v>154</v>
      </c>
      <c r="B157" t="s">
        <v>1095</v>
      </c>
      <c r="C157" t="s">
        <v>1096</v>
      </c>
      <c r="D157" t="s">
        <v>23</v>
      </c>
      <c r="E157" t="s">
        <v>50</v>
      </c>
      <c r="F157" t="s">
        <v>478</v>
      </c>
      <c r="G157" t="s">
        <v>479</v>
      </c>
      <c r="H157" t="s">
        <v>1097</v>
      </c>
      <c r="I157" t="s">
        <v>68</v>
      </c>
      <c r="J157" s="12">
        <v>149.99</v>
      </c>
      <c r="K157">
        <v>2</v>
      </c>
      <c r="L157" s="12">
        <v>75</v>
      </c>
      <c r="M157" s="13">
        <v>18</v>
      </c>
      <c r="N157" s="13">
        <v>141</v>
      </c>
      <c r="O157" s="13">
        <v>298</v>
      </c>
      <c r="P157" s="13">
        <v>398</v>
      </c>
      <c r="Q157" s="12">
        <v>21148.59</v>
      </c>
      <c r="R157" s="14">
        <f t="shared" si="4"/>
        <v>0.547112462006079</v>
      </c>
      <c r="S157">
        <v>125</v>
      </c>
      <c r="T157" s="15">
        <f t="shared" si="5"/>
        <v>26.5957446808511</v>
      </c>
      <c r="U157" t="s">
        <v>218</v>
      </c>
      <c r="V157">
        <v>0</v>
      </c>
      <c r="W157">
        <v>0</v>
      </c>
      <c r="X157" s="16">
        <v>0.0642</v>
      </c>
      <c r="Y157" s="17">
        <v>46093</v>
      </c>
      <c r="Z157" t="s">
        <v>219</v>
      </c>
      <c r="AB157" s="18">
        <v>1.47368421052632</v>
      </c>
      <c r="AC157" t="s">
        <v>387</v>
      </c>
      <c r="AD157" t="s">
        <v>1098</v>
      </c>
      <c r="AE157" t="s">
        <v>1099</v>
      </c>
      <c r="AF157" t="s">
        <v>660</v>
      </c>
      <c r="AG157" t="s">
        <v>224</v>
      </c>
      <c r="AH157" t="s">
        <v>1100</v>
      </c>
      <c r="AI157" t="s">
        <v>225</v>
      </c>
      <c r="AJ157">
        <v>1</v>
      </c>
    </row>
    <row r="158" ht="23" customHeight="1" spans="1:36">
      <c r="A158">
        <v>155</v>
      </c>
      <c r="B158" t="s">
        <v>1101</v>
      </c>
      <c r="C158" t="s">
        <v>1102</v>
      </c>
      <c r="D158" t="s">
        <v>19</v>
      </c>
      <c r="E158" t="s">
        <v>56</v>
      </c>
      <c r="F158" t="s">
        <v>544</v>
      </c>
      <c r="G158" t="s">
        <v>80</v>
      </c>
      <c r="H158" t="s">
        <v>545</v>
      </c>
      <c r="I158" t="s">
        <v>69</v>
      </c>
      <c r="J158" s="12">
        <v>247.82</v>
      </c>
      <c r="K158">
        <v>1</v>
      </c>
      <c r="L158" s="12">
        <v>247.82</v>
      </c>
      <c r="M158" s="13">
        <v>35</v>
      </c>
      <c r="N158" s="13">
        <v>139</v>
      </c>
      <c r="O158" s="13">
        <v>357</v>
      </c>
      <c r="P158" s="13">
        <v>2749</v>
      </c>
      <c r="Q158" s="12">
        <v>35933.9</v>
      </c>
      <c r="R158" s="14">
        <f t="shared" si="4"/>
        <v>1.07913669064748</v>
      </c>
      <c r="S158">
        <v>678</v>
      </c>
      <c r="T158" s="15">
        <f t="shared" si="5"/>
        <v>146.330935251799</v>
      </c>
      <c r="U158" t="s">
        <v>218</v>
      </c>
      <c r="V158">
        <v>35</v>
      </c>
      <c r="W158">
        <v>4.7</v>
      </c>
      <c r="X158" s="16">
        <v>0.1139</v>
      </c>
      <c r="Y158" s="17">
        <v>45701</v>
      </c>
      <c r="Z158" t="s">
        <v>219</v>
      </c>
      <c r="AB158" s="18">
        <v>1.31666666666667</v>
      </c>
      <c r="AC158" t="s">
        <v>721</v>
      </c>
      <c r="AD158" t="s">
        <v>441</v>
      </c>
      <c r="AE158" t="s">
        <v>481</v>
      </c>
      <c r="AF158" t="s">
        <v>557</v>
      </c>
      <c r="AG158" t="s">
        <v>224</v>
      </c>
      <c r="AH158" t="s">
        <v>1103</v>
      </c>
      <c r="AI158" t="s">
        <v>225</v>
      </c>
      <c r="AJ158">
        <v>1</v>
      </c>
    </row>
    <row r="159" ht="23" customHeight="1" spans="1:36">
      <c r="A159">
        <v>156</v>
      </c>
      <c r="B159" t="s">
        <v>1104</v>
      </c>
      <c r="C159" t="s">
        <v>1105</v>
      </c>
      <c r="D159" t="s">
        <v>36</v>
      </c>
      <c r="E159" t="s">
        <v>53</v>
      </c>
      <c r="F159" t="s">
        <v>1106</v>
      </c>
      <c r="G159" t="s">
        <v>1107</v>
      </c>
      <c r="H159" t="s">
        <v>1108</v>
      </c>
      <c r="I159" t="s">
        <v>69</v>
      </c>
      <c r="J159" s="12">
        <v>174.85</v>
      </c>
      <c r="K159">
        <v>2</v>
      </c>
      <c r="L159" s="12">
        <v>87.42</v>
      </c>
      <c r="M159" s="13">
        <v>44</v>
      </c>
      <c r="N159" s="13">
        <v>139</v>
      </c>
      <c r="O159" s="13">
        <v>248</v>
      </c>
      <c r="P159" s="13">
        <v>248</v>
      </c>
      <c r="Q159" s="12">
        <v>24304.15</v>
      </c>
      <c r="R159" s="14">
        <f t="shared" si="4"/>
        <v>1.35662898252826</v>
      </c>
      <c r="S159">
        <v>251</v>
      </c>
      <c r="T159" s="15">
        <f t="shared" si="5"/>
        <v>54.1726618705036</v>
      </c>
      <c r="U159" t="s">
        <v>218</v>
      </c>
      <c r="V159">
        <v>9</v>
      </c>
      <c r="W159">
        <v>4.7</v>
      </c>
      <c r="X159" s="16">
        <v>0.0732</v>
      </c>
      <c r="Y159" s="17">
        <v>46209</v>
      </c>
      <c r="Z159" t="s">
        <v>241</v>
      </c>
      <c r="AB159" s="18">
        <v>0.219298245614035</v>
      </c>
      <c r="AC159" t="s">
        <v>412</v>
      </c>
      <c r="AD159" t="s">
        <v>236</v>
      </c>
      <c r="AE159" t="s">
        <v>331</v>
      </c>
      <c r="AF159" t="s">
        <v>1034</v>
      </c>
      <c r="AG159" t="s">
        <v>224</v>
      </c>
      <c r="AH159" t="s">
        <v>1109</v>
      </c>
      <c r="AI159" t="s">
        <v>225</v>
      </c>
      <c r="AJ159">
        <v>0</v>
      </c>
    </row>
    <row r="160" ht="23" customHeight="1" spans="1:36">
      <c r="A160">
        <v>157</v>
      </c>
      <c r="B160" t="s">
        <v>1110</v>
      </c>
      <c r="C160" t="s">
        <v>1111</v>
      </c>
      <c r="D160" t="s">
        <v>19</v>
      </c>
      <c r="E160" t="s">
        <v>50</v>
      </c>
      <c r="F160" t="s">
        <v>407</v>
      </c>
      <c r="G160" t="s">
        <v>72</v>
      </c>
      <c r="H160" t="s">
        <v>654</v>
      </c>
      <c r="I160" t="s">
        <v>68</v>
      </c>
      <c r="J160" s="12">
        <v>141.45</v>
      </c>
      <c r="K160">
        <v>1</v>
      </c>
      <c r="L160" s="12">
        <v>141.45</v>
      </c>
      <c r="M160" s="13">
        <v>60</v>
      </c>
      <c r="N160" s="13">
        <v>138</v>
      </c>
      <c r="O160" s="13">
        <v>345</v>
      </c>
      <c r="P160" s="13">
        <v>623</v>
      </c>
      <c r="Q160" s="12">
        <v>19520.1</v>
      </c>
      <c r="R160" s="14">
        <f t="shared" si="4"/>
        <v>1.86335403726708</v>
      </c>
      <c r="S160">
        <v>151</v>
      </c>
      <c r="T160" s="15">
        <f t="shared" si="5"/>
        <v>32.8260869565217</v>
      </c>
      <c r="U160" t="s">
        <v>218</v>
      </c>
      <c r="V160">
        <v>4</v>
      </c>
      <c r="W160">
        <v>4.3</v>
      </c>
      <c r="X160" s="16">
        <v>0.0588</v>
      </c>
      <c r="Y160" s="17">
        <v>46054</v>
      </c>
      <c r="Z160" t="s">
        <v>219</v>
      </c>
      <c r="AB160" s="18">
        <v>0.38</v>
      </c>
      <c r="AC160" t="s">
        <v>643</v>
      </c>
      <c r="AD160" t="s">
        <v>331</v>
      </c>
      <c r="AE160" t="s">
        <v>1112</v>
      </c>
      <c r="AF160" t="s">
        <v>549</v>
      </c>
      <c r="AG160" t="s">
        <v>224</v>
      </c>
      <c r="AH160" t="s">
        <v>1113</v>
      </c>
      <c r="AI160" t="s">
        <v>225</v>
      </c>
      <c r="AJ160">
        <v>1</v>
      </c>
    </row>
    <row r="161" ht="23" customHeight="1" spans="1:36">
      <c r="A161">
        <v>158</v>
      </c>
      <c r="B161" t="s">
        <v>1114</v>
      </c>
      <c r="C161" t="s">
        <v>1115</v>
      </c>
      <c r="D161" t="s">
        <v>27</v>
      </c>
      <c r="E161" t="s">
        <v>50</v>
      </c>
      <c r="F161" t="s">
        <v>309</v>
      </c>
      <c r="G161" t="s">
        <v>75</v>
      </c>
      <c r="H161" t="s">
        <v>1116</v>
      </c>
      <c r="I161" t="s">
        <v>68</v>
      </c>
      <c r="J161" s="12">
        <v>149.63</v>
      </c>
      <c r="K161">
        <v>6</v>
      </c>
      <c r="L161" s="12">
        <v>24.94</v>
      </c>
      <c r="M161" s="13">
        <v>20</v>
      </c>
      <c r="N161" s="13">
        <v>137</v>
      </c>
      <c r="O161" s="13">
        <v>161</v>
      </c>
      <c r="P161" s="13">
        <v>373</v>
      </c>
      <c r="Q161" s="12">
        <v>21845.98</v>
      </c>
      <c r="R161" s="14">
        <f t="shared" si="4"/>
        <v>0.625651720542232</v>
      </c>
      <c r="S161">
        <v>20</v>
      </c>
      <c r="T161" s="15">
        <f t="shared" si="5"/>
        <v>4.37956204379562</v>
      </c>
      <c r="U161" t="s">
        <v>218</v>
      </c>
      <c r="V161">
        <v>0</v>
      </c>
      <c r="W161">
        <v>0</v>
      </c>
      <c r="X161" s="16">
        <v>0.0684</v>
      </c>
      <c r="Y161" s="17">
        <v>46038</v>
      </c>
      <c r="Z161" t="s">
        <v>219</v>
      </c>
      <c r="AB161" s="18">
        <v>4.70833333333333</v>
      </c>
      <c r="AC161" t="s">
        <v>472</v>
      </c>
      <c r="AD161" t="s">
        <v>644</v>
      </c>
      <c r="AE161" t="s">
        <v>747</v>
      </c>
      <c r="AF161" t="s">
        <v>348</v>
      </c>
      <c r="AG161" t="s">
        <v>224</v>
      </c>
      <c r="AH161" t="s">
        <v>1117</v>
      </c>
      <c r="AI161" t="s">
        <v>225</v>
      </c>
      <c r="AJ161">
        <v>1</v>
      </c>
    </row>
    <row r="162" ht="23" customHeight="1" spans="1:36">
      <c r="A162">
        <v>159</v>
      </c>
      <c r="B162" t="s">
        <v>1118</v>
      </c>
      <c r="C162" t="s">
        <v>1119</v>
      </c>
      <c r="D162" t="s">
        <v>30</v>
      </c>
      <c r="E162" t="s">
        <v>56</v>
      </c>
      <c r="F162" t="s">
        <v>761</v>
      </c>
      <c r="G162" t="s">
        <v>762</v>
      </c>
      <c r="H162" t="s">
        <v>763</v>
      </c>
      <c r="I162" t="s">
        <v>68</v>
      </c>
      <c r="J162" s="12">
        <v>218.25</v>
      </c>
      <c r="K162">
        <v>6</v>
      </c>
      <c r="L162" s="12">
        <v>36.38</v>
      </c>
      <c r="M162" s="13">
        <v>33</v>
      </c>
      <c r="N162" s="13">
        <v>136</v>
      </c>
      <c r="O162" s="13">
        <v>463</v>
      </c>
      <c r="P162" s="13">
        <v>3457</v>
      </c>
      <c r="Q162" s="12">
        <v>31864.5</v>
      </c>
      <c r="R162" s="14">
        <f t="shared" si="4"/>
        <v>1.03991596638655</v>
      </c>
      <c r="S162">
        <v>349</v>
      </c>
      <c r="T162" s="15">
        <f t="shared" si="5"/>
        <v>76.9852941176471</v>
      </c>
      <c r="U162" t="s">
        <v>218</v>
      </c>
      <c r="V162">
        <v>483</v>
      </c>
      <c r="W162">
        <v>4.5</v>
      </c>
      <c r="X162" s="16">
        <v>0.0637</v>
      </c>
      <c r="Y162" s="17">
        <v>45834</v>
      </c>
      <c r="Z162" t="s">
        <v>219</v>
      </c>
      <c r="AA162">
        <v>12</v>
      </c>
      <c r="AB162" s="18">
        <v>-0.37037037037037</v>
      </c>
      <c r="AC162" t="s">
        <v>1120</v>
      </c>
      <c r="AD162" t="s">
        <v>319</v>
      </c>
      <c r="AE162" t="s">
        <v>341</v>
      </c>
      <c r="AF162" t="s">
        <v>869</v>
      </c>
      <c r="AG162" t="s">
        <v>224</v>
      </c>
      <c r="AH162" t="s">
        <v>1121</v>
      </c>
      <c r="AI162" t="s">
        <v>225</v>
      </c>
      <c r="AJ162">
        <v>0</v>
      </c>
    </row>
    <row r="163" ht="23" customHeight="1" spans="1:36">
      <c r="A163">
        <v>160</v>
      </c>
      <c r="B163" t="s">
        <v>1122</v>
      </c>
      <c r="C163" t="s">
        <v>1123</v>
      </c>
      <c r="D163" t="s">
        <v>19</v>
      </c>
      <c r="E163" t="s">
        <v>53</v>
      </c>
      <c r="F163" t="s">
        <v>407</v>
      </c>
      <c r="G163" t="s">
        <v>72</v>
      </c>
      <c r="H163" t="s">
        <v>611</v>
      </c>
      <c r="I163" t="s">
        <v>68</v>
      </c>
      <c r="J163" s="12">
        <v>151.25</v>
      </c>
      <c r="K163">
        <v>1</v>
      </c>
      <c r="L163" s="12">
        <v>151.25</v>
      </c>
      <c r="M163" s="13">
        <v>35</v>
      </c>
      <c r="N163" s="13">
        <v>135</v>
      </c>
      <c r="O163" s="13">
        <v>490</v>
      </c>
      <c r="P163" s="13">
        <v>1365</v>
      </c>
      <c r="Q163" s="12">
        <v>20418.75</v>
      </c>
      <c r="R163" s="14">
        <f t="shared" si="4"/>
        <v>1.11111111111111</v>
      </c>
      <c r="S163">
        <v>154</v>
      </c>
      <c r="T163" s="15">
        <f t="shared" si="5"/>
        <v>34.2222222222222</v>
      </c>
      <c r="U163" t="s">
        <v>218</v>
      </c>
      <c r="V163">
        <v>41</v>
      </c>
      <c r="W163">
        <v>4.9</v>
      </c>
      <c r="X163" s="16">
        <v>0.1178</v>
      </c>
      <c r="Y163" s="17">
        <v>46012</v>
      </c>
      <c r="Z163" t="s">
        <v>219</v>
      </c>
      <c r="AB163" s="18">
        <v>0.194690265486726</v>
      </c>
      <c r="AC163" t="s">
        <v>271</v>
      </c>
      <c r="AD163" t="s">
        <v>272</v>
      </c>
      <c r="AE163" t="s">
        <v>747</v>
      </c>
      <c r="AF163" t="s">
        <v>255</v>
      </c>
      <c r="AG163" t="s">
        <v>224</v>
      </c>
      <c r="AH163" t="s">
        <v>1124</v>
      </c>
      <c r="AI163" t="s">
        <v>225</v>
      </c>
      <c r="AJ163">
        <v>1</v>
      </c>
    </row>
    <row r="164" ht="23" customHeight="1" spans="1:36">
      <c r="A164">
        <v>161</v>
      </c>
      <c r="B164" t="s">
        <v>1125</v>
      </c>
      <c r="C164" t="s">
        <v>1126</v>
      </c>
      <c r="D164" t="s">
        <v>21</v>
      </c>
      <c r="E164" t="s">
        <v>56</v>
      </c>
      <c r="F164" t="s">
        <v>1053</v>
      </c>
      <c r="G164" t="s">
        <v>1054</v>
      </c>
      <c r="H164" t="s">
        <v>1055</v>
      </c>
      <c r="I164" t="s">
        <v>69</v>
      </c>
      <c r="J164" s="12">
        <v>231.13</v>
      </c>
      <c r="K164">
        <v>1</v>
      </c>
      <c r="L164" s="12">
        <v>231.13</v>
      </c>
      <c r="M164" s="13">
        <v>54</v>
      </c>
      <c r="N164" s="13">
        <v>133</v>
      </c>
      <c r="O164" s="13">
        <v>317</v>
      </c>
      <c r="P164" s="13">
        <v>317</v>
      </c>
      <c r="Q164" s="12">
        <v>30740.29</v>
      </c>
      <c r="R164" s="14">
        <f t="shared" si="4"/>
        <v>1.74006444683136</v>
      </c>
      <c r="S164">
        <v>284</v>
      </c>
      <c r="T164" s="15">
        <f t="shared" si="5"/>
        <v>64.0601503759399</v>
      </c>
      <c r="U164" t="s">
        <v>218</v>
      </c>
      <c r="V164">
        <v>17</v>
      </c>
      <c r="W164">
        <v>4.2</v>
      </c>
      <c r="X164" s="16">
        <v>0.0502</v>
      </c>
      <c r="Y164" s="17">
        <v>46126</v>
      </c>
      <c r="Z164" t="s">
        <v>228</v>
      </c>
      <c r="AB164" s="18">
        <v>-0.3</v>
      </c>
      <c r="AC164" t="s">
        <v>1127</v>
      </c>
      <c r="AD164" t="s">
        <v>389</v>
      </c>
      <c r="AE164" t="s">
        <v>564</v>
      </c>
      <c r="AF164" t="s">
        <v>1017</v>
      </c>
      <c r="AG164" t="s">
        <v>224</v>
      </c>
      <c r="AH164" t="s">
        <v>1128</v>
      </c>
      <c r="AI164" t="s">
        <v>225</v>
      </c>
      <c r="AJ164">
        <v>1</v>
      </c>
    </row>
    <row r="165" ht="23" customHeight="1" spans="1:36">
      <c r="A165">
        <v>162</v>
      </c>
      <c r="B165" t="s">
        <v>1129</v>
      </c>
      <c r="C165" t="s">
        <v>1130</v>
      </c>
      <c r="D165" t="s">
        <v>19</v>
      </c>
      <c r="E165" t="s">
        <v>47</v>
      </c>
      <c r="F165" t="s">
        <v>401</v>
      </c>
      <c r="G165" t="s">
        <v>74</v>
      </c>
      <c r="H165" t="s">
        <v>431</v>
      </c>
      <c r="I165" t="s">
        <v>69</v>
      </c>
      <c r="J165" s="12">
        <v>85.45</v>
      </c>
      <c r="K165">
        <v>1</v>
      </c>
      <c r="L165" s="12">
        <v>85.45</v>
      </c>
      <c r="M165" s="13">
        <v>32</v>
      </c>
      <c r="N165" s="13">
        <v>133</v>
      </c>
      <c r="O165" s="13">
        <v>344</v>
      </c>
      <c r="P165" s="13">
        <v>650</v>
      </c>
      <c r="Q165" s="12">
        <v>11364.85</v>
      </c>
      <c r="R165" s="14">
        <f t="shared" si="4"/>
        <v>1.03114930182599</v>
      </c>
      <c r="S165">
        <v>184</v>
      </c>
      <c r="T165" s="15">
        <f t="shared" si="5"/>
        <v>41.5037593984962</v>
      </c>
      <c r="U165" t="s">
        <v>218</v>
      </c>
      <c r="V165">
        <v>32</v>
      </c>
      <c r="W165">
        <v>4.8</v>
      </c>
      <c r="X165" s="16">
        <v>0.1063</v>
      </c>
      <c r="Y165" s="17">
        <v>45988</v>
      </c>
      <c r="Z165" t="s">
        <v>219</v>
      </c>
      <c r="AB165" s="18">
        <v>-0.321428571428571</v>
      </c>
      <c r="AC165" t="s">
        <v>283</v>
      </c>
      <c r="AD165" t="s">
        <v>879</v>
      </c>
      <c r="AE165" t="s">
        <v>820</v>
      </c>
      <c r="AF165" t="s">
        <v>1131</v>
      </c>
      <c r="AG165" t="s">
        <v>224</v>
      </c>
      <c r="AH165" t="s">
        <v>1132</v>
      </c>
      <c r="AI165" t="s">
        <v>225</v>
      </c>
      <c r="AJ165">
        <v>1</v>
      </c>
    </row>
    <row r="166" ht="23" customHeight="1" spans="1:36">
      <c r="A166">
        <v>163</v>
      </c>
      <c r="B166" t="s">
        <v>1133</v>
      </c>
      <c r="C166" t="s">
        <v>1134</v>
      </c>
      <c r="D166" t="s">
        <v>19</v>
      </c>
      <c r="E166" t="s">
        <v>62</v>
      </c>
      <c r="F166" t="s">
        <v>1135</v>
      </c>
      <c r="G166" t="s">
        <v>1136</v>
      </c>
      <c r="H166" t="s">
        <v>583</v>
      </c>
      <c r="I166" t="s">
        <v>69</v>
      </c>
      <c r="J166" s="12">
        <v>583.07</v>
      </c>
      <c r="K166">
        <v>2</v>
      </c>
      <c r="L166" s="12">
        <v>291.54</v>
      </c>
      <c r="M166" s="13">
        <v>28</v>
      </c>
      <c r="N166" s="13">
        <v>133</v>
      </c>
      <c r="O166" s="13">
        <v>297</v>
      </c>
      <c r="P166" s="13">
        <v>477</v>
      </c>
      <c r="Q166" s="12">
        <v>77548.31</v>
      </c>
      <c r="R166" s="14">
        <f t="shared" si="4"/>
        <v>0.902255639097744</v>
      </c>
      <c r="S166">
        <v>11</v>
      </c>
      <c r="T166" s="15">
        <f t="shared" si="5"/>
        <v>2.4812030075188</v>
      </c>
      <c r="U166" t="s">
        <v>218</v>
      </c>
      <c r="V166">
        <v>23</v>
      </c>
      <c r="W166">
        <v>4.8</v>
      </c>
      <c r="X166" s="16">
        <v>0.0267</v>
      </c>
      <c r="Y166" s="17">
        <v>46119</v>
      </c>
      <c r="Z166" t="s">
        <v>228</v>
      </c>
      <c r="AB166" s="18">
        <v>0.6625</v>
      </c>
      <c r="AC166" t="s">
        <v>1137</v>
      </c>
      <c r="AD166" t="s">
        <v>320</v>
      </c>
      <c r="AE166" t="s">
        <v>305</v>
      </c>
      <c r="AF166" t="s">
        <v>1138</v>
      </c>
      <c r="AG166" t="s">
        <v>224</v>
      </c>
      <c r="AH166" t="s">
        <v>1139</v>
      </c>
      <c r="AI166" t="s">
        <v>225</v>
      </c>
      <c r="AJ166">
        <v>1</v>
      </c>
    </row>
    <row r="167" ht="23" customHeight="1" spans="1:36">
      <c r="A167">
        <v>164</v>
      </c>
      <c r="B167" t="s">
        <v>1140</v>
      </c>
      <c r="C167" t="s">
        <v>1141</v>
      </c>
      <c r="D167" t="s">
        <v>27</v>
      </c>
      <c r="E167" t="s">
        <v>59</v>
      </c>
      <c r="F167" t="s">
        <v>1142</v>
      </c>
      <c r="G167" t="s">
        <v>1143</v>
      </c>
      <c r="H167" t="s">
        <v>1144</v>
      </c>
      <c r="I167" t="s">
        <v>68</v>
      </c>
      <c r="J167" s="12">
        <v>328.98</v>
      </c>
      <c r="K167">
        <v>1</v>
      </c>
      <c r="L167" s="12">
        <v>328.98</v>
      </c>
      <c r="M167" s="13">
        <v>9</v>
      </c>
      <c r="N167" s="13">
        <v>133</v>
      </c>
      <c r="O167" s="13">
        <v>186</v>
      </c>
      <c r="P167" s="13">
        <v>186</v>
      </c>
      <c r="Q167" s="12">
        <v>43754.34</v>
      </c>
      <c r="R167" s="14">
        <f t="shared" si="4"/>
        <v>0.290010741138561</v>
      </c>
      <c r="S167">
        <v>135</v>
      </c>
      <c r="T167" s="15">
        <f t="shared" si="5"/>
        <v>30.4511278195489</v>
      </c>
      <c r="U167" t="s">
        <v>218</v>
      </c>
      <c r="V167">
        <v>5</v>
      </c>
      <c r="W167">
        <v>4.8</v>
      </c>
      <c r="X167" s="16">
        <v>0.0255</v>
      </c>
      <c r="Y167" s="17">
        <v>46155</v>
      </c>
      <c r="Z167" t="s">
        <v>228</v>
      </c>
      <c r="AB167" s="18">
        <v>1.21666666666667</v>
      </c>
      <c r="AC167" t="s">
        <v>740</v>
      </c>
      <c r="AD167" t="s">
        <v>740</v>
      </c>
      <c r="AE167" t="s">
        <v>1093</v>
      </c>
      <c r="AF167" t="s">
        <v>427</v>
      </c>
      <c r="AG167" t="s">
        <v>224</v>
      </c>
      <c r="AH167" t="s">
        <v>1145</v>
      </c>
      <c r="AI167" t="s">
        <v>225</v>
      </c>
      <c r="AJ167">
        <v>1</v>
      </c>
    </row>
    <row r="168" ht="23" customHeight="1" spans="1:36">
      <c r="A168">
        <v>165</v>
      </c>
      <c r="B168" t="s">
        <v>1146</v>
      </c>
      <c r="C168" t="s">
        <v>1147</v>
      </c>
      <c r="D168" t="s">
        <v>19</v>
      </c>
      <c r="E168" t="s">
        <v>53</v>
      </c>
      <c r="F168" t="s">
        <v>407</v>
      </c>
      <c r="G168" t="s">
        <v>72</v>
      </c>
      <c r="H168" t="s">
        <v>654</v>
      </c>
      <c r="I168" t="s">
        <v>68</v>
      </c>
      <c r="J168" s="12">
        <v>183.12</v>
      </c>
      <c r="K168">
        <v>1</v>
      </c>
      <c r="L168" s="12">
        <v>183.12</v>
      </c>
      <c r="M168" s="13">
        <v>33</v>
      </c>
      <c r="N168" s="13">
        <v>133</v>
      </c>
      <c r="O168" s="13">
        <v>290</v>
      </c>
      <c r="P168" s="13">
        <v>659</v>
      </c>
      <c r="Q168" s="12">
        <v>26186.16</v>
      </c>
      <c r="R168" s="14">
        <f t="shared" si="4"/>
        <v>1.06337271750806</v>
      </c>
      <c r="S168">
        <v>20</v>
      </c>
      <c r="T168" s="15">
        <f t="shared" si="5"/>
        <v>4.51127819548872</v>
      </c>
      <c r="U168" t="s">
        <v>218</v>
      </c>
      <c r="V168">
        <v>17</v>
      </c>
      <c r="W168">
        <v>4.7</v>
      </c>
      <c r="X168" s="16">
        <v>0.0936</v>
      </c>
      <c r="Y168" s="17">
        <v>46050</v>
      </c>
      <c r="Z168" t="s">
        <v>219</v>
      </c>
      <c r="AB168" s="18">
        <v>0.705128205128205</v>
      </c>
      <c r="AC168" t="s">
        <v>271</v>
      </c>
      <c r="AD168" t="s">
        <v>272</v>
      </c>
      <c r="AE168" t="s">
        <v>747</v>
      </c>
      <c r="AF168" t="s">
        <v>230</v>
      </c>
      <c r="AG168" t="s">
        <v>224</v>
      </c>
      <c r="AH168" t="s">
        <v>1148</v>
      </c>
      <c r="AI168" t="s">
        <v>225</v>
      </c>
      <c r="AJ168">
        <v>1</v>
      </c>
    </row>
    <row r="169" ht="23" customHeight="1" spans="1:36">
      <c r="A169">
        <v>166</v>
      </c>
      <c r="B169" t="s">
        <v>1149</v>
      </c>
      <c r="C169" t="s">
        <v>1150</v>
      </c>
      <c r="D169" t="s">
        <v>21</v>
      </c>
      <c r="E169" t="s">
        <v>53</v>
      </c>
      <c r="F169" t="s">
        <v>1151</v>
      </c>
      <c r="G169" t="s">
        <v>1152</v>
      </c>
      <c r="H169" t="s">
        <v>1153</v>
      </c>
      <c r="I169" t="s">
        <v>69</v>
      </c>
      <c r="J169" s="12">
        <v>193.61</v>
      </c>
      <c r="K169">
        <v>1</v>
      </c>
      <c r="L169" s="12">
        <v>193.61</v>
      </c>
      <c r="M169" s="13">
        <v>36</v>
      </c>
      <c r="N169" s="13">
        <v>132</v>
      </c>
      <c r="O169" s="13">
        <v>215</v>
      </c>
      <c r="P169" s="13">
        <v>222</v>
      </c>
      <c r="Q169" s="12">
        <v>27492.62</v>
      </c>
      <c r="R169" s="14">
        <f t="shared" si="4"/>
        <v>1.16883116883117</v>
      </c>
      <c r="S169">
        <v>208</v>
      </c>
      <c r="T169" s="15">
        <f t="shared" si="5"/>
        <v>47.2727272727273</v>
      </c>
      <c r="U169" t="s">
        <v>218</v>
      </c>
      <c r="V169">
        <v>10</v>
      </c>
      <c r="W169">
        <v>4.7</v>
      </c>
      <c r="X169" s="16">
        <v>0.0807</v>
      </c>
      <c r="Y169" s="17">
        <v>46244</v>
      </c>
      <c r="Z169" t="s">
        <v>241</v>
      </c>
      <c r="AB169" s="18">
        <v>0.590361445783133</v>
      </c>
      <c r="AC169" t="s">
        <v>1154</v>
      </c>
      <c r="AD169" t="s">
        <v>509</v>
      </c>
      <c r="AE169" t="s">
        <v>341</v>
      </c>
      <c r="AF169" t="s">
        <v>592</v>
      </c>
      <c r="AG169" t="s">
        <v>224</v>
      </c>
      <c r="AH169" t="s">
        <v>1155</v>
      </c>
      <c r="AI169" t="s">
        <v>225</v>
      </c>
      <c r="AJ169">
        <v>1</v>
      </c>
    </row>
    <row r="170" ht="23" customHeight="1" spans="1:36">
      <c r="A170">
        <v>167</v>
      </c>
      <c r="B170" t="s">
        <v>1156</v>
      </c>
      <c r="C170" t="s">
        <v>1157</v>
      </c>
      <c r="D170" t="s">
        <v>19</v>
      </c>
      <c r="E170" t="s">
        <v>53</v>
      </c>
      <c r="F170" t="s">
        <v>102</v>
      </c>
      <c r="G170" t="s">
        <v>73</v>
      </c>
      <c r="H170" t="s">
        <v>227</v>
      </c>
      <c r="I170" t="s">
        <v>68</v>
      </c>
      <c r="J170" s="12">
        <v>179.52</v>
      </c>
      <c r="K170">
        <v>1</v>
      </c>
      <c r="L170" s="12">
        <v>179.52</v>
      </c>
      <c r="M170" s="13">
        <v>5</v>
      </c>
      <c r="N170" s="13">
        <v>132</v>
      </c>
      <c r="O170" s="13">
        <v>264</v>
      </c>
      <c r="P170" s="13">
        <v>264</v>
      </c>
      <c r="Q170" s="12">
        <v>23696.64</v>
      </c>
      <c r="R170" s="14">
        <f t="shared" si="4"/>
        <v>0.162337662337662</v>
      </c>
      <c r="S170">
        <v>147</v>
      </c>
      <c r="T170" s="15">
        <f t="shared" si="5"/>
        <v>33.4090909090909</v>
      </c>
      <c r="U170" t="s">
        <v>218</v>
      </c>
      <c r="V170">
        <v>13</v>
      </c>
      <c r="W170">
        <v>4.1</v>
      </c>
      <c r="X170" s="16">
        <v>0.0738</v>
      </c>
      <c r="Y170" s="17">
        <v>46231</v>
      </c>
      <c r="Z170" t="s">
        <v>241</v>
      </c>
      <c r="AB170" s="18">
        <v>-0.0364963503649635</v>
      </c>
      <c r="AC170" t="s">
        <v>844</v>
      </c>
      <c r="AD170" t="s">
        <v>1158</v>
      </c>
      <c r="AE170" t="s">
        <v>820</v>
      </c>
      <c r="AF170" t="s">
        <v>251</v>
      </c>
      <c r="AG170" t="s">
        <v>224</v>
      </c>
      <c r="AH170" t="s">
        <v>1159</v>
      </c>
      <c r="AI170" t="s">
        <v>225</v>
      </c>
      <c r="AJ170">
        <v>1</v>
      </c>
    </row>
    <row r="171" ht="23" customHeight="1" spans="1:36">
      <c r="A171">
        <v>168</v>
      </c>
      <c r="B171" t="s">
        <v>1160</v>
      </c>
      <c r="C171" t="s">
        <v>1161</v>
      </c>
      <c r="D171" t="s">
        <v>40</v>
      </c>
      <c r="E171" t="s">
        <v>59</v>
      </c>
      <c r="F171" t="s">
        <v>506</v>
      </c>
      <c r="G171" t="s">
        <v>507</v>
      </c>
      <c r="H171" t="s">
        <v>506</v>
      </c>
      <c r="I171" t="s">
        <v>68</v>
      </c>
      <c r="J171" s="12">
        <v>494.7</v>
      </c>
      <c r="K171">
        <v>1</v>
      </c>
      <c r="L171" s="12">
        <v>494.7</v>
      </c>
      <c r="M171" s="13">
        <v>28</v>
      </c>
      <c r="N171" s="13">
        <v>132</v>
      </c>
      <c r="O171" s="13">
        <v>242</v>
      </c>
      <c r="P171" s="13">
        <v>848</v>
      </c>
      <c r="Q171" s="12">
        <v>65300.4</v>
      </c>
      <c r="R171" s="14">
        <f t="shared" si="4"/>
        <v>0.909090909090909</v>
      </c>
      <c r="S171">
        <v>90</v>
      </c>
      <c r="T171" s="15">
        <f t="shared" si="5"/>
        <v>20.4545454545455</v>
      </c>
      <c r="U171" t="s">
        <v>218</v>
      </c>
      <c r="V171">
        <v>320</v>
      </c>
      <c r="W171">
        <v>4.8</v>
      </c>
      <c r="X171" s="16">
        <v>0.0441</v>
      </c>
      <c r="Y171" s="17">
        <v>45721</v>
      </c>
      <c r="Z171" t="s">
        <v>219</v>
      </c>
      <c r="AA171">
        <v>5</v>
      </c>
      <c r="AB171" s="18">
        <v>1.03076923076923</v>
      </c>
      <c r="AC171" t="s">
        <v>1162</v>
      </c>
      <c r="AD171" t="s">
        <v>365</v>
      </c>
      <c r="AE171" t="s">
        <v>622</v>
      </c>
      <c r="AF171" t="s">
        <v>631</v>
      </c>
      <c r="AG171" t="s">
        <v>224</v>
      </c>
      <c r="AH171" t="s">
        <v>1163</v>
      </c>
      <c r="AI171" t="s">
        <v>225</v>
      </c>
      <c r="AJ171">
        <v>0</v>
      </c>
    </row>
    <row r="172" ht="23" customHeight="1" spans="1:36">
      <c r="A172">
        <v>169</v>
      </c>
      <c r="B172" t="s">
        <v>1164</v>
      </c>
      <c r="C172" t="s">
        <v>1165</v>
      </c>
      <c r="D172" t="s">
        <v>21</v>
      </c>
      <c r="E172" t="s">
        <v>53</v>
      </c>
      <c r="F172" t="s">
        <v>1053</v>
      </c>
      <c r="G172" t="s">
        <v>1054</v>
      </c>
      <c r="H172" t="s">
        <v>1055</v>
      </c>
      <c r="I172" t="s">
        <v>69</v>
      </c>
      <c r="J172" s="12">
        <v>179.81</v>
      </c>
      <c r="K172">
        <v>1</v>
      </c>
      <c r="L172" s="12">
        <v>179.81</v>
      </c>
      <c r="M172" s="13">
        <v>23</v>
      </c>
      <c r="N172" s="13">
        <v>130</v>
      </c>
      <c r="O172" s="13">
        <v>281</v>
      </c>
      <c r="P172" s="13">
        <v>288</v>
      </c>
      <c r="Q172" s="12">
        <v>24993.59</v>
      </c>
      <c r="R172" s="14">
        <f t="shared" si="4"/>
        <v>0.758241758241758</v>
      </c>
      <c r="S172">
        <v>532</v>
      </c>
      <c r="T172" s="15">
        <f t="shared" si="5"/>
        <v>122.769230769231</v>
      </c>
      <c r="U172" t="s">
        <v>218</v>
      </c>
      <c r="V172">
        <v>13</v>
      </c>
      <c r="W172">
        <v>4.7</v>
      </c>
      <c r="X172" s="16">
        <v>0.0428</v>
      </c>
      <c r="Y172" s="17">
        <v>46126</v>
      </c>
      <c r="Z172" t="s">
        <v>228</v>
      </c>
      <c r="AB172" s="18">
        <v>-0.115646258503401</v>
      </c>
      <c r="AC172" t="s">
        <v>1166</v>
      </c>
      <c r="AD172" t="s">
        <v>347</v>
      </c>
      <c r="AE172" t="s">
        <v>331</v>
      </c>
      <c r="AF172" t="s">
        <v>619</v>
      </c>
      <c r="AG172" t="s">
        <v>224</v>
      </c>
      <c r="AH172" t="s">
        <v>1167</v>
      </c>
      <c r="AI172" t="s">
        <v>225</v>
      </c>
      <c r="AJ172">
        <v>1</v>
      </c>
    </row>
    <row r="173" ht="23" customHeight="1" spans="1:36">
      <c r="A173">
        <v>170</v>
      </c>
      <c r="B173" t="s">
        <v>1168</v>
      </c>
      <c r="C173" t="s">
        <v>1169</v>
      </c>
      <c r="D173" t="s">
        <v>23</v>
      </c>
      <c r="E173" t="s">
        <v>53</v>
      </c>
      <c r="F173" t="s">
        <v>1170</v>
      </c>
      <c r="G173" t="s">
        <v>1171</v>
      </c>
      <c r="H173" t="s">
        <v>1172</v>
      </c>
      <c r="I173" t="s">
        <v>69</v>
      </c>
      <c r="J173" s="12">
        <v>154.89</v>
      </c>
      <c r="K173">
        <v>4</v>
      </c>
      <c r="L173" s="12">
        <v>38.72</v>
      </c>
      <c r="M173" s="13">
        <v>25</v>
      </c>
      <c r="N173" s="13">
        <v>130</v>
      </c>
      <c r="O173" s="13">
        <v>267</v>
      </c>
      <c r="P173" s="13">
        <v>3176</v>
      </c>
      <c r="Q173" s="12">
        <v>20135.7</v>
      </c>
      <c r="R173" s="14">
        <f t="shared" si="4"/>
        <v>0.824175824175824</v>
      </c>
      <c r="S173">
        <v>135</v>
      </c>
      <c r="T173" s="15">
        <f t="shared" si="5"/>
        <v>31.1538461538462</v>
      </c>
      <c r="U173" t="s">
        <v>218</v>
      </c>
      <c r="V173">
        <v>689</v>
      </c>
      <c r="W173">
        <v>4.4</v>
      </c>
      <c r="X173" s="16">
        <v>0.0661</v>
      </c>
      <c r="Y173" s="17">
        <v>45951</v>
      </c>
      <c r="Z173" t="s">
        <v>219</v>
      </c>
      <c r="AA173">
        <v>20</v>
      </c>
      <c r="AB173" s="18">
        <v>1.6530612244898</v>
      </c>
      <c r="AC173" t="s">
        <v>1075</v>
      </c>
      <c r="AD173" t="s">
        <v>540</v>
      </c>
      <c r="AE173" t="s">
        <v>540</v>
      </c>
      <c r="AF173" t="s">
        <v>592</v>
      </c>
      <c r="AG173" t="s">
        <v>224</v>
      </c>
      <c r="AH173" t="s">
        <v>1173</v>
      </c>
      <c r="AI173" t="s">
        <v>225</v>
      </c>
      <c r="AJ173">
        <v>1</v>
      </c>
    </row>
    <row r="174" ht="23" customHeight="1" spans="1:36">
      <c r="A174">
        <v>171</v>
      </c>
      <c r="B174" t="s">
        <v>1174</v>
      </c>
      <c r="C174" t="s">
        <v>1175</v>
      </c>
      <c r="D174" t="s">
        <v>19</v>
      </c>
      <c r="E174" t="s">
        <v>53</v>
      </c>
      <c r="F174" t="s">
        <v>102</v>
      </c>
      <c r="G174" t="s">
        <v>73</v>
      </c>
      <c r="H174" t="s">
        <v>227</v>
      </c>
      <c r="I174" t="s">
        <v>68</v>
      </c>
      <c r="J174" s="12">
        <v>163.66</v>
      </c>
      <c r="K174">
        <v>1</v>
      </c>
      <c r="L174" s="12">
        <v>163.66</v>
      </c>
      <c r="M174" s="13">
        <v>20</v>
      </c>
      <c r="N174" s="13">
        <v>129</v>
      </c>
      <c r="O174" s="13">
        <v>432</v>
      </c>
      <c r="P174" s="13">
        <v>859</v>
      </c>
      <c r="Q174" s="12">
        <v>22094.1</v>
      </c>
      <c r="R174" s="14">
        <f t="shared" si="4"/>
        <v>0.664451827242525</v>
      </c>
      <c r="S174">
        <v>203</v>
      </c>
      <c r="T174" s="15">
        <f t="shared" si="5"/>
        <v>47.2093023255814</v>
      </c>
      <c r="U174" t="s">
        <v>218</v>
      </c>
      <c r="V174">
        <v>125</v>
      </c>
      <c r="W174">
        <v>4.5</v>
      </c>
      <c r="X174" s="16">
        <v>0.069</v>
      </c>
      <c r="Y174" s="17">
        <v>46128</v>
      </c>
      <c r="Z174" t="s">
        <v>228</v>
      </c>
      <c r="AB174" s="18">
        <v>-0.162337662337662</v>
      </c>
      <c r="AC174" t="s">
        <v>263</v>
      </c>
      <c r="AD174" t="s">
        <v>412</v>
      </c>
      <c r="AE174" t="s">
        <v>250</v>
      </c>
      <c r="AF174" t="s">
        <v>1008</v>
      </c>
      <c r="AG174" t="s">
        <v>224</v>
      </c>
      <c r="AH174" t="s">
        <v>1176</v>
      </c>
      <c r="AI174" t="s">
        <v>225</v>
      </c>
      <c r="AJ174">
        <v>1</v>
      </c>
    </row>
    <row r="175" ht="23" customHeight="1" spans="1:36">
      <c r="A175">
        <v>172</v>
      </c>
      <c r="B175" t="s">
        <v>1177</v>
      </c>
      <c r="C175" t="s">
        <v>1178</v>
      </c>
      <c r="D175" t="s">
        <v>19</v>
      </c>
      <c r="E175" t="s">
        <v>50</v>
      </c>
      <c r="F175" t="s">
        <v>1043</v>
      </c>
      <c r="G175" t="s">
        <v>1044</v>
      </c>
      <c r="H175" t="s">
        <v>1045</v>
      </c>
      <c r="I175" t="s">
        <v>69</v>
      </c>
      <c r="J175" s="12">
        <v>106.7</v>
      </c>
      <c r="K175">
        <v>1</v>
      </c>
      <c r="L175" s="12">
        <v>106.7</v>
      </c>
      <c r="M175" s="13">
        <v>28</v>
      </c>
      <c r="N175" s="13">
        <v>128</v>
      </c>
      <c r="O175" s="13">
        <v>202</v>
      </c>
      <c r="P175" s="13">
        <v>245</v>
      </c>
      <c r="Q175" s="12">
        <v>14511.2</v>
      </c>
      <c r="R175" s="14">
        <f t="shared" si="4"/>
        <v>0.9375</v>
      </c>
      <c r="S175">
        <v>18</v>
      </c>
      <c r="T175" s="15">
        <f t="shared" si="5"/>
        <v>4.21875</v>
      </c>
      <c r="U175" t="s">
        <v>218</v>
      </c>
      <c r="V175">
        <v>10</v>
      </c>
      <c r="W175">
        <v>4.1</v>
      </c>
      <c r="X175" s="16">
        <v>0.0761</v>
      </c>
      <c r="Y175" s="17">
        <v>46140</v>
      </c>
      <c r="Z175" t="s">
        <v>228</v>
      </c>
      <c r="AB175" s="18">
        <v>0.828571428571429</v>
      </c>
      <c r="AC175" t="s">
        <v>862</v>
      </c>
      <c r="AD175" t="s">
        <v>523</v>
      </c>
      <c r="AE175" t="s">
        <v>1179</v>
      </c>
      <c r="AF175" t="s">
        <v>780</v>
      </c>
      <c r="AG175" t="s">
        <v>224</v>
      </c>
      <c r="AH175" t="s">
        <v>1180</v>
      </c>
      <c r="AI175" t="s">
        <v>225</v>
      </c>
      <c r="AJ175">
        <v>1</v>
      </c>
    </row>
    <row r="176" ht="23" customHeight="1" spans="1:36">
      <c r="A176">
        <v>173</v>
      </c>
      <c r="B176" t="s">
        <v>1181</v>
      </c>
      <c r="C176" t="s">
        <v>1182</v>
      </c>
      <c r="D176" t="s">
        <v>30</v>
      </c>
      <c r="E176" t="s">
        <v>56</v>
      </c>
      <c r="F176" t="s">
        <v>1183</v>
      </c>
      <c r="G176" t="s">
        <v>1184</v>
      </c>
      <c r="H176" t="s">
        <v>970</v>
      </c>
      <c r="I176" t="s">
        <v>69</v>
      </c>
      <c r="J176" s="12">
        <v>268.48</v>
      </c>
      <c r="K176">
        <v>3</v>
      </c>
      <c r="L176" s="12">
        <v>89.49</v>
      </c>
      <c r="M176" s="13">
        <v>69</v>
      </c>
      <c r="N176" s="13">
        <v>127</v>
      </c>
      <c r="O176" s="13">
        <v>137</v>
      </c>
      <c r="P176" s="13">
        <v>303</v>
      </c>
      <c r="Q176" s="12">
        <v>36781.76</v>
      </c>
      <c r="R176" s="14">
        <f t="shared" si="4"/>
        <v>2.32845894263217</v>
      </c>
      <c r="S176">
        <v>13</v>
      </c>
      <c r="T176" s="15">
        <f t="shared" si="5"/>
        <v>3.07086614173228</v>
      </c>
      <c r="U176" t="s">
        <v>218</v>
      </c>
      <c r="V176">
        <v>28</v>
      </c>
      <c r="W176">
        <v>4.9</v>
      </c>
      <c r="X176" s="16">
        <v>0.0667</v>
      </c>
      <c r="Y176" s="17">
        <v>46108</v>
      </c>
      <c r="Z176" t="s">
        <v>228</v>
      </c>
      <c r="AB176" s="18">
        <v>11.7</v>
      </c>
      <c r="AC176" t="s">
        <v>1185</v>
      </c>
      <c r="AD176" t="s">
        <v>1186</v>
      </c>
      <c r="AE176" t="s">
        <v>341</v>
      </c>
      <c r="AF176" t="s">
        <v>713</v>
      </c>
      <c r="AG176" t="s">
        <v>224</v>
      </c>
      <c r="AH176" t="s">
        <v>1187</v>
      </c>
      <c r="AI176" t="s">
        <v>225</v>
      </c>
      <c r="AJ176">
        <v>0</v>
      </c>
    </row>
    <row r="177" ht="23" customHeight="1" spans="1:36">
      <c r="A177">
        <v>174</v>
      </c>
      <c r="B177" t="s">
        <v>1188</v>
      </c>
      <c r="C177" t="s">
        <v>1189</v>
      </c>
      <c r="D177" t="s">
        <v>19</v>
      </c>
      <c r="E177" t="s">
        <v>47</v>
      </c>
      <c r="F177" t="s">
        <v>808</v>
      </c>
      <c r="G177" t="s">
        <v>809</v>
      </c>
      <c r="H177" t="s">
        <v>1190</v>
      </c>
      <c r="I177" t="s">
        <v>69</v>
      </c>
      <c r="J177" s="12">
        <v>87.6</v>
      </c>
      <c r="K177">
        <v>1</v>
      </c>
      <c r="L177" s="12">
        <v>87.6</v>
      </c>
      <c r="M177" s="13">
        <v>31</v>
      </c>
      <c r="N177" s="13">
        <v>127</v>
      </c>
      <c r="O177" s="13">
        <v>145</v>
      </c>
      <c r="P177" s="13">
        <v>151</v>
      </c>
      <c r="Q177" s="12">
        <v>11563.2</v>
      </c>
      <c r="R177" s="14">
        <f t="shared" si="4"/>
        <v>1.04611923509561</v>
      </c>
      <c r="S177">
        <v>170</v>
      </c>
      <c r="T177" s="15">
        <f t="shared" si="5"/>
        <v>40.1574803149606</v>
      </c>
      <c r="U177" t="s">
        <v>218</v>
      </c>
      <c r="V177">
        <v>2</v>
      </c>
      <c r="W177">
        <v>5</v>
      </c>
      <c r="X177" s="16">
        <v>0.0506</v>
      </c>
      <c r="Y177" s="17">
        <v>46236</v>
      </c>
      <c r="Z177" t="s">
        <v>241</v>
      </c>
      <c r="AB177" s="18">
        <v>6.9375</v>
      </c>
      <c r="AC177" t="s">
        <v>659</v>
      </c>
      <c r="AD177" t="s">
        <v>305</v>
      </c>
      <c r="AE177" t="s">
        <v>450</v>
      </c>
      <c r="AF177" t="s">
        <v>1191</v>
      </c>
      <c r="AG177" t="s">
        <v>224</v>
      </c>
      <c r="AH177" t="s">
        <v>1192</v>
      </c>
      <c r="AI177" t="s">
        <v>225</v>
      </c>
      <c r="AJ177">
        <v>1</v>
      </c>
    </row>
    <row r="178" ht="23" customHeight="1" spans="1:36">
      <c r="A178">
        <v>175</v>
      </c>
      <c r="B178" t="s">
        <v>1193</v>
      </c>
      <c r="C178" t="s">
        <v>1194</v>
      </c>
      <c r="D178" t="s">
        <v>19</v>
      </c>
      <c r="E178" t="s">
        <v>50</v>
      </c>
      <c r="F178" t="s">
        <v>102</v>
      </c>
      <c r="G178" t="s">
        <v>73</v>
      </c>
      <c r="H178" t="s">
        <v>227</v>
      </c>
      <c r="I178" t="s">
        <v>68</v>
      </c>
      <c r="J178" s="12">
        <v>146.72</v>
      </c>
      <c r="K178">
        <v>1</v>
      </c>
      <c r="L178" s="12">
        <v>146.72</v>
      </c>
      <c r="M178" s="13">
        <v>16</v>
      </c>
      <c r="N178" s="13">
        <v>126</v>
      </c>
      <c r="O178" s="13">
        <v>444</v>
      </c>
      <c r="P178" s="13">
        <v>746</v>
      </c>
      <c r="Q178" s="12">
        <v>19220.32</v>
      </c>
      <c r="R178" s="14">
        <f t="shared" si="4"/>
        <v>0.54421768707483</v>
      </c>
      <c r="S178">
        <v>100</v>
      </c>
      <c r="T178" s="15">
        <f t="shared" si="5"/>
        <v>23.8095238095238</v>
      </c>
      <c r="U178" t="s">
        <v>218</v>
      </c>
      <c r="V178">
        <v>29</v>
      </c>
      <c r="W178">
        <v>4.7</v>
      </c>
      <c r="X178" s="16">
        <v>0.0912</v>
      </c>
      <c r="Y178" s="17">
        <v>46154</v>
      </c>
      <c r="Z178" t="s">
        <v>228</v>
      </c>
      <c r="AB178" s="18">
        <v>-0.459227467811159</v>
      </c>
      <c r="AC178" t="s">
        <v>659</v>
      </c>
      <c r="AD178" t="s">
        <v>305</v>
      </c>
      <c r="AE178" t="s">
        <v>300</v>
      </c>
      <c r="AF178" t="s">
        <v>891</v>
      </c>
      <c r="AG178" t="s">
        <v>224</v>
      </c>
      <c r="AH178" t="s">
        <v>1195</v>
      </c>
      <c r="AI178" t="s">
        <v>225</v>
      </c>
      <c r="AJ178">
        <v>1</v>
      </c>
    </row>
    <row r="179" ht="23" customHeight="1" spans="1:36">
      <c r="A179">
        <v>176</v>
      </c>
      <c r="B179" t="s">
        <v>1196</v>
      </c>
      <c r="C179" t="s">
        <v>1197</v>
      </c>
      <c r="D179" t="s">
        <v>19</v>
      </c>
      <c r="E179" t="s">
        <v>56</v>
      </c>
      <c r="F179" t="s">
        <v>1198</v>
      </c>
      <c r="G179" t="s">
        <v>1199</v>
      </c>
      <c r="H179" t="s">
        <v>1200</v>
      </c>
      <c r="I179" t="s">
        <v>69</v>
      </c>
      <c r="J179" s="12">
        <v>239</v>
      </c>
      <c r="K179">
        <v>2</v>
      </c>
      <c r="L179" s="12">
        <v>119.5</v>
      </c>
      <c r="M179" s="13">
        <v>8</v>
      </c>
      <c r="N179" s="13">
        <v>126</v>
      </c>
      <c r="O179" s="13">
        <v>265</v>
      </c>
      <c r="P179" s="13">
        <v>840</v>
      </c>
      <c r="Q179" s="12">
        <v>30114</v>
      </c>
      <c r="R179" s="14">
        <f t="shared" si="4"/>
        <v>0.272108843537415</v>
      </c>
      <c r="S179">
        <v>102</v>
      </c>
      <c r="T179" s="15">
        <f t="shared" si="5"/>
        <v>24.2857142857143</v>
      </c>
      <c r="U179" t="s">
        <v>218</v>
      </c>
      <c r="V179">
        <v>45</v>
      </c>
      <c r="W179">
        <v>4.9</v>
      </c>
      <c r="X179" s="16">
        <v>0.0817</v>
      </c>
      <c r="Y179" s="17">
        <v>45838</v>
      </c>
      <c r="Z179" t="s">
        <v>219</v>
      </c>
      <c r="AB179" s="18">
        <v>2</v>
      </c>
      <c r="AC179" t="s">
        <v>510</v>
      </c>
      <c r="AD179" t="s">
        <v>319</v>
      </c>
      <c r="AE179" t="s">
        <v>740</v>
      </c>
      <c r="AF179" t="s">
        <v>854</v>
      </c>
      <c r="AG179" t="s">
        <v>224</v>
      </c>
      <c r="AH179" t="s">
        <v>1201</v>
      </c>
      <c r="AI179" t="s">
        <v>225</v>
      </c>
      <c r="AJ179">
        <v>1</v>
      </c>
    </row>
    <row r="180" ht="23" customHeight="1" spans="1:36">
      <c r="A180">
        <v>177</v>
      </c>
      <c r="B180" t="s">
        <v>1202</v>
      </c>
      <c r="C180" t="s">
        <v>1203</v>
      </c>
      <c r="D180" t="s">
        <v>19</v>
      </c>
      <c r="E180" t="s">
        <v>50</v>
      </c>
      <c r="F180" t="s">
        <v>407</v>
      </c>
      <c r="G180" t="s">
        <v>72</v>
      </c>
      <c r="H180" t="s">
        <v>611</v>
      </c>
      <c r="I180" t="s">
        <v>68</v>
      </c>
      <c r="J180" s="12">
        <v>148.5</v>
      </c>
      <c r="K180">
        <v>1</v>
      </c>
      <c r="L180" s="12">
        <v>148.5</v>
      </c>
      <c r="M180" s="13">
        <v>4</v>
      </c>
      <c r="N180" s="13">
        <v>126</v>
      </c>
      <c r="O180" s="13">
        <v>361</v>
      </c>
      <c r="P180" s="13">
        <v>1355</v>
      </c>
      <c r="Q180" s="12">
        <v>18711</v>
      </c>
      <c r="R180" s="14">
        <f t="shared" si="4"/>
        <v>0.136054421768707</v>
      </c>
      <c r="S180">
        <v>112</v>
      </c>
      <c r="T180" s="15">
        <f t="shared" si="5"/>
        <v>26.6666666666667</v>
      </c>
      <c r="U180" t="s">
        <v>218</v>
      </c>
      <c r="V180">
        <v>0</v>
      </c>
      <c r="W180">
        <v>0</v>
      </c>
      <c r="X180" s="16">
        <v>0.06</v>
      </c>
      <c r="Y180" s="17">
        <v>45980</v>
      </c>
      <c r="Z180" t="s">
        <v>219</v>
      </c>
      <c r="AB180" s="18">
        <v>-0.207547169811321</v>
      </c>
      <c r="AC180" t="s">
        <v>1204</v>
      </c>
      <c r="AD180" t="s">
        <v>272</v>
      </c>
      <c r="AE180" t="s">
        <v>518</v>
      </c>
      <c r="AF180" t="s">
        <v>668</v>
      </c>
      <c r="AG180" t="s">
        <v>224</v>
      </c>
      <c r="AH180" t="s">
        <v>1205</v>
      </c>
      <c r="AI180" t="s">
        <v>225</v>
      </c>
      <c r="AJ180">
        <v>1</v>
      </c>
    </row>
    <row r="181" ht="23" customHeight="1" spans="1:36">
      <c r="A181">
        <v>178</v>
      </c>
      <c r="B181" t="s">
        <v>1206</v>
      </c>
      <c r="C181" t="s">
        <v>1207</v>
      </c>
      <c r="D181" t="s">
        <v>23</v>
      </c>
      <c r="E181" t="s">
        <v>62</v>
      </c>
      <c r="F181" t="s">
        <v>1208</v>
      </c>
      <c r="G181" t="s">
        <v>1209</v>
      </c>
      <c r="H181" t="s">
        <v>1210</v>
      </c>
      <c r="I181" t="s">
        <v>69</v>
      </c>
      <c r="J181" s="12">
        <v>567.93</v>
      </c>
      <c r="K181">
        <v>1</v>
      </c>
      <c r="L181" s="12">
        <v>567.93</v>
      </c>
      <c r="M181" s="13">
        <v>34</v>
      </c>
      <c r="N181" s="13">
        <v>125</v>
      </c>
      <c r="O181" s="13">
        <v>446</v>
      </c>
      <c r="P181" s="13">
        <v>1644</v>
      </c>
      <c r="Q181" s="12">
        <v>70991.25</v>
      </c>
      <c r="R181" s="14">
        <f t="shared" si="4"/>
        <v>1.16571428571429</v>
      </c>
      <c r="S181">
        <v>80</v>
      </c>
      <c r="T181" s="15">
        <f t="shared" si="5"/>
        <v>19.2</v>
      </c>
      <c r="U181" t="s">
        <v>218</v>
      </c>
      <c r="V181">
        <v>206</v>
      </c>
      <c r="W181">
        <v>4.7</v>
      </c>
      <c r="X181" s="16">
        <v>0.0198</v>
      </c>
      <c r="Y181" s="17">
        <v>45992</v>
      </c>
      <c r="Z181" t="s">
        <v>219</v>
      </c>
      <c r="AB181" s="18">
        <v>-0.172185430463576</v>
      </c>
      <c r="AC181" t="s">
        <v>1211</v>
      </c>
      <c r="AD181" t="s">
        <v>712</v>
      </c>
      <c r="AE181" t="s">
        <v>482</v>
      </c>
      <c r="AF181" t="s">
        <v>753</v>
      </c>
      <c r="AG181" t="s">
        <v>224</v>
      </c>
      <c r="AH181" t="s">
        <v>1212</v>
      </c>
      <c r="AI181" t="s">
        <v>225</v>
      </c>
      <c r="AJ181">
        <v>1</v>
      </c>
    </row>
    <row r="182" ht="23" customHeight="1" spans="1:36">
      <c r="A182">
        <v>179</v>
      </c>
      <c r="B182" t="s">
        <v>1213</v>
      </c>
      <c r="C182" t="s">
        <v>1214</v>
      </c>
      <c r="D182" t="s">
        <v>30</v>
      </c>
      <c r="E182" t="s">
        <v>56</v>
      </c>
      <c r="F182" t="s">
        <v>1215</v>
      </c>
      <c r="G182" t="s">
        <v>1216</v>
      </c>
      <c r="H182" t="s">
        <v>1217</v>
      </c>
      <c r="I182" t="s">
        <v>68</v>
      </c>
      <c r="J182" s="12">
        <v>298</v>
      </c>
      <c r="K182">
        <v>1</v>
      </c>
      <c r="L182" s="12">
        <v>298</v>
      </c>
      <c r="M182" s="13">
        <v>28</v>
      </c>
      <c r="N182" s="13">
        <v>125</v>
      </c>
      <c r="O182" s="13">
        <v>272</v>
      </c>
      <c r="P182" s="13">
        <v>486</v>
      </c>
      <c r="Q182" s="12">
        <v>37250</v>
      </c>
      <c r="R182" s="14">
        <f t="shared" si="4"/>
        <v>0.96</v>
      </c>
      <c r="S182">
        <v>173</v>
      </c>
      <c r="T182" s="15">
        <f t="shared" si="5"/>
        <v>41.52</v>
      </c>
      <c r="U182" t="s">
        <v>218</v>
      </c>
      <c r="V182">
        <v>92</v>
      </c>
      <c r="W182">
        <v>4.4</v>
      </c>
      <c r="X182" s="16">
        <v>0.0766</v>
      </c>
      <c r="Y182" s="17">
        <v>46042</v>
      </c>
      <c r="Z182" t="s">
        <v>219</v>
      </c>
      <c r="AA182">
        <v>18</v>
      </c>
      <c r="AB182" s="18">
        <v>2.90625</v>
      </c>
      <c r="AC182" t="s">
        <v>1218</v>
      </c>
      <c r="AD182" t="s">
        <v>1219</v>
      </c>
      <c r="AE182" t="s">
        <v>774</v>
      </c>
      <c r="AF182" t="s">
        <v>1220</v>
      </c>
      <c r="AG182" t="s">
        <v>224</v>
      </c>
      <c r="AH182" t="s">
        <v>1221</v>
      </c>
      <c r="AI182" t="s">
        <v>225</v>
      </c>
      <c r="AJ182">
        <v>0</v>
      </c>
    </row>
    <row r="183" ht="23" customHeight="1" spans="1:36">
      <c r="A183">
        <v>180</v>
      </c>
      <c r="B183" t="s">
        <v>1222</v>
      </c>
      <c r="C183" t="s">
        <v>1223</v>
      </c>
      <c r="D183" t="s">
        <v>21</v>
      </c>
      <c r="E183" t="s">
        <v>53</v>
      </c>
      <c r="F183" t="s">
        <v>114</v>
      </c>
      <c r="G183" t="s">
        <v>82</v>
      </c>
      <c r="H183" t="s">
        <v>247</v>
      </c>
      <c r="I183" t="s">
        <v>68</v>
      </c>
      <c r="J183" s="12">
        <v>189.89</v>
      </c>
      <c r="K183">
        <v>1</v>
      </c>
      <c r="L183" s="12">
        <v>189.89</v>
      </c>
      <c r="M183" s="13">
        <v>11</v>
      </c>
      <c r="N183" s="13">
        <v>125</v>
      </c>
      <c r="O183" s="13">
        <v>695</v>
      </c>
      <c r="P183" s="13">
        <v>724</v>
      </c>
      <c r="Q183" s="12">
        <v>24875.59</v>
      </c>
      <c r="R183" s="14">
        <f t="shared" si="4"/>
        <v>0.377142857142857</v>
      </c>
      <c r="S183">
        <v>30</v>
      </c>
      <c r="T183" s="15">
        <f t="shared" si="5"/>
        <v>7.2</v>
      </c>
      <c r="U183" t="s">
        <v>218</v>
      </c>
      <c r="V183">
        <v>0</v>
      </c>
      <c r="W183">
        <v>0</v>
      </c>
      <c r="X183" s="16">
        <v>0.0506</v>
      </c>
      <c r="Y183" s="17">
        <v>46140</v>
      </c>
      <c r="Z183" t="s">
        <v>228</v>
      </c>
      <c r="AB183" s="18">
        <v>-0.672774869109948</v>
      </c>
      <c r="AC183" t="s">
        <v>931</v>
      </c>
      <c r="AD183" t="s">
        <v>481</v>
      </c>
      <c r="AE183" t="s">
        <v>320</v>
      </c>
      <c r="AF183" t="s">
        <v>397</v>
      </c>
      <c r="AG183" t="s">
        <v>224</v>
      </c>
      <c r="AH183" t="s">
        <v>1224</v>
      </c>
      <c r="AI183" t="s">
        <v>225</v>
      </c>
      <c r="AJ183">
        <v>1</v>
      </c>
    </row>
    <row r="184" ht="23" customHeight="1" spans="1:36">
      <c r="A184">
        <v>181</v>
      </c>
      <c r="B184" t="s">
        <v>1225</v>
      </c>
      <c r="C184" t="s">
        <v>1226</v>
      </c>
      <c r="D184" t="s">
        <v>19</v>
      </c>
      <c r="E184" t="s">
        <v>56</v>
      </c>
      <c r="F184" t="s">
        <v>978</v>
      </c>
      <c r="G184" t="s">
        <v>979</v>
      </c>
      <c r="H184" t="s">
        <v>1227</v>
      </c>
      <c r="I184" t="s">
        <v>68</v>
      </c>
      <c r="J184" s="12">
        <v>235</v>
      </c>
      <c r="K184">
        <v>1</v>
      </c>
      <c r="L184" s="12">
        <v>235</v>
      </c>
      <c r="M184" s="13">
        <v>47</v>
      </c>
      <c r="N184" s="13">
        <v>123</v>
      </c>
      <c r="O184" s="13">
        <v>327</v>
      </c>
      <c r="P184" s="13">
        <v>446</v>
      </c>
      <c r="Q184" s="12">
        <v>30315</v>
      </c>
      <c r="R184" s="14">
        <f t="shared" si="4"/>
        <v>1.63763066202091</v>
      </c>
      <c r="S184">
        <v>73</v>
      </c>
      <c r="T184" s="15">
        <f t="shared" si="5"/>
        <v>17.8048780487805</v>
      </c>
      <c r="U184" t="s">
        <v>218</v>
      </c>
      <c r="V184">
        <v>13</v>
      </c>
      <c r="W184">
        <v>5</v>
      </c>
      <c r="X184" s="16">
        <v>0.1</v>
      </c>
      <c r="Y184" s="17">
        <v>46104</v>
      </c>
      <c r="Z184" t="s">
        <v>219</v>
      </c>
      <c r="AB184" s="18">
        <v>0.268041237113402</v>
      </c>
      <c r="AC184" t="s">
        <v>296</v>
      </c>
      <c r="AD184" t="s">
        <v>481</v>
      </c>
      <c r="AE184" t="s">
        <v>649</v>
      </c>
      <c r="AF184" t="s">
        <v>1228</v>
      </c>
      <c r="AG184" t="s">
        <v>224</v>
      </c>
      <c r="AH184" t="s">
        <v>1229</v>
      </c>
      <c r="AI184" t="s">
        <v>225</v>
      </c>
      <c r="AJ184">
        <v>1</v>
      </c>
    </row>
    <row r="185" ht="23" customHeight="1" spans="1:36">
      <c r="A185">
        <v>182</v>
      </c>
      <c r="B185" t="s">
        <v>1230</v>
      </c>
      <c r="C185" t="s">
        <v>1231</v>
      </c>
      <c r="D185" t="s">
        <v>27</v>
      </c>
      <c r="E185" t="s">
        <v>53</v>
      </c>
      <c r="F185" t="s">
        <v>825</v>
      </c>
      <c r="G185" t="s">
        <v>826</v>
      </c>
      <c r="H185" t="s">
        <v>1232</v>
      </c>
      <c r="I185" t="s">
        <v>68</v>
      </c>
      <c r="J185" s="12">
        <v>195.02</v>
      </c>
      <c r="K185">
        <v>1</v>
      </c>
      <c r="L185" s="12">
        <v>195.02</v>
      </c>
      <c r="M185" s="13">
        <v>35</v>
      </c>
      <c r="N185" s="13">
        <v>122</v>
      </c>
      <c r="O185" s="13">
        <v>122</v>
      </c>
      <c r="P185" s="13">
        <v>128</v>
      </c>
      <c r="Q185" s="12">
        <v>24962.56</v>
      </c>
      <c r="R185" s="14">
        <f t="shared" si="4"/>
        <v>1.22950819672131</v>
      </c>
      <c r="S185">
        <v>14</v>
      </c>
      <c r="T185" s="15">
        <f t="shared" si="5"/>
        <v>3.44262295081967</v>
      </c>
      <c r="U185" t="s">
        <v>218</v>
      </c>
      <c r="V185">
        <v>58</v>
      </c>
      <c r="W185">
        <v>4.6</v>
      </c>
      <c r="X185" s="16">
        <v>0.0761</v>
      </c>
      <c r="Y185" s="17">
        <v>46266</v>
      </c>
      <c r="Z185" t="s">
        <v>241</v>
      </c>
      <c r="AB185" s="18">
        <v>122</v>
      </c>
      <c r="AF185" t="s">
        <v>413</v>
      </c>
      <c r="AG185" t="s">
        <v>224</v>
      </c>
      <c r="AH185" t="s">
        <v>1233</v>
      </c>
      <c r="AI185" t="s">
        <v>225</v>
      </c>
      <c r="AJ185">
        <v>1</v>
      </c>
    </row>
    <row r="186" ht="23" customHeight="1" spans="1:36">
      <c r="A186">
        <v>183</v>
      </c>
      <c r="B186" t="s">
        <v>1234</v>
      </c>
      <c r="C186" t="s">
        <v>1235</v>
      </c>
      <c r="D186" t="s">
        <v>30</v>
      </c>
      <c r="E186" t="s">
        <v>56</v>
      </c>
      <c r="F186" t="s">
        <v>153</v>
      </c>
      <c r="G186" t="s">
        <v>76</v>
      </c>
      <c r="H186" t="s">
        <v>1236</v>
      </c>
      <c r="I186" t="s">
        <v>69</v>
      </c>
      <c r="J186" s="12">
        <v>284.48</v>
      </c>
      <c r="K186">
        <v>9</v>
      </c>
      <c r="L186" s="12">
        <v>31.61</v>
      </c>
      <c r="M186" s="13">
        <v>24</v>
      </c>
      <c r="N186" s="13">
        <v>122</v>
      </c>
      <c r="O186" s="13">
        <v>342</v>
      </c>
      <c r="P186" s="13">
        <v>342</v>
      </c>
      <c r="Q186" s="12">
        <v>34706.56</v>
      </c>
      <c r="R186" s="14">
        <f t="shared" si="4"/>
        <v>0.843091334894614</v>
      </c>
      <c r="S186">
        <v>50</v>
      </c>
      <c r="T186" s="15">
        <f t="shared" si="5"/>
        <v>12.2950819672131</v>
      </c>
      <c r="U186" t="s">
        <v>218</v>
      </c>
      <c r="V186">
        <v>25</v>
      </c>
      <c r="W186">
        <v>4.6</v>
      </c>
      <c r="X186" s="16">
        <v>0.0655</v>
      </c>
      <c r="Y186" s="17">
        <v>46150</v>
      </c>
      <c r="Z186" t="s">
        <v>228</v>
      </c>
      <c r="AB186" s="18">
        <v>0.605263157894737</v>
      </c>
      <c r="AC186" t="s">
        <v>1237</v>
      </c>
      <c r="AD186" t="s">
        <v>802</v>
      </c>
      <c r="AE186" t="s">
        <v>1238</v>
      </c>
      <c r="AF186" t="s">
        <v>496</v>
      </c>
      <c r="AG186" t="s">
        <v>224</v>
      </c>
      <c r="AH186" t="s">
        <v>1239</v>
      </c>
      <c r="AI186" t="s">
        <v>225</v>
      </c>
      <c r="AJ186">
        <v>0</v>
      </c>
    </row>
    <row r="187" ht="23" customHeight="1" spans="1:36">
      <c r="A187">
        <v>184</v>
      </c>
      <c r="B187" t="s">
        <v>1240</v>
      </c>
      <c r="C187" t="s">
        <v>1241</v>
      </c>
      <c r="D187" t="s">
        <v>19</v>
      </c>
      <c r="E187" t="s">
        <v>53</v>
      </c>
      <c r="F187" t="s">
        <v>401</v>
      </c>
      <c r="G187" t="s">
        <v>74</v>
      </c>
      <c r="H187" t="s">
        <v>402</v>
      </c>
      <c r="I187" t="s">
        <v>69</v>
      </c>
      <c r="J187" s="12">
        <v>189.31</v>
      </c>
      <c r="K187">
        <v>1</v>
      </c>
      <c r="L187" s="12">
        <v>189.31</v>
      </c>
      <c r="M187" s="13">
        <v>22</v>
      </c>
      <c r="N187" s="13">
        <v>122</v>
      </c>
      <c r="O187" s="13">
        <v>182</v>
      </c>
      <c r="P187" s="13">
        <v>3806</v>
      </c>
      <c r="Q187" s="12">
        <v>24799.61</v>
      </c>
      <c r="R187" s="14">
        <f t="shared" si="4"/>
        <v>0.772833723653396</v>
      </c>
      <c r="S187">
        <v>18</v>
      </c>
      <c r="T187" s="15">
        <f t="shared" si="5"/>
        <v>4.42622950819672</v>
      </c>
      <c r="U187" t="s">
        <v>218</v>
      </c>
      <c r="V187">
        <v>175</v>
      </c>
      <c r="W187">
        <v>4.7</v>
      </c>
      <c r="X187" s="16">
        <v>0.1261</v>
      </c>
      <c r="Y187" s="17">
        <v>45111</v>
      </c>
      <c r="Z187" t="s">
        <v>219</v>
      </c>
      <c r="AB187" s="18">
        <v>1.03333333333333</v>
      </c>
      <c r="AC187" t="s">
        <v>271</v>
      </c>
      <c r="AD187" t="s">
        <v>747</v>
      </c>
      <c r="AE187" t="s">
        <v>273</v>
      </c>
      <c r="AF187" t="s">
        <v>420</v>
      </c>
      <c r="AG187" t="s">
        <v>224</v>
      </c>
      <c r="AH187" t="s">
        <v>1242</v>
      </c>
      <c r="AI187" t="s">
        <v>225</v>
      </c>
      <c r="AJ187">
        <v>1</v>
      </c>
    </row>
    <row r="188" ht="23" customHeight="1" spans="1:36">
      <c r="A188">
        <v>185</v>
      </c>
      <c r="B188" t="s">
        <v>1243</v>
      </c>
      <c r="C188" t="s">
        <v>1244</v>
      </c>
      <c r="D188" t="s">
        <v>19</v>
      </c>
      <c r="E188" t="s">
        <v>56</v>
      </c>
      <c r="F188" t="s">
        <v>153</v>
      </c>
      <c r="G188" t="s">
        <v>76</v>
      </c>
      <c r="H188" t="s">
        <v>381</v>
      </c>
      <c r="I188" t="s">
        <v>69</v>
      </c>
      <c r="J188" s="12">
        <v>296.01</v>
      </c>
      <c r="K188">
        <v>6</v>
      </c>
      <c r="L188" s="12">
        <v>49.34</v>
      </c>
      <c r="M188" s="13">
        <v>31</v>
      </c>
      <c r="N188" s="13">
        <v>121</v>
      </c>
      <c r="O188" s="13">
        <v>350</v>
      </c>
      <c r="P188" s="13">
        <v>508</v>
      </c>
      <c r="Q188" s="12">
        <v>38481.3</v>
      </c>
      <c r="R188" s="14">
        <f t="shared" si="4"/>
        <v>1.09799291617473</v>
      </c>
      <c r="S188">
        <v>292</v>
      </c>
      <c r="T188" s="15">
        <f t="shared" si="5"/>
        <v>72.396694214876</v>
      </c>
      <c r="U188" t="s">
        <v>218</v>
      </c>
      <c r="V188">
        <v>133</v>
      </c>
      <c r="W188">
        <v>4.8</v>
      </c>
      <c r="X188" s="16">
        <v>0.0365</v>
      </c>
      <c r="Y188" s="17">
        <v>46153</v>
      </c>
      <c r="Z188" t="s">
        <v>228</v>
      </c>
      <c r="AA188">
        <v>20</v>
      </c>
      <c r="AB188" s="18">
        <v>-0.17687074829932</v>
      </c>
      <c r="AC188" t="s">
        <v>300</v>
      </c>
      <c r="AD188" t="s">
        <v>290</v>
      </c>
      <c r="AE188" t="s">
        <v>326</v>
      </c>
      <c r="AF188" t="s">
        <v>1245</v>
      </c>
      <c r="AG188" t="s">
        <v>224</v>
      </c>
      <c r="AH188" t="s">
        <v>1246</v>
      </c>
      <c r="AI188" t="s">
        <v>225</v>
      </c>
      <c r="AJ188">
        <v>1</v>
      </c>
    </row>
    <row r="189" ht="23" customHeight="1" spans="1:36">
      <c r="A189">
        <v>186</v>
      </c>
      <c r="B189" t="s">
        <v>1247</v>
      </c>
      <c r="C189" t="s">
        <v>1248</v>
      </c>
      <c r="D189" t="s">
        <v>19</v>
      </c>
      <c r="E189" t="s">
        <v>56</v>
      </c>
      <c r="F189" t="s">
        <v>407</v>
      </c>
      <c r="G189" t="s">
        <v>72</v>
      </c>
      <c r="H189" t="s">
        <v>1249</v>
      </c>
      <c r="I189" t="s">
        <v>69</v>
      </c>
      <c r="J189" s="12">
        <v>222.87</v>
      </c>
      <c r="K189">
        <v>1</v>
      </c>
      <c r="L189" s="12">
        <v>222.87</v>
      </c>
      <c r="M189" s="13">
        <v>11</v>
      </c>
      <c r="N189" s="13">
        <v>121</v>
      </c>
      <c r="O189" s="13">
        <v>222</v>
      </c>
      <c r="P189" s="13">
        <v>275</v>
      </c>
      <c r="Q189" s="12">
        <v>28973.1</v>
      </c>
      <c r="R189" s="14">
        <f t="shared" si="4"/>
        <v>0.38961038961039</v>
      </c>
      <c r="S189">
        <v>126</v>
      </c>
      <c r="T189" s="15">
        <f t="shared" si="5"/>
        <v>31.2396694214876</v>
      </c>
      <c r="U189" t="s">
        <v>218</v>
      </c>
      <c r="V189">
        <v>8</v>
      </c>
      <c r="W189">
        <v>4.9</v>
      </c>
      <c r="X189" s="16">
        <v>0.1255</v>
      </c>
      <c r="Y189" s="17">
        <v>46178</v>
      </c>
      <c r="Z189" t="s">
        <v>228</v>
      </c>
      <c r="AB189" s="18">
        <v>0.423529411764706</v>
      </c>
      <c r="AC189" t="s">
        <v>844</v>
      </c>
      <c r="AD189" t="s">
        <v>389</v>
      </c>
      <c r="AE189" t="s">
        <v>236</v>
      </c>
      <c r="AF189" t="s">
        <v>434</v>
      </c>
      <c r="AG189" t="s">
        <v>224</v>
      </c>
      <c r="AH189" t="s">
        <v>1250</v>
      </c>
      <c r="AI189" t="s">
        <v>225</v>
      </c>
      <c r="AJ189">
        <v>1</v>
      </c>
    </row>
    <row r="190" ht="23" customHeight="1" spans="1:36">
      <c r="A190">
        <v>187</v>
      </c>
      <c r="B190" t="s">
        <v>1251</v>
      </c>
      <c r="C190" t="s">
        <v>1252</v>
      </c>
      <c r="D190" t="s">
        <v>19</v>
      </c>
      <c r="E190" t="s">
        <v>50</v>
      </c>
      <c r="F190" t="s">
        <v>407</v>
      </c>
      <c r="G190" t="s">
        <v>72</v>
      </c>
      <c r="H190" t="s">
        <v>1249</v>
      </c>
      <c r="I190" t="s">
        <v>69</v>
      </c>
      <c r="J190" s="12">
        <v>129.76</v>
      </c>
      <c r="K190">
        <v>1</v>
      </c>
      <c r="L190" s="12">
        <v>129.76</v>
      </c>
      <c r="M190" s="13">
        <v>32</v>
      </c>
      <c r="N190" s="13">
        <v>119</v>
      </c>
      <c r="O190" s="13">
        <v>431</v>
      </c>
      <c r="P190" s="13">
        <v>586</v>
      </c>
      <c r="Q190" s="12">
        <v>15441.44</v>
      </c>
      <c r="R190" s="14">
        <f t="shared" si="4"/>
        <v>1.15246098439376</v>
      </c>
      <c r="S190">
        <v>58</v>
      </c>
      <c r="T190" s="15">
        <f t="shared" si="5"/>
        <v>14.6218487394958</v>
      </c>
      <c r="U190" t="s">
        <v>218</v>
      </c>
      <c r="V190">
        <v>19</v>
      </c>
      <c r="W190">
        <v>4.7</v>
      </c>
      <c r="X190" s="16">
        <v>0.1227</v>
      </c>
      <c r="Y190" s="17">
        <v>46093</v>
      </c>
      <c r="Z190" t="s">
        <v>219</v>
      </c>
      <c r="AB190" s="18">
        <v>-0.3</v>
      </c>
      <c r="AC190" t="s">
        <v>844</v>
      </c>
      <c r="AD190" t="s">
        <v>272</v>
      </c>
      <c r="AE190" t="s">
        <v>341</v>
      </c>
      <c r="AF190" t="s">
        <v>255</v>
      </c>
      <c r="AG190" t="s">
        <v>224</v>
      </c>
      <c r="AH190" t="s">
        <v>1253</v>
      </c>
      <c r="AI190" t="s">
        <v>225</v>
      </c>
      <c r="AJ190">
        <v>1</v>
      </c>
    </row>
    <row r="191" ht="23" customHeight="1" spans="1:36">
      <c r="A191">
        <v>188</v>
      </c>
      <c r="B191" t="s">
        <v>1254</v>
      </c>
      <c r="C191" t="s">
        <v>1255</v>
      </c>
      <c r="D191" t="s">
        <v>21</v>
      </c>
      <c r="E191" t="s">
        <v>56</v>
      </c>
      <c r="F191" t="s">
        <v>1256</v>
      </c>
      <c r="G191" t="s">
        <v>1257</v>
      </c>
      <c r="H191" t="s">
        <v>1256</v>
      </c>
      <c r="I191" t="s">
        <v>69</v>
      </c>
      <c r="J191" s="12">
        <v>223.73</v>
      </c>
      <c r="K191">
        <v>2</v>
      </c>
      <c r="L191" s="12">
        <v>111.86</v>
      </c>
      <c r="M191" s="13">
        <v>29</v>
      </c>
      <c r="N191" s="13">
        <v>118</v>
      </c>
      <c r="O191" s="13">
        <v>362</v>
      </c>
      <c r="P191" s="13">
        <v>558</v>
      </c>
      <c r="Q191" s="12">
        <v>26400.14</v>
      </c>
      <c r="R191" s="14">
        <f t="shared" si="4"/>
        <v>1.05326876513317</v>
      </c>
      <c r="S191">
        <v>64</v>
      </c>
      <c r="T191" s="15">
        <f t="shared" si="5"/>
        <v>16.271186440678</v>
      </c>
      <c r="U191" t="s">
        <v>218</v>
      </c>
      <c r="V191">
        <v>39</v>
      </c>
      <c r="W191">
        <v>4.8</v>
      </c>
      <c r="X191" s="16">
        <v>0.0473</v>
      </c>
      <c r="Y191" s="17">
        <v>46142</v>
      </c>
      <c r="Z191" t="s">
        <v>228</v>
      </c>
      <c r="AB191" s="18">
        <v>0.123809523809524</v>
      </c>
      <c r="AC191" t="s">
        <v>947</v>
      </c>
      <c r="AD191" t="s">
        <v>548</v>
      </c>
      <c r="AE191" t="s">
        <v>539</v>
      </c>
      <c r="AF191" t="s">
        <v>420</v>
      </c>
      <c r="AG191" t="s">
        <v>224</v>
      </c>
      <c r="AH191" t="s">
        <v>1258</v>
      </c>
      <c r="AI191" t="s">
        <v>225</v>
      </c>
      <c r="AJ191">
        <v>1</v>
      </c>
    </row>
    <row r="192" ht="23" customHeight="1" spans="1:36">
      <c r="A192">
        <v>189</v>
      </c>
      <c r="B192" t="s">
        <v>1259</v>
      </c>
      <c r="C192" t="s">
        <v>1260</v>
      </c>
      <c r="D192" t="s">
        <v>30</v>
      </c>
      <c r="E192" t="s">
        <v>56</v>
      </c>
      <c r="F192" t="s">
        <v>1215</v>
      </c>
      <c r="G192" t="s">
        <v>1216</v>
      </c>
      <c r="H192" t="s">
        <v>1217</v>
      </c>
      <c r="I192" t="s">
        <v>68</v>
      </c>
      <c r="J192" s="12">
        <v>238</v>
      </c>
      <c r="K192">
        <v>8</v>
      </c>
      <c r="L192" s="12">
        <v>29.75</v>
      </c>
      <c r="M192" s="13">
        <v>43</v>
      </c>
      <c r="N192" s="13">
        <v>118</v>
      </c>
      <c r="O192" s="13">
        <v>123</v>
      </c>
      <c r="P192" s="13">
        <v>294</v>
      </c>
      <c r="Q192" s="12">
        <v>28084</v>
      </c>
      <c r="R192" s="14">
        <f t="shared" si="4"/>
        <v>1.56174334140436</v>
      </c>
      <c r="S192">
        <v>19</v>
      </c>
      <c r="T192" s="15">
        <f t="shared" si="5"/>
        <v>4.83050847457627</v>
      </c>
      <c r="U192" t="s">
        <v>218</v>
      </c>
      <c r="V192">
        <v>54</v>
      </c>
      <c r="W192">
        <v>4.8</v>
      </c>
      <c r="X192" s="16">
        <v>0.0758</v>
      </c>
      <c r="Y192" s="17">
        <v>46041</v>
      </c>
      <c r="Z192" t="s">
        <v>219</v>
      </c>
      <c r="AB192" s="18">
        <v>58</v>
      </c>
      <c r="AC192" t="s">
        <v>843</v>
      </c>
      <c r="AD192" t="s">
        <v>1158</v>
      </c>
      <c r="AE192" t="s">
        <v>1261</v>
      </c>
      <c r="AF192" t="s">
        <v>619</v>
      </c>
      <c r="AG192" t="s">
        <v>224</v>
      </c>
      <c r="AH192" t="s">
        <v>1262</v>
      </c>
      <c r="AI192" t="s">
        <v>225</v>
      </c>
      <c r="AJ192">
        <v>0</v>
      </c>
    </row>
    <row r="193" ht="23" customHeight="1" spans="1:36">
      <c r="A193">
        <v>190</v>
      </c>
      <c r="B193" t="s">
        <v>1263</v>
      </c>
      <c r="C193" t="s">
        <v>1264</v>
      </c>
      <c r="D193" t="s">
        <v>19</v>
      </c>
      <c r="E193" t="s">
        <v>56</v>
      </c>
      <c r="F193" t="s">
        <v>544</v>
      </c>
      <c r="G193" t="s">
        <v>80</v>
      </c>
      <c r="H193" t="s">
        <v>545</v>
      </c>
      <c r="I193" t="s">
        <v>69</v>
      </c>
      <c r="J193" s="12">
        <v>206.43</v>
      </c>
      <c r="K193">
        <v>1</v>
      </c>
      <c r="L193" s="12">
        <v>206.43</v>
      </c>
      <c r="M193" s="13">
        <v>31</v>
      </c>
      <c r="N193" s="13">
        <v>117</v>
      </c>
      <c r="O193" s="13">
        <v>198</v>
      </c>
      <c r="P193" s="13">
        <v>878</v>
      </c>
      <c r="Q193" s="12">
        <v>24152.31</v>
      </c>
      <c r="R193" s="14">
        <f t="shared" si="4"/>
        <v>1.13553113553114</v>
      </c>
      <c r="S193">
        <v>34</v>
      </c>
      <c r="T193" s="15">
        <f t="shared" si="5"/>
        <v>8.71794871794872</v>
      </c>
      <c r="U193" t="s">
        <v>218</v>
      </c>
      <c r="V193">
        <v>55</v>
      </c>
      <c r="W193">
        <v>4.8</v>
      </c>
      <c r="X193" s="16">
        <v>0.1283</v>
      </c>
      <c r="Y193" s="17">
        <v>45768</v>
      </c>
      <c r="Z193" t="s">
        <v>219</v>
      </c>
      <c r="AB193" s="18">
        <v>0.4625</v>
      </c>
      <c r="AC193" t="s">
        <v>253</v>
      </c>
      <c r="AD193" t="s">
        <v>571</v>
      </c>
      <c r="AE193" t="s">
        <v>473</v>
      </c>
      <c r="AF193" t="s">
        <v>230</v>
      </c>
      <c r="AG193" t="s">
        <v>224</v>
      </c>
      <c r="AH193" t="s">
        <v>1265</v>
      </c>
      <c r="AI193" t="s">
        <v>225</v>
      </c>
      <c r="AJ193">
        <v>1</v>
      </c>
    </row>
    <row r="194" ht="23" customHeight="1" spans="1:36">
      <c r="A194">
        <v>191</v>
      </c>
      <c r="B194" t="s">
        <v>1266</v>
      </c>
      <c r="C194" t="s">
        <v>1267</v>
      </c>
      <c r="D194" t="s">
        <v>23</v>
      </c>
      <c r="E194" t="s">
        <v>59</v>
      </c>
      <c r="F194" t="s">
        <v>164</v>
      </c>
      <c r="G194" t="s">
        <v>494</v>
      </c>
      <c r="H194" t="s">
        <v>495</v>
      </c>
      <c r="I194" t="s">
        <v>68</v>
      </c>
      <c r="J194" s="12">
        <v>335.44</v>
      </c>
      <c r="K194">
        <v>1</v>
      </c>
      <c r="L194" s="12">
        <v>335.44</v>
      </c>
      <c r="M194" s="13">
        <v>38</v>
      </c>
      <c r="N194" s="13">
        <v>117</v>
      </c>
      <c r="O194" s="13">
        <v>117</v>
      </c>
      <c r="P194" s="13">
        <v>117</v>
      </c>
      <c r="Q194" s="12">
        <v>39246.48</v>
      </c>
      <c r="R194" s="14">
        <f t="shared" si="4"/>
        <v>1.39194139194139</v>
      </c>
      <c r="S194">
        <v>8</v>
      </c>
      <c r="T194" s="15">
        <f t="shared" si="5"/>
        <v>2.05128205128205</v>
      </c>
      <c r="U194" t="s">
        <v>218</v>
      </c>
      <c r="V194">
        <v>0</v>
      </c>
      <c r="W194">
        <v>0</v>
      </c>
      <c r="X194" s="16">
        <v>0.0394</v>
      </c>
      <c r="Y194" s="17">
        <v>46225</v>
      </c>
      <c r="Z194" t="s">
        <v>241</v>
      </c>
      <c r="AB194" s="18">
        <v>28.25</v>
      </c>
      <c r="AC194" t="s">
        <v>571</v>
      </c>
      <c r="AD194" t="s">
        <v>221</v>
      </c>
      <c r="AE194" t="s">
        <v>272</v>
      </c>
      <c r="AF194" t="s">
        <v>1268</v>
      </c>
      <c r="AG194" t="s">
        <v>224</v>
      </c>
      <c r="AH194" t="s">
        <v>1269</v>
      </c>
      <c r="AI194" t="s">
        <v>225</v>
      </c>
      <c r="AJ194">
        <v>1</v>
      </c>
    </row>
    <row r="195" ht="23" customHeight="1" spans="1:36">
      <c r="A195">
        <v>192</v>
      </c>
      <c r="B195" t="s">
        <v>1270</v>
      </c>
      <c r="C195" t="s">
        <v>1271</v>
      </c>
      <c r="D195" t="s">
        <v>30</v>
      </c>
      <c r="E195" t="s">
        <v>59</v>
      </c>
      <c r="F195" t="s">
        <v>153</v>
      </c>
      <c r="G195" t="s">
        <v>76</v>
      </c>
      <c r="H195" t="s">
        <v>1236</v>
      </c>
      <c r="I195" t="s">
        <v>69</v>
      </c>
      <c r="J195" s="12">
        <v>344.2</v>
      </c>
      <c r="K195">
        <v>4</v>
      </c>
      <c r="L195" s="12">
        <v>86.05</v>
      </c>
      <c r="M195" s="13">
        <v>31</v>
      </c>
      <c r="N195" s="13">
        <v>115</v>
      </c>
      <c r="O195" s="13">
        <v>362</v>
      </c>
      <c r="P195" s="13">
        <v>483</v>
      </c>
      <c r="Q195" s="12">
        <v>41304</v>
      </c>
      <c r="R195" s="14">
        <f t="shared" si="4"/>
        <v>1.15527950310559</v>
      </c>
      <c r="S195">
        <v>38</v>
      </c>
      <c r="T195" s="15">
        <f t="shared" si="5"/>
        <v>9.91304347826087</v>
      </c>
      <c r="U195" t="s">
        <v>218</v>
      </c>
      <c r="V195">
        <v>245</v>
      </c>
      <c r="W195">
        <v>4.5</v>
      </c>
      <c r="X195" s="16">
        <v>0.0844</v>
      </c>
      <c r="Y195" s="17">
        <v>46167</v>
      </c>
      <c r="Z195" t="s">
        <v>228</v>
      </c>
      <c r="AA195">
        <v>19</v>
      </c>
      <c r="AB195" s="18">
        <v>-0.128787878787879</v>
      </c>
      <c r="AC195" t="s">
        <v>678</v>
      </c>
      <c r="AD195" t="s">
        <v>273</v>
      </c>
      <c r="AE195" t="s">
        <v>540</v>
      </c>
      <c r="AF195" t="s">
        <v>592</v>
      </c>
      <c r="AG195" t="s">
        <v>224</v>
      </c>
      <c r="AH195" t="s">
        <v>1272</v>
      </c>
      <c r="AI195" t="s">
        <v>225</v>
      </c>
      <c r="AJ195">
        <v>0</v>
      </c>
    </row>
    <row r="196" ht="23" customHeight="1" spans="1:36">
      <c r="A196">
        <v>193</v>
      </c>
      <c r="B196" t="s">
        <v>1273</v>
      </c>
      <c r="C196" t="s">
        <v>1274</v>
      </c>
      <c r="D196" t="s">
        <v>25</v>
      </c>
      <c r="E196" t="s">
        <v>56</v>
      </c>
      <c r="F196" t="s">
        <v>1275</v>
      </c>
      <c r="G196" t="s">
        <v>1276</v>
      </c>
      <c r="H196" t="s">
        <v>1277</v>
      </c>
      <c r="I196" t="s">
        <v>68</v>
      </c>
      <c r="J196" s="12">
        <v>249</v>
      </c>
      <c r="K196">
        <v>1</v>
      </c>
      <c r="L196" s="12">
        <v>249</v>
      </c>
      <c r="M196" s="13">
        <v>42</v>
      </c>
      <c r="N196" s="13">
        <v>115</v>
      </c>
      <c r="O196" s="13">
        <v>212</v>
      </c>
      <c r="P196" s="13">
        <v>1245</v>
      </c>
      <c r="Q196" s="12">
        <v>30129</v>
      </c>
      <c r="R196" s="14">
        <f t="shared" ref="R196:R259" si="6">IFERROR(M196*30/(N196*7),0)</f>
        <v>1.56521739130435</v>
      </c>
      <c r="S196">
        <v>35</v>
      </c>
      <c r="T196" s="15">
        <f t="shared" ref="T196:T259" si="7">IFERROR(S196*30/N196,0)</f>
        <v>9.1304347826087</v>
      </c>
      <c r="U196" t="s">
        <v>218</v>
      </c>
      <c r="V196">
        <v>31</v>
      </c>
      <c r="W196">
        <v>4.5</v>
      </c>
      <c r="X196" s="16">
        <v>0.227</v>
      </c>
      <c r="Y196" s="17">
        <v>45394</v>
      </c>
      <c r="Z196" t="s">
        <v>219</v>
      </c>
      <c r="AB196" s="18">
        <v>1.5</v>
      </c>
      <c r="AC196" t="s">
        <v>571</v>
      </c>
      <c r="AD196" t="s">
        <v>765</v>
      </c>
      <c r="AE196" t="s">
        <v>643</v>
      </c>
      <c r="AF196" t="s">
        <v>519</v>
      </c>
      <c r="AG196" t="s">
        <v>224</v>
      </c>
      <c r="AH196" t="s">
        <v>1278</v>
      </c>
      <c r="AI196" t="s">
        <v>225</v>
      </c>
      <c r="AJ196">
        <v>1</v>
      </c>
    </row>
    <row r="197" ht="23" customHeight="1" spans="1:36">
      <c r="A197">
        <v>194</v>
      </c>
      <c r="B197" t="s">
        <v>1279</v>
      </c>
      <c r="C197" t="s">
        <v>1280</v>
      </c>
      <c r="D197" t="s">
        <v>21</v>
      </c>
      <c r="E197" t="s">
        <v>50</v>
      </c>
      <c r="F197" t="s">
        <v>1281</v>
      </c>
      <c r="G197" t="s">
        <v>1282</v>
      </c>
      <c r="H197" t="s">
        <v>877</v>
      </c>
      <c r="I197" t="s">
        <v>69</v>
      </c>
      <c r="J197" s="12">
        <v>136.32</v>
      </c>
      <c r="K197">
        <v>1</v>
      </c>
      <c r="L197" s="12">
        <v>136.32</v>
      </c>
      <c r="M197" s="13">
        <v>2</v>
      </c>
      <c r="N197" s="13">
        <v>112</v>
      </c>
      <c r="O197" s="13">
        <v>112</v>
      </c>
      <c r="P197" s="13">
        <v>112</v>
      </c>
      <c r="Q197" s="12">
        <v>15267.84</v>
      </c>
      <c r="R197" s="14">
        <f t="shared" si="6"/>
        <v>0.076530612244898</v>
      </c>
      <c r="S197">
        <v>219</v>
      </c>
      <c r="T197" s="15">
        <f t="shared" si="7"/>
        <v>58.6607142857143</v>
      </c>
      <c r="U197" t="s">
        <v>218</v>
      </c>
      <c r="V197">
        <v>2</v>
      </c>
      <c r="W197">
        <v>4</v>
      </c>
      <c r="X197" s="16">
        <v>0.1296</v>
      </c>
      <c r="Y197" s="17">
        <v>46132</v>
      </c>
      <c r="Z197" t="s">
        <v>228</v>
      </c>
      <c r="AB197" s="18">
        <v>112</v>
      </c>
      <c r="AC197" t="s">
        <v>1283</v>
      </c>
      <c r="AD197" t="s">
        <v>222</v>
      </c>
      <c r="AE197" t="s">
        <v>332</v>
      </c>
      <c r="AF197" t="s">
        <v>1284</v>
      </c>
      <c r="AG197" t="s">
        <v>224</v>
      </c>
      <c r="AH197" t="s">
        <v>1285</v>
      </c>
      <c r="AI197" t="s">
        <v>225</v>
      </c>
      <c r="AJ197">
        <v>1</v>
      </c>
    </row>
    <row r="198" ht="23" customHeight="1" spans="1:36">
      <c r="A198">
        <v>195</v>
      </c>
      <c r="B198" t="s">
        <v>1286</v>
      </c>
      <c r="C198" t="s">
        <v>1287</v>
      </c>
      <c r="D198" t="s">
        <v>34</v>
      </c>
      <c r="E198" t="s">
        <v>59</v>
      </c>
      <c r="F198" t="s">
        <v>1198</v>
      </c>
      <c r="G198" t="s">
        <v>1199</v>
      </c>
      <c r="H198" t="s">
        <v>1200</v>
      </c>
      <c r="I198" t="s">
        <v>69</v>
      </c>
      <c r="J198" s="12">
        <v>480.16</v>
      </c>
      <c r="K198">
        <v>1</v>
      </c>
      <c r="L198" s="12">
        <v>480.16</v>
      </c>
      <c r="M198" s="13">
        <v>23</v>
      </c>
      <c r="N198" s="13">
        <v>112</v>
      </c>
      <c r="O198" s="13">
        <v>176</v>
      </c>
      <c r="P198" s="13">
        <v>176</v>
      </c>
      <c r="Q198" s="12">
        <v>53777.92</v>
      </c>
      <c r="R198" s="14">
        <f t="shared" si="6"/>
        <v>0.880102040816326</v>
      </c>
      <c r="S198">
        <v>6</v>
      </c>
      <c r="T198" s="15">
        <f t="shared" si="7"/>
        <v>1.60714285714286</v>
      </c>
      <c r="U198" t="s">
        <v>218</v>
      </c>
      <c r="V198">
        <v>6</v>
      </c>
      <c r="W198">
        <v>4.7</v>
      </c>
      <c r="X198" s="16">
        <v>0.0429</v>
      </c>
      <c r="Y198" s="17">
        <v>46114</v>
      </c>
      <c r="Z198" t="s">
        <v>228</v>
      </c>
      <c r="AB198" s="18">
        <v>0.534246575342466</v>
      </c>
      <c r="AC198" t="s">
        <v>1288</v>
      </c>
      <c r="AD198" t="s">
        <v>289</v>
      </c>
      <c r="AE198" t="s">
        <v>320</v>
      </c>
      <c r="AF198" t="s">
        <v>708</v>
      </c>
      <c r="AG198" t="s">
        <v>224</v>
      </c>
      <c r="AH198" t="s">
        <v>1289</v>
      </c>
      <c r="AI198" t="s">
        <v>225</v>
      </c>
      <c r="AJ198">
        <v>0</v>
      </c>
    </row>
    <row r="199" ht="23" customHeight="1" spans="1:36">
      <c r="A199">
        <v>196</v>
      </c>
      <c r="B199" t="s">
        <v>1290</v>
      </c>
      <c r="C199" t="s">
        <v>1291</v>
      </c>
      <c r="D199" t="s">
        <v>19</v>
      </c>
      <c r="E199" t="s">
        <v>50</v>
      </c>
      <c r="F199" t="s">
        <v>407</v>
      </c>
      <c r="G199" t="s">
        <v>72</v>
      </c>
      <c r="H199" t="s">
        <v>408</v>
      </c>
      <c r="I199" t="s">
        <v>69</v>
      </c>
      <c r="J199" s="12">
        <v>141.64</v>
      </c>
      <c r="K199">
        <v>1</v>
      </c>
      <c r="L199" s="12">
        <v>141.64</v>
      </c>
      <c r="M199" s="13">
        <v>39</v>
      </c>
      <c r="N199" s="13">
        <v>111</v>
      </c>
      <c r="O199" s="13">
        <v>408</v>
      </c>
      <c r="P199" s="13">
        <v>1548</v>
      </c>
      <c r="Q199" s="12">
        <v>15722.04</v>
      </c>
      <c r="R199" s="14">
        <f t="shared" si="6"/>
        <v>1.50579150579151</v>
      </c>
      <c r="S199">
        <v>301</v>
      </c>
      <c r="T199" s="15">
        <f t="shared" si="7"/>
        <v>81.3513513513514</v>
      </c>
      <c r="U199" t="s">
        <v>218</v>
      </c>
      <c r="V199">
        <v>71</v>
      </c>
      <c r="W199">
        <v>4.7</v>
      </c>
      <c r="X199" s="16">
        <v>0.1517</v>
      </c>
      <c r="Y199" s="17">
        <v>46012</v>
      </c>
      <c r="Z199" t="s">
        <v>219</v>
      </c>
      <c r="AB199" s="18">
        <v>-0.379888268156425</v>
      </c>
      <c r="AC199" t="s">
        <v>1292</v>
      </c>
      <c r="AD199" t="s">
        <v>272</v>
      </c>
      <c r="AE199" t="s">
        <v>320</v>
      </c>
      <c r="AF199" t="s">
        <v>1293</v>
      </c>
      <c r="AG199" t="s">
        <v>224</v>
      </c>
      <c r="AH199" t="s">
        <v>1294</v>
      </c>
      <c r="AI199" t="s">
        <v>225</v>
      </c>
      <c r="AJ199">
        <v>1</v>
      </c>
    </row>
    <row r="200" ht="23" customHeight="1" spans="1:36">
      <c r="A200">
        <v>197</v>
      </c>
      <c r="B200" t="s">
        <v>1295</v>
      </c>
      <c r="C200" t="s">
        <v>1296</v>
      </c>
      <c r="D200" t="s">
        <v>34</v>
      </c>
      <c r="E200" t="s">
        <v>56</v>
      </c>
      <c r="F200" t="s">
        <v>1198</v>
      </c>
      <c r="G200" t="s">
        <v>1199</v>
      </c>
      <c r="H200" t="s">
        <v>1297</v>
      </c>
      <c r="I200" t="s">
        <v>69</v>
      </c>
      <c r="J200" s="12">
        <v>203.94</v>
      </c>
      <c r="K200">
        <v>1</v>
      </c>
      <c r="L200" s="12">
        <v>203.94</v>
      </c>
      <c r="M200" s="13">
        <v>73</v>
      </c>
      <c r="N200" s="13">
        <v>111</v>
      </c>
      <c r="O200" s="13">
        <v>122</v>
      </c>
      <c r="P200" s="13">
        <v>129</v>
      </c>
      <c r="Q200" s="12">
        <v>24676.74</v>
      </c>
      <c r="R200" s="14">
        <f t="shared" si="6"/>
        <v>2.81853281853282</v>
      </c>
      <c r="S200">
        <v>5</v>
      </c>
      <c r="T200" s="15">
        <f t="shared" si="7"/>
        <v>1.35135135135135</v>
      </c>
      <c r="U200" t="s">
        <v>218</v>
      </c>
      <c r="V200">
        <v>2</v>
      </c>
      <c r="W200">
        <v>5</v>
      </c>
      <c r="X200" s="16">
        <v>0.1131</v>
      </c>
      <c r="Y200" s="17">
        <v>46238</v>
      </c>
      <c r="Z200" t="s">
        <v>241</v>
      </c>
      <c r="AB200" s="18">
        <v>9.09090909090909</v>
      </c>
      <c r="AC200" t="s">
        <v>1298</v>
      </c>
      <c r="AD200" t="s">
        <v>468</v>
      </c>
      <c r="AE200" t="s">
        <v>332</v>
      </c>
      <c r="AF200" t="s">
        <v>255</v>
      </c>
      <c r="AG200" t="s">
        <v>224</v>
      </c>
      <c r="AH200" t="s">
        <v>1299</v>
      </c>
      <c r="AI200" t="s">
        <v>225</v>
      </c>
      <c r="AJ200">
        <v>0</v>
      </c>
    </row>
    <row r="201" ht="23" customHeight="1" spans="1:36">
      <c r="A201">
        <v>198</v>
      </c>
      <c r="B201" t="s">
        <v>1300</v>
      </c>
      <c r="C201" t="s">
        <v>1301</v>
      </c>
      <c r="D201" t="s">
        <v>19</v>
      </c>
      <c r="E201" t="s">
        <v>53</v>
      </c>
      <c r="F201" t="s">
        <v>309</v>
      </c>
      <c r="G201" t="s">
        <v>75</v>
      </c>
      <c r="H201" t="s">
        <v>298</v>
      </c>
      <c r="I201" t="s">
        <v>69</v>
      </c>
      <c r="J201" s="12">
        <v>174.69</v>
      </c>
      <c r="K201">
        <v>1</v>
      </c>
      <c r="L201" s="12">
        <v>174.69</v>
      </c>
      <c r="M201" s="13">
        <v>23</v>
      </c>
      <c r="N201" s="13">
        <v>111</v>
      </c>
      <c r="O201" s="13">
        <v>421</v>
      </c>
      <c r="P201" s="13">
        <v>2120</v>
      </c>
      <c r="Q201" s="12">
        <v>20962.8</v>
      </c>
      <c r="R201" s="14">
        <f t="shared" si="6"/>
        <v>0.888030888030888</v>
      </c>
      <c r="S201">
        <v>452</v>
      </c>
      <c r="T201" s="15">
        <f t="shared" si="7"/>
        <v>122.162162162162</v>
      </c>
      <c r="U201" t="s">
        <v>218</v>
      </c>
      <c r="V201">
        <v>303</v>
      </c>
      <c r="W201">
        <v>4.9</v>
      </c>
      <c r="X201" s="16">
        <v>0.1243</v>
      </c>
      <c r="Y201" s="17">
        <v>45960</v>
      </c>
      <c r="Z201" t="s">
        <v>219</v>
      </c>
      <c r="AA201">
        <v>19</v>
      </c>
      <c r="AB201" s="18">
        <v>-0.358381502890173</v>
      </c>
      <c r="AC201" t="s">
        <v>296</v>
      </c>
      <c r="AD201" t="s">
        <v>254</v>
      </c>
      <c r="AE201" t="s">
        <v>412</v>
      </c>
      <c r="AF201" t="s">
        <v>602</v>
      </c>
      <c r="AG201" t="s">
        <v>224</v>
      </c>
      <c r="AH201" t="s">
        <v>1302</v>
      </c>
      <c r="AI201" t="s">
        <v>225</v>
      </c>
      <c r="AJ201">
        <v>1</v>
      </c>
    </row>
    <row r="202" ht="23" customHeight="1" spans="1:36">
      <c r="A202">
        <v>199</v>
      </c>
      <c r="B202" t="s">
        <v>1303</v>
      </c>
      <c r="C202" t="s">
        <v>1304</v>
      </c>
      <c r="D202" t="s">
        <v>19</v>
      </c>
      <c r="E202" t="s">
        <v>50</v>
      </c>
      <c r="F202" t="s">
        <v>407</v>
      </c>
      <c r="G202" t="s">
        <v>72</v>
      </c>
      <c r="H202" t="s">
        <v>654</v>
      </c>
      <c r="I202" t="s">
        <v>68</v>
      </c>
      <c r="J202" s="12">
        <v>124.64</v>
      </c>
      <c r="K202">
        <v>1</v>
      </c>
      <c r="L202" s="12">
        <v>124.64</v>
      </c>
      <c r="M202" s="13">
        <v>77</v>
      </c>
      <c r="N202" s="13">
        <v>111</v>
      </c>
      <c r="O202" s="13">
        <v>947</v>
      </c>
      <c r="P202" s="13">
        <v>2110</v>
      </c>
      <c r="Q202" s="12">
        <v>15081.44</v>
      </c>
      <c r="R202" s="14">
        <f t="shared" si="6"/>
        <v>2.97297297297297</v>
      </c>
      <c r="S202">
        <v>505</v>
      </c>
      <c r="T202" s="15">
        <f t="shared" si="7"/>
        <v>136.486486486486</v>
      </c>
      <c r="U202" t="s">
        <v>218</v>
      </c>
      <c r="V202">
        <v>55</v>
      </c>
      <c r="W202">
        <v>4.9</v>
      </c>
      <c r="X202" s="16">
        <v>0.1252</v>
      </c>
      <c r="Y202" s="17">
        <v>46029</v>
      </c>
      <c r="Z202" t="s">
        <v>219</v>
      </c>
      <c r="AB202" s="18">
        <v>-0.362068965517241</v>
      </c>
      <c r="AC202" t="s">
        <v>844</v>
      </c>
      <c r="AD202" t="s">
        <v>273</v>
      </c>
      <c r="AE202" t="s">
        <v>341</v>
      </c>
      <c r="AF202" t="s">
        <v>255</v>
      </c>
      <c r="AG202" t="s">
        <v>224</v>
      </c>
      <c r="AH202" t="s">
        <v>1305</v>
      </c>
      <c r="AI202" t="s">
        <v>225</v>
      </c>
      <c r="AJ202">
        <v>1</v>
      </c>
    </row>
    <row r="203" ht="23" customHeight="1" spans="1:36">
      <c r="A203">
        <v>200</v>
      </c>
      <c r="B203" t="s">
        <v>1306</v>
      </c>
      <c r="C203" t="s">
        <v>1307</v>
      </c>
      <c r="D203" t="s">
        <v>19</v>
      </c>
      <c r="E203" t="s">
        <v>50</v>
      </c>
      <c r="F203" t="s">
        <v>407</v>
      </c>
      <c r="G203" t="s">
        <v>72</v>
      </c>
      <c r="H203" t="s">
        <v>408</v>
      </c>
      <c r="I203" t="s">
        <v>69</v>
      </c>
      <c r="J203" s="12">
        <v>123.57</v>
      </c>
      <c r="K203">
        <v>1</v>
      </c>
      <c r="L203" s="12">
        <v>123.57</v>
      </c>
      <c r="M203" s="13">
        <v>48</v>
      </c>
      <c r="N203" s="13">
        <v>111</v>
      </c>
      <c r="O203" s="13">
        <v>395</v>
      </c>
      <c r="P203" s="13">
        <v>1611</v>
      </c>
      <c r="Q203" s="12">
        <v>13716.27</v>
      </c>
      <c r="R203" s="14">
        <f t="shared" si="6"/>
        <v>1.85328185328185</v>
      </c>
      <c r="S203">
        <v>278</v>
      </c>
      <c r="T203" s="15">
        <f t="shared" si="7"/>
        <v>75.1351351351351</v>
      </c>
      <c r="U203" t="s">
        <v>218</v>
      </c>
      <c r="V203">
        <v>65</v>
      </c>
      <c r="W203">
        <v>4.8</v>
      </c>
      <c r="X203" s="16">
        <v>0.12</v>
      </c>
      <c r="Y203" s="17">
        <v>45730</v>
      </c>
      <c r="Z203" t="s">
        <v>219</v>
      </c>
      <c r="AB203" s="18">
        <v>-0.0263157894736842</v>
      </c>
      <c r="AC203" t="s">
        <v>947</v>
      </c>
      <c r="AD203" t="s">
        <v>272</v>
      </c>
      <c r="AE203" t="s">
        <v>341</v>
      </c>
      <c r="AF203" t="s">
        <v>367</v>
      </c>
      <c r="AG203" t="s">
        <v>224</v>
      </c>
      <c r="AH203" t="s">
        <v>1308</v>
      </c>
      <c r="AI203" t="s">
        <v>225</v>
      </c>
      <c r="AJ203">
        <v>1</v>
      </c>
    </row>
    <row r="204" ht="23" customHeight="1" spans="1:36">
      <c r="A204">
        <v>201</v>
      </c>
      <c r="B204" t="s">
        <v>1309</v>
      </c>
      <c r="C204" t="s">
        <v>1310</v>
      </c>
      <c r="D204" t="s">
        <v>19</v>
      </c>
      <c r="E204" t="s">
        <v>50</v>
      </c>
      <c r="F204" t="s">
        <v>407</v>
      </c>
      <c r="G204" t="s">
        <v>72</v>
      </c>
      <c r="H204" t="s">
        <v>408</v>
      </c>
      <c r="I204" t="s">
        <v>69</v>
      </c>
      <c r="J204" s="12">
        <v>134.07</v>
      </c>
      <c r="K204">
        <v>2</v>
      </c>
      <c r="L204" s="12">
        <v>67.03</v>
      </c>
      <c r="M204" s="13">
        <v>35</v>
      </c>
      <c r="N204" s="13">
        <v>111</v>
      </c>
      <c r="O204" s="13">
        <v>632</v>
      </c>
      <c r="P204" s="13">
        <v>1601</v>
      </c>
      <c r="Q204" s="12">
        <v>14881.77</v>
      </c>
      <c r="R204" s="14">
        <f t="shared" si="6"/>
        <v>1.35135135135135</v>
      </c>
      <c r="S204">
        <v>299</v>
      </c>
      <c r="T204" s="15">
        <f t="shared" si="7"/>
        <v>80.8108108108108</v>
      </c>
      <c r="U204" t="s">
        <v>218</v>
      </c>
      <c r="V204">
        <v>87</v>
      </c>
      <c r="W204">
        <v>4.8</v>
      </c>
      <c r="X204" s="16">
        <v>0.0445</v>
      </c>
      <c r="Y204" s="17">
        <v>46012</v>
      </c>
      <c r="Z204" t="s">
        <v>219</v>
      </c>
      <c r="AA204">
        <v>20</v>
      </c>
      <c r="AB204" s="18">
        <v>-0.369318181818182</v>
      </c>
      <c r="AC204" t="s">
        <v>300</v>
      </c>
      <c r="AD204" t="s">
        <v>331</v>
      </c>
      <c r="AE204" t="s">
        <v>540</v>
      </c>
      <c r="AF204" t="s">
        <v>333</v>
      </c>
      <c r="AG204" t="s">
        <v>224</v>
      </c>
      <c r="AH204" t="s">
        <v>1311</v>
      </c>
      <c r="AI204" t="s">
        <v>225</v>
      </c>
      <c r="AJ204">
        <v>1</v>
      </c>
    </row>
    <row r="205" ht="23" customHeight="1" spans="1:36">
      <c r="A205">
        <v>202</v>
      </c>
      <c r="B205" t="s">
        <v>1312</v>
      </c>
      <c r="C205" t="s">
        <v>1313</v>
      </c>
      <c r="D205" t="s">
        <v>21</v>
      </c>
      <c r="E205" t="s">
        <v>53</v>
      </c>
      <c r="F205" t="s">
        <v>840</v>
      </c>
      <c r="G205" t="s">
        <v>841</v>
      </c>
      <c r="H205" t="s">
        <v>1314</v>
      </c>
      <c r="I205" t="s">
        <v>68</v>
      </c>
      <c r="J205" s="12">
        <v>193.19</v>
      </c>
      <c r="K205">
        <v>4</v>
      </c>
      <c r="L205" s="12">
        <v>48.3</v>
      </c>
      <c r="M205" s="13">
        <v>10</v>
      </c>
      <c r="N205" s="13">
        <v>110</v>
      </c>
      <c r="O205" s="13">
        <v>327</v>
      </c>
      <c r="P205" s="13">
        <v>902</v>
      </c>
      <c r="Q205" s="12">
        <v>21250.9</v>
      </c>
      <c r="R205" s="14">
        <f t="shared" si="6"/>
        <v>0.38961038961039</v>
      </c>
      <c r="S205">
        <v>158</v>
      </c>
      <c r="T205" s="15">
        <f t="shared" si="7"/>
        <v>43.0909090909091</v>
      </c>
      <c r="U205" t="s">
        <v>218</v>
      </c>
      <c r="V205">
        <v>16</v>
      </c>
      <c r="W205">
        <v>3.9</v>
      </c>
      <c r="X205" s="16">
        <v>0.0743</v>
      </c>
      <c r="Y205" s="17">
        <v>45804</v>
      </c>
      <c r="Z205" t="s">
        <v>219</v>
      </c>
      <c r="AB205" s="18">
        <v>1.2</v>
      </c>
      <c r="AC205" t="s">
        <v>347</v>
      </c>
      <c r="AD205" t="s">
        <v>425</v>
      </c>
      <c r="AE205" t="s">
        <v>341</v>
      </c>
      <c r="AF205" t="s">
        <v>780</v>
      </c>
      <c r="AG205" t="s">
        <v>224</v>
      </c>
      <c r="AH205" t="s">
        <v>1315</v>
      </c>
      <c r="AI205" t="s">
        <v>225</v>
      </c>
      <c r="AJ205">
        <v>1</v>
      </c>
    </row>
    <row r="206" ht="23" customHeight="1" spans="1:36">
      <c r="A206">
        <v>203</v>
      </c>
      <c r="B206" t="s">
        <v>1316</v>
      </c>
      <c r="C206" t="s">
        <v>1317</v>
      </c>
      <c r="D206" t="s">
        <v>19</v>
      </c>
      <c r="E206" t="s">
        <v>56</v>
      </c>
      <c r="F206" t="s">
        <v>1318</v>
      </c>
      <c r="G206" t="s">
        <v>1319</v>
      </c>
      <c r="H206" t="s">
        <v>1320</v>
      </c>
      <c r="I206" t="s">
        <v>68</v>
      </c>
      <c r="J206" s="12">
        <v>242.49</v>
      </c>
      <c r="K206">
        <v>4</v>
      </c>
      <c r="L206" s="12">
        <v>60.62</v>
      </c>
      <c r="M206" s="13">
        <v>43</v>
      </c>
      <c r="N206" s="13">
        <v>110</v>
      </c>
      <c r="O206" s="13">
        <v>127</v>
      </c>
      <c r="P206" s="13">
        <v>394</v>
      </c>
      <c r="Q206" s="12">
        <v>26673.9</v>
      </c>
      <c r="R206" s="14">
        <f t="shared" si="6"/>
        <v>1.67532467532468</v>
      </c>
      <c r="S206">
        <v>103</v>
      </c>
      <c r="T206" s="15">
        <f t="shared" si="7"/>
        <v>28.0909090909091</v>
      </c>
      <c r="U206" t="s">
        <v>218</v>
      </c>
      <c r="V206">
        <v>20</v>
      </c>
      <c r="W206">
        <v>4.6</v>
      </c>
      <c r="X206" s="16">
        <v>0.0388</v>
      </c>
      <c r="Y206" s="17">
        <v>46094</v>
      </c>
      <c r="Z206" t="s">
        <v>219</v>
      </c>
      <c r="AB206" s="18">
        <v>5.47058823529412</v>
      </c>
      <c r="AC206" t="s">
        <v>482</v>
      </c>
      <c r="AD206" t="s">
        <v>482</v>
      </c>
      <c r="AE206" t="s">
        <v>325</v>
      </c>
      <c r="AF206" t="s">
        <v>732</v>
      </c>
      <c r="AG206" t="s">
        <v>224</v>
      </c>
      <c r="AH206" t="s">
        <v>1321</v>
      </c>
      <c r="AI206" t="s">
        <v>225</v>
      </c>
      <c r="AJ206">
        <v>1</v>
      </c>
    </row>
    <row r="207" ht="23" customHeight="1" spans="1:36">
      <c r="A207">
        <v>204</v>
      </c>
      <c r="B207" t="s">
        <v>1322</v>
      </c>
      <c r="C207" t="s">
        <v>1323</v>
      </c>
      <c r="D207" t="s">
        <v>19</v>
      </c>
      <c r="E207" t="s">
        <v>50</v>
      </c>
      <c r="F207" t="s">
        <v>1324</v>
      </c>
      <c r="G207" t="s">
        <v>1325</v>
      </c>
      <c r="H207" t="s">
        <v>1326</v>
      </c>
      <c r="I207" t="s">
        <v>68</v>
      </c>
      <c r="J207" s="12">
        <v>124.05</v>
      </c>
      <c r="K207">
        <v>1</v>
      </c>
      <c r="L207" s="12">
        <v>124.05</v>
      </c>
      <c r="M207" s="13">
        <v>88</v>
      </c>
      <c r="N207" s="13">
        <v>109</v>
      </c>
      <c r="O207" s="13">
        <v>117</v>
      </c>
      <c r="P207" s="13">
        <v>505</v>
      </c>
      <c r="Q207" s="12">
        <v>13521.45</v>
      </c>
      <c r="R207" s="14">
        <f t="shared" si="6"/>
        <v>3.46002621231979</v>
      </c>
      <c r="S207">
        <v>111</v>
      </c>
      <c r="T207" s="15">
        <f t="shared" si="7"/>
        <v>30.5504587155963</v>
      </c>
      <c r="U207" t="s">
        <v>218</v>
      </c>
      <c r="V207">
        <v>91</v>
      </c>
      <c r="W207">
        <v>4.3</v>
      </c>
      <c r="X207" s="16">
        <v>0.0904</v>
      </c>
      <c r="Y207" s="17">
        <v>46127</v>
      </c>
      <c r="Z207" t="s">
        <v>228</v>
      </c>
      <c r="AB207" s="18">
        <v>35.3333333333333</v>
      </c>
      <c r="AC207" t="s">
        <v>622</v>
      </c>
      <c r="AD207" t="s">
        <v>1327</v>
      </c>
      <c r="AE207" t="s">
        <v>540</v>
      </c>
      <c r="AF207" t="s">
        <v>833</v>
      </c>
      <c r="AG207" t="s">
        <v>224</v>
      </c>
      <c r="AH207" t="s">
        <v>1328</v>
      </c>
      <c r="AI207" t="s">
        <v>225</v>
      </c>
      <c r="AJ207">
        <v>1</v>
      </c>
    </row>
    <row r="208" ht="23" customHeight="1" spans="1:36">
      <c r="A208">
        <v>205</v>
      </c>
      <c r="B208" t="s">
        <v>1329</v>
      </c>
      <c r="C208" t="s">
        <v>1330</v>
      </c>
      <c r="D208" t="s">
        <v>36</v>
      </c>
      <c r="E208" t="s">
        <v>53</v>
      </c>
      <c r="F208" t="s">
        <v>1331</v>
      </c>
      <c r="G208" t="s">
        <v>1332</v>
      </c>
      <c r="H208" t="s">
        <v>1333</v>
      </c>
      <c r="I208" t="s">
        <v>68</v>
      </c>
      <c r="J208" s="12">
        <v>168.23</v>
      </c>
      <c r="K208">
        <v>1</v>
      </c>
      <c r="L208" s="12">
        <v>168.23</v>
      </c>
      <c r="M208" s="13">
        <v>0</v>
      </c>
      <c r="N208" s="13">
        <v>106</v>
      </c>
      <c r="O208" s="13">
        <v>198</v>
      </c>
      <c r="P208" s="13">
        <v>520</v>
      </c>
      <c r="Q208" s="12">
        <v>19346.45</v>
      </c>
      <c r="R208" s="14">
        <f t="shared" si="6"/>
        <v>0</v>
      </c>
      <c r="S208">
        <v>321</v>
      </c>
      <c r="T208" s="15">
        <f t="shared" si="7"/>
        <v>90.8490566037736</v>
      </c>
      <c r="U208" t="s">
        <v>999</v>
      </c>
      <c r="V208">
        <v>4</v>
      </c>
      <c r="W208">
        <v>4.8</v>
      </c>
      <c r="X208" s="16">
        <v>0.2994</v>
      </c>
      <c r="Y208" s="17">
        <v>45923</v>
      </c>
      <c r="Z208" t="s">
        <v>219</v>
      </c>
      <c r="AB208" s="18">
        <v>4.88888888888889</v>
      </c>
      <c r="AF208" t="s">
        <v>1334</v>
      </c>
      <c r="AG208" t="s">
        <v>224</v>
      </c>
      <c r="AH208" t="s">
        <v>1335</v>
      </c>
      <c r="AI208" t="s">
        <v>225</v>
      </c>
      <c r="AJ208">
        <v>0</v>
      </c>
    </row>
    <row r="209" ht="23" customHeight="1" spans="1:36">
      <c r="A209">
        <v>206</v>
      </c>
      <c r="B209" t="s">
        <v>1336</v>
      </c>
      <c r="C209" t="s">
        <v>1337</v>
      </c>
      <c r="D209" t="s">
        <v>27</v>
      </c>
      <c r="E209" t="s">
        <v>56</v>
      </c>
      <c r="F209" t="s">
        <v>121</v>
      </c>
      <c r="G209" t="s">
        <v>83</v>
      </c>
      <c r="H209" t="s">
        <v>1338</v>
      </c>
      <c r="I209" t="s">
        <v>68</v>
      </c>
      <c r="J209" s="12">
        <v>248.07</v>
      </c>
      <c r="K209">
        <v>1</v>
      </c>
      <c r="L209" s="12">
        <v>248.07</v>
      </c>
      <c r="M209" s="13">
        <v>24</v>
      </c>
      <c r="N209" s="13">
        <v>105</v>
      </c>
      <c r="O209" s="13">
        <v>205</v>
      </c>
      <c r="P209" s="13">
        <v>388</v>
      </c>
      <c r="Q209" s="12">
        <v>28528.05</v>
      </c>
      <c r="R209" s="14">
        <f t="shared" si="6"/>
        <v>0.979591836734694</v>
      </c>
      <c r="S209">
        <v>2065</v>
      </c>
      <c r="T209" s="15">
        <f t="shared" si="7"/>
        <v>590</v>
      </c>
      <c r="U209" t="s">
        <v>218</v>
      </c>
      <c r="V209">
        <v>385</v>
      </c>
      <c r="W209">
        <v>4.8</v>
      </c>
      <c r="X209" s="16">
        <v>0.0357</v>
      </c>
      <c r="Y209" s="17">
        <v>46140</v>
      </c>
      <c r="Z209" t="s">
        <v>228</v>
      </c>
      <c r="AA209">
        <v>12</v>
      </c>
      <c r="AB209" s="18">
        <v>1.625</v>
      </c>
      <c r="AC209" t="s">
        <v>622</v>
      </c>
      <c r="AD209" t="s">
        <v>236</v>
      </c>
      <c r="AE209" t="s">
        <v>236</v>
      </c>
      <c r="AF209" t="s">
        <v>357</v>
      </c>
      <c r="AG209" t="s">
        <v>224</v>
      </c>
      <c r="AH209" t="s">
        <v>1339</v>
      </c>
      <c r="AI209" t="s">
        <v>225</v>
      </c>
      <c r="AJ209">
        <v>1</v>
      </c>
    </row>
    <row r="210" ht="23" customHeight="1" spans="1:36">
      <c r="A210">
        <v>207</v>
      </c>
      <c r="B210" t="s">
        <v>1340</v>
      </c>
      <c r="C210" t="s">
        <v>1341</v>
      </c>
      <c r="D210" t="s">
        <v>19</v>
      </c>
      <c r="E210" t="s">
        <v>50</v>
      </c>
      <c r="F210" t="s">
        <v>401</v>
      </c>
      <c r="G210" t="s">
        <v>74</v>
      </c>
      <c r="H210" t="s">
        <v>431</v>
      </c>
      <c r="I210" t="s">
        <v>69</v>
      </c>
      <c r="J210" s="12">
        <v>144.84</v>
      </c>
      <c r="K210">
        <v>1</v>
      </c>
      <c r="L210" s="12">
        <v>144.84</v>
      </c>
      <c r="M210" s="13">
        <v>14</v>
      </c>
      <c r="N210" s="13">
        <v>105</v>
      </c>
      <c r="O210" s="13">
        <v>181</v>
      </c>
      <c r="P210" s="13">
        <v>181</v>
      </c>
      <c r="Q210" s="12">
        <v>15208.2</v>
      </c>
      <c r="R210" s="14">
        <f t="shared" si="6"/>
        <v>0.571428571428571</v>
      </c>
      <c r="S210">
        <v>129</v>
      </c>
      <c r="T210" s="15">
        <f t="shared" si="7"/>
        <v>36.8571428571429</v>
      </c>
      <c r="U210" t="s">
        <v>218</v>
      </c>
      <c r="V210">
        <v>3</v>
      </c>
      <c r="W210">
        <v>5</v>
      </c>
      <c r="X210" s="16">
        <v>0.0897</v>
      </c>
      <c r="Y210" s="17">
        <v>46164</v>
      </c>
      <c r="Z210" t="s">
        <v>228</v>
      </c>
      <c r="AB210" s="18">
        <v>0.22093023255814</v>
      </c>
      <c r="AC210" t="s">
        <v>220</v>
      </c>
      <c r="AD210" t="s">
        <v>254</v>
      </c>
      <c r="AE210" t="s">
        <v>222</v>
      </c>
      <c r="AF210" t="s">
        <v>1191</v>
      </c>
      <c r="AG210" t="s">
        <v>224</v>
      </c>
      <c r="AH210" t="s">
        <v>1342</v>
      </c>
      <c r="AI210" t="s">
        <v>225</v>
      </c>
      <c r="AJ210">
        <v>1</v>
      </c>
    </row>
    <row r="211" ht="23" customHeight="1" spans="1:36">
      <c r="A211">
        <v>208</v>
      </c>
      <c r="B211" t="s">
        <v>1343</v>
      </c>
      <c r="C211" t="s">
        <v>1344</v>
      </c>
      <c r="D211" t="s">
        <v>25</v>
      </c>
      <c r="E211" t="s">
        <v>56</v>
      </c>
      <c r="F211" t="s">
        <v>463</v>
      </c>
      <c r="G211" t="s">
        <v>464</v>
      </c>
      <c r="H211" t="s">
        <v>465</v>
      </c>
      <c r="I211" t="s">
        <v>69</v>
      </c>
      <c r="J211" s="12">
        <v>208.57</v>
      </c>
      <c r="K211">
        <v>2</v>
      </c>
      <c r="L211" s="12">
        <v>104.28</v>
      </c>
      <c r="M211" s="13">
        <v>36</v>
      </c>
      <c r="N211" s="13">
        <v>104</v>
      </c>
      <c r="O211" s="13">
        <v>265</v>
      </c>
      <c r="P211" s="13">
        <v>1265</v>
      </c>
      <c r="Q211" s="12">
        <v>21691.28</v>
      </c>
      <c r="R211" s="14">
        <f t="shared" si="6"/>
        <v>1.48351648351648</v>
      </c>
      <c r="S211">
        <v>77</v>
      </c>
      <c r="T211" s="15">
        <f t="shared" si="7"/>
        <v>22.2115384615385</v>
      </c>
      <c r="U211" t="s">
        <v>218</v>
      </c>
      <c r="V211">
        <v>127</v>
      </c>
      <c r="W211">
        <v>4.7</v>
      </c>
      <c r="X211" s="16">
        <v>0.0601</v>
      </c>
      <c r="Y211" s="17">
        <v>45612</v>
      </c>
      <c r="Z211" t="s">
        <v>219</v>
      </c>
      <c r="AB211" s="18">
        <v>-0.133333333333333</v>
      </c>
      <c r="AC211" t="s">
        <v>510</v>
      </c>
      <c r="AD211" t="s">
        <v>318</v>
      </c>
      <c r="AE211" t="s">
        <v>221</v>
      </c>
      <c r="AF211" t="s">
        <v>1268</v>
      </c>
      <c r="AG211" t="s">
        <v>224</v>
      </c>
      <c r="AH211" t="s">
        <v>1345</v>
      </c>
      <c r="AI211" t="s">
        <v>225</v>
      </c>
      <c r="AJ211">
        <v>1</v>
      </c>
    </row>
    <row r="212" ht="23" customHeight="1" spans="1:36">
      <c r="A212">
        <v>209</v>
      </c>
      <c r="B212" t="s">
        <v>1346</v>
      </c>
      <c r="C212" t="s">
        <v>1347</v>
      </c>
      <c r="D212" t="s">
        <v>27</v>
      </c>
      <c r="E212" t="s">
        <v>56</v>
      </c>
      <c r="F212" t="s">
        <v>1348</v>
      </c>
      <c r="G212" t="s">
        <v>1349</v>
      </c>
      <c r="H212" t="s">
        <v>1350</v>
      </c>
      <c r="I212" t="s">
        <v>69</v>
      </c>
      <c r="J212" s="12">
        <v>266.76</v>
      </c>
      <c r="K212">
        <v>1</v>
      </c>
      <c r="L212" s="12">
        <v>266.76</v>
      </c>
      <c r="M212" s="13">
        <v>58</v>
      </c>
      <c r="N212" s="13">
        <v>102</v>
      </c>
      <c r="O212" s="13">
        <v>129</v>
      </c>
      <c r="P212" s="13">
        <v>379</v>
      </c>
      <c r="Q212" s="12">
        <v>28810.08</v>
      </c>
      <c r="R212" s="14">
        <f t="shared" si="6"/>
        <v>2.43697478991597</v>
      </c>
      <c r="S212">
        <v>40</v>
      </c>
      <c r="T212" s="15">
        <f t="shared" si="7"/>
        <v>11.7647058823529</v>
      </c>
      <c r="U212" t="s">
        <v>218</v>
      </c>
      <c r="V212">
        <v>17</v>
      </c>
      <c r="W212">
        <v>4.8</v>
      </c>
      <c r="X212" s="16">
        <v>0.0591</v>
      </c>
      <c r="Y212" s="17">
        <v>45973</v>
      </c>
      <c r="Z212" t="s">
        <v>219</v>
      </c>
      <c r="AB212" s="18">
        <v>24.5</v>
      </c>
      <c r="AC212" t="s">
        <v>517</v>
      </c>
      <c r="AD212" t="s">
        <v>539</v>
      </c>
      <c r="AE212" t="s">
        <v>863</v>
      </c>
      <c r="AF212" t="s">
        <v>1351</v>
      </c>
      <c r="AG212" t="s">
        <v>224</v>
      </c>
      <c r="AH212" t="s">
        <v>1352</v>
      </c>
      <c r="AI212" t="s">
        <v>225</v>
      </c>
      <c r="AJ212">
        <v>1</v>
      </c>
    </row>
    <row r="213" ht="23" customHeight="1" spans="1:36">
      <c r="A213">
        <v>210</v>
      </c>
      <c r="B213" t="s">
        <v>1353</v>
      </c>
      <c r="C213" t="s">
        <v>1354</v>
      </c>
      <c r="D213" t="s">
        <v>19</v>
      </c>
      <c r="E213" t="s">
        <v>56</v>
      </c>
      <c r="F213" t="s">
        <v>407</v>
      </c>
      <c r="G213" t="s">
        <v>72</v>
      </c>
      <c r="H213" t="s">
        <v>611</v>
      </c>
      <c r="I213" t="s">
        <v>68</v>
      </c>
      <c r="J213" s="12">
        <v>212.21</v>
      </c>
      <c r="K213">
        <v>1</v>
      </c>
      <c r="L213" s="12">
        <v>212.21</v>
      </c>
      <c r="M213" s="13">
        <v>27</v>
      </c>
      <c r="N213" s="13">
        <v>102</v>
      </c>
      <c r="O213" s="13">
        <v>1167</v>
      </c>
      <c r="P213" s="13">
        <v>1833</v>
      </c>
      <c r="Q213" s="12">
        <v>23767.52</v>
      </c>
      <c r="R213" s="14">
        <f t="shared" si="6"/>
        <v>1.13445378151261</v>
      </c>
      <c r="S213">
        <v>314</v>
      </c>
      <c r="T213" s="15">
        <f t="shared" si="7"/>
        <v>92.3529411764706</v>
      </c>
      <c r="U213" t="s">
        <v>218</v>
      </c>
      <c r="V213">
        <v>123</v>
      </c>
      <c r="W213">
        <v>4.8</v>
      </c>
      <c r="X213" s="16">
        <v>0.0877</v>
      </c>
      <c r="Y213" s="17">
        <v>46043</v>
      </c>
      <c r="Z213" t="s">
        <v>219</v>
      </c>
      <c r="AA213">
        <v>19</v>
      </c>
      <c r="AB213" s="18">
        <v>-0.812844036697248</v>
      </c>
      <c r="AC213" t="s">
        <v>844</v>
      </c>
      <c r="AD213" t="s">
        <v>389</v>
      </c>
      <c r="AE213" t="s">
        <v>236</v>
      </c>
      <c r="AF213" t="s">
        <v>1355</v>
      </c>
      <c r="AG213" t="s">
        <v>224</v>
      </c>
      <c r="AH213" t="s">
        <v>1356</v>
      </c>
      <c r="AI213" t="s">
        <v>225</v>
      </c>
      <c r="AJ213">
        <v>1</v>
      </c>
    </row>
    <row r="214" ht="23" customHeight="1" spans="1:36">
      <c r="A214">
        <v>211</v>
      </c>
      <c r="B214" t="s">
        <v>1357</v>
      </c>
      <c r="C214" t="s">
        <v>1358</v>
      </c>
      <c r="D214" t="s">
        <v>30</v>
      </c>
      <c r="E214" t="s">
        <v>53</v>
      </c>
      <c r="F214" t="s">
        <v>1359</v>
      </c>
      <c r="G214" t="s">
        <v>1360</v>
      </c>
      <c r="H214" t="s">
        <v>1361</v>
      </c>
      <c r="I214" t="s">
        <v>69</v>
      </c>
      <c r="J214" s="12">
        <v>194.82</v>
      </c>
      <c r="K214">
        <v>6</v>
      </c>
      <c r="L214" s="12">
        <v>32.47</v>
      </c>
      <c r="M214" s="13">
        <v>29</v>
      </c>
      <c r="N214" s="13">
        <v>102</v>
      </c>
      <c r="O214" s="13">
        <v>337</v>
      </c>
      <c r="P214" s="13">
        <v>511</v>
      </c>
      <c r="Q214" s="12">
        <v>19871.64</v>
      </c>
      <c r="R214" s="14">
        <f t="shared" si="6"/>
        <v>1.21848739495798</v>
      </c>
      <c r="S214">
        <v>227</v>
      </c>
      <c r="T214" s="15">
        <f t="shared" si="7"/>
        <v>66.7647058823529</v>
      </c>
      <c r="U214" t="s">
        <v>218</v>
      </c>
      <c r="V214">
        <v>52</v>
      </c>
      <c r="W214">
        <v>4.7</v>
      </c>
      <c r="X214" s="16">
        <v>0.0947</v>
      </c>
      <c r="Y214" s="17">
        <v>46091</v>
      </c>
      <c r="Z214" t="s">
        <v>219</v>
      </c>
      <c r="AB214" s="18">
        <v>-0.457446808510638</v>
      </c>
      <c r="AC214" t="s">
        <v>261</v>
      </c>
      <c r="AD214" t="s">
        <v>221</v>
      </c>
      <c r="AE214" t="s">
        <v>320</v>
      </c>
      <c r="AF214" t="s">
        <v>619</v>
      </c>
      <c r="AG214" t="s">
        <v>224</v>
      </c>
      <c r="AH214" t="s">
        <v>1362</v>
      </c>
      <c r="AI214" t="s">
        <v>225</v>
      </c>
      <c r="AJ214">
        <v>0</v>
      </c>
    </row>
    <row r="215" ht="23" customHeight="1" spans="1:36">
      <c r="A215">
        <v>212</v>
      </c>
      <c r="B215" t="s">
        <v>1363</v>
      </c>
      <c r="C215" t="s">
        <v>1364</v>
      </c>
      <c r="D215" t="s">
        <v>19</v>
      </c>
      <c r="E215" t="s">
        <v>53</v>
      </c>
      <c r="F215" t="s">
        <v>309</v>
      </c>
      <c r="G215" t="s">
        <v>75</v>
      </c>
      <c r="H215" t="s">
        <v>1365</v>
      </c>
      <c r="I215" t="s">
        <v>69</v>
      </c>
      <c r="J215" s="12">
        <v>189.31</v>
      </c>
      <c r="K215">
        <v>1</v>
      </c>
      <c r="L215" s="12">
        <v>189.31</v>
      </c>
      <c r="M215" s="13">
        <v>37</v>
      </c>
      <c r="N215" s="13">
        <v>102</v>
      </c>
      <c r="O215" s="13">
        <v>294</v>
      </c>
      <c r="P215" s="13">
        <v>2688</v>
      </c>
      <c r="Q215" s="12">
        <v>19309.62</v>
      </c>
      <c r="R215" s="14">
        <f t="shared" si="6"/>
        <v>1.5546218487395</v>
      </c>
      <c r="S215">
        <v>1</v>
      </c>
      <c r="T215" s="15">
        <f t="shared" si="7"/>
        <v>0.294117647058824</v>
      </c>
      <c r="U215" t="s">
        <v>218</v>
      </c>
      <c r="V215">
        <v>270</v>
      </c>
      <c r="W215">
        <v>4.8</v>
      </c>
      <c r="X215" s="16">
        <v>0.1047</v>
      </c>
      <c r="Y215" s="17">
        <v>45027</v>
      </c>
      <c r="Z215" t="s">
        <v>219</v>
      </c>
      <c r="AA215">
        <v>-1</v>
      </c>
      <c r="AB215" s="18">
        <v>0.0967741935483871</v>
      </c>
      <c r="AC215" t="s">
        <v>1366</v>
      </c>
      <c r="AD215" t="s">
        <v>608</v>
      </c>
      <c r="AE215" t="s">
        <v>548</v>
      </c>
      <c r="AF215" t="s">
        <v>592</v>
      </c>
      <c r="AG215" t="s">
        <v>224</v>
      </c>
      <c r="AH215" t="s">
        <v>1367</v>
      </c>
      <c r="AI215" t="s">
        <v>225</v>
      </c>
      <c r="AJ215">
        <v>1</v>
      </c>
    </row>
    <row r="216" ht="23" customHeight="1" spans="1:36">
      <c r="A216">
        <v>213</v>
      </c>
      <c r="B216" t="s">
        <v>1368</v>
      </c>
      <c r="C216" t="s">
        <v>1369</v>
      </c>
      <c r="D216" t="s">
        <v>19</v>
      </c>
      <c r="E216" t="s">
        <v>53</v>
      </c>
      <c r="F216" t="s">
        <v>401</v>
      </c>
      <c r="G216" t="s">
        <v>74</v>
      </c>
      <c r="H216" t="s">
        <v>431</v>
      </c>
      <c r="I216" t="s">
        <v>69</v>
      </c>
      <c r="J216" s="12">
        <v>187.66</v>
      </c>
      <c r="K216">
        <v>1</v>
      </c>
      <c r="L216" s="12">
        <v>187.66</v>
      </c>
      <c r="M216" s="13">
        <v>24</v>
      </c>
      <c r="N216" s="13">
        <v>101</v>
      </c>
      <c r="O216" s="13">
        <v>133</v>
      </c>
      <c r="P216" s="13">
        <v>133</v>
      </c>
      <c r="Q216" s="12">
        <v>18953.66</v>
      </c>
      <c r="R216" s="14">
        <f t="shared" si="6"/>
        <v>1.01838755304102</v>
      </c>
      <c r="S216">
        <v>147</v>
      </c>
      <c r="T216" s="15">
        <f t="shared" si="7"/>
        <v>43.6633663366337</v>
      </c>
      <c r="U216" t="s">
        <v>218</v>
      </c>
      <c r="V216">
        <v>4</v>
      </c>
      <c r="W216">
        <v>5</v>
      </c>
      <c r="X216" s="16">
        <v>0.0723</v>
      </c>
      <c r="Y216" s="17">
        <v>46101</v>
      </c>
      <c r="Z216" t="s">
        <v>219</v>
      </c>
      <c r="AB216" s="18">
        <v>1.72972972972973</v>
      </c>
      <c r="AC216" t="s">
        <v>412</v>
      </c>
      <c r="AD216" t="s">
        <v>254</v>
      </c>
      <c r="AE216" t="s">
        <v>466</v>
      </c>
      <c r="AF216" t="s">
        <v>230</v>
      </c>
      <c r="AG216" t="s">
        <v>224</v>
      </c>
      <c r="AH216" t="s">
        <v>1370</v>
      </c>
      <c r="AI216" t="s">
        <v>225</v>
      </c>
      <c r="AJ216">
        <v>1</v>
      </c>
    </row>
    <row r="217" ht="23" customHeight="1" spans="1:36">
      <c r="A217">
        <v>214</v>
      </c>
      <c r="B217" t="s">
        <v>1371</v>
      </c>
      <c r="C217" t="s">
        <v>1372</v>
      </c>
      <c r="D217" t="s">
        <v>23</v>
      </c>
      <c r="E217" t="s">
        <v>56</v>
      </c>
      <c r="F217" t="s">
        <v>840</v>
      </c>
      <c r="G217" t="s">
        <v>841</v>
      </c>
      <c r="H217" t="s">
        <v>1373</v>
      </c>
      <c r="I217" t="s">
        <v>69</v>
      </c>
      <c r="J217" s="12">
        <v>206.52</v>
      </c>
      <c r="K217">
        <v>1</v>
      </c>
      <c r="L217" s="12">
        <v>206.52</v>
      </c>
      <c r="M217" s="13">
        <v>25</v>
      </c>
      <c r="N217" s="13">
        <v>100</v>
      </c>
      <c r="O217" s="13">
        <v>112</v>
      </c>
      <c r="P217" s="13">
        <v>241</v>
      </c>
      <c r="Q217" s="12">
        <v>22717.2</v>
      </c>
      <c r="R217" s="14">
        <f t="shared" si="6"/>
        <v>1.07142857142857</v>
      </c>
      <c r="S217">
        <v>77</v>
      </c>
      <c r="T217" s="15">
        <f t="shared" si="7"/>
        <v>23.1</v>
      </c>
      <c r="U217" t="s">
        <v>218</v>
      </c>
      <c r="V217">
        <v>26</v>
      </c>
      <c r="W217">
        <v>4.9</v>
      </c>
      <c r="X217" s="16">
        <v>0.0599</v>
      </c>
      <c r="Y217" s="17">
        <v>46002</v>
      </c>
      <c r="Z217" t="s">
        <v>219</v>
      </c>
      <c r="AB217" s="18">
        <v>7.33333333333333</v>
      </c>
      <c r="AC217" t="s">
        <v>221</v>
      </c>
      <c r="AD217" t="s">
        <v>222</v>
      </c>
      <c r="AE217" t="s">
        <v>273</v>
      </c>
      <c r="AF217" t="s">
        <v>397</v>
      </c>
      <c r="AG217" t="s">
        <v>224</v>
      </c>
      <c r="AH217" t="s">
        <v>1374</v>
      </c>
      <c r="AI217" t="s">
        <v>225</v>
      </c>
      <c r="AJ217">
        <v>1</v>
      </c>
    </row>
    <row r="218" ht="23" customHeight="1" spans="1:36">
      <c r="A218">
        <v>215</v>
      </c>
      <c r="B218" t="s">
        <v>1375</v>
      </c>
      <c r="C218" t="s">
        <v>1376</v>
      </c>
      <c r="D218" t="s">
        <v>19</v>
      </c>
      <c r="E218" t="s">
        <v>56</v>
      </c>
      <c r="F218" t="s">
        <v>1198</v>
      </c>
      <c r="G218" t="s">
        <v>1199</v>
      </c>
      <c r="H218" t="s">
        <v>1377</v>
      </c>
      <c r="I218" t="s">
        <v>69</v>
      </c>
      <c r="J218" s="12">
        <v>247.82</v>
      </c>
      <c r="K218">
        <v>2</v>
      </c>
      <c r="L218" s="12">
        <v>123.91</v>
      </c>
      <c r="M218" s="13">
        <v>13</v>
      </c>
      <c r="N218" s="13">
        <v>100</v>
      </c>
      <c r="O218" s="13">
        <v>109</v>
      </c>
      <c r="P218" s="13">
        <v>117</v>
      </c>
      <c r="Q218" s="12">
        <v>26516.74</v>
      </c>
      <c r="R218" s="14">
        <f t="shared" si="6"/>
        <v>0.557142857142857</v>
      </c>
      <c r="S218">
        <v>27</v>
      </c>
      <c r="T218" s="15">
        <f t="shared" si="7"/>
        <v>8.1</v>
      </c>
      <c r="U218" t="s">
        <v>218</v>
      </c>
      <c r="V218">
        <v>3</v>
      </c>
      <c r="W218">
        <v>5</v>
      </c>
      <c r="X218" s="16">
        <v>0.0885</v>
      </c>
      <c r="Y218" s="17">
        <v>46236</v>
      </c>
      <c r="Z218" t="s">
        <v>241</v>
      </c>
      <c r="AB218" s="18">
        <v>13.2857142857143</v>
      </c>
      <c r="AC218" t="s">
        <v>740</v>
      </c>
      <c r="AD218" t="s">
        <v>509</v>
      </c>
      <c r="AE218" t="s">
        <v>222</v>
      </c>
      <c r="AF218" t="s">
        <v>483</v>
      </c>
      <c r="AG218" t="s">
        <v>224</v>
      </c>
      <c r="AH218" t="s">
        <v>1378</v>
      </c>
      <c r="AI218" t="s">
        <v>225</v>
      </c>
      <c r="AJ218">
        <v>1</v>
      </c>
    </row>
    <row r="219" ht="23" customHeight="1" spans="1:36">
      <c r="A219">
        <v>216</v>
      </c>
      <c r="B219" t="s">
        <v>1379</v>
      </c>
      <c r="C219" t="s">
        <v>1380</v>
      </c>
      <c r="D219" t="s">
        <v>21</v>
      </c>
      <c r="E219" t="s">
        <v>53</v>
      </c>
      <c r="F219" t="s">
        <v>1381</v>
      </c>
      <c r="G219" t="s">
        <v>1382</v>
      </c>
      <c r="H219" t="s">
        <v>1383</v>
      </c>
      <c r="I219" t="s">
        <v>68</v>
      </c>
      <c r="J219" s="12">
        <v>168.98</v>
      </c>
      <c r="K219">
        <v>1</v>
      </c>
      <c r="L219" s="12">
        <v>168.98</v>
      </c>
      <c r="M219" s="13">
        <v>22</v>
      </c>
      <c r="N219" s="13">
        <v>100</v>
      </c>
      <c r="O219" s="13">
        <v>385</v>
      </c>
      <c r="P219" s="13">
        <v>2078</v>
      </c>
      <c r="Q219" s="12">
        <v>18418.82</v>
      </c>
      <c r="R219" s="14">
        <f t="shared" si="6"/>
        <v>0.942857142857143</v>
      </c>
      <c r="S219">
        <v>194</v>
      </c>
      <c r="T219" s="15">
        <f t="shared" si="7"/>
        <v>58.2</v>
      </c>
      <c r="U219" t="s">
        <v>218</v>
      </c>
      <c r="V219">
        <v>183</v>
      </c>
      <c r="W219">
        <v>4.3</v>
      </c>
      <c r="X219" s="16">
        <v>0.0892</v>
      </c>
      <c r="Y219" s="17">
        <v>46057</v>
      </c>
      <c r="Z219" t="s">
        <v>219</v>
      </c>
      <c r="AA219">
        <v>14</v>
      </c>
      <c r="AB219" s="18">
        <v>-0.633699633699634</v>
      </c>
      <c r="AC219" t="s">
        <v>571</v>
      </c>
      <c r="AD219" t="s">
        <v>425</v>
      </c>
      <c r="AE219" t="s">
        <v>518</v>
      </c>
      <c r="AF219" t="s">
        <v>327</v>
      </c>
      <c r="AG219" t="s">
        <v>224</v>
      </c>
      <c r="AH219" t="s">
        <v>1384</v>
      </c>
      <c r="AI219" t="s">
        <v>225</v>
      </c>
      <c r="AJ219">
        <v>1</v>
      </c>
    </row>
    <row r="220" ht="23" customHeight="1" spans="1:36">
      <c r="A220">
        <v>217</v>
      </c>
      <c r="B220" t="s">
        <v>1385</v>
      </c>
      <c r="C220" t="s">
        <v>1386</v>
      </c>
      <c r="D220" t="s">
        <v>30</v>
      </c>
      <c r="E220" t="s">
        <v>53</v>
      </c>
      <c r="F220" t="s">
        <v>1387</v>
      </c>
      <c r="G220" t="s">
        <v>1388</v>
      </c>
      <c r="H220" t="s">
        <v>1389</v>
      </c>
      <c r="I220" t="s">
        <v>69</v>
      </c>
      <c r="J220" s="12">
        <v>188.28</v>
      </c>
      <c r="K220">
        <v>6</v>
      </c>
      <c r="L220" s="12">
        <v>31.38</v>
      </c>
      <c r="M220" s="13">
        <v>79</v>
      </c>
      <c r="N220" s="13">
        <v>99</v>
      </c>
      <c r="O220" s="13">
        <v>238</v>
      </c>
      <c r="P220" s="13">
        <v>317</v>
      </c>
      <c r="Q220" s="12">
        <v>19769.4</v>
      </c>
      <c r="R220" s="14">
        <f t="shared" si="6"/>
        <v>3.41991341991342</v>
      </c>
      <c r="S220">
        <v>237</v>
      </c>
      <c r="T220" s="15">
        <f t="shared" si="7"/>
        <v>71.8181818181818</v>
      </c>
      <c r="U220" t="s">
        <v>218</v>
      </c>
      <c r="V220">
        <v>21</v>
      </c>
      <c r="W220">
        <v>4.8</v>
      </c>
      <c r="X220" s="16">
        <v>0.0751</v>
      </c>
      <c r="Y220" s="17">
        <v>46154</v>
      </c>
      <c r="Z220" t="s">
        <v>228</v>
      </c>
      <c r="AB220" s="18">
        <v>99</v>
      </c>
      <c r="AC220" t="s">
        <v>458</v>
      </c>
      <c r="AD220" t="s">
        <v>273</v>
      </c>
      <c r="AE220" t="s">
        <v>305</v>
      </c>
      <c r="AF220" t="s">
        <v>230</v>
      </c>
      <c r="AG220" t="s">
        <v>224</v>
      </c>
      <c r="AH220" t="s">
        <v>1390</v>
      </c>
      <c r="AI220" t="s">
        <v>225</v>
      </c>
      <c r="AJ220">
        <v>0</v>
      </c>
    </row>
    <row r="221" ht="23" customHeight="1" spans="1:36">
      <c r="A221">
        <v>218</v>
      </c>
      <c r="B221" t="s">
        <v>1391</v>
      </c>
      <c r="C221" t="s">
        <v>1392</v>
      </c>
      <c r="D221" t="s">
        <v>38</v>
      </c>
      <c r="E221" t="s">
        <v>59</v>
      </c>
      <c r="F221" t="s">
        <v>1208</v>
      </c>
      <c r="G221" t="s">
        <v>1209</v>
      </c>
      <c r="H221" t="s">
        <v>1210</v>
      </c>
      <c r="I221" t="s">
        <v>69</v>
      </c>
      <c r="J221" s="12">
        <v>375.32</v>
      </c>
      <c r="K221">
        <v>1</v>
      </c>
      <c r="L221" s="12">
        <v>375.32</v>
      </c>
      <c r="M221" s="13">
        <v>9</v>
      </c>
      <c r="N221" s="13">
        <v>99</v>
      </c>
      <c r="O221" s="13">
        <v>448</v>
      </c>
      <c r="P221" s="13">
        <v>906</v>
      </c>
      <c r="Q221" s="12">
        <v>40534.56</v>
      </c>
      <c r="R221" s="14">
        <f t="shared" si="6"/>
        <v>0.38961038961039</v>
      </c>
      <c r="S221">
        <v>15</v>
      </c>
      <c r="T221" s="15">
        <f t="shared" si="7"/>
        <v>4.54545454545455</v>
      </c>
      <c r="U221" t="s">
        <v>218</v>
      </c>
      <c r="V221">
        <v>514</v>
      </c>
      <c r="W221">
        <v>4.7</v>
      </c>
      <c r="X221" s="16">
        <v>0.0257</v>
      </c>
      <c r="Y221" s="17">
        <v>46021</v>
      </c>
      <c r="Z221" t="s">
        <v>219</v>
      </c>
      <c r="AA221">
        <v>19</v>
      </c>
      <c r="AB221" s="18">
        <v>-0.410714285714286</v>
      </c>
      <c r="AC221" t="s">
        <v>295</v>
      </c>
      <c r="AD221" t="s">
        <v>331</v>
      </c>
      <c r="AE221" t="s">
        <v>250</v>
      </c>
      <c r="AF221" t="s">
        <v>327</v>
      </c>
      <c r="AG221" t="s">
        <v>224</v>
      </c>
      <c r="AH221" t="s">
        <v>1393</v>
      </c>
      <c r="AI221" t="s">
        <v>225</v>
      </c>
      <c r="AJ221">
        <v>0</v>
      </c>
    </row>
    <row r="222" ht="23" customHeight="1" spans="1:36">
      <c r="A222">
        <v>219</v>
      </c>
      <c r="B222" t="s">
        <v>1394</v>
      </c>
      <c r="C222" t="s">
        <v>1395</v>
      </c>
      <c r="D222" t="s">
        <v>30</v>
      </c>
      <c r="E222" t="s">
        <v>53</v>
      </c>
      <c r="F222" t="s">
        <v>1198</v>
      </c>
      <c r="G222" t="s">
        <v>1199</v>
      </c>
      <c r="H222" t="s">
        <v>1396</v>
      </c>
      <c r="I222" t="s">
        <v>69</v>
      </c>
      <c r="J222" s="12">
        <v>178.47</v>
      </c>
      <c r="K222">
        <v>1</v>
      </c>
      <c r="L222" s="12">
        <v>178.47</v>
      </c>
      <c r="M222" s="13">
        <v>15</v>
      </c>
      <c r="N222" s="13">
        <v>99</v>
      </c>
      <c r="O222" s="13">
        <v>142</v>
      </c>
      <c r="P222" s="13">
        <v>151</v>
      </c>
      <c r="Q222" s="12">
        <v>19096.29</v>
      </c>
      <c r="R222" s="14">
        <f t="shared" si="6"/>
        <v>0.649350649350649</v>
      </c>
      <c r="S222">
        <v>68</v>
      </c>
      <c r="T222" s="15">
        <f t="shared" si="7"/>
        <v>20.6060606060606</v>
      </c>
      <c r="U222" t="s">
        <v>218</v>
      </c>
      <c r="V222">
        <v>6</v>
      </c>
      <c r="W222">
        <v>4.7</v>
      </c>
      <c r="X222" s="16">
        <v>0.0536</v>
      </c>
      <c r="Y222" s="17">
        <v>46226</v>
      </c>
      <c r="Z222" t="s">
        <v>241</v>
      </c>
      <c r="AB222" s="18">
        <v>1.30232558139535</v>
      </c>
      <c r="AC222" t="s">
        <v>326</v>
      </c>
      <c r="AD222" t="s">
        <v>644</v>
      </c>
      <c r="AE222" t="s">
        <v>222</v>
      </c>
      <c r="AF222" t="s">
        <v>491</v>
      </c>
      <c r="AG222" t="s">
        <v>224</v>
      </c>
      <c r="AH222" t="s">
        <v>1397</v>
      </c>
      <c r="AI222" t="s">
        <v>225</v>
      </c>
      <c r="AJ222">
        <v>0</v>
      </c>
    </row>
    <row r="223" ht="23" customHeight="1" spans="1:36">
      <c r="A223">
        <v>220</v>
      </c>
      <c r="B223" t="s">
        <v>1398</v>
      </c>
      <c r="C223" t="s">
        <v>1399</v>
      </c>
      <c r="D223" t="s">
        <v>19</v>
      </c>
      <c r="E223" t="s">
        <v>53</v>
      </c>
      <c r="F223" t="s">
        <v>1400</v>
      </c>
      <c r="G223" t="s">
        <v>1401</v>
      </c>
      <c r="H223" t="s">
        <v>1402</v>
      </c>
      <c r="I223" t="s">
        <v>68</v>
      </c>
      <c r="J223" s="12">
        <v>187.48</v>
      </c>
      <c r="K223">
        <v>1</v>
      </c>
      <c r="L223" s="12">
        <v>187.48</v>
      </c>
      <c r="M223" s="13">
        <v>13</v>
      </c>
      <c r="N223" s="13">
        <v>98</v>
      </c>
      <c r="O223" s="13">
        <v>410</v>
      </c>
      <c r="P223" s="13">
        <v>502</v>
      </c>
      <c r="Q223" s="12">
        <v>18373.04</v>
      </c>
      <c r="R223" s="14">
        <f t="shared" si="6"/>
        <v>0.568513119533528</v>
      </c>
      <c r="S223">
        <v>131</v>
      </c>
      <c r="T223" s="15">
        <f t="shared" si="7"/>
        <v>40.1020408163265</v>
      </c>
      <c r="U223" t="s">
        <v>218</v>
      </c>
      <c r="V223">
        <v>6</v>
      </c>
      <c r="W223">
        <v>5</v>
      </c>
      <c r="X223" s="16">
        <v>0.0663</v>
      </c>
      <c r="Y223" s="17">
        <v>46003</v>
      </c>
      <c r="Z223" t="s">
        <v>219</v>
      </c>
      <c r="AB223" s="18">
        <v>-0.162393162393162</v>
      </c>
      <c r="AC223" t="s">
        <v>365</v>
      </c>
      <c r="AD223" t="s">
        <v>801</v>
      </c>
      <c r="AE223" t="s">
        <v>1403</v>
      </c>
      <c r="AF223" t="s">
        <v>1034</v>
      </c>
      <c r="AG223" t="s">
        <v>224</v>
      </c>
      <c r="AH223" t="s">
        <v>1404</v>
      </c>
      <c r="AI223" t="s">
        <v>225</v>
      </c>
      <c r="AJ223">
        <v>1</v>
      </c>
    </row>
    <row r="224" ht="23" customHeight="1" spans="1:36">
      <c r="A224">
        <v>221</v>
      </c>
      <c r="B224" t="s">
        <v>1405</v>
      </c>
      <c r="C224" t="s">
        <v>1406</v>
      </c>
      <c r="D224" t="s">
        <v>19</v>
      </c>
      <c r="E224" t="s">
        <v>50</v>
      </c>
      <c r="F224" t="s">
        <v>407</v>
      </c>
      <c r="G224" t="s">
        <v>72</v>
      </c>
      <c r="H224" t="s">
        <v>1407</v>
      </c>
      <c r="I224" t="s">
        <v>69</v>
      </c>
      <c r="J224" s="12">
        <v>145.08</v>
      </c>
      <c r="K224">
        <v>1</v>
      </c>
      <c r="L224" s="12">
        <v>145.08</v>
      </c>
      <c r="M224" s="13">
        <v>30</v>
      </c>
      <c r="N224" s="13">
        <v>98</v>
      </c>
      <c r="O224" s="13">
        <v>148</v>
      </c>
      <c r="P224" s="13">
        <v>311</v>
      </c>
      <c r="Q224" s="12">
        <v>15088.32</v>
      </c>
      <c r="R224" s="14">
        <f t="shared" si="6"/>
        <v>1.31195335276968</v>
      </c>
      <c r="S224">
        <v>449</v>
      </c>
      <c r="T224" s="15">
        <f t="shared" si="7"/>
        <v>137.448979591837</v>
      </c>
      <c r="U224" t="s">
        <v>218</v>
      </c>
      <c r="V224">
        <v>19</v>
      </c>
      <c r="W224">
        <v>4.7</v>
      </c>
      <c r="X224" s="16">
        <v>0.1394</v>
      </c>
      <c r="Y224" s="17">
        <v>46107</v>
      </c>
      <c r="Z224" t="s">
        <v>219</v>
      </c>
      <c r="AB224" s="18">
        <v>1.17777777777778</v>
      </c>
      <c r="AC224" t="s">
        <v>271</v>
      </c>
      <c r="AD224" t="s">
        <v>272</v>
      </c>
      <c r="AE224" t="s">
        <v>747</v>
      </c>
      <c r="AF224" t="s">
        <v>491</v>
      </c>
      <c r="AG224" t="s">
        <v>224</v>
      </c>
      <c r="AH224" t="s">
        <v>1408</v>
      </c>
      <c r="AI224" t="s">
        <v>225</v>
      </c>
      <c r="AJ224">
        <v>1</v>
      </c>
    </row>
    <row r="225" ht="23" customHeight="1" spans="1:36">
      <c r="A225">
        <v>222</v>
      </c>
      <c r="B225" t="s">
        <v>1409</v>
      </c>
      <c r="C225" t="s">
        <v>1410</v>
      </c>
      <c r="D225" t="s">
        <v>34</v>
      </c>
      <c r="E225" t="s">
        <v>56</v>
      </c>
      <c r="F225" t="s">
        <v>808</v>
      </c>
      <c r="G225" t="s">
        <v>809</v>
      </c>
      <c r="H225" t="s">
        <v>1190</v>
      </c>
      <c r="I225" t="s">
        <v>69</v>
      </c>
      <c r="J225" s="12">
        <v>239.05</v>
      </c>
      <c r="K225">
        <v>1</v>
      </c>
      <c r="L225" s="12">
        <v>239.05</v>
      </c>
      <c r="M225" s="13">
        <v>20</v>
      </c>
      <c r="N225" s="13">
        <v>97</v>
      </c>
      <c r="O225" s="13">
        <v>117</v>
      </c>
      <c r="P225" s="13">
        <v>122</v>
      </c>
      <c r="Q225" s="12">
        <v>24622.15</v>
      </c>
      <c r="R225" s="14">
        <f t="shared" si="6"/>
        <v>0.883652430044183</v>
      </c>
      <c r="S225">
        <v>143</v>
      </c>
      <c r="T225" s="15">
        <f t="shared" si="7"/>
        <v>44.2268041237113</v>
      </c>
      <c r="U225" t="s">
        <v>218</v>
      </c>
      <c r="V225">
        <v>2</v>
      </c>
      <c r="W225">
        <v>4.5</v>
      </c>
      <c r="X225" s="16">
        <v>0.0397</v>
      </c>
      <c r="Y225" s="17">
        <v>46229</v>
      </c>
      <c r="Z225" t="s">
        <v>241</v>
      </c>
      <c r="AB225" s="18">
        <v>5.0625</v>
      </c>
      <c r="AC225" t="s">
        <v>721</v>
      </c>
      <c r="AD225" t="s">
        <v>644</v>
      </c>
      <c r="AE225" t="s">
        <v>630</v>
      </c>
      <c r="AF225" t="s">
        <v>645</v>
      </c>
      <c r="AG225" t="s">
        <v>224</v>
      </c>
      <c r="AH225" t="s">
        <v>1411</v>
      </c>
      <c r="AI225" t="s">
        <v>225</v>
      </c>
      <c r="AJ225">
        <v>0</v>
      </c>
    </row>
    <row r="226" ht="23" customHeight="1" spans="1:36">
      <c r="A226">
        <v>223</v>
      </c>
      <c r="B226" t="s">
        <v>1412</v>
      </c>
      <c r="C226" t="s">
        <v>1413</v>
      </c>
      <c r="D226" t="s">
        <v>23</v>
      </c>
      <c r="E226" t="s">
        <v>53</v>
      </c>
      <c r="F226" t="s">
        <v>1414</v>
      </c>
      <c r="G226" t="s">
        <v>1415</v>
      </c>
      <c r="H226" t="s">
        <v>1416</v>
      </c>
      <c r="I226" t="s">
        <v>68</v>
      </c>
      <c r="J226" s="12">
        <v>168.88</v>
      </c>
      <c r="K226">
        <v>2</v>
      </c>
      <c r="L226" s="12">
        <v>84.44</v>
      </c>
      <c r="M226" s="13">
        <v>29</v>
      </c>
      <c r="N226" s="13">
        <v>97</v>
      </c>
      <c r="O226" s="13">
        <v>266</v>
      </c>
      <c r="P226" s="13">
        <v>284</v>
      </c>
      <c r="Q226" s="12">
        <v>16381.36</v>
      </c>
      <c r="R226" s="14">
        <f t="shared" si="6"/>
        <v>1.28129602356406</v>
      </c>
      <c r="S226">
        <v>22</v>
      </c>
      <c r="T226" s="15">
        <f t="shared" si="7"/>
        <v>6.80412371134021</v>
      </c>
      <c r="U226" t="s">
        <v>218</v>
      </c>
      <c r="V226">
        <v>187</v>
      </c>
      <c r="W226">
        <v>4.4</v>
      </c>
      <c r="X226" s="16">
        <v>0.0607</v>
      </c>
      <c r="Y226" s="17">
        <v>46118</v>
      </c>
      <c r="Z226" t="s">
        <v>228</v>
      </c>
      <c r="AB226" s="18">
        <v>-0.344594594594595</v>
      </c>
      <c r="AC226" t="s">
        <v>879</v>
      </c>
      <c r="AD226" t="s">
        <v>222</v>
      </c>
      <c r="AE226" t="s">
        <v>747</v>
      </c>
      <c r="AF226" t="s">
        <v>327</v>
      </c>
      <c r="AG226" t="s">
        <v>224</v>
      </c>
      <c r="AH226" t="s">
        <v>1417</v>
      </c>
      <c r="AI226" t="s">
        <v>225</v>
      </c>
      <c r="AJ226">
        <v>1</v>
      </c>
    </row>
    <row r="227" ht="23" customHeight="1" spans="1:36">
      <c r="A227">
        <v>224</v>
      </c>
      <c r="B227" t="s">
        <v>1418</v>
      </c>
      <c r="C227" t="s">
        <v>1419</v>
      </c>
      <c r="D227" t="s">
        <v>21</v>
      </c>
      <c r="E227" t="s">
        <v>59</v>
      </c>
      <c r="F227" t="s">
        <v>840</v>
      </c>
      <c r="G227" t="s">
        <v>841</v>
      </c>
      <c r="H227" t="s">
        <v>1420</v>
      </c>
      <c r="I227" t="s">
        <v>69</v>
      </c>
      <c r="J227" s="12">
        <v>429.41</v>
      </c>
      <c r="K227">
        <v>1</v>
      </c>
      <c r="L227" s="12">
        <v>429.41</v>
      </c>
      <c r="M227" s="13">
        <v>10</v>
      </c>
      <c r="N227" s="13">
        <v>97</v>
      </c>
      <c r="O227" s="13">
        <v>115</v>
      </c>
      <c r="P227" s="13">
        <v>221</v>
      </c>
      <c r="Q227" s="12">
        <v>41652.77</v>
      </c>
      <c r="R227" s="14">
        <f t="shared" si="6"/>
        <v>0.441826215022091</v>
      </c>
      <c r="S227">
        <v>1</v>
      </c>
      <c r="T227" s="15">
        <f t="shared" si="7"/>
        <v>0.309278350515464</v>
      </c>
      <c r="U227" t="s">
        <v>218</v>
      </c>
      <c r="V227">
        <v>7</v>
      </c>
      <c r="W227">
        <v>4.9</v>
      </c>
      <c r="X227" s="16">
        <v>0.0447</v>
      </c>
      <c r="Y227" s="17">
        <v>45918</v>
      </c>
      <c r="Z227" t="s">
        <v>219</v>
      </c>
      <c r="AB227" s="18">
        <v>5.92857142857143</v>
      </c>
      <c r="AC227" t="s">
        <v>1421</v>
      </c>
      <c r="AD227" t="s">
        <v>417</v>
      </c>
      <c r="AE227" t="s">
        <v>1127</v>
      </c>
      <c r="AF227" t="s">
        <v>264</v>
      </c>
      <c r="AG227" t="s">
        <v>224</v>
      </c>
      <c r="AH227" t="s">
        <v>1422</v>
      </c>
      <c r="AI227" t="s">
        <v>225</v>
      </c>
      <c r="AJ227">
        <v>1</v>
      </c>
    </row>
    <row r="228" ht="23" customHeight="1" spans="1:36">
      <c r="A228">
        <v>225</v>
      </c>
      <c r="B228" t="s">
        <v>1423</v>
      </c>
      <c r="C228" t="s">
        <v>1424</v>
      </c>
      <c r="D228" t="s">
        <v>23</v>
      </c>
      <c r="E228" t="s">
        <v>53</v>
      </c>
      <c r="F228" t="s">
        <v>1425</v>
      </c>
      <c r="G228" t="s">
        <v>1426</v>
      </c>
      <c r="H228" t="s">
        <v>1427</v>
      </c>
      <c r="I228" t="s">
        <v>69</v>
      </c>
      <c r="J228" s="12">
        <v>177.98</v>
      </c>
      <c r="K228">
        <v>1</v>
      </c>
      <c r="L228" s="12">
        <v>177.98</v>
      </c>
      <c r="M228" s="13">
        <v>1</v>
      </c>
      <c r="N228" s="13">
        <v>96</v>
      </c>
      <c r="O228" s="13">
        <v>118</v>
      </c>
      <c r="P228" s="13">
        <v>417</v>
      </c>
      <c r="Q228" s="12">
        <v>17086.08</v>
      </c>
      <c r="R228" s="14">
        <f t="shared" si="6"/>
        <v>0.0446428571428571</v>
      </c>
      <c r="S228">
        <v>57</v>
      </c>
      <c r="T228" s="15">
        <f t="shared" si="7"/>
        <v>17.8125</v>
      </c>
      <c r="U228" t="s">
        <v>218</v>
      </c>
      <c r="V228">
        <v>54</v>
      </c>
      <c r="W228">
        <v>4.5</v>
      </c>
      <c r="X228" s="16">
        <v>0.0219</v>
      </c>
      <c r="Y228" s="17">
        <v>45698</v>
      </c>
      <c r="Z228" t="s">
        <v>219</v>
      </c>
      <c r="AB228" s="18">
        <v>3.36363636363636</v>
      </c>
      <c r="AC228" t="s">
        <v>387</v>
      </c>
      <c r="AD228" t="s">
        <v>623</v>
      </c>
      <c r="AE228" t="s">
        <v>747</v>
      </c>
      <c r="AF228" t="s">
        <v>572</v>
      </c>
      <c r="AG228" t="s">
        <v>224</v>
      </c>
      <c r="AH228" t="s">
        <v>1428</v>
      </c>
      <c r="AI228" t="s">
        <v>225</v>
      </c>
      <c r="AJ228">
        <v>1</v>
      </c>
    </row>
    <row r="229" ht="23" customHeight="1" spans="1:36">
      <c r="A229">
        <v>226</v>
      </c>
      <c r="B229" t="s">
        <v>1429</v>
      </c>
      <c r="C229" t="s">
        <v>1430</v>
      </c>
      <c r="D229" t="s">
        <v>27</v>
      </c>
      <c r="E229" t="s">
        <v>56</v>
      </c>
      <c r="F229" t="s">
        <v>1431</v>
      </c>
      <c r="G229" t="s">
        <v>1432</v>
      </c>
      <c r="H229" t="s">
        <v>1433</v>
      </c>
      <c r="I229" t="s">
        <v>68</v>
      </c>
      <c r="J229" s="12">
        <v>228</v>
      </c>
      <c r="K229">
        <v>1</v>
      </c>
      <c r="L229" s="12">
        <v>228</v>
      </c>
      <c r="M229" s="13">
        <v>29</v>
      </c>
      <c r="N229" s="13">
        <v>96</v>
      </c>
      <c r="O229" s="13">
        <v>96</v>
      </c>
      <c r="P229" s="13">
        <v>103</v>
      </c>
      <c r="Q229" s="12">
        <v>23484</v>
      </c>
      <c r="R229" s="14">
        <f t="shared" si="6"/>
        <v>1.29464285714286</v>
      </c>
      <c r="S229">
        <v>93</v>
      </c>
      <c r="T229" s="15">
        <f t="shared" si="7"/>
        <v>29.0625</v>
      </c>
      <c r="U229" t="s">
        <v>218</v>
      </c>
      <c r="V229">
        <v>0</v>
      </c>
      <c r="W229">
        <v>0</v>
      </c>
      <c r="X229" s="16">
        <v>0.0427</v>
      </c>
      <c r="Y229" s="17">
        <v>46210</v>
      </c>
      <c r="Z229" t="s">
        <v>241</v>
      </c>
      <c r="AB229" s="18">
        <v>96</v>
      </c>
      <c r="AC229" t="s">
        <v>277</v>
      </c>
      <c r="AD229" t="s">
        <v>433</v>
      </c>
      <c r="AE229" t="s">
        <v>468</v>
      </c>
      <c r="AF229" t="s">
        <v>713</v>
      </c>
      <c r="AG229" t="s">
        <v>224</v>
      </c>
      <c r="AH229" t="s">
        <v>1434</v>
      </c>
      <c r="AI229" t="s">
        <v>225</v>
      </c>
      <c r="AJ229">
        <v>1</v>
      </c>
    </row>
    <row r="230" ht="23" customHeight="1" spans="1:36">
      <c r="A230">
        <v>227</v>
      </c>
      <c r="B230" t="s">
        <v>1435</v>
      </c>
      <c r="C230" t="s">
        <v>1436</v>
      </c>
      <c r="D230" t="s">
        <v>23</v>
      </c>
      <c r="E230" t="s">
        <v>59</v>
      </c>
      <c r="F230" t="s">
        <v>1437</v>
      </c>
      <c r="G230" t="s">
        <v>1438</v>
      </c>
      <c r="H230" t="s">
        <v>1439</v>
      </c>
      <c r="I230" t="s">
        <v>68</v>
      </c>
      <c r="J230" s="12">
        <v>450.45</v>
      </c>
      <c r="K230">
        <v>2</v>
      </c>
      <c r="L230" s="12">
        <v>225.22</v>
      </c>
      <c r="M230" s="13">
        <v>33</v>
      </c>
      <c r="N230" s="13">
        <v>95</v>
      </c>
      <c r="O230" s="13">
        <v>253</v>
      </c>
      <c r="P230" s="13">
        <v>253</v>
      </c>
      <c r="Q230" s="12">
        <v>42792.75</v>
      </c>
      <c r="R230" s="14">
        <f t="shared" si="6"/>
        <v>1.48872180451128</v>
      </c>
      <c r="S230">
        <v>64</v>
      </c>
      <c r="T230" s="15">
        <f t="shared" si="7"/>
        <v>20.2105263157895</v>
      </c>
      <c r="U230" t="s">
        <v>218</v>
      </c>
      <c r="V230">
        <v>495</v>
      </c>
      <c r="W230">
        <v>4.7</v>
      </c>
      <c r="X230" s="16">
        <v>0.0232</v>
      </c>
      <c r="Y230" s="17">
        <v>46212</v>
      </c>
      <c r="Z230" t="s">
        <v>241</v>
      </c>
      <c r="AA230">
        <v>19</v>
      </c>
      <c r="AB230" s="18">
        <v>-0.353741496598639</v>
      </c>
      <c r="AC230" t="s">
        <v>365</v>
      </c>
      <c r="AD230" t="s">
        <v>659</v>
      </c>
      <c r="AE230" t="s">
        <v>273</v>
      </c>
      <c r="AF230" t="s">
        <v>1440</v>
      </c>
      <c r="AG230" t="s">
        <v>224</v>
      </c>
      <c r="AH230" t="s">
        <v>1441</v>
      </c>
      <c r="AI230" t="s">
        <v>225</v>
      </c>
      <c r="AJ230">
        <v>1</v>
      </c>
    </row>
    <row r="231" ht="23" customHeight="1" spans="1:36">
      <c r="A231">
        <v>228</v>
      </c>
      <c r="B231" t="s">
        <v>1442</v>
      </c>
      <c r="C231" t="s">
        <v>1443</v>
      </c>
      <c r="D231" t="s">
        <v>23</v>
      </c>
      <c r="E231" t="s">
        <v>56</v>
      </c>
      <c r="F231" t="s">
        <v>840</v>
      </c>
      <c r="G231" t="s">
        <v>841</v>
      </c>
      <c r="H231" t="s">
        <v>1373</v>
      </c>
      <c r="I231" t="s">
        <v>69</v>
      </c>
      <c r="J231" s="12">
        <v>284.76</v>
      </c>
      <c r="K231">
        <v>2</v>
      </c>
      <c r="L231" s="12">
        <v>142.38</v>
      </c>
      <c r="M231" s="13">
        <v>9</v>
      </c>
      <c r="N231" s="13">
        <v>95</v>
      </c>
      <c r="O231" s="13">
        <v>220</v>
      </c>
      <c r="P231" s="13">
        <v>330</v>
      </c>
      <c r="Q231" s="12">
        <v>29330.28</v>
      </c>
      <c r="R231" s="14">
        <f t="shared" si="6"/>
        <v>0.406015037593985</v>
      </c>
      <c r="S231">
        <v>69</v>
      </c>
      <c r="T231" s="15">
        <f t="shared" si="7"/>
        <v>21.7894736842105</v>
      </c>
      <c r="U231" t="s">
        <v>218</v>
      </c>
      <c r="V231">
        <v>28</v>
      </c>
      <c r="W231">
        <v>4.8</v>
      </c>
      <c r="X231" s="16">
        <v>0.0606</v>
      </c>
      <c r="Y231" s="17">
        <v>45987</v>
      </c>
      <c r="Z231" t="s">
        <v>219</v>
      </c>
      <c r="AB231" s="18">
        <v>-0.24</v>
      </c>
      <c r="AC231" t="s">
        <v>221</v>
      </c>
      <c r="AD231" t="s">
        <v>222</v>
      </c>
      <c r="AE231" t="s">
        <v>305</v>
      </c>
      <c r="AF231" t="s">
        <v>230</v>
      </c>
      <c r="AG231" t="s">
        <v>224</v>
      </c>
      <c r="AH231" t="s">
        <v>1444</v>
      </c>
      <c r="AI231" t="s">
        <v>225</v>
      </c>
      <c r="AJ231">
        <v>1</v>
      </c>
    </row>
    <row r="232" ht="23" customHeight="1" spans="1:36">
      <c r="A232">
        <v>229</v>
      </c>
      <c r="B232" t="s">
        <v>1445</v>
      </c>
      <c r="C232" t="s">
        <v>1446</v>
      </c>
      <c r="D232" t="s">
        <v>19</v>
      </c>
      <c r="E232" t="s">
        <v>50</v>
      </c>
      <c r="F232" t="s">
        <v>1324</v>
      </c>
      <c r="G232" t="s">
        <v>1325</v>
      </c>
      <c r="H232" t="s">
        <v>1326</v>
      </c>
      <c r="I232" t="s">
        <v>68</v>
      </c>
      <c r="J232" s="12">
        <v>132.1</v>
      </c>
      <c r="K232">
        <v>1</v>
      </c>
      <c r="L232" s="12">
        <v>132.1</v>
      </c>
      <c r="M232" s="13">
        <v>60</v>
      </c>
      <c r="N232" s="13">
        <v>94</v>
      </c>
      <c r="O232" s="13">
        <v>226</v>
      </c>
      <c r="P232" s="13">
        <v>424</v>
      </c>
      <c r="Q232" s="12">
        <v>13474.2</v>
      </c>
      <c r="R232" s="14">
        <f t="shared" si="6"/>
        <v>2.73556231003039</v>
      </c>
      <c r="S232">
        <v>50</v>
      </c>
      <c r="T232" s="15">
        <f t="shared" si="7"/>
        <v>15.9574468085106</v>
      </c>
      <c r="U232" t="s">
        <v>218</v>
      </c>
      <c r="V232">
        <v>0</v>
      </c>
      <c r="W232">
        <v>0</v>
      </c>
      <c r="X232" s="16">
        <v>0.0865</v>
      </c>
      <c r="Y232" s="17">
        <v>46003</v>
      </c>
      <c r="Z232" t="s">
        <v>219</v>
      </c>
      <c r="AB232" s="18">
        <v>0.402985074626866</v>
      </c>
      <c r="AC232" t="s">
        <v>529</v>
      </c>
      <c r="AD232" t="s">
        <v>319</v>
      </c>
      <c r="AE232" t="s">
        <v>450</v>
      </c>
      <c r="AF232" t="s">
        <v>321</v>
      </c>
      <c r="AG232" t="s">
        <v>224</v>
      </c>
      <c r="AH232" t="s">
        <v>1447</v>
      </c>
      <c r="AI232" t="s">
        <v>225</v>
      </c>
      <c r="AJ232">
        <v>1</v>
      </c>
    </row>
    <row r="233" ht="23" customHeight="1" spans="1:36">
      <c r="A233">
        <v>230</v>
      </c>
      <c r="B233" t="s">
        <v>1448</v>
      </c>
      <c r="C233" t="s">
        <v>1449</v>
      </c>
      <c r="D233" t="s">
        <v>30</v>
      </c>
      <c r="E233" t="s">
        <v>56</v>
      </c>
      <c r="F233" t="s">
        <v>153</v>
      </c>
      <c r="G233" t="s">
        <v>76</v>
      </c>
      <c r="H233" t="s">
        <v>1236</v>
      </c>
      <c r="I233" t="s">
        <v>69</v>
      </c>
      <c r="J233" s="12">
        <v>289.13</v>
      </c>
      <c r="K233">
        <v>9</v>
      </c>
      <c r="L233" s="12">
        <v>32.13</v>
      </c>
      <c r="M233" s="13">
        <v>16</v>
      </c>
      <c r="N233" s="13">
        <v>94</v>
      </c>
      <c r="O233" s="13">
        <v>283</v>
      </c>
      <c r="P233" s="13">
        <v>394</v>
      </c>
      <c r="Q233" s="12">
        <v>27178.22</v>
      </c>
      <c r="R233" s="14">
        <f t="shared" si="6"/>
        <v>0.729483282674772</v>
      </c>
      <c r="S233">
        <v>123</v>
      </c>
      <c r="T233" s="15">
        <f t="shared" si="7"/>
        <v>39.2553191489362</v>
      </c>
      <c r="U233" t="s">
        <v>218</v>
      </c>
      <c r="V233">
        <v>18</v>
      </c>
      <c r="W233">
        <v>4.6</v>
      </c>
      <c r="X233" s="16">
        <v>0.0767</v>
      </c>
      <c r="Y233" s="17">
        <v>46150</v>
      </c>
      <c r="Z233" t="s">
        <v>228</v>
      </c>
      <c r="AB233" s="18">
        <v>-0.253968253968254</v>
      </c>
      <c r="AC233" t="s">
        <v>382</v>
      </c>
      <c r="AD233" t="s">
        <v>272</v>
      </c>
      <c r="AE233" t="s">
        <v>747</v>
      </c>
      <c r="AF233" t="s">
        <v>496</v>
      </c>
      <c r="AG233" t="s">
        <v>224</v>
      </c>
      <c r="AH233" t="s">
        <v>1450</v>
      </c>
      <c r="AI233" t="s">
        <v>225</v>
      </c>
      <c r="AJ233">
        <v>0</v>
      </c>
    </row>
    <row r="234" ht="23" customHeight="1" spans="1:36">
      <c r="A234">
        <v>231</v>
      </c>
      <c r="B234" t="s">
        <v>1451</v>
      </c>
      <c r="C234" t="s">
        <v>1452</v>
      </c>
      <c r="D234" t="s">
        <v>27</v>
      </c>
      <c r="E234" t="s">
        <v>56</v>
      </c>
      <c r="F234" t="s">
        <v>1198</v>
      </c>
      <c r="G234" t="s">
        <v>1199</v>
      </c>
      <c r="H234" t="s">
        <v>1396</v>
      </c>
      <c r="I234" t="s">
        <v>69</v>
      </c>
      <c r="J234" s="12">
        <v>286.72</v>
      </c>
      <c r="K234">
        <v>1</v>
      </c>
      <c r="L234" s="12">
        <v>286.72</v>
      </c>
      <c r="M234" s="13">
        <v>17</v>
      </c>
      <c r="N234" s="13">
        <v>94</v>
      </c>
      <c r="O234" s="13">
        <v>103</v>
      </c>
      <c r="P234" s="13">
        <v>112</v>
      </c>
      <c r="Q234" s="12">
        <v>28098.56</v>
      </c>
      <c r="R234" s="14">
        <f t="shared" si="6"/>
        <v>0.775075987841945</v>
      </c>
      <c r="S234">
        <v>53</v>
      </c>
      <c r="T234" s="15">
        <f t="shared" si="7"/>
        <v>16.9148936170213</v>
      </c>
      <c r="U234" t="s">
        <v>218</v>
      </c>
      <c r="V234">
        <v>2</v>
      </c>
      <c r="W234">
        <v>5</v>
      </c>
      <c r="X234" s="16">
        <v>0.0609</v>
      </c>
      <c r="Y234" s="17">
        <v>46238</v>
      </c>
      <c r="Z234" t="s">
        <v>241</v>
      </c>
      <c r="AB234" s="18">
        <v>9.44444444444444</v>
      </c>
      <c r="AC234" t="s">
        <v>1120</v>
      </c>
      <c r="AD234" t="s">
        <v>295</v>
      </c>
      <c r="AE234" t="s">
        <v>295</v>
      </c>
      <c r="AF234" t="s">
        <v>1453</v>
      </c>
      <c r="AG234" t="s">
        <v>224</v>
      </c>
      <c r="AH234" t="s">
        <v>1454</v>
      </c>
      <c r="AI234" t="s">
        <v>225</v>
      </c>
      <c r="AJ234">
        <v>1</v>
      </c>
    </row>
    <row r="235" ht="23" customHeight="1" spans="1:36">
      <c r="A235">
        <v>232</v>
      </c>
      <c r="B235" t="s">
        <v>1455</v>
      </c>
      <c r="C235" t="s">
        <v>1456</v>
      </c>
      <c r="D235" t="s">
        <v>30</v>
      </c>
      <c r="E235" t="s">
        <v>53</v>
      </c>
      <c r="F235" t="s">
        <v>1198</v>
      </c>
      <c r="G235" t="s">
        <v>1199</v>
      </c>
      <c r="H235" t="s">
        <v>1457</v>
      </c>
      <c r="I235" t="s">
        <v>69</v>
      </c>
      <c r="J235" s="12">
        <v>170.38</v>
      </c>
      <c r="K235">
        <v>1</v>
      </c>
      <c r="L235" s="12">
        <v>170.38</v>
      </c>
      <c r="M235" s="13">
        <v>8</v>
      </c>
      <c r="N235" s="13">
        <v>94</v>
      </c>
      <c r="O235" s="13">
        <v>259</v>
      </c>
      <c r="P235" s="13">
        <v>877</v>
      </c>
      <c r="Q235" s="12">
        <v>16526.86</v>
      </c>
      <c r="R235" s="14">
        <f t="shared" si="6"/>
        <v>0.364741641337386</v>
      </c>
      <c r="S235">
        <v>149</v>
      </c>
      <c r="T235" s="15">
        <f t="shared" si="7"/>
        <v>47.5531914893617</v>
      </c>
      <c r="U235" t="s">
        <v>218</v>
      </c>
      <c r="V235">
        <v>102</v>
      </c>
      <c r="W235">
        <v>4.5</v>
      </c>
      <c r="X235" s="16">
        <v>0.07</v>
      </c>
      <c r="Y235" s="17">
        <v>45831</v>
      </c>
      <c r="Z235" t="s">
        <v>219</v>
      </c>
      <c r="AB235" s="18">
        <v>0.175</v>
      </c>
      <c r="AC235" t="s">
        <v>473</v>
      </c>
      <c r="AD235" t="s">
        <v>319</v>
      </c>
      <c r="AE235" t="s">
        <v>222</v>
      </c>
      <c r="AF235" t="s">
        <v>333</v>
      </c>
      <c r="AG235" t="s">
        <v>224</v>
      </c>
      <c r="AH235" t="s">
        <v>1458</v>
      </c>
      <c r="AI235" t="s">
        <v>225</v>
      </c>
      <c r="AJ235">
        <v>0</v>
      </c>
    </row>
    <row r="236" ht="23" customHeight="1" spans="1:36">
      <c r="A236">
        <v>233</v>
      </c>
      <c r="B236" t="s">
        <v>1459</v>
      </c>
      <c r="C236" t="s">
        <v>1460</v>
      </c>
      <c r="D236" t="s">
        <v>23</v>
      </c>
      <c r="E236" t="s">
        <v>59</v>
      </c>
      <c r="F236" t="s">
        <v>1437</v>
      </c>
      <c r="G236" t="s">
        <v>1438</v>
      </c>
      <c r="H236" t="s">
        <v>1439</v>
      </c>
      <c r="I236" t="s">
        <v>68</v>
      </c>
      <c r="J236" s="12">
        <v>390</v>
      </c>
      <c r="K236">
        <v>2</v>
      </c>
      <c r="L236" s="12">
        <v>195</v>
      </c>
      <c r="M236" s="13">
        <v>21</v>
      </c>
      <c r="N236" s="13">
        <v>94</v>
      </c>
      <c r="O236" s="13">
        <v>118</v>
      </c>
      <c r="P236" s="13">
        <v>118</v>
      </c>
      <c r="Q236" s="12">
        <v>36660</v>
      </c>
      <c r="R236" s="14">
        <f t="shared" si="6"/>
        <v>0.957446808510638</v>
      </c>
      <c r="S236">
        <v>128</v>
      </c>
      <c r="T236" s="15">
        <f t="shared" si="7"/>
        <v>40.8510638297872</v>
      </c>
      <c r="U236" t="s">
        <v>218</v>
      </c>
      <c r="V236">
        <v>491</v>
      </c>
      <c r="W236">
        <v>4.8</v>
      </c>
      <c r="X236" s="16">
        <v>0.0312</v>
      </c>
      <c r="Y236" s="17">
        <v>46212</v>
      </c>
      <c r="Z236" t="s">
        <v>241</v>
      </c>
      <c r="AA236">
        <v>19</v>
      </c>
      <c r="AB236" s="18">
        <v>1.9375</v>
      </c>
      <c r="AC236" t="s">
        <v>659</v>
      </c>
      <c r="AD236" t="s">
        <v>365</v>
      </c>
      <c r="AE236" t="s">
        <v>222</v>
      </c>
      <c r="AF236" t="s">
        <v>519</v>
      </c>
      <c r="AG236" t="s">
        <v>224</v>
      </c>
      <c r="AH236" t="s">
        <v>1461</v>
      </c>
      <c r="AI236" t="s">
        <v>225</v>
      </c>
      <c r="AJ236">
        <v>1</v>
      </c>
    </row>
    <row r="237" ht="23" customHeight="1" spans="1:36">
      <c r="A237">
        <v>234</v>
      </c>
      <c r="B237" t="s">
        <v>1462</v>
      </c>
      <c r="C237" t="s">
        <v>1463</v>
      </c>
      <c r="D237" t="s">
        <v>19</v>
      </c>
      <c r="E237" t="s">
        <v>59</v>
      </c>
      <c r="F237" t="s">
        <v>121</v>
      </c>
      <c r="G237" t="s">
        <v>83</v>
      </c>
      <c r="H237" t="s">
        <v>1338</v>
      </c>
      <c r="I237" t="s">
        <v>68</v>
      </c>
      <c r="J237" s="12">
        <v>398.88</v>
      </c>
      <c r="K237">
        <v>2</v>
      </c>
      <c r="L237" s="12">
        <v>199.44</v>
      </c>
      <c r="M237" s="13">
        <v>40</v>
      </c>
      <c r="N237" s="13">
        <v>93</v>
      </c>
      <c r="O237" s="13">
        <v>533</v>
      </c>
      <c r="P237" s="13">
        <v>891</v>
      </c>
      <c r="Q237" s="12">
        <v>37095.84</v>
      </c>
      <c r="R237" s="14">
        <f t="shared" si="6"/>
        <v>1.84331797235023</v>
      </c>
      <c r="S237">
        <v>1820</v>
      </c>
      <c r="T237" s="15">
        <f t="shared" si="7"/>
        <v>587.096774193548</v>
      </c>
      <c r="U237" t="s">
        <v>218</v>
      </c>
      <c r="V237">
        <v>314</v>
      </c>
      <c r="W237">
        <v>4.8</v>
      </c>
      <c r="X237" s="16">
        <v>0.0746</v>
      </c>
      <c r="Y237" s="17">
        <v>46133</v>
      </c>
      <c r="Z237" t="s">
        <v>228</v>
      </c>
      <c r="AA237">
        <v>16</v>
      </c>
      <c r="AB237" s="18">
        <v>-0.392156862745098</v>
      </c>
      <c r="AC237" t="s">
        <v>1464</v>
      </c>
      <c r="AD237" t="s">
        <v>389</v>
      </c>
      <c r="AE237" t="s">
        <v>690</v>
      </c>
      <c r="AF237" t="s">
        <v>1220</v>
      </c>
      <c r="AG237" t="s">
        <v>224</v>
      </c>
      <c r="AH237" t="s">
        <v>1465</v>
      </c>
      <c r="AI237" t="s">
        <v>225</v>
      </c>
      <c r="AJ237">
        <v>1</v>
      </c>
    </row>
    <row r="238" ht="23" customHeight="1" spans="1:36">
      <c r="A238">
        <v>235</v>
      </c>
      <c r="B238" t="s">
        <v>1466</v>
      </c>
      <c r="C238" t="s">
        <v>1467</v>
      </c>
      <c r="D238" t="s">
        <v>21</v>
      </c>
      <c r="E238" t="s">
        <v>59</v>
      </c>
      <c r="F238" t="s">
        <v>1198</v>
      </c>
      <c r="G238" t="s">
        <v>1199</v>
      </c>
      <c r="H238" t="s">
        <v>1377</v>
      </c>
      <c r="I238" t="s">
        <v>69</v>
      </c>
      <c r="J238" s="12">
        <v>391.87</v>
      </c>
      <c r="K238">
        <v>1</v>
      </c>
      <c r="L238" s="12">
        <v>391.87</v>
      </c>
      <c r="M238" s="13">
        <v>36</v>
      </c>
      <c r="N238" s="13">
        <v>93</v>
      </c>
      <c r="O238" s="13">
        <v>219</v>
      </c>
      <c r="P238" s="13">
        <v>653</v>
      </c>
      <c r="Q238" s="12">
        <v>36443.91</v>
      </c>
      <c r="R238" s="14">
        <f t="shared" si="6"/>
        <v>1.65898617511521</v>
      </c>
      <c r="S238">
        <v>47</v>
      </c>
      <c r="T238" s="15">
        <f t="shared" si="7"/>
        <v>15.1612903225806</v>
      </c>
      <c r="U238" t="s">
        <v>218</v>
      </c>
      <c r="V238">
        <v>41</v>
      </c>
      <c r="W238">
        <v>4.6</v>
      </c>
      <c r="X238" s="16">
        <v>0.0438</v>
      </c>
      <c r="Y238" s="17">
        <v>46024</v>
      </c>
      <c r="Z238" t="s">
        <v>219</v>
      </c>
      <c r="AB238" s="18">
        <v>0.192307692307692</v>
      </c>
      <c r="AC238" t="s">
        <v>466</v>
      </c>
      <c r="AD238" t="s">
        <v>365</v>
      </c>
      <c r="AE238" t="s">
        <v>947</v>
      </c>
      <c r="AF238" t="s">
        <v>598</v>
      </c>
      <c r="AG238" t="s">
        <v>224</v>
      </c>
      <c r="AH238" t="s">
        <v>1468</v>
      </c>
      <c r="AI238" t="s">
        <v>225</v>
      </c>
      <c r="AJ238">
        <v>1</v>
      </c>
    </row>
    <row r="239" ht="23" customHeight="1" spans="1:36">
      <c r="A239">
        <v>236</v>
      </c>
      <c r="B239" t="s">
        <v>1469</v>
      </c>
      <c r="C239" t="s">
        <v>1470</v>
      </c>
      <c r="D239" t="s">
        <v>19</v>
      </c>
      <c r="E239" t="s">
        <v>50</v>
      </c>
      <c r="F239" t="s">
        <v>1471</v>
      </c>
      <c r="G239" t="s">
        <v>1472</v>
      </c>
      <c r="H239" t="s">
        <v>1473</v>
      </c>
      <c r="I239" t="s">
        <v>68</v>
      </c>
      <c r="J239" s="12">
        <v>119.4</v>
      </c>
      <c r="K239">
        <v>1</v>
      </c>
      <c r="L239" s="12">
        <v>119.4</v>
      </c>
      <c r="M239" s="13">
        <v>24</v>
      </c>
      <c r="N239" s="13">
        <v>92</v>
      </c>
      <c r="O239" s="13">
        <v>192</v>
      </c>
      <c r="P239" s="13">
        <v>199</v>
      </c>
      <c r="Q239" s="12">
        <v>10984.8</v>
      </c>
      <c r="R239" s="14">
        <f t="shared" si="6"/>
        <v>1.11801242236025</v>
      </c>
      <c r="S239">
        <v>158</v>
      </c>
      <c r="T239" s="15">
        <f t="shared" si="7"/>
        <v>51.5217391304348</v>
      </c>
      <c r="U239" t="s">
        <v>218</v>
      </c>
      <c r="V239">
        <v>0</v>
      </c>
      <c r="W239">
        <v>0</v>
      </c>
      <c r="X239" s="16">
        <v>0.1136</v>
      </c>
      <c r="Y239" s="17">
        <v>46106</v>
      </c>
      <c r="Z239" t="s">
        <v>219</v>
      </c>
      <c r="AB239" s="18">
        <v>0.46031746031746</v>
      </c>
      <c r="AC239" t="s">
        <v>271</v>
      </c>
      <c r="AD239" t="s">
        <v>853</v>
      </c>
      <c r="AE239" t="s">
        <v>1238</v>
      </c>
      <c r="AF239" t="s">
        <v>348</v>
      </c>
      <c r="AG239" t="s">
        <v>224</v>
      </c>
      <c r="AH239" t="s">
        <v>1474</v>
      </c>
      <c r="AI239" t="s">
        <v>225</v>
      </c>
      <c r="AJ239">
        <v>1</v>
      </c>
    </row>
    <row r="240" ht="23" customHeight="1" spans="1:36">
      <c r="A240">
        <v>237</v>
      </c>
      <c r="B240" t="s">
        <v>1475</v>
      </c>
      <c r="C240" t="s">
        <v>1476</v>
      </c>
      <c r="D240" t="s">
        <v>30</v>
      </c>
      <c r="E240" t="s">
        <v>59</v>
      </c>
      <c r="F240" t="s">
        <v>309</v>
      </c>
      <c r="G240" t="s">
        <v>75</v>
      </c>
      <c r="H240" t="s">
        <v>1477</v>
      </c>
      <c r="I240" t="s">
        <v>68</v>
      </c>
      <c r="J240" s="12">
        <v>349</v>
      </c>
      <c r="K240">
        <v>4</v>
      </c>
      <c r="L240" s="12">
        <v>87.25</v>
      </c>
      <c r="M240" s="13">
        <v>51</v>
      </c>
      <c r="N240" s="13">
        <v>92</v>
      </c>
      <c r="O240" s="13">
        <v>392</v>
      </c>
      <c r="P240" s="13">
        <v>392</v>
      </c>
      <c r="Q240" s="12">
        <v>32108</v>
      </c>
      <c r="R240" s="14">
        <f t="shared" si="6"/>
        <v>2.37577639751553</v>
      </c>
      <c r="S240">
        <v>309</v>
      </c>
      <c r="T240" s="15">
        <f t="shared" si="7"/>
        <v>100.760869565217</v>
      </c>
      <c r="U240" t="s">
        <v>218</v>
      </c>
      <c r="V240">
        <v>23</v>
      </c>
      <c r="W240">
        <v>4.4</v>
      </c>
      <c r="X240" s="16">
        <v>0.0691</v>
      </c>
      <c r="Y240" s="17">
        <v>46125</v>
      </c>
      <c r="Z240" t="s">
        <v>228</v>
      </c>
      <c r="AB240" s="18">
        <v>-0.0891089108910891</v>
      </c>
      <c r="AC240" t="s">
        <v>1478</v>
      </c>
      <c r="AD240" t="s">
        <v>412</v>
      </c>
      <c r="AE240" t="s">
        <v>341</v>
      </c>
      <c r="AF240" t="s">
        <v>1453</v>
      </c>
      <c r="AG240" t="s">
        <v>224</v>
      </c>
      <c r="AH240" t="s">
        <v>1479</v>
      </c>
      <c r="AI240" t="s">
        <v>225</v>
      </c>
      <c r="AJ240">
        <v>0</v>
      </c>
    </row>
    <row r="241" ht="23" customHeight="1" spans="1:36">
      <c r="A241">
        <v>238</v>
      </c>
      <c r="B241" t="s">
        <v>1480</v>
      </c>
      <c r="C241" t="s">
        <v>1481</v>
      </c>
      <c r="D241" t="s">
        <v>21</v>
      </c>
      <c r="E241" t="s">
        <v>53</v>
      </c>
      <c r="F241" t="s">
        <v>1482</v>
      </c>
      <c r="G241" t="s">
        <v>1483</v>
      </c>
      <c r="H241" t="s">
        <v>1484</v>
      </c>
      <c r="I241" t="s">
        <v>68</v>
      </c>
      <c r="J241" s="12">
        <v>187.89</v>
      </c>
      <c r="K241">
        <v>1</v>
      </c>
      <c r="L241" s="12">
        <v>187.89</v>
      </c>
      <c r="M241" s="13">
        <v>22</v>
      </c>
      <c r="N241" s="13">
        <v>92</v>
      </c>
      <c r="O241" s="13">
        <v>96</v>
      </c>
      <c r="P241" s="13">
        <v>99</v>
      </c>
      <c r="Q241" s="12">
        <v>18601.11</v>
      </c>
      <c r="R241" s="14">
        <f t="shared" si="6"/>
        <v>1.02484472049689</v>
      </c>
      <c r="S241">
        <v>62</v>
      </c>
      <c r="T241" s="15">
        <f t="shared" si="7"/>
        <v>20.2173913043478</v>
      </c>
      <c r="U241" t="s">
        <v>218</v>
      </c>
      <c r="V241">
        <v>5</v>
      </c>
      <c r="W241">
        <v>5</v>
      </c>
      <c r="X241" s="16">
        <v>0.0278</v>
      </c>
      <c r="Y241" s="17">
        <v>46256</v>
      </c>
      <c r="Z241" t="s">
        <v>241</v>
      </c>
      <c r="AB241" s="18">
        <v>29.6666666666667</v>
      </c>
      <c r="AC241" t="s">
        <v>548</v>
      </c>
      <c r="AD241" t="s">
        <v>659</v>
      </c>
      <c r="AE241" t="s">
        <v>757</v>
      </c>
      <c r="AF241" t="s">
        <v>619</v>
      </c>
      <c r="AG241" t="s">
        <v>224</v>
      </c>
      <c r="AH241" t="s">
        <v>1485</v>
      </c>
      <c r="AI241" t="s">
        <v>225</v>
      </c>
      <c r="AJ241">
        <v>1</v>
      </c>
    </row>
    <row r="242" ht="23" customHeight="1" spans="1:36">
      <c r="A242">
        <v>239</v>
      </c>
      <c r="B242" t="s">
        <v>1486</v>
      </c>
      <c r="C242" t="s">
        <v>1487</v>
      </c>
      <c r="D242" t="s">
        <v>19</v>
      </c>
      <c r="E242" t="s">
        <v>56</v>
      </c>
      <c r="F242" t="s">
        <v>153</v>
      </c>
      <c r="G242" t="s">
        <v>76</v>
      </c>
      <c r="H242" t="s">
        <v>381</v>
      </c>
      <c r="I242" t="s">
        <v>69</v>
      </c>
      <c r="J242" s="12">
        <v>263.31</v>
      </c>
      <c r="K242">
        <v>2</v>
      </c>
      <c r="L242" s="12">
        <v>131.66</v>
      </c>
      <c r="M242" s="13">
        <v>22</v>
      </c>
      <c r="N242" s="13">
        <v>92</v>
      </c>
      <c r="O242" s="13">
        <v>339</v>
      </c>
      <c r="P242" s="13">
        <v>508</v>
      </c>
      <c r="Q242" s="12">
        <v>26857.62</v>
      </c>
      <c r="R242" s="14">
        <f t="shared" si="6"/>
        <v>1.02484472049689</v>
      </c>
      <c r="S242">
        <v>246</v>
      </c>
      <c r="T242" s="15">
        <f t="shared" si="7"/>
        <v>80.2173913043478</v>
      </c>
      <c r="U242" t="s">
        <v>218</v>
      </c>
      <c r="V242">
        <v>245</v>
      </c>
      <c r="W242">
        <v>4.7</v>
      </c>
      <c r="X242" s="16">
        <v>0.0413</v>
      </c>
      <c r="Y242" s="17">
        <v>46157</v>
      </c>
      <c r="Z242" t="s">
        <v>228</v>
      </c>
      <c r="AA242">
        <v>16</v>
      </c>
      <c r="AB242" s="18">
        <v>-0.213675213675214</v>
      </c>
      <c r="AC242" t="s">
        <v>253</v>
      </c>
      <c r="AD242" t="s">
        <v>249</v>
      </c>
      <c r="AE242" t="s">
        <v>879</v>
      </c>
      <c r="AF242" t="s">
        <v>483</v>
      </c>
      <c r="AG242" t="s">
        <v>224</v>
      </c>
      <c r="AH242" t="s">
        <v>1488</v>
      </c>
      <c r="AI242" t="s">
        <v>225</v>
      </c>
      <c r="AJ242">
        <v>1</v>
      </c>
    </row>
    <row r="243" ht="23" customHeight="1" spans="1:36">
      <c r="A243">
        <v>240</v>
      </c>
      <c r="B243" t="s">
        <v>1489</v>
      </c>
      <c r="C243" t="s">
        <v>1490</v>
      </c>
      <c r="D243" t="s">
        <v>19</v>
      </c>
      <c r="E243" t="s">
        <v>53</v>
      </c>
      <c r="F243" t="s">
        <v>544</v>
      </c>
      <c r="G243" t="s">
        <v>80</v>
      </c>
      <c r="H243" t="s">
        <v>545</v>
      </c>
      <c r="I243" t="s">
        <v>69</v>
      </c>
      <c r="J243" s="12">
        <v>179.47</v>
      </c>
      <c r="K243">
        <v>1</v>
      </c>
      <c r="L243" s="12">
        <v>179.47</v>
      </c>
      <c r="M243" s="13">
        <v>4</v>
      </c>
      <c r="N243" s="13">
        <v>92</v>
      </c>
      <c r="O243" s="13">
        <v>116</v>
      </c>
      <c r="P243" s="13">
        <v>116</v>
      </c>
      <c r="Q243" s="12">
        <v>16511.24</v>
      </c>
      <c r="R243" s="14">
        <f t="shared" si="6"/>
        <v>0.186335403726708</v>
      </c>
      <c r="S243">
        <v>12</v>
      </c>
      <c r="T243" s="15">
        <f t="shared" si="7"/>
        <v>3.91304347826087</v>
      </c>
      <c r="U243" t="s">
        <v>218</v>
      </c>
      <c r="V243">
        <v>5</v>
      </c>
      <c r="W243">
        <v>4</v>
      </c>
      <c r="X243" s="16">
        <v>0.0693</v>
      </c>
      <c r="Y243" s="17">
        <v>46160</v>
      </c>
      <c r="Z243" t="s">
        <v>228</v>
      </c>
      <c r="AB243" s="18">
        <v>2.17241379310345</v>
      </c>
      <c r="AC243" t="s">
        <v>831</v>
      </c>
      <c r="AD243" t="s">
        <v>490</v>
      </c>
      <c r="AE243" t="s">
        <v>222</v>
      </c>
      <c r="AF243" t="s">
        <v>367</v>
      </c>
      <c r="AG243" t="s">
        <v>224</v>
      </c>
      <c r="AH243" t="s">
        <v>1491</v>
      </c>
      <c r="AI243" t="s">
        <v>225</v>
      </c>
      <c r="AJ243">
        <v>1</v>
      </c>
    </row>
    <row r="244" ht="23" customHeight="1" spans="1:36">
      <c r="A244">
        <v>241</v>
      </c>
      <c r="B244" t="s">
        <v>1492</v>
      </c>
      <c r="C244" t="s">
        <v>1358</v>
      </c>
      <c r="D244" t="s">
        <v>30</v>
      </c>
      <c r="E244" t="s">
        <v>53</v>
      </c>
      <c r="F244" t="s">
        <v>1359</v>
      </c>
      <c r="G244" t="s">
        <v>1360</v>
      </c>
      <c r="H244" t="s">
        <v>1493</v>
      </c>
      <c r="I244" t="s">
        <v>69</v>
      </c>
      <c r="J244" s="12">
        <v>199.64</v>
      </c>
      <c r="K244">
        <v>6</v>
      </c>
      <c r="L244" s="12">
        <v>33.27</v>
      </c>
      <c r="M244" s="13">
        <v>26</v>
      </c>
      <c r="N244" s="13">
        <v>92</v>
      </c>
      <c r="O244" s="13">
        <v>251</v>
      </c>
      <c r="P244" s="13">
        <v>414</v>
      </c>
      <c r="Q244" s="12">
        <v>19564.72</v>
      </c>
      <c r="R244" s="14">
        <f t="shared" si="6"/>
        <v>1.2111801242236</v>
      </c>
      <c r="S244">
        <v>144</v>
      </c>
      <c r="T244" s="15">
        <f t="shared" si="7"/>
        <v>46.9565217391304</v>
      </c>
      <c r="U244" t="s">
        <v>218</v>
      </c>
      <c r="V244">
        <v>43</v>
      </c>
      <c r="W244">
        <v>4.4</v>
      </c>
      <c r="X244" s="16">
        <v>0.0788</v>
      </c>
      <c r="Y244" s="17">
        <v>46091</v>
      </c>
      <c r="Z244" t="s">
        <v>219</v>
      </c>
      <c r="AB244" s="18">
        <v>-0.0980392156862745</v>
      </c>
      <c r="AC244" t="s">
        <v>448</v>
      </c>
      <c r="AD244" t="s">
        <v>608</v>
      </c>
      <c r="AE244" t="s">
        <v>747</v>
      </c>
      <c r="AF244" t="s">
        <v>1494</v>
      </c>
      <c r="AG244" t="s">
        <v>224</v>
      </c>
      <c r="AH244" t="s">
        <v>1495</v>
      </c>
      <c r="AI244" t="s">
        <v>225</v>
      </c>
      <c r="AJ244">
        <v>0</v>
      </c>
    </row>
    <row r="245" ht="23" customHeight="1" spans="1:36">
      <c r="A245">
        <v>242</v>
      </c>
      <c r="B245" t="s">
        <v>1496</v>
      </c>
      <c r="C245" t="s">
        <v>1497</v>
      </c>
      <c r="D245" t="s">
        <v>23</v>
      </c>
      <c r="E245" t="s">
        <v>56</v>
      </c>
      <c r="F245" t="s">
        <v>1498</v>
      </c>
      <c r="G245" t="s">
        <v>1499</v>
      </c>
      <c r="H245" t="s">
        <v>1500</v>
      </c>
      <c r="I245" t="s">
        <v>69</v>
      </c>
      <c r="J245" s="12">
        <v>278.8</v>
      </c>
      <c r="K245">
        <v>2</v>
      </c>
      <c r="L245" s="12">
        <v>139.4</v>
      </c>
      <c r="M245" s="13">
        <v>21</v>
      </c>
      <c r="N245" s="13">
        <v>91</v>
      </c>
      <c r="O245" s="13">
        <v>373</v>
      </c>
      <c r="P245" s="13">
        <v>937</v>
      </c>
      <c r="Q245" s="12">
        <v>25370.8</v>
      </c>
      <c r="R245" s="14">
        <f t="shared" si="6"/>
        <v>0.989010989010989</v>
      </c>
      <c r="S245">
        <v>105</v>
      </c>
      <c r="T245" s="15">
        <f t="shared" si="7"/>
        <v>34.6153846153846</v>
      </c>
      <c r="U245" t="s">
        <v>218</v>
      </c>
      <c r="V245">
        <v>133</v>
      </c>
      <c r="W245">
        <v>4.7</v>
      </c>
      <c r="X245" s="16">
        <v>0.0515</v>
      </c>
      <c r="Y245" s="17">
        <v>46059</v>
      </c>
      <c r="Z245" t="s">
        <v>219</v>
      </c>
      <c r="AB245" s="18">
        <v>-0.260162601626016</v>
      </c>
      <c r="AC245" t="s">
        <v>221</v>
      </c>
      <c r="AD245" t="s">
        <v>1501</v>
      </c>
      <c r="AE245" t="s">
        <v>305</v>
      </c>
      <c r="AF245" t="s">
        <v>736</v>
      </c>
      <c r="AG245" t="s">
        <v>224</v>
      </c>
      <c r="AH245" t="s">
        <v>1502</v>
      </c>
      <c r="AI245" t="s">
        <v>225</v>
      </c>
      <c r="AJ245">
        <v>1</v>
      </c>
    </row>
    <row r="246" ht="23" customHeight="1" spans="1:36">
      <c r="A246">
        <v>243</v>
      </c>
      <c r="B246" t="s">
        <v>1503</v>
      </c>
      <c r="C246" t="s">
        <v>1504</v>
      </c>
      <c r="D246" t="s">
        <v>34</v>
      </c>
      <c r="E246" t="s">
        <v>56</v>
      </c>
      <c r="F246" t="s">
        <v>407</v>
      </c>
      <c r="G246" t="s">
        <v>72</v>
      </c>
      <c r="H246" t="s">
        <v>570</v>
      </c>
      <c r="I246" t="s">
        <v>69</v>
      </c>
      <c r="J246" s="12">
        <v>228.55</v>
      </c>
      <c r="K246">
        <v>3</v>
      </c>
      <c r="L246" s="12">
        <v>76.18</v>
      </c>
      <c r="M246" s="13">
        <v>19</v>
      </c>
      <c r="N246" s="13">
        <v>91</v>
      </c>
      <c r="O246" s="13">
        <v>339</v>
      </c>
      <c r="P246" s="13">
        <v>467</v>
      </c>
      <c r="Q246" s="12">
        <v>20798.05</v>
      </c>
      <c r="R246" s="14">
        <f t="shared" si="6"/>
        <v>0.894819466248038</v>
      </c>
      <c r="S246">
        <v>211</v>
      </c>
      <c r="T246" s="15">
        <f t="shared" si="7"/>
        <v>69.5604395604396</v>
      </c>
      <c r="U246" t="s">
        <v>218</v>
      </c>
      <c r="V246">
        <v>25</v>
      </c>
      <c r="W246">
        <v>4.9</v>
      </c>
      <c r="X246" s="16">
        <v>0.0329</v>
      </c>
      <c r="Y246" s="17">
        <v>46114</v>
      </c>
      <c r="Z246" t="s">
        <v>228</v>
      </c>
      <c r="AB246" s="18">
        <v>-0.1875</v>
      </c>
      <c r="AC246" t="s">
        <v>1505</v>
      </c>
      <c r="AD246" t="s">
        <v>365</v>
      </c>
      <c r="AE246" t="s">
        <v>879</v>
      </c>
      <c r="AF246" t="s">
        <v>434</v>
      </c>
      <c r="AG246" t="s">
        <v>224</v>
      </c>
      <c r="AH246" t="s">
        <v>1506</v>
      </c>
      <c r="AI246" t="s">
        <v>225</v>
      </c>
      <c r="AJ246">
        <v>0</v>
      </c>
    </row>
    <row r="247" ht="23" customHeight="1" spans="1:36">
      <c r="A247">
        <v>244</v>
      </c>
      <c r="B247" t="s">
        <v>1507</v>
      </c>
      <c r="C247" t="s">
        <v>1508</v>
      </c>
      <c r="D247" t="s">
        <v>19</v>
      </c>
      <c r="E247" t="s">
        <v>53</v>
      </c>
      <c r="F247" t="s">
        <v>153</v>
      </c>
      <c r="G247" t="s">
        <v>76</v>
      </c>
      <c r="H247" t="s">
        <v>381</v>
      </c>
      <c r="I247" t="s">
        <v>69</v>
      </c>
      <c r="J247" s="12">
        <v>188.28</v>
      </c>
      <c r="K247">
        <v>2</v>
      </c>
      <c r="L247" s="12">
        <v>94.14</v>
      </c>
      <c r="M247" s="13">
        <v>20</v>
      </c>
      <c r="N247" s="13">
        <v>90</v>
      </c>
      <c r="O247" s="13">
        <v>92</v>
      </c>
      <c r="P247" s="13">
        <v>92</v>
      </c>
      <c r="Q247" s="12">
        <v>16945.2</v>
      </c>
      <c r="R247" s="14">
        <f t="shared" si="6"/>
        <v>0.952380952380952</v>
      </c>
      <c r="S247">
        <v>409</v>
      </c>
      <c r="T247" s="15">
        <f t="shared" si="7"/>
        <v>136.333333333333</v>
      </c>
      <c r="U247" t="s">
        <v>218</v>
      </c>
      <c r="V247">
        <v>210</v>
      </c>
      <c r="W247">
        <v>4.6</v>
      </c>
      <c r="X247" s="16">
        <v>0.098</v>
      </c>
      <c r="Y247" s="17">
        <v>46250</v>
      </c>
      <c r="Z247" t="s">
        <v>241</v>
      </c>
      <c r="AB247" s="18">
        <v>17</v>
      </c>
      <c r="AC247" t="s">
        <v>409</v>
      </c>
      <c r="AD247" t="s">
        <v>325</v>
      </c>
      <c r="AE247" t="s">
        <v>699</v>
      </c>
      <c r="AF247" t="s">
        <v>854</v>
      </c>
      <c r="AG247" t="s">
        <v>224</v>
      </c>
      <c r="AH247" t="s">
        <v>1509</v>
      </c>
      <c r="AI247" t="s">
        <v>225</v>
      </c>
      <c r="AJ247">
        <v>1</v>
      </c>
    </row>
    <row r="248" ht="23" customHeight="1" spans="1:36">
      <c r="A248">
        <v>245</v>
      </c>
      <c r="B248" t="s">
        <v>1510</v>
      </c>
      <c r="C248" t="s">
        <v>1511</v>
      </c>
      <c r="D248" t="s">
        <v>19</v>
      </c>
      <c r="E248" t="s">
        <v>59</v>
      </c>
      <c r="F248" t="s">
        <v>1512</v>
      </c>
      <c r="G248" t="s">
        <v>1513</v>
      </c>
      <c r="H248" t="s">
        <v>1514</v>
      </c>
      <c r="I248" t="s">
        <v>68</v>
      </c>
      <c r="J248" s="12">
        <v>371.07</v>
      </c>
      <c r="K248">
        <v>4</v>
      </c>
      <c r="L248" s="12">
        <v>92.77</v>
      </c>
      <c r="M248" s="13">
        <v>12</v>
      </c>
      <c r="N248" s="13">
        <v>90</v>
      </c>
      <c r="O248" s="13">
        <v>90</v>
      </c>
      <c r="P248" s="13">
        <v>90</v>
      </c>
      <c r="Q248" s="12">
        <v>33396.3</v>
      </c>
      <c r="R248" s="14">
        <f t="shared" si="6"/>
        <v>0.571428571428571</v>
      </c>
      <c r="S248">
        <v>33</v>
      </c>
      <c r="T248" s="15">
        <f t="shared" si="7"/>
        <v>11</v>
      </c>
      <c r="U248" t="s">
        <v>999</v>
      </c>
      <c r="V248">
        <v>0</v>
      </c>
      <c r="W248">
        <v>0</v>
      </c>
      <c r="X248" s="16">
        <v>0.0841</v>
      </c>
      <c r="Y248" s="17">
        <v>46239</v>
      </c>
      <c r="Z248" t="s">
        <v>241</v>
      </c>
      <c r="AB248" s="18">
        <v>29</v>
      </c>
      <c r="AF248" t="s">
        <v>1515</v>
      </c>
      <c r="AG248" t="s">
        <v>224</v>
      </c>
      <c r="AH248" t="s">
        <v>1516</v>
      </c>
      <c r="AI248" t="s">
        <v>225</v>
      </c>
      <c r="AJ248">
        <v>1</v>
      </c>
    </row>
    <row r="249" ht="23" customHeight="1" spans="1:36">
      <c r="A249">
        <v>246</v>
      </c>
      <c r="B249" t="s">
        <v>1517</v>
      </c>
      <c r="C249" t="s">
        <v>1518</v>
      </c>
      <c r="D249" t="s">
        <v>19</v>
      </c>
      <c r="E249" t="s">
        <v>53</v>
      </c>
      <c r="F249" t="s">
        <v>102</v>
      </c>
      <c r="G249" t="s">
        <v>73</v>
      </c>
      <c r="H249" t="s">
        <v>227</v>
      </c>
      <c r="I249" t="s">
        <v>68</v>
      </c>
      <c r="J249" s="12">
        <v>182.83</v>
      </c>
      <c r="K249">
        <v>1</v>
      </c>
      <c r="L249" s="12">
        <v>182.83</v>
      </c>
      <c r="M249" s="13">
        <v>22</v>
      </c>
      <c r="N249" s="13">
        <v>90</v>
      </c>
      <c r="O249" s="13">
        <v>296</v>
      </c>
      <c r="P249" s="13">
        <v>494</v>
      </c>
      <c r="Q249" s="12">
        <v>16454.7</v>
      </c>
      <c r="R249" s="14">
        <f t="shared" si="6"/>
        <v>1.04761904761905</v>
      </c>
      <c r="S249">
        <v>117</v>
      </c>
      <c r="T249" s="15">
        <f t="shared" si="7"/>
        <v>39</v>
      </c>
      <c r="U249" t="s">
        <v>218</v>
      </c>
      <c r="V249">
        <v>78</v>
      </c>
      <c r="W249">
        <v>4.8</v>
      </c>
      <c r="X249" s="16">
        <v>0.0501</v>
      </c>
      <c r="Y249" s="17">
        <v>46136</v>
      </c>
      <c r="Z249" t="s">
        <v>228</v>
      </c>
      <c r="AB249" s="18">
        <v>-0.12621359223301</v>
      </c>
      <c r="AC249" t="s">
        <v>263</v>
      </c>
      <c r="AD249" t="s">
        <v>490</v>
      </c>
      <c r="AE249" t="s">
        <v>250</v>
      </c>
      <c r="AF249" t="s">
        <v>1519</v>
      </c>
      <c r="AG249" t="s">
        <v>224</v>
      </c>
      <c r="AH249" t="s">
        <v>1520</v>
      </c>
      <c r="AI249" t="s">
        <v>225</v>
      </c>
      <c r="AJ249">
        <v>1</v>
      </c>
    </row>
    <row r="250" ht="23" customHeight="1" spans="1:36">
      <c r="A250">
        <v>247</v>
      </c>
      <c r="B250" t="s">
        <v>1521</v>
      </c>
      <c r="C250" t="s">
        <v>1522</v>
      </c>
      <c r="D250" t="s">
        <v>23</v>
      </c>
      <c r="E250" t="s">
        <v>56</v>
      </c>
      <c r="F250" t="s">
        <v>1523</v>
      </c>
      <c r="G250" t="s">
        <v>1524</v>
      </c>
      <c r="H250" t="s">
        <v>885</v>
      </c>
      <c r="I250" t="s">
        <v>68</v>
      </c>
      <c r="J250" s="12">
        <v>260</v>
      </c>
      <c r="K250">
        <v>1</v>
      </c>
      <c r="L250" s="12">
        <v>260</v>
      </c>
      <c r="M250" s="13">
        <v>17</v>
      </c>
      <c r="N250" s="13">
        <v>89</v>
      </c>
      <c r="O250" s="13">
        <v>230</v>
      </c>
      <c r="P250" s="13">
        <v>711</v>
      </c>
      <c r="Q250" s="12">
        <v>24180</v>
      </c>
      <c r="R250" s="14">
        <f t="shared" si="6"/>
        <v>0.818619582664527</v>
      </c>
      <c r="S250">
        <v>20</v>
      </c>
      <c r="T250" s="15">
        <f t="shared" si="7"/>
        <v>6.74157303370786</v>
      </c>
      <c r="U250" t="s">
        <v>218</v>
      </c>
      <c r="V250">
        <v>102</v>
      </c>
      <c r="W250">
        <v>4.9</v>
      </c>
      <c r="X250" s="16">
        <v>0.0558</v>
      </c>
      <c r="Y250" s="17">
        <v>45811</v>
      </c>
      <c r="Z250" t="s">
        <v>219</v>
      </c>
      <c r="AB250" s="18">
        <v>0.0348837209302326</v>
      </c>
      <c r="AC250" t="s">
        <v>458</v>
      </c>
      <c r="AD250" t="s">
        <v>319</v>
      </c>
      <c r="AE250" t="s">
        <v>802</v>
      </c>
      <c r="AF250" t="s">
        <v>413</v>
      </c>
      <c r="AG250" t="s">
        <v>224</v>
      </c>
      <c r="AH250" t="s">
        <v>1525</v>
      </c>
      <c r="AI250" t="s">
        <v>225</v>
      </c>
      <c r="AJ250">
        <v>1</v>
      </c>
    </row>
    <row r="251" ht="23" customHeight="1" spans="1:36">
      <c r="A251">
        <v>248</v>
      </c>
      <c r="B251" t="s">
        <v>1526</v>
      </c>
      <c r="C251" t="s">
        <v>1527</v>
      </c>
      <c r="D251" t="s">
        <v>19</v>
      </c>
      <c r="E251" t="s">
        <v>47</v>
      </c>
      <c r="F251" t="s">
        <v>407</v>
      </c>
      <c r="G251" t="s">
        <v>72</v>
      </c>
      <c r="H251" t="s">
        <v>570</v>
      </c>
      <c r="I251" t="s">
        <v>69</v>
      </c>
      <c r="J251" s="12">
        <v>98.96</v>
      </c>
      <c r="K251">
        <v>1</v>
      </c>
      <c r="L251" s="12">
        <v>98.96</v>
      </c>
      <c r="M251" s="13">
        <v>12</v>
      </c>
      <c r="N251" s="13">
        <v>89</v>
      </c>
      <c r="O251" s="13">
        <v>365</v>
      </c>
      <c r="P251" s="13">
        <v>1288</v>
      </c>
      <c r="Q251" s="12">
        <v>9401.2</v>
      </c>
      <c r="R251" s="14">
        <f t="shared" si="6"/>
        <v>0.57784911717496</v>
      </c>
      <c r="S251">
        <v>443</v>
      </c>
      <c r="T251" s="15">
        <f t="shared" si="7"/>
        <v>149.325842696629</v>
      </c>
      <c r="U251" t="s">
        <v>218</v>
      </c>
      <c r="V251">
        <v>87</v>
      </c>
      <c r="W251">
        <v>4.8</v>
      </c>
      <c r="X251" s="16">
        <v>0.115</v>
      </c>
      <c r="Y251" s="17">
        <v>46029</v>
      </c>
      <c r="Z251" t="s">
        <v>219</v>
      </c>
      <c r="AB251" s="18">
        <v>-0.264462809917355</v>
      </c>
      <c r="AC251" t="s">
        <v>844</v>
      </c>
      <c r="AD251" t="s">
        <v>272</v>
      </c>
      <c r="AE251" t="s">
        <v>341</v>
      </c>
      <c r="AF251" t="s">
        <v>348</v>
      </c>
      <c r="AG251" t="s">
        <v>224</v>
      </c>
      <c r="AH251" t="s">
        <v>1528</v>
      </c>
      <c r="AI251" t="s">
        <v>225</v>
      </c>
      <c r="AJ251">
        <v>1</v>
      </c>
    </row>
    <row r="252" ht="23" customHeight="1" spans="1:36">
      <c r="A252">
        <v>249</v>
      </c>
      <c r="B252" t="s">
        <v>1529</v>
      </c>
      <c r="C252" t="s">
        <v>1530</v>
      </c>
      <c r="D252" t="s">
        <v>21</v>
      </c>
      <c r="E252" t="s">
        <v>50</v>
      </c>
      <c r="F252" t="s">
        <v>1281</v>
      </c>
      <c r="G252" t="s">
        <v>1282</v>
      </c>
      <c r="H252" t="s">
        <v>877</v>
      </c>
      <c r="I252" t="s">
        <v>69</v>
      </c>
      <c r="J252" s="12">
        <v>106.5</v>
      </c>
      <c r="K252">
        <v>1</v>
      </c>
      <c r="L252" s="12">
        <v>106.5</v>
      </c>
      <c r="M252" s="13">
        <v>27</v>
      </c>
      <c r="N252" s="13">
        <v>89</v>
      </c>
      <c r="O252" s="13">
        <v>156</v>
      </c>
      <c r="P252" s="13">
        <v>158</v>
      </c>
      <c r="Q252" s="12">
        <v>9478.5</v>
      </c>
      <c r="R252" s="14">
        <f t="shared" si="6"/>
        <v>1.30016051364366</v>
      </c>
      <c r="S252">
        <v>219</v>
      </c>
      <c r="T252" s="15">
        <f t="shared" si="7"/>
        <v>73.8202247191011</v>
      </c>
      <c r="U252" t="s">
        <v>218</v>
      </c>
      <c r="V252">
        <v>20</v>
      </c>
      <c r="W252">
        <v>5</v>
      </c>
      <c r="X252" s="16">
        <v>0.0498</v>
      </c>
      <c r="Y252" s="17">
        <v>46192</v>
      </c>
      <c r="Z252" t="s">
        <v>228</v>
      </c>
      <c r="AB252" s="18">
        <v>1.61764705882353</v>
      </c>
      <c r="AC252" t="s">
        <v>1283</v>
      </c>
      <c r="AD252" t="s">
        <v>222</v>
      </c>
      <c r="AE252" t="s">
        <v>332</v>
      </c>
      <c r="AF252" t="s">
        <v>420</v>
      </c>
      <c r="AG252" t="s">
        <v>224</v>
      </c>
      <c r="AH252" t="s">
        <v>1531</v>
      </c>
      <c r="AI252" t="s">
        <v>225</v>
      </c>
      <c r="AJ252">
        <v>1</v>
      </c>
    </row>
    <row r="253" ht="23" customHeight="1" spans="1:36">
      <c r="A253">
        <v>250</v>
      </c>
      <c r="B253" t="s">
        <v>1532</v>
      </c>
      <c r="C253" t="s">
        <v>1533</v>
      </c>
      <c r="D253" t="s">
        <v>36</v>
      </c>
      <c r="E253" t="s">
        <v>50</v>
      </c>
      <c r="F253" t="s">
        <v>1043</v>
      </c>
      <c r="G253" t="s">
        <v>1044</v>
      </c>
      <c r="H253" t="s">
        <v>1045</v>
      </c>
      <c r="I253" t="s">
        <v>69</v>
      </c>
      <c r="J253" s="12">
        <v>121.16</v>
      </c>
      <c r="K253">
        <v>1</v>
      </c>
      <c r="L253" s="12">
        <v>121.16</v>
      </c>
      <c r="M253" s="13">
        <v>44</v>
      </c>
      <c r="N253" s="13">
        <v>88</v>
      </c>
      <c r="O253" s="13">
        <v>257</v>
      </c>
      <c r="P253" s="13">
        <v>317</v>
      </c>
      <c r="Q253" s="12">
        <v>10662.08</v>
      </c>
      <c r="R253" s="14">
        <f t="shared" si="6"/>
        <v>2.14285714285714</v>
      </c>
      <c r="S253">
        <v>45</v>
      </c>
      <c r="T253" s="15">
        <f t="shared" si="7"/>
        <v>15.3409090909091</v>
      </c>
      <c r="U253" t="s">
        <v>218</v>
      </c>
      <c r="V253">
        <v>5</v>
      </c>
      <c r="W253">
        <v>5</v>
      </c>
      <c r="X253" s="16">
        <v>0.1147</v>
      </c>
      <c r="Y253" s="17">
        <v>46140</v>
      </c>
      <c r="Z253" t="s">
        <v>228</v>
      </c>
      <c r="AB253" s="18">
        <v>-0.137254901960784</v>
      </c>
      <c r="AC253" t="s">
        <v>319</v>
      </c>
      <c r="AD253" t="s">
        <v>319</v>
      </c>
      <c r="AE253" t="s">
        <v>250</v>
      </c>
      <c r="AF253" t="s">
        <v>572</v>
      </c>
      <c r="AG253" t="s">
        <v>224</v>
      </c>
      <c r="AH253" t="s">
        <v>1534</v>
      </c>
      <c r="AI253" t="s">
        <v>225</v>
      </c>
      <c r="AJ253">
        <v>0</v>
      </c>
    </row>
    <row r="254" ht="23" customHeight="1" spans="1:36">
      <c r="A254">
        <v>251</v>
      </c>
      <c r="B254" t="s">
        <v>1535</v>
      </c>
      <c r="C254" t="s">
        <v>1536</v>
      </c>
      <c r="D254" t="s">
        <v>30</v>
      </c>
      <c r="E254" t="s">
        <v>56</v>
      </c>
      <c r="F254" t="s">
        <v>825</v>
      </c>
      <c r="G254" t="s">
        <v>826</v>
      </c>
      <c r="H254" t="s">
        <v>1537</v>
      </c>
      <c r="I254" t="s">
        <v>69</v>
      </c>
      <c r="J254" s="12">
        <v>286.79</v>
      </c>
      <c r="K254">
        <v>2</v>
      </c>
      <c r="L254" s="12">
        <v>143.4</v>
      </c>
      <c r="M254" s="13">
        <v>25</v>
      </c>
      <c r="N254" s="13">
        <v>88</v>
      </c>
      <c r="O254" s="13">
        <v>254</v>
      </c>
      <c r="P254" s="13">
        <v>1345</v>
      </c>
      <c r="Q254" s="12">
        <v>26671.47</v>
      </c>
      <c r="R254" s="14">
        <f t="shared" si="6"/>
        <v>1.21753246753247</v>
      </c>
      <c r="S254">
        <v>130</v>
      </c>
      <c r="T254" s="15">
        <f t="shared" si="7"/>
        <v>44.3181818181818</v>
      </c>
      <c r="U254" t="s">
        <v>218</v>
      </c>
      <c r="V254">
        <v>186</v>
      </c>
      <c r="W254">
        <v>4.7</v>
      </c>
      <c r="X254" s="16">
        <v>0.0662</v>
      </c>
      <c r="Y254" s="17">
        <v>45600</v>
      </c>
      <c r="Z254" t="s">
        <v>219</v>
      </c>
      <c r="AB254" s="18">
        <v>-0.137254901960784</v>
      </c>
      <c r="AC254" t="s">
        <v>1538</v>
      </c>
      <c r="AD254" t="s">
        <v>273</v>
      </c>
      <c r="AE254" t="s">
        <v>1539</v>
      </c>
      <c r="AF254" t="s">
        <v>474</v>
      </c>
      <c r="AG254" t="s">
        <v>224</v>
      </c>
      <c r="AH254" t="s">
        <v>1540</v>
      </c>
      <c r="AI254" t="s">
        <v>225</v>
      </c>
      <c r="AJ254">
        <v>0</v>
      </c>
    </row>
    <row r="255" ht="23" customHeight="1" spans="1:36">
      <c r="A255">
        <v>252</v>
      </c>
      <c r="B255" t="s">
        <v>1541</v>
      </c>
      <c r="C255" t="s">
        <v>1542</v>
      </c>
      <c r="D255" t="s">
        <v>19</v>
      </c>
      <c r="E255" t="s">
        <v>56</v>
      </c>
      <c r="F255" t="s">
        <v>1198</v>
      </c>
      <c r="G255" t="s">
        <v>1199</v>
      </c>
      <c r="H255" t="s">
        <v>1377</v>
      </c>
      <c r="I255" t="s">
        <v>69</v>
      </c>
      <c r="J255" s="12">
        <v>247.82</v>
      </c>
      <c r="K255">
        <v>2</v>
      </c>
      <c r="L255" s="12">
        <v>123.91</v>
      </c>
      <c r="M255" s="13">
        <v>26</v>
      </c>
      <c r="N255" s="13">
        <v>88</v>
      </c>
      <c r="O255" s="13">
        <v>98</v>
      </c>
      <c r="P255" s="13">
        <v>107</v>
      </c>
      <c r="Q255" s="12">
        <v>23295.08</v>
      </c>
      <c r="R255" s="14">
        <f t="shared" si="6"/>
        <v>1.26623376623377</v>
      </c>
      <c r="S255">
        <v>19</v>
      </c>
      <c r="T255" s="15">
        <f t="shared" si="7"/>
        <v>6.47727272727273</v>
      </c>
      <c r="U255" t="s">
        <v>218</v>
      </c>
      <c r="V255">
        <v>5</v>
      </c>
      <c r="W255">
        <v>5</v>
      </c>
      <c r="X255" s="16">
        <v>0.0864</v>
      </c>
      <c r="Y255" s="17">
        <v>46236</v>
      </c>
      <c r="Z255" t="s">
        <v>241</v>
      </c>
      <c r="AB255" s="18">
        <v>8.77777777777778</v>
      </c>
      <c r="AC255" t="s">
        <v>1543</v>
      </c>
      <c r="AD255" t="s">
        <v>1544</v>
      </c>
      <c r="AE255" t="s">
        <v>1327</v>
      </c>
      <c r="AF255" t="s">
        <v>427</v>
      </c>
      <c r="AG255" t="s">
        <v>224</v>
      </c>
      <c r="AH255" t="s">
        <v>1545</v>
      </c>
      <c r="AI255" t="s">
        <v>225</v>
      </c>
      <c r="AJ255">
        <v>1</v>
      </c>
    </row>
    <row r="256" ht="23" customHeight="1" spans="1:36">
      <c r="A256">
        <v>253</v>
      </c>
      <c r="B256" t="s">
        <v>1546</v>
      </c>
      <c r="C256" t="s">
        <v>1547</v>
      </c>
      <c r="D256" t="s">
        <v>27</v>
      </c>
      <c r="E256" t="s">
        <v>56</v>
      </c>
      <c r="F256" t="s">
        <v>1548</v>
      </c>
      <c r="G256" t="s">
        <v>1549</v>
      </c>
      <c r="H256" t="s">
        <v>1550</v>
      </c>
      <c r="I256" t="s">
        <v>69</v>
      </c>
      <c r="J256" s="12">
        <v>286.61</v>
      </c>
      <c r="K256">
        <v>1</v>
      </c>
      <c r="L256" s="12">
        <v>286.61</v>
      </c>
      <c r="M256" s="13">
        <v>22</v>
      </c>
      <c r="N256" s="13">
        <v>87</v>
      </c>
      <c r="O256" s="13">
        <v>191</v>
      </c>
      <c r="P256" s="13">
        <v>316</v>
      </c>
      <c r="Q256" s="12">
        <v>24935.07</v>
      </c>
      <c r="R256" s="14">
        <f t="shared" si="6"/>
        <v>1.08374384236453</v>
      </c>
      <c r="S256">
        <v>28</v>
      </c>
      <c r="T256" s="15">
        <f t="shared" si="7"/>
        <v>9.6551724137931</v>
      </c>
      <c r="U256" t="s">
        <v>218</v>
      </c>
      <c r="V256">
        <v>18</v>
      </c>
      <c r="W256">
        <v>4.8</v>
      </c>
      <c r="X256" s="16">
        <v>0.0509</v>
      </c>
      <c r="Y256" s="17">
        <v>45985</v>
      </c>
      <c r="Z256" t="s">
        <v>219</v>
      </c>
      <c r="AB256" s="18">
        <v>0.242857142857143</v>
      </c>
      <c r="AC256" t="s">
        <v>318</v>
      </c>
      <c r="AD256" t="s">
        <v>412</v>
      </c>
      <c r="AE256" t="s">
        <v>221</v>
      </c>
      <c r="AF256" t="s">
        <v>483</v>
      </c>
      <c r="AG256" t="s">
        <v>224</v>
      </c>
      <c r="AH256" t="s">
        <v>1551</v>
      </c>
      <c r="AI256" t="s">
        <v>225</v>
      </c>
      <c r="AJ256">
        <v>1</v>
      </c>
    </row>
    <row r="257" ht="23" customHeight="1" spans="1:36">
      <c r="A257">
        <v>254</v>
      </c>
      <c r="B257" t="s">
        <v>1552</v>
      </c>
      <c r="C257" t="s">
        <v>1553</v>
      </c>
      <c r="D257" t="s">
        <v>25</v>
      </c>
      <c r="E257" t="s">
        <v>56</v>
      </c>
      <c r="F257" t="s">
        <v>1554</v>
      </c>
      <c r="G257" t="s">
        <v>1555</v>
      </c>
      <c r="H257" t="s">
        <v>1556</v>
      </c>
      <c r="I257" t="s">
        <v>69</v>
      </c>
      <c r="J257" s="12">
        <v>282.56</v>
      </c>
      <c r="K257">
        <v>1</v>
      </c>
      <c r="L257" s="12">
        <v>282.56</v>
      </c>
      <c r="M257" s="13">
        <v>18</v>
      </c>
      <c r="N257" s="13">
        <v>87</v>
      </c>
      <c r="O257" s="13">
        <v>287</v>
      </c>
      <c r="P257" s="13">
        <v>317</v>
      </c>
      <c r="Q257" s="12">
        <v>25712.96</v>
      </c>
      <c r="R257" s="14">
        <f t="shared" si="6"/>
        <v>0.886699507389163</v>
      </c>
      <c r="S257">
        <v>94</v>
      </c>
      <c r="T257" s="15">
        <f t="shared" si="7"/>
        <v>32.4137931034483</v>
      </c>
      <c r="U257" t="s">
        <v>218</v>
      </c>
      <c r="V257">
        <v>14</v>
      </c>
      <c r="W257">
        <v>4.8</v>
      </c>
      <c r="X257" s="16">
        <v>0.0713</v>
      </c>
      <c r="Y257" s="17">
        <v>46183</v>
      </c>
      <c r="Z257" t="s">
        <v>228</v>
      </c>
      <c r="AA257">
        <v>14</v>
      </c>
      <c r="AB257" s="18">
        <v>0.191780821917808</v>
      </c>
      <c r="AC257" t="s">
        <v>253</v>
      </c>
      <c r="AD257" t="s">
        <v>388</v>
      </c>
      <c r="AE257" t="s">
        <v>981</v>
      </c>
      <c r="AF257" t="s">
        <v>321</v>
      </c>
      <c r="AG257" t="s">
        <v>224</v>
      </c>
      <c r="AH257" t="s">
        <v>1557</v>
      </c>
      <c r="AI257" t="s">
        <v>225</v>
      </c>
      <c r="AJ257">
        <v>1</v>
      </c>
    </row>
    <row r="258" ht="23" customHeight="1" spans="1:36">
      <c r="A258">
        <v>255</v>
      </c>
      <c r="B258" t="s">
        <v>1558</v>
      </c>
      <c r="C258" t="s">
        <v>1559</v>
      </c>
      <c r="D258" t="s">
        <v>19</v>
      </c>
      <c r="E258" t="s">
        <v>50</v>
      </c>
      <c r="F258" t="s">
        <v>1560</v>
      </c>
      <c r="G258" t="s">
        <v>1561</v>
      </c>
      <c r="H258" t="s">
        <v>1249</v>
      </c>
      <c r="I258" t="s">
        <v>69</v>
      </c>
      <c r="J258" s="12">
        <v>142.67</v>
      </c>
      <c r="K258">
        <v>1</v>
      </c>
      <c r="L258" s="12">
        <v>142.67</v>
      </c>
      <c r="M258" s="13">
        <v>30</v>
      </c>
      <c r="N258" s="13">
        <v>87</v>
      </c>
      <c r="O258" s="13">
        <v>267</v>
      </c>
      <c r="P258" s="13">
        <v>324</v>
      </c>
      <c r="Q258" s="12">
        <v>13553.65</v>
      </c>
      <c r="R258" s="14">
        <f t="shared" si="6"/>
        <v>1.47783251231527</v>
      </c>
      <c r="S258">
        <v>44</v>
      </c>
      <c r="T258" s="15">
        <f t="shared" si="7"/>
        <v>15.1724137931034</v>
      </c>
      <c r="U258" t="s">
        <v>218</v>
      </c>
      <c r="V258">
        <v>6</v>
      </c>
      <c r="W258">
        <v>5</v>
      </c>
      <c r="X258" s="16">
        <v>0.1101</v>
      </c>
      <c r="Y258" s="17">
        <v>46076</v>
      </c>
      <c r="Z258" t="s">
        <v>219</v>
      </c>
      <c r="AB258" s="18">
        <v>-0.330769230769231</v>
      </c>
      <c r="AC258" t="s">
        <v>296</v>
      </c>
      <c r="AD258" t="s">
        <v>254</v>
      </c>
      <c r="AE258" t="s">
        <v>296</v>
      </c>
      <c r="AF258" t="s">
        <v>549</v>
      </c>
      <c r="AG258" t="s">
        <v>224</v>
      </c>
      <c r="AH258" t="s">
        <v>1562</v>
      </c>
      <c r="AI258" t="s">
        <v>225</v>
      </c>
      <c r="AJ258">
        <v>1</v>
      </c>
    </row>
    <row r="259" ht="23" customHeight="1" spans="1:36">
      <c r="A259">
        <v>256</v>
      </c>
      <c r="B259" t="s">
        <v>1563</v>
      </c>
      <c r="C259" t="s">
        <v>1564</v>
      </c>
      <c r="D259" t="s">
        <v>34</v>
      </c>
      <c r="E259" t="s">
        <v>56</v>
      </c>
      <c r="F259" t="s">
        <v>1565</v>
      </c>
      <c r="G259" t="s">
        <v>1566</v>
      </c>
      <c r="H259" t="s">
        <v>1567</v>
      </c>
      <c r="I259" t="s">
        <v>68</v>
      </c>
      <c r="J259" s="12">
        <v>281.29</v>
      </c>
      <c r="K259">
        <v>1</v>
      </c>
      <c r="L259" s="12">
        <v>281.29</v>
      </c>
      <c r="M259" s="13">
        <v>20</v>
      </c>
      <c r="N259" s="13">
        <v>86</v>
      </c>
      <c r="O259" s="13">
        <v>263</v>
      </c>
      <c r="P259" s="13">
        <v>1060</v>
      </c>
      <c r="Q259" s="12">
        <v>25034.81</v>
      </c>
      <c r="R259" s="14">
        <f t="shared" si="6"/>
        <v>0.996677740863787</v>
      </c>
      <c r="S259">
        <v>55</v>
      </c>
      <c r="T259" s="15">
        <f t="shared" si="7"/>
        <v>19.1860465116279</v>
      </c>
      <c r="U259" t="s">
        <v>218</v>
      </c>
      <c r="V259">
        <v>17</v>
      </c>
      <c r="W259">
        <v>4.2</v>
      </c>
      <c r="X259" s="16">
        <v>0.0469</v>
      </c>
      <c r="Y259" s="17">
        <v>45717</v>
      </c>
      <c r="Z259" t="s">
        <v>219</v>
      </c>
      <c r="AB259" s="18">
        <v>0.102564102564103</v>
      </c>
      <c r="AC259" t="s">
        <v>1568</v>
      </c>
      <c r="AD259" t="s">
        <v>250</v>
      </c>
      <c r="AE259" t="s">
        <v>863</v>
      </c>
      <c r="AF259" t="s">
        <v>333</v>
      </c>
      <c r="AG259" t="s">
        <v>224</v>
      </c>
      <c r="AH259" t="s">
        <v>1569</v>
      </c>
      <c r="AI259" t="s">
        <v>225</v>
      </c>
      <c r="AJ259">
        <v>0</v>
      </c>
    </row>
    <row r="260" ht="23" customHeight="1" spans="1:36">
      <c r="A260">
        <v>257</v>
      </c>
      <c r="B260" t="s">
        <v>1570</v>
      </c>
      <c r="C260" t="s">
        <v>1571</v>
      </c>
      <c r="D260" t="s">
        <v>25</v>
      </c>
      <c r="E260" t="s">
        <v>56</v>
      </c>
      <c r="F260" t="s">
        <v>137</v>
      </c>
      <c r="G260" t="s">
        <v>79</v>
      </c>
      <c r="H260" t="s">
        <v>298</v>
      </c>
      <c r="I260" t="s">
        <v>69</v>
      </c>
      <c r="J260" s="12">
        <v>255.9</v>
      </c>
      <c r="K260">
        <v>1</v>
      </c>
      <c r="L260" s="12">
        <v>255.9</v>
      </c>
      <c r="M260" s="13">
        <v>21</v>
      </c>
      <c r="N260" s="13">
        <v>86</v>
      </c>
      <c r="O260" s="13">
        <v>243</v>
      </c>
      <c r="P260" s="13">
        <v>1033</v>
      </c>
      <c r="Q260" s="12">
        <v>22007.4</v>
      </c>
      <c r="R260" s="14">
        <f t="shared" ref="R260:R323" si="8">IFERROR(M260*30/(N260*7),0)</f>
        <v>1.04651162790698</v>
      </c>
      <c r="S260">
        <v>75</v>
      </c>
      <c r="T260" s="15">
        <f t="shared" ref="T260:T323" si="9">IFERROR(S260*30/N260,0)</f>
        <v>26.1627906976744</v>
      </c>
      <c r="U260" t="s">
        <v>218</v>
      </c>
      <c r="V260">
        <v>761</v>
      </c>
      <c r="W260">
        <v>4.8</v>
      </c>
      <c r="X260" s="16">
        <v>0.0434</v>
      </c>
      <c r="Y260" s="17">
        <v>45951</v>
      </c>
      <c r="Z260" t="s">
        <v>219</v>
      </c>
      <c r="AA260">
        <v>9</v>
      </c>
      <c r="AB260" s="18">
        <v>0.178082191780822</v>
      </c>
      <c r="AC260" t="s">
        <v>253</v>
      </c>
      <c r="AD260" t="s">
        <v>510</v>
      </c>
      <c r="AE260" t="s">
        <v>1572</v>
      </c>
      <c r="AF260" t="s">
        <v>736</v>
      </c>
      <c r="AG260" t="s">
        <v>224</v>
      </c>
      <c r="AH260" t="s">
        <v>1573</v>
      </c>
      <c r="AI260" t="s">
        <v>225</v>
      </c>
      <c r="AJ260">
        <v>1</v>
      </c>
    </row>
    <row r="261" ht="23" customHeight="1" spans="1:36">
      <c r="A261">
        <v>258</v>
      </c>
      <c r="B261" t="s">
        <v>1574</v>
      </c>
      <c r="C261" t="s">
        <v>1575</v>
      </c>
      <c r="D261" t="s">
        <v>30</v>
      </c>
      <c r="E261" t="s">
        <v>56</v>
      </c>
      <c r="F261" t="s">
        <v>588</v>
      </c>
      <c r="G261" t="s">
        <v>589</v>
      </c>
      <c r="H261" t="s">
        <v>1576</v>
      </c>
      <c r="I261" t="s">
        <v>69</v>
      </c>
      <c r="J261" s="12">
        <v>203.18</v>
      </c>
      <c r="K261">
        <v>2</v>
      </c>
      <c r="L261" s="12">
        <v>101.59</v>
      </c>
      <c r="M261" s="13">
        <v>19</v>
      </c>
      <c r="N261" s="13">
        <v>86</v>
      </c>
      <c r="O261" s="13">
        <v>303</v>
      </c>
      <c r="P261" s="13">
        <v>422</v>
      </c>
      <c r="Q261" s="12">
        <v>18286.2</v>
      </c>
      <c r="R261" s="14">
        <f t="shared" si="8"/>
        <v>0.946843853820598</v>
      </c>
      <c r="S261">
        <v>120</v>
      </c>
      <c r="T261" s="15">
        <f t="shared" si="9"/>
        <v>41.8604651162791</v>
      </c>
      <c r="U261" t="s">
        <v>218</v>
      </c>
      <c r="V261">
        <v>24</v>
      </c>
      <c r="W261">
        <v>4.8</v>
      </c>
      <c r="X261" s="16">
        <v>0.0514</v>
      </c>
      <c r="Y261" s="17">
        <v>46013</v>
      </c>
      <c r="Z261" t="s">
        <v>219</v>
      </c>
      <c r="AB261" s="18">
        <v>-0.547368421052632</v>
      </c>
      <c r="AC261" t="s">
        <v>591</v>
      </c>
      <c r="AD261" t="s">
        <v>378</v>
      </c>
      <c r="AE261" t="s">
        <v>540</v>
      </c>
      <c r="AF261" t="s">
        <v>519</v>
      </c>
      <c r="AG261" t="s">
        <v>224</v>
      </c>
      <c r="AH261" t="s">
        <v>1577</v>
      </c>
      <c r="AI261" t="s">
        <v>225</v>
      </c>
      <c r="AJ261">
        <v>0</v>
      </c>
    </row>
    <row r="262" ht="23" customHeight="1" spans="1:36">
      <c r="A262">
        <v>259</v>
      </c>
      <c r="B262" t="s">
        <v>1578</v>
      </c>
      <c r="C262" t="s">
        <v>1579</v>
      </c>
      <c r="D262" t="s">
        <v>19</v>
      </c>
      <c r="E262" t="s">
        <v>50</v>
      </c>
      <c r="F262" t="s">
        <v>407</v>
      </c>
      <c r="G262" t="s">
        <v>72</v>
      </c>
      <c r="H262" t="s">
        <v>1190</v>
      </c>
      <c r="I262" t="s">
        <v>69</v>
      </c>
      <c r="J262" s="12">
        <v>131.48</v>
      </c>
      <c r="K262">
        <v>1</v>
      </c>
      <c r="L262" s="12">
        <v>131.48</v>
      </c>
      <c r="M262" s="13">
        <v>14</v>
      </c>
      <c r="N262" s="13">
        <v>85</v>
      </c>
      <c r="O262" s="13">
        <v>91</v>
      </c>
      <c r="P262" s="13">
        <v>96</v>
      </c>
      <c r="Q262" s="12">
        <v>11833.2</v>
      </c>
      <c r="R262" s="14">
        <f t="shared" si="8"/>
        <v>0.705882352941177</v>
      </c>
      <c r="S262">
        <v>185</v>
      </c>
      <c r="T262" s="15">
        <f t="shared" si="9"/>
        <v>65.2941176470588</v>
      </c>
      <c r="U262" t="s">
        <v>218</v>
      </c>
      <c r="V262">
        <v>62</v>
      </c>
      <c r="W262">
        <v>4.9</v>
      </c>
      <c r="X262" s="16">
        <v>0.0763</v>
      </c>
      <c r="Y262" s="17">
        <v>46237</v>
      </c>
      <c r="Z262" t="s">
        <v>241</v>
      </c>
      <c r="AB262" s="18">
        <v>13.1666666666667</v>
      </c>
      <c r="AC262" t="s">
        <v>409</v>
      </c>
      <c r="AD262" t="s">
        <v>272</v>
      </c>
      <c r="AE262" t="s">
        <v>341</v>
      </c>
      <c r="AF262" t="s">
        <v>491</v>
      </c>
      <c r="AG262" t="s">
        <v>224</v>
      </c>
      <c r="AH262" t="s">
        <v>1580</v>
      </c>
      <c r="AI262" t="s">
        <v>225</v>
      </c>
      <c r="AJ262">
        <v>1</v>
      </c>
    </row>
    <row r="263" ht="23" customHeight="1" spans="1:36">
      <c r="A263">
        <v>260</v>
      </c>
      <c r="B263" t="s">
        <v>1581</v>
      </c>
      <c r="C263" t="s">
        <v>1582</v>
      </c>
      <c r="D263" t="s">
        <v>34</v>
      </c>
      <c r="E263" t="s">
        <v>59</v>
      </c>
      <c r="F263" t="s">
        <v>581</v>
      </c>
      <c r="G263" t="s">
        <v>582</v>
      </c>
      <c r="H263" t="s">
        <v>583</v>
      </c>
      <c r="I263" t="s">
        <v>69</v>
      </c>
      <c r="J263" s="12">
        <v>357.63</v>
      </c>
      <c r="K263">
        <v>1</v>
      </c>
      <c r="L263" s="12">
        <v>357.63</v>
      </c>
      <c r="M263" s="13">
        <v>17</v>
      </c>
      <c r="N263" s="13">
        <v>85</v>
      </c>
      <c r="O263" s="13">
        <v>312</v>
      </c>
      <c r="P263" s="13">
        <v>828</v>
      </c>
      <c r="Q263" s="12">
        <v>31829.07</v>
      </c>
      <c r="R263" s="14">
        <f t="shared" si="8"/>
        <v>0.857142857142857</v>
      </c>
      <c r="S263">
        <v>75</v>
      </c>
      <c r="T263" s="15">
        <f t="shared" si="9"/>
        <v>26.4705882352941</v>
      </c>
      <c r="U263" t="s">
        <v>218</v>
      </c>
      <c r="V263">
        <v>60</v>
      </c>
      <c r="W263">
        <v>4.9</v>
      </c>
      <c r="X263" s="16">
        <v>0.0951</v>
      </c>
      <c r="Y263" s="17">
        <v>46083</v>
      </c>
      <c r="Z263" t="s">
        <v>219</v>
      </c>
      <c r="AB263" s="18">
        <v>-0.0760869565217391</v>
      </c>
      <c r="AC263" t="s">
        <v>1583</v>
      </c>
      <c r="AD263" t="s">
        <v>490</v>
      </c>
      <c r="AE263" t="s">
        <v>319</v>
      </c>
      <c r="AF263" t="s">
        <v>1453</v>
      </c>
      <c r="AG263" t="s">
        <v>224</v>
      </c>
      <c r="AH263" t="s">
        <v>1584</v>
      </c>
      <c r="AI263" t="s">
        <v>225</v>
      </c>
      <c r="AJ263">
        <v>0</v>
      </c>
    </row>
    <row r="264" ht="23" customHeight="1" spans="1:36">
      <c r="A264">
        <v>261</v>
      </c>
      <c r="B264" t="s">
        <v>1585</v>
      </c>
      <c r="C264" t="s">
        <v>1586</v>
      </c>
      <c r="D264" t="s">
        <v>32</v>
      </c>
      <c r="E264" t="s">
        <v>47</v>
      </c>
      <c r="F264" t="s">
        <v>1587</v>
      </c>
      <c r="G264" t="s">
        <v>1588</v>
      </c>
      <c r="H264" t="s">
        <v>1589</v>
      </c>
      <c r="I264" t="s">
        <v>68</v>
      </c>
      <c r="J264" s="12">
        <v>98</v>
      </c>
      <c r="K264">
        <v>1</v>
      </c>
      <c r="L264" s="12">
        <v>98</v>
      </c>
      <c r="M264" s="13">
        <v>21</v>
      </c>
      <c r="N264" s="13">
        <v>84</v>
      </c>
      <c r="O264" s="13">
        <v>230</v>
      </c>
      <c r="P264" s="13">
        <v>8094</v>
      </c>
      <c r="Q264" s="12">
        <v>8232</v>
      </c>
      <c r="R264" s="14">
        <f t="shared" si="8"/>
        <v>1.07142857142857</v>
      </c>
      <c r="S264">
        <v>15</v>
      </c>
      <c r="T264" s="15">
        <f t="shared" si="9"/>
        <v>5.35714285714286</v>
      </c>
      <c r="U264" t="s">
        <v>218</v>
      </c>
      <c r="V264">
        <v>184</v>
      </c>
      <c r="W264">
        <v>4.5</v>
      </c>
      <c r="X264" s="16">
        <v>0.5676</v>
      </c>
      <c r="Y264" s="17">
        <v>44032</v>
      </c>
      <c r="Z264" t="s">
        <v>219</v>
      </c>
      <c r="AA264">
        <v>17</v>
      </c>
      <c r="AB264" s="18">
        <v>0.183098591549296</v>
      </c>
      <c r="AC264" t="s">
        <v>756</v>
      </c>
      <c r="AD264" t="s">
        <v>296</v>
      </c>
      <c r="AE264" t="s">
        <v>655</v>
      </c>
      <c r="AF264" t="s">
        <v>483</v>
      </c>
      <c r="AG264" t="s">
        <v>224</v>
      </c>
      <c r="AH264" t="s">
        <v>1590</v>
      </c>
      <c r="AI264" t="s">
        <v>225</v>
      </c>
      <c r="AJ264">
        <v>0</v>
      </c>
    </row>
    <row r="265" ht="23" customHeight="1" spans="1:36">
      <c r="A265">
        <v>262</v>
      </c>
      <c r="B265" t="s">
        <v>1591</v>
      </c>
      <c r="C265" t="s">
        <v>1592</v>
      </c>
      <c r="D265" t="s">
        <v>19</v>
      </c>
      <c r="E265" t="s">
        <v>59</v>
      </c>
      <c r="F265" t="s">
        <v>309</v>
      </c>
      <c r="G265" t="s">
        <v>75</v>
      </c>
      <c r="H265" t="s">
        <v>1144</v>
      </c>
      <c r="I265" t="s">
        <v>68</v>
      </c>
      <c r="J265" s="12">
        <v>379.05</v>
      </c>
      <c r="K265">
        <v>1</v>
      </c>
      <c r="L265" s="12">
        <v>379.05</v>
      </c>
      <c r="M265" s="13">
        <v>18</v>
      </c>
      <c r="N265" s="13">
        <v>84</v>
      </c>
      <c r="O265" s="13">
        <v>132</v>
      </c>
      <c r="P265" s="13">
        <v>143</v>
      </c>
      <c r="Q265" s="12">
        <v>33735.45</v>
      </c>
      <c r="R265" s="14">
        <f t="shared" si="8"/>
        <v>0.918367346938776</v>
      </c>
      <c r="S265">
        <v>119</v>
      </c>
      <c r="T265" s="15">
        <f t="shared" si="9"/>
        <v>42.5</v>
      </c>
      <c r="U265" t="s">
        <v>218</v>
      </c>
      <c r="V265">
        <v>0</v>
      </c>
      <c r="W265">
        <v>0</v>
      </c>
      <c r="X265" s="16">
        <v>0.0294</v>
      </c>
      <c r="Y265" s="17">
        <v>46133</v>
      </c>
      <c r="Z265" t="s">
        <v>228</v>
      </c>
      <c r="AB265" s="18">
        <v>1.70967741935484</v>
      </c>
      <c r="AC265" t="s">
        <v>262</v>
      </c>
      <c r="AD265" t="s">
        <v>262</v>
      </c>
      <c r="AE265" t="s">
        <v>387</v>
      </c>
      <c r="AF265" t="s">
        <v>1228</v>
      </c>
      <c r="AG265" t="s">
        <v>224</v>
      </c>
      <c r="AH265" t="s">
        <v>1593</v>
      </c>
      <c r="AI265" t="s">
        <v>225</v>
      </c>
      <c r="AJ265">
        <v>1</v>
      </c>
    </row>
    <row r="266" ht="23" customHeight="1" spans="1:36">
      <c r="A266">
        <v>263</v>
      </c>
      <c r="B266" t="s">
        <v>1594</v>
      </c>
      <c r="C266" t="s">
        <v>1595</v>
      </c>
      <c r="D266" t="s">
        <v>27</v>
      </c>
      <c r="E266" t="s">
        <v>47</v>
      </c>
      <c r="F266" t="s">
        <v>309</v>
      </c>
      <c r="G266" t="s">
        <v>75</v>
      </c>
      <c r="H266" t="s">
        <v>1596</v>
      </c>
      <c r="I266" t="s">
        <v>68</v>
      </c>
      <c r="J266" s="12">
        <v>79.75</v>
      </c>
      <c r="K266">
        <v>1</v>
      </c>
      <c r="L266" s="12">
        <v>79.75</v>
      </c>
      <c r="M266" s="13">
        <v>17</v>
      </c>
      <c r="N266" s="13">
        <v>84</v>
      </c>
      <c r="O266" s="13">
        <v>239</v>
      </c>
      <c r="P266" s="13">
        <v>6578</v>
      </c>
      <c r="Q266" s="12">
        <v>6699</v>
      </c>
      <c r="R266" s="14">
        <f t="shared" si="8"/>
        <v>0.86734693877551</v>
      </c>
      <c r="S266">
        <v>30</v>
      </c>
      <c r="T266" s="15">
        <f t="shared" si="9"/>
        <v>10.7142857142857</v>
      </c>
      <c r="U266" t="s">
        <v>218</v>
      </c>
      <c r="V266">
        <v>229</v>
      </c>
      <c r="W266">
        <v>4.7</v>
      </c>
      <c r="X266" s="16">
        <v>0.0998</v>
      </c>
      <c r="Y266" s="17">
        <v>45119</v>
      </c>
      <c r="Z266" t="s">
        <v>219</v>
      </c>
      <c r="AA266">
        <v>13</v>
      </c>
      <c r="AB266" s="18">
        <v>-0.2</v>
      </c>
      <c r="AC266" t="s">
        <v>296</v>
      </c>
      <c r="AD266" t="s">
        <v>863</v>
      </c>
      <c r="AE266" t="s">
        <v>296</v>
      </c>
      <c r="AF266" t="s">
        <v>572</v>
      </c>
      <c r="AG266" t="s">
        <v>224</v>
      </c>
      <c r="AH266" t="s">
        <v>1597</v>
      </c>
      <c r="AI266" t="s">
        <v>225</v>
      </c>
      <c r="AJ266">
        <v>1</v>
      </c>
    </row>
    <row r="267" ht="23" customHeight="1" spans="1:36">
      <c r="A267">
        <v>264</v>
      </c>
      <c r="B267" t="s">
        <v>1598</v>
      </c>
      <c r="C267" t="s">
        <v>1599</v>
      </c>
      <c r="D267" t="s">
        <v>25</v>
      </c>
      <c r="E267" t="s">
        <v>62</v>
      </c>
      <c r="F267" t="s">
        <v>336</v>
      </c>
      <c r="G267" t="s">
        <v>337</v>
      </c>
      <c r="H267" t="s">
        <v>1600</v>
      </c>
      <c r="I267" t="s">
        <v>69</v>
      </c>
      <c r="J267" s="12">
        <v>779.44</v>
      </c>
      <c r="K267">
        <v>1</v>
      </c>
      <c r="L267" s="12">
        <v>779.44</v>
      </c>
      <c r="M267" s="13">
        <v>18</v>
      </c>
      <c r="N267" s="13">
        <v>83</v>
      </c>
      <c r="O267" s="13">
        <v>158</v>
      </c>
      <c r="P267" s="13">
        <v>222</v>
      </c>
      <c r="Q267" s="12">
        <v>64693.52</v>
      </c>
      <c r="R267" s="14">
        <f t="shared" si="8"/>
        <v>0.929432013769363</v>
      </c>
      <c r="S267">
        <v>11</v>
      </c>
      <c r="T267" s="15">
        <f t="shared" si="9"/>
        <v>3.97590361445783</v>
      </c>
      <c r="U267" t="s">
        <v>218</v>
      </c>
      <c r="V267">
        <v>14</v>
      </c>
      <c r="W267">
        <v>4.6</v>
      </c>
      <c r="X267" s="16">
        <v>0.0281</v>
      </c>
      <c r="Y267" s="17">
        <v>46007</v>
      </c>
      <c r="Z267" t="s">
        <v>219</v>
      </c>
      <c r="AB267" s="18">
        <v>0.930232558139535</v>
      </c>
      <c r="AC267" t="s">
        <v>1601</v>
      </c>
      <c r="AD267" t="s">
        <v>1601</v>
      </c>
      <c r="AE267" t="s">
        <v>249</v>
      </c>
      <c r="AF267" t="s">
        <v>1602</v>
      </c>
      <c r="AG267" t="s">
        <v>224</v>
      </c>
      <c r="AH267" t="s">
        <v>1603</v>
      </c>
      <c r="AI267" t="s">
        <v>225</v>
      </c>
      <c r="AJ267">
        <v>1</v>
      </c>
    </row>
    <row r="268" ht="23" customHeight="1" spans="1:36">
      <c r="A268">
        <v>265</v>
      </c>
      <c r="B268" t="s">
        <v>1604</v>
      </c>
      <c r="C268" t="s">
        <v>1605</v>
      </c>
      <c r="D268" t="s">
        <v>34</v>
      </c>
      <c r="E268" t="s">
        <v>56</v>
      </c>
      <c r="F268" t="s">
        <v>1606</v>
      </c>
      <c r="G268" t="s">
        <v>1607</v>
      </c>
      <c r="H268" t="s">
        <v>1608</v>
      </c>
      <c r="I268" t="s">
        <v>68</v>
      </c>
      <c r="J268" s="12">
        <v>259.99</v>
      </c>
      <c r="K268">
        <v>1</v>
      </c>
      <c r="L268" s="12">
        <v>259.99</v>
      </c>
      <c r="M268" s="13">
        <v>5</v>
      </c>
      <c r="N268" s="13">
        <v>83</v>
      </c>
      <c r="O268" s="13">
        <v>84</v>
      </c>
      <c r="P268" s="13">
        <v>91</v>
      </c>
      <c r="Q268" s="12">
        <v>23659.09</v>
      </c>
      <c r="R268" s="14">
        <f t="shared" si="8"/>
        <v>0.258175559380379</v>
      </c>
      <c r="S268">
        <v>55</v>
      </c>
      <c r="T268" s="15">
        <f t="shared" si="9"/>
        <v>19.8795180722892</v>
      </c>
      <c r="U268" t="s">
        <v>218</v>
      </c>
      <c r="V268">
        <v>0</v>
      </c>
      <c r="W268">
        <v>0</v>
      </c>
      <c r="X268" s="16">
        <v>0.244</v>
      </c>
      <c r="Y268" s="17">
        <v>46240</v>
      </c>
      <c r="Z268" t="s">
        <v>241</v>
      </c>
      <c r="AB268" s="18">
        <v>82</v>
      </c>
      <c r="AC268" t="s">
        <v>1505</v>
      </c>
      <c r="AD268" t="s">
        <v>272</v>
      </c>
      <c r="AE268" t="s">
        <v>320</v>
      </c>
      <c r="AF268" t="s">
        <v>1609</v>
      </c>
      <c r="AG268" t="s">
        <v>224</v>
      </c>
      <c r="AH268" t="s">
        <v>1610</v>
      </c>
      <c r="AI268" t="s">
        <v>225</v>
      </c>
      <c r="AJ268">
        <v>0</v>
      </c>
    </row>
    <row r="269" ht="23" customHeight="1" spans="1:36">
      <c r="A269">
        <v>266</v>
      </c>
      <c r="B269" t="s">
        <v>1611</v>
      </c>
      <c r="C269" t="s">
        <v>1612</v>
      </c>
      <c r="D269" t="s">
        <v>19</v>
      </c>
      <c r="E269" t="s">
        <v>53</v>
      </c>
      <c r="F269" t="s">
        <v>407</v>
      </c>
      <c r="G269" t="s">
        <v>72</v>
      </c>
      <c r="H269" t="s">
        <v>1249</v>
      </c>
      <c r="I269" t="s">
        <v>69</v>
      </c>
      <c r="J269" s="12">
        <v>176.23</v>
      </c>
      <c r="K269">
        <v>1</v>
      </c>
      <c r="L269" s="12">
        <v>176.23</v>
      </c>
      <c r="M269" s="13">
        <v>7</v>
      </c>
      <c r="N269" s="13">
        <v>83</v>
      </c>
      <c r="O269" s="13">
        <v>435</v>
      </c>
      <c r="P269" s="13">
        <v>521</v>
      </c>
      <c r="Q269" s="12">
        <v>14627.09</v>
      </c>
      <c r="R269" s="14">
        <f t="shared" si="8"/>
        <v>0.36144578313253</v>
      </c>
      <c r="S269">
        <v>44</v>
      </c>
      <c r="T269" s="15">
        <f t="shared" si="9"/>
        <v>15.9036144578313</v>
      </c>
      <c r="U269" t="s">
        <v>218</v>
      </c>
      <c r="V269">
        <v>10</v>
      </c>
      <c r="W269">
        <v>4.4</v>
      </c>
      <c r="X269" s="16">
        <v>0.0876</v>
      </c>
      <c r="Y269" s="17">
        <v>46078</v>
      </c>
      <c r="Z269" t="s">
        <v>219</v>
      </c>
      <c r="AB269" s="18">
        <v>-0.595121951219512</v>
      </c>
      <c r="AC269" t="s">
        <v>243</v>
      </c>
      <c r="AD269" t="s">
        <v>272</v>
      </c>
      <c r="AE269" t="s">
        <v>747</v>
      </c>
      <c r="AF269" t="s">
        <v>549</v>
      </c>
      <c r="AG269" t="s">
        <v>224</v>
      </c>
      <c r="AH269" t="s">
        <v>1613</v>
      </c>
      <c r="AI269" t="s">
        <v>225</v>
      </c>
      <c r="AJ269">
        <v>1</v>
      </c>
    </row>
    <row r="270" ht="23" customHeight="1" spans="1:36">
      <c r="A270">
        <v>267</v>
      </c>
      <c r="B270" t="s">
        <v>1614</v>
      </c>
      <c r="C270" t="s">
        <v>1575</v>
      </c>
      <c r="D270" t="s">
        <v>30</v>
      </c>
      <c r="E270" t="s">
        <v>56</v>
      </c>
      <c r="F270" t="s">
        <v>588</v>
      </c>
      <c r="G270" t="s">
        <v>589</v>
      </c>
      <c r="H270" t="s">
        <v>1615</v>
      </c>
      <c r="I270" t="s">
        <v>68</v>
      </c>
      <c r="J270" s="12">
        <v>204</v>
      </c>
      <c r="K270">
        <v>2</v>
      </c>
      <c r="L270" s="12">
        <v>102</v>
      </c>
      <c r="M270" s="13">
        <v>27</v>
      </c>
      <c r="N270" s="13">
        <v>82</v>
      </c>
      <c r="O270" s="13">
        <v>95</v>
      </c>
      <c r="P270" s="13">
        <v>95</v>
      </c>
      <c r="Q270" s="12">
        <v>16728</v>
      </c>
      <c r="R270" s="14">
        <f t="shared" si="8"/>
        <v>1.41114982578397</v>
      </c>
      <c r="S270">
        <v>29</v>
      </c>
      <c r="T270" s="15">
        <f t="shared" si="9"/>
        <v>10.609756097561</v>
      </c>
      <c r="U270" t="s">
        <v>218</v>
      </c>
      <c r="V270">
        <v>0</v>
      </c>
      <c r="W270">
        <v>0</v>
      </c>
      <c r="X270" s="16">
        <v>0.0455</v>
      </c>
      <c r="Y270" s="17">
        <v>46128</v>
      </c>
      <c r="Z270" t="s">
        <v>228</v>
      </c>
      <c r="AB270" s="18">
        <v>3.55555555555556</v>
      </c>
      <c r="AC270" t="s">
        <v>1478</v>
      </c>
      <c r="AD270" t="s">
        <v>378</v>
      </c>
      <c r="AE270" t="s">
        <v>540</v>
      </c>
      <c r="AF270" t="s">
        <v>1440</v>
      </c>
      <c r="AG270" t="s">
        <v>224</v>
      </c>
      <c r="AH270" t="s">
        <v>1616</v>
      </c>
      <c r="AI270" t="s">
        <v>225</v>
      </c>
      <c r="AJ270">
        <v>0</v>
      </c>
    </row>
    <row r="271" ht="23" customHeight="1" spans="1:36">
      <c r="A271">
        <v>268</v>
      </c>
      <c r="B271" t="s">
        <v>1617</v>
      </c>
      <c r="C271" t="s">
        <v>1618</v>
      </c>
      <c r="D271" t="s">
        <v>19</v>
      </c>
      <c r="E271" t="s">
        <v>56</v>
      </c>
      <c r="F271" t="s">
        <v>407</v>
      </c>
      <c r="G271" t="s">
        <v>72</v>
      </c>
      <c r="H271" t="s">
        <v>1190</v>
      </c>
      <c r="I271" t="s">
        <v>69</v>
      </c>
      <c r="J271" s="12">
        <v>236.47</v>
      </c>
      <c r="K271">
        <v>1</v>
      </c>
      <c r="L271" s="12">
        <v>236.47</v>
      </c>
      <c r="M271" s="13">
        <v>35</v>
      </c>
      <c r="N271" s="13">
        <v>82</v>
      </c>
      <c r="O271" s="13">
        <v>98</v>
      </c>
      <c r="P271" s="13">
        <v>106</v>
      </c>
      <c r="Q271" s="12">
        <v>20572.89</v>
      </c>
      <c r="R271" s="14">
        <f t="shared" si="8"/>
        <v>1.82926829268293</v>
      </c>
      <c r="S271">
        <v>54</v>
      </c>
      <c r="T271" s="15">
        <f t="shared" si="9"/>
        <v>19.7560975609756</v>
      </c>
      <c r="U271" t="s">
        <v>218</v>
      </c>
      <c r="V271">
        <v>85</v>
      </c>
      <c r="W271">
        <v>4.7</v>
      </c>
      <c r="X271" s="16">
        <v>0.0962</v>
      </c>
      <c r="Y271" s="17">
        <v>46236</v>
      </c>
      <c r="Z271" t="s">
        <v>241</v>
      </c>
      <c r="AB271" s="18">
        <v>4.85714285714286</v>
      </c>
      <c r="AC271" t="s">
        <v>858</v>
      </c>
      <c r="AD271" t="s">
        <v>389</v>
      </c>
      <c r="AE271" t="s">
        <v>236</v>
      </c>
      <c r="AF271" t="s">
        <v>427</v>
      </c>
      <c r="AG271" t="s">
        <v>224</v>
      </c>
      <c r="AH271" t="s">
        <v>1619</v>
      </c>
      <c r="AI271" t="s">
        <v>225</v>
      </c>
      <c r="AJ271">
        <v>1</v>
      </c>
    </row>
    <row r="272" ht="23" customHeight="1" spans="1:36">
      <c r="A272">
        <v>269</v>
      </c>
      <c r="B272" t="s">
        <v>1620</v>
      </c>
      <c r="C272" t="s">
        <v>1621</v>
      </c>
      <c r="D272" t="s">
        <v>21</v>
      </c>
      <c r="E272" t="s">
        <v>56</v>
      </c>
      <c r="F272" t="s">
        <v>1622</v>
      </c>
      <c r="G272" t="s">
        <v>1623</v>
      </c>
      <c r="H272" t="s">
        <v>1624</v>
      </c>
      <c r="I272" t="s">
        <v>68</v>
      </c>
      <c r="J272" s="12">
        <v>229</v>
      </c>
      <c r="K272">
        <v>2</v>
      </c>
      <c r="L272" s="12">
        <v>114.5</v>
      </c>
      <c r="M272" s="13">
        <v>47</v>
      </c>
      <c r="N272" s="13">
        <v>82</v>
      </c>
      <c r="O272" s="13">
        <v>113</v>
      </c>
      <c r="P272" s="13">
        <v>169</v>
      </c>
      <c r="Q272" s="12">
        <v>18778</v>
      </c>
      <c r="R272" s="14">
        <f t="shared" si="8"/>
        <v>2.45644599303136</v>
      </c>
      <c r="S272">
        <v>43</v>
      </c>
      <c r="T272" s="15">
        <f t="shared" si="9"/>
        <v>15.7317073170732</v>
      </c>
      <c r="U272" t="s">
        <v>218</v>
      </c>
      <c r="V272">
        <v>0</v>
      </c>
      <c r="W272">
        <v>0</v>
      </c>
      <c r="X272" s="16">
        <v>0.0239</v>
      </c>
      <c r="Y272" s="17">
        <v>46089</v>
      </c>
      <c r="Z272" t="s">
        <v>219</v>
      </c>
      <c r="AB272" s="18">
        <v>82</v>
      </c>
      <c r="AC272" t="s">
        <v>510</v>
      </c>
      <c r="AD272" t="s">
        <v>250</v>
      </c>
      <c r="AE272" t="s">
        <v>1366</v>
      </c>
      <c r="AF272" t="s">
        <v>251</v>
      </c>
      <c r="AG272" t="s">
        <v>224</v>
      </c>
      <c r="AH272" t="s">
        <v>1625</v>
      </c>
      <c r="AI272" t="s">
        <v>225</v>
      </c>
      <c r="AJ272">
        <v>1</v>
      </c>
    </row>
    <row r="273" ht="23" customHeight="1" spans="1:36">
      <c r="A273">
        <v>270</v>
      </c>
      <c r="B273" t="s">
        <v>1626</v>
      </c>
      <c r="C273" t="s">
        <v>1627</v>
      </c>
      <c r="D273" t="s">
        <v>19</v>
      </c>
      <c r="E273" t="s">
        <v>53</v>
      </c>
      <c r="F273" t="s">
        <v>1400</v>
      </c>
      <c r="G273" t="s">
        <v>1401</v>
      </c>
      <c r="H273" t="s">
        <v>1402</v>
      </c>
      <c r="I273" t="s">
        <v>68</v>
      </c>
      <c r="J273" s="12">
        <v>166.25</v>
      </c>
      <c r="K273">
        <v>1</v>
      </c>
      <c r="L273" s="12">
        <v>166.25</v>
      </c>
      <c r="M273" s="13">
        <v>6</v>
      </c>
      <c r="N273" s="13">
        <v>82</v>
      </c>
      <c r="O273" s="13">
        <v>194</v>
      </c>
      <c r="P273" s="13">
        <v>230</v>
      </c>
      <c r="Q273" s="12">
        <v>14962.5</v>
      </c>
      <c r="R273" s="14">
        <f t="shared" si="8"/>
        <v>0.313588850174216</v>
      </c>
      <c r="S273">
        <v>28</v>
      </c>
      <c r="T273" s="15">
        <f t="shared" si="9"/>
        <v>10.2439024390244</v>
      </c>
      <c r="U273" t="s">
        <v>999</v>
      </c>
      <c r="V273">
        <v>4</v>
      </c>
      <c r="W273">
        <v>4.8</v>
      </c>
      <c r="X273" s="16">
        <v>0.0967</v>
      </c>
      <c r="Y273" s="17">
        <v>46003</v>
      </c>
      <c r="Z273" t="s">
        <v>219</v>
      </c>
      <c r="AB273" s="18">
        <v>-0.0120481927710843</v>
      </c>
      <c r="AC273" t="s">
        <v>365</v>
      </c>
      <c r="AD273" t="s">
        <v>644</v>
      </c>
      <c r="AE273" t="s">
        <v>356</v>
      </c>
      <c r="AF273" t="s">
        <v>1628</v>
      </c>
      <c r="AG273" t="s">
        <v>224</v>
      </c>
      <c r="AH273" t="s">
        <v>1629</v>
      </c>
      <c r="AI273" t="s">
        <v>225</v>
      </c>
      <c r="AJ273">
        <v>1</v>
      </c>
    </row>
    <row r="274" ht="23" customHeight="1" spans="1:36">
      <c r="A274">
        <v>271</v>
      </c>
      <c r="B274" t="s">
        <v>1630</v>
      </c>
      <c r="C274" t="s">
        <v>1631</v>
      </c>
      <c r="D274" t="s">
        <v>21</v>
      </c>
      <c r="E274" t="s">
        <v>53</v>
      </c>
      <c r="F274" t="s">
        <v>172</v>
      </c>
      <c r="G274" t="s">
        <v>617</v>
      </c>
      <c r="H274" t="s">
        <v>1632</v>
      </c>
      <c r="I274" t="s">
        <v>69</v>
      </c>
      <c r="J274" s="12">
        <v>152.55</v>
      </c>
      <c r="K274">
        <v>1</v>
      </c>
      <c r="L274" s="12">
        <v>152.55</v>
      </c>
      <c r="M274" s="13">
        <v>0</v>
      </c>
      <c r="N274" s="13">
        <v>81</v>
      </c>
      <c r="O274" s="13">
        <v>357</v>
      </c>
      <c r="P274" s="13">
        <v>747</v>
      </c>
      <c r="Q274" s="12">
        <v>12814.2</v>
      </c>
      <c r="R274" s="14">
        <f t="shared" si="8"/>
        <v>0</v>
      </c>
      <c r="S274">
        <v>1</v>
      </c>
      <c r="T274" s="15">
        <f t="shared" si="9"/>
        <v>0.37037037037037</v>
      </c>
      <c r="U274" t="s">
        <v>218</v>
      </c>
      <c r="V274">
        <v>68</v>
      </c>
      <c r="W274">
        <v>4.6</v>
      </c>
      <c r="X274" s="16">
        <v>0.0457</v>
      </c>
      <c r="Y274" s="17">
        <v>46124</v>
      </c>
      <c r="Z274" t="s">
        <v>228</v>
      </c>
      <c r="AB274" s="18">
        <v>-0.582474226804124</v>
      </c>
      <c r="AC274" t="s">
        <v>458</v>
      </c>
      <c r="AD274" t="s">
        <v>1112</v>
      </c>
      <c r="AE274" t="s">
        <v>565</v>
      </c>
      <c r="AF274" t="s">
        <v>251</v>
      </c>
      <c r="AG274" t="s">
        <v>224</v>
      </c>
      <c r="AH274" t="s">
        <v>1633</v>
      </c>
      <c r="AI274" t="s">
        <v>225</v>
      </c>
      <c r="AJ274">
        <v>1</v>
      </c>
    </row>
    <row r="275" ht="23" customHeight="1" spans="1:36">
      <c r="A275">
        <v>272</v>
      </c>
      <c r="B275" t="s">
        <v>1634</v>
      </c>
      <c r="C275" t="s">
        <v>1635</v>
      </c>
      <c r="D275" t="s">
        <v>38</v>
      </c>
      <c r="E275" t="s">
        <v>50</v>
      </c>
      <c r="F275" t="s">
        <v>1636</v>
      </c>
      <c r="G275" t="s">
        <v>1637</v>
      </c>
      <c r="H275" t="s">
        <v>1636</v>
      </c>
      <c r="I275" t="s">
        <v>69</v>
      </c>
      <c r="J275" s="12">
        <v>108.6</v>
      </c>
      <c r="K275">
        <v>2</v>
      </c>
      <c r="L275" s="12">
        <v>54.3</v>
      </c>
      <c r="M275" s="13">
        <v>11</v>
      </c>
      <c r="N275" s="13">
        <v>80</v>
      </c>
      <c r="O275" s="13">
        <v>83</v>
      </c>
      <c r="P275" s="13">
        <v>83</v>
      </c>
      <c r="Q275" s="12">
        <v>8688</v>
      </c>
      <c r="R275" s="14">
        <f t="shared" si="8"/>
        <v>0.589285714285714</v>
      </c>
      <c r="S275">
        <v>124</v>
      </c>
      <c r="T275" s="15">
        <f t="shared" si="9"/>
        <v>46.5</v>
      </c>
      <c r="U275" t="s">
        <v>218</v>
      </c>
      <c r="V275">
        <v>6</v>
      </c>
      <c r="W275">
        <v>4</v>
      </c>
      <c r="X275" s="16">
        <v>0.0578</v>
      </c>
      <c r="Y275" s="17">
        <v>46232</v>
      </c>
      <c r="Z275" t="s">
        <v>241</v>
      </c>
      <c r="AB275" s="18">
        <v>9</v>
      </c>
      <c r="AC275" t="s">
        <v>473</v>
      </c>
      <c r="AD275" t="s">
        <v>774</v>
      </c>
      <c r="AE275" t="s">
        <v>518</v>
      </c>
      <c r="AF275" t="s">
        <v>989</v>
      </c>
      <c r="AG275" t="s">
        <v>224</v>
      </c>
      <c r="AH275" t="s">
        <v>1638</v>
      </c>
      <c r="AI275" t="s">
        <v>225</v>
      </c>
      <c r="AJ275">
        <v>0</v>
      </c>
    </row>
    <row r="276" ht="23" customHeight="1" spans="1:36">
      <c r="A276">
        <v>273</v>
      </c>
      <c r="B276" t="s">
        <v>1639</v>
      </c>
      <c r="C276" t="s">
        <v>1640</v>
      </c>
      <c r="D276" t="s">
        <v>19</v>
      </c>
      <c r="E276" t="s">
        <v>59</v>
      </c>
      <c r="F276" t="s">
        <v>1641</v>
      </c>
      <c r="G276" t="s">
        <v>1642</v>
      </c>
      <c r="H276" t="s">
        <v>1643</v>
      </c>
      <c r="I276" t="s">
        <v>69</v>
      </c>
      <c r="J276" s="12">
        <v>479.85</v>
      </c>
      <c r="K276">
        <v>1</v>
      </c>
      <c r="L276" s="12">
        <v>479.85</v>
      </c>
      <c r="M276" s="13">
        <v>19</v>
      </c>
      <c r="N276" s="13">
        <v>80</v>
      </c>
      <c r="O276" s="13">
        <v>158</v>
      </c>
      <c r="P276" s="13">
        <v>158</v>
      </c>
      <c r="Q276" s="12">
        <v>38388</v>
      </c>
      <c r="R276" s="14">
        <f t="shared" si="8"/>
        <v>1.01785714285714</v>
      </c>
      <c r="S276">
        <v>147</v>
      </c>
      <c r="T276" s="15">
        <f t="shared" si="9"/>
        <v>55.125</v>
      </c>
      <c r="U276" t="s">
        <v>218</v>
      </c>
      <c r="V276">
        <v>5</v>
      </c>
      <c r="W276">
        <v>5</v>
      </c>
      <c r="X276" s="16">
        <v>0.0287</v>
      </c>
      <c r="Y276" s="17">
        <v>46205</v>
      </c>
      <c r="Z276" t="s">
        <v>241</v>
      </c>
      <c r="AB276" s="18">
        <v>0.403508771929825</v>
      </c>
      <c r="AC276" t="s">
        <v>1644</v>
      </c>
      <c r="AD276" t="s">
        <v>1083</v>
      </c>
      <c r="AE276" t="s">
        <v>683</v>
      </c>
      <c r="AF276" t="s">
        <v>1645</v>
      </c>
      <c r="AG276" t="s">
        <v>224</v>
      </c>
      <c r="AH276" t="s">
        <v>1646</v>
      </c>
      <c r="AI276" t="s">
        <v>225</v>
      </c>
      <c r="AJ276">
        <v>1</v>
      </c>
    </row>
    <row r="277" ht="23" customHeight="1" spans="1:36">
      <c r="A277">
        <v>274</v>
      </c>
      <c r="B277" t="s">
        <v>1647</v>
      </c>
      <c r="C277" t="s">
        <v>1648</v>
      </c>
      <c r="D277" t="s">
        <v>27</v>
      </c>
      <c r="E277" t="s">
        <v>59</v>
      </c>
      <c r="F277" t="s">
        <v>1649</v>
      </c>
      <c r="G277" t="s">
        <v>1650</v>
      </c>
      <c r="H277" t="s">
        <v>1651</v>
      </c>
      <c r="I277" t="s">
        <v>69</v>
      </c>
      <c r="J277" s="12">
        <v>481.88</v>
      </c>
      <c r="K277">
        <v>2</v>
      </c>
      <c r="L277" s="12">
        <v>240.94</v>
      </c>
      <c r="M277" s="13">
        <v>14</v>
      </c>
      <c r="N277" s="13">
        <v>80</v>
      </c>
      <c r="O277" s="13">
        <v>302</v>
      </c>
      <c r="P277" s="13">
        <v>302</v>
      </c>
      <c r="Q277" s="12">
        <v>38550.4</v>
      </c>
      <c r="R277" s="14">
        <f t="shared" si="8"/>
        <v>0.75</v>
      </c>
      <c r="S277">
        <v>67</v>
      </c>
      <c r="T277" s="15">
        <f t="shared" si="9"/>
        <v>25.125</v>
      </c>
      <c r="U277" t="s">
        <v>218</v>
      </c>
      <c r="V277">
        <v>9</v>
      </c>
      <c r="W277">
        <v>5</v>
      </c>
      <c r="X277" s="16">
        <v>0.0336</v>
      </c>
      <c r="Y277" s="17">
        <v>46123</v>
      </c>
      <c r="Z277" t="s">
        <v>228</v>
      </c>
      <c r="AB277" s="18">
        <v>-0.459459459459459</v>
      </c>
      <c r="AC277" t="s">
        <v>472</v>
      </c>
      <c r="AD277" t="s">
        <v>468</v>
      </c>
      <c r="AE277" t="s">
        <v>1003</v>
      </c>
      <c r="AF277" t="s">
        <v>1652</v>
      </c>
      <c r="AG277" t="s">
        <v>224</v>
      </c>
      <c r="AH277" t="s">
        <v>1653</v>
      </c>
      <c r="AI277" t="s">
        <v>225</v>
      </c>
      <c r="AJ277">
        <v>1</v>
      </c>
    </row>
    <row r="278" ht="23" customHeight="1" spans="1:36">
      <c r="A278">
        <v>275</v>
      </c>
      <c r="B278" t="s">
        <v>1654</v>
      </c>
      <c r="C278" t="s">
        <v>1655</v>
      </c>
      <c r="D278" t="s">
        <v>23</v>
      </c>
      <c r="E278" t="s">
        <v>53</v>
      </c>
      <c r="F278" t="s">
        <v>1656</v>
      </c>
      <c r="G278" t="s">
        <v>1656</v>
      </c>
      <c r="H278" t="s">
        <v>1657</v>
      </c>
      <c r="I278" t="s">
        <v>68</v>
      </c>
      <c r="J278" s="12">
        <v>182.16</v>
      </c>
      <c r="K278">
        <v>5</v>
      </c>
      <c r="L278" s="12">
        <v>36.43</v>
      </c>
      <c r="M278" s="13">
        <v>10</v>
      </c>
      <c r="N278" s="13">
        <v>80</v>
      </c>
      <c r="O278" s="13">
        <v>332</v>
      </c>
      <c r="P278" s="13">
        <v>784</v>
      </c>
      <c r="Q278" s="12">
        <v>16030.08</v>
      </c>
      <c r="R278" s="14">
        <f t="shared" si="8"/>
        <v>0.535714285714286</v>
      </c>
      <c r="S278">
        <v>76</v>
      </c>
      <c r="T278" s="15">
        <f t="shared" si="9"/>
        <v>28.5</v>
      </c>
      <c r="U278" t="s">
        <v>218</v>
      </c>
      <c r="V278">
        <v>0</v>
      </c>
      <c r="W278">
        <v>0</v>
      </c>
      <c r="X278" s="16">
        <v>0.0678</v>
      </c>
      <c r="Y278" s="17">
        <v>46080</v>
      </c>
      <c r="Z278" t="s">
        <v>219</v>
      </c>
      <c r="AB278" s="18">
        <v>-0.611650485436893</v>
      </c>
      <c r="AC278" t="s">
        <v>1658</v>
      </c>
      <c r="AD278" t="s">
        <v>389</v>
      </c>
      <c r="AE278" t="s">
        <v>426</v>
      </c>
      <c r="AF278" t="s">
        <v>549</v>
      </c>
      <c r="AG278" t="s">
        <v>224</v>
      </c>
      <c r="AH278" t="s">
        <v>1659</v>
      </c>
      <c r="AI278" t="s">
        <v>225</v>
      </c>
      <c r="AJ278">
        <v>1</v>
      </c>
    </row>
    <row r="279" ht="23" customHeight="1" spans="1:36">
      <c r="A279">
        <v>276</v>
      </c>
      <c r="B279" t="s">
        <v>1660</v>
      </c>
      <c r="C279" t="s">
        <v>1661</v>
      </c>
      <c r="D279" t="s">
        <v>21</v>
      </c>
      <c r="E279" t="s">
        <v>56</v>
      </c>
      <c r="F279" t="s">
        <v>114</v>
      </c>
      <c r="G279" t="s">
        <v>82</v>
      </c>
      <c r="H279" t="s">
        <v>247</v>
      </c>
      <c r="I279" t="s">
        <v>68</v>
      </c>
      <c r="J279" s="12">
        <v>281.19</v>
      </c>
      <c r="K279">
        <v>2</v>
      </c>
      <c r="L279" s="12">
        <v>140.59</v>
      </c>
      <c r="M279" s="13">
        <v>40</v>
      </c>
      <c r="N279" s="13">
        <v>80</v>
      </c>
      <c r="O279" s="13">
        <v>80</v>
      </c>
      <c r="P279" s="13">
        <v>80</v>
      </c>
      <c r="Q279" s="12">
        <v>22495.2</v>
      </c>
      <c r="R279" s="14">
        <f t="shared" si="8"/>
        <v>2.14285714285714</v>
      </c>
      <c r="S279">
        <v>5</v>
      </c>
      <c r="T279" s="15">
        <f t="shared" si="9"/>
        <v>1.875</v>
      </c>
      <c r="U279" t="s">
        <v>218</v>
      </c>
      <c r="V279">
        <v>0</v>
      </c>
      <c r="W279">
        <v>0</v>
      </c>
      <c r="X279" s="16">
        <v>0.0504</v>
      </c>
      <c r="Y279" s="17">
        <v>46252</v>
      </c>
      <c r="Z279" t="s">
        <v>241</v>
      </c>
      <c r="AB279" s="18">
        <v>79</v>
      </c>
      <c r="AC279" t="s">
        <v>577</v>
      </c>
      <c r="AD279" t="s">
        <v>331</v>
      </c>
      <c r="AE279" t="s">
        <v>271</v>
      </c>
      <c r="AF279" t="s">
        <v>357</v>
      </c>
      <c r="AG279" t="s">
        <v>224</v>
      </c>
      <c r="AH279" t="s">
        <v>1662</v>
      </c>
      <c r="AI279" t="s">
        <v>225</v>
      </c>
      <c r="AJ279">
        <v>1</v>
      </c>
    </row>
    <row r="280" ht="23" customHeight="1" spans="1:36">
      <c r="A280">
        <v>277</v>
      </c>
      <c r="B280" t="s">
        <v>1663</v>
      </c>
      <c r="C280" t="s">
        <v>1664</v>
      </c>
      <c r="D280" t="s">
        <v>34</v>
      </c>
      <c r="E280" t="s">
        <v>56</v>
      </c>
      <c r="F280" t="s">
        <v>1198</v>
      </c>
      <c r="G280" t="s">
        <v>1199</v>
      </c>
      <c r="H280" t="s">
        <v>1350</v>
      </c>
      <c r="I280" t="s">
        <v>69</v>
      </c>
      <c r="J280" s="12">
        <v>293.94</v>
      </c>
      <c r="K280">
        <v>1</v>
      </c>
      <c r="L280" s="12">
        <v>293.94</v>
      </c>
      <c r="M280" s="13">
        <v>15</v>
      </c>
      <c r="N280" s="13">
        <v>80</v>
      </c>
      <c r="O280" s="13">
        <v>227</v>
      </c>
      <c r="P280" s="13">
        <v>261</v>
      </c>
      <c r="Q280" s="12">
        <v>24984.9</v>
      </c>
      <c r="R280" s="14">
        <f t="shared" si="8"/>
        <v>0.803571428571429</v>
      </c>
      <c r="S280">
        <v>55</v>
      </c>
      <c r="T280" s="15">
        <f t="shared" si="9"/>
        <v>20.625</v>
      </c>
      <c r="U280" t="s">
        <v>218</v>
      </c>
      <c r="V280">
        <v>14</v>
      </c>
      <c r="W280">
        <v>4.9</v>
      </c>
      <c r="X280" s="16">
        <v>0.0637</v>
      </c>
      <c r="Y280" s="17">
        <v>46044</v>
      </c>
      <c r="Z280" t="s">
        <v>219</v>
      </c>
      <c r="AB280" s="18">
        <v>3.44444444444444</v>
      </c>
      <c r="AC280" t="s">
        <v>382</v>
      </c>
      <c r="AD280" t="s">
        <v>250</v>
      </c>
      <c r="AE280" t="s">
        <v>785</v>
      </c>
      <c r="AF280" t="s">
        <v>748</v>
      </c>
      <c r="AG280" t="s">
        <v>224</v>
      </c>
      <c r="AH280" t="s">
        <v>1665</v>
      </c>
      <c r="AI280" t="s">
        <v>225</v>
      </c>
      <c r="AJ280">
        <v>0</v>
      </c>
    </row>
    <row r="281" ht="23" customHeight="1" spans="1:36">
      <c r="A281">
        <v>278</v>
      </c>
      <c r="B281" t="s">
        <v>1666</v>
      </c>
      <c r="C281" t="s">
        <v>1667</v>
      </c>
      <c r="D281" t="s">
        <v>21</v>
      </c>
      <c r="E281" t="s">
        <v>56</v>
      </c>
      <c r="F281" t="s">
        <v>1668</v>
      </c>
      <c r="G281" t="s">
        <v>1669</v>
      </c>
      <c r="H281" t="s">
        <v>1670</v>
      </c>
      <c r="I281" t="s">
        <v>68</v>
      </c>
      <c r="J281" s="12">
        <v>264.6</v>
      </c>
      <c r="K281">
        <v>1</v>
      </c>
      <c r="L281" s="12">
        <v>264.6</v>
      </c>
      <c r="M281" s="13">
        <v>4</v>
      </c>
      <c r="N281" s="13">
        <v>79</v>
      </c>
      <c r="O281" s="13">
        <v>162</v>
      </c>
      <c r="P281" s="13">
        <v>921</v>
      </c>
      <c r="Q281" s="12">
        <v>20903.4</v>
      </c>
      <c r="R281" s="14">
        <f t="shared" si="8"/>
        <v>0.216998191681736</v>
      </c>
      <c r="S281">
        <v>13</v>
      </c>
      <c r="T281" s="15">
        <f t="shared" si="9"/>
        <v>4.93670886075949</v>
      </c>
      <c r="U281" t="s">
        <v>218</v>
      </c>
      <c r="V281">
        <v>67</v>
      </c>
      <c r="W281">
        <v>4.4</v>
      </c>
      <c r="X281" s="16">
        <v>0.0698</v>
      </c>
      <c r="Y281" s="17">
        <v>45630</v>
      </c>
      <c r="Z281" t="s">
        <v>219</v>
      </c>
      <c r="AB281" s="18">
        <v>3.9375</v>
      </c>
      <c r="AC281" t="s">
        <v>249</v>
      </c>
      <c r="AD281" t="s">
        <v>389</v>
      </c>
      <c r="AE281" t="s">
        <v>290</v>
      </c>
      <c r="AF281" t="s">
        <v>1671</v>
      </c>
      <c r="AG281" t="s">
        <v>224</v>
      </c>
      <c r="AH281" t="s">
        <v>1672</v>
      </c>
      <c r="AI281" t="s">
        <v>225</v>
      </c>
      <c r="AJ281">
        <v>1</v>
      </c>
    </row>
    <row r="282" ht="23" customHeight="1" spans="1:36">
      <c r="A282">
        <v>279</v>
      </c>
      <c r="B282" t="s">
        <v>1673</v>
      </c>
      <c r="C282" t="s">
        <v>1674</v>
      </c>
      <c r="D282" t="s">
        <v>19</v>
      </c>
      <c r="E282" t="s">
        <v>50</v>
      </c>
      <c r="F282" t="s">
        <v>627</v>
      </c>
      <c r="G282" t="s">
        <v>628</v>
      </c>
      <c r="H282" t="s">
        <v>1675</v>
      </c>
      <c r="I282" t="s">
        <v>68</v>
      </c>
      <c r="J282" s="12">
        <v>120</v>
      </c>
      <c r="K282">
        <v>1</v>
      </c>
      <c r="L282" s="12">
        <v>120</v>
      </c>
      <c r="M282" s="13">
        <v>20</v>
      </c>
      <c r="N282" s="13">
        <v>79</v>
      </c>
      <c r="O282" s="13">
        <v>79</v>
      </c>
      <c r="P282" s="13">
        <v>79</v>
      </c>
      <c r="Q282" s="12">
        <v>9480</v>
      </c>
      <c r="R282" s="14">
        <f t="shared" si="8"/>
        <v>1.08499095840868</v>
      </c>
      <c r="S282">
        <v>25</v>
      </c>
      <c r="T282" s="15">
        <f t="shared" si="9"/>
        <v>9.49367088607595</v>
      </c>
      <c r="U282" t="s">
        <v>218</v>
      </c>
      <c r="V282">
        <v>900</v>
      </c>
      <c r="W282">
        <v>4.5</v>
      </c>
      <c r="X282" s="16">
        <v>0.0835</v>
      </c>
      <c r="Y282" s="17">
        <v>46262</v>
      </c>
      <c r="Z282" t="s">
        <v>241</v>
      </c>
      <c r="AA282">
        <v>11</v>
      </c>
      <c r="AB282" s="18">
        <v>78</v>
      </c>
      <c r="AC282" t="s">
        <v>659</v>
      </c>
      <c r="AD282" t="s">
        <v>236</v>
      </c>
      <c r="AE282" t="s">
        <v>341</v>
      </c>
      <c r="AF282" t="s">
        <v>491</v>
      </c>
      <c r="AG282" t="s">
        <v>224</v>
      </c>
      <c r="AH282" t="s">
        <v>1676</v>
      </c>
      <c r="AI282" t="s">
        <v>225</v>
      </c>
      <c r="AJ282">
        <v>1</v>
      </c>
    </row>
    <row r="283" ht="23" customHeight="1" spans="1:36">
      <c r="A283">
        <v>280</v>
      </c>
      <c r="B283" t="s">
        <v>1677</v>
      </c>
      <c r="C283" t="s">
        <v>1678</v>
      </c>
      <c r="D283" t="s">
        <v>23</v>
      </c>
      <c r="E283" t="s">
        <v>62</v>
      </c>
      <c r="F283" t="s">
        <v>1679</v>
      </c>
      <c r="G283" t="s">
        <v>1680</v>
      </c>
      <c r="H283" t="s">
        <v>1681</v>
      </c>
      <c r="I283" t="s">
        <v>69</v>
      </c>
      <c r="J283" s="12">
        <v>624.03</v>
      </c>
      <c r="K283">
        <v>1</v>
      </c>
      <c r="L283" s="12">
        <v>624.03</v>
      </c>
      <c r="M283" s="13">
        <v>16</v>
      </c>
      <c r="N283" s="13">
        <v>79</v>
      </c>
      <c r="O283" s="13">
        <v>146</v>
      </c>
      <c r="P283" s="13">
        <v>146</v>
      </c>
      <c r="Q283" s="12">
        <v>49298.37</v>
      </c>
      <c r="R283" s="14">
        <f t="shared" si="8"/>
        <v>0.867992766726944</v>
      </c>
      <c r="S283">
        <v>139</v>
      </c>
      <c r="T283" s="15">
        <f t="shared" si="9"/>
        <v>52.7848101265823</v>
      </c>
      <c r="U283" t="s">
        <v>218</v>
      </c>
      <c r="V283">
        <v>5</v>
      </c>
      <c r="W283">
        <v>4.4</v>
      </c>
      <c r="X283" s="16">
        <v>0.0231</v>
      </c>
      <c r="Y283" s="17">
        <v>46237</v>
      </c>
      <c r="Z283" t="s">
        <v>241</v>
      </c>
      <c r="AB283" s="18">
        <v>0.0821917808219178</v>
      </c>
      <c r="AC283" t="s">
        <v>1682</v>
      </c>
      <c r="AD283" t="s">
        <v>300</v>
      </c>
      <c r="AE283" t="s">
        <v>450</v>
      </c>
      <c r="AF283" t="s">
        <v>427</v>
      </c>
      <c r="AG283" t="s">
        <v>224</v>
      </c>
      <c r="AH283" t="s">
        <v>1683</v>
      </c>
      <c r="AI283" t="s">
        <v>225</v>
      </c>
      <c r="AJ283">
        <v>1</v>
      </c>
    </row>
    <row r="284" ht="23" customHeight="1" spans="1:36">
      <c r="A284">
        <v>281</v>
      </c>
      <c r="B284" t="s">
        <v>1684</v>
      </c>
      <c r="C284" t="s">
        <v>1685</v>
      </c>
      <c r="D284" t="s">
        <v>23</v>
      </c>
      <c r="E284" t="s">
        <v>56</v>
      </c>
      <c r="F284" t="s">
        <v>1198</v>
      </c>
      <c r="G284" t="s">
        <v>1199</v>
      </c>
      <c r="H284" t="s">
        <v>1172</v>
      </c>
      <c r="I284" t="s">
        <v>69</v>
      </c>
      <c r="J284" s="12">
        <v>291.73</v>
      </c>
      <c r="K284">
        <v>4</v>
      </c>
      <c r="L284" s="12">
        <v>72.93</v>
      </c>
      <c r="M284" s="13">
        <v>15</v>
      </c>
      <c r="N284" s="13">
        <v>79</v>
      </c>
      <c r="O284" s="13">
        <v>219</v>
      </c>
      <c r="P284" s="13">
        <v>373</v>
      </c>
      <c r="Q284" s="12">
        <v>23046.67</v>
      </c>
      <c r="R284" s="14">
        <f t="shared" si="8"/>
        <v>0.81374321880651</v>
      </c>
      <c r="S284">
        <v>121</v>
      </c>
      <c r="T284" s="15">
        <f t="shared" si="9"/>
        <v>45.9493670886076</v>
      </c>
      <c r="U284" t="s">
        <v>218</v>
      </c>
      <c r="V284">
        <v>30</v>
      </c>
      <c r="W284">
        <v>4.8</v>
      </c>
      <c r="X284" s="16">
        <v>0.0466</v>
      </c>
      <c r="Y284" s="17">
        <v>46029</v>
      </c>
      <c r="Z284" t="s">
        <v>219</v>
      </c>
      <c r="AB284" s="18">
        <v>-0.281818181818182</v>
      </c>
      <c r="AC284" t="s">
        <v>931</v>
      </c>
      <c r="AD284" t="s">
        <v>221</v>
      </c>
      <c r="AE284" t="s">
        <v>305</v>
      </c>
      <c r="AF284" t="s">
        <v>333</v>
      </c>
      <c r="AG284" t="s">
        <v>224</v>
      </c>
      <c r="AH284" t="s">
        <v>1686</v>
      </c>
      <c r="AI284" t="s">
        <v>225</v>
      </c>
      <c r="AJ284">
        <v>1</v>
      </c>
    </row>
    <row r="285" ht="23" customHeight="1" spans="1:36">
      <c r="A285">
        <v>282</v>
      </c>
      <c r="B285" t="s">
        <v>1687</v>
      </c>
      <c r="C285" t="s">
        <v>1688</v>
      </c>
      <c r="D285" t="s">
        <v>32</v>
      </c>
      <c r="E285" t="s">
        <v>56</v>
      </c>
      <c r="F285" t="s">
        <v>1689</v>
      </c>
      <c r="G285" t="s">
        <v>1690</v>
      </c>
      <c r="H285" t="s">
        <v>1691</v>
      </c>
      <c r="I285" t="s">
        <v>68</v>
      </c>
      <c r="J285" s="12">
        <v>241.4</v>
      </c>
      <c r="K285">
        <v>1</v>
      </c>
      <c r="L285" s="12">
        <v>241.4</v>
      </c>
      <c r="M285" s="13">
        <v>19</v>
      </c>
      <c r="N285" s="13">
        <v>79</v>
      </c>
      <c r="O285" s="13">
        <v>185</v>
      </c>
      <c r="P285" s="13">
        <v>830</v>
      </c>
      <c r="Q285" s="12">
        <v>21001.8</v>
      </c>
      <c r="R285" s="14">
        <f t="shared" si="8"/>
        <v>1.03074141048825</v>
      </c>
      <c r="S285">
        <v>11</v>
      </c>
      <c r="T285" s="15">
        <f t="shared" si="9"/>
        <v>4.17721518987342</v>
      </c>
      <c r="U285" t="s">
        <v>218</v>
      </c>
      <c r="V285">
        <v>504</v>
      </c>
      <c r="W285">
        <v>4.7</v>
      </c>
      <c r="X285" s="16">
        <v>0.0741</v>
      </c>
      <c r="Y285" s="17">
        <v>45855</v>
      </c>
      <c r="Z285" t="s">
        <v>219</v>
      </c>
      <c r="AA285">
        <v>20</v>
      </c>
      <c r="AB285" s="18">
        <v>0.128571428571429</v>
      </c>
      <c r="AC285" t="s">
        <v>1692</v>
      </c>
      <c r="AD285" t="s">
        <v>740</v>
      </c>
      <c r="AE285" t="s">
        <v>450</v>
      </c>
      <c r="AF285" t="s">
        <v>1693</v>
      </c>
      <c r="AG285" t="s">
        <v>224</v>
      </c>
      <c r="AH285" t="s">
        <v>1694</v>
      </c>
      <c r="AI285" t="s">
        <v>225</v>
      </c>
      <c r="AJ285">
        <v>0</v>
      </c>
    </row>
    <row r="286" ht="23" customHeight="1" spans="1:36">
      <c r="A286">
        <v>283</v>
      </c>
      <c r="B286" t="s">
        <v>1695</v>
      </c>
      <c r="C286" t="s">
        <v>1696</v>
      </c>
      <c r="D286" t="s">
        <v>25</v>
      </c>
      <c r="E286" t="s">
        <v>56</v>
      </c>
      <c r="F286" t="s">
        <v>1198</v>
      </c>
      <c r="G286" t="s">
        <v>1199</v>
      </c>
      <c r="H286" t="s">
        <v>1350</v>
      </c>
      <c r="I286" t="s">
        <v>69</v>
      </c>
      <c r="J286" s="12">
        <v>215.3</v>
      </c>
      <c r="K286">
        <v>1</v>
      </c>
      <c r="L286" s="12">
        <v>215.3</v>
      </c>
      <c r="M286" s="13">
        <v>15</v>
      </c>
      <c r="N286" s="13">
        <v>79</v>
      </c>
      <c r="O286" s="13">
        <v>136</v>
      </c>
      <c r="P286" s="13">
        <v>136</v>
      </c>
      <c r="Q286" s="12">
        <v>17008.7</v>
      </c>
      <c r="R286" s="14">
        <f t="shared" si="8"/>
        <v>0.81374321880651</v>
      </c>
      <c r="S286">
        <v>129</v>
      </c>
      <c r="T286" s="15">
        <f t="shared" si="9"/>
        <v>48.9873417721519</v>
      </c>
      <c r="U286" t="s">
        <v>218</v>
      </c>
      <c r="V286">
        <v>6</v>
      </c>
      <c r="W286">
        <v>5</v>
      </c>
      <c r="X286" s="16">
        <v>0.0379</v>
      </c>
      <c r="Y286" s="17">
        <v>46044</v>
      </c>
      <c r="Z286" t="s">
        <v>219</v>
      </c>
      <c r="AB286" s="18">
        <v>0.295081967213115</v>
      </c>
      <c r="AC286" t="s">
        <v>565</v>
      </c>
      <c r="AD286" t="s">
        <v>433</v>
      </c>
      <c r="AE286" t="s">
        <v>301</v>
      </c>
      <c r="AF286" t="s">
        <v>255</v>
      </c>
      <c r="AG286" t="s">
        <v>224</v>
      </c>
      <c r="AH286" t="s">
        <v>1697</v>
      </c>
      <c r="AI286" t="s">
        <v>225</v>
      </c>
      <c r="AJ286">
        <v>1</v>
      </c>
    </row>
    <row r="287" ht="23" customHeight="1" spans="1:36">
      <c r="A287">
        <v>284</v>
      </c>
      <c r="B287" t="s">
        <v>1698</v>
      </c>
      <c r="C287" t="s">
        <v>1699</v>
      </c>
      <c r="D287" t="s">
        <v>19</v>
      </c>
      <c r="E287" t="s">
        <v>47</v>
      </c>
      <c r="F287" t="s">
        <v>1700</v>
      </c>
      <c r="G287" t="s">
        <v>1701</v>
      </c>
      <c r="H287" t="s">
        <v>1700</v>
      </c>
      <c r="I287" t="s">
        <v>69</v>
      </c>
      <c r="J287" s="12">
        <v>95.8</v>
      </c>
      <c r="K287">
        <v>1</v>
      </c>
      <c r="L287" s="12">
        <v>95.8</v>
      </c>
      <c r="M287" s="13">
        <v>42</v>
      </c>
      <c r="N287" s="13">
        <v>78</v>
      </c>
      <c r="O287" s="13">
        <v>78</v>
      </c>
      <c r="P287" s="13">
        <v>78</v>
      </c>
      <c r="Q287" s="12">
        <v>7472.4</v>
      </c>
      <c r="R287" s="14">
        <f t="shared" si="8"/>
        <v>2.30769230769231</v>
      </c>
      <c r="S287">
        <v>232</v>
      </c>
      <c r="T287" s="15">
        <f t="shared" si="9"/>
        <v>89.2307692307692</v>
      </c>
      <c r="U287" t="s">
        <v>218</v>
      </c>
      <c r="V287">
        <v>0</v>
      </c>
      <c r="W287">
        <v>0</v>
      </c>
      <c r="X287" s="16">
        <v>0.1215</v>
      </c>
      <c r="Y287" s="17">
        <v>46256</v>
      </c>
      <c r="Z287" t="s">
        <v>241</v>
      </c>
      <c r="AB287" s="18">
        <v>78</v>
      </c>
      <c r="AC287" t="s">
        <v>296</v>
      </c>
      <c r="AD287" t="s">
        <v>254</v>
      </c>
      <c r="AE287" t="s">
        <v>655</v>
      </c>
      <c r="AF287" t="s">
        <v>815</v>
      </c>
      <c r="AG287" t="s">
        <v>224</v>
      </c>
      <c r="AH287" t="s">
        <v>1702</v>
      </c>
      <c r="AI287" t="s">
        <v>225</v>
      </c>
      <c r="AJ287">
        <v>1</v>
      </c>
    </row>
    <row r="288" ht="23" customHeight="1" spans="1:36">
      <c r="A288">
        <v>285</v>
      </c>
      <c r="B288" t="s">
        <v>1703</v>
      </c>
      <c r="C288" t="s">
        <v>1704</v>
      </c>
      <c r="D288" t="s">
        <v>27</v>
      </c>
      <c r="E288" t="s">
        <v>53</v>
      </c>
      <c r="F288" t="s">
        <v>336</v>
      </c>
      <c r="G288" t="s">
        <v>337</v>
      </c>
      <c r="H288" t="s">
        <v>1705</v>
      </c>
      <c r="I288" t="s">
        <v>68</v>
      </c>
      <c r="J288" s="12">
        <v>197</v>
      </c>
      <c r="K288">
        <v>1</v>
      </c>
      <c r="L288" s="12">
        <v>197</v>
      </c>
      <c r="M288" s="13">
        <v>29</v>
      </c>
      <c r="N288" s="13">
        <v>78</v>
      </c>
      <c r="O288" s="13">
        <v>79</v>
      </c>
      <c r="P288" s="13">
        <v>2462</v>
      </c>
      <c r="Q288" s="12">
        <v>16351</v>
      </c>
      <c r="R288" s="14">
        <f t="shared" si="8"/>
        <v>1.59340659340659</v>
      </c>
      <c r="S288">
        <v>76</v>
      </c>
      <c r="T288" s="15">
        <f t="shared" si="9"/>
        <v>29.2307692307692</v>
      </c>
      <c r="U288" t="s">
        <v>218</v>
      </c>
      <c r="V288">
        <v>151</v>
      </c>
      <c r="W288">
        <v>4.8</v>
      </c>
      <c r="X288" s="16">
        <v>0.0519</v>
      </c>
      <c r="Y288" s="17">
        <v>45365</v>
      </c>
      <c r="Z288" t="s">
        <v>219</v>
      </c>
      <c r="AB288" s="18">
        <v>78</v>
      </c>
      <c r="AC288" t="s">
        <v>243</v>
      </c>
      <c r="AD288" t="s">
        <v>299</v>
      </c>
      <c r="AE288" t="s">
        <v>300</v>
      </c>
      <c r="AF288" t="s">
        <v>708</v>
      </c>
      <c r="AG288" t="s">
        <v>224</v>
      </c>
      <c r="AH288" t="s">
        <v>1706</v>
      </c>
      <c r="AI288" t="s">
        <v>225</v>
      </c>
      <c r="AJ288">
        <v>1</v>
      </c>
    </row>
    <row r="289" ht="23" customHeight="1" spans="1:36">
      <c r="A289">
        <v>286</v>
      </c>
      <c r="B289" t="s">
        <v>1707</v>
      </c>
      <c r="C289" t="s">
        <v>1708</v>
      </c>
      <c r="D289" t="s">
        <v>19</v>
      </c>
      <c r="E289" t="s">
        <v>50</v>
      </c>
      <c r="F289" t="s">
        <v>309</v>
      </c>
      <c r="G289" t="s">
        <v>75</v>
      </c>
      <c r="H289" t="s">
        <v>1709</v>
      </c>
      <c r="I289" t="s">
        <v>69</v>
      </c>
      <c r="J289" s="12">
        <v>139.89</v>
      </c>
      <c r="K289">
        <v>1</v>
      </c>
      <c r="L289" s="12">
        <v>139.89</v>
      </c>
      <c r="M289" s="13">
        <v>14</v>
      </c>
      <c r="N289" s="13">
        <v>78</v>
      </c>
      <c r="O289" s="13">
        <v>125</v>
      </c>
      <c r="P289" s="13">
        <v>503</v>
      </c>
      <c r="Q289" s="12">
        <v>10911.42</v>
      </c>
      <c r="R289" s="14">
        <f t="shared" si="8"/>
        <v>0.769230769230769</v>
      </c>
      <c r="S289">
        <v>66</v>
      </c>
      <c r="T289" s="15">
        <f t="shared" si="9"/>
        <v>25.3846153846154</v>
      </c>
      <c r="U289" t="s">
        <v>218</v>
      </c>
      <c r="V289">
        <v>9</v>
      </c>
      <c r="W289">
        <v>4.9</v>
      </c>
      <c r="X289" s="16">
        <v>0.0833</v>
      </c>
      <c r="Y289" s="17">
        <v>45869</v>
      </c>
      <c r="Z289" t="s">
        <v>219</v>
      </c>
      <c r="AB289" s="18">
        <v>4.57142857142857</v>
      </c>
      <c r="AC289" t="s">
        <v>1710</v>
      </c>
      <c r="AD289" t="s">
        <v>699</v>
      </c>
      <c r="AE289" t="s">
        <v>699</v>
      </c>
      <c r="AF289" t="s">
        <v>780</v>
      </c>
      <c r="AG289" t="s">
        <v>224</v>
      </c>
      <c r="AH289" t="s">
        <v>1711</v>
      </c>
      <c r="AI289" t="s">
        <v>225</v>
      </c>
      <c r="AJ289">
        <v>1</v>
      </c>
    </row>
    <row r="290" ht="23" customHeight="1" spans="1:36">
      <c r="A290">
        <v>287</v>
      </c>
      <c r="B290" t="s">
        <v>1712</v>
      </c>
      <c r="C290" t="s">
        <v>1713</v>
      </c>
      <c r="D290" t="s">
        <v>30</v>
      </c>
      <c r="E290" t="s">
        <v>56</v>
      </c>
      <c r="F290" t="s">
        <v>1714</v>
      </c>
      <c r="G290" t="s">
        <v>1715</v>
      </c>
      <c r="H290" t="s">
        <v>1716</v>
      </c>
      <c r="I290" t="s">
        <v>69</v>
      </c>
      <c r="J290" s="12">
        <v>230.83</v>
      </c>
      <c r="K290">
        <v>6</v>
      </c>
      <c r="L290" s="12">
        <v>38.47</v>
      </c>
      <c r="M290" s="13">
        <v>10</v>
      </c>
      <c r="N290" s="13">
        <v>78</v>
      </c>
      <c r="O290" s="13">
        <v>265</v>
      </c>
      <c r="P290" s="13">
        <v>1167</v>
      </c>
      <c r="Q290" s="12">
        <v>18004.74</v>
      </c>
      <c r="R290" s="14">
        <f t="shared" si="8"/>
        <v>0.549450549450549</v>
      </c>
      <c r="S290">
        <v>72</v>
      </c>
      <c r="T290" s="15">
        <f t="shared" si="9"/>
        <v>27.6923076923077</v>
      </c>
      <c r="U290" t="s">
        <v>218</v>
      </c>
      <c r="V290">
        <v>151</v>
      </c>
      <c r="W290">
        <v>4.7</v>
      </c>
      <c r="X290" s="16">
        <v>0.0714</v>
      </c>
      <c r="Y290" s="17">
        <v>45927</v>
      </c>
      <c r="Z290" t="s">
        <v>219</v>
      </c>
      <c r="AA290">
        <v>20</v>
      </c>
      <c r="AB290" s="18">
        <v>0.0985915492957746</v>
      </c>
      <c r="AC290" t="s">
        <v>288</v>
      </c>
      <c r="AD290" t="s">
        <v>441</v>
      </c>
      <c r="AE290" t="s">
        <v>879</v>
      </c>
      <c r="AF290" t="s">
        <v>230</v>
      </c>
      <c r="AG290" t="s">
        <v>224</v>
      </c>
      <c r="AH290" t="s">
        <v>1717</v>
      </c>
      <c r="AI290" t="s">
        <v>225</v>
      </c>
      <c r="AJ290">
        <v>0</v>
      </c>
    </row>
    <row r="291" ht="23" customHeight="1" spans="1:36">
      <c r="A291">
        <v>288</v>
      </c>
      <c r="B291" t="s">
        <v>1718</v>
      </c>
      <c r="C291" t="s">
        <v>1719</v>
      </c>
      <c r="D291" t="s">
        <v>25</v>
      </c>
      <c r="E291" t="s">
        <v>56</v>
      </c>
      <c r="F291" t="s">
        <v>1720</v>
      </c>
      <c r="G291" t="s">
        <v>1721</v>
      </c>
      <c r="H291" t="s">
        <v>1722</v>
      </c>
      <c r="I291" t="s">
        <v>68</v>
      </c>
      <c r="J291" s="12">
        <v>290</v>
      </c>
      <c r="K291">
        <v>1</v>
      </c>
      <c r="L291" s="12">
        <v>290</v>
      </c>
      <c r="M291" s="13">
        <v>75</v>
      </c>
      <c r="N291" s="13">
        <v>77</v>
      </c>
      <c r="O291" s="13">
        <v>79</v>
      </c>
      <c r="P291" s="13">
        <v>85</v>
      </c>
      <c r="Q291" s="12">
        <v>23490</v>
      </c>
      <c r="R291" s="14">
        <f t="shared" si="8"/>
        <v>4.17439703153989</v>
      </c>
      <c r="S291">
        <v>44</v>
      </c>
      <c r="T291" s="15">
        <f t="shared" si="9"/>
        <v>17.1428571428571</v>
      </c>
      <c r="U291" t="s">
        <v>218</v>
      </c>
      <c r="V291">
        <v>0</v>
      </c>
      <c r="W291">
        <v>0</v>
      </c>
      <c r="X291" s="16"/>
      <c r="Y291" s="17">
        <v>46160</v>
      </c>
      <c r="Z291" t="s">
        <v>228</v>
      </c>
      <c r="AB291" s="18">
        <v>37.5</v>
      </c>
      <c r="AC291" t="s">
        <v>289</v>
      </c>
      <c r="AD291" t="s">
        <v>1723</v>
      </c>
      <c r="AE291" t="s">
        <v>1724</v>
      </c>
      <c r="AF291" t="s">
        <v>672</v>
      </c>
      <c r="AG291" t="s">
        <v>224</v>
      </c>
      <c r="AH291" t="s">
        <v>1725</v>
      </c>
      <c r="AI291" t="s">
        <v>225</v>
      </c>
      <c r="AJ291">
        <v>1</v>
      </c>
    </row>
    <row r="292" ht="23" customHeight="1" spans="1:36">
      <c r="A292">
        <v>289</v>
      </c>
      <c r="B292" t="s">
        <v>1726</v>
      </c>
      <c r="C292" t="s">
        <v>1727</v>
      </c>
      <c r="D292" t="s">
        <v>23</v>
      </c>
      <c r="E292" t="s">
        <v>50</v>
      </c>
      <c r="F292" t="s">
        <v>1728</v>
      </c>
      <c r="G292" t="s">
        <v>1729</v>
      </c>
      <c r="H292" t="s">
        <v>1728</v>
      </c>
      <c r="I292" t="s">
        <v>68</v>
      </c>
      <c r="J292" s="12">
        <v>125.58</v>
      </c>
      <c r="K292">
        <v>2</v>
      </c>
      <c r="L292" s="12">
        <v>62.79</v>
      </c>
      <c r="M292" s="13">
        <v>48</v>
      </c>
      <c r="N292" s="13">
        <v>77</v>
      </c>
      <c r="O292" s="13">
        <v>205</v>
      </c>
      <c r="P292" s="13">
        <v>212</v>
      </c>
      <c r="Q292" s="12">
        <v>10046.4</v>
      </c>
      <c r="R292" s="14">
        <f t="shared" si="8"/>
        <v>2.67161410018553</v>
      </c>
      <c r="S292">
        <v>241</v>
      </c>
      <c r="T292" s="15">
        <f t="shared" si="9"/>
        <v>93.8961038961039</v>
      </c>
      <c r="U292" t="s">
        <v>218</v>
      </c>
      <c r="V292">
        <v>0</v>
      </c>
      <c r="W292">
        <v>0</v>
      </c>
      <c r="X292" s="16">
        <v>0.0374</v>
      </c>
      <c r="Y292" s="17">
        <v>46163</v>
      </c>
      <c r="Z292" t="s">
        <v>228</v>
      </c>
      <c r="AB292" s="18">
        <v>-0.384</v>
      </c>
      <c r="AC292" t="s">
        <v>481</v>
      </c>
      <c r="AD292" t="s">
        <v>222</v>
      </c>
      <c r="AE292" t="s">
        <v>540</v>
      </c>
      <c r="AF292" t="s">
        <v>1730</v>
      </c>
      <c r="AG292" t="s">
        <v>224</v>
      </c>
      <c r="AH292" t="s">
        <v>1731</v>
      </c>
      <c r="AI292" t="s">
        <v>225</v>
      </c>
      <c r="AJ292">
        <v>1</v>
      </c>
    </row>
    <row r="293" ht="23" customHeight="1" spans="1:36">
      <c r="A293">
        <v>290</v>
      </c>
      <c r="B293" t="s">
        <v>1732</v>
      </c>
      <c r="C293" t="s">
        <v>1733</v>
      </c>
      <c r="D293" t="s">
        <v>27</v>
      </c>
      <c r="E293" t="s">
        <v>53</v>
      </c>
      <c r="F293" t="s">
        <v>561</v>
      </c>
      <c r="G293" t="s">
        <v>562</v>
      </c>
      <c r="H293" t="s">
        <v>1705</v>
      </c>
      <c r="I293" t="s">
        <v>68</v>
      </c>
      <c r="J293" s="12">
        <v>167.58</v>
      </c>
      <c r="K293">
        <v>1</v>
      </c>
      <c r="L293" s="12">
        <v>167.58</v>
      </c>
      <c r="M293" s="13">
        <v>8</v>
      </c>
      <c r="N293" s="13">
        <v>77</v>
      </c>
      <c r="O293" s="13">
        <v>270</v>
      </c>
      <c r="P293" s="13">
        <v>1322</v>
      </c>
      <c r="Q293" s="12">
        <v>13406.4</v>
      </c>
      <c r="R293" s="14">
        <f t="shared" si="8"/>
        <v>0.445269016697588</v>
      </c>
      <c r="S293">
        <v>130</v>
      </c>
      <c r="T293" s="15">
        <f t="shared" si="9"/>
        <v>50.6493506493507</v>
      </c>
      <c r="U293" t="s">
        <v>218</v>
      </c>
      <c r="V293">
        <v>43</v>
      </c>
      <c r="W293">
        <v>4.6</v>
      </c>
      <c r="X293" s="16">
        <v>0.0537</v>
      </c>
      <c r="Y293" s="17">
        <v>45629</v>
      </c>
      <c r="Z293" t="s">
        <v>219</v>
      </c>
      <c r="AB293" s="18">
        <v>-0.23</v>
      </c>
      <c r="AC293" t="s">
        <v>659</v>
      </c>
      <c r="AD293" t="s">
        <v>365</v>
      </c>
      <c r="AE293" t="s">
        <v>608</v>
      </c>
      <c r="AF293" t="s">
        <v>1734</v>
      </c>
      <c r="AG293" t="s">
        <v>224</v>
      </c>
      <c r="AH293" t="s">
        <v>1735</v>
      </c>
      <c r="AI293" t="s">
        <v>225</v>
      </c>
      <c r="AJ293">
        <v>1</v>
      </c>
    </row>
    <row r="294" ht="23" customHeight="1" spans="1:36">
      <c r="A294">
        <v>291</v>
      </c>
      <c r="B294" t="s">
        <v>1736</v>
      </c>
      <c r="C294" t="s">
        <v>1737</v>
      </c>
      <c r="D294" t="s">
        <v>19</v>
      </c>
      <c r="E294" t="s">
        <v>53</v>
      </c>
      <c r="F294" t="s">
        <v>1012</v>
      </c>
      <c r="G294" t="s">
        <v>1013</v>
      </c>
      <c r="H294" t="s">
        <v>1738</v>
      </c>
      <c r="I294" t="s">
        <v>69</v>
      </c>
      <c r="J294" s="12">
        <v>166.94</v>
      </c>
      <c r="K294">
        <v>1</v>
      </c>
      <c r="L294" s="12">
        <v>166.94</v>
      </c>
      <c r="M294" s="13">
        <v>19</v>
      </c>
      <c r="N294" s="13">
        <v>77</v>
      </c>
      <c r="O294" s="13">
        <v>137</v>
      </c>
      <c r="P294" s="13">
        <v>143</v>
      </c>
      <c r="Q294" s="12">
        <v>13689.08</v>
      </c>
      <c r="R294" s="14">
        <f t="shared" si="8"/>
        <v>1.05751391465677</v>
      </c>
      <c r="S294">
        <v>115</v>
      </c>
      <c r="T294" s="15">
        <f t="shared" si="9"/>
        <v>44.8051948051948</v>
      </c>
      <c r="U294" t="s">
        <v>218</v>
      </c>
      <c r="V294">
        <v>9</v>
      </c>
      <c r="W294">
        <v>5</v>
      </c>
      <c r="X294" s="16">
        <v>0.0432</v>
      </c>
      <c r="Y294" s="17">
        <v>46161</v>
      </c>
      <c r="Z294" t="s">
        <v>228</v>
      </c>
      <c r="AB294" s="18">
        <v>0.375</v>
      </c>
      <c r="AC294" t="s">
        <v>318</v>
      </c>
      <c r="AD294" t="s">
        <v>273</v>
      </c>
      <c r="AE294" t="s">
        <v>644</v>
      </c>
      <c r="AF294" t="s">
        <v>572</v>
      </c>
      <c r="AG294" t="s">
        <v>224</v>
      </c>
      <c r="AH294" t="s">
        <v>1739</v>
      </c>
      <c r="AI294" t="s">
        <v>225</v>
      </c>
      <c r="AJ294">
        <v>1</v>
      </c>
    </row>
    <row r="295" ht="23" customHeight="1" spans="1:36">
      <c r="A295">
        <v>292</v>
      </c>
      <c r="B295" t="s">
        <v>1740</v>
      </c>
      <c r="C295" t="s">
        <v>1741</v>
      </c>
      <c r="D295" t="s">
        <v>19</v>
      </c>
      <c r="E295" t="s">
        <v>56</v>
      </c>
      <c r="F295" t="s">
        <v>553</v>
      </c>
      <c r="G295" t="s">
        <v>554</v>
      </c>
      <c r="H295" t="s">
        <v>555</v>
      </c>
      <c r="I295" t="s">
        <v>69</v>
      </c>
      <c r="J295" s="12">
        <v>223.73</v>
      </c>
      <c r="K295">
        <v>1</v>
      </c>
      <c r="L295" s="12">
        <v>223.73</v>
      </c>
      <c r="M295" s="13">
        <v>13</v>
      </c>
      <c r="N295" s="13">
        <v>77</v>
      </c>
      <c r="O295" s="13">
        <v>115</v>
      </c>
      <c r="P295" s="13">
        <v>603</v>
      </c>
      <c r="Q295" s="12">
        <v>17898.4</v>
      </c>
      <c r="R295" s="14">
        <f t="shared" si="8"/>
        <v>0.723562152133581</v>
      </c>
      <c r="S295">
        <v>95</v>
      </c>
      <c r="T295" s="15">
        <f t="shared" si="9"/>
        <v>37.012987012987</v>
      </c>
      <c r="U295" t="s">
        <v>218</v>
      </c>
      <c r="V295">
        <v>25</v>
      </c>
      <c r="W295">
        <v>4.6</v>
      </c>
      <c r="X295" s="16">
        <v>0.0771</v>
      </c>
      <c r="Y295" s="17">
        <v>45658</v>
      </c>
      <c r="Z295" t="s">
        <v>219</v>
      </c>
      <c r="AB295" s="18">
        <v>1.02631578947368</v>
      </c>
      <c r="AC295" t="s">
        <v>1093</v>
      </c>
      <c r="AD295" t="s">
        <v>254</v>
      </c>
      <c r="AE295" t="s">
        <v>319</v>
      </c>
      <c r="AF295" t="s">
        <v>230</v>
      </c>
      <c r="AG295" t="s">
        <v>224</v>
      </c>
      <c r="AH295" t="s">
        <v>1742</v>
      </c>
      <c r="AI295" t="s">
        <v>225</v>
      </c>
      <c r="AJ295">
        <v>1</v>
      </c>
    </row>
    <row r="296" ht="23" customHeight="1" spans="1:36">
      <c r="A296">
        <v>293</v>
      </c>
      <c r="B296" t="s">
        <v>1743</v>
      </c>
      <c r="C296" t="s">
        <v>1744</v>
      </c>
      <c r="D296" t="s">
        <v>30</v>
      </c>
      <c r="E296" t="s">
        <v>53</v>
      </c>
      <c r="F296" t="s">
        <v>153</v>
      </c>
      <c r="G296" t="s">
        <v>76</v>
      </c>
      <c r="H296" t="s">
        <v>1236</v>
      </c>
      <c r="I296" t="s">
        <v>69</v>
      </c>
      <c r="J296" s="12">
        <v>196.19</v>
      </c>
      <c r="K296">
        <v>5</v>
      </c>
      <c r="L296" s="12">
        <v>39.24</v>
      </c>
      <c r="M296" s="13">
        <v>17</v>
      </c>
      <c r="N296" s="13">
        <v>77</v>
      </c>
      <c r="O296" s="13">
        <v>197</v>
      </c>
      <c r="P296" s="13">
        <v>382</v>
      </c>
      <c r="Q296" s="12">
        <v>16087.58</v>
      </c>
      <c r="R296" s="14">
        <f t="shared" si="8"/>
        <v>0.946196660482375</v>
      </c>
      <c r="S296">
        <v>30</v>
      </c>
      <c r="T296" s="15">
        <f t="shared" si="9"/>
        <v>11.6883116883117</v>
      </c>
      <c r="U296" t="s">
        <v>218</v>
      </c>
      <c r="V296">
        <v>36</v>
      </c>
      <c r="W296">
        <v>4.6</v>
      </c>
      <c r="X296" s="16">
        <v>0.0626</v>
      </c>
      <c r="Y296" s="17">
        <v>46150</v>
      </c>
      <c r="Z296" t="s">
        <v>228</v>
      </c>
      <c r="AB296" s="18">
        <v>0.4</v>
      </c>
      <c r="AC296" t="s">
        <v>1745</v>
      </c>
      <c r="AD296" t="s">
        <v>1746</v>
      </c>
      <c r="AE296" t="s">
        <v>244</v>
      </c>
      <c r="AF296" t="s">
        <v>708</v>
      </c>
      <c r="AG296" t="s">
        <v>224</v>
      </c>
      <c r="AH296" t="s">
        <v>1747</v>
      </c>
      <c r="AI296" t="s">
        <v>225</v>
      </c>
      <c r="AJ296">
        <v>0</v>
      </c>
    </row>
    <row r="297" ht="23" customHeight="1" spans="1:36">
      <c r="A297">
        <v>294</v>
      </c>
      <c r="B297" t="s">
        <v>1748</v>
      </c>
      <c r="C297" t="s">
        <v>1749</v>
      </c>
      <c r="D297" t="s">
        <v>23</v>
      </c>
      <c r="E297" t="s">
        <v>56</v>
      </c>
      <c r="F297" t="s">
        <v>1437</v>
      </c>
      <c r="G297" t="s">
        <v>1438</v>
      </c>
      <c r="H297" t="s">
        <v>1439</v>
      </c>
      <c r="I297" t="s">
        <v>68</v>
      </c>
      <c r="J297" s="12">
        <v>219.85</v>
      </c>
      <c r="K297">
        <v>2</v>
      </c>
      <c r="L297" s="12">
        <v>109.92</v>
      </c>
      <c r="M297" s="13">
        <v>11</v>
      </c>
      <c r="N297" s="13">
        <v>76</v>
      </c>
      <c r="O297" s="13">
        <v>83</v>
      </c>
      <c r="P297" s="13">
        <v>83</v>
      </c>
      <c r="Q297" s="12">
        <v>16708.6</v>
      </c>
      <c r="R297" s="14">
        <f t="shared" si="8"/>
        <v>0.620300751879699</v>
      </c>
      <c r="S297">
        <v>9</v>
      </c>
      <c r="T297" s="15">
        <f t="shared" si="9"/>
        <v>3.55263157894737</v>
      </c>
      <c r="U297" t="s">
        <v>218</v>
      </c>
      <c r="V297">
        <v>0</v>
      </c>
      <c r="W297">
        <v>0</v>
      </c>
      <c r="X297" s="16">
        <v>0.0373</v>
      </c>
      <c r="Y297" s="17">
        <v>46218</v>
      </c>
      <c r="Z297" t="s">
        <v>241</v>
      </c>
      <c r="AB297" s="18">
        <v>4.06666666666667</v>
      </c>
      <c r="AC297" t="s">
        <v>221</v>
      </c>
      <c r="AD297" t="s">
        <v>295</v>
      </c>
      <c r="AE297" t="s">
        <v>319</v>
      </c>
      <c r="AF297" t="s">
        <v>1652</v>
      </c>
      <c r="AG297" t="s">
        <v>224</v>
      </c>
      <c r="AH297" t="s">
        <v>1750</v>
      </c>
      <c r="AI297" t="s">
        <v>225</v>
      </c>
      <c r="AJ297">
        <v>1</v>
      </c>
    </row>
    <row r="298" ht="23" customHeight="1" spans="1:36">
      <c r="A298">
        <v>295</v>
      </c>
      <c r="B298" t="s">
        <v>1751</v>
      </c>
      <c r="C298" t="s">
        <v>1752</v>
      </c>
      <c r="D298" t="s">
        <v>19</v>
      </c>
      <c r="E298" t="s">
        <v>50</v>
      </c>
      <c r="F298" t="s">
        <v>407</v>
      </c>
      <c r="G298" t="s">
        <v>72</v>
      </c>
      <c r="H298" t="s">
        <v>611</v>
      </c>
      <c r="I298" t="s">
        <v>68</v>
      </c>
      <c r="J298" s="12">
        <v>141.44</v>
      </c>
      <c r="K298">
        <v>1</v>
      </c>
      <c r="L298" s="12">
        <v>141.44</v>
      </c>
      <c r="M298" s="13">
        <v>15</v>
      </c>
      <c r="N298" s="13">
        <v>76</v>
      </c>
      <c r="O298" s="13">
        <v>209</v>
      </c>
      <c r="P298" s="13">
        <v>914</v>
      </c>
      <c r="Q298" s="12">
        <v>11032.32</v>
      </c>
      <c r="R298" s="14">
        <f t="shared" si="8"/>
        <v>0.845864661654135</v>
      </c>
      <c r="S298">
        <v>338</v>
      </c>
      <c r="T298" s="15">
        <f t="shared" si="9"/>
        <v>133.421052631579</v>
      </c>
      <c r="U298" t="s">
        <v>218</v>
      </c>
      <c r="V298">
        <v>36</v>
      </c>
      <c r="W298">
        <v>4.7</v>
      </c>
      <c r="X298" s="16">
        <v>0.0974</v>
      </c>
      <c r="Y298" s="17">
        <v>46050</v>
      </c>
      <c r="Z298" t="s">
        <v>219</v>
      </c>
      <c r="AB298" s="18">
        <v>0.490196078431373</v>
      </c>
      <c r="AC298" t="s">
        <v>529</v>
      </c>
      <c r="AD298" t="s">
        <v>305</v>
      </c>
      <c r="AE298" t="s">
        <v>774</v>
      </c>
      <c r="AF298" t="s">
        <v>854</v>
      </c>
      <c r="AG298" t="s">
        <v>224</v>
      </c>
      <c r="AH298" t="s">
        <v>1753</v>
      </c>
      <c r="AI298" t="s">
        <v>225</v>
      </c>
      <c r="AJ298">
        <v>1</v>
      </c>
    </row>
    <row r="299" ht="23" customHeight="1" spans="1:36">
      <c r="A299">
        <v>296</v>
      </c>
      <c r="B299" t="s">
        <v>1754</v>
      </c>
      <c r="C299" t="s">
        <v>1755</v>
      </c>
      <c r="D299" t="s">
        <v>19</v>
      </c>
      <c r="E299" t="s">
        <v>50</v>
      </c>
      <c r="F299" t="s">
        <v>407</v>
      </c>
      <c r="G299" t="s">
        <v>72</v>
      </c>
      <c r="H299" t="s">
        <v>654</v>
      </c>
      <c r="I299" t="s">
        <v>68</v>
      </c>
      <c r="J299" s="12">
        <v>149.12</v>
      </c>
      <c r="K299">
        <v>1</v>
      </c>
      <c r="L299" s="12">
        <v>149.12</v>
      </c>
      <c r="M299" s="13">
        <v>28</v>
      </c>
      <c r="N299" s="13">
        <v>76</v>
      </c>
      <c r="O299" s="13">
        <v>273</v>
      </c>
      <c r="P299" s="13">
        <v>711</v>
      </c>
      <c r="Q299" s="12">
        <v>11333.12</v>
      </c>
      <c r="R299" s="14">
        <f t="shared" si="8"/>
        <v>1.57894736842105</v>
      </c>
      <c r="S299">
        <v>55</v>
      </c>
      <c r="T299" s="15">
        <f t="shared" si="9"/>
        <v>21.7105263157895</v>
      </c>
      <c r="U299" t="s">
        <v>218</v>
      </c>
      <c r="V299">
        <v>25</v>
      </c>
      <c r="W299">
        <v>4.8</v>
      </c>
      <c r="X299" s="16">
        <v>0.0553</v>
      </c>
      <c r="Y299" s="17">
        <v>46050</v>
      </c>
      <c r="Z299" t="s">
        <v>219</v>
      </c>
      <c r="AB299" s="18">
        <v>-0.315315315315315</v>
      </c>
      <c r="AC299" t="s">
        <v>325</v>
      </c>
      <c r="AD299" t="s">
        <v>236</v>
      </c>
      <c r="AE299" t="s">
        <v>473</v>
      </c>
      <c r="AF299" t="s">
        <v>780</v>
      </c>
      <c r="AG299" t="s">
        <v>224</v>
      </c>
      <c r="AH299" t="s">
        <v>1756</v>
      </c>
      <c r="AI299" t="s">
        <v>225</v>
      </c>
      <c r="AJ299">
        <v>1</v>
      </c>
    </row>
    <row r="300" ht="23" customHeight="1" spans="1:36">
      <c r="A300">
        <v>297</v>
      </c>
      <c r="B300" t="s">
        <v>1757</v>
      </c>
      <c r="C300" t="s">
        <v>1758</v>
      </c>
      <c r="D300" t="s">
        <v>19</v>
      </c>
      <c r="E300" t="s">
        <v>50</v>
      </c>
      <c r="F300" t="s">
        <v>407</v>
      </c>
      <c r="G300" t="s">
        <v>72</v>
      </c>
      <c r="H300" t="s">
        <v>408</v>
      </c>
      <c r="I300" t="s">
        <v>69</v>
      </c>
      <c r="J300" s="12">
        <v>117.02</v>
      </c>
      <c r="K300">
        <v>1</v>
      </c>
      <c r="L300" s="12">
        <v>117.02</v>
      </c>
      <c r="M300" s="13">
        <v>25</v>
      </c>
      <c r="N300" s="13">
        <v>76</v>
      </c>
      <c r="O300" s="13">
        <v>144</v>
      </c>
      <c r="P300" s="13">
        <v>401</v>
      </c>
      <c r="Q300" s="12">
        <v>9127.56</v>
      </c>
      <c r="R300" s="14">
        <f t="shared" si="8"/>
        <v>1.40977443609023</v>
      </c>
      <c r="S300">
        <v>170</v>
      </c>
      <c r="T300" s="15">
        <f t="shared" si="9"/>
        <v>67.1052631578947</v>
      </c>
      <c r="U300" t="s">
        <v>218</v>
      </c>
      <c r="V300">
        <v>21</v>
      </c>
      <c r="W300">
        <v>4.7</v>
      </c>
      <c r="X300" s="16">
        <v>0.0634</v>
      </c>
      <c r="Y300" s="17">
        <v>46024</v>
      </c>
      <c r="Z300" t="s">
        <v>219</v>
      </c>
      <c r="AB300" s="18">
        <v>0.407407407407407</v>
      </c>
      <c r="AC300" t="s">
        <v>546</v>
      </c>
      <c r="AD300" t="s">
        <v>546</v>
      </c>
      <c r="AE300" t="s">
        <v>523</v>
      </c>
      <c r="AF300" t="s">
        <v>314</v>
      </c>
      <c r="AG300" t="s">
        <v>224</v>
      </c>
      <c r="AH300" t="s">
        <v>1759</v>
      </c>
      <c r="AI300" t="s">
        <v>225</v>
      </c>
      <c r="AJ300">
        <v>1</v>
      </c>
    </row>
    <row r="301" ht="23" customHeight="1" spans="1:36">
      <c r="A301">
        <v>298</v>
      </c>
      <c r="B301" t="s">
        <v>1760</v>
      </c>
      <c r="C301" t="s">
        <v>1761</v>
      </c>
      <c r="D301" t="s">
        <v>30</v>
      </c>
      <c r="E301" t="s">
        <v>50</v>
      </c>
      <c r="F301" t="s">
        <v>1762</v>
      </c>
      <c r="G301" t="s">
        <v>1763</v>
      </c>
      <c r="H301" t="s">
        <v>1764</v>
      </c>
      <c r="I301" t="s">
        <v>69</v>
      </c>
      <c r="J301" s="12">
        <v>138.71</v>
      </c>
      <c r="K301">
        <v>2</v>
      </c>
      <c r="L301" s="12">
        <v>69.36</v>
      </c>
      <c r="M301" s="13">
        <v>15</v>
      </c>
      <c r="N301" s="13">
        <v>76</v>
      </c>
      <c r="O301" s="13">
        <v>322</v>
      </c>
      <c r="P301" s="13">
        <v>1168</v>
      </c>
      <c r="Q301" s="12">
        <v>11374.22</v>
      </c>
      <c r="R301" s="14">
        <f t="shared" si="8"/>
        <v>0.845864661654135</v>
      </c>
      <c r="S301">
        <v>173</v>
      </c>
      <c r="T301" s="15">
        <f t="shared" si="9"/>
        <v>68.2894736842105</v>
      </c>
      <c r="U301" t="s">
        <v>218</v>
      </c>
      <c r="V301">
        <v>121</v>
      </c>
      <c r="W301">
        <v>4.8</v>
      </c>
      <c r="X301" s="16">
        <v>0.0647</v>
      </c>
      <c r="Y301" s="17">
        <v>45753</v>
      </c>
      <c r="Z301" t="s">
        <v>219</v>
      </c>
      <c r="AB301" s="18">
        <v>0</v>
      </c>
      <c r="AC301" t="s">
        <v>1765</v>
      </c>
      <c r="AD301" t="s">
        <v>396</v>
      </c>
      <c r="AE301" t="s">
        <v>396</v>
      </c>
      <c r="AF301" t="s">
        <v>1284</v>
      </c>
      <c r="AG301" t="s">
        <v>224</v>
      </c>
      <c r="AH301" t="s">
        <v>1766</v>
      </c>
      <c r="AI301" t="s">
        <v>225</v>
      </c>
      <c r="AJ301">
        <v>0</v>
      </c>
    </row>
    <row r="302" ht="23" customHeight="1" spans="1:36">
      <c r="A302">
        <v>299</v>
      </c>
      <c r="B302" t="s">
        <v>1767</v>
      </c>
      <c r="C302" t="s">
        <v>1768</v>
      </c>
      <c r="D302" t="s">
        <v>25</v>
      </c>
      <c r="E302" t="s">
        <v>56</v>
      </c>
      <c r="F302" t="s">
        <v>1769</v>
      </c>
      <c r="G302" t="s">
        <v>1770</v>
      </c>
      <c r="H302" t="s">
        <v>1771</v>
      </c>
      <c r="I302" t="s">
        <v>68</v>
      </c>
      <c r="J302" s="12">
        <v>218.27</v>
      </c>
      <c r="K302">
        <v>2</v>
      </c>
      <c r="L302" s="12">
        <v>109.14</v>
      </c>
      <c r="M302" s="13">
        <v>1</v>
      </c>
      <c r="N302" s="13">
        <v>76</v>
      </c>
      <c r="O302" s="13">
        <v>153</v>
      </c>
      <c r="P302" s="13">
        <v>159</v>
      </c>
      <c r="Q302" s="12">
        <v>17025.06</v>
      </c>
      <c r="R302" s="14">
        <f t="shared" si="8"/>
        <v>0.056390977443609</v>
      </c>
      <c r="S302">
        <v>1</v>
      </c>
      <c r="T302" s="15">
        <f t="shared" si="9"/>
        <v>0.394736842105263</v>
      </c>
      <c r="U302" t="s">
        <v>218</v>
      </c>
      <c r="V302">
        <v>17</v>
      </c>
      <c r="W302">
        <v>4.3</v>
      </c>
      <c r="X302" s="16">
        <v>0.0293</v>
      </c>
      <c r="Y302" s="17">
        <v>46232</v>
      </c>
      <c r="Z302" t="s">
        <v>241</v>
      </c>
      <c r="AB302" s="18">
        <v>-0.012987012987013</v>
      </c>
      <c r="AC302" t="s">
        <v>862</v>
      </c>
      <c r="AD302" t="s">
        <v>1219</v>
      </c>
      <c r="AE302" t="s">
        <v>1772</v>
      </c>
      <c r="AF302" t="s">
        <v>557</v>
      </c>
      <c r="AG302" t="s">
        <v>224</v>
      </c>
      <c r="AH302" t="s">
        <v>1773</v>
      </c>
      <c r="AI302" t="s">
        <v>225</v>
      </c>
      <c r="AJ302">
        <v>1</v>
      </c>
    </row>
    <row r="303" ht="23" customHeight="1" spans="1:36">
      <c r="A303">
        <v>300</v>
      </c>
      <c r="B303" t="s">
        <v>1774</v>
      </c>
      <c r="C303" t="s">
        <v>1775</v>
      </c>
      <c r="D303" t="s">
        <v>30</v>
      </c>
      <c r="E303" t="s">
        <v>59</v>
      </c>
      <c r="F303" t="s">
        <v>1776</v>
      </c>
      <c r="G303" t="s">
        <v>1777</v>
      </c>
      <c r="H303" t="s">
        <v>1778</v>
      </c>
      <c r="I303" t="s">
        <v>69</v>
      </c>
      <c r="J303" s="12">
        <v>367.09</v>
      </c>
      <c r="K303">
        <v>2</v>
      </c>
      <c r="L303" s="12">
        <v>183.54</v>
      </c>
      <c r="M303" s="13">
        <v>13</v>
      </c>
      <c r="N303" s="13">
        <v>76</v>
      </c>
      <c r="O303" s="13">
        <v>208</v>
      </c>
      <c r="P303" s="13">
        <v>252</v>
      </c>
      <c r="Q303" s="12">
        <v>29367.2</v>
      </c>
      <c r="R303" s="14">
        <f t="shared" si="8"/>
        <v>0.733082706766917</v>
      </c>
      <c r="S303">
        <v>56</v>
      </c>
      <c r="T303" s="15">
        <f t="shared" si="9"/>
        <v>22.1052631578947</v>
      </c>
      <c r="U303" t="s">
        <v>218</v>
      </c>
      <c r="V303">
        <v>21</v>
      </c>
      <c r="W303">
        <v>4.9</v>
      </c>
      <c r="X303" s="16">
        <v>0.0413</v>
      </c>
      <c r="Y303" s="17">
        <v>46156</v>
      </c>
      <c r="Z303" t="s">
        <v>228</v>
      </c>
      <c r="AB303" s="18">
        <v>-0.0256410256410256</v>
      </c>
      <c r="AC303" t="s">
        <v>1779</v>
      </c>
      <c r="AD303" t="s">
        <v>1780</v>
      </c>
      <c r="AE303" t="s">
        <v>1030</v>
      </c>
      <c r="AF303" t="s">
        <v>357</v>
      </c>
      <c r="AG303" t="s">
        <v>224</v>
      </c>
      <c r="AH303" t="s">
        <v>1781</v>
      </c>
      <c r="AI303" t="s">
        <v>225</v>
      </c>
      <c r="AJ303">
        <v>0</v>
      </c>
    </row>
    <row r="304" ht="23" customHeight="1" spans="1:36">
      <c r="A304">
        <v>301</v>
      </c>
      <c r="B304" t="s">
        <v>1782</v>
      </c>
      <c r="C304" t="s">
        <v>1783</v>
      </c>
      <c r="D304" t="s">
        <v>23</v>
      </c>
      <c r="E304" t="s">
        <v>53</v>
      </c>
      <c r="F304" t="s">
        <v>840</v>
      </c>
      <c r="G304" t="s">
        <v>841</v>
      </c>
      <c r="H304" t="s">
        <v>1784</v>
      </c>
      <c r="I304" t="s">
        <v>68</v>
      </c>
      <c r="J304" s="12">
        <v>175.2</v>
      </c>
      <c r="K304">
        <v>1</v>
      </c>
      <c r="L304" s="12">
        <v>175.2</v>
      </c>
      <c r="M304" s="13">
        <v>24</v>
      </c>
      <c r="N304" s="13">
        <v>75</v>
      </c>
      <c r="O304" s="13">
        <v>121</v>
      </c>
      <c r="P304" s="13">
        <v>178</v>
      </c>
      <c r="Q304" s="12">
        <v>13140</v>
      </c>
      <c r="R304" s="14">
        <f t="shared" si="8"/>
        <v>1.37142857142857</v>
      </c>
      <c r="S304">
        <v>32</v>
      </c>
      <c r="T304" s="15">
        <f t="shared" si="9"/>
        <v>12.8</v>
      </c>
      <c r="U304" t="s">
        <v>218</v>
      </c>
      <c r="V304">
        <v>0</v>
      </c>
      <c r="W304">
        <v>0</v>
      </c>
      <c r="X304" s="16">
        <v>0.0485</v>
      </c>
      <c r="Y304" s="17">
        <v>46105</v>
      </c>
      <c r="Z304" t="s">
        <v>219</v>
      </c>
      <c r="AB304" s="18">
        <v>11.5</v>
      </c>
      <c r="AC304" t="s">
        <v>387</v>
      </c>
      <c r="AD304" t="s">
        <v>747</v>
      </c>
      <c r="AE304" t="s">
        <v>863</v>
      </c>
      <c r="AF304" t="s">
        <v>314</v>
      </c>
      <c r="AG304" t="s">
        <v>224</v>
      </c>
      <c r="AH304" t="s">
        <v>1785</v>
      </c>
      <c r="AI304" t="s">
        <v>225</v>
      </c>
      <c r="AJ304">
        <v>1</v>
      </c>
    </row>
    <row r="305" ht="23" customHeight="1" spans="1:36">
      <c r="A305">
        <v>302</v>
      </c>
      <c r="B305" t="s">
        <v>1786</v>
      </c>
      <c r="C305" t="s">
        <v>1787</v>
      </c>
      <c r="D305" t="s">
        <v>19</v>
      </c>
      <c r="E305" t="s">
        <v>50</v>
      </c>
      <c r="F305" t="s">
        <v>407</v>
      </c>
      <c r="G305" t="s">
        <v>72</v>
      </c>
      <c r="H305" t="s">
        <v>654</v>
      </c>
      <c r="I305" t="s">
        <v>68</v>
      </c>
      <c r="J305" s="12">
        <v>142.99</v>
      </c>
      <c r="K305">
        <v>1</v>
      </c>
      <c r="L305" s="12">
        <v>142.99</v>
      </c>
      <c r="M305" s="13">
        <v>21</v>
      </c>
      <c r="N305" s="13">
        <v>75</v>
      </c>
      <c r="O305" s="13">
        <v>125</v>
      </c>
      <c r="P305" s="13">
        <v>509</v>
      </c>
      <c r="Q305" s="12">
        <v>10724.25</v>
      </c>
      <c r="R305" s="14">
        <f t="shared" si="8"/>
        <v>1.2</v>
      </c>
      <c r="S305">
        <v>43</v>
      </c>
      <c r="T305" s="15">
        <f t="shared" si="9"/>
        <v>17.2</v>
      </c>
      <c r="U305" t="s">
        <v>218</v>
      </c>
      <c r="V305">
        <v>31</v>
      </c>
      <c r="W305">
        <v>4.8</v>
      </c>
      <c r="X305" s="16">
        <v>0.0447</v>
      </c>
      <c r="Y305" s="17">
        <v>46013</v>
      </c>
      <c r="Z305" t="s">
        <v>219</v>
      </c>
      <c r="AB305" s="18">
        <v>3.16666666666667</v>
      </c>
      <c r="AC305" t="s">
        <v>482</v>
      </c>
      <c r="AD305" t="s">
        <v>1501</v>
      </c>
      <c r="AE305" t="s">
        <v>1772</v>
      </c>
      <c r="AF305" t="s">
        <v>348</v>
      </c>
      <c r="AG305" t="s">
        <v>224</v>
      </c>
      <c r="AH305" t="s">
        <v>1788</v>
      </c>
      <c r="AI305" t="s">
        <v>225</v>
      </c>
      <c r="AJ305">
        <v>1</v>
      </c>
    </row>
    <row r="306" ht="23" customHeight="1" spans="1:36">
      <c r="A306">
        <v>303</v>
      </c>
      <c r="B306" t="s">
        <v>1789</v>
      </c>
      <c r="C306" t="s">
        <v>1790</v>
      </c>
      <c r="D306" t="s">
        <v>19</v>
      </c>
      <c r="E306" t="s">
        <v>56</v>
      </c>
      <c r="F306" t="s">
        <v>1791</v>
      </c>
      <c r="G306" t="s">
        <v>1792</v>
      </c>
      <c r="H306" t="s">
        <v>1793</v>
      </c>
      <c r="I306" t="s">
        <v>69</v>
      </c>
      <c r="J306" s="12">
        <v>203.08</v>
      </c>
      <c r="K306">
        <v>1</v>
      </c>
      <c r="L306" s="12">
        <v>203.08</v>
      </c>
      <c r="M306" s="13">
        <v>46</v>
      </c>
      <c r="N306" s="13">
        <v>75</v>
      </c>
      <c r="O306" s="13">
        <v>104</v>
      </c>
      <c r="P306" s="13">
        <v>109</v>
      </c>
      <c r="Q306" s="12">
        <v>16043.32</v>
      </c>
      <c r="R306" s="14">
        <f t="shared" si="8"/>
        <v>2.62857142857143</v>
      </c>
      <c r="S306">
        <v>159</v>
      </c>
      <c r="T306" s="15">
        <f t="shared" si="9"/>
        <v>63.6</v>
      </c>
      <c r="U306" t="s">
        <v>218</v>
      </c>
      <c r="V306">
        <v>3</v>
      </c>
      <c r="W306">
        <v>5</v>
      </c>
      <c r="X306" s="16">
        <v>0.0194</v>
      </c>
      <c r="Y306" s="17">
        <v>46127</v>
      </c>
      <c r="Z306" t="s">
        <v>228</v>
      </c>
      <c r="AB306" s="18">
        <v>1.58620689655172</v>
      </c>
      <c r="AC306" t="s">
        <v>1794</v>
      </c>
      <c r="AD306" t="s">
        <v>473</v>
      </c>
      <c r="AE306" t="s">
        <v>319</v>
      </c>
      <c r="AF306" t="s">
        <v>483</v>
      </c>
      <c r="AG306" t="s">
        <v>224</v>
      </c>
      <c r="AH306" t="s">
        <v>1795</v>
      </c>
      <c r="AI306" t="s">
        <v>225</v>
      </c>
      <c r="AJ306">
        <v>1</v>
      </c>
    </row>
    <row r="307" ht="23" customHeight="1" spans="1:36">
      <c r="A307">
        <v>304</v>
      </c>
      <c r="B307" t="s">
        <v>1796</v>
      </c>
      <c r="C307" t="s">
        <v>1797</v>
      </c>
      <c r="D307" t="s">
        <v>23</v>
      </c>
      <c r="E307" t="s">
        <v>59</v>
      </c>
      <c r="F307" t="s">
        <v>1798</v>
      </c>
      <c r="G307" t="s">
        <v>1799</v>
      </c>
      <c r="H307" t="s">
        <v>1800</v>
      </c>
      <c r="I307" t="s">
        <v>68</v>
      </c>
      <c r="J307" s="12">
        <v>359.96</v>
      </c>
      <c r="K307">
        <v>1</v>
      </c>
      <c r="L307" s="12">
        <v>359.96</v>
      </c>
      <c r="M307" s="13">
        <v>21</v>
      </c>
      <c r="N307" s="13">
        <v>74</v>
      </c>
      <c r="O307" s="13">
        <v>151</v>
      </c>
      <c r="P307" s="13">
        <v>742</v>
      </c>
      <c r="Q307" s="12">
        <v>26637.04</v>
      </c>
      <c r="R307" s="14">
        <f t="shared" si="8"/>
        <v>1.21621621621622</v>
      </c>
      <c r="S307">
        <v>24</v>
      </c>
      <c r="T307" s="15">
        <f t="shared" si="9"/>
        <v>9.72972972972973</v>
      </c>
      <c r="U307" t="s">
        <v>218</v>
      </c>
      <c r="V307">
        <v>65</v>
      </c>
      <c r="W307">
        <v>4.8</v>
      </c>
      <c r="X307" s="16">
        <v>0.0273</v>
      </c>
      <c r="Y307" s="17">
        <v>45765</v>
      </c>
      <c r="Z307" t="s">
        <v>219</v>
      </c>
      <c r="AB307" s="18">
        <v>0.321428571428571</v>
      </c>
      <c r="AC307" t="s">
        <v>529</v>
      </c>
      <c r="AD307" t="s">
        <v>608</v>
      </c>
      <c r="AE307" t="s">
        <v>396</v>
      </c>
      <c r="AF307" t="s">
        <v>708</v>
      </c>
      <c r="AG307" t="s">
        <v>224</v>
      </c>
      <c r="AH307" t="s">
        <v>1801</v>
      </c>
      <c r="AI307" t="s">
        <v>225</v>
      </c>
      <c r="AJ307">
        <v>1</v>
      </c>
    </row>
    <row r="308" ht="23" customHeight="1" spans="1:36">
      <c r="A308">
        <v>305</v>
      </c>
      <c r="B308" t="s">
        <v>1802</v>
      </c>
      <c r="C308" t="s">
        <v>1803</v>
      </c>
      <c r="D308" t="s">
        <v>19</v>
      </c>
      <c r="E308" t="s">
        <v>53</v>
      </c>
      <c r="F308" t="s">
        <v>1804</v>
      </c>
      <c r="G308" t="s">
        <v>1805</v>
      </c>
      <c r="H308" t="s">
        <v>1806</v>
      </c>
      <c r="I308" t="s">
        <v>69</v>
      </c>
      <c r="J308" s="12">
        <v>178.47</v>
      </c>
      <c r="K308">
        <v>1</v>
      </c>
      <c r="L308" s="12">
        <v>178.47</v>
      </c>
      <c r="M308" s="13">
        <v>3</v>
      </c>
      <c r="N308" s="13">
        <v>74</v>
      </c>
      <c r="O308" s="13">
        <v>387</v>
      </c>
      <c r="P308" s="13">
        <v>402</v>
      </c>
      <c r="Q308" s="12">
        <v>13206.78</v>
      </c>
      <c r="R308" s="14">
        <f t="shared" si="8"/>
        <v>0.173745173745174</v>
      </c>
      <c r="S308">
        <v>67</v>
      </c>
      <c r="T308" s="15">
        <f t="shared" si="9"/>
        <v>27.1621621621622</v>
      </c>
      <c r="U308" t="s">
        <v>218</v>
      </c>
      <c r="V308">
        <v>12</v>
      </c>
      <c r="W308">
        <v>4.7</v>
      </c>
      <c r="X308" s="16">
        <v>0.0877</v>
      </c>
      <c r="Y308" s="17">
        <v>46008</v>
      </c>
      <c r="Z308" t="s">
        <v>219</v>
      </c>
      <c r="AB308" s="18">
        <v>-0.244897959183673</v>
      </c>
      <c r="AC308" t="s">
        <v>577</v>
      </c>
      <c r="AD308" t="s">
        <v>221</v>
      </c>
      <c r="AE308" t="s">
        <v>481</v>
      </c>
      <c r="AF308" t="s">
        <v>815</v>
      </c>
      <c r="AG308" t="s">
        <v>224</v>
      </c>
      <c r="AH308" t="s">
        <v>1807</v>
      </c>
      <c r="AI308" t="s">
        <v>225</v>
      </c>
      <c r="AJ308">
        <v>1</v>
      </c>
    </row>
    <row r="309" ht="23" customHeight="1" spans="1:36">
      <c r="A309">
        <v>306</v>
      </c>
      <c r="B309" t="s">
        <v>1808</v>
      </c>
      <c r="C309" t="s">
        <v>1020</v>
      </c>
      <c r="D309" t="s">
        <v>19</v>
      </c>
      <c r="E309" t="s">
        <v>50</v>
      </c>
      <c r="F309" t="s">
        <v>407</v>
      </c>
      <c r="G309" t="s">
        <v>72</v>
      </c>
      <c r="H309" t="s">
        <v>1249</v>
      </c>
      <c r="I309" t="s">
        <v>69</v>
      </c>
      <c r="J309" s="12">
        <v>118.06</v>
      </c>
      <c r="K309">
        <v>1</v>
      </c>
      <c r="L309" s="12">
        <v>118.06</v>
      </c>
      <c r="M309" s="13">
        <v>14</v>
      </c>
      <c r="N309" s="13">
        <v>74</v>
      </c>
      <c r="O309" s="13">
        <v>465</v>
      </c>
      <c r="P309" s="13">
        <v>632</v>
      </c>
      <c r="Q309" s="12">
        <v>8736.44</v>
      </c>
      <c r="R309" s="14">
        <f t="shared" si="8"/>
        <v>0.810810810810811</v>
      </c>
      <c r="S309">
        <v>329</v>
      </c>
      <c r="T309" s="15">
        <f t="shared" si="9"/>
        <v>133.378378378378</v>
      </c>
      <c r="U309" t="s">
        <v>218</v>
      </c>
      <c r="V309">
        <v>19</v>
      </c>
      <c r="W309">
        <v>4.7</v>
      </c>
      <c r="X309" s="16">
        <v>0.0997</v>
      </c>
      <c r="Y309" s="17">
        <v>46101</v>
      </c>
      <c r="Z309" t="s">
        <v>219</v>
      </c>
      <c r="AB309" s="18">
        <v>0.85</v>
      </c>
      <c r="AC309" t="s">
        <v>510</v>
      </c>
      <c r="AD309" t="s">
        <v>272</v>
      </c>
      <c r="AE309" t="s">
        <v>450</v>
      </c>
      <c r="AF309" t="s">
        <v>736</v>
      </c>
      <c r="AG309" t="s">
        <v>224</v>
      </c>
      <c r="AH309" t="s">
        <v>1809</v>
      </c>
      <c r="AI309" t="s">
        <v>225</v>
      </c>
      <c r="AJ309">
        <v>1</v>
      </c>
    </row>
    <row r="310" ht="23" customHeight="1" spans="1:36">
      <c r="A310">
        <v>307</v>
      </c>
      <c r="B310" t="s">
        <v>1810</v>
      </c>
      <c r="C310" t="s">
        <v>1042</v>
      </c>
      <c r="D310" t="s">
        <v>19</v>
      </c>
      <c r="E310" t="s">
        <v>50</v>
      </c>
      <c r="F310" t="s">
        <v>1043</v>
      </c>
      <c r="G310" t="s">
        <v>1044</v>
      </c>
      <c r="H310" t="s">
        <v>1811</v>
      </c>
      <c r="I310" t="s">
        <v>68</v>
      </c>
      <c r="J310" s="12">
        <v>111.72</v>
      </c>
      <c r="K310">
        <v>1</v>
      </c>
      <c r="L310" s="12">
        <v>111.72</v>
      </c>
      <c r="M310" s="13">
        <v>32</v>
      </c>
      <c r="N310" s="13">
        <v>73</v>
      </c>
      <c r="O310" s="13">
        <v>76</v>
      </c>
      <c r="P310" s="13">
        <v>78</v>
      </c>
      <c r="Q310" s="12">
        <v>8714.16</v>
      </c>
      <c r="R310" s="14">
        <f t="shared" si="8"/>
        <v>1.87866927592955</v>
      </c>
      <c r="S310">
        <v>48</v>
      </c>
      <c r="T310" s="15">
        <f t="shared" si="9"/>
        <v>19.7260273972603</v>
      </c>
      <c r="U310" t="s">
        <v>218</v>
      </c>
      <c r="V310">
        <v>0</v>
      </c>
      <c r="W310">
        <v>0</v>
      </c>
      <c r="X310" s="16">
        <v>0.0643</v>
      </c>
      <c r="Y310" s="17">
        <v>46212</v>
      </c>
      <c r="Z310" t="s">
        <v>241</v>
      </c>
      <c r="AB310" s="18">
        <v>35.5</v>
      </c>
      <c r="AF310" t="s">
        <v>348</v>
      </c>
      <c r="AG310" t="s">
        <v>224</v>
      </c>
      <c r="AH310" t="s">
        <v>1812</v>
      </c>
      <c r="AI310" t="s">
        <v>225</v>
      </c>
      <c r="AJ310">
        <v>1</v>
      </c>
    </row>
    <row r="311" ht="23" customHeight="1" spans="1:36">
      <c r="A311">
        <v>308</v>
      </c>
      <c r="B311" t="s">
        <v>1813</v>
      </c>
      <c r="C311" t="s">
        <v>1814</v>
      </c>
      <c r="D311" t="s">
        <v>19</v>
      </c>
      <c r="E311" t="s">
        <v>53</v>
      </c>
      <c r="F311" t="s">
        <v>407</v>
      </c>
      <c r="G311" t="s">
        <v>72</v>
      </c>
      <c r="H311" t="s">
        <v>1249</v>
      </c>
      <c r="I311" t="s">
        <v>69</v>
      </c>
      <c r="J311" s="12">
        <v>194.14</v>
      </c>
      <c r="K311">
        <v>1</v>
      </c>
      <c r="L311" s="12">
        <v>194.14</v>
      </c>
      <c r="M311" s="13">
        <v>0</v>
      </c>
      <c r="N311" s="13">
        <v>73</v>
      </c>
      <c r="O311" s="13">
        <v>118</v>
      </c>
      <c r="P311" s="13">
        <v>185</v>
      </c>
      <c r="Q311" s="12">
        <v>14172.22</v>
      </c>
      <c r="R311" s="14">
        <f t="shared" si="8"/>
        <v>0</v>
      </c>
      <c r="S311">
        <v>1</v>
      </c>
      <c r="T311" s="15">
        <f t="shared" si="9"/>
        <v>0.410958904109589</v>
      </c>
      <c r="U311" t="s">
        <v>218</v>
      </c>
      <c r="V311">
        <v>4</v>
      </c>
      <c r="W311">
        <v>5</v>
      </c>
      <c r="X311" s="16">
        <v>0.1172</v>
      </c>
      <c r="Y311" s="17">
        <v>46114</v>
      </c>
      <c r="Z311" t="s">
        <v>228</v>
      </c>
      <c r="AB311" s="18">
        <v>0.622222222222222</v>
      </c>
      <c r="AC311" t="s">
        <v>325</v>
      </c>
      <c r="AD311" t="s">
        <v>325</v>
      </c>
      <c r="AE311" t="s">
        <v>473</v>
      </c>
      <c r="AF311" t="s">
        <v>780</v>
      </c>
      <c r="AG311" t="s">
        <v>224</v>
      </c>
      <c r="AH311" t="s">
        <v>1815</v>
      </c>
      <c r="AI311" t="s">
        <v>225</v>
      </c>
      <c r="AJ311">
        <v>1</v>
      </c>
    </row>
    <row r="312" ht="23" customHeight="1" spans="1:36">
      <c r="A312">
        <v>309</v>
      </c>
      <c r="B312" t="s">
        <v>1816</v>
      </c>
      <c r="C312" t="s">
        <v>1817</v>
      </c>
      <c r="D312" t="s">
        <v>27</v>
      </c>
      <c r="E312" t="s">
        <v>56</v>
      </c>
      <c r="F312" t="s">
        <v>1791</v>
      </c>
      <c r="G312" t="s">
        <v>1792</v>
      </c>
      <c r="H312" t="s">
        <v>1793</v>
      </c>
      <c r="I312" t="s">
        <v>69</v>
      </c>
      <c r="J312" s="12">
        <v>287.06</v>
      </c>
      <c r="K312">
        <v>1</v>
      </c>
      <c r="L312" s="12">
        <v>287.06</v>
      </c>
      <c r="M312" s="13">
        <v>69</v>
      </c>
      <c r="N312" s="13">
        <v>73</v>
      </c>
      <c r="O312" s="13">
        <v>169</v>
      </c>
      <c r="P312" s="13">
        <v>177</v>
      </c>
      <c r="Q312" s="12">
        <v>22103.62</v>
      </c>
      <c r="R312" s="14">
        <f t="shared" si="8"/>
        <v>4.05088062622309</v>
      </c>
      <c r="S312">
        <v>401</v>
      </c>
      <c r="T312" s="15">
        <f t="shared" si="9"/>
        <v>164.794520547945</v>
      </c>
      <c r="U312" t="s">
        <v>218</v>
      </c>
      <c r="V312">
        <v>3</v>
      </c>
      <c r="W312">
        <v>4.3</v>
      </c>
      <c r="X312" s="16">
        <v>0.0583</v>
      </c>
      <c r="Y312" s="17">
        <v>46211</v>
      </c>
      <c r="Z312" t="s">
        <v>241</v>
      </c>
      <c r="AB312" s="18">
        <v>-0.231578947368421</v>
      </c>
      <c r="AC312" t="s">
        <v>844</v>
      </c>
      <c r="AD312" t="s">
        <v>412</v>
      </c>
      <c r="AE312" t="s">
        <v>250</v>
      </c>
      <c r="AF312" t="s">
        <v>230</v>
      </c>
      <c r="AG312" t="s">
        <v>224</v>
      </c>
      <c r="AH312" t="s">
        <v>1818</v>
      </c>
      <c r="AI312" t="s">
        <v>225</v>
      </c>
      <c r="AJ312">
        <v>1</v>
      </c>
    </row>
    <row r="313" ht="23" customHeight="1" spans="1:36">
      <c r="A313">
        <v>310</v>
      </c>
      <c r="B313" t="s">
        <v>1819</v>
      </c>
      <c r="C313" t="s">
        <v>1820</v>
      </c>
      <c r="D313" t="s">
        <v>23</v>
      </c>
      <c r="E313" t="s">
        <v>59</v>
      </c>
      <c r="F313" t="s">
        <v>1821</v>
      </c>
      <c r="G313" t="s">
        <v>1821</v>
      </c>
      <c r="H313" t="s">
        <v>1822</v>
      </c>
      <c r="I313" t="s">
        <v>68</v>
      </c>
      <c r="J313" s="12">
        <v>492</v>
      </c>
      <c r="K313">
        <v>1</v>
      </c>
      <c r="L313" s="12">
        <v>492</v>
      </c>
      <c r="M313" s="13">
        <v>21</v>
      </c>
      <c r="N313" s="13">
        <v>73</v>
      </c>
      <c r="O313" s="13">
        <v>99</v>
      </c>
      <c r="P313" s="13">
        <v>99</v>
      </c>
      <c r="Q313" s="12">
        <v>35916</v>
      </c>
      <c r="R313" s="14">
        <f t="shared" si="8"/>
        <v>1.23287671232877</v>
      </c>
      <c r="S313">
        <v>143</v>
      </c>
      <c r="T313" s="15">
        <f t="shared" si="9"/>
        <v>58.7671232876712</v>
      </c>
      <c r="U313" t="s">
        <v>218</v>
      </c>
      <c r="V313">
        <v>1</v>
      </c>
      <c r="W313">
        <v>5</v>
      </c>
      <c r="X313" s="16">
        <v>0.0303</v>
      </c>
      <c r="Y313" s="17">
        <v>46233</v>
      </c>
      <c r="Z313" t="s">
        <v>241</v>
      </c>
      <c r="AB313" s="18">
        <v>1.14705882352941</v>
      </c>
      <c r="AC313" t="s">
        <v>1823</v>
      </c>
      <c r="AD313" t="s">
        <v>282</v>
      </c>
      <c r="AE313" t="s">
        <v>341</v>
      </c>
      <c r="AF313" t="s">
        <v>598</v>
      </c>
      <c r="AG313" t="s">
        <v>224</v>
      </c>
      <c r="AH313" t="s">
        <v>1824</v>
      </c>
      <c r="AI313" t="s">
        <v>225</v>
      </c>
      <c r="AJ313">
        <v>1</v>
      </c>
    </row>
    <row r="314" ht="23" customHeight="1" spans="1:36">
      <c r="A314">
        <v>311</v>
      </c>
      <c r="B314" t="s">
        <v>1825</v>
      </c>
      <c r="C314" t="s">
        <v>1826</v>
      </c>
      <c r="D314" t="s">
        <v>25</v>
      </c>
      <c r="E314" t="s">
        <v>56</v>
      </c>
      <c r="F314" t="s">
        <v>1827</v>
      </c>
      <c r="G314" t="s">
        <v>1828</v>
      </c>
      <c r="H314" t="s">
        <v>1829</v>
      </c>
      <c r="I314" t="s">
        <v>69</v>
      </c>
      <c r="J314" s="12">
        <v>231.03</v>
      </c>
      <c r="K314">
        <v>1</v>
      </c>
      <c r="L314" s="12">
        <v>231.03</v>
      </c>
      <c r="M314" s="13">
        <v>9</v>
      </c>
      <c r="N314" s="13">
        <v>73</v>
      </c>
      <c r="O314" s="13">
        <v>210</v>
      </c>
      <c r="P314" s="13">
        <v>289</v>
      </c>
      <c r="Q314" s="12">
        <v>16865.19</v>
      </c>
      <c r="R314" s="14">
        <f t="shared" si="8"/>
        <v>0.528375733855186</v>
      </c>
      <c r="S314">
        <v>129</v>
      </c>
      <c r="T314" s="15">
        <f t="shared" si="9"/>
        <v>53.013698630137</v>
      </c>
      <c r="U314" t="s">
        <v>218</v>
      </c>
      <c r="V314">
        <v>17</v>
      </c>
      <c r="W314">
        <v>4.8</v>
      </c>
      <c r="X314" s="16">
        <v>0.0343</v>
      </c>
      <c r="Y314" s="17">
        <v>46028</v>
      </c>
      <c r="Z314" t="s">
        <v>219</v>
      </c>
      <c r="AB314" s="18">
        <v>-0.188888888888889</v>
      </c>
      <c r="AC314" t="s">
        <v>433</v>
      </c>
      <c r="AD314" t="s">
        <v>548</v>
      </c>
      <c r="AE314" t="s">
        <v>295</v>
      </c>
      <c r="AF314" t="s">
        <v>736</v>
      </c>
      <c r="AG314" t="s">
        <v>224</v>
      </c>
      <c r="AH314" t="s">
        <v>1830</v>
      </c>
      <c r="AI314" t="s">
        <v>225</v>
      </c>
      <c r="AJ314">
        <v>1</v>
      </c>
    </row>
    <row r="315" ht="23" customHeight="1" spans="1:36">
      <c r="A315">
        <v>312</v>
      </c>
      <c r="B315" t="s">
        <v>1831</v>
      </c>
      <c r="C315" t="s">
        <v>1832</v>
      </c>
      <c r="D315" t="s">
        <v>19</v>
      </c>
      <c r="E315" t="s">
        <v>47</v>
      </c>
      <c r="F315" t="s">
        <v>407</v>
      </c>
      <c r="G315" t="s">
        <v>72</v>
      </c>
      <c r="H315" t="s">
        <v>1833</v>
      </c>
      <c r="I315" t="s">
        <v>69</v>
      </c>
      <c r="J315" s="12">
        <v>98.1</v>
      </c>
      <c r="K315">
        <v>1</v>
      </c>
      <c r="L315" s="12">
        <v>98.1</v>
      </c>
      <c r="M315" s="13">
        <v>32</v>
      </c>
      <c r="N315" s="13">
        <v>73</v>
      </c>
      <c r="O315" s="13">
        <v>73</v>
      </c>
      <c r="P315" s="13">
        <v>73</v>
      </c>
      <c r="Q315" s="12">
        <v>7161.3</v>
      </c>
      <c r="R315" s="14">
        <f t="shared" si="8"/>
        <v>1.87866927592955</v>
      </c>
      <c r="S315">
        <v>108</v>
      </c>
      <c r="T315" s="15">
        <f t="shared" si="9"/>
        <v>44.3835616438356</v>
      </c>
      <c r="U315" t="s">
        <v>218</v>
      </c>
      <c r="V315">
        <v>2</v>
      </c>
      <c r="W315">
        <v>5</v>
      </c>
      <c r="X315" s="16">
        <v>0.0532</v>
      </c>
      <c r="Y315" s="17">
        <v>46252</v>
      </c>
      <c r="Z315" t="s">
        <v>241</v>
      </c>
      <c r="AB315" s="18">
        <v>73</v>
      </c>
      <c r="AC315" t="s">
        <v>947</v>
      </c>
      <c r="AD315" t="s">
        <v>272</v>
      </c>
      <c r="AE315" t="s">
        <v>341</v>
      </c>
      <c r="AF315" t="s">
        <v>491</v>
      </c>
      <c r="AG315" t="s">
        <v>224</v>
      </c>
      <c r="AH315" t="s">
        <v>1834</v>
      </c>
      <c r="AI315" t="s">
        <v>225</v>
      </c>
      <c r="AJ315">
        <v>1</v>
      </c>
    </row>
    <row r="316" ht="23" customHeight="1" spans="1:36">
      <c r="A316">
        <v>313</v>
      </c>
      <c r="B316" t="s">
        <v>1835</v>
      </c>
      <c r="C316" t="s">
        <v>1836</v>
      </c>
      <c r="D316" t="s">
        <v>23</v>
      </c>
      <c r="E316" t="s">
        <v>56</v>
      </c>
      <c r="F316" t="s">
        <v>1198</v>
      </c>
      <c r="G316" t="s">
        <v>1199</v>
      </c>
      <c r="H316" t="s">
        <v>1297</v>
      </c>
      <c r="I316" t="s">
        <v>69</v>
      </c>
      <c r="J316" s="12">
        <v>251.3</v>
      </c>
      <c r="K316">
        <v>2</v>
      </c>
      <c r="L316" s="12">
        <v>125.65</v>
      </c>
      <c r="M316" s="13">
        <v>9</v>
      </c>
      <c r="N316" s="13">
        <v>72</v>
      </c>
      <c r="O316" s="13">
        <v>248</v>
      </c>
      <c r="P316" s="13">
        <v>459</v>
      </c>
      <c r="Q316" s="12">
        <v>18847.5</v>
      </c>
      <c r="R316" s="14">
        <f t="shared" si="8"/>
        <v>0.535714285714286</v>
      </c>
      <c r="S316">
        <v>39</v>
      </c>
      <c r="T316" s="15">
        <f t="shared" si="9"/>
        <v>16.25</v>
      </c>
      <c r="U316" t="s">
        <v>218</v>
      </c>
      <c r="V316">
        <v>30</v>
      </c>
      <c r="W316">
        <v>4.9</v>
      </c>
      <c r="X316" s="16">
        <v>0.0731</v>
      </c>
      <c r="Y316" s="17">
        <v>46084</v>
      </c>
      <c r="Z316" t="s">
        <v>219</v>
      </c>
      <c r="AB316" s="18">
        <v>-0.458646616541353</v>
      </c>
      <c r="AC316" t="s">
        <v>757</v>
      </c>
      <c r="AD316" t="s">
        <v>272</v>
      </c>
      <c r="AE316" t="s">
        <v>1112</v>
      </c>
      <c r="AF316" t="s">
        <v>780</v>
      </c>
      <c r="AG316" t="s">
        <v>224</v>
      </c>
      <c r="AH316" t="s">
        <v>1837</v>
      </c>
      <c r="AI316" t="s">
        <v>225</v>
      </c>
      <c r="AJ316">
        <v>1</v>
      </c>
    </row>
    <row r="317" ht="23" customHeight="1" spans="1:36">
      <c r="A317">
        <v>314</v>
      </c>
      <c r="B317" t="s">
        <v>1838</v>
      </c>
      <c r="C317" t="s">
        <v>1839</v>
      </c>
      <c r="D317" t="s">
        <v>25</v>
      </c>
      <c r="E317" t="s">
        <v>56</v>
      </c>
      <c r="F317" t="s">
        <v>309</v>
      </c>
      <c r="G317" t="s">
        <v>75</v>
      </c>
      <c r="H317" t="s">
        <v>1840</v>
      </c>
      <c r="I317" t="s">
        <v>68</v>
      </c>
      <c r="J317" s="12">
        <v>212.32</v>
      </c>
      <c r="K317">
        <v>2</v>
      </c>
      <c r="L317" s="12">
        <v>106.16</v>
      </c>
      <c r="M317" s="13">
        <v>16</v>
      </c>
      <c r="N317" s="13">
        <v>72</v>
      </c>
      <c r="O317" s="13">
        <v>228</v>
      </c>
      <c r="P317" s="13">
        <v>368</v>
      </c>
      <c r="Q317" s="12">
        <v>15287.04</v>
      </c>
      <c r="R317" s="14">
        <f t="shared" si="8"/>
        <v>0.952380952380952</v>
      </c>
      <c r="S317">
        <v>63</v>
      </c>
      <c r="T317" s="15">
        <f t="shared" si="9"/>
        <v>26.25</v>
      </c>
      <c r="U317" t="s">
        <v>218</v>
      </c>
      <c r="V317">
        <v>0</v>
      </c>
      <c r="W317">
        <v>0</v>
      </c>
      <c r="X317" s="16">
        <v>0.0347</v>
      </c>
      <c r="Y317" s="17">
        <v>46093</v>
      </c>
      <c r="Z317" t="s">
        <v>219</v>
      </c>
      <c r="AB317" s="18">
        <v>-0.314285714285714</v>
      </c>
      <c r="AC317" t="s">
        <v>638</v>
      </c>
      <c r="AD317" t="s">
        <v>862</v>
      </c>
      <c r="AE317" t="s">
        <v>331</v>
      </c>
      <c r="AF317" t="s">
        <v>1494</v>
      </c>
      <c r="AG317" t="s">
        <v>224</v>
      </c>
      <c r="AH317" t="s">
        <v>1841</v>
      </c>
      <c r="AI317" t="s">
        <v>225</v>
      </c>
      <c r="AJ317">
        <v>1</v>
      </c>
    </row>
    <row r="318" ht="23" customHeight="1" spans="1:36">
      <c r="A318">
        <v>315</v>
      </c>
      <c r="B318" t="s">
        <v>1842</v>
      </c>
      <c r="C318" t="s">
        <v>1843</v>
      </c>
      <c r="D318" t="s">
        <v>19</v>
      </c>
      <c r="E318" t="s">
        <v>50</v>
      </c>
      <c r="F318" t="s">
        <v>102</v>
      </c>
      <c r="G318" t="s">
        <v>73</v>
      </c>
      <c r="H318" t="s">
        <v>227</v>
      </c>
      <c r="I318" t="s">
        <v>68</v>
      </c>
      <c r="J318" s="12">
        <v>141</v>
      </c>
      <c r="K318">
        <v>1</v>
      </c>
      <c r="L318" s="12">
        <v>141</v>
      </c>
      <c r="M318" s="13">
        <v>16</v>
      </c>
      <c r="N318" s="13">
        <v>72</v>
      </c>
      <c r="O318" s="13">
        <v>282</v>
      </c>
      <c r="P318" s="13">
        <v>761</v>
      </c>
      <c r="Q318" s="12">
        <v>10575</v>
      </c>
      <c r="R318" s="14">
        <f t="shared" si="8"/>
        <v>0.952380952380952</v>
      </c>
      <c r="S318">
        <v>66</v>
      </c>
      <c r="T318" s="15">
        <f t="shared" si="9"/>
        <v>27.5</v>
      </c>
      <c r="U318" t="s">
        <v>218</v>
      </c>
      <c r="V318">
        <v>47</v>
      </c>
      <c r="W318">
        <v>4.7</v>
      </c>
      <c r="X318" s="16">
        <v>0.0411</v>
      </c>
      <c r="Y318" s="17">
        <v>46120</v>
      </c>
      <c r="Z318" t="s">
        <v>228</v>
      </c>
      <c r="AB318" s="18">
        <v>-0.272727272727273</v>
      </c>
      <c r="AC318" t="s">
        <v>490</v>
      </c>
      <c r="AD318" t="s">
        <v>683</v>
      </c>
      <c r="AE318" t="s">
        <v>283</v>
      </c>
      <c r="AF318" t="s">
        <v>255</v>
      </c>
      <c r="AG318" t="s">
        <v>224</v>
      </c>
      <c r="AH318" t="s">
        <v>1844</v>
      </c>
      <c r="AI318" t="s">
        <v>225</v>
      </c>
      <c r="AJ318">
        <v>1</v>
      </c>
    </row>
    <row r="319" ht="23" customHeight="1" spans="1:36">
      <c r="A319">
        <v>316</v>
      </c>
      <c r="B319" t="s">
        <v>1845</v>
      </c>
      <c r="C319" t="s">
        <v>1846</v>
      </c>
      <c r="D319" t="s">
        <v>19</v>
      </c>
      <c r="E319" t="s">
        <v>50</v>
      </c>
      <c r="F319" t="s">
        <v>1043</v>
      </c>
      <c r="G319" t="s">
        <v>1044</v>
      </c>
      <c r="H319" t="s">
        <v>1045</v>
      </c>
      <c r="I319" t="s">
        <v>69</v>
      </c>
      <c r="J319" s="12">
        <v>139.92</v>
      </c>
      <c r="K319">
        <v>1</v>
      </c>
      <c r="L319" s="12">
        <v>139.92</v>
      </c>
      <c r="M319" s="13">
        <v>37</v>
      </c>
      <c r="N319" s="13">
        <v>71</v>
      </c>
      <c r="O319" s="13">
        <v>85</v>
      </c>
      <c r="P319" s="13">
        <v>135</v>
      </c>
      <c r="Q319" s="12">
        <v>10633.92</v>
      </c>
      <c r="R319" s="14">
        <f t="shared" si="8"/>
        <v>2.23340040241449</v>
      </c>
      <c r="S319">
        <v>108</v>
      </c>
      <c r="T319" s="15">
        <f t="shared" si="9"/>
        <v>45.6338028169014</v>
      </c>
      <c r="U319" t="s">
        <v>218</v>
      </c>
      <c r="V319">
        <v>3</v>
      </c>
      <c r="W319">
        <v>5</v>
      </c>
      <c r="X319" s="16">
        <v>0.0857</v>
      </c>
      <c r="Y319" s="17">
        <v>46140</v>
      </c>
      <c r="Z319" t="s">
        <v>228</v>
      </c>
      <c r="AB319" s="18">
        <v>6.1</v>
      </c>
      <c r="AC319" t="s">
        <v>340</v>
      </c>
      <c r="AD319" t="s">
        <v>473</v>
      </c>
      <c r="AE319" t="s">
        <v>341</v>
      </c>
      <c r="AF319" t="s">
        <v>1519</v>
      </c>
      <c r="AG319" t="s">
        <v>224</v>
      </c>
      <c r="AH319" t="s">
        <v>1847</v>
      </c>
      <c r="AI319" t="s">
        <v>225</v>
      </c>
      <c r="AJ319">
        <v>1</v>
      </c>
    </row>
    <row r="320" ht="23" customHeight="1" spans="1:36">
      <c r="A320">
        <v>317</v>
      </c>
      <c r="B320" t="s">
        <v>1848</v>
      </c>
      <c r="C320" t="s">
        <v>1849</v>
      </c>
      <c r="D320" t="s">
        <v>19</v>
      </c>
      <c r="E320" t="s">
        <v>56</v>
      </c>
      <c r="F320" t="s">
        <v>401</v>
      </c>
      <c r="G320" t="s">
        <v>74</v>
      </c>
      <c r="H320" t="s">
        <v>402</v>
      </c>
      <c r="I320" t="s">
        <v>69</v>
      </c>
      <c r="J320" s="12">
        <v>281.49</v>
      </c>
      <c r="K320">
        <v>1</v>
      </c>
      <c r="L320" s="12">
        <v>281.49</v>
      </c>
      <c r="M320" s="13">
        <v>19</v>
      </c>
      <c r="N320" s="13">
        <v>71</v>
      </c>
      <c r="O320" s="13">
        <v>126</v>
      </c>
      <c r="P320" s="13">
        <v>1742</v>
      </c>
      <c r="Q320" s="12">
        <v>19985.79</v>
      </c>
      <c r="R320" s="14">
        <f t="shared" si="8"/>
        <v>1.14688128772636</v>
      </c>
      <c r="S320">
        <v>87</v>
      </c>
      <c r="T320" s="15">
        <f t="shared" si="9"/>
        <v>36.7605633802817</v>
      </c>
      <c r="U320" t="s">
        <v>218</v>
      </c>
      <c r="V320">
        <v>94</v>
      </c>
      <c r="W320">
        <v>4.7</v>
      </c>
      <c r="X320" s="16">
        <v>0.0862</v>
      </c>
      <c r="Y320" s="17">
        <v>45381</v>
      </c>
      <c r="Z320" t="s">
        <v>219</v>
      </c>
      <c r="AB320" s="18">
        <v>0.290909090909091</v>
      </c>
      <c r="AC320" t="s">
        <v>1850</v>
      </c>
      <c r="AD320" t="s">
        <v>931</v>
      </c>
      <c r="AE320" t="s">
        <v>1851</v>
      </c>
      <c r="AF320" t="s">
        <v>557</v>
      </c>
      <c r="AG320" t="s">
        <v>224</v>
      </c>
      <c r="AH320" t="s">
        <v>1852</v>
      </c>
      <c r="AI320" t="s">
        <v>225</v>
      </c>
      <c r="AJ320">
        <v>1</v>
      </c>
    </row>
    <row r="321" ht="23" customHeight="1" spans="1:36">
      <c r="A321">
        <v>318</v>
      </c>
      <c r="B321" t="s">
        <v>1853</v>
      </c>
      <c r="C321" t="s">
        <v>1854</v>
      </c>
      <c r="D321" t="s">
        <v>27</v>
      </c>
      <c r="E321" t="s">
        <v>50</v>
      </c>
      <c r="F321" t="s">
        <v>407</v>
      </c>
      <c r="G321" t="s">
        <v>72</v>
      </c>
      <c r="H321" t="s">
        <v>1833</v>
      </c>
      <c r="I321" t="s">
        <v>69</v>
      </c>
      <c r="J321" s="12">
        <v>148.76</v>
      </c>
      <c r="K321">
        <v>1</v>
      </c>
      <c r="L321" s="12">
        <v>148.76</v>
      </c>
      <c r="M321" s="13">
        <v>0</v>
      </c>
      <c r="N321" s="13">
        <v>71</v>
      </c>
      <c r="O321" s="13">
        <v>71</v>
      </c>
      <c r="P321" s="13">
        <v>75</v>
      </c>
      <c r="Q321" s="12">
        <v>11157</v>
      </c>
      <c r="R321" s="14">
        <f t="shared" si="8"/>
        <v>0</v>
      </c>
      <c r="S321">
        <v>22</v>
      </c>
      <c r="T321" s="15">
        <f t="shared" si="9"/>
        <v>9.29577464788732</v>
      </c>
      <c r="U321" t="s">
        <v>218</v>
      </c>
      <c r="V321">
        <v>0</v>
      </c>
      <c r="W321">
        <v>0</v>
      </c>
      <c r="X321" s="16">
        <v>0.5515</v>
      </c>
      <c r="Y321" s="17">
        <v>46265</v>
      </c>
      <c r="Z321" t="s">
        <v>241</v>
      </c>
      <c r="AB321" s="18">
        <v>71</v>
      </c>
      <c r="AF321" t="s">
        <v>255</v>
      </c>
      <c r="AG321" t="s">
        <v>224</v>
      </c>
      <c r="AH321" t="s">
        <v>1855</v>
      </c>
      <c r="AI321" t="s">
        <v>225</v>
      </c>
      <c r="AJ321">
        <v>1</v>
      </c>
    </row>
    <row r="322" ht="23" customHeight="1" spans="1:36">
      <c r="A322">
        <v>319</v>
      </c>
      <c r="B322" t="s">
        <v>1856</v>
      </c>
      <c r="C322" t="s">
        <v>1857</v>
      </c>
      <c r="D322" t="s">
        <v>30</v>
      </c>
      <c r="E322" t="s">
        <v>56</v>
      </c>
      <c r="F322" t="s">
        <v>309</v>
      </c>
      <c r="G322" t="s">
        <v>75</v>
      </c>
      <c r="H322" t="s">
        <v>1858</v>
      </c>
      <c r="I322" t="s">
        <v>68</v>
      </c>
      <c r="J322" s="12">
        <v>237.84</v>
      </c>
      <c r="K322">
        <v>6</v>
      </c>
      <c r="L322" s="12">
        <v>39.64</v>
      </c>
      <c r="M322" s="13">
        <v>16</v>
      </c>
      <c r="N322" s="13">
        <v>71</v>
      </c>
      <c r="O322" s="13">
        <v>117</v>
      </c>
      <c r="P322" s="13">
        <v>255</v>
      </c>
      <c r="Q322" s="12">
        <v>16886.64</v>
      </c>
      <c r="R322" s="14">
        <f t="shared" si="8"/>
        <v>0.96579476861167</v>
      </c>
      <c r="S322">
        <v>12</v>
      </c>
      <c r="T322" s="15">
        <f t="shared" si="9"/>
        <v>5.07042253521127</v>
      </c>
      <c r="U322" t="s">
        <v>218</v>
      </c>
      <c r="V322">
        <v>0</v>
      </c>
      <c r="W322">
        <v>0</v>
      </c>
      <c r="X322" s="16">
        <v>0.037</v>
      </c>
      <c r="Y322" s="17">
        <v>46006</v>
      </c>
      <c r="Z322" t="s">
        <v>219</v>
      </c>
      <c r="AB322" s="18">
        <v>4.07142857142857</v>
      </c>
      <c r="AC322" t="s">
        <v>1601</v>
      </c>
      <c r="AD322" t="s">
        <v>300</v>
      </c>
      <c r="AE322" t="s">
        <v>396</v>
      </c>
      <c r="AF322" t="s">
        <v>245</v>
      </c>
      <c r="AG322" t="s">
        <v>224</v>
      </c>
      <c r="AH322" t="s">
        <v>1859</v>
      </c>
      <c r="AI322" t="s">
        <v>225</v>
      </c>
      <c r="AJ322">
        <v>0</v>
      </c>
    </row>
    <row r="323" ht="23" customHeight="1" spans="1:36">
      <c r="A323">
        <v>320</v>
      </c>
      <c r="B323" t="s">
        <v>1860</v>
      </c>
      <c r="C323" t="s">
        <v>1861</v>
      </c>
      <c r="D323" t="s">
        <v>21</v>
      </c>
      <c r="E323" t="s">
        <v>56</v>
      </c>
      <c r="F323" t="s">
        <v>1862</v>
      </c>
      <c r="G323" t="s">
        <v>1863</v>
      </c>
      <c r="H323" t="s">
        <v>1377</v>
      </c>
      <c r="I323" t="s">
        <v>69</v>
      </c>
      <c r="J323" s="12">
        <v>297.85</v>
      </c>
      <c r="K323">
        <v>1</v>
      </c>
      <c r="L323" s="12">
        <v>297.85</v>
      </c>
      <c r="M323" s="13">
        <v>22</v>
      </c>
      <c r="N323" s="13">
        <v>71</v>
      </c>
      <c r="O323" s="13">
        <v>150</v>
      </c>
      <c r="P323" s="13">
        <v>415</v>
      </c>
      <c r="Q323" s="12">
        <v>22338.75</v>
      </c>
      <c r="R323" s="14">
        <f t="shared" si="8"/>
        <v>1.32796780684105</v>
      </c>
      <c r="S323">
        <v>101</v>
      </c>
      <c r="T323" s="15">
        <f t="shared" si="9"/>
        <v>42.6760563380282</v>
      </c>
      <c r="U323" t="s">
        <v>218</v>
      </c>
      <c r="V323">
        <v>17</v>
      </c>
      <c r="W323">
        <v>4.9</v>
      </c>
      <c r="X323" s="16">
        <v>0.0387</v>
      </c>
      <c r="Y323" s="17">
        <v>46068</v>
      </c>
      <c r="Z323" t="s">
        <v>219</v>
      </c>
      <c r="AA323">
        <v>20</v>
      </c>
      <c r="AB323" s="18">
        <v>1.44827586206897</v>
      </c>
      <c r="AC323" t="s">
        <v>387</v>
      </c>
      <c r="AD323" t="s">
        <v>878</v>
      </c>
      <c r="AE323" t="s">
        <v>1864</v>
      </c>
      <c r="AF323" t="s">
        <v>592</v>
      </c>
      <c r="AG323" t="s">
        <v>224</v>
      </c>
      <c r="AH323" t="s">
        <v>1865</v>
      </c>
      <c r="AI323" t="s">
        <v>225</v>
      </c>
      <c r="AJ323">
        <v>1</v>
      </c>
    </row>
    <row r="324" ht="23" customHeight="1" spans="1:36">
      <c r="A324">
        <v>321</v>
      </c>
      <c r="B324" t="s">
        <v>1866</v>
      </c>
      <c r="C324" t="s">
        <v>1867</v>
      </c>
      <c r="D324" t="s">
        <v>23</v>
      </c>
      <c r="E324" t="s">
        <v>56</v>
      </c>
      <c r="F324" t="s">
        <v>309</v>
      </c>
      <c r="G324" t="s">
        <v>75</v>
      </c>
      <c r="H324" t="s">
        <v>1868</v>
      </c>
      <c r="I324" t="s">
        <v>69</v>
      </c>
      <c r="J324" s="12">
        <v>215.12</v>
      </c>
      <c r="K324">
        <v>6</v>
      </c>
      <c r="L324" s="12">
        <v>35.85</v>
      </c>
      <c r="M324" s="13">
        <v>14</v>
      </c>
      <c r="N324" s="13">
        <v>71</v>
      </c>
      <c r="O324" s="13">
        <v>142</v>
      </c>
      <c r="P324" s="13">
        <v>1576</v>
      </c>
      <c r="Q324" s="12">
        <v>15703.76</v>
      </c>
      <c r="R324" s="14">
        <f t="shared" ref="R324:R387" si="10">IFERROR(M324*30/(N324*7),0)</f>
        <v>0.845070422535211</v>
      </c>
      <c r="S324">
        <v>164</v>
      </c>
      <c r="T324" s="15">
        <f t="shared" ref="T324:T387" si="11">IFERROR(S324*30/N324,0)</f>
        <v>69.2957746478873</v>
      </c>
      <c r="U324" t="s">
        <v>218</v>
      </c>
      <c r="V324">
        <v>264</v>
      </c>
      <c r="W324">
        <v>4.5</v>
      </c>
      <c r="X324" s="16">
        <v>0.0525</v>
      </c>
      <c r="Y324" s="17">
        <v>45791</v>
      </c>
      <c r="Z324" t="s">
        <v>219</v>
      </c>
      <c r="AA324">
        <v>4</v>
      </c>
      <c r="AB324" s="18">
        <v>1.02857142857143</v>
      </c>
      <c r="AC324" t="s">
        <v>395</v>
      </c>
      <c r="AD324" t="s">
        <v>305</v>
      </c>
      <c r="AE324" t="s">
        <v>518</v>
      </c>
      <c r="AF324" t="s">
        <v>230</v>
      </c>
      <c r="AG324" t="s">
        <v>224</v>
      </c>
      <c r="AH324" t="s">
        <v>1869</v>
      </c>
      <c r="AI324" t="s">
        <v>225</v>
      </c>
      <c r="AJ324">
        <v>1</v>
      </c>
    </row>
    <row r="325" ht="23" customHeight="1" spans="1:36">
      <c r="A325">
        <v>322</v>
      </c>
      <c r="B325" t="s">
        <v>1870</v>
      </c>
      <c r="C325" t="s">
        <v>1871</v>
      </c>
      <c r="D325" t="s">
        <v>19</v>
      </c>
      <c r="E325" t="s">
        <v>56</v>
      </c>
      <c r="F325" t="s">
        <v>1872</v>
      </c>
      <c r="G325" t="s">
        <v>1873</v>
      </c>
      <c r="H325" t="s">
        <v>1874</v>
      </c>
      <c r="I325" t="s">
        <v>68</v>
      </c>
      <c r="J325" s="12">
        <v>270.97</v>
      </c>
      <c r="K325">
        <v>4</v>
      </c>
      <c r="L325" s="12">
        <v>67.74</v>
      </c>
      <c r="M325" s="13">
        <v>28</v>
      </c>
      <c r="N325" s="13">
        <v>70</v>
      </c>
      <c r="O325" s="13">
        <v>141</v>
      </c>
      <c r="P325" s="13">
        <v>261</v>
      </c>
      <c r="Q325" s="12">
        <v>19509.84</v>
      </c>
      <c r="R325" s="14">
        <f t="shared" si="10"/>
        <v>1.71428571428571</v>
      </c>
      <c r="S325">
        <v>29</v>
      </c>
      <c r="T325" s="15">
        <f t="shared" si="11"/>
        <v>12.4285714285714</v>
      </c>
      <c r="U325" t="s">
        <v>218</v>
      </c>
      <c r="V325">
        <v>15</v>
      </c>
      <c r="W325">
        <v>4.9</v>
      </c>
      <c r="X325" s="16">
        <v>0.0551</v>
      </c>
      <c r="Y325" s="17">
        <v>46042</v>
      </c>
      <c r="Z325" t="s">
        <v>219</v>
      </c>
      <c r="AB325" s="18">
        <v>0.794871794871795</v>
      </c>
      <c r="AC325" t="s">
        <v>1875</v>
      </c>
      <c r="AD325" t="s">
        <v>389</v>
      </c>
      <c r="AE325" t="s">
        <v>320</v>
      </c>
      <c r="AF325" t="s">
        <v>1245</v>
      </c>
      <c r="AG325" t="s">
        <v>224</v>
      </c>
      <c r="AH325" t="s">
        <v>1876</v>
      </c>
      <c r="AI325" t="s">
        <v>225</v>
      </c>
      <c r="AJ325">
        <v>1</v>
      </c>
    </row>
    <row r="326" ht="23" customHeight="1" spans="1:36">
      <c r="A326">
        <v>323</v>
      </c>
      <c r="B326" t="s">
        <v>1877</v>
      </c>
      <c r="C326" t="s">
        <v>1878</v>
      </c>
      <c r="D326" t="s">
        <v>19</v>
      </c>
      <c r="E326" t="s">
        <v>56</v>
      </c>
      <c r="F326" t="s">
        <v>401</v>
      </c>
      <c r="G326" t="s">
        <v>74</v>
      </c>
      <c r="H326" t="s">
        <v>431</v>
      </c>
      <c r="I326" t="s">
        <v>69</v>
      </c>
      <c r="J326" s="12">
        <v>238.28</v>
      </c>
      <c r="K326">
        <v>1</v>
      </c>
      <c r="L326" s="12">
        <v>238.28</v>
      </c>
      <c r="M326" s="13">
        <v>19</v>
      </c>
      <c r="N326" s="13">
        <v>70</v>
      </c>
      <c r="O326" s="13">
        <v>108</v>
      </c>
      <c r="P326" s="13">
        <v>200</v>
      </c>
      <c r="Q326" s="12">
        <v>17871</v>
      </c>
      <c r="R326" s="14">
        <f t="shared" si="10"/>
        <v>1.16326530612245</v>
      </c>
      <c r="S326">
        <v>1</v>
      </c>
      <c r="T326" s="15">
        <f t="shared" si="11"/>
        <v>0.428571428571429</v>
      </c>
      <c r="U326" t="s">
        <v>218</v>
      </c>
      <c r="V326">
        <v>4</v>
      </c>
      <c r="W326">
        <v>4.8</v>
      </c>
      <c r="X326" s="16">
        <v>0.0586</v>
      </c>
      <c r="Y326" s="17">
        <v>45831</v>
      </c>
      <c r="Z326" t="s">
        <v>219</v>
      </c>
      <c r="AB326" s="18">
        <v>1.41379310344828</v>
      </c>
      <c r="AC326" t="s">
        <v>1879</v>
      </c>
      <c r="AD326" t="s">
        <v>365</v>
      </c>
      <c r="AE326" t="s">
        <v>272</v>
      </c>
      <c r="AF326" t="s">
        <v>619</v>
      </c>
      <c r="AG326" t="s">
        <v>224</v>
      </c>
      <c r="AH326" t="s">
        <v>1880</v>
      </c>
      <c r="AI326" t="s">
        <v>225</v>
      </c>
      <c r="AJ326">
        <v>1</v>
      </c>
    </row>
    <row r="327" ht="23" customHeight="1" spans="1:36">
      <c r="A327">
        <v>324</v>
      </c>
      <c r="B327" t="s">
        <v>1881</v>
      </c>
      <c r="C327" t="s">
        <v>1882</v>
      </c>
      <c r="D327" t="s">
        <v>19</v>
      </c>
      <c r="E327" t="s">
        <v>50</v>
      </c>
      <c r="F327" t="s">
        <v>407</v>
      </c>
      <c r="G327" t="s">
        <v>72</v>
      </c>
      <c r="H327" t="s">
        <v>1407</v>
      </c>
      <c r="I327" t="s">
        <v>69</v>
      </c>
      <c r="J327" s="12">
        <v>129.42</v>
      </c>
      <c r="K327">
        <v>1</v>
      </c>
      <c r="L327" s="12">
        <v>129.42</v>
      </c>
      <c r="M327" s="13">
        <v>18</v>
      </c>
      <c r="N327" s="13">
        <v>70</v>
      </c>
      <c r="O327" s="13">
        <v>144</v>
      </c>
      <c r="P327" s="13">
        <v>313</v>
      </c>
      <c r="Q327" s="12">
        <v>9059.4</v>
      </c>
      <c r="R327" s="14">
        <f t="shared" si="10"/>
        <v>1.10204081632653</v>
      </c>
      <c r="S327">
        <v>3</v>
      </c>
      <c r="T327" s="15">
        <f t="shared" si="11"/>
        <v>1.28571428571429</v>
      </c>
      <c r="U327" t="s">
        <v>218</v>
      </c>
      <c r="V327">
        <v>76</v>
      </c>
      <c r="W327">
        <v>4.7</v>
      </c>
      <c r="X327" s="16">
        <v>0.0858</v>
      </c>
      <c r="Y327" s="17">
        <v>46093</v>
      </c>
      <c r="Z327" t="s">
        <v>219</v>
      </c>
      <c r="AB327" s="18">
        <v>0.166666666666667</v>
      </c>
      <c r="AC327" t="s">
        <v>947</v>
      </c>
      <c r="AD327" t="s">
        <v>272</v>
      </c>
      <c r="AE327" t="s">
        <v>341</v>
      </c>
      <c r="AF327" t="s">
        <v>572</v>
      </c>
      <c r="AG327" t="s">
        <v>224</v>
      </c>
      <c r="AH327" t="s">
        <v>1883</v>
      </c>
      <c r="AI327" t="s">
        <v>225</v>
      </c>
      <c r="AJ327">
        <v>1</v>
      </c>
    </row>
    <row r="328" ht="23" customHeight="1" spans="1:36">
      <c r="A328">
        <v>325</v>
      </c>
      <c r="B328" t="s">
        <v>1884</v>
      </c>
      <c r="C328" t="s">
        <v>1885</v>
      </c>
      <c r="D328" t="s">
        <v>25</v>
      </c>
      <c r="E328" t="s">
        <v>56</v>
      </c>
      <c r="F328" t="s">
        <v>309</v>
      </c>
      <c r="G328" t="s">
        <v>75</v>
      </c>
      <c r="H328" t="s">
        <v>1784</v>
      </c>
      <c r="I328" t="s">
        <v>68</v>
      </c>
      <c r="J328" s="12">
        <v>236.64</v>
      </c>
      <c r="K328">
        <v>1</v>
      </c>
      <c r="L328" s="12">
        <v>236.64</v>
      </c>
      <c r="M328" s="13">
        <v>16</v>
      </c>
      <c r="N328" s="13">
        <v>70</v>
      </c>
      <c r="O328" s="13">
        <v>89</v>
      </c>
      <c r="P328" s="13">
        <v>131</v>
      </c>
      <c r="Q328" s="12">
        <v>16564.8</v>
      </c>
      <c r="R328" s="14">
        <f t="shared" si="10"/>
        <v>0.979591836734694</v>
      </c>
      <c r="S328">
        <v>18</v>
      </c>
      <c r="T328" s="15">
        <f t="shared" si="11"/>
        <v>7.71428571428571</v>
      </c>
      <c r="U328" t="s">
        <v>218</v>
      </c>
      <c r="V328">
        <v>0</v>
      </c>
      <c r="W328">
        <v>0</v>
      </c>
      <c r="X328" s="16">
        <v>0.1104</v>
      </c>
      <c r="Y328" s="17">
        <v>46106</v>
      </c>
      <c r="Z328" t="s">
        <v>219</v>
      </c>
      <c r="AB328" s="18">
        <v>2.88888888888889</v>
      </c>
      <c r="AC328" t="s">
        <v>253</v>
      </c>
      <c r="AD328" t="s">
        <v>511</v>
      </c>
      <c r="AE328" t="s">
        <v>299</v>
      </c>
      <c r="AF328" t="s">
        <v>598</v>
      </c>
      <c r="AG328" t="s">
        <v>224</v>
      </c>
      <c r="AH328" t="s">
        <v>1886</v>
      </c>
      <c r="AI328" t="s">
        <v>225</v>
      </c>
      <c r="AJ328">
        <v>1</v>
      </c>
    </row>
    <row r="329" ht="23" customHeight="1" spans="1:36">
      <c r="A329">
        <v>326</v>
      </c>
      <c r="B329" t="s">
        <v>1887</v>
      </c>
      <c r="C329" t="s">
        <v>1888</v>
      </c>
      <c r="D329" t="s">
        <v>23</v>
      </c>
      <c r="E329" t="s">
        <v>50</v>
      </c>
      <c r="F329" t="s">
        <v>1889</v>
      </c>
      <c r="G329" t="s">
        <v>1890</v>
      </c>
      <c r="H329" t="s">
        <v>1500</v>
      </c>
      <c r="I329" t="s">
        <v>69</v>
      </c>
      <c r="J329" s="12">
        <v>106.78</v>
      </c>
      <c r="K329">
        <v>1</v>
      </c>
      <c r="L329" s="12">
        <v>106.78</v>
      </c>
      <c r="M329" s="13">
        <v>14</v>
      </c>
      <c r="N329" s="13">
        <v>70</v>
      </c>
      <c r="O329" s="13">
        <v>236</v>
      </c>
      <c r="P329" s="13">
        <v>1896</v>
      </c>
      <c r="Q329" s="12">
        <v>7794.94</v>
      </c>
      <c r="R329" s="14">
        <f t="shared" si="10"/>
        <v>0.857142857142857</v>
      </c>
      <c r="S329">
        <v>113</v>
      </c>
      <c r="T329" s="15">
        <f t="shared" si="11"/>
        <v>48.4285714285714</v>
      </c>
      <c r="U329" t="s">
        <v>218</v>
      </c>
      <c r="V329">
        <v>246</v>
      </c>
      <c r="W329">
        <v>4.4</v>
      </c>
      <c r="X329" s="16">
        <v>0.0926</v>
      </c>
      <c r="Y329" s="17">
        <v>45903</v>
      </c>
      <c r="Z329" t="s">
        <v>219</v>
      </c>
      <c r="AA329">
        <v>20</v>
      </c>
      <c r="AB329" s="18">
        <v>-0.380530973451327</v>
      </c>
      <c r="AC329" t="s">
        <v>311</v>
      </c>
      <c r="AD329" t="s">
        <v>332</v>
      </c>
      <c r="AE329" t="s">
        <v>313</v>
      </c>
      <c r="AF329" t="s">
        <v>314</v>
      </c>
      <c r="AG329" t="s">
        <v>224</v>
      </c>
      <c r="AH329" t="s">
        <v>1891</v>
      </c>
      <c r="AI329" t="s">
        <v>225</v>
      </c>
      <c r="AJ329">
        <v>1</v>
      </c>
    </row>
    <row r="330" ht="23" customHeight="1" spans="1:36">
      <c r="A330">
        <v>327</v>
      </c>
      <c r="B330" t="s">
        <v>1892</v>
      </c>
      <c r="C330" t="s">
        <v>1893</v>
      </c>
      <c r="D330" t="s">
        <v>19</v>
      </c>
      <c r="E330" t="s">
        <v>59</v>
      </c>
      <c r="F330" t="s">
        <v>1894</v>
      </c>
      <c r="G330" t="s">
        <v>1895</v>
      </c>
      <c r="H330" t="s">
        <v>1896</v>
      </c>
      <c r="I330" t="s">
        <v>68</v>
      </c>
      <c r="J330" s="12">
        <v>389</v>
      </c>
      <c r="K330">
        <v>1</v>
      </c>
      <c r="L330" s="12">
        <v>389</v>
      </c>
      <c r="M330" s="13">
        <v>9</v>
      </c>
      <c r="N330" s="13">
        <v>70</v>
      </c>
      <c r="O330" s="13">
        <v>210</v>
      </c>
      <c r="P330" s="13">
        <v>3714</v>
      </c>
      <c r="Q330" s="12">
        <v>27230</v>
      </c>
      <c r="R330" s="14">
        <f t="shared" si="10"/>
        <v>0.551020408163265</v>
      </c>
      <c r="S330">
        <v>62</v>
      </c>
      <c r="T330" s="15">
        <f t="shared" si="11"/>
        <v>26.5714285714286</v>
      </c>
      <c r="U330" t="s">
        <v>218</v>
      </c>
      <c r="V330">
        <v>309</v>
      </c>
      <c r="W330">
        <v>4.8</v>
      </c>
      <c r="X330" s="16">
        <v>0.0577</v>
      </c>
      <c r="Y330" s="17">
        <v>44893</v>
      </c>
      <c r="Z330" t="s">
        <v>219</v>
      </c>
      <c r="AB330" s="18">
        <v>0.09375</v>
      </c>
      <c r="AC330" t="s">
        <v>1897</v>
      </c>
      <c r="AD330" t="s">
        <v>295</v>
      </c>
      <c r="AE330" t="s">
        <v>644</v>
      </c>
      <c r="AF330" t="s">
        <v>713</v>
      </c>
      <c r="AG330" t="s">
        <v>224</v>
      </c>
      <c r="AH330" t="s">
        <v>1898</v>
      </c>
      <c r="AI330" t="s">
        <v>225</v>
      </c>
      <c r="AJ330">
        <v>1</v>
      </c>
    </row>
    <row r="331" ht="23" customHeight="1" spans="1:36">
      <c r="A331">
        <v>328</v>
      </c>
      <c r="B331" t="s">
        <v>1899</v>
      </c>
      <c r="C331" t="s">
        <v>1900</v>
      </c>
      <c r="D331" t="s">
        <v>19</v>
      </c>
      <c r="E331" t="s">
        <v>56</v>
      </c>
      <c r="F331" t="s">
        <v>1198</v>
      </c>
      <c r="G331" t="s">
        <v>1199</v>
      </c>
      <c r="H331" t="s">
        <v>1764</v>
      </c>
      <c r="I331" t="s">
        <v>69</v>
      </c>
      <c r="J331" s="12">
        <v>271.68</v>
      </c>
      <c r="K331">
        <v>1</v>
      </c>
      <c r="L331" s="12">
        <v>271.68</v>
      </c>
      <c r="M331" s="13">
        <v>21</v>
      </c>
      <c r="N331" s="13">
        <v>70</v>
      </c>
      <c r="O331" s="13">
        <v>193</v>
      </c>
      <c r="P331" s="13">
        <v>203</v>
      </c>
      <c r="Q331" s="12">
        <v>19832.64</v>
      </c>
      <c r="R331" s="14">
        <f t="shared" si="10"/>
        <v>1.28571428571429</v>
      </c>
      <c r="S331">
        <v>15</v>
      </c>
      <c r="T331" s="15">
        <f t="shared" si="11"/>
        <v>6.42857142857143</v>
      </c>
      <c r="U331" t="s">
        <v>218</v>
      </c>
      <c r="V331">
        <v>2</v>
      </c>
      <c r="W331">
        <v>5</v>
      </c>
      <c r="X331" s="16">
        <v>0.0227</v>
      </c>
      <c r="Y331" s="17">
        <v>46197</v>
      </c>
      <c r="Z331" t="s">
        <v>228</v>
      </c>
      <c r="AB331" s="18">
        <v>0.228070175438596</v>
      </c>
      <c r="AC331" t="s">
        <v>1901</v>
      </c>
      <c r="AD331" t="s">
        <v>539</v>
      </c>
      <c r="AE331" t="s">
        <v>699</v>
      </c>
      <c r="AF331" t="s">
        <v>708</v>
      </c>
      <c r="AG331" t="s">
        <v>224</v>
      </c>
      <c r="AH331" t="s">
        <v>1902</v>
      </c>
      <c r="AI331" t="s">
        <v>225</v>
      </c>
      <c r="AJ331">
        <v>1</v>
      </c>
    </row>
    <row r="332" ht="23" customHeight="1" spans="1:36">
      <c r="A332">
        <v>329</v>
      </c>
      <c r="B332" t="s">
        <v>1903</v>
      </c>
      <c r="C332" t="s">
        <v>1904</v>
      </c>
      <c r="D332" t="s">
        <v>19</v>
      </c>
      <c r="E332" t="s">
        <v>56</v>
      </c>
      <c r="F332" t="s">
        <v>1135</v>
      </c>
      <c r="G332" t="s">
        <v>1136</v>
      </c>
      <c r="H332" t="s">
        <v>1905</v>
      </c>
      <c r="I332" t="s">
        <v>68</v>
      </c>
      <c r="J332" s="12">
        <v>251.81</v>
      </c>
      <c r="K332">
        <v>1</v>
      </c>
      <c r="L332" s="12">
        <v>251.81</v>
      </c>
      <c r="M332" s="13">
        <v>14</v>
      </c>
      <c r="N332" s="13">
        <v>70</v>
      </c>
      <c r="O332" s="13">
        <v>167</v>
      </c>
      <c r="P332" s="13">
        <v>271</v>
      </c>
      <c r="Q332" s="12">
        <v>18130.32</v>
      </c>
      <c r="R332" s="14">
        <f t="shared" si="10"/>
        <v>0.857142857142857</v>
      </c>
      <c r="S332">
        <v>14</v>
      </c>
      <c r="T332" s="15">
        <f t="shared" si="11"/>
        <v>6</v>
      </c>
      <c r="U332" t="s">
        <v>218</v>
      </c>
      <c r="V332">
        <v>13</v>
      </c>
      <c r="W332">
        <v>4.6</v>
      </c>
      <c r="X332" s="16">
        <v>0.023</v>
      </c>
      <c r="Y332" s="17">
        <v>46110</v>
      </c>
      <c r="Z332" t="s">
        <v>228</v>
      </c>
      <c r="AB332" s="18">
        <v>0.0606060606060606</v>
      </c>
      <c r="AC332" t="s">
        <v>1906</v>
      </c>
      <c r="AD332" t="s">
        <v>450</v>
      </c>
      <c r="AE332" t="s">
        <v>332</v>
      </c>
      <c r="AF332" t="s">
        <v>549</v>
      </c>
      <c r="AG332" t="s">
        <v>224</v>
      </c>
      <c r="AH332" t="s">
        <v>1907</v>
      </c>
      <c r="AI332" t="s">
        <v>225</v>
      </c>
      <c r="AJ332">
        <v>1</v>
      </c>
    </row>
    <row r="333" ht="23" customHeight="1" spans="1:36">
      <c r="A333">
        <v>330</v>
      </c>
      <c r="B333" t="s">
        <v>1908</v>
      </c>
      <c r="C333" t="s">
        <v>1909</v>
      </c>
      <c r="D333" t="s">
        <v>34</v>
      </c>
      <c r="E333" t="s">
        <v>56</v>
      </c>
      <c r="F333" t="s">
        <v>407</v>
      </c>
      <c r="G333" t="s">
        <v>72</v>
      </c>
      <c r="H333" t="s">
        <v>570</v>
      </c>
      <c r="I333" t="s">
        <v>69</v>
      </c>
      <c r="J333" s="12">
        <v>292.57</v>
      </c>
      <c r="K333">
        <v>1</v>
      </c>
      <c r="L333" s="12">
        <v>292.57</v>
      </c>
      <c r="M333" s="13">
        <v>10</v>
      </c>
      <c r="N333" s="13">
        <v>70</v>
      </c>
      <c r="O333" s="13">
        <v>328</v>
      </c>
      <c r="P333" s="13">
        <v>726</v>
      </c>
      <c r="Q333" s="12">
        <v>20479.9</v>
      </c>
      <c r="R333" s="14">
        <f t="shared" si="10"/>
        <v>0.612244897959184</v>
      </c>
      <c r="S333">
        <v>294</v>
      </c>
      <c r="T333" s="15">
        <f t="shared" si="11"/>
        <v>126</v>
      </c>
      <c r="U333" t="s">
        <v>218</v>
      </c>
      <c r="V333">
        <v>27</v>
      </c>
      <c r="W333">
        <v>4.4</v>
      </c>
      <c r="X333" s="16">
        <v>0.0325</v>
      </c>
      <c r="Y333" s="17">
        <v>46035</v>
      </c>
      <c r="Z333" t="s">
        <v>219</v>
      </c>
      <c r="AB333" s="18">
        <v>-0.46969696969697</v>
      </c>
      <c r="AC333" t="s">
        <v>678</v>
      </c>
      <c r="AD333" t="s">
        <v>644</v>
      </c>
      <c r="AE333" t="s">
        <v>630</v>
      </c>
      <c r="AF333" t="s">
        <v>390</v>
      </c>
      <c r="AG333" t="s">
        <v>224</v>
      </c>
      <c r="AH333" t="s">
        <v>1910</v>
      </c>
      <c r="AI333" t="s">
        <v>225</v>
      </c>
      <c r="AJ333">
        <v>0</v>
      </c>
    </row>
    <row r="334" ht="23" customHeight="1" spans="1:36">
      <c r="A334">
        <v>331</v>
      </c>
      <c r="B334" t="s">
        <v>1911</v>
      </c>
      <c r="C334" t="s">
        <v>1912</v>
      </c>
      <c r="D334" t="s">
        <v>19</v>
      </c>
      <c r="E334" t="s">
        <v>47</v>
      </c>
      <c r="F334" t="s">
        <v>1324</v>
      </c>
      <c r="G334" t="s">
        <v>1325</v>
      </c>
      <c r="H334" t="s">
        <v>1326</v>
      </c>
      <c r="I334" t="s">
        <v>68</v>
      </c>
      <c r="J334" s="12">
        <v>69</v>
      </c>
      <c r="K334">
        <v>1</v>
      </c>
      <c r="L334" s="12">
        <v>69</v>
      </c>
      <c r="M334" s="13">
        <v>20</v>
      </c>
      <c r="N334" s="13">
        <v>69</v>
      </c>
      <c r="O334" s="13">
        <v>137</v>
      </c>
      <c r="P334" s="13">
        <v>143</v>
      </c>
      <c r="Q334" s="12">
        <v>5037</v>
      </c>
      <c r="R334" s="14">
        <f t="shared" si="10"/>
        <v>1.24223602484472</v>
      </c>
      <c r="S334">
        <v>169</v>
      </c>
      <c r="T334" s="15">
        <f t="shared" si="11"/>
        <v>73.4782608695652</v>
      </c>
      <c r="U334" t="s">
        <v>218</v>
      </c>
      <c r="V334">
        <v>0</v>
      </c>
      <c r="W334">
        <v>0</v>
      </c>
      <c r="X334" s="16">
        <v>0.0381</v>
      </c>
      <c r="Y334" s="17">
        <v>46176</v>
      </c>
      <c r="Z334" t="s">
        <v>228</v>
      </c>
      <c r="AB334" s="18">
        <v>0.5</v>
      </c>
      <c r="AC334" t="s">
        <v>644</v>
      </c>
      <c r="AD334" t="s">
        <v>319</v>
      </c>
      <c r="AE334" t="s">
        <v>332</v>
      </c>
      <c r="AF334" t="s">
        <v>549</v>
      </c>
      <c r="AG334" t="s">
        <v>224</v>
      </c>
      <c r="AH334" t="s">
        <v>1913</v>
      </c>
      <c r="AI334" t="s">
        <v>225</v>
      </c>
      <c r="AJ334">
        <v>1</v>
      </c>
    </row>
    <row r="335" ht="23" customHeight="1" spans="1:36">
      <c r="A335">
        <v>332</v>
      </c>
      <c r="B335" t="s">
        <v>1914</v>
      </c>
      <c r="C335" t="s">
        <v>1915</v>
      </c>
      <c r="D335" t="s">
        <v>23</v>
      </c>
      <c r="E335" t="s">
        <v>56</v>
      </c>
      <c r="F335" t="s">
        <v>336</v>
      </c>
      <c r="G335" t="s">
        <v>337</v>
      </c>
      <c r="H335" t="s">
        <v>1600</v>
      </c>
      <c r="I335" t="s">
        <v>69</v>
      </c>
      <c r="J335" s="12">
        <v>227.17</v>
      </c>
      <c r="K335">
        <v>2</v>
      </c>
      <c r="L335" s="12">
        <v>113.58</v>
      </c>
      <c r="M335" s="13">
        <v>10</v>
      </c>
      <c r="N335" s="13">
        <v>69</v>
      </c>
      <c r="O335" s="13">
        <v>107</v>
      </c>
      <c r="P335" s="13">
        <v>127</v>
      </c>
      <c r="Q335" s="12">
        <v>15674.73</v>
      </c>
      <c r="R335" s="14">
        <f t="shared" si="10"/>
        <v>0.62111801242236</v>
      </c>
      <c r="S335">
        <v>3</v>
      </c>
      <c r="T335" s="15">
        <f t="shared" si="11"/>
        <v>1.30434782608696</v>
      </c>
      <c r="U335" t="s">
        <v>218</v>
      </c>
      <c r="V335">
        <v>3</v>
      </c>
      <c r="W335">
        <v>3.7</v>
      </c>
      <c r="X335" s="16">
        <v>0.055</v>
      </c>
      <c r="Y335" s="17">
        <v>46087</v>
      </c>
      <c r="Z335" t="s">
        <v>219</v>
      </c>
      <c r="AB335" s="18">
        <v>69</v>
      </c>
      <c r="AC335" t="s">
        <v>1851</v>
      </c>
      <c r="AD335" t="s">
        <v>481</v>
      </c>
      <c r="AE335" t="s">
        <v>644</v>
      </c>
      <c r="AF335" t="s">
        <v>891</v>
      </c>
      <c r="AG335" t="s">
        <v>224</v>
      </c>
      <c r="AH335" t="s">
        <v>1916</v>
      </c>
      <c r="AI335" t="s">
        <v>225</v>
      </c>
      <c r="AJ335">
        <v>1</v>
      </c>
    </row>
    <row r="336" ht="23" customHeight="1" spans="1:36">
      <c r="A336">
        <v>333</v>
      </c>
      <c r="B336" t="s">
        <v>1917</v>
      </c>
      <c r="C336" t="s">
        <v>1918</v>
      </c>
      <c r="D336" t="s">
        <v>19</v>
      </c>
      <c r="E336" t="s">
        <v>56</v>
      </c>
      <c r="F336" t="s">
        <v>309</v>
      </c>
      <c r="G336" t="s">
        <v>75</v>
      </c>
      <c r="H336" t="s">
        <v>1905</v>
      </c>
      <c r="I336" t="s">
        <v>68</v>
      </c>
      <c r="J336" s="12">
        <v>258</v>
      </c>
      <c r="K336">
        <v>1</v>
      </c>
      <c r="L336" s="12">
        <v>258</v>
      </c>
      <c r="M336" s="13">
        <v>8</v>
      </c>
      <c r="N336" s="13">
        <v>69</v>
      </c>
      <c r="O336" s="13">
        <v>241</v>
      </c>
      <c r="P336" s="13">
        <v>1374</v>
      </c>
      <c r="Q336" s="12">
        <v>17802</v>
      </c>
      <c r="R336" s="14">
        <f t="shared" si="10"/>
        <v>0.496894409937888</v>
      </c>
      <c r="S336">
        <v>46</v>
      </c>
      <c r="T336" s="15">
        <f t="shared" si="11"/>
        <v>20</v>
      </c>
      <c r="U336" t="s">
        <v>218</v>
      </c>
      <c r="V336">
        <v>96</v>
      </c>
      <c r="W336">
        <v>4.8</v>
      </c>
      <c r="X336" s="16">
        <v>0.0404</v>
      </c>
      <c r="Y336" s="17">
        <v>45972</v>
      </c>
      <c r="Z336" t="s">
        <v>219</v>
      </c>
      <c r="AB336" s="18">
        <v>0.408163265306122</v>
      </c>
      <c r="AC336" t="s">
        <v>1919</v>
      </c>
      <c r="AD336" t="s">
        <v>863</v>
      </c>
      <c r="AE336" t="s">
        <v>320</v>
      </c>
      <c r="AF336" t="s">
        <v>251</v>
      </c>
      <c r="AG336" t="s">
        <v>224</v>
      </c>
      <c r="AH336" t="s">
        <v>1920</v>
      </c>
      <c r="AI336" t="s">
        <v>225</v>
      </c>
      <c r="AJ336">
        <v>1</v>
      </c>
    </row>
    <row r="337" ht="23" customHeight="1" spans="1:36">
      <c r="A337">
        <v>334</v>
      </c>
      <c r="B337" t="s">
        <v>1921</v>
      </c>
      <c r="C337" t="s">
        <v>1922</v>
      </c>
      <c r="D337" t="s">
        <v>36</v>
      </c>
      <c r="E337" t="s">
        <v>62</v>
      </c>
      <c r="F337" t="s">
        <v>1923</v>
      </c>
      <c r="G337" t="s">
        <v>1924</v>
      </c>
      <c r="H337" t="s">
        <v>1925</v>
      </c>
      <c r="I337" t="s">
        <v>69</v>
      </c>
      <c r="J337" s="12">
        <v>609.23</v>
      </c>
      <c r="K337">
        <v>1</v>
      </c>
      <c r="L337" s="12">
        <v>609.23</v>
      </c>
      <c r="M337" s="13">
        <v>22</v>
      </c>
      <c r="N337" s="13">
        <v>69</v>
      </c>
      <c r="O337" s="13">
        <v>219</v>
      </c>
      <c r="P337" s="13">
        <v>1322</v>
      </c>
      <c r="Q337" s="12">
        <v>42036.87</v>
      </c>
      <c r="R337" s="14">
        <f t="shared" si="10"/>
        <v>1.36645962732919</v>
      </c>
      <c r="S337">
        <v>167</v>
      </c>
      <c r="T337" s="15">
        <f t="shared" si="11"/>
        <v>72.6086956521739</v>
      </c>
      <c r="U337" t="s">
        <v>218</v>
      </c>
      <c r="V337">
        <v>90</v>
      </c>
      <c r="W337">
        <v>4.8</v>
      </c>
      <c r="X337" s="16">
        <v>0.0176</v>
      </c>
      <c r="Y337" s="17">
        <v>45935</v>
      </c>
      <c r="Z337" t="s">
        <v>219</v>
      </c>
      <c r="AB337" s="18">
        <v>0.0147058823529412</v>
      </c>
      <c r="AC337" t="s">
        <v>1926</v>
      </c>
      <c r="AD337" t="s">
        <v>1927</v>
      </c>
      <c r="AE337" t="s">
        <v>1928</v>
      </c>
      <c r="AF337" t="s">
        <v>1017</v>
      </c>
      <c r="AG337" t="s">
        <v>224</v>
      </c>
      <c r="AH337" t="s">
        <v>1929</v>
      </c>
      <c r="AI337" t="s">
        <v>225</v>
      </c>
      <c r="AJ337">
        <v>0</v>
      </c>
    </row>
    <row r="338" ht="23" customHeight="1" spans="1:36">
      <c r="A338">
        <v>335</v>
      </c>
      <c r="B338" t="s">
        <v>1930</v>
      </c>
      <c r="C338" t="s">
        <v>1931</v>
      </c>
      <c r="D338" t="s">
        <v>19</v>
      </c>
      <c r="E338" t="s">
        <v>56</v>
      </c>
      <c r="F338" t="s">
        <v>401</v>
      </c>
      <c r="G338" t="s">
        <v>74</v>
      </c>
      <c r="H338" t="s">
        <v>431</v>
      </c>
      <c r="I338" t="s">
        <v>69</v>
      </c>
      <c r="J338" s="12">
        <v>205.08</v>
      </c>
      <c r="K338">
        <v>1</v>
      </c>
      <c r="L338" s="12">
        <v>205.08</v>
      </c>
      <c r="M338" s="13">
        <v>4</v>
      </c>
      <c r="N338" s="13">
        <v>69</v>
      </c>
      <c r="O338" s="13">
        <v>349</v>
      </c>
      <c r="P338" s="13">
        <v>1739</v>
      </c>
      <c r="Q338" s="12">
        <v>14560.68</v>
      </c>
      <c r="R338" s="14">
        <f t="shared" si="10"/>
        <v>0.248447204968944</v>
      </c>
      <c r="S338">
        <v>42</v>
      </c>
      <c r="T338" s="15">
        <f t="shared" si="11"/>
        <v>18.2608695652174</v>
      </c>
      <c r="U338" t="s">
        <v>218</v>
      </c>
      <c r="V338">
        <v>110</v>
      </c>
      <c r="W338">
        <v>4.7</v>
      </c>
      <c r="X338" s="16">
        <v>0.093</v>
      </c>
      <c r="Y338" s="17">
        <v>45768</v>
      </c>
      <c r="Z338" t="s">
        <v>219</v>
      </c>
      <c r="AB338" s="18">
        <v>-0.349056603773585</v>
      </c>
      <c r="AC338" t="s">
        <v>466</v>
      </c>
      <c r="AD338" t="s">
        <v>389</v>
      </c>
      <c r="AE338" t="s">
        <v>481</v>
      </c>
      <c r="AF338" t="s">
        <v>572</v>
      </c>
      <c r="AG338" t="s">
        <v>224</v>
      </c>
      <c r="AH338" t="s">
        <v>1932</v>
      </c>
      <c r="AI338" t="s">
        <v>225</v>
      </c>
      <c r="AJ338">
        <v>1</v>
      </c>
    </row>
    <row r="339" ht="23" customHeight="1" spans="1:36">
      <c r="A339">
        <v>336</v>
      </c>
      <c r="B339" t="s">
        <v>1933</v>
      </c>
      <c r="C339" t="s">
        <v>1934</v>
      </c>
      <c r="D339" t="s">
        <v>30</v>
      </c>
      <c r="E339" t="s">
        <v>53</v>
      </c>
      <c r="F339" t="s">
        <v>1935</v>
      </c>
      <c r="G339" t="s">
        <v>1936</v>
      </c>
      <c r="H339" t="s">
        <v>1935</v>
      </c>
      <c r="I339" t="s">
        <v>68</v>
      </c>
      <c r="J339" s="12">
        <v>198</v>
      </c>
      <c r="K339">
        <v>6</v>
      </c>
      <c r="L339" s="12">
        <v>33</v>
      </c>
      <c r="M339" s="13">
        <v>29</v>
      </c>
      <c r="N339" s="13">
        <v>68</v>
      </c>
      <c r="O339" s="13">
        <v>304</v>
      </c>
      <c r="P339" s="13">
        <v>539</v>
      </c>
      <c r="Q339" s="12">
        <v>14454</v>
      </c>
      <c r="R339" s="14">
        <f t="shared" si="10"/>
        <v>1.82773109243697</v>
      </c>
      <c r="S339">
        <v>51</v>
      </c>
      <c r="T339" s="15">
        <f t="shared" si="11"/>
        <v>22.5</v>
      </c>
      <c r="U339" t="s">
        <v>218</v>
      </c>
      <c r="V339">
        <v>28</v>
      </c>
      <c r="W339">
        <v>4.4</v>
      </c>
      <c r="X339" s="16">
        <v>0.0784</v>
      </c>
      <c r="Y339" s="17">
        <v>46064</v>
      </c>
      <c r="Z339" t="s">
        <v>219</v>
      </c>
      <c r="AB339" s="18">
        <v>-0.496296296296296</v>
      </c>
      <c r="AC339" t="s">
        <v>1937</v>
      </c>
      <c r="AD339" t="s">
        <v>319</v>
      </c>
      <c r="AE339" t="s">
        <v>341</v>
      </c>
      <c r="AF339" t="s">
        <v>713</v>
      </c>
      <c r="AG339" t="s">
        <v>224</v>
      </c>
      <c r="AH339" t="s">
        <v>1938</v>
      </c>
      <c r="AI339" t="s">
        <v>225</v>
      </c>
      <c r="AJ339">
        <v>0</v>
      </c>
    </row>
    <row r="340" ht="23" customHeight="1" spans="1:36">
      <c r="A340">
        <v>337</v>
      </c>
      <c r="B340" t="s">
        <v>1939</v>
      </c>
      <c r="C340" t="s">
        <v>1940</v>
      </c>
      <c r="D340" t="s">
        <v>25</v>
      </c>
      <c r="E340" t="s">
        <v>56</v>
      </c>
      <c r="F340" t="s">
        <v>309</v>
      </c>
      <c r="G340" t="s">
        <v>75</v>
      </c>
      <c r="H340" t="s">
        <v>1941</v>
      </c>
      <c r="I340" t="s">
        <v>68</v>
      </c>
      <c r="J340" s="12">
        <v>289.99</v>
      </c>
      <c r="K340">
        <v>1</v>
      </c>
      <c r="L340" s="12">
        <v>289.99</v>
      </c>
      <c r="M340" s="13">
        <v>50</v>
      </c>
      <c r="N340" s="13">
        <v>68</v>
      </c>
      <c r="O340" s="13">
        <v>102</v>
      </c>
      <c r="P340" s="13">
        <v>4522</v>
      </c>
      <c r="Q340" s="12">
        <v>20589.29</v>
      </c>
      <c r="R340" s="14">
        <f t="shared" si="10"/>
        <v>3.15126050420168</v>
      </c>
      <c r="S340">
        <v>60</v>
      </c>
      <c r="T340" s="15">
        <f t="shared" si="11"/>
        <v>26.4705882352941</v>
      </c>
      <c r="U340" t="s">
        <v>218</v>
      </c>
      <c r="V340">
        <v>367</v>
      </c>
      <c r="W340">
        <v>4.7</v>
      </c>
      <c r="X340" s="16">
        <v>0.1249</v>
      </c>
      <c r="Y340" s="17">
        <v>45595</v>
      </c>
      <c r="Z340" t="s">
        <v>219</v>
      </c>
      <c r="AA340">
        <v>19</v>
      </c>
      <c r="AB340" s="18">
        <v>68</v>
      </c>
      <c r="AC340" t="s">
        <v>1464</v>
      </c>
      <c r="AD340" t="s">
        <v>690</v>
      </c>
      <c r="AE340" t="s">
        <v>347</v>
      </c>
      <c r="AF340" t="s">
        <v>753</v>
      </c>
      <c r="AG340" t="s">
        <v>224</v>
      </c>
      <c r="AH340" t="s">
        <v>1942</v>
      </c>
      <c r="AI340" t="s">
        <v>225</v>
      </c>
      <c r="AJ340">
        <v>1</v>
      </c>
    </row>
    <row r="341" ht="23" customHeight="1" spans="1:36">
      <c r="A341">
        <v>338</v>
      </c>
      <c r="B341" t="s">
        <v>1943</v>
      </c>
      <c r="C341" t="s">
        <v>1944</v>
      </c>
      <c r="D341" t="s">
        <v>34</v>
      </c>
      <c r="E341" t="s">
        <v>56</v>
      </c>
      <c r="F341" t="s">
        <v>407</v>
      </c>
      <c r="G341" t="s">
        <v>72</v>
      </c>
      <c r="H341" t="s">
        <v>654</v>
      </c>
      <c r="I341" t="s">
        <v>68</v>
      </c>
      <c r="J341" s="12">
        <v>244.13</v>
      </c>
      <c r="K341">
        <v>1</v>
      </c>
      <c r="L341" s="12">
        <v>244.13</v>
      </c>
      <c r="M341" s="13">
        <v>13</v>
      </c>
      <c r="N341" s="13">
        <v>68</v>
      </c>
      <c r="O341" s="13">
        <v>156</v>
      </c>
      <c r="P341" s="13">
        <v>746</v>
      </c>
      <c r="Q341" s="12">
        <v>16600.84</v>
      </c>
      <c r="R341" s="14">
        <f t="shared" si="10"/>
        <v>0.819327731092437</v>
      </c>
      <c r="S341">
        <v>82</v>
      </c>
      <c r="T341" s="15">
        <f t="shared" si="11"/>
        <v>36.1764705882353</v>
      </c>
      <c r="U341" t="s">
        <v>218</v>
      </c>
      <c r="V341">
        <v>72</v>
      </c>
      <c r="W341">
        <v>4.6</v>
      </c>
      <c r="X341" s="16">
        <v>0.0276</v>
      </c>
      <c r="Y341" s="17">
        <v>45828</v>
      </c>
      <c r="Z341" t="s">
        <v>219</v>
      </c>
      <c r="AB341" s="18">
        <v>1.19354838709677</v>
      </c>
      <c r="AC341" t="s">
        <v>1644</v>
      </c>
      <c r="AD341" t="s">
        <v>1327</v>
      </c>
      <c r="AE341" t="s">
        <v>419</v>
      </c>
      <c r="AF341" t="s">
        <v>891</v>
      </c>
      <c r="AG341" t="s">
        <v>224</v>
      </c>
      <c r="AH341" t="s">
        <v>1945</v>
      </c>
      <c r="AI341" t="s">
        <v>225</v>
      </c>
      <c r="AJ341">
        <v>0</v>
      </c>
    </row>
    <row r="342" ht="23" customHeight="1" spans="1:36">
      <c r="A342">
        <v>339</v>
      </c>
      <c r="B342" t="s">
        <v>1946</v>
      </c>
      <c r="C342" t="s">
        <v>1947</v>
      </c>
      <c r="D342" t="s">
        <v>23</v>
      </c>
      <c r="E342" t="s">
        <v>56</v>
      </c>
      <c r="F342" t="s">
        <v>1208</v>
      </c>
      <c r="G342" t="s">
        <v>1209</v>
      </c>
      <c r="H342" t="s">
        <v>1210</v>
      </c>
      <c r="I342" t="s">
        <v>69</v>
      </c>
      <c r="J342" s="12">
        <v>253.5</v>
      </c>
      <c r="K342">
        <v>1</v>
      </c>
      <c r="L342" s="12">
        <v>253.5</v>
      </c>
      <c r="M342" s="13">
        <v>13</v>
      </c>
      <c r="N342" s="13">
        <v>68</v>
      </c>
      <c r="O342" s="13">
        <v>189</v>
      </c>
      <c r="P342" s="13">
        <v>604</v>
      </c>
      <c r="Q342" s="12">
        <v>17745</v>
      </c>
      <c r="R342" s="14">
        <f t="shared" si="10"/>
        <v>0.819327731092437</v>
      </c>
      <c r="S342">
        <v>292</v>
      </c>
      <c r="T342" s="15">
        <f t="shared" si="11"/>
        <v>128.823529411765</v>
      </c>
      <c r="U342" t="s">
        <v>218</v>
      </c>
      <c r="V342">
        <v>302</v>
      </c>
      <c r="W342">
        <v>4.7</v>
      </c>
      <c r="X342" s="16">
        <v>0.0242</v>
      </c>
      <c r="Y342" s="17">
        <v>45995</v>
      </c>
      <c r="Z342" t="s">
        <v>219</v>
      </c>
      <c r="AB342" s="18">
        <v>0.837837837837838</v>
      </c>
      <c r="AC342" t="s">
        <v>1948</v>
      </c>
      <c r="AD342" t="s">
        <v>331</v>
      </c>
      <c r="AE342" t="s">
        <v>418</v>
      </c>
      <c r="AF342" t="s">
        <v>619</v>
      </c>
      <c r="AG342" t="s">
        <v>224</v>
      </c>
      <c r="AH342" t="s">
        <v>1949</v>
      </c>
      <c r="AI342" t="s">
        <v>225</v>
      </c>
      <c r="AJ342">
        <v>1</v>
      </c>
    </row>
    <row r="343" ht="23" customHeight="1" spans="1:36">
      <c r="A343">
        <v>340</v>
      </c>
      <c r="B343" t="s">
        <v>1950</v>
      </c>
      <c r="C343" t="s">
        <v>1719</v>
      </c>
      <c r="D343" t="s">
        <v>25</v>
      </c>
      <c r="E343" t="s">
        <v>56</v>
      </c>
      <c r="F343" t="s">
        <v>1951</v>
      </c>
      <c r="G343" t="s">
        <v>1952</v>
      </c>
      <c r="H343" t="s">
        <v>1953</v>
      </c>
      <c r="I343" t="s">
        <v>68</v>
      </c>
      <c r="J343" s="12">
        <v>298</v>
      </c>
      <c r="K343">
        <v>1</v>
      </c>
      <c r="L343" s="12">
        <v>298</v>
      </c>
      <c r="M343" s="13">
        <v>25</v>
      </c>
      <c r="N343" s="13">
        <v>68</v>
      </c>
      <c r="O343" s="13">
        <v>73</v>
      </c>
      <c r="P343" s="13">
        <v>100</v>
      </c>
      <c r="Q343" s="12">
        <v>20264</v>
      </c>
      <c r="R343" s="14">
        <f t="shared" si="10"/>
        <v>1.57563025210084</v>
      </c>
      <c r="S343">
        <v>13</v>
      </c>
      <c r="T343" s="15">
        <f t="shared" si="11"/>
        <v>5.73529411764706</v>
      </c>
      <c r="U343" t="s">
        <v>218</v>
      </c>
      <c r="V343">
        <v>0</v>
      </c>
      <c r="W343">
        <v>0</v>
      </c>
      <c r="X343" s="16">
        <v>0.0605</v>
      </c>
      <c r="Y343" s="17">
        <v>46097</v>
      </c>
      <c r="Z343" t="s">
        <v>219</v>
      </c>
      <c r="AB343" s="18">
        <v>12.6</v>
      </c>
      <c r="AC343" t="s">
        <v>1505</v>
      </c>
      <c r="AD343" t="s">
        <v>300</v>
      </c>
      <c r="AE343" t="s">
        <v>1954</v>
      </c>
      <c r="AF343" t="s">
        <v>679</v>
      </c>
      <c r="AG343" t="s">
        <v>224</v>
      </c>
      <c r="AH343" t="s">
        <v>1955</v>
      </c>
      <c r="AI343" t="s">
        <v>225</v>
      </c>
      <c r="AJ343">
        <v>1</v>
      </c>
    </row>
    <row r="344" ht="23" customHeight="1" spans="1:36">
      <c r="A344">
        <v>341</v>
      </c>
      <c r="B344" t="s">
        <v>1956</v>
      </c>
      <c r="C344" t="s">
        <v>1957</v>
      </c>
      <c r="D344" t="s">
        <v>30</v>
      </c>
      <c r="E344" t="s">
        <v>50</v>
      </c>
      <c r="F344" t="s">
        <v>1889</v>
      </c>
      <c r="G344" t="s">
        <v>1890</v>
      </c>
      <c r="H344" t="s">
        <v>1500</v>
      </c>
      <c r="I344" t="s">
        <v>69</v>
      </c>
      <c r="J344" s="12">
        <v>129.08</v>
      </c>
      <c r="K344">
        <v>1</v>
      </c>
      <c r="L344" s="12">
        <v>129.08</v>
      </c>
      <c r="M344" s="13">
        <v>24</v>
      </c>
      <c r="N344" s="13">
        <v>68</v>
      </c>
      <c r="O344" s="13">
        <v>118</v>
      </c>
      <c r="P344" s="13">
        <v>1142</v>
      </c>
      <c r="Q344" s="12">
        <v>8777.44</v>
      </c>
      <c r="R344" s="14">
        <f t="shared" si="10"/>
        <v>1.51260504201681</v>
      </c>
      <c r="S344">
        <v>68</v>
      </c>
      <c r="T344" s="15">
        <f t="shared" si="11"/>
        <v>30</v>
      </c>
      <c r="U344" t="s">
        <v>218</v>
      </c>
      <c r="V344">
        <v>115</v>
      </c>
      <c r="W344">
        <v>4.5</v>
      </c>
      <c r="X344" s="16">
        <v>0.0743</v>
      </c>
      <c r="Y344" s="17">
        <v>45807</v>
      </c>
      <c r="Z344" t="s">
        <v>219</v>
      </c>
      <c r="AB344" s="18">
        <v>0.387755102040816</v>
      </c>
      <c r="AC344" t="s">
        <v>1958</v>
      </c>
      <c r="AD344" t="s">
        <v>639</v>
      </c>
      <c r="AE344" t="s">
        <v>313</v>
      </c>
      <c r="AF344" t="s">
        <v>314</v>
      </c>
      <c r="AG344" t="s">
        <v>224</v>
      </c>
      <c r="AH344" t="s">
        <v>1959</v>
      </c>
      <c r="AI344" t="s">
        <v>225</v>
      </c>
      <c r="AJ344">
        <v>0</v>
      </c>
    </row>
    <row r="345" ht="23" customHeight="1" spans="1:36">
      <c r="A345">
        <v>342</v>
      </c>
      <c r="B345" t="s">
        <v>1960</v>
      </c>
      <c r="C345" t="s">
        <v>1961</v>
      </c>
      <c r="D345" t="s">
        <v>19</v>
      </c>
      <c r="E345" t="s">
        <v>62</v>
      </c>
      <c r="F345" t="s">
        <v>309</v>
      </c>
      <c r="G345" t="s">
        <v>75</v>
      </c>
      <c r="H345" t="s">
        <v>1962</v>
      </c>
      <c r="I345" t="s">
        <v>68</v>
      </c>
      <c r="J345" s="12">
        <v>586.5</v>
      </c>
      <c r="K345">
        <v>1</v>
      </c>
      <c r="L345" s="12">
        <v>586.5</v>
      </c>
      <c r="M345" s="13">
        <v>5</v>
      </c>
      <c r="N345" s="13">
        <v>67</v>
      </c>
      <c r="O345" s="13">
        <v>126</v>
      </c>
      <c r="P345" s="13">
        <v>126</v>
      </c>
      <c r="Q345" s="12">
        <v>39295.5</v>
      </c>
      <c r="R345" s="14">
        <f t="shared" si="10"/>
        <v>0.319829424307036</v>
      </c>
      <c r="S345">
        <v>58</v>
      </c>
      <c r="T345" s="15">
        <f t="shared" si="11"/>
        <v>25.9701492537313</v>
      </c>
      <c r="U345" t="s">
        <v>218</v>
      </c>
      <c r="V345">
        <v>0</v>
      </c>
      <c r="W345">
        <v>0</v>
      </c>
      <c r="X345" s="16">
        <v>0.0354</v>
      </c>
      <c r="Y345" s="17">
        <v>46197</v>
      </c>
      <c r="Z345" t="s">
        <v>228</v>
      </c>
      <c r="AB345" s="18">
        <v>0.36734693877551</v>
      </c>
      <c r="AC345" t="s">
        <v>974</v>
      </c>
      <c r="AD345" t="s">
        <v>263</v>
      </c>
      <c r="AE345" t="s">
        <v>301</v>
      </c>
      <c r="AF345" t="s">
        <v>1963</v>
      </c>
      <c r="AG345" t="s">
        <v>224</v>
      </c>
      <c r="AH345" t="s">
        <v>1964</v>
      </c>
      <c r="AI345" t="s">
        <v>225</v>
      </c>
      <c r="AJ345">
        <v>1</v>
      </c>
    </row>
    <row r="346" ht="23" customHeight="1" spans="1:36">
      <c r="A346">
        <v>343</v>
      </c>
      <c r="B346" t="s">
        <v>1965</v>
      </c>
      <c r="C346" t="s">
        <v>1966</v>
      </c>
      <c r="D346" t="s">
        <v>23</v>
      </c>
      <c r="E346" t="s">
        <v>47</v>
      </c>
      <c r="F346" t="s">
        <v>1967</v>
      </c>
      <c r="G346" t="s">
        <v>1968</v>
      </c>
      <c r="H346" t="s">
        <v>1969</v>
      </c>
      <c r="I346" t="s">
        <v>68</v>
      </c>
      <c r="J346" s="12">
        <v>68.55</v>
      </c>
      <c r="K346">
        <v>2</v>
      </c>
      <c r="L346" s="12">
        <v>34.27</v>
      </c>
      <c r="M346" s="13">
        <v>14</v>
      </c>
      <c r="N346" s="13">
        <v>67</v>
      </c>
      <c r="O346" s="13">
        <v>86</v>
      </c>
      <c r="P346" s="13">
        <v>86</v>
      </c>
      <c r="Q346" s="12">
        <v>4592.85</v>
      </c>
      <c r="R346" s="14">
        <f t="shared" si="10"/>
        <v>0.895522388059702</v>
      </c>
      <c r="S346">
        <v>15</v>
      </c>
      <c r="T346" s="15">
        <f t="shared" si="11"/>
        <v>6.71641791044776</v>
      </c>
      <c r="U346" t="s">
        <v>218</v>
      </c>
      <c r="V346">
        <v>0</v>
      </c>
      <c r="W346">
        <v>0</v>
      </c>
      <c r="X346" s="16">
        <v>0.0719</v>
      </c>
      <c r="Y346" s="17">
        <v>46148</v>
      </c>
      <c r="Z346" t="s">
        <v>228</v>
      </c>
      <c r="AB346" s="18">
        <v>2.52631578947368</v>
      </c>
      <c r="AC346" t="s">
        <v>712</v>
      </c>
      <c r="AD346" t="s">
        <v>623</v>
      </c>
      <c r="AE346" t="s">
        <v>691</v>
      </c>
      <c r="AF346" t="s">
        <v>255</v>
      </c>
      <c r="AG346" t="s">
        <v>224</v>
      </c>
      <c r="AH346" t="s">
        <v>1970</v>
      </c>
      <c r="AI346" t="s">
        <v>225</v>
      </c>
      <c r="AJ346">
        <v>1</v>
      </c>
    </row>
    <row r="347" ht="23" customHeight="1" spans="1:36">
      <c r="A347">
        <v>344</v>
      </c>
      <c r="B347" t="s">
        <v>1971</v>
      </c>
      <c r="C347" t="s">
        <v>1972</v>
      </c>
      <c r="D347" t="s">
        <v>27</v>
      </c>
      <c r="E347" t="s">
        <v>56</v>
      </c>
      <c r="F347" t="s">
        <v>1973</v>
      </c>
      <c r="G347" t="s">
        <v>1974</v>
      </c>
      <c r="H347" t="s">
        <v>1975</v>
      </c>
      <c r="I347" t="s">
        <v>68</v>
      </c>
      <c r="J347" s="12">
        <v>233.34</v>
      </c>
      <c r="K347">
        <v>1</v>
      </c>
      <c r="L347" s="12">
        <v>233.34</v>
      </c>
      <c r="M347" s="13">
        <v>28</v>
      </c>
      <c r="N347" s="13">
        <v>67</v>
      </c>
      <c r="O347" s="13">
        <v>94</v>
      </c>
      <c r="P347" s="13">
        <v>119</v>
      </c>
      <c r="Q347" s="12">
        <v>16567.14</v>
      </c>
      <c r="R347" s="14">
        <f t="shared" si="10"/>
        <v>1.7910447761194</v>
      </c>
      <c r="S347">
        <v>5</v>
      </c>
      <c r="T347" s="15">
        <f t="shared" si="11"/>
        <v>2.23880597014925</v>
      </c>
      <c r="U347" t="s">
        <v>218</v>
      </c>
      <c r="V347">
        <v>0</v>
      </c>
      <c r="W347">
        <v>0</v>
      </c>
      <c r="X347" s="16">
        <v>0.0534</v>
      </c>
      <c r="Y347" s="17">
        <v>46091</v>
      </c>
      <c r="Z347" t="s">
        <v>219</v>
      </c>
      <c r="AB347" s="18">
        <v>2.35</v>
      </c>
      <c r="AC347" t="s">
        <v>1976</v>
      </c>
      <c r="AD347" t="s">
        <v>1977</v>
      </c>
      <c r="AE347" t="s">
        <v>1978</v>
      </c>
      <c r="AF347" t="s">
        <v>668</v>
      </c>
      <c r="AG347" t="s">
        <v>224</v>
      </c>
      <c r="AH347" t="s">
        <v>1979</v>
      </c>
      <c r="AI347" t="s">
        <v>225</v>
      </c>
      <c r="AJ347">
        <v>1</v>
      </c>
    </row>
    <row r="348" ht="23" customHeight="1" spans="1:36">
      <c r="A348">
        <v>345</v>
      </c>
      <c r="B348" t="s">
        <v>1980</v>
      </c>
      <c r="C348" t="s">
        <v>1981</v>
      </c>
      <c r="D348" t="s">
        <v>19</v>
      </c>
      <c r="E348" t="s">
        <v>50</v>
      </c>
      <c r="F348" t="s">
        <v>407</v>
      </c>
      <c r="G348" t="s">
        <v>72</v>
      </c>
      <c r="H348" t="s">
        <v>570</v>
      </c>
      <c r="I348" t="s">
        <v>69</v>
      </c>
      <c r="J348" s="12">
        <v>136.99</v>
      </c>
      <c r="K348">
        <v>1</v>
      </c>
      <c r="L348" s="12">
        <v>136.99</v>
      </c>
      <c r="M348" s="13">
        <v>15</v>
      </c>
      <c r="N348" s="13">
        <v>66</v>
      </c>
      <c r="O348" s="13">
        <v>151</v>
      </c>
      <c r="P348" s="13">
        <v>433</v>
      </c>
      <c r="Q348" s="12">
        <v>9041.34</v>
      </c>
      <c r="R348" s="14">
        <f t="shared" si="10"/>
        <v>0.974025974025974</v>
      </c>
      <c r="S348">
        <v>81</v>
      </c>
      <c r="T348" s="15">
        <f t="shared" si="11"/>
        <v>36.8181818181818</v>
      </c>
      <c r="U348" t="s">
        <v>218</v>
      </c>
      <c r="V348">
        <v>20</v>
      </c>
      <c r="W348">
        <v>4.8</v>
      </c>
      <c r="X348" s="16">
        <v>0.0515</v>
      </c>
      <c r="Y348" s="17">
        <v>45923</v>
      </c>
      <c r="Z348" t="s">
        <v>219</v>
      </c>
      <c r="AB348" s="18">
        <v>-0.153846153846154</v>
      </c>
      <c r="AC348" t="s">
        <v>331</v>
      </c>
      <c r="AD348" t="s">
        <v>305</v>
      </c>
      <c r="AE348" t="s">
        <v>740</v>
      </c>
      <c r="AF348" t="s">
        <v>645</v>
      </c>
      <c r="AG348" t="s">
        <v>224</v>
      </c>
      <c r="AH348" t="s">
        <v>1982</v>
      </c>
      <c r="AI348" t="s">
        <v>225</v>
      </c>
      <c r="AJ348">
        <v>1</v>
      </c>
    </row>
    <row r="349" ht="23" customHeight="1" spans="1:36">
      <c r="A349">
        <v>346</v>
      </c>
      <c r="B349" t="s">
        <v>1983</v>
      </c>
      <c r="C349" t="s">
        <v>1984</v>
      </c>
      <c r="D349" t="s">
        <v>19</v>
      </c>
      <c r="E349" t="s">
        <v>56</v>
      </c>
      <c r="F349" t="s">
        <v>1198</v>
      </c>
      <c r="G349" t="s">
        <v>1199</v>
      </c>
      <c r="H349" t="s">
        <v>1985</v>
      </c>
      <c r="I349" t="s">
        <v>69</v>
      </c>
      <c r="J349" s="12">
        <v>276.25</v>
      </c>
      <c r="K349">
        <v>1</v>
      </c>
      <c r="L349" s="12">
        <v>276.25</v>
      </c>
      <c r="M349" s="13">
        <v>5</v>
      </c>
      <c r="N349" s="13">
        <v>66</v>
      </c>
      <c r="O349" s="13">
        <v>295</v>
      </c>
      <c r="P349" s="13">
        <v>305</v>
      </c>
      <c r="Q349" s="12">
        <v>18232.5</v>
      </c>
      <c r="R349" s="14">
        <f t="shared" si="10"/>
        <v>0.324675324675325</v>
      </c>
      <c r="S349">
        <v>14</v>
      </c>
      <c r="T349" s="15">
        <f t="shared" si="11"/>
        <v>6.36363636363636</v>
      </c>
      <c r="U349" t="s">
        <v>218</v>
      </c>
      <c r="V349">
        <v>13</v>
      </c>
      <c r="W349">
        <v>4.5</v>
      </c>
      <c r="X349" s="16">
        <v>0.0484</v>
      </c>
      <c r="Y349" s="17">
        <v>46041</v>
      </c>
      <c r="Z349" t="s">
        <v>219</v>
      </c>
      <c r="AB349" s="18">
        <v>-0.463414634146341</v>
      </c>
      <c r="AC349" t="s">
        <v>1543</v>
      </c>
      <c r="AD349" t="s">
        <v>318</v>
      </c>
      <c r="AE349" t="s">
        <v>319</v>
      </c>
      <c r="AF349" t="s">
        <v>592</v>
      </c>
      <c r="AG349" t="s">
        <v>224</v>
      </c>
      <c r="AH349" t="s">
        <v>1986</v>
      </c>
      <c r="AI349" t="s">
        <v>225</v>
      </c>
      <c r="AJ349">
        <v>1</v>
      </c>
    </row>
    <row r="350" ht="23" customHeight="1" spans="1:36">
      <c r="A350">
        <v>347</v>
      </c>
      <c r="B350" t="s">
        <v>1987</v>
      </c>
      <c r="C350" t="s">
        <v>1988</v>
      </c>
      <c r="D350" t="s">
        <v>23</v>
      </c>
      <c r="E350" t="s">
        <v>59</v>
      </c>
      <c r="F350" t="s">
        <v>1798</v>
      </c>
      <c r="G350" t="s">
        <v>1799</v>
      </c>
      <c r="H350" t="s">
        <v>1800</v>
      </c>
      <c r="I350" t="s">
        <v>68</v>
      </c>
      <c r="J350" s="12">
        <v>365.04</v>
      </c>
      <c r="K350">
        <v>1</v>
      </c>
      <c r="L350" s="12">
        <v>365.04</v>
      </c>
      <c r="M350" s="13">
        <v>16</v>
      </c>
      <c r="N350" s="13">
        <v>66</v>
      </c>
      <c r="O350" s="13">
        <v>110</v>
      </c>
      <c r="P350" s="13">
        <v>390</v>
      </c>
      <c r="Q350" s="12">
        <v>24092.64</v>
      </c>
      <c r="R350" s="14">
        <f t="shared" si="10"/>
        <v>1.03896103896104</v>
      </c>
      <c r="S350">
        <v>21</v>
      </c>
      <c r="T350" s="15">
        <f t="shared" si="11"/>
        <v>9.54545454545454</v>
      </c>
      <c r="U350" t="s">
        <v>218</v>
      </c>
      <c r="V350">
        <v>64</v>
      </c>
      <c r="W350">
        <v>4.8</v>
      </c>
      <c r="X350" s="16">
        <v>0.0312</v>
      </c>
      <c r="Y350" s="17">
        <v>45765</v>
      </c>
      <c r="Z350" t="s">
        <v>219</v>
      </c>
      <c r="AB350" s="18">
        <v>0.885714285714286</v>
      </c>
      <c r="AC350" t="s">
        <v>726</v>
      </c>
      <c r="AD350" t="s">
        <v>271</v>
      </c>
      <c r="AE350" t="s">
        <v>396</v>
      </c>
      <c r="AF350" t="s">
        <v>708</v>
      </c>
      <c r="AG350" t="s">
        <v>224</v>
      </c>
      <c r="AH350" t="s">
        <v>1989</v>
      </c>
      <c r="AI350" t="s">
        <v>225</v>
      </c>
      <c r="AJ350">
        <v>1</v>
      </c>
    </row>
    <row r="351" ht="23" customHeight="1" spans="1:36">
      <c r="A351">
        <v>348</v>
      </c>
      <c r="B351" t="s">
        <v>1990</v>
      </c>
      <c r="C351" t="s">
        <v>1991</v>
      </c>
      <c r="D351" t="s">
        <v>21</v>
      </c>
      <c r="E351" t="s">
        <v>56</v>
      </c>
      <c r="F351" t="s">
        <v>840</v>
      </c>
      <c r="G351" t="s">
        <v>841</v>
      </c>
      <c r="H351" t="s">
        <v>1992</v>
      </c>
      <c r="I351" t="s">
        <v>69</v>
      </c>
      <c r="J351" s="12">
        <v>289.13</v>
      </c>
      <c r="K351">
        <v>1</v>
      </c>
      <c r="L351" s="12">
        <v>289.13</v>
      </c>
      <c r="M351" s="13">
        <v>21</v>
      </c>
      <c r="N351" s="13">
        <v>66</v>
      </c>
      <c r="O351" s="13">
        <v>80</v>
      </c>
      <c r="P351" s="13">
        <v>94</v>
      </c>
      <c r="Q351" s="12">
        <v>19082.58</v>
      </c>
      <c r="R351" s="14">
        <f t="shared" si="10"/>
        <v>1.36363636363636</v>
      </c>
      <c r="S351">
        <v>85</v>
      </c>
      <c r="T351" s="15">
        <f t="shared" si="11"/>
        <v>38.6363636363636</v>
      </c>
      <c r="U351" t="s">
        <v>218</v>
      </c>
      <c r="V351">
        <v>1</v>
      </c>
      <c r="W351">
        <v>5</v>
      </c>
      <c r="X351" s="16">
        <v>0.073</v>
      </c>
      <c r="Y351" s="17">
        <v>45990</v>
      </c>
      <c r="Z351" t="s">
        <v>219</v>
      </c>
      <c r="AB351" s="18">
        <v>4.07692307692308</v>
      </c>
      <c r="AC351" t="s">
        <v>740</v>
      </c>
      <c r="AD351" t="s">
        <v>1993</v>
      </c>
      <c r="AE351" t="s">
        <v>301</v>
      </c>
      <c r="AF351" t="s">
        <v>619</v>
      </c>
      <c r="AG351" t="s">
        <v>224</v>
      </c>
      <c r="AH351" t="s">
        <v>1994</v>
      </c>
      <c r="AI351" t="s">
        <v>225</v>
      </c>
      <c r="AJ351">
        <v>1</v>
      </c>
    </row>
    <row r="352" ht="23" customHeight="1" spans="1:36">
      <c r="A352">
        <v>349</v>
      </c>
      <c r="B352" t="s">
        <v>1995</v>
      </c>
      <c r="C352" t="s">
        <v>1996</v>
      </c>
      <c r="D352" t="s">
        <v>19</v>
      </c>
      <c r="E352" t="s">
        <v>56</v>
      </c>
      <c r="F352" t="s">
        <v>1997</v>
      </c>
      <c r="G352" t="s">
        <v>1998</v>
      </c>
      <c r="H352" t="s">
        <v>1999</v>
      </c>
      <c r="I352" t="s">
        <v>68</v>
      </c>
      <c r="J352" s="12">
        <v>240</v>
      </c>
      <c r="K352">
        <v>2</v>
      </c>
      <c r="L352" s="12">
        <v>120</v>
      </c>
      <c r="M352" s="13">
        <v>20</v>
      </c>
      <c r="N352" s="13">
        <v>66</v>
      </c>
      <c r="O352" s="13">
        <v>106</v>
      </c>
      <c r="P352" s="13">
        <v>985</v>
      </c>
      <c r="Q352" s="12">
        <v>15840</v>
      </c>
      <c r="R352" s="14">
        <f t="shared" si="10"/>
        <v>1.2987012987013</v>
      </c>
      <c r="S352">
        <v>18</v>
      </c>
      <c r="T352" s="15">
        <f t="shared" si="11"/>
        <v>8.18181818181818</v>
      </c>
      <c r="U352" t="s">
        <v>218</v>
      </c>
      <c r="V352">
        <v>34</v>
      </c>
      <c r="W352">
        <v>4.6</v>
      </c>
      <c r="X352" s="16">
        <v>0.0973</v>
      </c>
      <c r="Y352" s="17">
        <v>45099</v>
      </c>
      <c r="Z352" t="s">
        <v>219</v>
      </c>
      <c r="AB352" s="18">
        <v>0.833333333333333</v>
      </c>
      <c r="AC352" t="s">
        <v>249</v>
      </c>
      <c r="AD352" t="s">
        <v>296</v>
      </c>
      <c r="AE352" t="s">
        <v>481</v>
      </c>
      <c r="AF352" t="s">
        <v>1440</v>
      </c>
      <c r="AG352" t="s">
        <v>224</v>
      </c>
      <c r="AH352" t="s">
        <v>2000</v>
      </c>
      <c r="AI352" t="s">
        <v>225</v>
      </c>
      <c r="AJ352">
        <v>1</v>
      </c>
    </row>
    <row r="353" ht="23" customHeight="1" spans="1:36">
      <c r="A353">
        <v>350</v>
      </c>
      <c r="B353" t="s">
        <v>2001</v>
      </c>
      <c r="C353" t="s">
        <v>2002</v>
      </c>
      <c r="D353" t="s">
        <v>19</v>
      </c>
      <c r="E353" t="s">
        <v>50</v>
      </c>
      <c r="F353" t="s">
        <v>401</v>
      </c>
      <c r="G353" t="s">
        <v>74</v>
      </c>
      <c r="H353" t="s">
        <v>431</v>
      </c>
      <c r="I353" t="s">
        <v>69</v>
      </c>
      <c r="J353" s="12">
        <v>119.07</v>
      </c>
      <c r="K353">
        <v>1</v>
      </c>
      <c r="L353" s="12">
        <v>119.07</v>
      </c>
      <c r="M353" s="13">
        <v>18</v>
      </c>
      <c r="N353" s="13">
        <v>66</v>
      </c>
      <c r="O353" s="13">
        <v>95</v>
      </c>
      <c r="P353" s="13">
        <v>650</v>
      </c>
      <c r="Q353" s="12">
        <v>8215.83</v>
      </c>
      <c r="R353" s="14">
        <f t="shared" si="10"/>
        <v>1.16883116883117</v>
      </c>
      <c r="S353">
        <v>57</v>
      </c>
      <c r="T353" s="15">
        <f t="shared" si="11"/>
        <v>25.9090909090909</v>
      </c>
      <c r="U353" t="s">
        <v>218</v>
      </c>
      <c r="V353">
        <v>30</v>
      </c>
      <c r="W353">
        <v>4.8</v>
      </c>
      <c r="X353" s="16">
        <v>0.2366</v>
      </c>
      <c r="Y353" s="17">
        <v>45064</v>
      </c>
      <c r="Z353" t="s">
        <v>219</v>
      </c>
      <c r="AA353">
        <v>-1</v>
      </c>
      <c r="AB353" s="18">
        <v>1.44444444444444</v>
      </c>
      <c r="AC353" t="s">
        <v>473</v>
      </c>
      <c r="AD353" t="s">
        <v>540</v>
      </c>
      <c r="AE353" t="s">
        <v>947</v>
      </c>
      <c r="AF353" t="s">
        <v>491</v>
      </c>
      <c r="AG353" t="s">
        <v>224</v>
      </c>
      <c r="AH353" t="s">
        <v>2003</v>
      </c>
      <c r="AI353" t="s">
        <v>225</v>
      </c>
      <c r="AJ353">
        <v>1</v>
      </c>
    </row>
    <row r="354" ht="23" customHeight="1" spans="1:36">
      <c r="A354">
        <v>351</v>
      </c>
      <c r="B354" t="s">
        <v>2004</v>
      </c>
      <c r="C354" t="s">
        <v>2005</v>
      </c>
      <c r="D354" t="s">
        <v>19</v>
      </c>
      <c r="E354" t="s">
        <v>53</v>
      </c>
      <c r="F354" t="s">
        <v>407</v>
      </c>
      <c r="G354" t="s">
        <v>72</v>
      </c>
      <c r="H354" t="s">
        <v>1249</v>
      </c>
      <c r="I354" t="s">
        <v>69</v>
      </c>
      <c r="J354" s="12">
        <v>163.84</v>
      </c>
      <c r="K354">
        <v>1</v>
      </c>
      <c r="L354" s="12">
        <v>163.84</v>
      </c>
      <c r="M354" s="13">
        <v>8</v>
      </c>
      <c r="N354" s="13">
        <v>66</v>
      </c>
      <c r="O354" s="13">
        <v>302</v>
      </c>
      <c r="P354" s="13">
        <v>357</v>
      </c>
      <c r="Q354" s="12">
        <v>11304.96</v>
      </c>
      <c r="R354" s="14">
        <f t="shared" si="10"/>
        <v>0.519480519480519</v>
      </c>
      <c r="S354">
        <v>29</v>
      </c>
      <c r="T354" s="15">
        <f t="shared" si="11"/>
        <v>13.1818181818182</v>
      </c>
      <c r="U354" t="s">
        <v>218</v>
      </c>
      <c r="V354">
        <v>7</v>
      </c>
      <c r="W354">
        <v>5</v>
      </c>
      <c r="X354" s="16">
        <v>0.0855</v>
      </c>
      <c r="Y354" s="17">
        <v>46114</v>
      </c>
      <c r="Z354" t="s">
        <v>228</v>
      </c>
      <c r="AB354" s="18">
        <v>-0.541666666666667</v>
      </c>
      <c r="AC354" t="s">
        <v>243</v>
      </c>
      <c r="AD354" t="s">
        <v>272</v>
      </c>
      <c r="AE354" t="s">
        <v>747</v>
      </c>
      <c r="AF354" t="s">
        <v>255</v>
      </c>
      <c r="AG354" t="s">
        <v>224</v>
      </c>
      <c r="AH354" t="s">
        <v>2006</v>
      </c>
      <c r="AI354" t="s">
        <v>225</v>
      </c>
      <c r="AJ354">
        <v>1</v>
      </c>
    </row>
    <row r="355" ht="23" customHeight="1" spans="1:36">
      <c r="A355">
        <v>352</v>
      </c>
      <c r="B355" t="s">
        <v>2007</v>
      </c>
      <c r="C355" t="s">
        <v>2008</v>
      </c>
      <c r="D355" t="s">
        <v>19</v>
      </c>
      <c r="E355" t="s">
        <v>62</v>
      </c>
      <c r="F355" t="s">
        <v>309</v>
      </c>
      <c r="G355" t="s">
        <v>75</v>
      </c>
      <c r="H355" t="s">
        <v>2009</v>
      </c>
      <c r="I355" t="s">
        <v>69</v>
      </c>
      <c r="J355" s="12">
        <v>559.76</v>
      </c>
      <c r="K355">
        <v>5</v>
      </c>
      <c r="L355" s="12">
        <v>111.95</v>
      </c>
      <c r="M355" s="13">
        <v>17</v>
      </c>
      <c r="N355" s="13">
        <v>66</v>
      </c>
      <c r="O355" s="13">
        <v>76</v>
      </c>
      <c r="P355" s="13">
        <v>81</v>
      </c>
      <c r="Q355" s="12">
        <v>38623.44</v>
      </c>
      <c r="R355" s="14">
        <f t="shared" si="10"/>
        <v>1.1038961038961</v>
      </c>
      <c r="S355">
        <v>54</v>
      </c>
      <c r="T355" s="15">
        <f t="shared" si="11"/>
        <v>24.5454545454545</v>
      </c>
      <c r="U355" t="s">
        <v>218</v>
      </c>
      <c r="V355">
        <v>0</v>
      </c>
      <c r="W355">
        <v>0</v>
      </c>
      <c r="X355" s="16">
        <v>0.0433</v>
      </c>
      <c r="Y355" s="17">
        <v>46111</v>
      </c>
      <c r="Z355" t="s">
        <v>228</v>
      </c>
      <c r="AB355" s="18">
        <v>5.6</v>
      </c>
      <c r="AC355" t="s">
        <v>2010</v>
      </c>
      <c r="AD355" t="s">
        <v>253</v>
      </c>
      <c r="AE355" t="s">
        <v>481</v>
      </c>
      <c r="AF355" t="s">
        <v>2011</v>
      </c>
      <c r="AG355" t="s">
        <v>224</v>
      </c>
      <c r="AH355" t="s">
        <v>2012</v>
      </c>
      <c r="AI355" t="s">
        <v>225</v>
      </c>
      <c r="AJ355">
        <v>1</v>
      </c>
    </row>
    <row r="356" ht="23" customHeight="1" spans="1:36">
      <c r="A356">
        <v>353</v>
      </c>
      <c r="B356" t="s">
        <v>2013</v>
      </c>
      <c r="C356" t="s">
        <v>2014</v>
      </c>
      <c r="D356" t="s">
        <v>23</v>
      </c>
      <c r="E356" t="s">
        <v>50</v>
      </c>
      <c r="F356" t="s">
        <v>2015</v>
      </c>
      <c r="G356" t="s">
        <v>2016</v>
      </c>
      <c r="H356" t="s">
        <v>2017</v>
      </c>
      <c r="I356" t="s">
        <v>69</v>
      </c>
      <c r="J356" s="12">
        <v>138.71</v>
      </c>
      <c r="K356">
        <v>1</v>
      </c>
      <c r="L356" s="12">
        <v>138.71</v>
      </c>
      <c r="M356" s="13">
        <v>8</v>
      </c>
      <c r="N356" s="13">
        <v>66</v>
      </c>
      <c r="O356" s="13">
        <v>179</v>
      </c>
      <c r="P356" s="13">
        <v>1694</v>
      </c>
      <c r="Q356" s="12">
        <v>9709.7</v>
      </c>
      <c r="R356" s="14">
        <f t="shared" si="10"/>
        <v>0.519480519480519</v>
      </c>
      <c r="S356">
        <v>117</v>
      </c>
      <c r="T356" s="15">
        <f t="shared" si="11"/>
        <v>53.1818181818182</v>
      </c>
      <c r="U356" t="s">
        <v>218</v>
      </c>
      <c r="V356">
        <v>219</v>
      </c>
      <c r="W356">
        <v>4.7</v>
      </c>
      <c r="X356" s="16">
        <v>0.0663</v>
      </c>
      <c r="Y356" s="17">
        <v>45518</v>
      </c>
      <c r="Z356" t="s">
        <v>219</v>
      </c>
      <c r="AB356" s="18">
        <v>0.571428571428571</v>
      </c>
      <c r="AC356" t="s">
        <v>2018</v>
      </c>
      <c r="AD356" t="s">
        <v>341</v>
      </c>
      <c r="AE356" t="s">
        <v>450</v>
      </c>
      <c r="AF356" t="s">
        <v>367</v>
      </c>
      <c r="AG356" t="s">
        <v>224</v>
      </c>
      <c r="AH356" t="s">
        <v>2019</v>
      </c>
      <c r="AI356" t="s">
        <v>225</v>
      </c>
      <c r="AJ356">
        <v>1</v>
      </c>
    </row>
    <row r="357" ht="23" customHeight="1" spans="1:36">
      <c r="A357">
        <v>354</v>
      </c>
      <c r="B357" t="s">
        <v>2020</v>
      </c>
      <c r="C357" t="s">
        <v>2021</v>
      </c>
      <c r="D357" t="s">
        <v>19</v>
      </c>
      <c r="E357" t="s">
        <v>56</v>
      </c>
      <c r="F357" t="s">
        <v>1400</v>
      </c>
      <c r="G357" t="s">
        <v>1401</v>
      </c>
      <c r="H357" t="s">
        <v>1402</v>
      </c>
      <c r="I357" t="s">
        <v>68</v>
      </c>
      <c r="J357" s="12">
        <v>201.74</v>
      </c>
      <c r="K357">
        <v>1</v>
      </c>
      <c r="L357" s="12">
        <v>201.74</v>
      </c>
      <c r="M357" s="13">
        <v>8</v>
      </c>
      <c r="N357" s="13">
        <v>65</v>
      </c>
      <c r="O357" s="13">
        <v>165</v>
      </c>
      <c r="P357" s="13">
        <v>173</v>
      </c>
      <c r="Q357" s="12">
        <v>13113.1</v>
      </c>
      <c r="R357" s="14">
        <f t="shared" si="10"/>
        <v>0.527472527472527</v>
      </c>
      <c r="S357">
        <v>26</v>
      </c>
      <c r="T357" s="15">
        <f t="shared" si="11"/>
        <v>12</v>
      </c>
      <c r="U357" t="s">
        <v>999</v>
      </c>
      <c r="V357">
        <v>2</v>
      </c>
      <c r="W357">
        <v>5</v>
      </c>
      <c r="X357" s="16">
        <v>0.0438</v>
      </c>
      <c r="Y357" s="17">
        <v>45975</v>
      </c>
      <c r="Z357" t="s">
        <v>219</v>
      </c>
      <c r="AB357" s="18">
        <v>-0.269662921348315</v>
      </c>
      <c r="AF357" t="s">
        <v>2022</v>
      </c>
      <c r="AG357" t="s">
        <v>224</v>
      </c>
      <c r="AH357" t="s">
        <v>2023</v>
      </c>
      <c r="AI357" t="s">
        <v>225</v>
      </c>
      <c r="AJ357">
        <v>1</v>
      </c>
    </row>
    <row r="358" ht="23" customHeight="1" spans="1:36">
      <c r="A358">
        <v>355</v>
      </c>
      <c r="B358" t="s">
        <v>2024</v>
      </c>
      <c r="C358" t="s">
        <v>2025</v>
      </c>
      <c r="D358" t="s">
        <v>19</v>
      </c>
      <c r="E358" t="s">
        <v>56</v>
      </c>
      <c r="F358" t="s">
        <v>407</v>
      </c>
      <c r="G358" t="s">
        <v>72</v>
      </c>
      <c r="H358" t="s">
        <v>570</v>
      </c>
      <c r="I358" t="s">
        <v>69</v>
      </c>
      <c r="J358" s="12">
        <v>240.77</v>
      </c>
      <c r="K358">
        <v>1</v>
      </c>
      <c r="L358" s="12">
        <v>240.77</v>
      </c>
      <c r="M358" s="13">
        <v>17</v>
      </c>
      <c r="N358" s="13">
        <v>65</v>
      </c>
      <c r="O358" s="13">
        <v>271</v>
      </c>
      <c r="P358" s="13">
        <v>1497</v>
      </c>
      <c r="Q358" s="12">
        <v>16613.13</v>
      </c>
      <c r="R358" s="14">
        <f t="shared" si="10"/>
        <v>1.12087912087912</v>
      </c>
      <c r="S358">
        <v>450</v>
      </c>
      <c r="T358" s="15">
        <f t="shared" si="11"/>
        <v>207.692307692308</v>
      </c>
      <c r="U358" t="s">
        <v>218</v>
      </c>
      <c r="V358">
        <v>79</v>
      </c>
      <c r="W358">
        <v>4.8</v>
      </c>
      <c r="X358" s="16">
        <v>0.0996</v>
      </c>
      <c r="Y358" s="17">
        <v>45922</v>
      </c>
      <c r="Z358" t="s">
        <v>219</v>
      </c>
      <c r="AB358" s="18">
        <v>-0.532374100719424</v>
      </c>
      <c r="AC358" t="s">
        <v>844</v>
      </c>
      <c r="AD358" t="s">
        <v>1723</v>
      </c>
      <c r="AE358" t="s">
        <v>546</v>
      </c>
      <c r="AF358" t="s">
        <v>602</v>
      </c>
      <c r="AG358" t="s">
        <v>224</v>
      </c>
      <c r="AH358" t="s">
        <v>2026</v>
      </c>
      <c r="AI358" t="s">
        <v>225</v>
      </c>
      <c r="AJ358">
        <v>1</v>
      </c>
    </row>
    <row r="359" ht="23" customHeight="1" spans="1:36">
      <c r="A359">
        <v>356</v>
      </c>
      <c r="B359" t="s">
        <v>2027</v>
      </c>
      <c r="C359" t="s">
        <v>2028</v>
      </c>
      <c r="D359" t="s">
        <v>23</v>
      </c>
      <c r="E359" t="s">
        <v>50</v>
      </c>
      <c r="F359" t="s">
        <v>2029</v>
      </c>
      <c r="G359" t="s">
        <v>2030</v>
      </c>
      <c r="H359" t="s">
        <v>2031</v>
      </c>
      <c r="I359" t="s">
        <v>69</v>
      </c>
      <c r="J359" s="12">
        <v>145.69</v>
      </c>
      <c r="K359">
        <v>1</v>
      </c>
      <c r="L359" s="12">
        <v>145.69</v>
      </c>
      <c r="M359" s="13">
        <v>18</v>
      </c>
      <c r="N359" s="13">
        <v>65</v>
      </c>
      <c r="O359" s="13">
        <v>98</v>
      </c>
      <c r="P359" s="13">
        <v>179</v>
      </c>
      <c r="Q359" s="12">
        <v>9469.85</v>
      </c>
      <c r="R359" s="14">
        <f t="shared" si="10"/>
        <v>1.18681318681319</v>
      </c>
      <c r="S359">
        <v>34</v>
      </c>
      <c r="T359" s="15">
        <f t="shared" si="11"/>
        <v>15.6923076923077</v>
      </c>
      <c r="U359" t="s">
        <v>218</v>
      </c>
      <c r="V359">
        <v>259</v>
      </c>
      <c r="W359">
        <v>4.4</v>
      </c>
      <c r="X359" s="16">
        <v>0.0352</v>
      </c>
      <c r="Y359" s="17">
        <v>45994</v>
      </c>
      <c r="Z359" t="s">
        <v>219</v>
      </c>
      <c r="AB359" s="18">
        <v>2.82352941176471</v>
      </c>
      <c r="AC359" t="s">
        <v>2032</v>
      </c>
      <c r="AD359" t="s">
        <v>639</v>
      </c>
      <c r="AE359" t="s">
        <v>2033</v>
      </c>
      <c r="AF359" t="s">
        <v>2034</v>
      </c>
      <c r="AG359" t="s">
        <v>224</v>
      </c>
      <c r="AH359" t="s">
        <v>2035</v>
      </c>
      <c r="AI359" t="s">
        <v>225</v>
      </c>
      <c r="AJ359">
        <v>1</v>
      </c>
    </row>
    <row r="360" ht="23" customHeight="1" spans="1:36">
      <c r="A360">
        <v>357</v>
      </c>
      <c r="B360" t="s">
        <v>2036</v>
      </c>
      <c r="C360" t="s">
        <v>2037</v>
      </c>
      <c r="D360" t="s">
        <v>19</v>
      </c>
      <c r="E360" t="s">
        <v>53</v>
      </c>
      <c r="F360" t="s">
        <v>1275</v>
      </c>
      <c r="G360" t="s">
        <v>1276</v>
      </c>
      <c r="H360" t="s">
        <v>2038</v>
      </c>
      <c r="I360" t="s">
        <v>68</v>
      </c>
      <c r="J360" s="12">
        <v>182</v>
      </c>
      <c r="K360">
        <v>6</v>
      </c>
      <c r="L360" s="12">
        <v>30.33</v>
      </c>
      <c r="M360" s="13">
        <v>4</v>
      </c>
      <c r="N360" s="13">
        <v>65</v>
      </c>
      <c r="O360" s="13">
        <v>141</v>
      </c>
      <c r="P360" s="13">
        <v>180</v>
      </c>
      <c r="Q360" s="12">
        <v>12558</v>
      </c>
      <c r="R360" s="14">
        <f t="shared" si="10"/>
        <v>0.263736263736264</v>
      </c>
      <c r="S360">
        <v>17</v>
      </c>
      <c r="T360" s="15">
        <f t="shared" si="11"/>
        <v>7.84615384615385</v>
      </c>
      <c r="U360" t="s">
        <v>218</v>
      </c>
      <c r="V360">
        <v>50</v>
      </c>
      <c r="W360">
        <v>4.7</v>
      </c>
      <c r="X360" s="16">
        <v>0.0985</v>
      </c>
      <c r="Y360" s="17">
        <v>46139</v>
      </c>
      <c r="Z360" t="s">
        <v>228</v>
      </c>
      <c r="AB360" s="18">
        <v>0.382978723404255</v>
      </c>
      <c r="AC360" t="s">
        <v>300</v>
      </c>
      <c r="AD360" t="s">
        <v>518</v>
      </c>
      <c r="AE360" t="s">
        <v>319</v>
      </c>
      <c r="AF360" t="s">
        <v>491</v>
      </c>
      <c r="AG360" t="s">
        <v>224</v>
      </c>
      <c r="AH360" t="s">
        <v>2039</v>
      </c>
      <c r="AI360" t="s">
        <v>225</v>
      </c>
      <c r="AJ360">
        <v>1</v>
      </c>
    </row>
    <row r="361" ht="23" customHeight="1" spans="1:36">
      <c r="A361">
        <v>358</v>
      </c>
      <c r="B361" t="s">
        <v>2040</v>
      </c>
      <c r="C361" t="s">
        <v>2041</v>
      </c>
      <c r="D361" t="s">
        <v>19</v>
      </c>
      <c r="E361" t="s">
        <v>50</v>
      </c>
      <c r="F361" t="s">
        <v>407</v>
      </c>
      <c r="G361" t="s">
        <v>72</v>
      </c>
      <c r="H361" t="s">
        <v>408</v>
      </c>
      <c r="I361" t="s">
        <v>69</v>
      </c>
      <c r="J361" s="12">
        <v>137.16</v>
      </c>
      <c r="K361">
        <v>1</v>
      </c>
      <c r="L361" s="12">
        <v>137.16</v>
      </c>
      <c r="M361" s="13">
        <v>7</v>
      </c>
      <c r="N361" s="13">
        <v>65</v>
      </c>
      <c r="O361" s="13">
        <v>162</v>
      </c>
      <c r="P361" s="13">
        <v>388</v>
      </c>
      <c r="Q361" s="12">
        <v>9464.04</v>
      </c>
      <c r="R361" s="14">
        <f t="shared" si="10"/>
        <v>0.461538461538462</v>
      </c>
      <c r="S361">
        <v>324</v>
      </c>
      <c r="T361" s="15">
        <f t="shared" si="11"/>
        <v>149.538461538462</v>
      </c>
      <c r="U361" t="s">
        <v>218</v>
      </c>
      <c r="V361">
        <v>9</v>
      </c>
      <c r="W361">
        <v>4.9</v>
      </c>
      <c r="X361" s="16">
        <v>0.0648</v>
      </c>
      <c r="Y361" s="17">
        <v>46035</v>
      </c>
      <c r="Z361" t="s">
        <v>219</v>
      </c>
      <c r="AB361" s="18">
        <v>0.101694915254237</v>
      </c>
      <c r="AC361" t="s">
        <v>546</v>
      </c>
      <c r="AD361" t="s">
        <v>325</v>
      </c>
      <c r="AE361" t="s">
        <v>250</v>
      </c>
      <c r="AF361" t="s">
        <v>491</v>
      </c>
      <c r="AG361" t="s">
        <v>224</v>
      </c>
      <c r="AH361" t="s">
        <v>2042</v>
      </c>
      <c r="AI361" t="s">
        <v>225</v>
      </c>
      <c r="AJ361">
        <v>1</v>
      </c>
    </row>
    <row r="362" ht="23" customHeight="1" spans="1:36">
      <c r="A362">
        <v>359</v>
      </c>
      <c r="B362" t="s">
        <v>2043</v>
      </c>
      <c r="C362" t="s">
        <v>2044</v>
      </c>
      <c r="D362" t="s">
        <v>19</v>
      </c>
      <c r="E362" t="s">
        <v>53</v>
      </c>
      <c r="F362" t="s">
        <v>407</v>
      </c>
      <c r="G362" t="s">
        <v>72</v>
      </c>
      <c r="H362" t="s">
        <v>1407</v>
      </c>
      <c r="I362" t="s">
        <v>69</v>
      </c>
      <c r="J362" s="12">
        <v>156.61</v>
      </c>
      <c r="K362">
        <v>1</v>
      </c>
      <c r="L362" s="12">
        <v>156.61</v>
      </c>
      <c r="M362" s="13">
        <v>4</v>
      </c>
      <c r="N362" s="13">
        <v>65</v>
      </c>
      <c r="O362" s="13">
        <v>194</v>
      </c>
      <c r="P362" s="13">
        <v>271</v>
      </c>
      <c r="Q362" s="12">
        <v>10179.65</v>
      </c>
      <c r="R362" s="14">
        <f t="shared" si="10"/>
        <v>0.263736263736264</v>
      </c>
      <c r="S362">
        <v>138</v>
      </c>
      <c r="T362" s="15">
        <f t="shared" si="11"/>
        <v>63.6923076923077</v>
      </c>
      <c r="U362" t="s">
        <v>218</v>
      </c>
      <c r="V362">
        <v>6</v>
      </c>
      <c r="W362">
        <v>5</v>
      </c>
      <c r="X362" s="16">
        <v>0.1059</v>
      </c>
      <c r="Y362" s="17">
        <v>46107</v>
      </c>
      <c r="Z362" t="s">
        <v>219</v>
      </c>
      <c r="AB362" s="18">
        <v>-0.467213114754098</v>
      </c>
      <c r="AC362" t="s">
        <v>236</v>
      </c>
      <c r="AD362" t="s">
        <v>296</v>
      </c>
      <c r="AE362" t="s">
        <v>296</v>
      </c>
      <c r="AF362" t="s">
        <v>1008</v>
      </c>
      <c r="AG362" t="s">
        <v>224</v>
      </c>
      <c r="AH362" t="s">
        <v>2045</v>
      </c>
      <c r="AI362" t="s">
        <v>225</v>
      </c>
      <c r="AJ362">
        <v>1</v>
      </c>
    </row>
    <row r="363" ht="23" customHeight="1" spans="1:36">
      <c r="A363">
        <v>360</v>
      </c>
      <c r="B363" t="s">
        <v>2046</v>
      </c>
      <c r="C363" t="s">
        <v>2047</v>
      </c>
      <c r="D363" t="s">
        <v>34</v>
      </c>
      <c r="E363" t="s">
        <v>59</v>
      </c>
      <c r="F363" t="s">
        <v>2048</v>
      </c>
      <c r="G363" t="s">
        <v>2049</v>
      </c>
      <c r="H363" t="s">
        <v>909</v>
      </c>
      <c r="I363" t="s">
        <v>69</v>
      </c>
      <c r="J363" s="12">
        <v>388.09</v>
      </c>
      <c r="K363">
        <v>1</v>
      </c>
      <c r="L363" s="12">
        <v>388.09</v>
      </c>
      <c r="M363" s="13">
        <v>23</v>
      </c>
      <c r="N363" s="13">
        <v>65</v>
      </c>
      <c r="O363" s="13">
        <v>425</v>
      </c>
      <c r="P363" s="13">
        <v>682</v>
      </c>
      <c r="Q363" s="12">
        <v>25225.85</v>
      </c>
      <c r="R363" s="14">
        <f t="shared" si="10"/>
        <v>1.51648351648352</v>
      </c>
      <c r="S363">
        <v>148</v>
      </c>
      <c r="T363" s="15">
        <f t="shared" si="11"/>
        <v>68.3076923076923</v>
      </c>
      <c r="U363" t="s">
        <v>218</v>
      </c>
      <c r="V363">
        <v>25</v>
      </c>
      <c r="W363">
        <v>4.8</v>
      </c>
      <c r="X363" s="16">
        <v>0.0604</v>
      </c>
      <c r="Y363" s="17">
        <v>46153</v>
      </c>
      <c r="Z363" t="s">
        <v>228</v>
      </c>
      <c r="AB363" s="18">
        <v>-0.613095238095238</v>
      </c>
      <c r="AC363" t="s">
        <v>2050</v>
      </c>
      <c r="AD363" t="s">
        <v>548</v>
      </c>
      <c r="AE363" t="s">
        <v>644</v>
      </c>
      <c r="AF363" t="s">
        <v>2011</v>
      </c>
      <c r="AG363" t="s">
        <v>224</v>
      </c>
      <c r="AH363" t="s">
        <v>2051</v>
      </c>
      <c r="AI363" t="s">
        <v>225</v>
      </c>
      <c r="AJ363">
        <v>0</v>
      </c>
    </row>
    <row r="364" ht="23" customHeight="1" spans="1:36">
      <c r="A364">
        <v>361</v>
      </c>
      <c r="B364" t="s">
        <v>2052</v>
      </c>
      <c r="C364" t="s">
        <v>2053</v>
      </c>
      <c r="D364" t="s">
        <v>19</v>
      </c>
      <c r="E364" t="s">
        <v>50</v>
      </c>
      <c r="F364" t="s">
        <v>401</v>
      </c>
      <c r="G364" t="s">
        <v>74</v>
      </c>
      <c r="H364" t="s">
        <v>402</v>
      </c>
      <c r="I364" t="s">
        <v>69</v>
      </c>
      <c r="J364" s="12">
        <v>123.88</v>
      </c>
      <c r="K364">
        <v>1</v>
      </c>
      <c r="L364" s="12">
        <v>123.88</v>
      </c>
      <c r="M364" s="13">
        <v>8</v>
      </c>
      <c r="N364" s="13">
        <v>64</v>
      </c>
      <c r="O364" s="13">
        <v>95</v>
      </c>
      <c r="P364" s="13">
        <v>1614</v>
      </c>
      <c r="Q364" s="12">
        <v>8299.96</v>
      </c>
      <c r="R364" s="14">
        <f t="shared" si="10"/>
        <v>0.535714285714286</v>
      </c>
      <c r="S364">
        <v>24</v>
      </c>
      <c r="T364" s="15">
        <f t="shared" si="11"/>
        <v>11.25</v>
      </c>
      <c r="U364" t="s">
        <v>218</v>
      </c>
      <c r="V364">
        <v>108</v>
      </c>
      <c r="W364">
        <v>4.5</v>
      </c>
      <c r="X364" s="16">
        <v>0.0688</v>
      </c>
      <c r="Y364" s="17">
        <v>45019</v>
      </c>
      <c r="Z364" t="s">
        <v>219</v>
      </c>
      <c r="AB364" s="18">
        <v>15</v>
      </c>
      <c r="AC364" t="s">
        <v>365</v>
      </c>
      <c r="AD364" t="s">
        <v>365</v>
      </c>
      <c r="AE364" t="s">
        <v>326</v>
      </c>
      <c r="AF364" t="s">
        <v>314</v>
      </c>
      <c r="AG364" t="s">
        <v>224</v>
      </c>
      <c r="AH364" t="s">
        <v>2054</v>
      </c>
      <c r="AI364" t="s">
        <v>225</v>
      </c>
      <c r="AJ364">
        <v>1</v>
      </c>
    </row>
    <row r="365" ht="23" customHeight="1" spans="1:36">
      <c r="A365">
        <v>362</v>
      </c>
      <c r="B365" t="s">
        <v>2055</v>
      </c>
      <c r="C365" t="s">
        <v>2056</v>
      </c>
      <c r="D365" t="s">
        <v>19</v>
      </c>
      <c r="E365" t="s">
        <v>59</v>
      </c>
      <c r="F365" t="s">
        <v>2057</v>
      </c>
      <c r="G365" t="s">
        <v>2058</v>
      </c>
      <c r="H365" t="s">
        <v>2059</v>
      </c>
      <c r="I365" t="s">
        <v>69</v>
      </c>
      <c r="J365" s="12">
        <v>385.5</v>
      </c>
      <c r="K365">
        <v>1</v>
      </c>
      <c r="L365" s="12">
        <v>385.5</v>
      </c>
      <c r="M365" s="13">
        <v>10</v>
      </c>
      <c r="N365" s="13">
        <v>64</v>
      </c>
      <c r="O365" s="13">
        <v>81</v>
      </c>
      <c r="P365" s="13">
        <v>138</v>
      </c>
      <c r="Q365" s="12">
        <v>25828.5</v>
      </c>
      <c r="R365" s="14">
        <f t="shared" si="10"/>
        <v>0.669642857142857</v>
      </c>
      <c r="S365">
        <v>87</v>
      </c>
      <c r="T365" s="15">
        <f t="shared" si="11"/>
        <v>40.78125</v>
      </c>
      <c r="U365" t="s">
        <v>218</v>
      </c>
      <c r="V365">
        <v>7</v>
      </c>
      <c r="W365">
        <v>4.9</v>
      </c>
      <c r="X365" s="16">
        <v>0.0194</v>
      </c>
      <c r="Y365" s="17">
        <v>45970</v>
      </c>
      <c r="Z365" t="s">
        <v>219</v>
      </c>
      <c r="AB365" s="18">
        <v>3.26666666666667</v>
      </c>
      <c r="AC365" t="s">
        <v>340</v>
      </c>
      <c r="AD365" t="s">
        <v>623</v>
      </c>
      <c r="AE365" t="s">
        <v>623</v>
      </c>
      <c r="AF365" t="s">
        <v>251</v>
      </c>
      <c r="AG365" t="s">
        <v>224</v>
      </c>
      <c r="AH365" t="s">
        <v>2060</v>
      </c>
      <c r="AI365" t="s">
        <v>225</v>
      </c>
      <c r="AJ365">
        <v>1</v>
      </c>
    </row>
    <row r="366" ht="23" customHeight="1" spans="1:36">
      <c r="A366">
        <v>363</v>
      </c>
      <c r="B366" t="s">
        <v>2061</v>
      </c>
      <c r="C366" t="s">
        <v>2062</v>
      </c>
      <c r="D366" t="s">
        <v>19</v>
      </c>
      <c r="E366" t="s">
        <v>56</v>
      </c>
      <c r="F366" t="s">
        <v>1348</v>
      </c>
      <c r="G366" t="s">
        <v>1349</v>
      </c>
      <c r="H366" t="s">
        <v>1350</v>
      </c>
      <c r="I366" t="s">
        <v>69</v>
      </c>
      <c r="J366" s="12">
        <v>241.57</v>
      </c>
      <c r="K366">
        <v>2</v>
      </c>
      <c r="L366" s="12">
        <v>120.78</v>
      </c>
      <c r="M366" s="13">
        <v>10</v>
      </c>
      <c r="N366" s="13">
        <v>64</v>
      </c>
      <c r="O366" s="13">
        <v>197</v>
      </c>
      <c r="P366" s="13">
        <v>543</v>
      </c>
      <c r="Q366" s="12">
        <v>16185.19</v>
      </c>
      <c r="R366" s="14">
        <f t="shared" si="10"/>
        <v>0.669642857142857</v>
      </c>
      <c r="S366">
        <v>59</v>
      </c>
      <c r="T366" s="15">
        <f t="shared" si="11"/>
        <v>27.65625</v>
      </c>
      <c r="U366" t="s">
        <v>218</v>
      </c>
      <c r="V366">
        <v>20</v>
      </c>
      <c r="W366">
        <v>4.4</v>
      </c>
      <c r="X366" s="16">
        <v>0.0886</v>
      </c>
      <c r="Y366" s="17">
        <v>45980</v>
      </c>
      <c r="Z366" t="s">
        <v>219</v>
      </c>
      <c r="AB366" s="18">
        <v>-0.0985915492957746</v>
      </c>
      <c r="AC366" t="s">
        <v>425</v>
      </c>
      <c r="AD366" t="s">
        <v>425</v>
      </c>
      <c r="AE366" t="s">
        <v>981</v>
      </c>
      <c r="AF366" t="s">
        <v>989</v>
      </c>
      <c r="AG366" t="s">
        <v>224</v>
      </c>
      <c r="AH366" t="s">
        <v>2063</v>
      </c>
      <c r="AI366" t="s">
        <v>225</v>
      </c>
      <c r="AJ366">
        <v>1</v>
      </c>
    </row>
    <row r="367" ht="23" customHeight="1" spans="1:36">
      <c r="A367">
        <v>364</v>
      </c>
      <c r="B367" t="s">
        <v>2064</v>
      </c>
      <c r="C367" t="s">
        <v>2065</v>
      </c>
      <c r="D367" t="s">
        <v>19</v>
      </c>
      <c r="E367" t="s">
        <v>56</v>
      </c>
      <c r="F367" t="s">
        <v>153</v>
      </c>
      <c r="G367" t="s">
        <v>76</v>
      </c>
      <c r="H367" t="s">
        <v>381</v>
      </c>
      <c r="I367" t="s">
        <v>69</v>
      </c>
      <c r="J367" s="12">
        <v>203.08</v>
      </c>
      <c r="K367">
        <v>2</v>
      </c>
      <c r="L367" s="12">
        <v>101.54</v>
      </c>
      <c r="M367" s="13">
        <v>25</v>
      </c>
      <c r="N367" s="13">
        <v>64</v>
      </c>
      <c r="O367" s="13">
        <v>182</v>
      </c>
      <c r="P367" s="13">
        <v>182</v>
      </c>
      <c r="Q367" s="12">
        <v>12997.12</v>
      </c>
      <c r="R367" s="14">
        <f t="shared" si="10"/>
        <v>1.67410714285714</v>
      </c>
      <c r="S367">
        <v>424</v>
      </c>
      <c r="T367" s="15">
        <f t="shared" si="11"/>
        <v>198.75</v>
      </c>
      <c r="U367" t="s">
        <v>218</v>
      </c>
      <c r="V367">
        <v>13</v>
      </c>
      <c r="W367">
        <v>4.4</v>
      </c>
      <c r="X367" s="16">
        <v>0.0488</v>
      </c>
      <c r="Y367" s="17">
        <v>46203</v>
      </c>
      <c r="Z367" t="s">
        <v>241</v>
      </c>
      <c r="AB367" s="18">
        <v>-0.418181818181818</v>
      </c>
      <c r="AC367" t="s">
        <v>387</v>
      </c>
      <c r="AD367" t="s">
        <v>250</v>
      </c>
      <c r="AE367" t="s">
        <v>1112</v>
      </c>
      <c r="AF367" t="s">
        <v>2066</v>
      </c>
      <c r="AG367" t="s">
        <v>224</v>
      </c>
      <c r="AH367" t="s">
        <v>2067</v>
      </c>
      <c r="AI367" t="s">
        <v>225</v>
      </c>
      <c r="AJ367">
        <v>1</v>
      </c>
    </row>
    <row r="368" ht="23" customHeight="1" spans="1:36">
      <c r="A368">
        <v>365</v>
      </c>
      <c r="B368" t="s">
        <v>2068</v>
      </c>
      <c r="C368" t="s">
        <v>2069</v>
      </c>
      <c r="D368" t="s">
        <v>19</v>
      </c>
      <c r="E368" t="s">
        <v>56</v>
      </c>
      <c r="F368" t="s">
        <v>978</v>
      </c>
      <c r="G368" t="s">
        <v>979</v>
      </c>
      <c r="H368" t="s">
        <v>1227</v>
      </c>
      <c r="I368" t="s">
        <v>68</v>
      </c>
      <c r="J368" s="12">
        <v>235</v>
      </c>
      <c r="K368">
        <v>1</v>
      </c>
      <c r="L368" s="12">
        <v>235</v>
      </c>
      <c r="M368" s="13">
        <v>18</v>
      </c>
      <c r="N368" s="13">
        <v>64</v>
      </c>
      <c r="O368" s="13">
        <v>190</v>
      </c>
      <c r="P368" s="13">
        <v>360</v>
      </c>
      <c r="Q368" s="12">
        <v>15510</v>
      </c>
      <c r="R368" s="14">
        <f t="shared" si="10"/>
        <v>1.20535714285714</v>
      </c>
      <c r="S368">
        <v>70</v>
      </c>
      <c r="T368" s="15">
        <f t="shared" si="11"/>
        <v>32.8125</v>
      </c>
      <c r="U368" t="s">
        <v>218</v>
      </c>
      <c r="V368">
        <v>975</v>
      </c>
      <c r="W368">
        <v>4.7</v>
      </c>
      <c r="X368" s="16">
        <v>0.085</v>
      </c>
      <c r="Y368" s="17">
        <v>46113</v>
      </c>
      <c r="Z368" t="s">
        <v>228</v>
      </c>
      <c r="AA368">
        <v>19</v>
      </c>
      <c r="AB368" s="18">
        <v>-0.135135135135135</v>
      </c>
      <c r="AC368" t="s">
        <v>650</v>
      </c>
      <c r="AD368" t="s">
        <v>290</v>
      </c>
      <c r="AE368" t="s">
        <v>981</v>
      </c>
      <c r="AF368" t="s">
        <v>592</v>
      </c>
      <c r="AG368" t="s">
        <v>224</v>
      </c>
      <c r="AH368" t="s">
        <v>2070</v>
      </c>
      <c r="AI368" t="s">
        <v>225</v>
      </c>
      <c r="AJ368">
        <v>1</v>
      </c>
    </row>
    <row r="369" ht="23" customHeight="1" spans="1:36">
      <c r="A369">
        <v>366</v>
      </c>
      <c r="B369" t="s">
        <v>2071</v>
      </c>
      <c r="C369" t="s">
        <v>2072</v>
      </c>
      <c r="D369" t="s">
        <v>38</v>
      </c>
      <c r="E369" t="s">
        <v>62</v>
      </c>
      <c r="F369" t="s">
        <v>2073</v>
      </c>
      <c r="G369" t="s">
        <v>2074</v>
      </c>
      <c r="H369" t="s">
        <v>2075</v>
      </c>
      <c r="I369" t="s">
        <v>68</v>
      </c>
      <c r="J369" s="12">
        <v>1679.2</v>
      </c>
      <c r="K369">
        <v>1</v>
      </c>
      <c r="L369" s="12">
        <v>1679.2</v>
      </c>
      <c r="M369" s="13">
        <v>16</v>
      </c>
      <c r="N369" s="13">
        <v>64</v>
      </c>
      <c r="O369" s="13">
        <v>94</v>
      </c>
      <c r="P369" s="13">
        <v>94</v>
      </c>
      <c r="Q369" s="12">
        <v>107468.8</v>
      </c>
      <c r="R369" s="14">
        <f t="shared" si="10"/>
        <v>1.07142857142857</v>
      </c>
      <c r="S369">
        <v>36</v>
      </c>
      <c r="T369" s="15">
        <f t="shared" si="11"/>
        <v>16.875</v>
      </c>
      <c r="U369" t="s">
        <v>218</v>
      </c>
      <c r="V369">
        <v>0</v>
      </c>
      <c r="W369">
        <v>0</v>
      </c>
      <c r="X369" s="16">
        <v>0.0383</v>
      </c>
      <c r="Y369" s="17">
        <v>46181</v>
      </c>
      <c r="Z369" t="s">
        <v>228</v>
      </c>
      <c r="AB369" s="18">
        <v>0.882352941176471</v>
      </c>
      <c r="AC369" t="s">
        <v>2076</v>
      </c>
      <c r="AD369" t="s">
        <v>649</v>
      </c>
      <c r="AE369" t="s">
        <v>277</v>
      </c>
      <c r="AF369" t="s">
        <v>2077</v>
      </c>
      <c r="AG369" t="s">
        <v>224</v>
      </c>
      <c r="AH369" t="s">
        <v>2078</v>
      </c>
      <c r="AI369" t="s">
        <v>225</v>
      </c>
      <c r="AJ369">
        <v>0</v>
      </c>
    </row>
    <row r="370" ht="23" customHeight="1" spans="1:36">
      <c r="A370">
        <v>367</v>
      </c>
      <c r="B370" t="s">
        <v>2079</v>
      </c>
      <c r="C370" t="s">
        <v>2080</v>
      </c>
      <c r="D370" t="s">
        <v>19</v>
      </c>
      <c r="E370" t="s">
        <v>50</v>
      </c>
      <c r="F370" t="s">
        <v>407</v>
      </c>
      <c r="G370" t="s">
        <v>72</v>
      </c>
      <c r="H370" t="s">
        <v>570</v>
      </c>
      <c r="I370" t="s">
        <v>69</v>
      </c>
      <c r="J370" s="12">
        <v>146.8</v>
      </c>
      <c r="K370">
        <v>1</v>
      </c>
      <c r="L370" s="12">
        <v>146.8</v>
      </c>
      <c r="M370" s="13">
        <v>16</v>
      </c>
      <c r="N370" s="13">
        <v>63</v>
      </c>
      <c r="O370" s="13">
        <v>148</v>
      </c>
      <c r="P370" s="13">
        <v>668</v>
      </c>
      <c r="Q370" s="12">
        <v>9982.4</v>
      </c>
      <c r="R370" s="14">
        <f t="shared" si="10"/>
        <v>1.08843537414966</v>
      </c>
      <c r="S370">
        <v>420</v>
      </c>
      <c r="T370" s="15">
        <f t="shared" si="11"/>
        <v>200</v>
      </c>
      <c r="U370" t="s">
        <v>218</v>
      </c>
      <c r="V370">
        <v>24</v>
      </c>
      <c r="W370">
        <v>4.8</v>
      </c>
      <c r="X370" s="16">
        <v>0.0853</v>
      </c>
      <c r="Y370" s="17">
        <v>45987</v>
      </c>
      <c r="Z370" t="s">
        <v>219</v>
      </c>
      <c r="AB370" s="18">
        <v>0.05</v>
      </c>
      <c r="AC370" t="s">
        <v>325</v>
      </c>
      <c r="AD370" t="s">
        <v>546</v>
      </c>
      <c r="AE370" t="s">
        <v>1501</v>
      </c>
      <c r="AF370" t="s">
        <v>780</v>
      </c>
      <c r="AG370" t="s">
        <v>224</v>
      </c>
      <c r="AH370" t="s">
        <v>2081</v>
      </c>
      <c r="AI370" t="s">
        <v>225</v>
      </c>
      <c r="AJ370">
        <v>1</v>
      </c>
    </row>
    <row r="371" ht="23" customHeight="1" spans="1:36">
      <c r="A371">
        <v>368</v>
      </c>
      <c r="B371" t="s">
        <v>2082</v>
      </c>
      <c r="C371" t="s">
        <v>2083</v>
      </c>
      <c r="D371" t="s">
        <v>19</v>
      </c>
      <c r="E371" t="s">
        <v>50</v>
      </c>
      <c r="F371" t="s">
        <v>407</v>
      </c>
      <c r="G371" t="s">
        <v>72</v>
      </c>
      <c r="H371" t="s">
        <v>1249</v>
      </c>
      <c r="I371" t="s">
        <v>69</v>
      </c>
      <c r="J371" s="12">
        <v>128.73</v>
      </c>
      <c r="K371">
        <v>1</v>
      </c>
      <c r="L371" s="12">
        <v>128.73</v>
      </c>
      <c r="M371" s="13">
        <v>10</v>
      </c>
      <c r="N371" s="13">
        <v>63</v>
      </c>
      <c r="O371" s="13">
        <v>95</v>
      </c>
      <c r="P371" s="13">
        <v>193</v>
      </c>
      <c r="Q371" s="12">
        <v>8753.64</v>
      </c>
      <c r="R371" s="14">
        <f t="shared" si="10"/>
        <v>0.680272108843537</v>
      </c>
      <c r="S371">
        <v>106</v>
      </c>
      <c r="T371" s="15">
        <f t="shared" si="11"/>
        <v>50.4761904761905</v>
      </c>
      <c r="U371" t="s">
        <v>218</v>
      </c>
      <c r="V371">
        <v>7</v>
      </c>
      <c r="W371">
        <v>5</v>
      </c>
      <c r="X371" s="16">
        <v>0.0892</v>
      </c>
      <c r="Y371" s="17">
        <v>46106</v>
      </c>
      <c r="Z371" t="s">
        <v>219</v>
      </c>
      <c r="AB371" s="18">
        <v>1.25</v>
      </c>
      <c r="AC371" t="s">
        <v>529</v>
      </c>
      <c r="AD371" t="s">
        <v>272</v>
      </c>
      <c r="AE371" t="s">
        <v>320</v>
      </c>
      <c r="AF371" t="s">
        <v>327</v>
      </c>
      <c r="AG371" t="s">
        <v>224</v>
      </c>
      <c r="AH371" t="s">
        <v>2084</v>
      </c>
      <c r="AI371" t="s">
        <v>225</v>
      </c>
      <c r="AJ371">
        <v>1</v>
      </c>
    </row>
    <row r="372" ht="23" customHeight="1" spans="1:36">
      <c r="A372">
        <v>369</v>
      </c>
      <c r="B372" t="s">
        <v>2085</v>
      </c>
      <c r="C372" t="s">
        <v>2086</v>
      </c>
      <c r="D372" t="s">
        <v>19</v>
      </c>
      <c r="E372" t="s">
        <v>53</v>
      </c>
      <c r="F372" t="s">
        <v>1548</v>
      </c>
      <c r="G372" t="s">
        <v>1549</v>
      </c>
      <c r="H372" t="s">
        <v>1550</v>
      </c>
      <c r="I372" t="s">
        <v>69</v>
      </c>
      <c r="J372" s="12">
        <v>169.58</v>
      </c>
      <c r="K372">
        <v>1</v>
      </c>
      <c r="L372" s="12">
        <v>169.58</v>
      </c>
      <c r="M372" s="13">
        <v>28</v>
      </c>
      <c r="N372" s="13">
        <v>63</v>
      </c>
      <c r="O372" s="13">
        <v>106</v>
      </c>
      <c r="P372" s="13">
        <v>273</v>
      </c>
      <c r="Q372" s="12">
        <v>10683.54</v>
      </c>
      <c r="R372" s="14">
        <f t="shared" si="10"/>
        <v>1.9047619047619</v>
      </c>
      <c r="S372">
        <v>8</v>
      </c>
      <c r="T372" s="15">
        <f t="shared" si="11"/>
        <v>3.80952380952381</v>
      </c>
      <c r="U372" t="s">
        <v>218</v>
      </c>
      <c r="V372">
        <v>12</v>
      </c>
      <c r="W372">
        <v>4.7</v>
      </c>
      <c r="X372" s="16">
        <v>0.0811</v>
      </c>
      <c r="Y372" s="17">
        <v>46026</v>
      </c>
      <c r="Z372" t="s">
        <v>219</v>
      </c>
      <c r="AB372" s="18">
        <v>0.657894736842105</v>
      </c>
      <c r="AC372" t="s">
        <v>726</v>
      </c>
      <c r="AD372" t="s">
        <v>412</v>
      </c>
      <c r="AE372" t="s">
        <v>518</v>
      </c>
      <c r="AF372" t="s">
        <v>631</v>
      </c>
      <c r="AG372" t="s">
        <v>224</v>
      </c>
      <c r="AH372" t="s">
        <v>2087</v>
      </c>
      <c r="AI372" t="s">
        <v>225</v>
      </c>
      <c r="AJ372">
        <v>1</v>
      </c>
    </row>
    <row r="373" ht="23" customHeight="1" spans="1:36">
      <c r="A373">
        <v>370</v>
      </c>
      <c r="B373" t="s">
        <v>2088</v>
      </c>
      <c r="C373" t="s">
        <v>2089</v>
      </c>
      <c r="D373" t="s">
        <v>21</v>
      </c>
      <c r="E373" t="s">
        <v>56</v>
      </c>
      <c r="F373" t="s">
        <v>2090</v>
      </c>
      <c r="G373" t="s">
        <v>2091</v>
      </c>
      <c r="H373" t="s">
        <v>2092</v>
      </c>
      <c r="I373" t="s">
        <v>68</v>
      </c>
      <c r="J373" s="12">
        <v>214.56</v>
      </c>
      <c r="K373">
        <v>4</v>
      </c>
      <c r="L373" s="12">
        <v>53.64</v>
      </c>
      <c r="M373" s="13">
        <v>14</v>
      </c>
      <c r="N373" s="13">
        <v>63</v>
      </c>
      <c r="O373" s="13">
        <v>108</v>
      </c>
      <c r="P373" s="13">
        <v>147</v>
      </c>
      <c r="Q373" s="12">
        <v>14160.96</v>
      </c>
      <c r="R373" s="14">
        <f t="shared" si="10"/>
        <v>0.952380952380952</v>
      </c>
      <c r="S373">
        <v>56</v>
      </c>
      <c r="T373" s="15">
        <f t="shared" si="11"/>
        <v>26.6666666666667</v>
      </c>
      <c r="U373" t="s">
        <v>218</v>
      </c>
      <c r="V373">
        <v>0</v>
      </c>
      <c r="W373">
        <v>0</v>
      </c>
      <c r="X373" s="16">
        <v>0.0563</v>
      </c>
      <c r="Y373" s="17">
        <v>46128</v>
      </c>
      <c r="Z373" t="s">
        <v>228</v>
      </c>
      <c r="AB373" s="18">
        <v>9.5</v>
      </c>
      <c r="AC373" t="s">
        <v>412</v>
      </c>
      <c r="AD373" t="s">
        <v>879</v>
      </c>
      <c r="AE373" t="s">
        <v>320</v>
      </c>
      <c r="AF373" t="s">
        <v>891</v>
      </c>
      <c r="AG373" t="s">
        <v>224</v>
      </c>
      <c r="AH373" t="s">
        <v>2093</v>
      </c>
      <c r="AI373" t="s">
        <v>225</v>
      </c>
      <c r="AJ373">
        <v>1</v>
      </c>
    </row>
    <row r="374" ht="23" customHeight="1" spans="1:36">
      <c r="A374">
        <v>371</v>
      </c>
      <c r="B374" t="s">
        <v>2094</v>
      </c>
      <c r="C374" t="s">
        <v>2095</v>
      </c>
      <c r="D374" t="s">
        <v>34</v>
      </c>
      <c r="E374" t="s">
        <v>53</v>
      </c>
      <c r="F374" t="s">
        <v>401</v>
      </c>
      <c r="G374" t="s">
        <v>74</v>
      </c>
      <c r="H374" t="s">
        <v>402</v>
      </c>
      <c r="I374" t="s">
        <v>69</v>
      </c>
      <c r="J374" s="12">
        <v>162.73</v>
      </c>
      <c r="K374">
        <v>1</v>
      </c>
      <c r="L374" s="12">
        <v>162.73</v>
      </c>
      <c r="M374" s="13">
        <v>14</v>
      </c>
      <c r="N374" s="13">
        <v>63</v>
      </c>
      <c r="O374" s="13">
        <v>95</v>
      </c>
      <c r="P374" s="13">
        <v>407</v>
      </c>
      <c r="Q374" s="12">
        <v>10251.99</v>
      </c>
      <c r="R374" s="14">
        <f t="shared" si="10"/>
        <v>0.952380952380952</v>
      </c>
      <c r="S374">
        <v>150</v>
      </c>
      <c r="T374" s="15">
        <f t="shared" si="11"/>
        <v>71.4285714285714</v>
      </c>
      <c r="U374" t="s">
        <v>218</v>
      </c>
      <c r="V374">
        <v>44</v>
      </c>
      <c r="W374">
        <v>4.7</v>
      </c>
      <c r="X374" s="16">
        <v>0.0508</v>
      </c>
      <c r="Y374" s="17">
        <v>45746</v>
      </c>
      <c r="Z374" t="s">
        <v>219</v>
      </c>
      <c r="AB374" s="18">
        <v>0.96875</v>
      </c>
      <c r="AC374" t="s">
        <v>571</v>
      </c>
      <c r="AD374" t="s">
        <v>221</v>
      </c>
      <c r="AE374" t="s">
        <v>540</v>
      </c>
      <c r="AF374" t="s">
        <v>255</v>
      </c>
      <c r="AG374" t="s">
        <v>224</v>
      </c>
      <c r="AH374" t="s">
        <v>2096</v>
      </c>
      <c r="AI374" t="s">
        <v>225</v>
      </c>
      <c r="AJ374">
        <v>0</v>
      </c>
    </row>
    <row r="375" ht="23" customHeight="1" spans="1:36">
      <c r="A375">
        <v>372</v>
      </c>
      <c r="B375" t="s">
        <v>2097</v>
      </c>
      <c r="C375" t="s">
        <v>2098</v>
      </c>
      <c r="D375" t="s">
        <v>23</v>
      </c>
      <c r="E375" t="s">
        <v>62</v>
      </c>
      <c r="F375" t="s">
        <v>2099</v>
      </c>
      <c r="G375" t="s">
        <v>2100</v>
      </c>
      <c r="H375" t="s">
        <v>2101</v>
      </c>
      <c r="I375" t="s">
        <v>69</v>
      </c>
      <c r="J375" s="12">
        <v>975.63</v>
      </c>
      <c r="K375">
        <v>2</v>
      </c>
      <c r="L375" s="12">
        <v>487.81</v>
      </c>
      <c r="M375" s="13">
        <v>20</v>
      </c>
      <c r="N375" s="13">
        <v>62</v>
      </c>
      <c r="O375" s="13">
        <v>100</v>
      </c>
      <c r="P375" s="13">
        <v>150</v>
      </c>
      <c r="Q375" s="12">
        <v>62440.32</v>
      </c>
      <c r="R375" s="14">
        <f t="shared" si="10"/>
        <v>1.38248847926267</v>
      </c>
      <c r="S375">
        <v>58</v>
      </c>
      <c r="T375" s="15">
        <f t="shared" si="11"/>
        <v>28.0645161290323</v>
      </c>
      <c r="U375" t="s">
        <v>218</v>
      </c>
      <c r="V375">
        <v>11</v>
      </c>
      <c r="W375">
        <v>5</v>
      </c>
      <c r="X375" s="16">
        <v>0.0165</v>
      </c>
      <c r="Y375" s="17">
        <v>46051</v>
      </c>
      <c r="Z375" t="s">
        <v>219</v>
      </c>
      <c r="AB375" s="18">
        <v>0.631578947368421</v>
      </c>
      <c r="AC375" t="s">
        <v>382</v>
      </c>
      <c r="AD375" t="s">
        <v>235</v>
      </c>
      <c r="AE375" t="s">
        <v>643</v>
      </c>
      <c r="AF375" t="s">
        <v>2102</v>
      </c>
      <c r="AG375" t="s">
        <v>224</v>
      </c>
      <c r="AH375" t="s">
        <v>2103</v>
      </c>
      <c r="AI375" t="s">
        <v>225</v>
      </c>
      <c r="AJ375">
        <v>1</v>
      </c>
    </row>
    <row r="376" ht="23" customHeight="1" spans="1:36">
      <c r="A376">
        <v>373</v>
      </c>
      <c r="B376" t="s">
        <v>2104</v>
      </c>
      <c r="C376" t="s">
        <v>2105</v>
      </c>
      <c r="D376" t="s">
        <v>19</v>
      </c>
      <c r="E376" t="s">
        <v>56</v>
      </c>
      <c r="F376" t="s">
        <v>153</v>
      </c>
      <c r="G376" t="s">
        <v>76</v>
      </c>
      <c r="H376" t="s">
        <v>381</v>
      </c>
      <c r="I376" t="s">
        <v>69</v>
      </c>
      <c r="J376" s="12">
        <v>251.09</v>
      </c>
      <c r="K376">
        <v>4</v>
      </c>
      <c r="L376" s="12">
        <v>62.77</v>
      </c>
      <c r="M376" s="13">
        <v>12</v>
      </c>
      <c r="N376" s="13">
        <v>62</v>
      </c>
      <c r="O376" s="13">
        <v>130</v>
      </c>
      <c r="P376" s="13">
        <v>137</v>
      </c>
      <c r="Q376" s="12">
        <v>16069.76</v>
      </c>
      <c r="R376" s="14">
        <f t="shared" si="10"/>
        <v>0.829493087557604</v>
      </c>
      <c r="S376">
        <v>159</v>
      </c>
      <c r="T376" s="15">
        <f t="shared" si="11"/>
        <v>76.9354838709677</v>
      </c>
      <c r="U376" t="s">
        <v>218</v>
      </c>
      <c r="V376">
        <v>10</v>
      </c>
      <c r="W376">
        <v>4.7</v>
      </c>
      <c r="X376" s="16">
        <v>0.0488</v>
      </c>
      <c r="Y376" s="17">
        <v>46215</v>
      </c>
      <c r="Z376" t="s">
        <v>241</v>
      </c>
      <c r="AB376" s="18">
        <v>-0.0882352941176471</v>
      </c>
      <c r="AC376" t="s">
        <v>482</v>
      </c>
      <c r="AD376" t="s">
        <v>2106</v>
      </c>
      <c r="AE376" t="s">
        <v>1501</v>
      </c>
      <c r="AF376" t="s">
        <v>483</v>
      </c>
      <c r="AG376" t="s">
        <v>224</v>
      </c>
      <c r="AH376" t="s">
        <v>2107</v>
      </c>
      <c r="AI376" t="s">
        <v>225</v>
      </c>
      <c r="AJ376">
        <v>1</v>
      </c>
    </row>
    <row r="377" ht="23" customHeight="1" spans="1:36">
      <c r="A377">
        <v>374</v>
      </c>
      <c r="B377" t="s">
        <v>2108</v>
      </c>
      <c r="C377" t="s">
        <v>2109</v>
      </c>
      <c r="D377" t="s">
        <v>21</v>
      </c>
      <c r="E377" t="s">
        <v>56</v>
      </c>
      <c r="F377" t="s">
        <v>1668</v>
      </c>
      <c r="G377" t="s">
        <v>1669</v>
      </c>
      <c r="H377" t="s">
        <v>2110</v>
      </c>
      <c r="I377" t="s">
        <v>69</v>
      </c>
      <c r="J377" s="12">
        <v>268.48</v>
      </c>
      <c r="K377">
        <v>1</v>
      </c>
      <c r="L377" s="12">
        <v>268.48</v>
      </c>
      <c r="M377" s="13">
        <v>5</v>
      </c>
      <c r="N377" s="13">
        <v>62</v>
      </c>
      <c r="O377" s="13">
        <v>141</v>
      </c>
      <c r="P377" s="13">
        <v>288</v>
      </c>
      <c r="Q377" s="12">
        <v>16645.76</v>
      </c>
      <c r="R377" s="14">
        <f t="shared" si="10"/>
        <v>0.345622119815668</v>
      </c>
      <c r="S377">
        <v>74</v>
      </c>
      <c r="T377" s="15">
        <f t="shared" si="11"/>
        <v>35.8064516129032</v>
      </c>
      <c r="U377" t="s">
        <v>218</v>
      </c>
      <c r="V377">
        <v>24</v>
      </c>
      <c r="W377">
        <v>4.8</v>
      </c>
      <c r="X377" s="16">
        <v>0.0722</v>
      </c>
      <c r="Y377" s="17">
        <v>46052</v>
      </c>
      <c r="Z377" t="s">
        <v>219</v>
      </c>
      <c r="AB377" s="18">
        <v>1.2962962962963</v>
      </c>
      <c r="AC377" t="s">
        <v>253</v>
      </c>
      <c r="AD377" t="s">
        <v>597</v>
      </c>
      <c r="AE377" t="s">
        <v>299</v>
      </c>
      <c r="AF377" t="s">
        <v>1671</v>
      </c>
      <c r="AG377" t="s">
        <v>224</v>
      </c>
      <c r="AH377" t="s">
        <v>2111</v>
      </c>
      <c r="AI377" t="s">
        <v>225</v>
      </c>
      <c r="AJ377">
        <v>1</v>
      </c>
    </row>
    <row r="378" ht="23" customHeight="1" spans="1:36">
      <c r="A378">
        <v>375</v>
      </c>
      <c r="B378" t="s">
        <v>2112</v>
      </c>
      <c r="C378" t="s">
        <v>2113</v>
      </c>
      <c r="D378" t="s">
        <v>19</v>
      </c>
      <c r="E378" t="s">
        <v>56</v>
      </c>
      <c r="F378" t="s">
        <v>2114</v>
      </c>
      <c r="G378" t="s">
        <v>2115</v>
      </c>
      <c r="H378" t="s">
        <v>2116</v>
      </c>
      <c r="I378" t="s">
        <v>69</v>
      </c>
      <c r="J378" s="12">
        <v>284.3</v>
      </c>
      <c r="K378">
        <v>1</v>
      </c>
      <c r="L378" s="12">
        <v>284.3</v>
      </c>
      <c r="M378" s="13">
        <v>26</v>
      </c>
      <c r="N378" s="13">
        <v>62</v>
      </c>
      <c r="O378" s="13">
        <v>67</v>
      </c>
      <c r="P378" s="13">
        <v>67</v>
      </c>
      <c r="Q378" s="12">
        <v>17626.6</v>
      </c>
      <c r="R378" s="14">
        <f t="shared" si="10"/>
        <v>1.79723502304147</v>
      </c>
      <c r="S378">
        <v>18</v>
      </c>
      <c r="T378" s="15">
        <f t="shared" si="11"/>
        <v>8.70967741935484</v>
      </c>
      <c r="U378" t="s">
        <v>218</v>
      </c>
      <c r="V378">
        <v>4</v>
      </c>
      <c r="W378">
        <v>5</v>
      </c>
      <c r="X378" s="16">
        <v>0.1343</v>
      </c>
      <c r="Y378" s="17">
        <v>46049</v>
      </c>
      <c r="Z378" t="s">
        <v>219</v>
      </c>
      <c r="AB378" s="18">
        <v>19.6666666666667</v>
      </c>
      <c r="AC378" t="s">
        <v>988</v>
      </c>
      <c r="AD378" t="s">
        <v>2117</v>
      </c>
      <c r="AE378" t="s">
        <v>577</v>
      </c>
      <c r="AF378" t="s">
        <v>496</v>
      </c>
      <c r="AG378" t="s">
        <v>224</v>
      </c>
      <c r="AH378" t="s">
        <v>2118</v>
      </c>
      <c r="AI378" t="s">
        <v>225</v>
      </c>
      <c r="AJ378">
        <v>1</v>
      </c>
    </row>
    <row r="379" ht="23" customHeight="1" spans="1:36">
      <c r="A379">
        <v>376</v>
      </c>
      <c r="B379" t="s">
        <v>2119</v>
      </c>
      <c r="C379" t="s">
        <v>2120</v>
      </c>
      <c r="D379" t="s">
        <v>21</v>
      </c>
      <c r="E379" t="s">
        <v>59</v>
      </c>
      <c r="F379" t="s">
        <v>840</v>
      </c>
      <c r="G379" t="s">
        <v>841</v>
      </c>
      <c r="H379" t="s">
        <v>2121</v>
      </c>
      <c r="I379" t="s">
        <v>69</v>
      </c>
      <c r="J379" s="12">
        <v>462.97</v>
      </c>
      <c r="K379">
        <v>1</v>
      </c>
      <c r="L379" s="12">
        <v>462.97</v>
      </c>
      <c r="M379" s="13">
        <v>6</v>
      </c>
      <c r="N379" s="13">
        <v>61</v>
      </c>
      <c r="O379" s="13">
        <v>126</v>
      </c>
      <c r="P379" s="13">
        <v>201</v>
      </c>
      <c r="Q379" s="12">
        <v>28241.17</v>
      </c>
      <c r="R379" s="14">
        <f t="shared" si="10"/>
        <v>0.421545667447307</v>
      </c>
      <c r="S379">
        <v>24</v>
      </c>
      <c r="T379" s="15">
        <f t="shared" si="11"/>
        <v>11.8032786885246</v>
      </c>
      <c r="U379" t="s">
        <v>218</v>
      </c>
      <c r="V379">
        <v>24</v>
      </c>
      <c r="W379">
        <v>4.5</v>
      </c>
      <c r="X379" s="16">
        <v>0.0214</v>
      </c>
      <c r="Y379" s="17">
        <v>45911</v>
      </c>
      <c r="Z379" t="s">
        <v>219</v>
      </c>
      <c r="AB379" s="18">
        <v>5.77777777777778</v>
      </c>
      <c r="AC379" t="s">
        <v>2122</v>
      </c>
      <c r="AD379" t="s">
        <v>879</v>
      </c>
      <c r="AE379" t="s">
        <v>863</v>
      </c>
      <c r="AF379" t="s">
        <v>390</v>
      </c>
      <c r="AG379" t="s">
        <v>224</v>
      </c>
      <c r="AH379" t="s">
        <v>2123</v>
      </c>
      <c r="AI379" t="s">
        <v>225</v>
      </c>
      <c r="AJ379">
        <v>1</v>
      </c>
    </row>
    <row r="380" ht="23" customHeight="1" spans="1:36">
      <c r="A380">
        <v>377</v>
      </c>
      <c r="B380" t="s">
        <v>2124</v>
      </c>
      <c r="C380" t="s">
        <v>2125</v>
      </c>
      <c r="D380" t="s">
        <v>19</v>
      </c>
      <c r="E380" t="s">
        <v>47</v>
      </c>
      <c r="F380" t="s">
        <v>808</v>
      </c>
      <c r="G380" t="s">
        <v>809</v>
      </c>
      <c r="H380" t="s">
        <v>2126</v>
      </c>
      <c r="I380" t="s">
        <v>69</v>
      </c>
      <c r="J380" s="12">
        <v>98.1</v>
      </c>
      <c r="K380">
        <v>1</v>
      </c>
      <c r="L380" s="12">
        <v>98.1</v>
      </c>
      <c r="M380" s="13">
        <v>26</v>
      </c>
      <c r="N380" s="13">
        <v>61</v>
      </c>
      <c r="O380" s="13">
        <v>91</v>
      </c>
      <c r="P380" s="13">
        <v>94</v>
      </c>
      <c r="Q380" s="12">
        <v>6474.6</v>
      </c>
      <c r="R380" s="14">
        <f t="shared" si="10"/>
        <v>1.82669789227166</v>
      </c>
      <c r="S380">
        <v>263</v>
      </c>
      <c r="T380" s="15">
        <f t="shared" si="11"/>
        <v>129.344262295082</v>
      </c>
      <c r="U380" t="s">
        <v>218</v>
      </c>
      <c r="V380">
        <v>4</v>
      </c>
      <c r="W380">
        <v>4</v>
      </c>
      <c r="X380" s="16">
        <v>0.1478</v>
      </c>
      <c r="Y380" s="17">
        <v>46248</v>
      </c>
      <c r="Z380" t="s">
        <v>241</v>
      </c>
      <c r="AB380" s="18">
        <v>1.03333333333333</v>
      </c>
      <c r="AC380" t="s">
        <v>510</v>
      </c>
      <c r="AD380" t="s">
        <v>272</v>
      </c>
      <c r="AE380" t="s">
        <v>341</v>
      </c>
      <c r="AF380" t="s">
        <v>572</v>
      </c>
      <c r="AG380" t="s">
        <v>224</v>
      </c>
      <c r="AH380" t="s">
        <v>2127</v>
      </c>
      <c r="AI380" t="s">
        <v>225</v>
      </c>
      <c r="AJ380">
        <v>1</v>
      </c>
    </row>
    <row r="381" ht="23" customHeight="1" spans="1:36">
      <c r="A381">
        <v>378</v>
      </c>
      <c r="B381" t="s">
        <v>2128</v>
      </c>
      <c r="C381" t="s">
        <v>2129</v>
      </c>
      <c r="D381" t="s">
        <v>21</v>
      </c>
      <c r="E381" t="s">
        <v>53</v>
      </c>
      <c r="F381" t="s">
        <v>309</v>
      </c>
      <c r="G381" t="s">
        <v>75</v>
      </c>
      <c r="H381" t="s">
        <v>2130</v>
      </c>
      <c r="I381" t="s">
        <v>68</v>
      </c>
      <c r="J381" s="12">
        <v>198</v>
      </c>
      <c r="K381">
        <v>2</v>
      </c>
      <c r="L381" s="12">
        <v>99</v>
      </c>
      <c r="M381" s="13">
        <v>15</v>
      </c>
      <c r="N381" s="13">
        <v>61</v>
      </c>
      <c r="O381" s="13">
        <v>61</v>
      </c>
      <c r="P381" s="13">
        <v>61</v>
      </c>
      <c r="Q381" s="12">
        <v>12078</v>
      </c>
      <c r="R381" s="14">
        <f t="shared" si="10"/>
        <v>1.05386416861827</v>
      </c>
      <c r="S381">
        <v>38</v>
      </c>
      <c r="T381" s="15">
        <f t="shared" si="11"/>
        <v>18.6885245901639</v>
      </c>
      <c r="U381" t="s">
        <v>218</v>
      </c>
      <c r="V381">
        <v>0</v>
      </c>
      <c r="W381">
        <v>0</v>
      </c>
      <c r="X381" s="16">
        <v>0.0379</v>
      </c>
      <c r="Y381" s="17">
        <v>46204</v>
      </c>
      <c r="Z381" t="s">
        <v>241</v>
      </c>
      <c r="AB381" s="18">
        <v>29.5</v>
      </c>
      <c r="AC381" t="s">
        <v>1366</v>
      </c>
      <c r="AD381" t="s">
        <v>331</v>
      </c>
      <c r="AE381" t="s">
        <v>250</v>
      </c>
      <c r="AF381" t="s">
        <v>1228</v>
      </c>
      <c r="AG381" t="s">
        <v>224</v>
      </c>
      <c r="AH381" t="s">
        <v>2131</v>
      </c>
      <c r="AI381" t="s">
        <v>225</v>
      </c>
      <c r="AJ381">
        <v>1</v>
      </c>
    </row>
    <row r="382" ht="23" customHeight="1" spans="1:36">
      <c r="A382">
        <v>379</v>
      </c>
      <c r="B382" t="s">
        <v>2132</v>
      </c>
      <c r="C382" t="s">
        <v>2133</v>
      </c>
      <c r="D382" t="s">
        <v>19</v>
      </c>
      <c r="E382" t="s">
        <v>56</v>
      </c>
      <c r="F382" t="s">
        <v>2134</v>
      </c>
      <c r="G382" t="s">
        <v>2135</v>
      </c>
      <c r="H382" t="s">
        <v>2136</v>
      </c>
      <c r="I382" t="s">
        <v>68</v>
      </c>
      <c r="J382" s="12">
        <v>299</v>
      </c>
      <c r="K382">
        <v>1</v>
      </c>
      <c r="L382" s="12">
        <v>299</v>
      </c>
      <c r="M382" s="13">
        <v>4</v>
      </c>
      <c r="N382" s="13">
        <v>61</v>
      </c>
      <c r="O382" s="13">
        <v>203</v>
      </c>
      <c r="P382" s="13">
        <v>271</v>
      </c>
      <c r="Q382" s="12">
        <v>18837</v>
      </c>
      <c r="R382" s="14">
        <f t="shared" si="10"/>
        <v>0.281030444964871</v>
      </c>
      <c r="S382">
        <v>276</v>
      </c>
      <c r="T382" s="15">
        <f t="shared" si="11"/>
        <v>135.737704918033</v>
      </c>
      <c r="U382" t="s">
        <v>218</v>
      </c>
      <c r="V382">
        <v>19</v>
      </c>
      <c r="W382">
        <v>4.5</v>
      </c>
      <c r="X382" s="16">
        <v>0.0278</v>
      </c>
      <c r="Y382" s="17">
        <v>46136</v>
      </c>
      <c r="Z382" t="s">
        <v>228</v>
      </c>
      <c r="AB382" s="18">
        <v>-0.128571428571429</v>
      </c>
      <c r="AC382" t="s">
        <v>249</v>
      </c>
      <c r="AD382" t="s">
        <v>290</v>
      </c>
      <c r="AE382" t="s">
        <v>1030</v>
      </c>
      <c r="AF382" t="s">
        <v>869</v>
      </c>
      <c r="AG382" t="s">
        <v>224</v>
      </c>
      <c r="AH382" t="s">
        <v>2137</v>
      </c>
      <c r="AI382" t="s">
        <v>225</v>
      </c>
      <c r="AJ382">
        <v>1</v>
      </c>
    </row>
    <row r="383" ht="23" customHeight="1" spans="1:36">
      <c r="A383">
        <v>380</v>
      </c>
      <c r="B383" t="s">
        <v>2138</v>
      </c>
      <c r="C383" t="s">
        <v>2139</v>
      </c>
      <c r="D383" t="s">
        <v>23</v>
      </c>
      <c r="E383" t="s">
        <v>53</v>
      </c>
      <c r="F383" t="s">
        <v>2029</v>
      </c>
      <c r="G383" t="s">
        <v>2030</v>
      </c>
      <c r="H383" t="s">
        <v>2140</v>
      </c>
      <c r="I383" t="s">
        <v>69</v>
      </c>
      <c r="J383" s="12">
        <v>191.41</v>
      </c>
      <c r="K383">
        <v>1</v>
      </c>
      <c r="L383" s="12">
        <v>191.41</v>
      </c>
      <c r="M383" s="13">
        <v>13</v>
      </c>
      <c r="N383" s="13">
        <v>61</v>
      </c>
      <c r="O383" s="13">
        <v>157</v>
      </c>
      <c r="P383" s="13">
        <v>290</v>
      </c>
      <c r="Q383" s="12">
        <v>11676.01</v>
      </c>
      <c r="R383" s="14">
        <f t="shared" si="10"/>
        <v>0.913348946135831</v>
      </c>
      <c r="S383">
        <v>42</v>
      </c>
      <c r="T383" s="15">
        <f t="shared" si="11"/>
        <v>20.655737704918</v>
      </c>
      <c r="U383" t="s">
        <v>218</v>
      </c>
      <c r="V383">
        <v>27</v>
      </c>
      <c r="W383">
        <v>4.6</v>
      </c>
      <c r="X383" s="16">
        <v>0.042</v>
      </c>
      <c r="Y383" s="17">
        <v>45259</v>
      </c>
      <c r="Z383" t="s">
        <v>219</v>
      </c>
      <c r="AB383" s="18">
        <v>-0.046875</v>
      </c>
      <c r="AC383" t="s">
        <v>1682</v>
      </c>
      <c r="AD383" t="s">
        <v>312</v>
      </c>
      <c r="AE383" t="s">
        <v>2141</v>
      </c>
      <c r="AF383" t="s">
        <v>1284</v>
      </c>
      <c r="AG383" t="s">
        <v>224</v>
      </c>
      <c r="AH383" t="s">
        <v>2142</v>
      </c>
      <c r="AI383" t="s">
        <v>225</v>
      </c>
      <c r="AJ383">
        <v>1</v>
      </c>
    </row>
    <row r="384" ht="23" customHeight="1" spans="1:36">
      <c r="A384">
        <v>381</v>
      </c>
      <c r="B384" t="s">
        <v>2143</v>
      </c>
      <c r="C384" t="s">
        <v>2144</v>
      </c>
      <c r="D384" t="s">
        <v>21</v>
      </c>
      <c r="E384" t="s">
        <v>59</v>
      </c>
      <c r="F384" t="s">
        <v>1198</v>
      </c>
      <c r="G384" t="s">
        <v>1199</v>
      </c>
      <c r="H384" t="s">
        <v>2145</v>
      </c>
      <c r="I384" t="s">
        <v>69</v>
      </c>
      <c r="J384" s="12">
        <v>451.67</v>
      </c>
      <c r="K384">
        <v>1</v>
      </c>
      <c r="L384" s="12">
        <v>451.67</v>
      </c>
      <c r="M384" s="13">
        <v>5</v>
      </c>
      <c r="N384" s="13">
        <v>61</v>
      </c>
      <c r="O384" s="13">
        <v>187</v>
      </c>
      <c r="P384" s="13">
        <v>194</v>
      </c>
      <c r="Q384" s="12">
        <v>28906.88</v>
      </c>
      <c r="R384" s="14">
        <f t="shared" si="10"/>
        <v>0.351288056206089</v>
      </c>
      <c r="S384">
        <v>39</v>
      </c>
      <c r="T384" s="15">
        <f t="shared" si="11"/>
        <v>19.1803278688525</v>
      </c>
      <c r="U384" t="s">
        <v>218</v>
      </c>
      <c r="V384">
        <v>2</v>
      </c>
      <c r="W384">
        <v>4.5</v>
      </c>
      <c r="X384" s="16">
        <v>0.0557</v>
      </c>
      <c r="Y384" s="17">
        <v>46215</v>
      </c>
      <c r="Z384" t="s">
        <v>241</v>
      </c>
      <c r="AB384" s="18">
        <v>-0.455357142857143</v>
      </c>
      <c r="AC384" t="s">
        <v>2146</v>
      </c>
      <c r="AD384" t="s">
        <v>262</v>
      </c>
      <c r="AE384" t="s">
        <v>318</v>
      </c>
      <c r="AF384" t="s">
        <v>291</v>
      </c>
      <c r="AG384" t="s">
        <v>224</v>
      </c>
      <c r="AH384" t="s">
        <v>2147</v>
      </c>
      <c r="AI384" t="s">
        <v>225</v>
      </c>
      <c r="AJ384">
        <v>1</v>
      </c>
    </row>
    <row r="385" ht="23" customHeight="1" spans="1:36">
      <c r="A385">
        <v>382</v>
      </c>
      <c r="B385" t="s">
        <v>2148</v>
      </c>
      <c r="C385" t="s">
        <v>2149</v>
      </c>
      <c r="D385" t="s">
        <v>25</v>
      </c>
      <c r="E385" t="s">
        <v>56</v>
      </c>
      <c r="F385" t="s">
        <v>125</v>
      </c>
      <c r="G385" t="s">
        <v>78</v>
      </c>
      <c r="H385" t="s">
        <v>1999</v>
      </c>
      <c r="I385" t="s">
        <v>68</v>
      </c>
      <c r="J385" s="12">
        <v>269</v>
      </c>
      <c r="K385">
        <v>1</v>
      </c>
      <c r="L385" s="12">
        <v>269</v>
      </c>
      <c r="M385" s="13">
        <v>1</v>
      </c>
      <c r="N385" s="13">
        <v>60</v>
      </c>
      <c r="O385" s="13">
        <v>144</v>
      </c>
      <c r="P385" s="13">
        <v>538</v>
      </c>
      <c r="Q385" s="12">
        <v>17216</v>
      </c>
      <c r="R385" s="14">
        <f t="shared" si="10"/>
        <v>0.0714285714285714</v>
      </c>
      <c r="S385">
        <v>19</v>
      </c>
      <c r="T385" s="15">
        <f t="shared" si="11"/>
        <v>9.5</v>
      </c>
      <c r="U385" t="s">
        <v>218</v>
      </c>
      <c r="V385">
        <v>25</v>
      </c>
      <c r="W385">
        <v>4.6</v>
      </c>
      <c r="X385" s="16">
        <v>0.1059</v>
      </c>
      <c r="Y385" s="17">
        <v>45301</v>
      </c>
      <c r="Z385" t="s">
        <v>219</v>
      </c>
      <c r="AB385" s="18">
        <v>0.25</v>
      </c>
      <c r="AC385" t="s">
        <v>441</v>
      </c>
      <c r="AD385" t="s">
        <v>931</v>
      </c>
      <c r="AE385" t="s">
        <v>387</v>
      </c>
      <c r="AF385" t="s">
        <v>434</v>
      </c>
      <c r="AG385" t="s">
        <v>224</v>
      </c>
      <c r="AH385" t="s">
        <v>2150</v>
      </c>
      <c r="AI385" t="s">
        <v>225</v>
      </c>
      <c r="AJ385">
        <v>1</v>
      </c>
    </row>
    <row r="386" ht="23" customHeight="1" spans="1:36">
      <c r="A386">
        <v>383</v>
      </c>
      <c r="B386" t="s">
        <v>2151</v>
      </c>
      <c r="C386" t="s">
        <v>2152</v>
      </c>
      <c r="D386" t="s">
        <v>19</v>
      </c>
      <c r="E386" t="s">
        <v>56</v>
      </c>
      <c r="F386" t="s">
        <v>407</v>
      </c>
      <c r="G386" t="s">
        <v>72</v>
      </c>
      <c r="H386" t="s">
        <v>570</v>
      </c>
      <c r="I386" t="s">
        <v>69</v>
      </c>
      <c r="J386" s="12">
        <v>241.54</v>
      </c>
      <c r="K386">
        <v>1</v>
      </c>
      <c r="L386" s="12">
        <v>241.54</v>
      </c>
      <c r="M386" s="13">
        <v>9</v>
      </c>
      <c r="N386" s="13">
        <v>60</v>
      </c>
      <c r="O386" s="13">
        <v>209</v>
      </c>
      <c r="P386" s="13">
        <v>1151</v>
      </c>
      <c r="Q386" s="12">
        <v>14975.48</v>
      </c>
      <c r="R386" s="14">
        <f t="shared" si="10"/>
        <v>0.642857142857143</v>
      </c>
      <c r="S386">
        <v>398</v>
      </c>
      <c r="T386" s="15">
        <f t="shared" si="11"/>
        <v>199</v>
      </c>
      <c r="U386" t="s">
        <v>218</v>
      </c>
      <c r="V386">
        <v>47</v>
      </c>
      <c r="W386">
        <v>4.7</v>
      </c>
      <c r="X386" s="16">
        <v>0.1356</v>
      </c>
      <c r="Y386" s="17">
        <v>45698</v>
      </c>
      <c r="Z386" t="s">
        <v>219</v>
      </c>
      <c r="AB386" s="18">
        <v>-0.166666666666667</v>
      </c>
      <c r="AC386" t="s">
        <v>409</v>
      </c>
      <c r="AD386" t="s">
        <v>433</v>
      </c>
      <c r="AE386" t="s">
        <v>254</v>
      </c>
      <c r="AF386" t="s">
        <v>403</v>
      </c>
      <c r="AG386" t="s">
        <v>224</v>
      </c>
      <c r="AH386" t="s">
        <v>2153</v>
      </c>
      <c r="AI386" t="s">
        <v>225</v>
      </c>
      <c r="AJ386">
        <v>1</v>
      </c>
    </row>
    <row r="387" ht="23" customHeight="1" spans="1:36">
      <c r="A387">
        <v>384</v>
      </c>
      <c r="B387" t="s">
        <v>2154</v>
      </c>
      <c r="C387" t="s">
        <v>2155</v>
      </c>
      <c r="D387" t="s">
        <v>36</v>
      </c>
      <c r="E387" t="s">
        <v>53</v>
      </c>
      <c r="F387" t="s">
        <v>2156</v>
      </c>
      <c r="G387" t="s">
        <v>2157</v>
      </c>
      <c r="H387" t="s">
        <v>2158</v>
      </c>
      <c r="I387" t="s">
        <v>68</v>
      </c>
      <c r="J387" s="12">
        <v>198</v>
      </c>
      <c r="K387">
        <v>4</v>
      </c>
      <c r="L387" s="12">
        <v>49.5</v>
      </c>
      <c r="M387" s="13">
        <v>18</v>
      </c>
      <c r="N387" s="13">
        <v>60</v>
      </c>
      <c r="O387" s="13">
        <v>74</v>
      </c>
      <c r="P387" s="13">
        <v>76</v>
      </c>
      <c r="Q387" s="12">
        <v>12870</v>
      </c>
      <c r="R387" s="14">
        <f t="shared" si="10"/>
        <v>1.28571428571429</v>
      </c>
      <c r="S387">
        <v>96</v>
      </c>
      <c r="T387" s="15">
        <f t="shared" si="11"/>
        <v>48</v>
      </c>
      <c r="U387" t="s">
        <v>218</v>
      </c>
      <c r="V387">
        <v>90</v>
      </c>
      <c r="W387">
        <v>4.5</v>
      </c>
      <c r="X387" s="16">
        <v>0.0666</v>
      </c>
      <c r="Y387" s="17">
        <v>46248</v>
      </c>
      <c r="Z387" t="s">
        <v>241</v>
      </c>
      <c r="AB387" s="18">
        <v>3.28571428571429</v>
      </c>
      <c r="AC387" t="s">
        <v>981</v>
      </c>
      <c r="AD387" t="s">
        <v>325</v>
      </c>
      <c r="AE387" t="s">
        <v>473</v>
      </c>
      <c r="AF387" t="s">
        <v>357</v>
      </c>
      <c r="AG387" t="s">
        <v>224</v>
      </c>
      <c r="AH387" t="s">
        <v>2159</v>
      </c>
      <c r="AI387" t="s">
        <v>225</v>
      </c>
      <c r="AJ387">
        <v>0</v>
      </c>
    </row>
    <row r="388" ht="23" customHeight="1" spans="1:36">
      <c r="A388">
        <v>385</v>
      </c>
      <c r="B388" t="s">
        <v>2160</v>
      </c>
      <c r="C388" t="s">
        <v>2161</v>
      </c>
      <c r="D388" t="s">
        <v>21</v>
      </c>
      <c r="E388" t="s">
        <v>47</v>
      </c>
      <c r="F388" t="s">
        <v>2162</v>
      </c>
      <c r="G388" t="s">
        <v>2162</v>
      </c>
      <c r="H388" t="s">
        <v>2163</v>
      </c>
      <c r="I388" t="s">
        <v>69</v>
      </c>
      <c r="J388" s="12">
        <v>88.46</v>
      </c>
      <c r="K388">
        <v>2</v>
      </c>
      <c r="L388" s="12">
        <v>44.23</v>
      </c>
      <c r="M388" s="13">
        <v>4</v>
      </c>
      <c r="N388" s="13">
        <v>59</v>
      </c>
      <c r="O388" s="13">
        <v>165</v>
      </c>
      <c r="P388" s="13">
        <v>350</v>
      </c>
      <c r="Q388" s="12">
        <v>5219.14</v>
      </c>
      <c r="R388" s="14">
        <f t="shared" ref="R388:R403" si="12">IFERROR(M388*30/(N388*7),0)</f>
        <v>0.290556900726392</v>
      </c>
      <c r="S388">
        <v>58</v>
      </c>
      <c r="T388" s="15">
        <f t="shared" ref="T388:T403" si="13">IFERROR(S388*30/N388,0)</f>
        <v>29.4915254237288</v>
      </c>
      <c r="U388" t="s">
        <v>218</v>
      </c>
      <c r="V388">
        <v>0</v>
      </c>
      <c r="W388">
        <v>0</v>
      </c>
      <c r="X388" s="16">
        <v>0.0167</v>
      </c>
      <c r="Y388" s="17">
        <v>46099</v>
      </c>
      <c r="Z388" t="s">
        <v>219</v>
      </c>
      <c r="AB388" s="18">
        <v>0.113207547169811</v>
      </c>
      <c r="AC388" t="s">
        <v>300</v>
      </c>
      <c r="AD388" t="s">
        <v>2164</v>
      </c>
      <c r="AE388" t="s">
        <v>2165</v>
      </c>
      <c r="AF388" t="s">
        <v>1730</v>
      </c>
      <c r="AG388" t="s">
        <v>224</v>
      </c>
      <c r="AH388" t="s">
        <v>2166</v>
      </c>
      <c r="AI388" t="s">
        <v>225</v>
      </c>
      <c r="AJ388">
        <v>1</v>
      </c>
    </row>
    <row r="389" ht="23" customHeight="1" spans="1:36">
      <c r="A389">
        <v>386</v>
      </c>
      <c r="B389" t="s">
        <v>2167</v>
      </c>
      <c r="C389" t="s">
        <v>1688</v>
      </c>
      <c r="D389" t="s">
        <v>32</v>
      </c>
      <c r="E389" t="s">
        <v>56</v>
      </c>
      <c r="F389" t="s">
        <v>1689</v>
      </c>
      <c r="G389" t="s">
        <v>1690</v>
      </c>
      <c r="H389" t="s">
        <v>2168</v>
      </c>
      <c r="I389" t="s">
        <v>68</v>
      </c>
      <c r="J389" s="12">
        <v>252</v>
      </c>
      <c r="K389">
        <v>1</v>
      </c>
      <c r="L389" s="12">
        <v>252</v>
      </c>
      <c r="M389" s="13">
        <v>10</v>
      </c>
      <c r="N389" s="13">
        <v>59</v>
      </c>
      <c r="O389" s="13">
        <v>116</v>
      </c>
      <c r="P389" s="13">
        <v>144</v>
      </c>
      <c r="Q389" s="12">
        <v>15624</v>
      </c>
      <c r="R389" s="14">
        <f t="shared" si="12"/>
        <v>0.726392251815981</v>
      </c>
      <c r="S389">
        <v>26</v>
      </c>
      <c r="T389" s="15">
        <f t="shared" si="13"/>
        <v>13.2203389830508</v>
      </c>
      <c r="U389" t="s">
        <v>218</v>
      </c>
      <c r="V389">
        <v>0</v>
      </c>
      <c r="W389">
        <v>0</v>
      </c>
      <c r="X389" s="16">
        <v>0.1255</v>
      </c>
      <c r="Y389" s="17">
        <v>45883</v>
      </c>
      <c r="Z389" t="s">
        <v>219</v>
      </c>
      <c r="AB389" s="18">
        <v>1.56521739130435</v>
      </c>
      <c r="AC389" t="s">
        <v>1093</v>
      </c>
      <c r="AD389" t="s">
        <v>540</v>
      </c>
      <c r="AE389" t="s">
        <v>1692</v>
      </c>
      <c r="AF389" t="s">
        <v>748</v>
      </c>
      <c r="AG389" t="s">
        <v>224</v>
      </c>
      <c r="AH389" t="s">
        <v>2169</v>
      </c>
      <c r="AI389" t="s">
        <v>225</v>
      </c>
      <c r="AJ389">
        <v>0</v>
      </c>
    </row>
    <row r="390" ht="23" customHeight="1" spans="1:36">
      <c r="A390">
        <v>387</v>
      </c>
      <c r="B390" t="s">
        <v>2170</v>
      </c>
      <c r="C390" t="s">
        <v>1372</v>
      </c>
      <c r="D390" t="s">
        <v>23</v>
      </c>
      <c r="E390" t="s">
        <v>56</v>
      </c>
      <c r="F390" t="s">
        <v>840</v>
      </c>
      <c r="G390" t="s">
        <v>841</v>
      </c>
      <c r="H390" t="s">
        <v>2171</v>
      </c>
      <c r="I390" t="s">
        <v>69</v>
      </c>
      <c r="J390" s="12">
        <v>204.72</v>
      </c>
      <c r="K390">
        <v>1</v>
      </c>
      <c r="L390" s="12">
        <v>204.72</v>
      </c>
      <c r="M390" s="13">
        <v>6</v>
      </c>
      <c r="N390" s="13">
        <v>59</v>
      </c>
      <c r="O390" s="13">
        <v>61</v>
      </c>
      <c r="P390" s="13">
        <v>64</v>
      </c>
      <c r="Q390" s="12">
        <v>13102.08</v>
      </c>
      <c r="R390" s="14">
        <f t="shared" si="12"/>
        <v>0.435835351089588</v>
      </c>
      <c r="S390">
        <v>63</v>
      </c>
      <c r="T390" s="15">
        <f t="shared" si="13"/>
        <v>32.0338983050847</v>
      </c>
      <c r="U390" t="s">
        <v>218</v>
      </c>
      <c r="V390">
        <v>1</v>
      </c>
      <c r="W390">
        <v>5</v>
      </c>
      <c r="X390" s="16">
        <v>0.062</v>
      </c>
      <c r="Y390" s="17">
        <v>46169</v>
      </c>
      <c r="Z390" t="s">
        <v>228</v>
      </c>
      <c r="AB390" s="18">
        <v>28.5</v>
      </c>
      <c r="AC390" t="s">
        <v>862</v>
      </c>
      <c r="AD390" t="s">
        <v>250</v>
      </c>
      <c r="AE390" t="s">
        <v>450</v>
      </c>
      <c r="AF390" t="s">
        <v>314</v>
      </c>
      <c r="AG390" t="s">
        <v>224</v>
      </c>
      <c r="AH390" t="s">
        <v>2172</v>
      </c>
      <c r="AI390" t="s">
        <v>225</v>
      </c>
      <c r="AJ390">
        <v>1</v>
      </c>
    </row>
    <row r="391" ht="23" customHeight="1" spans="1:36">
      <c r="A391">
        <v>388</v>
      </c>
      <c r="B391" t="s">
        <v>2173</v>
      </c>
      <c r="C391" t="s">
        <v>2174</v>
      </c>
      <c r="D391" t="s">
        <v>19</v>
      </c>
      <c r="E391" t="s">
        <v>62</v>
      </c>
      <c r="F391" t="s">
        <v>2175</v>
      </c>
      <c r="G391" t="s">
        <v>2176</v>
      </c>
      <c r="H391" t="s">
        <v>2175</v>
      </c>
      <c r="I391" t="s">
        <v>68</v>
      </c>
      <c r="J391" s="12">
        <v>1274.58</v>
      </c>
      <c r="K391">
        <v>1</v>
      </c>
      <c r="L391" s="12">
        <v>1274.58</v>
      </c>
      <c r="M391" s="13">
        <v>25</v>
      </c>
      <c r="N391" s="13">
        <v>59</v>
      </c>
      <c r="O391" s="13">
        <v>105</v>
      </c>
      <c r="P391" s="13">
        <v>105</v>
      </c>
      <c r="Q391" s="12">
        <v>75200.22</v>
      </c>
      <c r="R391" s="14">
        <f t="shared" si="12"/>
        <v>1.81598062953995</v>
      </c>
      <c r="S391">
        <v>69</v>
      </c>
      <c r="T391" s="15">
        <f t="shared" si="13"/>
        <v>35.0847457627119</v>
      </c>
      <c r="U391" t="s">
        <v>999</v>
      </c>
      <c r="V391">
        <v>0</v>
      </c>
      <c r="W391">
        <v>0</v>
      </c>
      <c r="X391" s="16">
        <v>0.0241</v>
      </c>
      <c r="Y391" s="17">
        <v>46227</v>
      </c>
      <c r="Z391" t="s">
        <v>241</v>
      </c>
      <c r="AB391" s="18">
        <v>0.134615384615385</v>
      </c>
      <c r="AF391" t="s">
        <v>2177</v>
      </c>
      <c r="AG391" t="s">
        <v>224</v>
      </c>
      <c r="AH391" t="s">
        <v>2178</v>
      </c>
      <c r="AI391" t="s">
        <v>225</v>
      </c>
      <c r="AJ391">
        <v>1</v>
      </c>
    </row>
    <row r="392" ht="23" customHeight="1" spans="1:36">
      <c r="A392">
        <v>389</v>
      </c>
      <c r="B392" t="s">
        <v>2179</v>
      </c>
      <c r="C392" t="s">
        <v>2180</v>
      </c>
      <c r="D392" t="s">
        <v>27</v>
      </c>
      <c r="E392" t="s">
        <v>59</v>
      </c>
      <c r="F392" t="s">
        <v>336</v>
      </c>
      <c r="G392" t="s">
        <v>337</v>
      </c>
      <c r="H392" t="s">
        <v>1600</v>
      </c>
      <c r="I392" t="s">
        <v>69</v>
      </c>
      <c r="J392" s="12">
        <v>361.41</v>
      </c>
      <c r="K392">
        <v>1</v>
      </c>
      <c r="L392" s="12">
        <v>361.41</v>
      </c>
      <c r="M392" s="13">
        <v>8</v>
      </c>
      <c r="N392" s="13">
        <v>59</v>
      </c>
      <c r="O392" s="13">
        <v>91</v>
      </c>
      <c r="P392" s="13">
        <v>227</v>
      </c>
      <c r="Q392" s="12">
        <v>23130.24</v>
      </c>
      <c r="R392" s="14">
        <f t="shared" si="12"/>
        <v>0.581113801452784</v>
      </c>
      <c r="S392">
        <v>93</v>
      </c>
      <c r="T392" s="15">
        <f t="shared" si="13"/>
        <v>47.2881355932203</v>
      </c>
      <c r="U392" t="s">
        <v>218</v>
      </c>
      <c r="V392">
        <v>6</v>
      </c>
      <c r="W392">
        <v>4.7</v>
      </c>
      <c r="X392" s="16">
        <v>0.0684</v>
      </c>
      <c r="Y392" s="17">
        <v>46007</v>
      </c>
      <c r="Z392" t="s">
        <v>219</v>
      </c>
      <c r="AB392" s="18">
        <v>4.9</v>
      </c>
      <c r="AC392" t="s">
        <v>1092</v>
      </c>
      <c r="AD392" t="s">
        <v>1092</v>
      </c>
      <c r="AE392" t="s">
        <v>1601</v>
      </c>
      <c r="AF392" t="s">
        <v>989</v>
      </c>
      <c r="AG392" t="s">
        <v>224</v>
      </c>
      <c r="AH392" t="s">
        <v>2181</v>
      </c>
      <c r="AI392" t="s">
        <v>225</v>
      </c>
      <c r="AJ392">
        <v>1</v>
      </c>
    </row>
    <row r="393" ht="23" customHeight="1" spans="1:36">
      <c r="A393">
        <v>390</v>
      </c>
      <c r="B393" t="s">
        <v>2182</v>
      </c>
      <c r="C393" t="s">
        <v>2183</v>
      </c>
      <c r="D393" t="s">
        <v>19</v>
      </c>
      <c r="E393" t="s">
        <v>53</v>
      </c>
      <c r="F393" t="s">
        <v>407</v>
      </c>
      <c r="G393" t="s">
        <v>72</v>
      </c>
      <c r="H393" t="s">
        <v>654</v>
      </c>
      <c r="I393" t="s">
        <v>68</v>
      </c>
      <c r="J393" s="12">
        <v>196.25</v>
      </c>
      <c r="K393">
        <v>1</v>
      </c>
      <c r="L393" s="12">
        <v>196.25</v>
      </c>
      <c r="M393" s="13">
        <v>10</v>
      </c>
      <c r="N393" s="13">
        <v>59</v>
      </c>
      <c r="O393" s="13">
        <v>226</v>
      </c>
      <c r="P393" s="13">
        <v>1013</v>
      </c>
      <c r="Q393" s="12">
        <v>12560</v>
      </c>
      <c r="R393" s="14">
        <f t="shared" si="12"/>
        <v>0.726392251815981</v>
      </c>
      <c r="S393">
        <v>69</v>
      </c>
      <c r="T393" s="15">
        <f t="shared" si="13"/>
        <v>35.0847457627119</v>
      </c>
      <c r="U393" t="s">
        <v>218</v>
      </c>
      <c r="V393">
        <v>41</v>
      </c>
      <c r="W393">
        <v>4.7</v>
      </c>
      <c r="X393" s="16">
        <v>0.1017</v>
      </c>
      <c r="Y393" s="17">
        <v>45834</v>
      </c>
      <c r="Z393" t="s">
        <v>219</v>
      </c>
      <c r="AB393" s="18">
        <v>0.282608695652174</v>
      </c>
      <c r="AC393" t="s">
        <v>844</v>
      </c>
      <c r="AD393" t="s">
        <v>389</v>
      </c>
      <c r="AE393" t="s">
        <v>254</v>
      </c>
      <c r="AF393" t="s">
        <v>264</v>
      </c>
      <c r="AG393" t="s">
        <v>224</v>
      </c>
      <c r="AH393" t="s">
        <v>2184</v>
      </c>
      <c r="AI393" t="s">
        <v>225</v>
      </c>
      <c r="AJ393">
        <v>1</v>
      </c>
    </row>
    <row r="394" ht="23" customHeight="1" spans="1:36">
      <c r="A394">
        <v>391</v>
      </c>
      <c r="B394" t="s">
        <v>2185</v>
      </c>
      <c r="C394" t="s">
        <v>2186</v>
      </c>
      <c r="D394" t="s">
        <v>19</v>
      </c>
      <c r="E394" t="s">
        <v>50</v>
      </c>
      <c r="F394" t="s">
        <v>2187</v>
      </c>
      <c r="G394" t="s">
        <v>2188</v>
      </c>
      <c r="H394" t="s">
        <v>2187</v>
      </c>
      <c r="I394" t="s">
        <v>68</v>
      </c>
      <c r="J394" s="12">
        <v>126.64</v>
      </c>
      <c r="K394">
        <v>1</v>
      </c>
      <c r="L394" s="12">
        <v>126.64</v>
      </c>
      <c r="M394" s="13">
        <v>0</v>
      </c>
      <c r="N394" s="13">
        <v>58</v>
      </c>
      <c r="O394" s="13">
        <v>150</v>
      </c>
      <c r="P394" s="13">
        <v>155</v>
      </c>
      <c r="Q394" s="12">
        <v>7978.32</v>
      </c>
      <c r="R394" s="14">
        <f t="shared" si="12"/>
        <v>0</v>
      </c>
      <c r="S394">
        <v>55</v>
      </c>
      <c r="T394" s="15">
        <f t="shared" si="13"/>
        <v>28.448275862069</v>
      </c>
      <c r="U394" t="s">
        <v>218</v>
      </c>
      <c r="V394">
        <v>20</v>
      </c>
      <c r="W394">
        <v>4.9</v>
      </c>
      <c r="X394" s="16">
        <v>0.1542</v>
      </c>
      <c r="Y394" s="17">
        <v>46154</v>
      </c>
      <c r="Z394" t="s">
        <v>228</v>
      </c>
      <c r="AB394" s="18">
        <v>-0.369565217391304</v>
      </c>
      <c r="AC394" t="s">
        <v>295</v>
      </c>
      <c r="AD394" t="s">
        <v>295</v>
      </c>
      <c r="AE394" t="s">
        <v>774</v>
      </c>
      <c r="AF394" t="s">
        <v>679</v>
      </c>
      <c r="AG394" t="s">
        <v>224</v>
      </c>
      <c r="AH394" t="s">
        <v>2189</v>
      </c>
      <c r="AI394" t="s">
        <v>225</v>
      </c>
      <c r="AJ394">
        <v>1</v>
      </c>
    </row>
    <row r="395" ht="23" customHeight="1" spans="1:36">
      <c r="A395">
        <v>392</v>
      </c>
      <c r="B395" t="s">
        <v>2190</v>
      </c>
      <c r="C395" t="s">
        <v>2191</v>
      </c>
      <c r="D395" t="s">
        <v>19</v>
      </c>
      <c r="E395" t="s">
        <v>53</v>
      </c>
      <c r="F395" t="s">
        <v>407</v>
      </c>
      <c r="G395" t="s">
        <v>72</v>
      </c>
      <c r="H395" t="s">
        <v>654</v>
      </c>
      <c r="I395" t="s">
        <v>68</v>
      </c>
      <c r="J395" s="12">
        <v>196.02</v>
      </c>
      <c r="K395">
        <v>1</v>
      </c>
      <c r="L395" s="12">
        <v>196.02</v>
      </c>
      <c r="M395" s="13">
        <v>42</v>
      </c>
      <c r="N395" s="13">
        <v>58</v>
      </c>
      <c r="O395" s="13">
        <v>58</v>
      </c>
      <c r="P395" s="13">
        <v>58</v>
      </c>
      <c r="Q395" s="12">
        <v>11369.16</v>
      </c>
      <c r="R395" s="14">
        <f t="shared" si="12"/>
        <v>3.10344827586207</v>
      </c>
      <c r="S395">
        <v>201</v>
      </c>
      <c r="T395" s="15">
        <f t="shared" si="13"/>
        <v>103.965517241379</v>
      </c>
      <c r="U395" t="s">
        <v>218</v>
      </c>
      <c r="V395">
        <v>8</v>
      </c>
      <c r="W395">
        <v>4.9</v>
      </c>
      <c r="X395" s="16">
        <v>0.0854</v>
      </c>
      <c r="Y395" s="17">
        <v>46248</v>
      </c>
      <c r="Z395" t="s">
        <v>241</v>
      </c>
      <c r="AB395" s="18">
        <v>58</v>
      </c>
      <c r="AC395" t="s">
        <v>890</v>
      </c>
      <c r="AD395" t="s">
        <v>389</v>
      </c>
      <c r="AE395" t="s">
        <v>236</v>
      </c>
      <c r="AF395" t="s">
        <v>434</v>
      </c>
      <c r="AG395" t="s">
        <v>224</v>
      </c>
      <c r="AH395" t="s">
        <v>2192</v>
      </c>
      <c r="AI395" t="s">
        <v>225</v>
      </c>
      <c r="AJ395">
        <v>1</v>
      </c>
    </row>
    <row r="396" ht="23" customHeight="1" spans="1:36">
      <c r="A396">
        <v>393</v>
      </c>
      <c r="B396" t="s">
        <v>2193</v>
      </c>
      <c r="C396" t="s">
        <v>2194</v>
      </c>
      <c r="D396" t="s">
        <v>25</v>
      </c>
      <c r="E396" t="s">
        <v>56</v>
      </c>
      <c r="F396" t="s">
        <v>2195</v>
      </c>
      <c r="G396" t="s">
        <v>2196</v>
      </c>
      <c r="H396" t="s">
        <v>2197</v>
      </c>
      <c r="I396" t="s">
        <v>68</v>
      </c>
      <c r="J396" s="12">
        <v>218.86</v>
      </c>
      <c r="K396">
        <v>2</v>
      </c>
      <c r="L396" s="12">
        <v>109.43</v>
      </c>
      <c r="M396" s="13">
        <v>13</v>
      </c>
      <c r="N396" s="13">
        <v>57</v>
      </c>
      <c r="O396" s="13">
        <v>232</v>
      </c>
      <c r="P396" s="13">
        <v>1988</v>
      </c>
      <c r="Q396" s="12">
        <v>12475.02</v>
      </c>
      <c r="R396" s="14">
        <f t="shared" si="12"/>
        <v>0.977443609022556</v>
      </c>
      <c r="S396">
        <v>46</v>
      </c>
      <c r="T396" s="15">
        <f t="shared" si="13"/>
        <v>24.2105263157895</v>
      </c>
      <c r="U396" t="s">
        <v>218</v>
      </c>
      <c r="V396">
        <v>159</v>
      </c>
      <c r="W396">
        <v>4.9</v>
      </c>
      <c r="X396" s="16">
        <v>0.0541</v>
      </c>
      <c r="Y396" s="17">
        <v>45392</v>
      </c>
      <c r="Z396" t="s">
        <v>219</v>
      </c>
      <c r="AB396" s="18">
        <v>-0.424242424242424</v>
      </c>
      <c r="AC396" t="s">
        <v>517</v>
      </c>
      <c r="AD396" t="s">
        <v>299</v>
      </c>
      <c r="AE396" t="s">
        <v>296</v>
      </c>
      <c r="AF396" t="s">
        <v>223</v>
      </c>
      <c r="AG396" t="s">
        <v>224</v>
      </c>
      <c r="AH396" t="s">
        <v>2198</v>
      </c>
      <c r="AI396" t="s">
        <v>225</v>
      </c>
      <c r="AJ396">
        <v>1</v>
      </c>
    </row>
    <row r="397" ht="23" customHeight="1" spans="1:36">
      <c r="A397">
        <v>394</v>
      </c>
      <c r="B397" t="s">
        <v>2199</v>
      </c>
      <c r="C397" t="s">
        <v>2200</v>
      </c>
      <c r="D397" t="s">
        <v>19</v>
      </c>
      <c r="E397" t="s">
        <v>56</v>
      </c>
      <c r="F397" t="s">
        <v>153</v>
      </c>
      <c r="G397" t="s">
        <v>76</v>
      </c>
      <c r="H397" t="s">
        <v>381</v>
      </c>
      <c r="I397" t="s">
        <v>69</v>
      </c>
      <c r="J397" s="12">
        <v>251.09</v>
      </c>
      <c r="K397">
        <v>4</v>
      </c>
      <c r="L397" s="12">
        <v>62.77</v>
      </c>
      <c r="M397" s="13">
        <v>20</v>
      </c>
      <c r="N397" s="13">
        <v>57</v>
      </c>
      <c r="O397" s="13">
        <v>143</v>
      </c>
      <c r="P397" s="13">
        <v>150</v>
      </c>
      <c r="Q397" s="12">
        <v>15316.49</v>
      </c>
      <c r="R397" s="14">
        <f t="shared" si="12"/>
        <v>1.50375939849624</v>
      </c>
      <c r="S397">
        <v>164</v>
      </c>
      <c r="T397" s="15">
        <f t="shared" si="13"/>
        <v>86.3157894736842</v>
      </c>
      <c r="U397" t="s">
        <v>218</v>
      </c>
      <c r="V397">
        <v>11</v>
      </c>
      <c r="W397">
        <v>4.7</v>
      </c>
      <c r="X397" s="16">
        <v>0.0698</v>
      </c>
      <c r="Y397" s="17">
        <v>46215</v>
      </c>
      <c r="Z397" t="s">
        <v>241</v>
      </c>
      <c r="AB397" s="18">
        <v>-0.329411764705882</v>
      </c>
      <c r="AC397" t="s">
        <v>262</v>
      </c>
      <c r="AD397" t="s">
        <v>548</v>
      </c>
      <c r="AE397" t="s">
        <v>273</v>
      </c>
      <c r="AF397" t="s">
        <v>602</v>
      </c>
      <c r="AG397" t="s">
        <v>224</v>
      </c>
      <c r="AH397" t="s">
        <v>2201</v>
      </c>
      <c r="AI397" t="s">
        <v>225</v>
      </c>
      <c r="AJ397">
        <v>1</v>
      </c>
    </row>
    <row r="398" ht="23" customHeight="1" spans="1:36">
      <c r="A398">
        <v>395</v>
      </c>
      <c r="B398" t="s">
        <v>2202</v>
      </c>
      <c r="C398" t="s">
        <v>2203</v>
      </c>
      <c r="D398" t="s">
        <v>25</v>
      </c>
      <c r="E398" t="s">
        <v>56</v>
      </c>
      <c r="F398" t="s">
        <v>2204</v>
      </c>
      <c r="G398" t="s">
        <v>2205</v>
      </c>
      <c r="H398" t="s">
        <v>2206</v>
      </c>
      <c r="I398" t="s">
        <v>68</v>
      </c>
      <c r="J398" s="12">
        <v>298</v>
      </c>
      <c r="K398">
        <v>3</v>
      </c>
      <c r="L398" s="12">
        <v>99.33</v>
      </c>
      <c r="M398" s="13">
        <v>2</v>
      </c>
      <c r="N398" s="13">
        <v>57</v>
      </c>
      <c r="O398" s="13">
        <v>153</v>
      </c>
      <c r="P398" s="13">
        <v>158</v>
      </c>
      <c r="Q398" s="12">
        <v>18476</v>
      </c>
      <c r="R398" s="14">
        <f t="shared" si="12"/>
        <v>0.150375939849624</v>
      </c>
      <c r="S398">
        <v>36</v>
      </c>
      <c r="T398" s="15">
        <f t="shared" si="13"/>
        <v>18.9473684210526</v>
      </c>
      <c r="U398" t="s">
        <v>218</v>
      </c>
      <c r="V398">
        <v>0</v>
      </c>
      <c r="W398">
        <v>0</v>
      </c>
      <c r="X398" s="16">
        <v>0.0694</v>
      </c>
      <c r="Y398" s="17">
        <v>46107</v>
      </c>
      <c r="Z398" t="s">
        <v>219</v>
      </c>
      <c r="AB398" s="18">
        <v>-0.296296296296296</v>
      </c>
      <c r="AC398" t="s">
        <v>1075</v>
      </c>
      <c r="AD398" t="s">
        <v>2207</v>
      </c>
      <c r="AE398" t="s">
        <v>331</v>
      </c>
      <c r="AF398" t="s">
        <v>2208</v>
      </c>
      <c r="AG398" t="s">
        <v>224</v>
      </c>
      <c r="AH398" t="s">
        <v>2209</v>
      </c>
      <c r="AI398" t="s">
        <v>225</v>
      </c>
      <c r="AJ398">
        <v>1</v>
      </c>
    </row>
    <row r="399" ht="23" customHeight="1" spans="1:36">
      <c r="A399">
        <v>396</v>
      </c>
      <c r="B399" t="s">
        <v>2210</v>
      </c>
      <c r="C399" t="s">
        <v>2211</v>
      </c>
      <c r="D399" t="s">
        <v>27</v>
      </c>
      <c r="E399" t="s">
        <v>53</v>
      </c>
      <c r="F399" t="s">
        <v>825</v>
      </c>
      <c r="G399" t="s">
        <v>826</v>
      </c>
      <c r="H399" t="s">
        <v>1232</v>
      </c>
      <c r="I399" t="s">
        <v>68</v>
      </c>
      <c r="J399" s="12">
        <v>195.02</v>
      </c>
      <c r="K399">
        <v>1</v>
      </c>
      <c r="L399" s="12">
        <v>195.02</v>
      </c>
      <c r="M399" s="13">
        <v>3</v>
      </c>
      <c r="N399" s="13">
        <v>56</v>
      </c>
      <c r="O399" s="13">
        <v>267</v>
      </c>
      <c r="P399" s="13">
        <v>771</v>
      </c>
      <c r="Q399" s="12">
        <v>11506.18</v>
      </c>
      <c r="R399" s="14">
        <f t="shared" si="12"/>
        <v>0.229591836734694</v>
      </c>
      <c r="S399">
        <v>14</v>
      </c>
      <c r="T399" s="15">
        <f t="shared" si="13"/>
        <v>7.5</v>
      </c>
      <c r="U399" t="s">
        <v>218</v>
      </c>
      <c r="V399">
        <v>0</v>
      </c>
      <c r="W399">
        <v>0</v>
      </c>
      <c r="X399" s="16">
        <v>0.041</v>
      </c>
      <c r="Y399" s="17">
        <v>46064</v>
      </c>
      <c r="Z399" t="s">
        <v>219</v>
      </c>
      <c r="AB399" s="18">
        <v>-0.495495495495495</v>
      </c>
      <c r="AC399" t="s">
        <v>490</v>
      </c>
      <c r="AD399" t="s">
        <v>347</v>
      </c>
      <c r="AE399" t="s">
        <v>565</v>
      </c>
      <c r="AF399" t="s">
        <v>413</v>
      </c>
      <c r="AG399" t="s">
        <v>224</v>
      </c>
      <c r="AH399" t="s">
        <v>2212</v>
      </c>
      <c r="AI399" t="s">
        <v>225</v>
      </c>
      <c r="AJ399">
        <v>1</v>
      </c>
    </row>
    <row r="400" ht="23" customHeight="1" spans="1:36">
      <c r="A400">
        <v>397</v>
      </c>
      <c r="B400" t="s">
        <v>2213</v>
      </c>
      <c r="C400" t="s">
        <v>2214</v>
      </c>
      <c r="D400" t="s">
        <v>19</v>
      </c>
      <c r="E400" t="s">
        <v>47</v>
      </c>
      <c r="F400" t="s">
        <v>1324</v>
      </c>
      <c r="G400" t="s">
        <v>1325</v>
      </c>
      <c r="H400" t="s">
        <v>1326</v>
      </c>
      <c r="I400" t="s">
        <v>68</v>
      </c>
      <c r="J400" s="12">
        <v>69</v>
      </c>
      <c r="K400">
        <v>1</v>
      </c>
      <c r="L400" s="12">
        <v>69</v>
      </c>
      <c r="M400" s="13">
        <v>6</v>
      </c>
      <c r="N400" s="13">
        <v>56</v>
      </c>
      <c r="O400" s="13">
        <v>167</v>
      </c>
      <c r="P400" s="13">
        <v>182</v>
      </c>
      <c r="Q400" s="12">
        <v>4209</v>
      </c>
      <c r="R400" s="14">
        <f t="shared" si="12"/>
        <v>0.459183673469388</v>
      </c>
      <c r="S400">
        <v>129</v>
      </c>
      <c r="T400" s="15">
        <f t="shared" si="13"/>
        <v>69.1071428571429</v>
      </c>
      <c r="U400" t="s">
        <v>218</v>
      </c>
      <c r="V400">
        <v>0</v>
      </c>
      <c r="W400">
        <v>0</v>
      </c>
      <c r="X400" s="16">
        <v>0.0323</v>
      </c>
      <c r="Y400" s="17">
        <v>46176</v>
      </c>
      <c r="Z400" t="s">
        <v>228</v>
      </c>
      <c r="AB400" s="18">
        <v>-0.222222222222222</v>
      </c>
      <c r="AC400" t="s">
        <v>319</v>
      </c>
      <c r="AD400" t="s">
        <v>312</v>
      </c>
      <c r="AE400" t="s">
        <v>305</v>
      </c>
      <c r="AF400" t="s">
        <v>1293</v>
      </c>
      <c r="AG400" t="s">
        <v>224</v>
      </c>
      <c r="AH400" t="s">
        <v>2215</v>
      </c>
      <c r="AI400" t="s">
        <v>225</v>
      </c>
      <c r="AJ400">
        <v>1</v>
      </c>
    </row>
    <row r="401" ht="23" customHeight="1" spans="1:36">
      <c r="A401">
        <v>398</v>
      </c>
      <c r="B401" t="s">
        <v>2216</v>
      </c>
      <c r="C401" t="s">
        <v>2217</v>
      </c>
      <c r="D401" t="s">
        <v>23</v>
      </c>
      <c r="E401" t="s">
        <v>53</v>
      </c>
      <c r="F401" t="s">
        <v>1198</v>
      </c>
      <c r="G401" t="s">
        <v>1199</v>
      </c>
      <c r="H401" t="s">
        <v>2218</v>
      </c>
      <c r="I401" t="s">
        <v>69</v>
      </c>
      <c r="J401" s="12">
        <v>175.37</v>
      </c>
      <c r="K401">
        <v>1</v>
      </c>
      <c r="L401" s="12">
        <v>175.37</v>
      </c>
      <c r="M401" s="13">
        <v>8</v>
      </c>
      <c r="N401" s="13">
        <v>56</v>
      </c>
      <c r="O401" s="13">
        <v>130</v>
      </c>
      <c r="P401" s="13">
        <v>1552</v>
      </c>
      <c r="Q401" s="12">
        <v>9820.72</v>
      </c>
      <c r="R401" s="14">
        <f t="shared" si="12"/>
        <v>0.612244897959184</v>
      </c>
      <c r="S401">
        <v>68</v>
      </c>
      <c r="T401" s="15">
        <f t="shared" si="13"/>
        <v>36.4285714285714</v>
      </c>
      <c r="U401" t="s">
        <v>218</v>
      </c>
      <c r="V401">
        <v>306</v>
      </c>
      <c r="W401">
        <v>4.6</v>
      </c>
      <c r="X401" s="16">
        <v>0.055</v>
      </c>
      <c r="Y401" s="17">
        <v>45625</v>
      </c>
      <c r="Z401" t="s">
        <v>219</v>
      </c>
      <c r="AB401" s="18">
        <v>0.6</v>
      </c>
      <c r="AC401" t="s">
        <v>2219</v>
      </c>
      <c r="AD401" t="s">
        <v>630</v>
      </c>
      <c r="AE401" t="s">
        <v>2220</v>
      </c>
      <c r="AF401" t="s">
        <v>891</v>
      </c>
      <c r="AG401" t="s">
        <v>224</v>
      </c>
      <c r="AH401" t="s">
        <v>2221</v>
      </c>
      <c r="AI401" t="s">
        <v>225</v>
      </c>
      <c r="AJ401">
        <v>1</v>
      </c>
    </row>
    <row r="402" ht="23" customHeight="1" spans="1:36">
      <c r="A402">
        <v>399</v>
      </c>
      <c r="B402" t="s">
        <v>2222</v>
      </c>
      <c r="C402" t="s">
        <v>2223</v>
      </c>
      <c r="D402" t="s">
        <v>19</v>
      </c>
      <c r="E402" t="s">
        <v>53</v>
      </c>
      <c r="F402" t="s">
        <v>407</v>
      </c>
      <c r="G402" t="s">
        <v>72</v>
      </c>
      <c r="H402" t="s">
        <v>1249</v>
      </c>
      <c r="I402" t="s">
        <v>69</v>
      </c>
      <c r="J402" s="12">
        <v>155.42</v>
      </c>
      <c r="K402">
        <v>1</v>
      </c>
      <c r="L402" s="12">
        <v>155.42</v>
      </c>
      <c r="M402" s="13">
        <v>3</v>
      </c>
      <c r="N402" s="13">
        <v>55</v>
      </c>
      <c r="O402" s="13">
        <v>119</v>
      </c>
      <c r="P402" s="13">
        <v>119</v>
      </c>
      <c r="Q402" s="12">
        <v>8548.1</v>
      </c>
      <c r="R402" s="14">
        <f t="shared" si="12"/>
        <v>0.233766233766234</v>
      </c>
      <c r="S402">
        <v>47</v>
      </c>
      <c r="T402" s="15">
        <f t="shared" si="13"/>
        <v>25.6363636363636</v>
      </c>
      <c r="U402" t="s">
        <v>218</v>
      </c>
      <c r="V402">
        <v>3</v>
      </c>
      <c r="W402">
        <v>5</v>
      </c>
      <c r="X402" s="16">
        <v>0.0429</v>
      </c>
      <c r="Y402" s="17">
        <v>46075</v>
      </c>
      <c r="Z402" t="s">
        <v>219</v>
      </c>
      <c r="AB402" s="18">
        <v>-0.153846153846154</v>
      </c>
      <c r="AC402" t="s">
        <v>325</v>
      </c>
      <c r="AD402" t="s">
        <v>2224</v>
      </c>
      <c r="AE402" t="s">
        <v>1501</v>
      </c>
      <c r="AF402" t="s">
        <v>753</v>
      </c>
      <c r="AG402" t="s">
        <v>224</v>
      </c>
      <c r="AH402" t="s">
        <v>2225</v>
      </c>
      <c r="AI402" t="s">
        <v>225</v>
      </c>
      <c r="AJ402">
        <v>1</v>
      </c>
    </row>
    <row r="403" ht="23" customHeight="1" spans="1:36">
      <c r="A403">
        <v>400</v>
      </c>
      <c r="B403" t="s">
        <v>2226</v>
      </c>
      <c r="C403" t="s">
        <v>2227</v>
      </c>
      <c r="D403" t="s">
        <v>23</v>
      </c>
      <c r="E403" t="s">
        <v>56</v>
      </c>
      <c r="F403" t="s">
        <v>309</v>
      </c>
      <c r="G403" t="s">
        <v>75</v>
      </c>
      <c r="H403" t="s">
        <v>2228</v>
      </c>
      <c r="I403" t="s">
        <v>69</v>
      </c>
      <c r="J403" s="12">
        <v>289.99</v>
      </c>
      <c r="K403">
        <v>1</v>
      </c>
      <c r="L403" s="12">
        <v>289.99</v>
      </c>
      <c r="M403" s="13">
        <v>13</v>
      </c>
      <c r="N403" s="13">
        <v>55</v>
      </c>
      <c r="O403" s="13">
        <v>110</v>
      </c>
      <c r="P403" s="13">
        <v>117</v>
      </c>
      <c r="Q403" s="12">
        <v>17399.4</v>
      </c>
      <c r="R403" s="14">
        <f t="shared" si="12"/>
        <v>1.01298701298701</v>
      </c>
      <c r="S403">
        <v>41</v>
      </c>
      <c r="T403" s="15">
        <f t="shared" si="13"/>
        <v>22.3636363636364</v>
      </c>
      <c r="U403" t="s">
        <v>218</v>
      </c>
      <c r="V403">
        <v>6</v>
      </c>
      <c r="W403">
        <v>4.8</v>
      </c>
      <c r="X403" s="16">
        <v>0.0614</v>
      </c>
      <c r="Y403" s="17">
        <v>46185</v>
      </c>
      <c r="Z403" t="s">
        <v>228</v>
      </c>
      <c r="AB403" s="18">
        <v>0.617647058823529</v>
      </c>
      <c r="AC403" t="s">
        <v>2229</v>
      </c>
      <c r="AD403" t="s">
        <v>722</v>
      </c>
      <c r="AE403" t="s">
        <v>1780</v>
      </c>
      <c r="AF403" t="s">
        <v>1519</v>
      </c>
      <c r="AG403" t="s">
        <v>224</v>
      </c>
      <c r="AH403" t="s">
        <v>2230</v>
      </c>
      <c r="AI403" t="s">
        <v>225</v>
      </c>
      <c r="AJ403">
        <v>1</v>
      </c>
    </row>
  </sheetData>
  <conditionalFormatting sqref="T4:T403">
    <cfRule type="cellIs" dxfId="0" priority="1" operator="lessThan">
      <formula>7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决策总览</vt:lpstr>
      <vt:lpstr>重点竞品</vt:lpstr>
      <vt:lpstr>400链接明细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WPS_1778554845</cp:lastModifiedBy>
  <dcterms:created xsi:type="dcterms:W3CDTF">2026-09-23T13:46:18Z</dcterms:created>
  <dcterms:modified xsi:type="dcterms:W3CDTF">2026-09-23T13:48:01Z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7A4BC99E54A449FFB09C414EFF5DB727_12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