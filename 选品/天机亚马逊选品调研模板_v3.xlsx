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ouyan\Downloads\"/>
    </mc:Choice>
  </mc:AlternateContent>
  <bookViews>
    <workbookView windowWidth="27945" windowHeight="12255" firstSheet="6" activeTab="12"/>
  </bookViews>
  <sheets>
    <sheet name="00总控决策盘" sheetId="1" r:id="rId1"/>
    <sheet name="01调研项目类型清单" sheetId="2" r:id="rId2"/>
    <sheet name="02关键词前台搜索" sheetId="3" r:id="rId3"/>
    <sheet name="03图片搜索与结果减法" sheetId="4" r:id="rId4"/>
    <sheet name="04减法劝退清单" sheetId="5" r:id="rId5"/>
    <sheet name="05人货场与八流" sheetId="6" r:id="rId6"/>
    <sheet name="06竞品军情与流量对抗" sheetId="7" r:id="rId7"/>
    <sheet name="07广告流量eCPM预演" sheetId="8" r:id="rId8"/>
    <sheet name="08供应链产品结构" sheetId="9" r:id="rId9"/>
    <sheet name="09VOC转化阻力" sheetId="10" r:id="rId10"/>
    <sheet name="10CDQ_PQS_AI收录" sheetId="11" r:id="rId11"/>
    <sheet name="11利润现金流ROI" sheetId="12" r:id="rId12"/>
    <sheet name="12上市推演与作战打法" sheetId="13" r:id="rId13"/>
    <sheet name="13数据源字段字典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<sst xmlns="http://schemas.openxmlformats.org/spreadsheetml/2006/main" count="1760" uniqueCount="1131">
  <si>
    <t>天机亚马逊选品调研模板 V3</t>
  </si>
  <si>
    <t>用关键词搜索、图片搜索、市场推演、供应链和现金流做减法，提前排除不值得做的产品。</t>
  </si>
  <si>
    <t>字段</t>
  </si>
  <si>
    <t>内容</t>
  </si>
  <si>
    <t>项目名称</t>
  </si>
  <si>
    <t>Hackbretter / 待填</t>
  </si>
  <si>
    <t>核心关键词</t>
  </si>
  <si>
    <t>schneidebrett / schneidebrett holz</t>
  </si>
  <si>
    <t>目标市场</t>
  </si>
  <si>
    <t>DE</t>
  </si>
  <si>
    <t>调研日期</t>
  </si>
  <si>
    <t>类目节点</t>
  </si>
  <si>
    <t>3177921031 / 待填</t>
  </si>
  <si>
    <t>项目负责人</t>
  </si>
  <si>
    <t>待填</t>
  </si>
  <si>
    <t>第一目标</t>
  </si>
  <si>
    <t>更早发现不应该做什么</t>
  </si>
  <si>
    <t>第二目标</t>
  </si>
  <si>
    <t>用更少试错成本找到值得做的产品</t>
  </si>
  <si>
    <t>版本</t>
  </si>
  <si>
    <t>V3.0</t>
  </si>
  <si>
    <t>总控判断</t>
  </si>
  <si>
    <t/>
  </si>
  <si>
    <t>指标</t>
  </si>
  <si>
    <t>结果</t>
  </si>
  <si>
    <t>总评分</t>
  </si>
  <si>
    <t>硬性否决项</t>
  </si>
  <si>
    <t>最终建议</t>
  </si>
  <si>
    <t>下一步</t>
  </si>
  <si>
    <t>选品评分权重表</t>
  </si>
  <si>
    <t>评估模块</t>
  </si>
  <si>
    <t>权重</t>
  </si>
  <si>
    <t>得分1-5</t>
  </si>
  <si>
    <t>加权分</t>
  </si>
  <si>
    <t>硬性否决</t>
  </si>
  <si>
    <t>证据表</t>
  </si>
  <si>
    <t>判断口径</t>
  </si>
  <si>
    <t>做减法原则</t>
  </si>
  <si>
    <t>市场容量与趋势</t>
  </si>
  <si>
    <t>否</t>
  </si>
  <si>
    <t>①市场背景调查 / ②谷歌趋势 / 商机探测器</t>
  </si>
  <si>
    <t>判断需求是不是足够大，是否处在上升或稳定周期</t>
  </si>
  <si>
    <t>先看过去，再看未来，不用单日热度做结论</t>
  </si>
  <si>
    <t>季节性与备货窗口</t>
  </si>
  <si>
    <t>②谷歌趋势 / Keepa / 历史销量</t>
  </si>
  <si>
    <t>判断旺季窗口、测款周期、生产运输是否来得及</t>
  </si>
  <si>
    <t>旺季已过或交期覆盖不了增长窗口时劝退</t>
  </si>
  <si>
    <t>关键词搜索结果</t>
  </si>
  <si>
    <t>02关键词前台搜索</t>
  </si>
  <si>
    <t>看搜索页真实坑位、广告密度、价格带、评论门槛</t>
  </si>
  <si>
    <t>顶部全是强品牌且价格无利润时，不硬打</t>
  </si>
  <si>
    <t>图片搜索结果</t>
  </si>
  <si>
    <t>03图片搜索与结果减法</t>
  </si>
  <si>
    <t>发现视觉同款、供应链同源、隐形竞品和可迁移元素</t>
  </si>
  <si>
    <t>图片搜索高度同质且无差异设计时劝退</t>
  </si>
  <si>
    <t>市场集中度</t>
  </si>
  <si>
    <t>⑤市场大盘分析 / Top100</t>
  </si>
  <si>
    <t>判断头部集中度、品牌集中度、卖家集中度</t>
  </si>
  <si>
    <t>头部垄断且新品无突破口时劝退</t>
  </si>
  <si>
    <t>竞品薄弱点</t>
  </si>
  <si>
    <t>06竞品军情与流量对抗</t>
  </si>
  <si>
    <t>找可攻击的差评、转化阻力、供给缺口和违规动作</t>
  </si>
  <si>
    <t>没有可攻击点就不要进入红海正面战</t>
  </si>
  <si>
    <t>广告竞价与流量成本</t>
  </si>
  <si>
    <t>07广告流量eCPM预演 / 广告后台</t>
  </si>
  <si>
    <t>看CPC、CPA、目标ACOS、广告坑位和预算拉升难度</t>
  </si>
  <si>
    <t>CPC长期高于目标CPC且无自然单杠杆时劝退</t>
  </si>
  <si>
    <t>自然排名拉升路径</t>
  </si>
  <si>
    <t>关键词追踪 / 坑位快照</t>
  </si>
  <si>
    <t>判断广告排名能不能带动自然排名和自然订单占比</t>
  </si>
  <si>
    <t>广告出单但自然不动，说明结构要重做</t>
  </si>
  <si>
    <t>产品结构与供应链</t>
  </si>
  <si>
    <t>08供应链产品结构</t>
  </si>
  <si>
    <t>拆原材料、工艺、参数、尺寸、认证、交期、MOQ</t>
  </si>
  <si>
    <t>供应链没有成本或差异优势时少碰同质款</t>
  </si>
  <si>
    <t>认证合规与专利</t>
  </si>
  <si>
    <t>⑭合规排查 / 08供应链</t>
  </si>
  <si>
    <t>排查食品接触、电器、儿童、化学、外观/实用专利</t>
  </si>
  <si>
    <t>红线问题直接NO-GO</t>
  </si>
  <si>
    <t>VOC与转化阻力</t>
  </si>
  <si>
    <t>09VOC转化阻力</t>
  </si>
  <si>
    <t>从差评、QA、退货原因里找真实购买顾虑</t>
  </si>
  <si>
    <t>差评不可通过产品或说明解决时劝退</t>
  </si>
  <si>
    <t>CDQ/PQS与AI收录</t>
  </si>
  <si>
    <t>10CDQ_PQS_AI收录</t>
  </si>
  <si>
    <t>看Listing质量、类目匹配、AI可回答性和可引用信息</t>
  </si>
  <si>
    <t>信息不完整会拖累转化和AI推荐</t>
  </si>
  <si>
    <t>利润空间</t>
  </si>
  <si>
    <t>11利润现金流ROI</t>
  </si>
  <si>
    <t>扣除采购、头程、FBA、佣金、VAT、退货和广告后看贡献毛利</t>
  </si>
  <si>
    <t>广告后利润为负，除非战略测试，否则劝退</t>
  </si>
  <si>
    <t>现金流与库存风险</t>
  </si>
  <si>
    <t>11利润现金流ROI / 发补货模型</t>
  </si>
  <si>
    <t>看首批备货、周转天数、断货风险和滞销压力</t>
  </si>
  <si>
    <t>资金不能覆盖两轮试错时不重仓</t>
  </si>
  <si>
    <t>用户画像与购买旅程</t>
  </si>
  <si>
    <t>05人货场与八流 / 09VOC</t>
  </si>
  <si>
    <t>确认谁买、为什么买、在哪个场景买、顾虑是什么</t>
  </si>
  <si>
    <t>画像模糊时不要先开模</t>
  </si>
  <si>
    <t>视觉包装与本地化</t>
  </si>
  <si>
    <t>09VOC / 10CDQ</t>
  </si>
  <si>
    <t>看主图注意力、包装信任感、本地文化表达</t>
  </si>
  <si>
    <t>文案和视觉无法解释差异时不利于点击</t>
  </si>
  <si>
    <t>站外与品牌势能</t>
  </si>
  <si>
    <t>06竞品军情 / 社媒 / 独立站</t>
  </si>
  <si>
    <t>看竞品站外、品牌故事、线下认知和社媒流量</t>
  </si>
  <si>
    <t>对手有强品牌势能时避开正面价格战</t>
  </si>
  <si>
    <t>团队资源匹配</t>
  </si>
  <si>
    <t>自有资源盘点</t>
  </si>
  <si>
    <t>看资金、供应链、运营、广告、视觉、测款时间</t>
  </si>
  <si>
    <t>能力不匹配时缩小切入口</t>
  </si>
  <si>
    <t>付费经理与平台资源</t>
  </si>
  <si>
    <t>广告后台 / 付费经理资源</t>
  </si>
  <si>
    <t>确认BD、Deal、广告诊断、招商和类目资源</t>
  </si>
  <si>
    <t>没有资源不劝退，但预算要打折</t>
  </si>
  <si>
    <t>最终战略切入口</t>
  </si>
  <si>
    <t>12上市推演与作战打法</t>
  </si>
  <si>
    <t>形成先打哪个词、哪个人群、哪个价格带、哪个卖点</t>
  </si>
  <si>
    <t>没有清晰切口不立项</t>
  </si>
  <si>
    <t>每个调研项目类型的分析输出</t>
  </si>
  <si>
    <t>把原工作簿每个 sheet 的研究对象变成明确问题、必采字段、输出判断和劝退规则。</t>
  </si>
  <si>
    <t>序号</t>
  </si>
  <si>
    <t>调研项目类型</t>
  </si>
  <si>
    <t>核心问题</t>
  </si>
  <si>
    <t>分析方法</t>
  </si>
  <si>
    <t>必采字段</t>
  </si>
  <si>
    <t>输出判断</t>
  </si>
  <si>
    <t>做减法规则</t>
  </si>
  <si>
    <t>数据源</t>
  </si>
  <si>
    <t>动作</t>
  </si>
  <si>
    <t>项目封面</t>
  </si>
  <si>
    <t>定义项目范围和阅读口径</t>
  </si>
  <si>
    <t>记录站点、类目节点、关键词、调研日期、版本、样本边界</t>
  </si>
  <si>
    <t>项目名称、市场、关键词、类目、邮编/配送地、数据截止日、缺失数据</t>
  </si>
  <si>
    <t>统一团队口径，避免不同来源混算</t>
  </si>
  <si>
    <t>口径不清时不进入评分，先补齐数据边界</t>
  </si>
  <si>
    <t>项目封面 / 数据源</t>
  </si>
  <si>
    <t>先立口径</t>
  </si>
  <si>
    <t>市场背景调查</t>
  </si>
  <si>
    <t>这个赛道有没有足够需求</t>
  </si>
  <si>
    <t>宏观趋势、类目销售额、第三方/自营比例、新品表现、头部集中度</t>
  </si>
  <si>
    <t>销量、销售额、卖家类型、上架年龄、价格带、类目排名</t>
  </si>
  <si>
    <t>市场机会、头部压力、是否适合新品进入</t>
  </si>
  <si>
    <t>需求小、头部集中高、价格带无利润时劝退</t>
  </si>
  <si>
    <t>卖家精灵 / Sorftime / POE</t>
  </si>
  <si>
    <t>赛道判断</t>
  </si>
  <si>
    <t>谷歌趋势/季节性</t>
  </si>
  <si>
    <t>需求是全年稳定还是季节性波峰</t>
  </si>
  <si>
    <t>看过去12个月、5年趋势、区域热度、旺季开始时间</t>
  </si>
  <si>
    <t>周度指数、峰值周、淡季底部、地域分布、相关查询</t>
  </si>
  <si>
    <t>备货时间、测款时间、旺季节奏</t>
  </si>
  <si>
    <t>交期覆盖不了旺季或旺季结束才到货时劝退</t>
  </si>
  <si>
    <t>Google Trends / Keepa</t>
  </si>
  <si>
    <t>时间窗口判断</t>
  </si>
  <si>
    <t>站内关键词竞争</t>
  </si>
  <si>
    <t>买家用什么词搜索，广告要多少钱</t>
  </si>
  <si>
    <t>ABA、广告建议竞价、前台搜索、搜索词报告反推曝光</t>
  </si>
  <si>
    <t>搜索量、点击量、购买量、CTR、CVR、CPC、CPA、竞价区间</t>
  </si>
  <si>
    <t>关键词分层、推广优先级、预算上限</t>
  </si>
  <si>
    <t>核心词CPA高于毛利且长尾词不足时劝退</t>
  </si>
  <si>
    <t>ABA / 广告后台 / 前台搜索</t>
  </si>
  <si>
    <t>关键词入口判断</t>
  </si>
  <si>
    <t>关键词前台搜索</t>
  </si>
  <si>
    <t>搜索页真实战场是什么样</t>
  </si>
  <si>
    <t>按核心词、属性词、场景词、竞品词逐个搜索并截图记录</t>
  </si>
  <si>
    <t>顶部广告数、自然坑位、价格、Coupon、评论门槛、配送速度、主图样式</t>
  </si>
  <si>
    <t>首屏可攻坑位、广告密度、转化门槛</t>
  </si>
  <si>
    <t>首屏全强品牌且同价无差异时不硬打</t>
  </si>
  <si>
    <t>Amazon前台</t>
  </si>
  <si>
    <t>战场侦察</t>
  </si>
  <si>
    <t>图片搜索</t>
  </si>
  <si>
    <t>视觉同款和隐形竞品在哪里</t>
  </si>
  <si>
    <t>用供应链图、竞品主图、概念图做Amazon/Google Lens图片搜索</t>
  </si>
  <si>
    <t>相似ASIN、同源图、相似元素、重合率、非关键词竞品</t>
  </si>
  <si>
    <t>供应链同质风险、视觉差异机会</t>
  </si>
  <si>
    <t>视觉高度同质、元素不可保护、无差异时劝退</t>
  </si>
  <si>
    <t>Amazon图片搜索 / Google Lens</t>
  </si>
  <si>
    <t>反向侦察</t>
  </si>
  <si>
    <t>Top100打标数据</t>
  </si>
  <si>
    <t>市场真实供给由哪些元素构成</t>
  </si>
  <si>
    <t>Top100逐行打标：材质、颜色、尺寸、套装、价格、功能、卖点</t>
  </si>
  <si>
    <t>ASIN、父体、品牌、标题、价格、销量、评分、标签、功能</t>
  </si>
  <si>
    <t>热卖元素、空白元素、可迁移元素</t>
  </si>
  <si>
    <t>热卖元素都被头部占完且成本无优势时劝退</t>
  </si>
  <si>
    <t>Amazon / 抓取表</t>
  </si>
  <si>
    <t>供给结构判断</t>
  </si>
  <si>
    <t>市场大盘分析</t>
  </si>
  <si>
    <t>大盘销量、价格带和品牌集中度是否支持进入</t>
  </si>
  <si>
    <t>按父体去重，分价格带、材质、评分、上架年龄、卖家类型统计</t>
  </si>
  <si>
    <t>销量、销售额、商品数、品牌数、前三占比、价格带占比</t>
  </si>
  <si>
    <t>市场空间、竞争强度、切入价格带</t>
  </si>
  <si>
    <t>大盘大但利润带小，不能只看销量</t>
  </si>
  <si>
    <t>Top100 / 历史销量</t>
  </si>
  <si>
    <t>大盘筛选</t>
  </si>
  <si>
    <t>竞品分析</t>
  </si>
  <si>
    <t>谁是主要对手，怎么打</t>
  </si>
  <si>
    <t>选出核心竞品、相似竞品、替代竞品、榜单竞品，拆资源与弱点</t>
  </si>
  <si>
    <t>ASIN、品牌、卖家、销量、价格、流量、广告、Deal、站外、供应链</t>
  </si>
  <si>
    <t>竞品地图、攻击路径、防守壁垒</t>
  </si>
  <si>
    <t>没有可攻击弱点时，先换细分切口</t>
  </si>
  <si>
    <t>Amazon / SIF / Keepa / 社媒</t>
  </si>
  <si>
    <t>军情摸底</t>
  </si>
  <si>
    <t>QA&amp;RV分析</t>
  </si>
  <si>
    <t>用户为什么买、为什么骂、为什么退</t>
  </si>
  <si>
    <t>抓评论、QA、差评图片、退货点，按人群和场景归因</t>
  </si>
  <si>
    <t>痛点、爽点、关注点、频次、严重度、可解决性、Listing承诺</t>
  </si>
  <si>
    <t>产品改良点、主图/A+文案、风险提示</t>
  </si>
  <si>
    <t>核心差评无法通过产品迭代解决时劝退</t>
  </si>
  <si>
    <t>评论 / QA / 客服 / 退货</t>
  </si>
  <si>
    <t>VOC判断</t>
  </si>
  <si>
    <t>单品利润测算</t>
  </si>
  <si>
    <t>单件能不能赚钱</t>
  </si>
  <si>
    <t>拆采购、头程、FBA、佣金、VAT、退货、广告前毛利</t>
  </si>
  <si>
    <t>售价、Coupon、成本、汇率、体积重、配送费、平台费、税费</t>
  </si>
  <si>
    <t>广告前毛利、广告后空间、价格下限</t>
  </si>
  <si>
    <t>毛利容不下目标CPC时劝退</t>
  </si>
  <si>
    <t>供应商 / FBA费 / 广告后台</t>
  </si>
  <si>
    <t>单件经济模型</t>
  </si>
  <si>
    <t>项目ROI核算</t>
  </si>
  <si>
    <t>首批投入能不能回本</t>
  </si>
  <si>
    <t>模拟备货、销量、广告费、回款周期、库存周转、现金占用</t>
  </si>
  <si>
    <t>首批数量、MOQ、生产周期、运输周期、销量、毛利、广告费、库存</t>
  </si>
  <si>
    <t>ROI、回本周期、最大现金缺口</t>
  </si>
  <si>
    <t>现金覆盖不了两轮试错时不重仓</t>
  </si>
  <si>
    <t>ROI表 / 发补货模型</t>
  </si>
  <si>
    <t>资金决策</t>
  </si>
  <si>
    <t>供应商初步审查</t>
  </si>
  <si>
    <t>供应链有没有优势和稳定性</t>
  </si>
  <si>
    <t>拆原材料、结构方案、工艺、认证、产能、交期、质检、售后</t>
  </si>
  <si>
    <t>MOQ、报价、交期、良率、认证、测试、设备、客户、出口数据</t>
  </si>
  <si>
    <t>供应链评分、风险项、议价路径</t>
  </si>
  <si>
    <t>供应商只能做同款低价时谨慎</t>
  </si>
  <si>
    <t>供应商 / 工厂资料</t>
  </si>
  <si>
    <t>资源匹配</t>
  </si>
  <si>
    <t>产品规格书</t>
  </si>
  <si>
    <t>产品定义是否足够清晰</t>
  </si>
  <si>
    <t>明确功能、参数、尺寸、结构、材料、包装、卖点、场景、人群</t>
  </si>
  <si>
    <t>产品名、关键词、参数、工艺、使用场景、目标人群、品牌/专利</t>
  </si>
  <si>
    <t>第一代产品定义和差异化</t>
  </si>
  <si>
    <t>定义模糊时不要直接开模</t>
  </si>
  <si>
    <t>竞品 / 工厂 / VOC</t>
  </si>
  <si>
    <t>产品定义</t>
  </si>
  <si>
    <t>产品立项表</t>
  </si>
  <si>
    <t>是否正式进入开发</t>
  </si>
  <si>
    <t>汇总可行性、趋势、竞争、预算、收益、专利、认证、推广策略</t>
  </si>
  <si>
    <t>市场容量、竞争强度、主要竞品、价格策略、资金预算、预计收益</t>
  </si>
  <si>
    <t>GO/PILOT/HOLD/NO-GO</t>
  </si>
  <si>
    <t>任何硬性否决未关闭前不立项</t>
  </si>
  <si>
    <t>总控表</t>
  </si>
  <si>
    <t>最终决策</t>
  </si>
  <si>
    <t>产品上市时间</t>
  </si>
  <si>
    <t>上市节奏是否匹配市场窗口</t>
  </si>
  <si>
    <t>按周拆样品、打样、生产、入仓、拍摄、上架、推广、Deal</t>
  </si>
  <si>
    <t>周计划、责任人、关键里程碑、风险前置量、补货点</t>
  </si>
  <si>
    <t>上市甘特节奏和延期风险</t>
  </si>
  <si>
    <t>错过旺季且库存压力大时推迟</t>
  </si>
  <si>
    <t>项目管理表</t>
  </si>
  <si>
    <t>战役节奏</t>
  </si>
  <si>
    <t>合规排查/专利检索</t>
  </si>
  <si>
    <t>能不能合法安全销售</t>
  </si>
  <si>
    <t>排查外观、实用、发明、商标、食品接触、电器、儿童、化学</t>
  </si>
  <si>
    <t>专利号、权利人、相似点、认证要求、测试标准、证据链接</t>
  </si>
  <si>
    <t>合规风险等级和规避方案</t>
  </si>
  <si>
    <t>专利库 / 认证机构</t>
  </si>
  <si>
    <t>红线判断</t>
  </si>
  <si>
    <t>广告后台竞价</t>
  </si>
  <si>
    <t>广告能不能以合理成本买到流量</t>
  </si>
  <si>
    <t>看建议竞价、历史CPC、广告位加价、搜索词报告、竞品广告结构</t>
  </si>
  <si>
    <t>Bid、CPC、Top of Search、CTR、CVR、CPA、ACOS、广告位ASIN</t>
  </si>
  <si>
    <t>目标CPC、预算上限、广告打法</t>
  </si>
  <si>
    <t>CPC高于盈亏平衡且CVR无提升空间时劝退</t>
  </si>
  <si>
    <t>广告后台</t>
  </si>
  <si>
    <t>投放推演</t>
  </si>
  <si>
    <t>商机探测器/选品指南针</t>
  </si>
  <si>
    <t>官方数据是否支持这个机会</t>
  </si>
  <si>
    <t>看需求、供给、价格、评论、转化、集中度、退货、增长</t>
  </si>
  <si>
    <t>官方转化率、点击份额、搜索增长、价格区间、竞争强度</t>
  </si>
  <si>
    <t>官方机会验证和反证</t>
  </si>
  <si>
    <t>官方口径与前台/Keepa冲突时先复核</t>
  </si>
  <si>
    <t>Amazon官方工具</t>
  </si>
  <si>
    <t>官方校验</t>
  </si>
  <si>
    <t>CDQ/PQS/AI收录</t>
  </si>
  <si>
    <t>Listing是否容易被系统理解和推荐</t>
  </si>
  <si>
    <t>检查目录质量、属性完整、子页面、变体、QA、Rufus/Alexa可回答性</t>
  </si>
  <si>
    <t>标题、五点、属性、图片、A+、类目、问答、实体覆盖、合规</t>
  </si>
  <si>
    <t>Listing质量分和AI推荐准备度</t>
  </si>
  <si>
    <t>AI无法回答核心购买问题时先补内容</t>
  </si>
  <si>
    <t>Catalog / Rufus / Alexa</t>
  </si>
  <si>
    <t>系统权重</t>
  </si>
  <si>
    <t>eCPM预演</t>
  </si>
  <si>
    <t>每千次曝光对平台和卖家是否有价值</t>
  </si>
  <si>
    <t>拆CTR、CVR、客单价、佣金、FBA、毛利和广告成本</t>
  </si>
  <si>
    <t>CTR、CVR、Price、佣金率、FBA、单件毛利、CPC、广告订单占比</t>
  </si>
  <si>
    <t>平台eCPM、卖家毛利eCPM、自然流量价值</t>
  </si>
  <si>
    <t>低CTR低CVR低毛利的组合不值得抢曝光</t>
  </si>
  <si>
    <t>广告后台 / 前台 / 利润表</t>
  </si>
  <si>
    <t>排序逻辑</t>
  </si>
  <si>
    <t>站外/品牌/社媒</t>
  </si>
  <si>
    <t>竞品背后是否有站外势能</t>
  </si>
  <si>
    <t>查独立站、TikTok、Instagram、YouTube、红人、线下实体渠道</t>
  </si>
  <si>
    <t>域名、流量、内容频率、达人、活动、品牌故事、线下渠道</t>
  </si>
  <si>
    <t>品牌势能和外部流量威胁</t>
  </si>
  <si>
    <t>对手站外强而我方无差异时避开正面词</t>
  </si>
  <si>
    <t>Similarweb / 社媒 / Google</t>
  </si>
  <si>
    <t>势能判断</t>
  </si>
  <si>
    <t>关键词搜索与坑位快照</t>
  </si>
  <si>
    <t>用Amazon前台搜索还原买家看到的战场：广告密度、自然坑位、价格带、评论门槛和可攻位置。</t>
  </si>
  <si>
    <t>#</t>
  </si>
  <si>
    <t>站点</t>
  </si>
  <si>
    <t>关键词</t>
  </si>
  <si>
    <t>中文意图</t>
  </si>
  <si>
    <t>搜索量</t>
  </si>
  <si>
    <t>点击量</t>
  </si>
  <si>
    <t>购买量</t>
  </si>
  <si>
    <t>搜索转化率</t>
  </si>
  <si>
    <t>点击转化率</t>
  </si>
  <si>
    <t>建议CPC</t>
  </si>
  <si>
    <t>估算CPA</t>
  </si>
  <si>
    <t>搜索强度</t>
  </si>
  <si>
    <t>首屏结构</t>
  </si>
  <si>
    <t>主流供给</t>
  </si>
  <si>
    <t>机会信号</t>
  </si>
  <si>
    <t>风险信号</t>
  </si>
  <si>
    <t>做减法后的动作</t>
  </si>
  <si>
    <t>备注</t>
  </si>
  <si>
    <t>schneidebrett</t>
  </si>
  <si>
    <t>切菜板</t>
  </si>
  <si>
    <t>高</t>
  </si>
  <si>
    <t>顶部广告+自然混合</t>
  </si>
  <si>
    <t>中价塑料/木/竹</t>
  </si>
  <si>
    <t>搜索量最大，转化不低</t>
  </si>
  <si>
    <t>首屏强品牌多</t>
  </si>
  <si>
    <t>拆材质和场景词，不直接只打主词</t>
  </si>
  <si>
    <t>Amazon前台+广告后台</t>
  </si>
  <si>
    <t>示例</t>
  </si>
  <si>
    <t>schneidebrett holz</t>
  </si>
  <si>
    <t>木制切菜板</t>
  </si>
  <si>
    <t>自然位强品牌明显</t>
  </si>
  <si>
    <t>实木/竹/木纤维</t>
  </si>
  <si>
    <t>价格带更高，有质感故事</t>
  </si>
  <si>
    <t>开裂、发霉、护理成本</t>
  </si>
  <si>
    <t>优先找厚实木/木纤维差异位</t>
  </si>
  <si>
    <t>ABA+前台搜索</t>
  </si>
  <si>
    <t>schneidebrett kunststoff</t>
  </si>
  <si>
    <t>塑料砧板</t>
  </si>
  <si>
    <t>中高</t>
  </si>
  <si>
    <t>搜索页套装多</t>
  </si>
  <si>
    <t>黑/灰/多色套装</t>
  </si>
  <si>
    <t>点击转化率高</t>
  </si>
  <si>
    <t>同质化与价格战</t>
  </si>
  <si>
    <t>只有供应链成本优势才进入</t>
  </si>
  <si>
    <t>titan schneidebrett</t>
  </si>
  <si>
    <t>钛切菜板</t>
  </si>
  <si>
    <t>中</t>
  </si>
  <si>
    <t>新材料概念位</t>
  </si>
  <si>
    <t>钛/不锈钢宣称</t>
  </si>
  <si>
    <t>新材料注意力强</t>
  </si>
  <si>
    <t>材质真实性和合规风险</t>
  </si>
  <si>
    <t>先验材质证据和专利，再测</t>
  </si>
  <si>
    <t>ABA+图片搜索</t>
  </si>
  <si>
    <t>schneidebretter ohne mikroplastik</t>
  </si>
  <si>
    <t>无微塑料砧板</t>
  </si>
  <si>
    <t>环保诉求词</t>
  </si>
  <si>
    <t>木纤维/钛/玻璃</t>
  </si>
  <si>
    <t>情绪与信任价值强</t>
  </si>
  <si>
    <t>转化低，需强证据</t>
  </si>
  <si>
    <t>配合认证/材质证明和A+解释</t>
  </si>
  <si>
    <t>ABA+VOC</t>
  </si>
  <si>
    <t>搜索页坑位快照</t>
  </si>
  <si>
    <t>时间</t>
  </si>
  <si>
    <t>入口</t>
  </si>
  <si>
    <t>坑位</t>
  </si>
  <si>
    <t>类型</t>
  </si>
  <si>
    <t>ASIN</t>
  </si>
  <si>
    <t>品牌</t>
  </si>
  <si>
    <t>价格</t>
  </si>
  <si>
    <t>Coupon</t>
  </si>
  <si>
    <t>配送</t>
  </si>
  <si>
    <t>评论数</t>
  </si>
  <si>
    <t>星级</t>
  </si>
  <si>
    <t>主图要素</t>
  </si>
  <si>
    <t>标题卖点</t>
  </si>
  <si>
    <t>可攻击点</t>
  </si>
  <si>
    <t>反例排除</t>
  </si>
  <si>
    <t>复查时间</t>
  </si>
  <si>
    <t>证据</t>
  </si>
  <si>
    <t>2026-09-10 10:00</t>
  </si>
  <si>
    <t>Top of Search</t>
  </si>
  <si>
    <t>广告</t>
  </si>
  <si>
    <t>待填ASIN</t>
  </si>
  <si>
    <t>待填品牌</t>
  </si>
  <si>
    <t>€待填</t>
  </si>
  <si>
    <t>有/无</t>
  </si>
  <si>
    <t>Prime/非Prime</t>
  </si>
  <si>
    <t>要避开的点</t>
  </si>
  <si>
    <t>下一次观察时间</t>
  </si>
  <si>
    <t>截图链接/备注</t>
  </si>
  <si>
    <t>自然</t>
  </si>
  <si>
    <t>商品页</t>
  </si>
  <si>
    <t>图片搜索与视觉减法</t>
  </si>
  <si>
    <t>用图片搜索发现关键词看不到的同源竞品、视觉同质化和元素迁移机会。</t>
  </si>
  <si>
    <t>图片来源</t>
  </si>
  <si>
    <t>搜索渠道</t>
  </si>
  <si>
    <t>识别元素</t>
  </si>
  <si>
    <t>返回关键词</t>
  </si>
  <si>
    <t>返回ASIN数</t>
  </si>
  <si>
    <t>与关键词搜索重合</t>
  </si>
  <si>
    <t>新发现竞品</t>
  </si>
  <si>
    <t>同质化程度</t>
  </si>
  <si>
    <t>可迁移元素</t>
  </si>
  <si>
    <t>不能做/慎做点</t>
  </si>
  <si>
    <t>做减法结论</t>
  </si>
  <si>
    <t>竞品主图</t>
  </si>
  <si>
    <t>Amazon图片搜索</t>
  </si>
  <si>
    <t>木纹厚板+汁槽</t>
  </si>
  <si>
    <t>wood cutting board</t>
  </si>
  <si>
    <t>汁槽/厚度/礼品场景</t>
  </si>
  <si>
    <t>实木开裂、护理、重量、价格</t>
  </si>
  <si>
    <t>不是所有木板都能做，要避开强品牌厚实木正面词</t>
  </si>
  <si>
    <t>侧翼切入</t>
  </si>
  <si>
    <t>供应链样品图</t>
  </si>
  <si>
    <t>Google Lens</t>
  </si>
  <si>
    <t>钛色金属板+双面</t>
  </si>
  <si>
    <t>titanium cutting board</t>
  </si>
  <si>
    <t>新材料注意力</t>
  </si>
  <si>
    <t>材质真实性、刀具损伤、专利/合规</t>
  </si>
  <si>
    <t>没有材质证明不能上概念款</t>
  </si>
  <si>
    <t>先验证</t>
  </si>
  <si>
    <t>概念设计图</t>
  </si>
  <si>
    <t>木纤维复合+深色极简</t>
  </si>
  <si>
    <t>composite cutting board</t>
  </si>
  <si>
    <t>视觉元素减法矩阵</t>
  </si>
  <si>
    <t>元素</t>
  </si>
  <si>
    <t>市场饱和度1-5</t>
  </si>
  <si>
    <t>成本压力1-5</t>
  </si>
  <si>
    <t>专利/合规风险1-5</t>
  </si>
  <si>
    <t>可迁移价值1-5</t>
  </si>
  <si>
    <t>是否符合我方能力</t>
  </si>
  <si>
    <t>结论</t>
  </si>
  <si>
    <t>需要补证</t>
  </si>
  <si>
    <t>负责人与截止</t>
  </si>
  <si>
    <t>厚实木/相思木</t>
  </si>
  <si>
    <t>待评估</t>
  </si>
  <si>
    <t>慎做</t>
  </si>
  <si>
    <t>开裂差评、重量、FBA费用</t>
  </si>
  <si>
    <t>塑料多板套装</t>
  </si>
  <si>
    <t>除非成本强，否则避开</t>
  </si>
  <si>
    <t>BPA/食品接触认证</t>
  </si>
  <si>
    <t>木纤维复合</t>
  </si>
  <si>
    <t>可作为差异切口</t>
  </si>
  <si>
    <t>材质证明、耐用测试</t>
  </si>
  <si>
    <t>钛/不锈钢概念</t>
  </si>
  <si>
    <t>先证据后测款</t>
  </si>
  <si>
    <t>材质、刀具影响、宣称边界</t>
  </si>
  <si>
    <t>礼品刻字</t>
  </si>
  <si>
    <t>小批量测试</t>
  </si>
  <si>
    <t>侵权词、定制能力</t>
  </si>
  <si>
    <t>做减法劝退清单</t>
  </si>
  <si>
    <t>好的选品工具不是发现更多产品，而是更早发现哪些产品不应该做。</t>
  </si>
  <si>
    <t>维度</t>
  </si>
  <si>
    <t>劝退问题</t>
  </si>
  <si>
    <t>触发阈值</t>
  </si>
  <si>
    <t>证据来源</t>
  </si>
  <si>
    <t>是否触发</t>
  </si>
  <si>
    <t>严重度</t>
  </si>
  <si>
    <t>处理动作</t>
  </si>
  <si>
    <t>市场</t>
  </si>
  <si>
    <t>市场月销量不足以支撑目标SKU规模</t>
  </si>
  <si>
    <t>目标细分月销量低于首批备货回转要求</t>
  </si>
  <si>
    <t>Top100/商机探测器/ABA</t>
  </si>
  <si>
    <t>补数据</t>
  </si>
  <si>
    <t>复核市场总点击、总转化、总销量</t>
  </si>
  <si>
    <t>销量集中在少数头部品牌</t>
  </si>
  <si>
    <t>前三品牌销量占比过高且无可攻细分</t>
  </si>
  <si>
    <t>Top100/品牌集中度</t>
  </si>
  <si>
    <t>换切口</t>
  </si>
  <si>
    <t>切到材质、场景、人群或价格带</t>
  </si>
  <si>
    <t>趋势</t>
  </si>
  <si>
    <t>旺季窗口与生产运输周期不匹配</t>
  </si>
  <si>
    <t>生产+运输+入仓晚于旺季启动前4周</t>
  </si>
  <si>
    <t>Google Trends/交期</t>
  </si>
  <si>
    <t>推迟</t>
  </si>
  <si>
    <t>换全年需求款或提前下一季</t>
  </si>
  <si>
    <t>目标CPC低于市场常态CPC</t>
  </si>
  <si>
    <t>目标CPC &lt; 推荐CPC或实际CPC中位数</t>
  </si>
  <si>
    <t>广告后台/ABA</t>
  </si>
  <si>
    <t>劝退或降目标</t>
  </si>
  <si>
    <t>提高CVR/售价/毛利，或改打长尾词</t>
  </si>
  <si>
    <t>流量</t>
  </si>
  <si>
    <t>关键词坑位已被强品牌和高评论锁住</t>
  </si>
  <si>
    <t>核心词首屏自然位评论门槛远高于我方可达</t>
  </si>
  <si>
    <t>前台搜索</t>
  </si>
  <si>
    <t>侧翼</t>
  </si>
  <si>
    <t>改打场景词、材质词、问题词</t>
  </si>
  <si>
    <t>供应链</t>
  </si>
  <si>
    <t>供应链没有成本、设计或交付优势</t>
  </si>
  <si>
    <t>报价不低于竞品推测成本且无差异结构</t>
  </si>
  <si>
    <t>供应商审查</t>
  </si>
  <si>
    <t>劝退</t>
  </si>
  <si>
    <t>不要做同款价格战</t>
  </si>
  <si>
    <t>产品</t>
  </si>
  <si>
    <t>热卖元素无法合法或可靠迁移</t>
  </si>
  <si>
    <t>专利/认证/工艺/材料证据不足</t>
  </si>
  <si>
    <t>专利检索/测试</t>
  </si>
  <si>
    <t>先证据</t>
  </si>
  <si>
    <t>没有证据不上架，不做危险宣称</t>
  </si>
  <si>
    <t>VOC</t>
  </si>
  <si>
    <t>核心差评属于结构性缺陷</t>
  </si>
  <si>
    <t>差评来自不可控材料/寿命/安全问题</t>
  </si>
  <si>
    <t>评论/QA/退货</t>
  </si>
  <si>
    <t>除非有明确结构改良方案</t>
  </si>
  <si>
    <t>利润</t>
  </si>
  <si>
    <t>广告后贡献毛利为负</t>
  </si>
  <si>
    <t>广告费/订单大于广告前毛利</t>
  </si>
  <si>
    <t>利润ROI表</t>
  </si>
  <si>
    <t>除非战略学习样品，不做规模化</t>
  </si>
  <si>
    <t>现金流</t>
  </si>
  <si>
    <t>资金不能覆盖两轮试错</t>
  </si>
  <si>
    <t>首批备货+广告+二补货现金缺口超预算</t>
  </si>
  <si>
    <t>现金流模型</t>
  </si>
  <si>
    <t>缩小</t>
  </si>
  <si>
    <t>小批量、轻库存、缩SKU</t>
  </si>
  <si>
    <t>合规</t>
  </si>
  <si>
    <t>存在食品接触、电器、儿童或化学红线</t>
  </si>
  <si>
    <t>认证缺失或合规责任不可承受</t>
  </si>
  <si>
    <t>合规排查</t>
  </si>
  <si>
    <t>极高</t>
  </si>
  <si>
    <t>NO-GO</t>
  </si>
  <si>
    <t>红线未关闭前不立项</t>
  </si>
  <si>
    <t>竞品有强站外/线下/品牌势能</t>
  </si>
  <si>
    <t>竞品独立站、社媒、线下认知明显强于我方</t>
  </si>
  <si>
    <t>社媒/Similarweb</t>
  </si>
  <si>
    <t>避开正面</t>
  </si>
  <si>
    <t>找非品牌词和功能痛点</t>
  </si>
  <si>
    <t>AI收录</t>
  </si>
  <si>
    <t>Listing关键信息不能被AI准确回答</t>
  </si>
  <si>
    <t>Rufus/Alexa无法回答购买前核心问题</t>
  </si>
  <si>
    <t>AI问答测试</t>
  </si>
  <si>
    <t>补内容</t>
  </si>
  <si>
    <t>补属性、QA、图片说明和A+</t>
  </si>
  <si>
    <t>团队</t>
  </si>
  <si>
    <t>资源与打法不匹配</t>
  </si>
  <si>
    <t>缺广告、视觉、供应链、资金或测款窗口</t>
  </si>
  <si>
    <t>内部资源盘点</t>
  </si>
  <si>
    <t>降维</t>
  </si>
  <si>
    <t>改成轻测款或不进入</t>
  </si>
  <si>
    <t>战术</t>
  </si>
  <si>
    <t>没有明确第一切入口</t>
  </si>
  <si>
    <t>不知道先打哪个词/人群/场景/价格带</t>
  </si>
  <si>
    <t>上市推演</t>
  </si>
  <si>
    <t>暂停</t>
  </si>
  <si>
    <t>先做军情表和打法表</t>
  </si>
  <si>
    <t>硬性否决统计</t>
  </si>
  <si>
    <t>触发数量</t>
  </si>
  <si>
    <t>待复核数量</t>
  </si>
  <si>
    <t>建议</t>
  </si>
  <si>
    <t>选品因子：人、货、场、物流、信息流、资金流、风险、ROI</t>
  </si>
  <si>
    <t>把选品从单一销量判断扩展为经营系统判断，先匹配能力，再决定打法。</t>
  </si>
  <si>
    <t>因子</t>
  </si>
  <si>
    <t>要回答的问题</t>
  </si>
  <si>
    <t>拆解字段</t>
  </si>
  <si>
    <t>数据来源</t>
  </si>
  <si>
    <t>输出结论</t>
  </si>
  <si>
    <t>评分1-5</t>
  </si>
  <si>
    <t>硬伤</t>
  </si>
  <si>
    <t>人</t>
  </si>
  <si>
    <t>用户画像、人群爱好、消费能力、使用场景</t>
  </si>
  <si>
    <t>性别、年龄、收入、家庭结构、厨房习惯、宠物/儿童、环保偏好</t>
  </si>
  <si>
    <t>评论、QA、卖家精灵画像、社媒内容</t>
  </si>
  <si>
    <t>找到高频场景和情绪价值</t>
  </si>
  <si>
    <t>货</t>
  </si>
  <si>
    <t>产品结构、原材料、参数规格、尺寸款式、热卖元素</t>
  </si>
  <si>
    <t>材质、工艺、认证、测试、包装、用户体验、迭代空间</t>
  </si>
  <si>
    <t>Top100打标、供应商、VOC</t>
  </si>
  <si>
    <t>定义第一代产品，不做泛泛同款</t>
  </si>
  <si>
    <t>场</t>
  </si>
  <si>
    <t>搜索场、类目场、推荐场、商品页、站外场</t>
  </si>
  <si>
    <t>关键词坑位、广告位、自然位、类目节点、商品页关联、站外入口</t>
  </si>
  <si>
    <t>前台搜索、SIF、广告后台、Keepa</t>
  </si>
  <si>
    <t>决定先打哪个入口</t>
  </si>
  <si>
    <t>物流</t>
  </si>
  <si>
    <t>头程、FBA、体积重、破损、退货、备货周期</t>
  </si>
  <si>
    <t>体积重、毛重、包装尺寸、破损率、入仓时效、退货率</t>
  </si>
  <si>
    <t>FBA费、供应商、历史退货</t>
  </si>
  <si>
    <t>确认货值和周转可控</t>
  </si>
  <si>
    <t>信息流</t>
  </si>
  <si>
    <t>标题、图片、A+、QA、视频、本地化、AI可理解性</t>
  </si>
  <si>
    <t>主图点击理由、五点承诺、认证信任、本地文化、AI问答可引用</t>
  </si>
  <si>
    <t>Listing、CDQ、Rufus/Alexa测试</t>
  </si>
  <si>
    <t>让系统和买家都看懂价值</t>
  </si>
  <si>
    <t>资金流</t>
  </si>
  <si>
    <t>采购、头程、广告、促销、回款、库存现金占用</t>
  </si>
  <si>
    <t>首批投入、二补货、广告预算、Deal费、回款周期、滞销风险</t>
  </si>
  <si>
    <t>ROI、现金流、发补货模型</t>
  </si>
  <si>
    <t>避免卖得动但现金流死</t>
  </si>
  <si>
    <t>风险</t>
  </si>
  <si>
    <t>专利、认证、政策、侵权、差评、供应链、平台规则</t>
  </si>
  <si>
    <t>红线合规、材质宣称、图片侵权、品牌词、违规操作、账号风险</t>
  </si>
  <si>
    <t>专利库、认证、评论、账号经验</t>
  </si>
  <si>
    <t>先排雷，再谈增长</t>
  </si>
  <si>
    <t>ROI</t>
  </si>
  <si>
    <t>利润、广告效率、LTV、复购、品牌延展</t>
  </si>
  <si>
    <t>单件毛利、广告后贡献、ROI、回本周期、复购周期、类目延展</t>
  </si>
  <si>
    <t>利润表、广告后台、市场推演</t>
  </si>
  <si>
    <t>确定赚钱路径</t>
  </si>
  <si>
    <t>竞品军情与流量对抗分析</t>
  </si>
  <si>
    <t>像打仗一样摸底：先侦察对手资源、兵力、阵地和弱点，再决定正面打、侧翼打、绕开或撤退。</t>
  </si>
  <si>
    <t>竞品类型</t>
  </si>
  <si>
    <t>月销量</t>
  </si>
  <si>
    <t>月销售额</t>
  </si>
  <si>
    <t>Review数</t>
  </si>
  <si>
    <t>Review增速</t>
  </si>
  <si>
    <t>广告压强1-5</t>
  </si>
  <si>
    <t>评论压强1-5</t>
  </si>
  <si>
    <t>价格压强1-5</t>
  </si>
  <si>
    <t>综合压强</t>
  </si>
  <si>
    <t>站外势能1-5</t>
  </si>
  <si>
    <t>热卖元素</t>
  </si>
  <si>
    <t>护城河</t>
  </si>
  <si>
    <t>背后资源推测</t>
  </si>
  <si>
    <t>打法选择</t>
  </si>
  <si>
    <t>可攻击弱点</t>
  </si>
  <si>
    <t>B01N30EOLD</t>
  </si>
  <si>
    <t>Kesper</t>
  </si>
  <si>
    <t>头部样本</t>
  </si>
  <si>
    <t>相思木/汁槽</t>
  </si>
  <si>
    <t>价格低、强榜位</t>
  </si>
  <si>
    <t>品牌/供应链/历史销量</t>
  </si>
  <si>
    <t>侧翼切入，不正面硬打</t>
  </si>
  <si>
    <t>厚实木开裂/护理/重量</t>
  </si>
  <si>
    <t>B0DP375X1X</t>
  </si>
  <si>
    <t>Blumtal</t>
  </si>
  <si>
    <t>塑料套装</t>
  </si>
  <si>
    <t>2件套/灰色/汁槽</t>
  </si>
  <si>
    <t>价格带成熟</t>
  </si>
  <si>
    <t>评论和价格门槛</t>
  </si>
  <si>
    <t>除非成本强，否则不打正面</t>
  </si>
  <si>
    <t>塑料同质化</t>
  </si>
  <si>
    <t>B0FDWG58L2</t>
  </si>
  <si>
    <t>ROTTOGOON</t>
  </si>
  <si>
    <t>黑色/三件套</t>
  </si>
  <si>
    <t>功能堆叠</t>
  </si>
  <si>
    <t>低价/套装</t>
  </si>
  <si>
    <t>用材质或场景避开</t>
  </si>
  <si>
    <t>可洗碗机/BPA信任</t>
  </si>
  <si>
    <t>B0FJXT4BZ9</t>
  </si>
  <si>
    <t>木纤维</t>
  </si>
  <si>
    <t>复合材质</t>
  </si>
  <si>
    <t>品牌集中待核验</t>
  </si>
  <si>
    <t>材料故事</t>
  </si>
  <si>
    <t>可作为中价差异切口</t>
  </si>
  <si>
    <t>耐用/认证/成本</t>
  </si>
  <si>
    <t>相似竞品</t>
  </si>
  <si>
    <t>兵法打法选择</t>
  </si>
  <si>
    <t>打法</t>
  </si>
  <si>
    <t>适用条件</t>
  </si>
  <si>
    <t>亚马逊动作</t>
  </si>
  <si>
    <t>撤退线</t>
  </si>
  <si>
    <t>需要证据</t>
  </si>
  <si>
    <t>正面攻坚</t>
  </si>
  <si>
    <t>我方成本/供应链/评论/广告预算强于头部</t>
  </si>
  <si>
    <t>核心词Top of Search+强主图+高转化Listing</t>
  </si>
  <si>
    <t>ACOS连续7天高于目标且自然排名不动</t>
  </si>
  <si>
    <t>目标CPC、CVR、库存</t>
  </si>
  <si>
    <t>核心词太强，但属性词/场景词有缺口</t>
  </si>
  <si>
    <t>材质词、场景词、问题词先拿坑位</t>
  </si>
  <si>
    <t>长尾词CPA仍高于毛利</t>
  </si>
  <si>
    <t>关键词坑位快照</t>
  </si>
  <si>
    <t>避实击虚</t>
  </si>
  <si>
    <t>对手强在价格或评论，弱在体验/VOC</t>
  </si>
  <si>
    <t>用产品改良和主图文案攻击差评点</t>
  </si>
  <si>
    <t>差异点无法被买家感知</t>
  </si>
  <si>
    <t>VOC频次、主图点击</t>
  </si>
  <si>
    <t>围点打援</t>
  </si>
  <si>
    <t>竞品商品页流量强但广告结构有空隙</t>
  </si>
  <si>
    <t>商品投放、竞品ASIN投放、关联位卡位</t>
  </si>
  <si>
    <t>商品页CVR低于搜索流量</t>
  </si>
  <si>
    <t>商品页广告报告</t>
  </si>
  <si>
    <t>撤退观察</t>
  </si>
  <si>
    <t>红线风险或ROI不成立</t>
  </si>
  <si>
    <t>保留监控，不立项或只做小样</t>
  </si>
  <si>
    <t>硬伤未关闭</t>
  </si>
  <si>
    <t>减法清单</t>
  </si>
  <si>
    <t>广告、流量与eCPM预演</t>
  </si>
  <si>
    <t>用目标CPC、CPA、自然订单占比和eCPM模拟广告能不能打、自然能不能拉、平台愿不愿意给曝光。</t>
  </si>
  <si>
    <t>CTR</t>
  </si>
  <si>
    <t>CVR</t>
  </si>
  <si>
    <t>售价</t>
  </si>
  <si>
    <t>佣金率</t>
  </si>
  <si>
    <t>FBA配送费</t>
  </si>
  <si>
    <t>单件毛利</t>
  </si>
  <si>
    <t>实际CPC</t>
  </si>
  <si>
    <t>目标ACOS</t>
  </si>
  <si>
    <t>目标CPC</t>
  </si>
  <si>
    <t>CPA</t>
  </si>
  <si>
    <t>点击出单</t>
  </si>
  <si>
    <t>日预算</t>
  </si>
  <si>
    <t>广告订单</t>
  </si>
  <si>
    <t>自然订单占比</t>
  </si>
  <si>
    <t>总订单</t>
  </si>
  <si>
    <t>自然订单</t>
  </si>
  <si>
    <t>平台eCPM</t>
  </si>
  <si>
    <t>卖家毛利eCPM</t>
  </si>
  <si>
    <t>判断</t>
  </si>
  <si>
    <t>搜索词报告反推总曝光量</t>
  </si>
  <si>
    <t>投放ASIN曝光</t>
  </si>
  <si>
    <t>广告位占比</t>
  </si>
  <si>
    <t>估算市场总曝光</t>
  </si>
  <si>
    <t>广告点击</t>
  </si>
  <si>
    <t>广告CTR</t>
  </si>
  <si>
    <t>自然点击估算</t>
  </si>
  <si>
    <t>搜索词报告能看到投放ASIN在广告位的数据后，可用占比反推词的市场总曝光。</t>
  </si>
  <si>
    <t>供应链、成本与产品结构拆解</t>
  </si>
  <si>
    <t>把供应链资源拆成原材料、结构方案、工艺、认证、测试、交期、迭代和知识产权。</t>
  </si>
  <si>
    <t>模块</t>
  </si>
  <si>
    <t>分析问题</t>
  </si>
  <si>
    <t>供应商A</t>
  </si>
  <si>
    <t>供应商B</t>
  </si>
  <si>
    <t>状态</t>
  </si>
  <si>
    <t>原材料</t>
  </si>
  <si>
    <t>材料类型、等级、供应稳定性、食品接触安全</t>
  </si>
  <si>
    <t>采购单价、损耗率、替代材料、认证文件</t>
  </si>
  <si>
    <t>供应商报价、材质报告、竞品参数</t>
  </si>
  <si>
    <t>成本优势/材料故事/风险</t>
  </si>
  <si>
    <t>待补</t>
  </si>
  <si>
    <t>成本费用</t>
  </si>
  <si>
    <t>采购成本、模具、包装、质检、头程、仓储</t>
  </si>
  <si>
    <t>FOB、EXW、MOQ、打样费、模具费、质检费、头程费</t>
  </si>
  <si>
    <t>报价单、FBA、物流商</t>
  </si>
  <si>
    <t>单件成本和首批资金</t>
  </si>
  <si>
    <t>设计方案结构</t>
  </si>
  <si>
    <t>结构原理、组件拆分、易损件、清洁维护</t>
  </si>
  <si>
    <t>爆炸图、BOM、结构差异、易用性</t>
  </si>
  <si>
    <t>工厂图纸、竞品拆解、评论</t>
  </si>
  <si>
    <t>可差异化结构</t>
  </si>
  <si>
    <t>参数规格</t>
  </si>
  <si>
    <t>尺寸、重量、厚度、容量、功率、吸力等品类参数</t>
  </si>
  <si>
    <t>核心参数、测试条件、宣称边界</t>
  </si>
  <si>
    <t>竞品表、测试报告</t>
  </si>
  <si>
    <t>参数领先/够用/虚高</t>
  </si>
  <si>
    <t>材质、颜色、套装、场景、功能、包装视觉</t>
  </si>
  <si>
    <t>Top100频次、搜索量加权、销量加权、差评反证</t>
  </si>
  <si>
    <t>Top100打标、图片搜索</t>
  </si>
  <si>
    <t>可迁移元素清单</t>
  </si>
  <si>
    <t>交货周期</t>
  </si>
  <si>
    <t>打样、确认、生产、质检、出货、入仓</t>
  </si>
  <si>
    <t>天数、瓶颈、旺季提前量、延期概率</t>
  </si>
  <si>
    <t>供应商、物流</t>
  </si>
  <si>
    <t>上市节奏和备货量</t>
  </si>
  <si>
    <t>认证测试</t>
  </si>
  <si>
    <t>CE、LFGB、FDA、RoHS、REACH、食品接触等</t>
  </si>
  <si>
    <t>适用标准、测试机构、证书有效期、宣称范围</t>
  </si>
  <si>
    <t>认证机构、供应商</t>
  </si>
  <si>
    <t>合规清单</t>
  </si>
  <si>
    <t>迭代升级</t>
  </si>
  <si>
    <t>第一代差异、第二代升级、可替换部件</t>
  </si>
  <si>
    <t>VOC闭环、版本路线、开模可扩展性</t>
  </si>
  <si>
    <t>评论、退货、工厂研发</t>
  </si>
  <si>
    <t>产品路线图</t>
  </si>
  <si>
    <t>知识产权</t>
  </si>
  <si>
    <t>外观、结构、实用、品牌词、图片版权</t>
  </si>
  <si>
    <t>专利号、权利要求、相似点、规避方案</t>
  </si>
  <si>
    <t>专利库、律师、竞品</t>
  </si>
  <si>
    <t>风险等级</t>
  </si>
  <si>
    <t>VOC、购买决策与本地化</t>
  </si>
  <si>
    <t>把评论、QA、差评图片和购物旅程变成产品、视觉、包装和文案动作。</t>
  </si>
  <si>
    <t>旅程阶段</t>
  </si>
  <si>
    <t>观察字段</t>
  </si>
  <si>
    <t>影响指标</t>
  </si>
  <si>
    <t>优化动作</t>
  </si>
  <si>
    <t>负责人</t>
  </si>
  <si>
    <t>搜索页注意力</t>
  </si>
  <si>
    <t>买家一眼看到什么</t>
  </si>
  <si>
    <t>主图、价格、Coupon、星级、评论数、配送、广告标识</t>
  </si>
  <si>
    <t>前台搜索截图</t>
  </si>
  <si>
    <t>提升CTR</t>
  </si>
  <si>
    <t>主图差异点、价格锚点、认证图标</t>
  </si>
  <si>
    <t>虚假夸大/文化不适</t>
  </si>
  <si>
    <t>点击后理解</t>
  </si>
  <si>
    <t>买家是否马上懂卖点</t>
  </si>
  <si>
    <t>标题、首屏图片、视频、A+入口、变体</t>
  </si>
  <si>
    <t>Listing</t>
  </si>
  <si>
    <t>降低理解成本</t>
  </si>
  <si>
    <t>3秒看懂核心差异</t>
  </si>
  <si>
    <t>信息堆叠不清</t>
  </si>
  <si>
    <t>购买信任</t>
  </si>
  <si>
    <t>买家担心什么</t>
  </si>
  <si>
    <t>认证、材质、安全、尺寸、兼容、耐用、售后</t>
  </si>
  <si>
    <t>QA/评论/认证</t>
  </si>
  <si>
    <t>解决顾虑</t>
  </si>
  <si>
    <t>证书、测试、真实场景图</t>
  </si>
  <si>
    <t>承诺无法证明</t>
  </si>
  <si>
    <t>情绪价值</t>
  </si>
  <si>
    <t>买家为什么愿意多付钱</t>
  </si>
  <si>
    <t>品牌故事、审美、厨房风格、送礼、环保、儿童/宠物</t>
  </si>
  <si>
    <t>评论/社媒/竞品A+</t>
  </si>
  <si>
    <t>提高溢价</t>
  </si>
  <si>
    <t>本地化文案和生活方式</t>
  </si>
  <si>
    <t>空洞故事</t>
  </si>
  <si>
    <t>成交路径</t>
  </si>
  <si>
    <t>从浏览到下单的阻力</t>
  </si>
  <si>
    <t>价格、Deal、变体、库存、配送、退货政策</t>
  </si>
  <si>
    <t>前台/广告/业务报告</t>
  </si>
  <si>
    <t>提高CVR</t>
  </si>
  <si>
    <t>变体结构、Coupon、FAQ</t>
  </si>
  <si>
    <t>低价竞争拖垮利润</t>
  </si>
  <si>
    <t>VOC主题分析</t>
  </si>
  <si>
    <t>主题</t>
  </si>
  <si>
    <t>用户原话/证据</t>
  </si>
  <si>
    <t>出现频次</t>
  </si>
  <si>
    <t>影响阶段</t>
  </si>
  <si>
    <t>严重度1-5</t>
  </si>
  <si>
    <t>可解决性1-5</t>
  </si>
  <si>
    <t>产品动作</t>
  </si>
  <si>
    <t>图片/A+动作</t>
  </si>
  <si>
    <t>文案动作</t>
  </si>
  <si>
    <t>是否进入卖点</t>
  </si>
  <si>
    <t>开裂/变形</t>
  </si>
  <si>
    <t>待填评论证据</t>
  </si>
  <si>
    <t>使用后评价</t>
  </si>
  <si>
    <t>材料与干燥工艺验证</t>
  </si>
  <si>
    <t>展示保养与厚度</t>
  </si>
  <si>
    <t>明确护理边界</t>
  </si>
  <si>
    <t>待定</t>
  </si>
  <si>
    <t>清洁/洗碗机</t>
  </si>
  <si>
    <t>购买前顾虑</t>
  </si>
  <si>
    <t>测试洗碗机耐受</t>
  </si>
  <si>
    <t>场景图+清洗图</t>
  </si>
  <si>
    <t>避免无法证明的宣称</t>
  </si>
  <si>
    <t>食品接触安全</t>
  </si>
  <si>
    <t>待填QA证据</t>
  </si>
  <si>
    <t>补认证</t>
  </si>
  <si>
    <t>认证图标本地化</t>
  </si>
  <si>
    <t>LFGB/FDA边界说明</t>
  </si>
  <si>
    <t>礼品/审美</t>
  </si>
  <si>
    <t>待填好评证据</t>
  </si>
  <si>
    <t>包装升级</t>
  </si>
  <si>
    <t>生活方式图</t>
  </si>
  <si>
    <t>品牌故事</t>
  </si>
  <si>
    <t>CDQ、PQS、子页面与AI收录评分</t>
  </si>
  <si>
    <t>让目录系统、搜索系统、Rufus/Alexa和买家都能准确理解产品价值。</t>
  </si>
  <si>
    <t>评分项</t>
  </si>
  <si>
    <t>检查要点</t>
  </si>
  <si>
    <t>得分</t>
  </si>
  <si>
    <t>标题关键词覆盖</t>
  </si>
  <si>
    <t>核心词、属性词、场景词、材质词自然覆盖</t>
  </si>
  <si>
    <t>标题可读，不堆词；本地词序正确</t>
  </si>
  <si>
    <t>前台搜索、ABA、竞品标题</t>
  </si>
  <si>
    <t>五点卖点</t>
  </si>
  <si>
    <t>功能、场景、信任、使用边界、售后说明完整</t>
  </si>
  <si>
    <t>每一点回答一个购买问题</t>
  </si>
  <si>
    <t>VOC、QA</t>
  </si>
  <si>
    <t>图片系统</t>
  </si>
  <si>
    <t>主图、场景图、参数图、对比图、安装/使用图</t>
  </si>
  <si>
    <t>首屏能解释差异，不依赖长文</t>
  </si>
  <si>
    <t>竞品图、VOC</t>
  </si>
  <si>
    <t>A+与品牌故事</t>
  </si>
  <si>
    <t>品牌、材质、工艺、场景、对比、FAQ</t>
  </si>
  <si>
    <t>增强信任和溢价</t>
  </si>
  <si>
    <t>A+竞品、评论</t>
  </si>
  <si>
    <t>属性完整性</t>
  </si>
  <si>
    <t>类目属性、材质、尺寸、颜色、变体、合规属性</t>
  </si>
  <si>
    <t>减少目录质量扣分</t>
  </si>
  <si>
    <t>后台Catalog</t>
  </si>
  <si>
    <t>变体质量</t>
  </si>
  <si>
    <t>父子体关系、颜色/尺寸/套装维度合理</t>
  </si>
  <si>
    <t>不乱合并，不误导</t>
  </si>
  <si>
    <t>变体表</t>
  </si>
  <si>
    <t>PQS子页面</t>
  </si>
  <si>
    <t>类目分数，智能匹配、节点、子页面内容、推荐入口</t>
  </si>
  <si>
    <t>让搜索和推荐流量更稳定</t>
  </si>
  <si>
    <t>类目页/前台</t>
  </si>
  <si>
    <t>QA可回答性</t>
  </si>
  <si>
    <t>购买前核心问题能在Listing中找到答案</t>
  </si>
  <si>
    <t>不要让AI或买家猜</t>
  </si>
  <si>
    <t>QA/Rufus测试</t>
  </si>
  <si>
    <t>Rufus/Alexa收录</t>
  </si>
  <si>
    <t>AI能正确回答材质、场景、尺寸、清洁、认证等问题</t>
  </si>
  <si>
    <t>可引用信息必须在页面出现</t>
  </si>
  <si>
    <t>Rufus/Alexa for Shopping</t>
  </si>
  <si>
    <t>使用flyfus</t>
  </si>
  <si>
    <t>评论结构</t>
  </si>
  <si>
    <t>评论数量、星级、增速、差评可控性</t>
  </si>
  <si>
    <t>转化率和信任门槛</t>
  </si>
  <si>
    <t>评论/VOC</t>
  </si>
  <si>
    <t>合规表达</t>
  </si>
  <si>
    <t>避免医疗、安全、材质、认证、环保等过度宣称</t>
  </si>
  <si>
    <t>可证明才表达</t>
  </si>
  <si>
    <t>合规/认证</t>
  </si>
  <si>
    <t>本地化质量</t>
  </si>
  <si>
    <t>德语/英语/西语等语言自然、文化无冲突</t>
  </si>
  <si>
    <t>适配当地习俗和购买心理</t>
  </si>
  <si>
    <t>本地化审核</t>
  </si>
  <si>
    <t>总分</t>
  </si>
  <si>
    <t>CDQ/PQS/AI总分</t>
  </si>
  <si>
    <t>利润、现金流与ROI测算</t>
  </si>
  <si>
    <t>最终要能赚钱：单件利润、广告后贡献、首批现金缺口、回本周期都要过线。</t>
  </si>
  <si>
    <t>项目</t>
  </si>
  <si>
    <t>单位</t>
  </si>
  <si>
    <t>数值</t>
  </si>
  <si>
    <t>说明</t>
  </si>
  <si>
    <t>EUR</t>
  </si>
  <si>
    <t>前台目标售价</t>
  </si>
  <si>
    <t>Coupon率</t>
  </si>
  <si>
    <t>%</t>
  </si>
  <si>
    <t>到手价=售价×(1-Coupon)</t>
  </si>
  <si>
    <t>到手售价</t>
  </si>
  <si>
    <t>用于利润计算</t>
  </si>
  <si>
    <t>采购成本</t>
  </si>
  <si>
    <t>RMB</t>
  </si>
  <si>
    <t>供应商报价，不含头程</t>
  </si>
  <si>
    <t>汇率</t>
  </si>
  <si>
    <t>RMB/EUR</t>
  </si>
  <si>
    <t>人民币兑欧元，按项目统一口径</t>
  </si>
  <si>
    <t>采购成本折算</t>
  </si>
  <si>
    <t>头程物流/件</t>
  </si>
  <si>
    <t>按体积重或实际重分摊</t>
  </si>
  <si>
    <t>按站点费率表</t>
  </si>
  <si>
    <t>类目佣金</t>
  </si>
  <si>
    <t>VAT率</t>
  </si>
  <si>
    <t>德国示例，按含税售价估算</t>
  </si>
  <si>
    <t>退货率</t>
  </si>
  <si>
    <t>退货均摊口径</t>
  </si>
  <si>
    <t>CPC</t>
  </si>
  <si>
    <t>广告后台建议/实际CPC</t>
  </si>
  <si>
    <t>广告费/订单</t>
  </si>
  <si>
    <t>亚马逊佣金/件</t>
  </si>
  <si>
    <t>到手售价×佣金率</t>
  </si>
  <si>
    <t>VAT/件</t>
  </si>
  <si>
    <t>含税价粗略拆VAT</t>
  </si>
  <si>
    <t>退货均摊/件</t>
  </si>
  <si>
    <t>采购+物流+配送×退货率</t>
  </si>
  <si>
    <t>广告前毛利/件</t>
  </si>
  <si>
    <t>未扣广告</t>
  </si>
  <si>
    <t>广告后贡献/件</t>
  </si>
  <si>
    <t>扣除广告费/订单</t>
  </si>
  <si>
    <t>广告后利润率</t>
  </si>
  <si>
    <t>贡献毛利/到手售价</t>
  </si>
  <si>
    <t>盈亏平衡CPC</t>
  </si>
  <si>
    <t>CVR×广告前毛利</t>
  </si>
  <si>
    <t>可按项目修改</t>
  </si>
  <si>
    <t>ACOS×到手售价×CVR</t>
  </si>
  <si>
    <t>首批备货数量</t>
  </si>
  <si>
    <t>pcs</t>
  </si>
  <si>
    <t>结合MOQ、测款周期和现金流</t>
  </si>
  <si>
    <t>MOQ</t>
  </si>
  <si>
    <t>供应商最低起订量</t>
  </si>
  <si>
    <t>生产+运输+入仓</t>
  </si>
  <si>
    <t>days</t>
  </si>
  <si>
    <t>备货周期</t>
  </si>
  <si>
    <t>6个月上市现金流推演</t>
  </si>
  <si>
    <t>月份</t>
  </si>
  <si>
    <t>预计销量</t>
  </si>
  <si>
    <t>收入</t>
  </si>
  <si>
    <t>采购+头程现金支出</t>
  </si>
  <si>
    <t>平台/税/退货</t>
  </si>
  <si>
    <t>广告费</t>
  </si>
  <si>
    <t>广告后贡献毛利</t>
  </si>
  <si>
    <t>当月现金净额</t>
  </si>
  <si>
    <t>累计现金</t>
  </si>
  <si>
    <t>M1</t>
  </si>
  <si>
    <t>M2</t>
  </si>
  <si>
    <t>M3</t>
  </si>
  <si>
    <t>M4</t>
  </si>
  <si>
    <t>M5</t>
  </si>
  <si>
    <t>M6</t>
  </si>
  <si>
    <t>ROI判断</t>
  </si>
  <si>
    <t>最大现金缺口</t>
  </si>
  <si>
    <t>6个月累计现金</t>
  </si>
  <si>
    <t>上市推演与作战打法</t>
  </si>
  <si>
    <t>把选品判断落成战役节奏：侦察、试探、集中火力、扩大战果、撤退线。</t>
  </si>
  <si>
    <t>周期</t>
  </si>
  <si>
    <t>阶段</t>
  </si>
  <si>
    <t>军事动作</t>
  </si>
  <si>
    <t>业务动作</t>
  </si>
  <si>
    <t>关键词目标</t>
  </si>
  <si>
    <t>广告结构</t>
  </si>
  <si>
    <t>供应链动作</t>
  </si>
  <si>
    <t>Review目标</t>
  </si>
  <si>
    <t>成功信号</t>
  </si>
  <si>
    <t>W-8</t>
  </si>
  <si>
    <t>侦察</t>
  </si>
  <si>
    <t>完成关键词搜索、图片搜索、Top100打标、竞品军情</t>
  </si>
  <si>
    <t>核心词/属性词/场景词</t>
  </si>
  <si>
    <t>不投放，只记录坑位</t>
  </si>
  <si>
    <t>样品确认</t>
  </si>
  <si>
    <t>0</t>
  </si>
  <si>
    <t>确认红线风险</t>
  </si>
  <si>
    <t>没有可攻切口就暂停</t>
  </si>
  <si>
    <t>调研负责人</t>
  </si>
  <si>
    <t>W-6</t>
  </si>
  <si>
    <t>准备</t>
  </si>
  <si>
    <t>确定第一代产品结构、参数、包装、认证和Listing卖点</t>
  </si>
  <si>
    <t>目标长尾词</t>
  </si>
  <si>
    <t>预算框架</t>
  </si>
  <si>
    <t>下单打样</t>
  </si>
  <si>
    <t>样品测试通过</t>
  </si>
  <si>
    <t>样品不达标不立项</t>
  </si>
  <si>
    <t>产品经理</t>
  </si>
  <si>
    <t>W-4</t>
  </si>
  <si>
    <t>试探</t>
  </si>
  <si>
    <t>小预算测款</t>
  </si>
  <si>
    <t>建立自动+精准+竞品ASIN广告，验证CTR/CVR/CPC</t>
  </si>
  <si>
    <t>场景词/材质词</t>
  </si>
  <si>
    <t>低预算控ACOS</t>
  </si>
  <si>
    <t>首批备货</t>
  </si>
  <si>
    <t>5-10</t>
  </si>
  <si>
    <t>CPC≤目标CPC或CVR有提升空间</t>
  </si>
  <si>
    <t>7天35点击无单复盘/暂停</t>
  </si>
  <si>
    <t>运营</t>
  </si>
  <si>
    <t>W-2</t>
  </si>
  <si>
    <t>上架</t>
  </si>
  <si>
    <t>Listing质量</t>
  </si>
  <si>
    <t>完成CDQ/PQS、A+、QA、Rufus/Alexa问答验证</t>
  </si>
  <si>
    <t>核心词覆盖</t>
  </si>
  <si>
    <t>精准词起量</t>
  </si>
  <si>
    <t>FBA入仓</t>
  </si>
  <si>
    <t>10-20</t>
  </si>
  <si>
    <t>AI能回答核心问题</t>
  </si>
  <si>
    <t>Listing问题未补齐不放量</t>
  </si>
  <si>
    <t>运营+美工</t>
  </si>
  <si>
    <t>W1</t>
  </si>
  <si>
    <t>开战</t>
  </si>
  <si>
    <t>集中火力</t>
  </si>
  <si>
    <t>选1-3个最有把握的词集中预算，不同时打太散</t>
  </si>
  <si>
    <t>第一攻击词</t>
  </si>
  <si>
    <t>Top of Search测试</t>
  </si>
  <si>
    <t>监控库存</t>
  </si>
  <si>
    <t>20+</t>
  </si>
  <si>
    <t>自然排名开始移动</t>
  </si>
  <si>
    <t>ACOS&gt;100%且自然不动降级</t>
  </si>
  <si>
    <t>广告负责人</t>
  </si>
  <si>
    <t>W2-W4</t>
  </si>
  <si>
    <t>扩张</t>
  </si>
  <si>
    <t>扩大战果</t>
  </si>
  <si>
    <t>把有效词扩展到同义词、场景词、商品页关联位</t>
  </si>
  <si>
    <t>扩展词</t>
  </si>
  <si>
    <t>分组放量</t>
  </si>
  <si>
    <t>二补货判断</t>
  </si>
  <si>
    <t>30+</t>
  </si>
  <si>
    <t>广告单带来自然单</t>
  </si>
  <si>
    <t>库存周转和现金流不过线就不补大货</t>
  </si>
  <si>
    <t>W5-W8</t>
  </si>
  <si>
    <t>收割</t>
  </si>
  <si>
    <t>提高自然占比</t>
  </si>
  <si>
    <t>优化预算、提高自然订单占比、测试Deal和价格带</t>
  </si>
  <si>
    <t>高转化词</t>
  </si>
  <si>
    <t>降无效词，保有效坑位</t>
  </si>
  <si>
    <t>补货</t>
  </si>
  <si>
    <t>50+</t>
  </si>
  <si>
    <t>自然首页稳定≥1周</t>
  </si>
  <si>
    <t>自然不稳定不提价扩量</t>
  </si>
  <si>
    <t>数据源与字段字典</t>
  </si>
  <si>
    <t>把每个判断背后的数据源、字段、频率和使用方式统一，减少团队口径混乱。</t>
  </si>
  <si>
    <t>关键字段</t>
  </si>
  <si>
    <t>用途</t>
  </si>
  <si>
    <t>证据保存</t>
  </si>
  <si>
    <t>更新频率</t>
  </si>
  <si>
    <t>注意事项</t>
  </si>
  <si>
    <t>Amazon前台关键词搜索</t>
  </si>
  <si>
    <t>搜索结果数、首屏广告数、自然位、价格、Coupon、评论、配送、主图、标题</t>
  </si>
  <si>
    <t>判断真实坑位、广告密度、转化门槛和可攻入口</t>
  </si>
  <si>
    <t>截图/时间/邮编</t>
  </si>
  <si>
    <t>每次调研/复查</t>
  </si>
  <si>
    <t>同一关键词要固定站点、邮编、时间段</t>
  </si>
  <si>
    <t>Amazon图片搜索/Google Lens</t>
  </si>
  <si>
    <t>相似ASIN、相似图片、识别关键词、重合率、同源视觉</t>
  </si>
  <si>
    <t>发现隐藏竞品和供应链同质化</t>
  </si>
  <si>
    <t>截图/ASIN/图片链接</t>
  </si>
  <si>
    <t>每次调研</t>
  </si>
  <si>
    <t>不要只看关键词结果</t>
  </si>
  <si>
    <t>ABA品牌分析</t>
  </si>
  <si>
    <t>搜索量、点击份额、转化份额、Top点击ASIN</t>
  </si>
  <si>
    <t>判断需求和转化集中度</t>
  </si>
  <si>
    <t>导出表</t>
  </si>
  <si>
    <t>周/月</t>
  </si>
  <si>
    <t>品牌权限口径要记录</t>
  </si>
  <si>
    <t>建议竞价、CPC、CTR、CVR、CPA、ACOS、广告位ASIN</t>
  </si>
  <si>
    <t>推演目标CPC、预算和广告难度</t>
  </si>
  <si>
    <t>报表/截图</t>
  </si>
  <si>
    <t>日/周</t>
  </si>
  <si>
    <t>用真实CPC校验ABA</t>
  </si>
  <si>
    <t>需求、供给、价格、评论、转化、退货、集中度</t>
  </si>
  <si>
    <t>官方口径机会验证</t>
  </si>
  <si>
    <t>截图/导出</t>
  </si>
  <si>
    <t>与前台和Keepa互相反证</t>
  </si>
  <si>
    <t>Keepa</t>
  </si>
  <si>
    <t>价格曲线、BSR、Deal、上架历史、库存/跟卖迹象</t>
  </si>
  <si>
    <t>看过去发生了什么和未来节奏</t>
  </si>
  <si>
    <t>图表/导出</t>
  </si>
  <si>
    <t>选品真正要看历史变化</t>
  </si>
  <si>
    <t>SIF/流量工具</t>
  </si>
  <si>
    <t>ASIN流量、关键词排名、自然/广告流量、坑位变化</t>
  </si>
  <si>
    <t>竞品流量对抗和排名拉升判断</t>
  </si>
  <si>
    <t>工具截图/导出</t>
  </si>
  <si>
    <t>和广告后台结合反推曝光</t>
  </si>
  <si>
    <t>Top100抓取</t>
  </si>
  <si>
    <t>ASIN、父体、品牌、标题、价格、销量、评分、标签、图片</t>
  </si>
  <si>
    <t>打标供给结构和热卖元素</t>
  </si>
  <si>
    <t>抓取表</t>
  </si>
  <si>
    <t>数据分析</t>
  </si>
  <si>
    <t>按父体去重，避免重复计入</t>
  </si>
  <si>
    <t>痛点、爽点、关注点、差评图片、退货原因、语言表达</t>
  </si>
  <si>
    <t>产品改良、图片文案、风险判断</t>
  </si>
  <si>
    <t>原文链接/截图</t>
  </si>
  <si>
    <t>每次调研/上市后</t>
  </si>
  <si>
    <t>产品+运营</t>
  </si>
  <si>
    <t>评论要保留原文证据</t>
  </si>
  <si>
    <t>供应商资料</t>
  </si>
  <si>
    <t>报价、MOQ、交期、认证、测试、BOM、工艺、产能、客户</t>
  </si>
  <si>
    <t>判断供应链优势和风险</t>
  </si>
  <si>
    <t>报价单/证书/样品测试</t>
  </si>
  <si>
    <t>打样/生产前</t>
  </si>
  <si>
    <t>采购</t>
  </si>
  <si>
    <t>口头承诺不算证据</t>
  </si>
  <si>
    <t>专利/认证</t>
  </si>
  <si>
    <t>专利号、权利要求、相似点、证书范围、测试标准</t>
  </si>
  <si>
    <t>红线风险和规避方案</t>
  </si>
  <si>
    <t>专利库/认证机构</t>
  </si>
  <si>
    <t>立项前</t>
  </si>
  <si>
    <t>硬伤未关闭不立项</t>
  </si>
  <si>
    <t>独立站、流量、内容频率、达人、渠道、品牌故事</t>
  </si>
  <si>
    <t>判断竞品势能和我方差异空间</t>
  </si>
  <si>
    <t>链接/截图</t>
  </si>
  <si>
    <t>品牌/运营</t>
  </si>
  <si>
    <t>强品牌词不要硬碰</t>
  </si>
  <si>
    <t>内部资源</t>
  </si>
  <si>
    <t>资金、库存、广告预算、人员、视觉、供应链、试错次数</t>
  </si>
  <si>
    <t>判断能力匹配和打法上限</t>
  </si>
  <si>
    <t>内部表</t>
  </si>
  <si>
    <t>做减法必须结合自己阶段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</si>
</sst>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&quot;€&quot;#,##0"/>
    <numFmt numFmtId="178" formatCode="0.0"/>
    <numFmt numFmtId="179" formatCode="&quot;€&quot;0.00"/>
    <numFmt numFmtId="180" formatCode="yyyy\-mm\-dd"/>
  </numFmts>
  <fonts count="28">
    <font>
      <sz val="11"/>
      <name val="Carlito"/>
      <charset val="134"/>
    </font>
    <font>
      <b/>
      <sz val="16"/>
      <color rgb="FF111827"/>
      <name val="Arial"/>
      <charset val="134"/>
    </font>
    <font>
      <sz val="10"/>
      <color rgb="FF111827"/>
      <name val="Arial"/>
      <charset val="134"/>
    </font>
    <font>
      <i/>
      <sz val="10"/>
      <color rgb="FF4B5563"/>
      <name val="Arial"/>
      <charset val="134"/>
    </font>
    <font>
      <b/>
      <sz val="10"/>
      <color rgb="FFFFFFFF"/>
      <name val="Arial"/>
      <charset val="134"/>
    </font>
    <font>
      <b/>
      <sz val="11"/>
      <color rgb="FF111827"/>
      <name val="Arial"/>
      <charset val="134"/>
    </font>
    <font>
      <sz val="10"/>
      <color rgb="FF111827"/>
      <name val="宋体"/>
      <charset val="134"/>
    </font>
    <font>
      <b/>
      <sz val="13"/>
      <color rgb="FF111827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115E5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D1D5DB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8" borderId="11" applyNumberFormat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0" fillId="9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0" fillId="0" borderId="0"/>
  </cellStyleXfs>
  <cellXfs count="32">
    <xf numFmtId="0" fontId="0" fillId="0" borderId="0" xfId="49"/>
    <xf numFmtId="0" fontId="1" fillId="0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 applyAlignment="1">
      <alignment vertical="center"/>
    </xf>
    <xf numFmtId="0" fontId="3" fillId="0" borderId="0" xfId="49" applyNumberFormat="1" applyFont="1" applyFill="1" applyBorder="1" applyAlignment="1">
      <alignment vertical="center"/>
    </xf>
    <xf numFmtId="0" fontId="2" fillId="0" borderId="1" xfId="49" applyNumberFormat="1" applyFont="1" applyFill="1" applyBorder="1" applyAlignment="1">
      <alignment vertical="center"/>
    </xf>
    <xf numFmtId="0" fontId="4" fillId="2" borderId="2" xfId="49" applyNumberFormat="1" applyFont="1" applyFill="1" applyBorder="1" applyAlignment="1">
      <alignment horizontal="center" vertical="center" wrapText="1"/>
    </xf>
    <xf numFmtId="0" fontId="2" fillId="0" borderId="3" xfId="49" applyNumberFormat="1" applyFont="1" applyFill="1" applyBorder="1" applyAlignment="1">
      <alignment vertical="top" wrapText="1"/>
    </xf>
    <xf numFmtId="0" fontId="2" fillId="3" borderId="3" xfId="49" applyNumberFormat="1" applyFont="1" applyFill="1" applyBorder="1" applyAlignment="1">
      <alignment vertical="top" wrapText="1"/>
    </xf>
    <xf numFmtId="4" fontId="2" fillId="3" borderId="3" xfId="49" applyNumberFormat="1" applyFont="1" applyFill="1" applyBorder="1" applyAlignment="1">
      <alignment vertical="top" wrapText="1"/>
    </xf>
    <xf numFmtId="176" fontId="2" fillId="3" borderId="3" xfId="49" applyNumberFormat="1" applyFont="1" applyFill="1" applyBorder="1" applyAlignment="1">
      <alignment vertical="top" wrapText="1"/>
    </xf>
    <xf numFmtId="0" fontId="5" fillId="4" borderId="4" xfId="49" applyNumberFormat="1" applyFont="1" applyFill="1" applyBorder="1" applyAlignment="1">
      <alignment vertical="center"/>
    </xf>
    <xf numFmtId="0" fontId="5" fillId="4" borderId="5" xfId="49" applyNumberFormat="1" applyFont="1" applyFill="1" applyBorder="1" applyAlignment="1">
      <alignment vertical="center"/>
    </xf>
    <xf numFmtId="0" fontId="5" fillId="4" borderId="6" xfId="49" applyNumberFormat="1" applyFont="1" applyFill="1" applyBorder="1" applyAlignment="1">
      <alignment vertical="center"/>
    </xf>
    <xf numFmtId="3" fontId="2" fillId="3" borderId="3" xfId="49" applyNumberFormat="1" applyFont="1" applyFill="1" applyBorder="1" applyAlignment="1">
      <alignment vertical="top" wrapText="1"/>
    </xf>
    <xf numFmtId="177" fontId="2" fillId="0" borderId="3" xfId="49" applyNumberFormat="1" applyFont="1" applyFill="1" applyBorder="1" applyAlignment="1">
      <alignment vertical="top" wrapText="1"/>
    </xf>
    <xf numFmtId="177" fontId="2" fillId="3" borderId="3" xfId="49" applyNumberFormat="1" applyFont="1" applyFill="1" applyBorder="1" applyAlignment="1">
      <alignment vertical="top" wrapText="1"/>
    </xf>
    <xf numFmtId="0" fontId="4" fillId="5" borderId="2" xfId="49" applyNumberFormat="1" applyFont="1" applyFill="1" applyBorder="1" applyAlignment="1">
      <alignment horizontal="center" vertical="center" wrapText="1"/>
    </xf>
    <xf numFmtId="1" fontId="2" fillId="0" borderId="3" xfId="49" applyNumberFormat="1" applyFont="1" applyFill="1" applyBorder="1" applyAlignment="1">
      <alignment vertical="top" wrapText="1"/>
    </xf>
    <xf numFmtId="178" fontId="2" fillId="3" borderId="3" xfId="49" applyNumberFormat="1" applyFont="1" applyFill="1" applyBorder="1" applyAlignment="1">
      <alignment vertical="top" wrapText="1"/>
    </xf>
    <xf numFmtId="178" fontId="2" fillId="0" borderId="3" xfId="49" applyNumberFormat="1" applyFont="1" applyFill="1" applyBorder="1" applyAlignment="1">
      <alignment vertical="top" wrapText="1"/>
    </xf>
    <xf numFmtId="0" fontId="6" fillId="0" borderId="3" xfId="49" applyNumberFormat="1" applyFont="1" applyFill="1" applyBorder="1" applyAlignment="1">
      <alignment vertical="top" wrapText="1"/>
    </xf>
    <xf numFmtId="0" fontId="6" fillId="3" borderId="3" xfId="49" applyNumberFormat="1" applyFont="1" applyFill="1" applyBorder="1" applyAlignment="1">
      <alignment vertical="top" wrapText="1"/>
    </xf>
    <xf numFmtId="179" fontId="2" fillId="3" borderId="3" xfId="49" applyNumberFormat="1" applyFont="1" applyFill="1" applyBorder="1" applyAlignment="1">
      <alignment vertical="top" wrapText="1"/>
    </xf>
    <xf numFmtId="179" fontId="2" fillId="0" borderId="3" xfId="49" applyNumberFormat="1" applyFont="1" applyFill="1" applyBorder="1" applyAlignment="1">
      <alignment vertical="top" wrapText="1"/>
    </xf>
    <xf numFmtId="3" fontId="2" fillId="0" borderId="3" xfId="49" applyNumberFormat="1" applyFont="1" applyFill="1" applyBorder="1" applyAlignment="1">
      <alignment vertical="top" wrapText="1"/>
    </xf>
    <xf numFmtId="176" fontId="2" fillId="0" borderId="3" xfId="49" applyNumberFormat="1" applyFont="1" applyFill="1" applyBorder="1" applyAlignment="1">
      <alignment vertical="top" wrapText="1"/>
    </xf>
    <xf numFmtId="2" fontId="2" fillId="3" borderId="3" xfId="49" applyNumberFormat="1" applyFont="1" applyFill="1" applyBorder="1" applyAlignment="1">
      <alignment vertical="top" wrapText="1"/>
    </xf>
    <xf numFmtId="2" fontId="2" fillId="0" borderId="3" xfId="49" applyNumberFormat="1" applyFont="1" applyFill="1" applyBorder="1" applyAlignment="1">
      <alignment vertical="top" wrapText="1"/>
    </xf>
    <xf numFmtId="180" fontId="2" fillId="3" borderId="3" xfId="49" applyNumberFormat="1" applyFont="1" applyFill="1" applyBorder="1" applyAlignment="1">
      <alignment vertical="top" wrapText="1"/>
    </xf>
    <xf numFmtId="178" fontId="7" fillId="5" borderId="2" xfId="49" applyNumberFormat="1" applyFont="1" applyFill="1" applyBorder="1" applyAlignment="1">
      <alignment horizontal="center" vertical="center" wrapText="1"/>
    </xf>
    <xf numFmtId="0" fontId="7" fillId="5" borderId="2" xfId="49" applyNumberFormat="1" applyFont="1" applyFill="1" applyBorder="1" applyAlignment="1">
      <alignment horizontal="center" vertical="center" wrapText="1"/>
    </xf>
    <xf numFmtId="1" fontId="7" fillId="5" borderId="2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20"/>
  <sheetViews>
    <sheetView showGridLines="0" workbookViewId="0">
      <pane ySplit="15" topLeftCell="A23" activePane="bottomLeft" state="frozen"/>
      <selection/>
      <selection pane="bottomLeft" activeCell="A1" sqref="A1"/>
    </sheetView>
  </sheetViews>
  <sheetFormatPr defaultColWidth="9" defaultRowHeight="14.25"/>
  <cols>
    <col min="1" max="1" width="20" customWidth="1"/>
    <col min="2" max="2" width="12" customWidth="1"/>
    <col min="3" max="4" width="14" customWidth="1"/>
    <col min="5" max="5" width="12" customWidth="1"/>
    <col min="6" max="6" width="24" customWidth="1"/>
    <col min="7" max="8" width="36" customWidth="1"/>
  </cols>
  <sheetData>
    <row r="1" ht="20.25" spans="1:2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5" t="s">
        <v>2</v>
      </c>
      <c r="B4" s="5" t="s">
        <v>3</v>
      </c>
      <c r="C4" s="5" t="s">
        <v>2</v>
      </c>
      <c r="D4" s="5" t="s">
        <v>3</v>
      </c>
      <c r="E4" s="5" t="s">
        <v>2</v>
      </c>
      <c r="F4" s="5" t="s">
        <v>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5.5" spans="1:26">
      <c r="A5" s="6" t="s">
        <v>4</v>
      </c>
      <c r="B5" s="28" t="s">
        <v>5</v>
      </c>
      <c r="C5" s="6" t="s">
        <v>6</v>
      </c>
      <c r="D5" s="7" t="s">
        <v>7</v>
      </c>
      <c r="E5" s="6" t="s">
        <v>8</v>
      </c>
      <c r="F5" s="7" t="s">
        <v>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75" spans="1:26">
      <c r="A6" s="6" t="s">
        <v>10</v>
      </c>
      <c r="B6" s="7">
        <v>46279</v>
      </c>
      <c r="C6" s="6" t="s">
        <v>11</v>
      </c>
      <c r="D6" s="7" t="s">
        <v>12</v>
      </c>
      <c r="E6" s="6" t="s">
        <v>13</v>
      </c>
      <c r="F6" s="7" t="s">
        <v>14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" spans="1:26">
      <c r="A7" s="6" t="s">
        <v>15</v>
      </c>
      <c r="B7" s="7" t="s">
        <v>16</v>
      </c>
      <c r="C7" s="6" t="s">
        <v>17</v>
      </c>
      <c r="D7" s="7" t="s">
        <v>18</v>
      </c>
      <c r="E7" s="6" t="s">
        <v>19</v>
      </c>
      <c r="F7" s="7" t="s">
        <v>20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" spans="1:26">
      <c r="A9" s="10" t="s">
        <v>21</v>
      </c>
      <c r="B9" s="11" t="s">
        <v>22</v>
      </c>
      <c r="C9" s="11" t="s">
        <v>22</v>
      </c>
      <c r="D9" s="11" t="s">
        <v>22</v>
      </c>
      <c r="E9" s="11" t="s">
        <v>22</v>
      </c>
      <c r="F9" s="11" t="s">
        <v>22</v>
      </c>
      <c r="G9" s="11" t="s">
        <v>22</v>
      </c>
      <c r="H9" s="12" t="s">
        <v>22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" spans="1:26">
      <c r="A10" s="16" t="s">
        <v>23</v>
      </c>
      <c r="B10" s="29" t="s">
        <v>24</v>
      </c>
      <c r="C10" s="30" t="s">
        <v>23</v>
      </c>
      <c r="D10" s="31" t="s">
        <v>24</v>
      </c>
      <c r="E10" s="30" t="s">
        <v>23</v>
      </c>
      <c r="F10" s="30" t="s">
        <v>24</v>
      </c>
      <c r="G10" s="16" t="s">
        <v>23</v>
      </c>
      <c r="H10" s="16" t="s">
        <v>24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6" t="s">
        <v>25</v>
      </c>
      <c r="B11" s="6">
        <f>SUM(D16:D35)</f>
        <v>0</v>
      </c>
      <c r="C11" s="6" t="s">
        <v>26</v>
      </c>
      <c r="D11" s="6">
        <f>COUNTIF(E16:E35,"是")</f>
        <v>0</v>
      </c>
      <c r="E11" s="6" t="s">
        <v>27</v>
      </c>
      <c r="F11" s="6" t="str">
        <f>IF(D11&gt;0,"NO-GO",IF(B11&gt;=80,"GO",IF(B11&gt;=65,"PILOT",IF(B11&gt;=50,"HOLD","NO-GO"))))</f>
        <v>NO-GO</v>
      </c>
      <c r="G11" s="6" t="s">
        <v>28</v>
      </c>
      <c r="H11" s="6" t="str">
        <f>IF(F11="GO","立项并进入供应链样品/小批量验证",IF(F11="PILOT","小预算测款并保留撤退线",IF(F11="HOLD","补齐缺失证据后再判断","劝退或重新定义切入口")))</f>
        <v>劝退或重新定义切入口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" spans="1:26">
      <c r="A14" s="10" t="s">
        <v>29</v>
      </c>
      <c r="B14" s="11" t="s">
        <v>22</v>
      </c>
      <c r="C14" s="11" t="s">
        <v>22</v>
      </c>
      <c r="D14" s="11" t="s">
        <v>22</v>
      </c>
      <c r="E14" s="11" t="s">
        <v>22</v>
      </c>
      <c r="F14" s="11" t="s">
        <v>22</v>
      </c>
      <c r="G14" s="11" t="s">
        <v>22</v>
      </c>
      <c r="H14" s="12" t="s">
        <v>22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5" t="s">
        <v>30</v>
      </c>
      <c r="B15" s="5" t="s">
        <v>31</v>
      </c>
      <c r="C15" s="5" t="s">
        <v>32</v>
      </c>
      <c r="D15" s="5" t="s">
        <v>33</v>
      </c>
      <c r="E15" s="5" t="s">
        <v>34</v>
      </c>
      <c r="F15" s="5" t="s">
        <v>35</v>
      </c>
      <c r="G15" s="5" t="s">
        <v>36</v>
      </c>
      <c r="H15" s="5" t="s">
        <v>37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75" spans="1:26">
      <c r="A16" s="6" t="s">
        <v>38</v>
      </c>
      <c r="B16" s="17">
        <v>8</v>
      </c>
      <c r="C16" s="18" t="s">
        <v>22</v>
      </c>
      <c r="D16" s="19" t="str">
        <f t="shared" ref="D16:D35" si="0">IF(C16="","",B16*C16/5)</f>
        <v/>
      </c>
      <c r="E16" s="7" t="s">
        <v>39</v>
      </c>
      <c r="F16" s="6" t="s">
        <v>40</v>
      </c>
      <c r="G16" s="6" t="s">
        <v>41</v>
      </c>
      <c r="H16" s="6" t="s">
        <v>42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6" t="s">
        <v>43</v>
      </c>
      <c r="B17" s="17">
        <v>5</v>
      </c>
      <c r="C17" s="18" t="s">
        <v>22</v>
      </c>
      <c r="D17" s="19" t="str">
        <f t="shared" si="0"/>
        <v/>
      </c>
      <c r="E17" s="7" t="s">
        <v>39</v>
      </c>
      <c r="F17" s="6" t="s">
        <v>44</v>
      </c>
      <c r="G17" s="6" t="s">
        <v>45</v>
      </c>
      <c r="H17" s="6" t="s">
        <v>46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" spans="1:26">
      <c r="A18" s="6" t="s">
        <v>47</v>
      </c>
      <c r="B18" s="17">
        <v>6</v>
      </c>
      <c r="C18" s="18" t="s">
        <v>22</v>
      </c>
      <c r="D18" s="19" t="str">
        <f t="shared" si="0"/>
        <v/>
      </c>
      <c r="E18" s="7" t="s">
        <v>39</v>
      </c>
      <c r="F18" s="6" t="s">
        <v>48</v>
      </c>
      <c r="G18" s="6" t="s">
        <v>49</v>
      </c>
      <c r="H18" s="6" t="s">
        <v>50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" spans="1:26">
      <c r="A19" s="6" t="s">
        <v>51</v>
      </c>
      <c r="B19" s="17">
        <v>5</v>
      </c>
      <c r="C19" s="18" t="s">
        <v>22</v>
      </c>
      <c r="D19" s="19" t="str">
        <f t="shared" si="0"/>
        <v/>
      </c>
      <c r="E19" s="7" t="s">
        <v>39</v>
      </c>
      <c r="F19" s="6" t="s">
        <v>52</v>
      </c>
      <c r="G19" s="6" t="s">
        <v>53</v>
      </c>
      <c r="H19" s="6" t="s">
        <v>54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6" t="s">
        <v>55</v>
      </c>
      <c r="B20" s="17">
        <v>6</v>
      </c>
      <c r="C20" s="18" t="s">
        <v>22</v>
      </c>
      <c r="D20" s="19" t="str">
        <f t="shared" si="0"/>
        <v/>
      </c>
      <c r="E20" s="7" t="s">
        <v>39</v>
      </c>
      <c r="F20" s="6" t="s">
        <v>56</v>
      </c>
      <c r="G20" s="6" t="s">
        <v>57</v>
      </c>
      <c r="H20" s="6" t="s">
        <v>58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" spans="1:26">
      <c r="A21" s="6" t="s">
        <v>59</v>
      </c>
      <c r="B21" s="17">
        <v>6</v>
      </c>
      <c r="C21" s="18" t="s">
        <v>22</v>
      </c>
      <c r="D21" s="19" t="str">
        <f t="shared" si="0"/>
        <v/>
      </c>
      <c r="E21" s="7" t="s">
        <v>39</v>
      </c>
      <c r="F21" s="6" t="s">
        <v>60</v>
      </c>
      <c r="G21" s="6" t="s">
        <v>61</v>
      </c>
      <c r="H21" s="6" t="s">
        <v>62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75" spans="1:26">
      <c r="A22" s="6" t="s">
        <v>63</v>
      </c>
      <c r="B22" s="17">
        <v>7</v>
      </c>
      <c r="C22" s="18" t="s">
        <v>22</v>
      </c>
      <c r="D22" s="19" t="str">
        <f t="shared" si="0"/>
        <v/>
      </c>
      <c r="E22" s="7" t="s">
        <v>39</v>
      </c>
      <c r="F22" s="6" t="s">
        <v>64</v>
      </c>
      <c r="G22" s="6" t="s">
        <v>65</v>
      </c>
      <c r="H22" s="6" t="s">
        <v>66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" spans="1:26">
      <c r="A23" s="6" t="s">
        <v>67</v>
      </c>
      <c r="B23" s="17">
        <v>4</v>
      </c>
      <c r="C23" s="18" t="s">
        <v>22</v>
      </c>
      <c r="D23" s="19" t="str">
        <f t="shared" si="0"/>
        <v/>
      </c>
      <c r="E23" s="7" t="s">
        <v>39</v>
      </c>
      <c r="F23" s="6" t="s">
        <v>68</v>
      </c>
      <c r="G23" s="6" t="s">
        <v>69</v>
      </c>
      <c r="H23" s="6" t="s">
        <v>70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75" spans="1:26">
      <c r="A24" s="6" t="s">
        <v>71</v>
      </c>
      <c r="B24" s="17">
        <v>7</v>
      </c>
      <c r="C24" s="18" t="s">
        <v>22</v>
      </c>
      <c r="D24" s="19" t="str">
        <f t="shared" si="0"/>
        <v/>
      </c>
      <c r="E24" s="7" t="s">
        <v>39</v>
      </c>
      <c r="F24" s="6" t="s">
        <v>72</v>
      </c>
      <c r="G24" s="6" t="s">
        <v>73</v>
      </c>
      <c r="H24" s="6" t="s">
        <v>74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75" spans="1:26">
      <c r="A25" s="6" t="s">
        <v>75</v>
      </c>
      <c r="B25" s="17">
        <v>7</v>
      </c>
      <c r="C25" s="18" t="s">
        <v>22</v>
      </c>
      <c r="D25" s="19" t="str">
        <f t="shared" si="0"/>
        <v/>
      </c>
      <c r="E25" s="7" t="s">
        <v>39</v>
      </c>
      <c r="F25" s="6" t="s">
        <v>76</v>
      </c>
      <c r="G25" s="6" t="s">
        <v>77</v>
      </c>
      <c r="H25" s="6" t="s">
        <v>78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6" t="s">
        <v>79</v>
      </c>
      <c r="B26" s="17">
        <v>6</v>
      </c>
      <c r="C26" s="18" t="s">
        <v>22</v>
      </c>
      <c r="D26" s="19" t="str">
        <f t="shared" si="0"/>
        <v/>
      </c>
      <c r="E26" s="7" t="s">
        <v>39</v>
      </c>
      <c r="F26" s="6" t="s">
        <v>80</v>
      </c>
      <c r="G26" s="6" t="s">
        <v>81</v>
      </c>
      <c r="H26" s="6" t="s">
        <v>82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75" spans="1:26">
      <c r="A27" s="6" t="s">
        <v>83</v>
      </c>
      <c r="B27" s="17">
        <v>5</v>
      </c>
      <c r="C27" s="18" t="s">
        <v>22</v>
      </c>
      <c r="D27" s="19" t="str">
        <f t="shared" si="0"/>
        <v/>
      </c>
      <c r="E27" s="7" t="s">
        <v>39</v>
      </c>
      <c r="F27" s="6" t="s">
        <v>84</v>
      </c>
      <c r="G27" s="6" t="s">
        <v>85</v>
      </c>
      <c r="H27" s="6" t="s">
        <v>86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75" spans="1:26">
      <c r="A28" s="6" t="s">
        <v>87</v>
      </c>
      <c r="B28" s="17">
        <v>8</v>
      </c>
      <c r="C28" s="18" t="s">
        <v>22</v>
      </c>
      <c r="D28" s="19" t="str">
        <f t="shared" si="0"/>
        <v/>
      </c>
      <c r="E28" s="7" t="s">
        <v>39</v>
      </c>
      <c r="F28" s="6" t="s">
        <v>88</v>
      </c>
      <c r="G28" s="6" t="s">
        <v>89</v>
      </c>
      <c r="H28" s="6" t="s">
        <v>90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6" t="s">
        <v>91</v>
      </c>
      <c r="B29" s="17">
        <v>6</v>
      </c>
      <c r="C29" s="18" t="s">
        <v>22</v>
      </c>
      <c r="D29" s="19" t="str">
        <f t="shared" si="0"/>
        <v/>
      </c>
      <c r="E29" s="7" t="s">
        <v>39</v>
      </c>
      <c r="F29" s="6" t="s">
        <v>92</v>
      </c>
      <c r="G29" s="6" t="s">
        <v>93</v>
      </c>
      <c r="H29" s="6" t="s">
        <v>94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" spans="1:26">
      <c r="A30" s="6" t="s">
        <v>95</v>
      </c>
      <c r="B30" s="17">
        <v>4</v>
      </c>
      <c r="C30" s="18" t="s">
        <v>22</v>
      </c>
      <c r="D30" s="19" t="str">
        <f t="shared" si="0"/>
        <v/>
      </c>
      <c r="E30" s="7" t="s">
        <v>39</v>
      </c>
      <c r="F30" s="6" t="s">
        <v>96</v>
      </c>
      <c r="G30" s="6" t="s">
        <v>97</v>
      </c>
      <c r="H30" s="6" t="s">
        <v>98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6" t="s">
        <v>99</v>
      </c>
      <c r="B31" s="17">
        <v>4</v>
      </c>
      <c r="C31" s="18" t="s">
        <v>22</v>
      </c>
      <c r="D31" s="19" t="str">
        <f t="shared" si="0"/>
        <v/>
      </c>
      <c r="E31" s="7" t="s">
        <v>39</v>
      </c>
      <c r="F31" s="6" t="s">
        <v>100</v>
      </c>
      <c r="G31" s="6" t="s">
        <v>101</v>
      </c>
      <c r="H31" s="6" t="s">
        <v>102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6" t="s">
        <v>103</v>
      </c>
      <c r="B32" s="17">
        <v>3</v>
      </c>
      <c r="C32" s="18" t="s">
        <v>22</v>
      </c>
      <c r="D32" s="19" t="str">
        <f t="shared" si="0"/>
        <v/>
      </c>
      <c r="E32" s="7" t="s">
        <v>39</v>
      </c>
      <c r="F32" s="6" t="s">
        <v>104</v>
      </c>
      <c r="G32" s="6" t="s">
        <v>105</v>
      </c>
      <c r="H32" s="6" t="s">
        <v>106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6" t="s">
        <v>107</v>
      </c>
      <c r="B33" s="17">
        <v>3</v>
      </c>
      <c r="C33" s="18" t="s">
        <v>22</v>
      </c>
      <c r="D33" s="19" t="str">
        <f t="shared" si="0"/>
        <v/>
      </c>
      <c r="E33" s="7" t="s">
        <v>39</v>
      </c>
      <c r="F33" s="6" t="s">
        <v>108</v>
      </c>
      <c r="G33" s="6" t="s">
        <v>109</v>
      </c>
      <c r="H33" s="6" t="s">
        <v>110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6" t="s">
        <v>111</v>
      </c>
      <c r="B34" s="17">
        <v>2</v>
      </c>
      <c r="C34" s="18" t="s">
        <v>22</v>
      </c>
      <c r="D34" s="19" t="str">
        <f t="shared" si="0"/>
        <v/>
      </c>
      <c r="E34" s="7" t="s">
        <v>39</v>
      </c>
      <c r="F34" s="6" t="s">
        <v>112</v>
      </c>
      <c r="G34" s="6" t="s">
        <v>113</v>
      </c>
      <c r="H34" s="6" t="s">
        <v>114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" spans="1:26">
      <c r="A35" s="6" t="s">
        <v>115</v>
      </c>
      <c r="B35" s="17">
        <v>3</v>
      </c>
      <c r="C35" s="18" t="s">
        <v>22</v>
      </c>
      <c r="D35" s="19" t="str">
        <f t="shared" si="0"/>
        <v/>
      </c>
      <c r="E35" s="7" t="s">
        <v>39</v>
      </c>
      <c r="F35" s="6" t="s">
        <v>116</v>
      </c>
      <c r="G35" s="6" t="s">
        <v>117</v>
      </c>
      <c r="H35" s="6" t="s">
        <v>118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</sheetData>
  <dataValidations count="1">
    <dataValidation type="list" sqref="E16:E35">
      <formula1>"否,是"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20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4.25"/>
  <cols>
    <col min="1" max="1" width="8" customWidth="1"/>
    <col min="2" max="2" width="24" customWidth="1"/>
    <col min="3" max="3" width="30" customWidth="1"/>
    <col min="4" max="4" width="44" customWidth="1"/>
    <col min="5" max="5" width="46" customWidth="1"/>
    <col min="6" max="6" width="40" customWidth="1"/>
    <col min="7" max="7" width="44" customWidth="1"/>
    <col min="8" max="8" width="28" customWidth="1"/>
    <col min="9" max="9" width="30" customWidth="1"/>
  </cols>
  <sheetData>
    <row r="1" ht="20.25" spans="1:26">
      <c r="A1" s="1" t="s">
        <v>119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120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5" t="s">
        <v>121</v>
      </c>
      <c r="B4" s="5" t="s">
        <v>122</v>
      </c>
      <c r="C4" s="5" t="s">
        <v>123</v>
      </c>
      <c r="D4" s="5" t="s">
        <v>124</v>
      </c>
      <c r="E4" s="5" t="s">
        <v>125</v>
      </c>
      <c r="F4" s="5" t="s">
        <v>126</v>
      </c>
      <c r="G4" s="5" t="s">
        <v>127</v>
      </c>
      <c r="H4" s="5" t="s">
        <v>128</v>
      </c>
      <c r="I4" s="5" t="s">
        <v>129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75" spans="1:26">
      <c r="A5" s="6">
        <v>1</v>
      </c>
      <c r="B5" s="6" t="s">
        <v>130</v>
      </c>
      <c r="C5" s="6" t="s">
        <v>131</v>
      </c>
      <c r="D5" s="6" t="s">
        <v>132</v>
      </c>
      <c r="E5" s="6" t="s">
        <v>133</v>
      </c>
      <c r="F5" s="6" t="s">
        <v>134</v>
      </c>
      <c r="G5" s="6" t="s">
        <v>135</v>
      </c>
      <c r="H5" s="6" t="s">
        <v>136</v>
      </c>
      <c r="I5" s="6" t="s">
        <v>137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75" spans="1:26">
      <c r="A6" s="6">
        <v>2</v>
      </c>
      <c r="B6" s="6" t="s">
        <v>138</v>
      </c>
      <c r="C6" s="6" t="s">
        <v>139</v>
      </c>
      <c r="D6" s="6" t="s">
        <v>140</v>
      </c>
      <c r="E6" s="6" t="s">
        <v>141</v>
      </c>
      <c r="F6" s="6" t="s">
        <v>142</v>
      </c>
      <c r="G6" s="6" t="s">
        <v>143</v>
      </c>
      <c r="H6" s="6" t="s">
        <v>144</v>
      </c>
      <c r="I6" s="6" t="s">
        <v>145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6">
        <v>3</v>
      </c>
      <c r="B7" s="6" t="s">
        <v>146</v>
      </c>
      <c r="C7" s="6" t="s">
        <v>147</v>
      </c>
      <c r="D7" s="6" t="s">
        <v>148</v>
      </c>
      <c r="E7" s="6" t="s">
        <v>149</v>
      </c>
      <c r="F7" s="6" t="s">
        <v>150</v>
      </c>
      <c r="G7" s="6" t="s">
        <v>151</v>
      </c>
      <c r="H7" s="6" t="s">
        <v>152</v>
      </c>
      <c r="I7" s="6" t="s">
        <v>153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75" spans="1:26">
      <c r="A8" s="6">
        <v>4</v>
      </c>
      <c r="B8" s="6" t="s">
        <v>154</v>
      </c>
      <c r="C8" s="6" t="s">
        <v>155</v>
      </c>
      <c r="D8" s="6" t="s">
        <v>156</v>
      </c>
      <c r="E8" s="6" t="s">
        <v>157</v>
      </c>
      <c r="F8" s="6" t="s">
        <v>158</v>
      </c>
      <c r="G8" s="6" t="s">
        <v>159</v>
      </c>
      <c r="H8" s="6" t="s">
        <v>160</v>
      </c>
      <c r="I8" s="6" t="s">
        <v>161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75" spans="1:26">
      <c r="A9" s="6">
        <v>5</v>
      </c>
      <c r="B9" s="6" t="s">
        <v>162</v>
      </c>
      <c r="C9" s="6" t="s">
        <v>163</v>
      </c>
      <c r="D9" s="6" t="s">
        <v>164</v>
      </c>
      <c r="E9" s="6" t="s">
        <v>165</v>
      </c>
      <c r="F9" s="6" t="s">
        <v>166</v>
      </c>
      <c r="G9" s="6" t="s">
        <v>167</v>
      </c>
      <c r="H9" s="6" t="s">
        <v>168</v>
      </c>
      <c r="I9" s="6" t="s">
        <v>169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75" spans="1:26">
      <c r="A10" s="6">
        <v>6</v>
      </c>
      <c r="B10" s="6" t="s">
        <v>170</v>
      </c>
      <c r="C10" s="6" t="s">
        <v>171</v>
      </c>
      <c r="D10" s="6" t="s">
        <v>172</v>
      </c>
      <c r="E10" s="6" t="s">
        <v>173</v>
      </c>
      <c r="F10" s="6" t="s">
        <v>174</v>
      </c>
      <c r="G10" s="6" t="s">
        <v>175</v>
      </c>
      <c r="H10" s="6" t="s">
        <v>176</v>
      </c>
      <c r="I10" s="6" t="s">
        <v>177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75" spans="1:26">
      <c r="A11" s="6">
        <v>7</v>
      </c>
      <c r="B11" s="6" t="s">
        <v>178</v>
      </c>
      <c r="C11" s="6" t="s">
        <v>179</v>
      </c>
      <c r="D11" s="6" t="s">
        <v>180</v>
      </c>
      <c r="E11" s="6" t="s">
        <v>181</v>
      </c>
      <c r="F11" s="6" t="s">
        <v>182</v>
      </c>
      <c r="G11" s="6" t="s">
        <v>183</v>
      </c>
      <c r="H11" s="6" t="s">
        <v>184</v>
      </c>
      <c r="I11" s="6" t="s">
        <v>185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" spans="1:26">
      <c r="A12" s="6">
        <v>8</v>
      </c>
      <c r="B12" s="6" t="s">
        <v>186</v>
      </c>
      <c r="C12" s="6" t="s">
        <v>187</v>
      </c>
      <c r="D12" s="6" t="s">
        <v>188</v>
      </c>
      <c r="E12" s="6" t="s">
        <v>189</v>
      </c>
      <c r="F12" s="6" t="s">
        <v>190</v>
      </c>
      <c r="G12" s="6" t="s">
        <v>191</v>
      </c>
      <c r="H12" s="6" t="s">
        <v>192</v>
      </c>
      <c r="I12" s="6" t="s">
        <v>193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75" spans="1:26">
      <c r="A13" s="6">
        <v>9</v>
      </c>
      <c r="B13" s="6" t="s">
        <v>194</v>
      </c>
      <c r="C13" s="6" t="s">
        <v>195</v>
      </c>
      <c r="D13" s="6" t="s">
        <v>196</v>
      </c>
      <c r="E13" s="6" t="s">
        <v>197</v>
      </c>
      <c r="F13" s="6" t="s">
        <v>198</v>
      </c>
      <c r="G13" s="6" t="s">
        <v>199</v>
      </c>
      <c r="H13" s="6" t="s">
        <v>200</v>
      </c>
      <c r="I13" s="6" t="s">
        <v>201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6">
        <v>10</v>
      </c>
      <c r="B14" s="6" t="s">
        <v>202</v>
      </c>
      <c r="C14" s="6" t="s">
        <v>203</v>
      </c>
      <c r="D14" s="6" t="s">
        <v>204</v>
      </c>
      <c r="E14" s="6" t="s">
        <v>205</v>
      </c>
      <c r="F14" s="6" t="s">
        <v>206</v>
      </c>
      <c r="G14" s="6" t="s">
        <v>207</v>
      </c>
      <c r="H14" s="6" t="s">
        <v>208</v>
      </c>
      <c r="I14" s="6" t="s">
        <v>209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6">
        <v>11</v>
      </c>
      <c r="B15" s="6" t="s">
        <v>210</v>
      </c>
      <c r="C15" s="6" t="s">
        <v>211</v>
      </c>
      <c r="D15" s="6" t="s">
        <v>212</v>
      </c>
      <c r="E15" s="6" t="s">
        <v>213</v>
      </c>
      <c r="F15" s="6" t="s">
        <v>214</v>
      </c>
      <c r="G15" s="6" t="s">
        <v>215</v>
      </c>
      <c r="H15" s="6" t="s">
        <v>216</v>
      </c>
      <c r="I15" s="6" t="s">
        <v>217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75" spans="1:26">
      <c r="A16" s="6">
        <v>12</v>
      </c>
      <c r="B16" s="6" t="s">
        <v>218</v>
      </c>
      <c r="C16" s="6" t="s">
        <v>219</v>
      </c>
      <c r="D16" s="6" t="s">
        <v>220</v>
      </c>
      <c r="E16" s="6" t="s">
        <v>221</v>
      </c>
      <c r="F16" s="6" t="s">
        <v>222</v>
      </c>
      <c r="G16" s="6" t="s">
        <v>223</v>
      </c>
      <c r="H16" s="6" t="s">
        <v>224</v>
      </c>
      <c r="I16" s="6" t="s">
        <v>225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75" spans="1:26">
      <c r="A17" s="6">
        <v>13</v>
      </c>
      <c r="B17" s="6" t="s">
        <v>226</v>
      </c>
      <c r="C17" s="6" t="s">
        <v>227</v>
      </c>
      <c r="D17" s="6" t="s">
        <v>228</v>
      </c>
      <c r="E17" s="6" t="s">
        <v>229</v>
      </c>
      <c r="F17" s="6" t="s">
        <v>230</v>
      </c>
      <c r="G17" s="6" t="s">
        <v>231</v>
      </c>
      <c r="H17" s="6" t="s">
        <v>232</v>
      </c>
      <c r="I17" s="6" t="s">
        <v>233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75" spans="1:26">
      <c r="A18" s="6">
        <v>14</v>
      </c>
      <c r="B18" s="6" t="s">
        <v>234</v>
      </c>
      <c r="C18" s="6" t="s">
        <v>235</v>
      </c>
      <c r="D18" s="6" t="s">
        <v>236</v>
      </c>
      <c r="E18" s="6" t="s">
        <v>237</v>
      </c>
      <c r="F18" s="6" t="s">
        <v>238</v>
      </c>
      <c r="G18" s="6" t="s">
        <v>239</v>
      </c>
      <c r="H18" s="6" t="s">
        <v>240</v>
      </c>
      <c r="I18" s="6" t="s">
        <v>241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" spans="1:26">
      <c r="A19" s="6">
        <v>15</v>
      </c>
      <c r="B19" s="6" t="s">
        <v>242</v>
      </c>
      <c r="C19" s="6" t="s">
        <v>243</v>
      </c>
      <c r="D19" s="6" t="s">
        <v>244</v>
      </c>
      <c r="E19" s="6" t="s">
        <v>245</v>
      </c>
      <c r="F19" s="6" t="s">
        <v>246</v>
      </c>
      <c r="G19" s="6" t="s">
        <v>247</v>
      </c>
      <c r="H19" s="6" t="s">
        <v>248</v>
      </c>
      <c r="I19" s="6" t="s">
        <v>249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6">
        <v>16</v>
      </c>
      <c r="B20" s="6" t="s">
        <v>250</v>
      </c>
      <c r="C20" s="6" t="s">
        <v>251</v>
      </c>
      <c r="D20" s="6" t="s">
        <v>252</v>
      </c>
      <c r="E20" s="6" t="s">
        <v>253</v>
      </c>
      <c r="F20" s="6" t="s">
        <v>254</v>
      </c>
      <c r="G20" s="6" t="s">
        <v>255</v>
      </c>
      <c r="H20" s="6" t="s">
        <v>256</v>
      </c>
      <c r="I20" s="6" t="s">
        <v>257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" spans="1:26">
      <c r="A21" s="6">
        <v>17</v>
      </c>
      <c r="B21" s="6" t="s">
        <v>258</v>
      </c>
      <c r="C21" s="6" t="s">
        <v>259</v>
      </c>
      <c r="D21" s="6" t="s">
        <v>260</v>
      </c>
      <c r="E21" s="6" t="s">
        <v>261</v>
      </c>
      <c r="F21" s="6" t="s">
        <v>262</v>
      </c>
      <c r="G21" s="6" t="s">
        <v>78</v>
      </c>
      <c r="H21" s="6" t="s">
        <v>263</v>
      </c>
      <c r="I21" s="6" t="s">
        <v>264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5.5" spans="1:26">
      <c r="A22" s="6">
        <v>18</v>
      </c>
      <c r="B22" s="6" t="s">
        <v>265</v>
      </c>
      <c r="C22" s="6" t="s">
        <v>266</v>
      </c>
      <c r="D22" s="6" t="s">
        <v>267</v>
      </c>
      <c r="E22" s="6" t="s">
        <v>268</v>
      </c>
      <c r="F22" s="6" t="s">
        <v>269</v>
      </c>
      <c r="G22" s="6" t="s">
        <v>270</v>
      </c>
      <c r="H22" s="6" t="s">
        <v>271</v>
      </c>
      <c r="I22" s="6" t="s">
        <v>272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6">
        <v>19</v>
      </c>
      <c r="B23" s="6" t="s">
        <v>273</v>
      </c>
      <c r="C23" s="6" t="s">
        <v>274</v>
      </c>
      <c r="D23" s="6" t="s">
        <v>275</v>
      </c>
      <c r="E23" s="6" t="s">
        <v>276</v>
      </c>
      <c r="F23" s="6" t="s">
        <v>277</v>
      </c>
      <c r="G23" s="6" t="s">
        <v>278</v>
      </c>
      <c r="H23" s="6" t="s">
        <v>279</v>
      </c>
      <c r="I23" s="6" t="s">
        <v>280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5.5" spans="1:26">
      <c r="A24" s="6">
        <v>20</v>
      </c>
      <c r="B24" s="6" t="s">
        <v>281</v>
      </c>
      <c r="C24" s="6" t="s">
        <v>282</v>
      </c>
      <c r="D24" s="6" t="s">
        <v>283</v>
      </c>
      <c r="E24" s="6" t="s">
        <v>284</v>
      </c>
      <c r="F24" s="6" t="s">
        <v>285</v>
      </c>
      <c r="G24" s="6" t="s">
        <v>286</v>
      </c>
      <c r="H24" s="6" t="s">
        <v>287</v>
      </c>
      <c r="I24" s="6" t="s">
        <v>288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75" spans="1:26">
      <c r="A25" s="6">
        <v>21</v>
      </c>
      <c r="B25" s="6" t="s">
        <v>289</v>
      </c>
      <c r="C25" s="6" t="s">
        <v>290</v>
      </c>
      <c r="D25" s="6" t="s">
        <v>291</v>
      </c>
      <c r="E25" s="6" t="s">
        <v>292</v>
      </c>
      <c r="F25" s="6" t="s">
        <v>293</v>
      </c>
      <c r="G25" s="6" t="s">
        <v>294</v>
      </c>
      <c r="H25" s="6" t="s">
        <v>295</v>
      </c>
      <c r="I25" s="6" t="s">
        <v>296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75" spans="1:26">
      <c r="A26" s="6">
        <v>22</v>
      </c>
      <c r="B26" s="6" t="s">
        <v>297</v>
      </c>
      <c r="C26" s="6" t="s">
        <v>298</v>
      </c>
      <c r="D26" s="6" t="s">
        <v>299</v>
      </c>
      <c r="E26" s="6" t="s">
        <v>300</v>
      </c>
      <c r="F26" s="6" t="s">
        <v>301</v>
      </c>
      <c r="G26" s="6" t="s">
        <v>302</v>
      </c>
      <c r="H26" s="6" t="s">
        <v>303</v>
      </c>
      <c r="I26" s="6" t="s">
        <v>304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20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4.25"/>
  <cols>
    <col min="1" max="1" width="8" customWidth="1"/>
    <col min="2" max="2" width="12" customWidth="1"/>
    <col min="3" max="3" width="22" customWidth="1"/>
    <col min="4" max="4" width="18" customWidth="1"/>
    <col min="5" max="5" width="16" customWidth="1"/>
    <col min="6" max="11" width="12" customWidth="1"/>
    <col min="12" max="12" width="14" customWidth="1"/>
    <col min="13" max="13" width="12" customWidth="1"/>
    <col min="14" max="15" width="14" customWidth="1"/>
    <col min="16" max="16" width="18" customWidth="1"/>
    <col min="17" max="18" width="28" customWidth="1"/>
    <col min="19" max="19" width="24" customWidth="1"/>
  </cols>
  <sheetData>
    <row r="1" ht="20.25" spans="1:26">
      <c r="A1" s="1" t="s">
        <v>305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306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5" t="s">
        <v>307</v>
      </c>
      <c r="B4" s="5" t="s">
        <v>308</v>
      </c>
      <c r="C4" s="5" t="s">
        <v>309</v>
      </c>
      <c r="D4" s="5" t="s">
        <v>310</v>
      </c>
      <c r="E4" s="5" t="s">
        <v>311</v>
      </c>
      <c r="F4" s="5" t="s">
        <v>312</v>
      </c>
      <c r="G4" s="5" t="s">
        <v>313</v>
      </c>
      <c r="H4" s="5" t="s">
        <v>314</v>
      </c>
      <c r="I4" s="5" t="s">
        <v>315</v>
      </c>
      <c r="J4" s="5" t="s">
        <v>316</v>
      </c>
      <c r="K4" s="5" t="s">
        <v>317</v>
      </c>
      <c r="L4" s="5" t="s">
        <v>318</v>
      </c>
      <c r="M4" s="5" t="s">
        <v>319</v>
      </c>
      <c r="N4" s="5" t="s">
        <v>320</v>
      </c>
      <c r="O4" s="5" t="s">
        <v>321</v>
      </c>
      <c r="P4" s="5" t="s">
        <v>322</v>
      </c>
      <c r="Q4" s="5" t="s">
        <v>323</v>
      </c>
      <c r="R4" s="5" t="s">
        <v>128</v>
      </c>
      <c r="S4" s="5" t="s">
        <v>324</v>
      </c>
      <c r="T4" s="2"/>
      <c r="U4" s="2"/>
      <c r="V4" s="2"/>
      <c r="W4" s="2"/>
      <c r="X4" s="2"/>
      <c r="Y4" s="2"/>
      <c r="Z4" s="2"/>
    </row>
    <row r="5" ht="24.75" spans="1:26">
      <c r="A5" s="6">
        <v>1</v>
      </c>
      <c r="B5" s="7" t="s">
        <v>9</v>
      </c>
      <c r="C5" s="7" t="s">
        <v>325</v>
      </c>
      <c r="D5" s="7" t="s">
        <v>326</v>
      </c>
      <c r="E5" s="13">
        <v>20727</v>
      </c>
      <c r="F5" s="13">
        <v>6347</v>
      </c>
      <c r="G5" s="13">
        <v>665</v>
      </c>
      <c r="H5" s="25">
        <v>0.0321</v>
      </c>
      <c r="I5" s="25">
        <v>0.1048</v>
      </c>
      <c r="J5" s="26">
        <v>0.56</v>
      </c>
      <c r="K5" s="27">
        <f>IF(I5=0,"n.a.",J5/I5)</f>
        <v>5.34351145038168</v>
      </c>
      <c r="L5" s="7" t="s">
        <v>327</v>
      </c>
      <c r="M5" s="7" t="s">
        <v>328</v>
      </c>
      <c r="N5" s="7" t="s">
        <v>329</v>
      </c>
      <c r="O5" s="7" t="s">
        <v>330</v>
      </c>
      <c r="P5" s="7" t="s">
        <v>331</v>
      </c>
      <c r="Q5" s="7" t="s">
        <v>332</v>
      </c>
      <c r="R5" s="7" t="s">
        <v>333</v>
      </c>
      <c r="S5" s="7" t="s">
        <v>334</v>
      </c>
      <c r="T5" s="2"/>
      <c r="U5" s="2"/>
      <c r="V5" s="2"/>
      <c r="W5" s="2"/>
      <c r="X5" s="2"/>
      <c r="Y5" s="2"/>
      <c r="Z5" s="2"/>
    </row>
    <row r="6" ht="24" spans="1:26">
      <c r="A6" s="6">
        <v>2</v>
      </c>
      <c r="B6" s="7" t="s">
        <v>9</v>
      </c>
      <c r="C6" s="7" t="s">
        <v>335</v>
      </c>
      <c r="D6" s="7" t="s">
        <v>336</v>
      </c>
      <c r="E6" s="13">
        <v>12015</v>
      </c>
      <c r="F6" s="13">
        <v>4829</v>
      </c>
      <c r="G6" s="13">
        <v>442</v>
      </c>
      <c r="H6" s="25">
        <v>0.0368</v>
      </c>
      <c r="I6" s="25">
        <v>0.0915</v>
      </c>
      <c r="J6" s="26">
        <v>0.79</v>
      </c>
      <c r="K6" s="27">
        <f>IF(I6=0,"n.a.",J6/I6)</f>
        <v>8.63387978142076</v>
      </c>
      <c r="L6" s="7" t="s">
        <v>327</v>
      </c>
      <c r="M6" s="7" t="s">
        <v>337</v>
      </c>
      <c r="N6" s="7" t="s">
        <v>338</v>
      </c>
      <c r="O6" s="7" t="s">
        <v>339</v>
      </c>
      <c r="P6" s="7" t="s">
        <v>340</v>
      </c>
      <c r="Q6" s="7" t="s">
        <v>341</v>
      </c>
      <c r="R6" s="7" t="s">
        <v>342</v>
      </c>
      <c r="S6" s="7" t="s">
        <v>334</v>
      </c>
      <c r="T6" s="2"/>
      <c r="U6" s="2"/>
      <c r="V6" s="2"/>
      <c r="W6" s="2"/>
      <c r="X6" s="2"/>
      <c r="Y6" s="2"/>
      <c r="Z6" s="2"/>
    </row>
    <row r="7" spans="1:26">
      <c r="A7" s="6">
        <v>3</v>
      </c>
      <c r="B7" s="7" t="s">
        <v>9</v>
      </c>
      <c r="C7" s="7" t="s">
        <v>343</v>
      </c>
      <c r="D7" s="7" t="s">
        <v>344</v>
      </c>
      <c r="E7" s="13">
        <v>4956</v>
      </c>
      <c r="F7" s="13">
        <v>2289</v>
      </c>
      <c r="G7" s="13">
        <v>309</v>
      </c>
      <c r="H7" s="25">
        <v>0.0623</v>
      </c>
      <c r="I7" s="25">
        <v>0.135</v>
      </c>
      <c r="J7" s="26" t="s">
        <v>22</v>
      </c>
      <c r="K7" s="27" t="str">
        <f>IF(OR(I7=0,J7=""),"n.a.",J7/I7)</f>
        <v>n.a.</v>
      </c>
      <c r="L7" s="7" t="s">
        <v>345</v>
      </c>
      <c r="M7" s="7" t="s">
        <v>346</v>
      </c>
      <c r="N7" s="7" t="s">
        <v>347</v>
      </c>
      <c r="O7" s="7" t="s">
        <v>348</v>
      </c>
      <c r="P7" s="7" t="s">
        <v>349</v>
      </c>
      <c r="Q7" s="7" t="s">
        <v>350</v>
      </c>
      <c r="R7" s="7" t="s">
        <v>342</v>
      </c>
      <c r="S7" s="7" t="s">
        <v>334</v>
      </c>
      <c r="T7" s="2"/>
      <c r="U7" s="2"/>
      <c r="V7" s="2"/>
      <c r="W7" s="2"/>
      <c r="X7" s="2"/>
      <c r="Y7" s="2"/>
      <c r="Z7" s="2"/>
    </row>
    <row r="8" spans="1:26">
      <c r="A8" s="6">
        <v>4</v>
      </c>
      <c r="B8" s="7" t="s">
        <v>9</v>
      </c>
      <c r="C8" s="7" t="s">
        <v>351</v>
      </c>
      <c r="D8" s="7" t="s">
        <v>352</v>
      </c>
      <c r="E8" s="13">
        <v>3711</v>
      </c>
      <c r="F8" s="13">
        <v>1942</v>
      </c>
      <c r="G8" s="13">
        <v>135</v>
      </c>
      <c r="H8" s="25">
        <v>0.0364</v>
      </c>
      <c r="I8" s="25">
        <v>0.0695</v>
      </c>
      <c r="J8" s="26">
        <v>0.59</v>
      </c>
      <c r="K8" s="27">
        <f>IF(I8=0,"n.a.",J8/I8)</f>
        <v>8.48920863309352</v>
      </c>
      <c r="L8" s="7" t="s">
        <v>353</v>
      </c>
      <c r="M8" s="7" t="s">
        <v>354</v>
      </c>
      <c r="N8" s="7" t="s">
        <v>355</v>
      </c>
      <c r="O8" s="7" t="s">
        <v>356</v>
      </c>
      <c r="P8" s="7" t="s">
        <v>357</v>
      </c>
      <c r="Q8" s="7" t="s">
        <v>358</v>
      </c>
      <c r="R8" s="7" t="s">
        <v>359</v>
      </c>
      <c r="S8" s="7" t="s">
        <v>334</v>
      </c>
      <c r="T8" s="2"/>
      <c r="U8" s="2"/>
      <c r="V8" s="2"/>
      <c r="W8" s="2"/>
      <c r="X8" s="2"/>
      <c r="Y8" s="2"/>
      <c r="Z8" s="2"/>
    </row>
    <row r="9" ht="25.5" spans="1:26">
      <c r="A9" s="6">
        <v>5</v>
      </c>
      <c r="B9" s="7" t="s">
        <v>9</v>
      </c>
      <c r="C9" s="7" t="s">
        <v>360</v>
      </c>
      <c r="D9" s="7" t="s">
        <v>361</v>
      </c>
      <c r="E9" s="13">
        <v>3653</v>
      </c>
      <c r="F9" s="13">
        <v>1882</v>
      </c>
      <c r="G9" s="13">
        <v>94</v>
      </c>
      <c r="H9" s="25">
        <v>0.0257</v>
      </c>
      <c r="I9" s="25">
        <v>0.0499</v>
      </c>
      <c r="J9" s="26">
        <v>0.67</v>
      </c>
      <c r="K9" s="27">
        <f>IF(I9=0,"n.a.",J9/I9)</f>
        <v>13.4268537074148</v>
      </c>
      <c r="L9" s="7" t="s">
        <v>353</v>
      </c>
      <c r="M9" s="7" t="s">
        <v>362</v>
      </c>
      <c r="N9" s="7" t="s">
        <v>363</v>
      </c>
      <c r="O9" s="7" t="s">
        <v>364</v>
      </c>
      <c r="P9" s="7" t="s">
        <v>365</v>
      </c>
      <c r="Q9" s="7" t="s">
        <v>366</v>
      </c>
      <c r="R9" s="7" t="s">
        <v>367</v>
      </c>
      <c r="S9" s="7" t="s">
        <v>334</v>
      </c>
      <c r="T9" s="2"/>
      <c r="U9" s="2"/>
      <c r="V9" s="2"/>
      <c r="W9" s="2"/>
      <c r="X9" s="2"/>
      <c r="Y9" s="2"/>
      <c r="Z9" s="2"/>
    </row>
    <row r="10" spans="1:26">
      <c r="A10" s="6">
        <v>6</v>
      </c>
      <c r="B10" s="7" t="s">
        <v>9</v>
      </c>
      <c r="C10" s="7" t="s">
        <v>14</v>
      </c>
      <c r="D10" s="7" t="s">
        <v>14</v>
      </c>
      <c r="E10" s="13" t="s">
        <v>22</v>
      </c>
      <c r="F10" s="13" t="s">
        <v>22</v>
      </c>
      <c r="G10" s="13" t="s">
        <v>22</v>
      </c>
      <c r="H10" s="25" t="s">
        <v>22</v>
      </c>
      <c r="I10" s="25" t="s">
        <v>22</v>
      </c>
      <c r="J10" s="26" t="s">
        <v>22</v>
      </c>
      <c r="K10" s="27" t="str">
        <f>IF(OR(I10=0,J10=""),"n.a.",J10/I10)</f>
        <v>n.a.</v>
      </c>
      <c r="L10" s="7" t="s">
        <v>22</v>
      </c>
      <c r="M10" s="7" t="s">
        <v>22</v>
      </c>
      <c r="N10" s="7" t="s">
        <v>22</v>
      </c>
      <c r="O10" s="7" t="s">
        <v>22</v>
      </c>
      <c r="P10" s="7" t="s">
        <v>22</v>
      </c>
      <c r="Q10" s="7" t="s">
        <v>22</v>
      </c>
      <c r="R10" s="7" t="s">
        <v>22</v>
      </c>
      <c r="S10" s="7" t="s">
        <v>22</v>
      </c>
      <c r="T10" s="2"/>
      <c r="U10" s="2"/>
      <c r="V10" s="2"/>
      <c r="W10" s="2"/>
      <c r="X10" s="2"/>
      <c r="Y10" s="2"/>
      <c r="Z10" s="2"/>
    </row>
    <row r="11" spans="1:26">
      <c r="A11" s="6">
        <v>7</v>
      </c>
      <c r="B11" s="7" t="s">
        <v>9</v>
      </c>
      <c r="C11" s="7" t="s">
        <v>14</v>
      </c>
      <c r="D11" s="7" t="s">
        <v>14</v>
      </c>
      <c r="E11" s="13" t="s">
        <v>22</v>
      </c>
      <c r="F11" s="13" t="s">
        <v>22</v>
      </c>
      <c r="G11" s="13" t="s">
        <v>22</v>
      </c>
      <c r="H11" s="25" t="s">
        <v>22</v>
      </c>
      <c r="I11" s="25" t="s">
        <v>22</v>
      </c>
      <c r="J11" s="26" t="s">
        <v>22</v>
      </c>
      <c r="K11" s="27" t="str">
        <f>IF(OR(I11=0,J11=""),"n.a.",J11/I11)</f>
        <v>n.a.</v>
      </c>
      <c r="L11" s="7" t="s">
        <v>22</v>
      </c>
      <c r="M11" s="7" t="s">
        <v>22</v>
      </c>
      <c r="N11" s="7" t="s">
        <v>22</v>
      </c>
      <c r="O11" s="7" t="s">
        <v>22</v>
      </c>
      <c r="P11" s="7" t="s">
        <v>22</v>
      </c>
      <c r="Q11" s="7" t="s">
        <v>22</v>
      </c>
      <c r="R11" s="7" t="s">
        <v>22</v>
      </c>
      <c r="S11" s="7" t="s">
        <v>22</v>
      </c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" spans="1:26">
      <c r="A14" s="10" t="s">
        <v>368</v>
      </c>
      <c r="B14" s="11" t="s">
        <v>22</v>
      </c>
      <c r="C14" s="11" t="s">
        <v>22</v>
      </c>
      <c r="D14" s="11" t="s">
        <v>22</v>
      </c>
      <c r="E14" s="11" t="s">
        <v>22</v>
      </c>
      <c r="F14" s="11" t="s">
        <v>22</v>
      </c>
      <c r="G14" s="11" t="s">
        <v>22</v>
      </c>
      <c r="H14" s="11" t="s">
        <v>22</v>
      </c>
      <c r="I14" s="11" t="s">
        <v>22</v>
      </c>
      <c r="J14" s="11" t="s">
        <v>22</v>
      </c>
      <c r="K14" s="11" t="s">
        <v>22</v>
      </c>
      <c r="L14" s="11" t="s">
        <v>22</v>
      </c>
      <c r="M14" s="11" t="s">
        <v>22</v>
      </c>
      <c r="N14" s="11" t="s">
        <v>22</v>
      </c>
      <c r="O14" s="11" t="s">
        <v>22</v>
      </c>
      <c r="P14" s="11" t="s">
        <v>22</v>
      </c>
      <c r="Q14" s="11" t="s">
        <v>22</v>
      </c>
      <c r="R14" s="12" t="s">
        <v>22</v>
      </c>
      <c r="S14" s="2"/>
      <c r="T14" s="2"/>
      <c r="U14" s="2"/>
      <c r="V14" s="2"/>
      <c r="W14" s="2"/>
      <c r="X14" s="2"/>
      <c r="Y14" s="2"/>
      <c r="Z14" s="2"/>
    </row>
    <row r="15" spans="1:26">
      <c r="A15" s="5" t="s">
        <v>369</v>
      </c>
      <c r="B15" s="5" t="s">
        <v>309</v>
      </c>
      <c r="C15" s="5" t="s">
        <v>370</v>
      </c>
      <c r="D15" s="5" t="s">
        <v>371</v>
      </c>
      <c r="E15" s="5" t="s">
        <v>372</v>
      </c>
      <c r="F15" s="5" t="s">
        <v>373</v>
      </c>
      <c r="G15" s="5" t="s">
        <v>374</v>
      </c>
      <c r="H15" s="5" t="s">
        <v>375</v>
      </c>
      <c r="I15" s="5" t="s">
        <v>376</v>
      </c>
      <c r="J15" s="5" t="s">
        <v>377</v>
      </c>
      <c r="K15" s="5" t="s">
        <v>378</v>
      </c>
      <c r="L15" s="5" t="s">
        <v>379</v>
      </c>
      <c r="M15" s="5" t="s">
        <v>380</v>
      </c>
      <c r="N15" s="5" t="s">
        <v>381</v>
      </c>
      <c r="O15" s="5" t="s">
        <v>382</v>
      </c>
      <c r="P15" s="5" t="s">
        <v>383</v>
      </c>
      <c r="Q15" s="5" t="s">
        <v>384</v>
      </c>
      <c r="R15" s="5" t="s">
        <v>385</v>
      </c>
      <c r="S15" s="2"/>
      <c r="T15" s="2"/>
      <c r="U15" s="2"/>
      <c r="V15" s="2"/>
      <c r="W15" s="2"/>
      <c r="X15" s="2"/>
      <c r="Y15" s="2"/>
      <c r="Z15" s="2"/>
    </row>
    <row r="16" ht="25.5" spans="1:26">
      <c r="A16" s="7" t="s">
        <v>386</v>
      </c>
      <c r="B16" s="7" t="s">
        <v>325</v>
      </c>
      <c r="C16" s="7" t="s">
        <v>387</v>
      </c>
      <c r="D16" s="7">
        <v>1</v>
      </c>
      <c r="E16" s="7" t="s">
        <v>388</v>
      </c>
      <c r="F16" s="7" t="s">
        <v>389</v>
      </c>
      <c r="G16" s="7" t="s">
        <v>390</v>
      </c>
      <c r="H16" s="7" t="s">
        <v>391</v>
      </c>
      <c r="I16" s="7" t="s">
        <v>392</v>
      </c>
      <c r="J16" s="7" t="s">
        <v>393</v>
      </c>
      <c r="K16" s="7" t="s">
        <v>378</v>
      </c>
      <c r="L16" s="7" t="s">
        <v>379</v>
      </c>
      <c r="M16" s="7" t="s">
        <v>380</v>
      </c>
      <c r="N16" s="7" t="s">
        <v>381</v>
      </c>
      <c r="O16" s="7" t="s">
        <v>382</v>
      </c>
      <c r="P16" s="7" t="s">
        <v>394</v>
      </c>
      <c r="Q16" s="7" t="s">
        <v>395</v>
      </c>
      <c r="R16" s="7" t="s">
        <v>396</v>
      </c>
      <c r="S16" s="2"/>
      <c r="T16" s="2"/>
      <c r="U16" s="2"/>
      <c r="V16" s="2"/>
      <c r="W16" s="2"/>
      <c r="X16" s="2"/>
      <c r="Y16" s="2"/>
      <c r="Z16" s="2"/>
    </row>
    <row r="17" spans="1:26">
      <c r="A17" s="7" t="s">
        <v>14</v>
      </c>
      <c r="B17" s="7" t="s">
        <v>14</v>
      </c>
      <c r="C17" s="7" t="s">
        <v>397</v>
      </c>
      <c r="D17" s="7">
        <v>1</v>
      </c>
      <c r="E17" s="7" t="s">
        <v>397</v>
      </c>
      <c r="F17" s="7" t="s">
        <v>22</v>
      </c>
      <c r="G17" s="7" t="s">
        <v>22</v>
      </c>
      <c r="H17" s="7" t="s">
        <v>22</v>
      </c>
      <c r="I17" s="7" t="s">
        <v>22</v>
      </c>
      <c r="J17" s="7" t="s">
        <v>22</v>
      </c>
      <c r="K17" s="7" t="s">
        <v>22</v>
      </c>
      <c r="L17" s="7" t="s">
        <v>22</v>
      </c>
      <c r="M17" s="7" t="s">
        <v>22</v>
      </c>
      <c r="N17" s="7" t="s">
        <v>22</v>
      </c>
      <c r="O17" s="7" t="s">
        <v>22</v>
      </c>
      <c r="P17" s="7" t="s">
        <v>22</v>
      </c>
      <c r="Q17" s="7" t="s">
        <v>22</v>
      </c>
      <c r="R17" s="7" t="s">
        <v>22</v>
      </c>
      <c r="S17" s="2"/>
      <c r="T17" s="2"/>
      <c r="U17" s="2"/>
      <c r="V17" s="2"/>
      <c r="W17" s="2"/>
      <c r="X17" s="2"/>
      <c r="Y17" s="2"/>
      <c r="Z17" s="2"/>
    </row>
    <row r="18" spans="1:26">
      <c r="A18" s="7" t="s">
        <v>14</v>
      </c>
      <c r="B18" s="7" t="s">
        <v>14</v>
      </c>
      <c r="C18" s="7" t="s">
        <v>398</v>
      </c>
      <c r="D18" s="7">
        <v>1</v>
      </c>
      <c r="E18" s="7" t="s">
        <v>388</v>
      </c>
      <c r="F18" s="7" t="s">
        <v>22</v>
      </c>
      <c r="G18" s="7" t="s">
        <v>22</v>
      </c>
      <c r="H18" s="7" t="s">
        <v>22</v>
      </c>
      <c r="I18" s="7" t="s">
        <v>22</v>
      </c>
      <c r="J18" s="7" t="s">
        <v>22</v>
      </c>
      <c r="K18" s="7" t="s">
        <v>22</v>
      </c>
      <c r="L18" s="7" t="s">
        <v>22</v>
      </c>
      <c r="M18" s="7" t="s">
        <v>22</v>
      </c>
      <c r="N18" s="7" t="s">
        <v>22</v>
      </c>
      <c r="O18" s="7" t="s">
        <v>22</v>
      </c>
      <c r="P18" s="7" t="s">
        <v>22</v>
      </c>
      <c r="Q18" s="7" t="s">
        <v>22</v>
      </c>
      <c r="R18" s="7" t="s">
        <v>22</v>
      </c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20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4.25"/>
  <cols>
    <col min="1" max="1" width="8" customWidth="1"/>
    <col min="2" max="2" width="20" customWidth="1"/>
    <col min="3" max="3" width="18" customWidth="1"/>
    <col min="4" max="4" width="24" customWidth="1"/>
    <col min="5" max="5" width="18" customWidth="1"/>
    <col min="6" max="8" width="16" customWidth="1"/>
    <col min="9" max="10" width="18" customWidth="1"/>
    <col min="11" max="11" width="28" customWidth="1"/>
    <col min="12" max="12" width="32" customWidth="1"/>
    <col min="13" max="14" width="22" customWidth="1"/>
  </cols>
  <sheetData>
    <row r="1" ht="20.25" spans="1:26">
      <c r="A1" s="1" t="s">
        <v>399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400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5" t="s">
        <v>307</v>
      </c>
      <c r="B4" s="5" t="s">
        <v>401</v>
      </c>
      <c r="C4" s="5" t="s">
        <v>402</v>
      </c>
      <c r="D4" s="5" t="s">
        <v>403</v>
      </c>
      <c r="E4" s="5" t="s">
        <v>404</v>
      </c>
      <c r="F4" s="5" t="s">
        <v>405</v>
      </c>
      <c r="G4" s="5" t="s">
        <v>406</v>
      </c>
      <c r="H4" s="5" t="s">
        <v>407</v>
      </c>
      <c r="I4" s="5" t="s">
        <v>408</v>
      </c>
      <c r="J4" s="5" t="s">
        <v>409</v>
      </c>
      <c r="K4" s="5" t="s">
        <v>410</v>
      </c>
      <c r="L4" s="5" t="s">
        <v>411</v>
      </c>
      <c r="M4" s="5" t="s">
        <v>129</v>
      </c>
      <c r="N4" s="5" t="s">
        <v>385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" spans="1:26">
      <c r="A5" s="6">
        <v>1</v>
      </c>
      <c r="B5" s="7" t="s">
        <v>412</v>
      </c>
      <c r="C5" s="7" t="s">
        <v>413</v>
      </c>
      <c r="D5" s="7" t="s">
        <v>414</v>
      </c>
      <c r="E5" s="7" t="s">
        <v>415</v>
      </c>
      <c r="F5" s="13">
        <v>42</v>
      </c>
      <c r="G5" s="13">
        <v>25</v>
      </c>
      <c r="H5" s="24">
        <f>IF(OR(F5="",G5=""),"",F5-G5)</f>
        <v>17</v>
      </c>
      <c r="I5" s="7" t="s">
        <v>353</v>
      </c>
      <c r="J5" s="7" t="s">
        <v>416</v>
      </c>
      <c r="K5" s="7" t="s">
        <v>417</v>
      </c>
      <c r="L5" s="7" t="s">
        <v>418</v>
      </c>
      <c r="M5" s="7" t="s">
        <v>419</v>
      </c>
      <c r="N5" s="7" t="s">
        <v>334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6">
        <v>2</v>
      </c>
      <c r="B6" s="7" t="s">
        <v>420</v>
      </c>
      <c r="C6" s="7" t="s">
        <v>421</v>
      </c>
      <c r="D6" s="7" t="s">
        <v>422</v>
      </c>
      <c r="E6" s="7" t="s">
        <v>423</v>
      </c>
      <c r="F6" s="13">
        <v>58</v>
      </c>
      <c r="G6" s="13">
        <v>18</v>
      </c>
      <c r="H6" s="24">
        <f>IF(OR(F6="",G6=""),"",F6-G6)</f>
        <v>40</v>
      </c>
      <c r="I6" s="7" t="s">
        <v>327</v>
      </c>
      <c r="J6" s="7" t="s">
        <v>424</v>
      </c>
      <c r="K6" s="7" t="s">
        <v>425</v>
      </c>
      <c r="L6" s="7" t="s">
        <v>426</v>
      </c>
      <c r="M6" s="7" t="s">
        <v>427</v>
      </c>
      <c r="N6" s="7" t="s">
        <v>334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6">
        <v>3</v>
      </c>
      <c r="B7" s="7" t="s">
        <v>428</v>
      </c>
      <c r="C7" s="7" t="s">
        <v>413</v>
      </c>
      <c r="D7" s="7" t="s">
        <v>429</v>
      </c>
      <c r="E7" s="7" t="s">
        <v>430</v>
      </c>
      <c r="F7" s="13" t="s">
        <v>22</v>
      </c>
      <c r="G7" s="13" t="s">
        <v>22</v>
      </c>
      <c r="H7" s="24" t="str">
        <f>IF(OR(F7="",G7=""),"",F7-G7)</f>
        <v/>
      </c>
      <c r="I7" s="7" t="s">
        <v>22</v>
      </c>
      <c r="J7" s="7" t="s">
        <v>22</v>
      </c>
      <c r="K7" s="7" t="s">
        <v>22</v>
      </c>
      <c r="L7" s="7" t="s">
        <v>22</v>
      </c>
      <c r="M7" s="7" t="s">
        <v>22</v>
      </c>
      <c r="N7" s="7" t="s">
        <v>22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" spans="1:26">
      <c r="A11" s="10" t="s">
        <v>431</v>
      </c>
      <c r="B11" s="11" t="s">
        <v>22</v>
      </c>
      <c r="C11" s="11" t="s">
        <v>22</v>
      </c>
      <c r="D11" s="11" t="s">
        <v>22</v>
      </c>
      <c r="E11" s="11" t="s">
        <v>22</v>
      </c>
      <c r="F11" s="11" t="s">
        <v>22</v>
      </c>
      <c r="G11" s="11" t="s">
        <v>22</v>
      </c>
      <c r="H11" s="11" t="s">
        <v>22</v>
      </c>
      <c r="I11" s="11" t="s">
        <v>22</v>
      </c>
      <c r="J11" s="12" t="s">
        <v>22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5" t="s">
        <v>432</v>
      </c>
      <c r="B12" s="5" t="s">
        <v>433</v>
      </c>
      <c r="C12" s="5" t="s">
        <v>434</v>
      </c>
      <c r="D12" s="5" t="s">
        <v>435</v>
      </c>
      <c r="E12" s="5" t="s">
        <v>436</v>
      </c>
      <c r="F12" s="5" t="s">
        <v>437</v>
      </c>
      <c r="G12" s="5" t="s">
        <v>438</v>
      </c>
      <c r="H12" s="5" t="s">
        <v>439</v>
      </c>
      <c r="I12" s="5" t="s">
        <v>440</v>
      </c>
      <c r="J12" s="5" t="s">
        <v>324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75" spans="1:26">
      <c r="A13" s="6" t="s">
        <v>441</v>
      </c>
      <c r="B13" s="7">
        <v>4</v>
      </c>
      <c r="C13" s="7">
        <v>3</v>
      </c>
      <c r="D13" s="7">
        <v>2</v>
      </c>
      <c r="E13" s="7">
        <v>3</v>
      </c>
      <c r="F13" s="7" t="s">
        <v>442</v>
      </c>
      <c r="G13" s="6" t="s">
        <v>443</v>
      </c>
      <c r="H13" s="7" t="s">
        <v>444</v>
      </c>
      <c r="I13" s="7" t="s">
        <v>14</v>
      </c>
      <c r="J13" s="7" t="s">
        <v>22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" spans="1:26">
      <c r="A14" s="6" t="s">
        <v>445</v>
      </c>
      <c r="B14" s="7">
        <v>5</v>
      </c>
      <c r="C14" s="7">
        <v>2</v>
      </c>
      <c r="D14" s="7">
        <v>2</v>
      </c>
      <c r="E14" s="7">
        <v>2</v>
      </c>
      <c r="F14" s="7" t="s">
        <v>442</v>
      </c>
      <c r="G14" s="6" t="s">
        <v>446</v>
      </c>
      <c r="H14" s="7" t="s">
        <v>447</v>
      </c>
      <c r="I14" s="7" t="s">
        <v>14</v>
      </c>
      <c r="J14" s="7" t="s">
        <v>22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" spans="1:26">
      <c r="A15" s="6" t="s">
        <v>448</v>
      </c>
      <c r="B15" s="7">
        <v>3</v>
      </c>
      <c r="C15" s="7">
        <v>3</v>
      </c>
      <c r="D15" s="7">
        <v>3</v>
      </c>
      <c r="E15" s="7">
        <v>4</v>
      </c>
      <c r="F15" s="7" t="s">
        <v>442</v>
      </c>
      <c r="G15" s="6" t="s">
        <v>449</v>
      </c>
      <c r="H15" s="7" t="s">
        <v>450</v>
      </c>
      <c r="I15" s="7" t="s">
        <v>14</v>
      </c>
      <c r="J15" s="7" t="s">
        <v>22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75" spans="1:26">
      <c r="A16" s="6" t="s">
        <v>451</v>
      </c>
      <c r="B16" s="7">
        <v>4</v>
      </c>
      <c r="C16" s="7">
        <v>4</v>
      </c>
      <c r="D16" s="7">
        <v>4</v>
      </c>
      <c r="E16" s="7">
        <v>5</v>
      </c>
      <c r="F16" s="7" t="s">
        <v>442</v>
      </c>
      <c r="G16" s="6" t="s">
        <v>452</v>
      </c>
      <c r="H16" s="7" t="s">
        <v>453</v>
      </c>
      <c r="I16" s="7" t="s">
        <v>14</v>
      </c>
      <c r="J16" s="7" t="s">
        <v>22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6" t="s">
        <v>454</v>
      </c>
      <c r="B17" s="7">
        <v>2</v>
      </c>
      <c r="C17" s="7">
        <v>2</v>
      </c>
      <c r="D17" s="7">
        <v>3</v>
      </c>
      <c r="E17" s="7">
        <v>3</v>
      </c>
      <c r="F17" s="7" t="s">
        <v>442</v>
      </c>
      <c r="G17" s="6" t="s">
        <v>455</v>
      </c>
      <c r="H17" s="7" t="s">
        <v>456</v>
      </c>
      <c r="I17" s="7" t="s">
        <v>14</v>
      </c>
      <c r="J17" s="7" t="s">
        <v>22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20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4.25"/>
  <cols>
    <col min="1" max="1" width="8" customWidth="1"/>
    <col min="2" max="2" width="16" customWidth="1"/>
    <col min="3" max="3" width="42" customWidth="1"/>
    <col min="4" max="4" width="36" customWidth="1"/>
    <col min="5" max="5" width="30" customWidth="1"/>
    <col min="6" max="7" width="12" customWidth="1"/>
    <col min="8" max="8" width="20" customWidth="1"/>
    <col min="9" max="9" width="34" customWidth="1"/>
    <col min="10" max="10" width="28" customWidth="1"/>
  </cols>
  <sheetData>
    <row r="1" ht="20.25" spans="1:26">
      <c r="A1" s="1" t="s">
        <v>457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458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5" t="s">
        <v>307</v>
      </c>
      <c r="B4" s="5" t="s">
        <v>459</v>
      </c>
      <c r="C4" s="5" t="s">
        <v>460</v>
      </c>
      <c r="D4" s="5" t="s">
        <v>461</v>
      </c>
      <c r="E4" s="5" t="s">
        <v>462</v>
      </c>
      <c r="F4" s="5" t="s">
        <v>463</v>
      </c>
      <c r="G4" s="5" t="s">
        <v>464</v>
      </c>
      <c r="H4" s="5" t="s">
        <v>465</v>
      </c>
      <c r="I4" s="5" t="s">
        <v>28</v>
      </c>
      <c r="J4" s="5" t="s">
        <v>324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6">
        <v>1</v>
      </c>
      <c r="B5" s="6" t="s">
        <v>466</v>
      </c>
      <c r="C5" s="6" t="s">
        <v>467</v>
      </c>
      <c r="D5" s="6" t="s">
        <v>468</v>
      </c>
      <c r="E5" s="6" t="s">
        <v>469</v>
      </c>
      <c r="F5" s="7" t="s">
        <v>39</v>
      </c>
      <c r="G5" s="6" t="s">
        <v>327</v>
      </c>
      <c r="H5" s="7" t="s">
        <v>470</v>
      </c>
      <c r="I5" s="7" t="s">
        <v>471</v>
      </c>
      <c r="J5" s="7" t="s">
        <v>22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6">
        <v>2</v>
      </c>
      <c r="B6" s="6" t="s">
        <v>466</v>
      </c>
      <c r="C6" s="6" t="s">
        <v>472</v>
      </c>
      <c r="D6" s="6" t="s">
        <v>473</v>
      </c>
      <c r="E6" s="6" t="s">
        <v>474</v>
      </c>
      <c r="F6" s="7" t="s">
        <v>39</v>
      </c>
      <c r="G6" s="6" t="s">
        <v>327</v>
      </c>
      <c r="H6" s="7" t="s">
        <v>475</v>
      </c>
      <c r="I6" s="7" t="s">
        <v>476</v>
      </c>
      <c r="J6" s="7" t="s">
        <v>22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6">
        <v>3</v>
      </c>
      <c r="B7" s="6" t="s">
        <v>477</v>
      </c>
      <c r="C7" s="6" t="s">
        <v>478</v>
      </c>
      <c r="D7" s="6" t="s">
        <v>479</v>
      </c>
      <c r="E7" s="6" t="s">
        <v>480</v>
      </c>
      <c r="F7" s="7" t="s">
        <v>39</v>
      </c>
      <c r="G7" s="6" t="s">
        <v>353</v>
      </c>
      <c r="H7" s="7" t="s">
        <v>481</v>
      </c>
      <c r="I7" s="7" t="s">
        <v>482</v>
      </c>
      <c r="J7" s="7" t="s">
        <v>22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6">
        <v>4</v>
      </c>
      <c r="B8" s="6" t="s">
        <v>388</v>
      </c>
      <c r="C8" s="6" t="s">
        <v>483</v>
      </c>
      <c r="D8" s="6" t="s">
        <v>484</v>
      </c>
      <c r="E8" s="6" t="s">
        <v>485</v>
      </c>
      <c r="F8" s="7" t="s">
        <v>39</v>
      </c>
      <c r="G8" s="6" t="s">
        <v>327</v>
      </c>
      <c r="H8" s="7" t="s">
        <v>486</v>
      </c>
      <c r="I8" s="7" t="s">
        <v>487</v>
      </c>
      <c r="J8" s="7" t="s">
        <v>22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6">
        <v>5</v>
      </c>
      <c r="B9" s="6" t="s">
        <v>488</v>
      </c>
      <c r="C9" s="6" t="s">
        <v>489</v>
      </c>
      <c r="D9" s="6" t="s">
        <v>490</v>
      </c>
      <c r="E9" s="6" t="s">
        <v>491</v>
      </c>
      <c r="F9" s="7" t="s">
        <v>39</v>
      </c>
      <c r="G9" s="6" t="s">
        <v>353</v>
      </c>
      <c r="H9" s="7" t="s">
        <v>492</v>
      </c>
      <c r="I9" s="7" t="s">
        <v>493</v>
      </c>
      <c r="J9" s="7" t="s">
        <v>22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6">
        <v>6</v>
      </c>
      <c r="B10" s="6" t="s">
        <v>494</v>
      </c>
      <c r="C10" s="6" t="s">
        <v>495</v>
      </c>
      <c r="D10" s="6" t="s">
        <v>496</v>
      </c>
      <c r="E10" s="6" t="s">
        <v>497</v>
      </c>
      <c r="F10" s="7" t="s">
        <v>39</v>
      </c>
      <c r="G10" s="6" t="s">
        <v>327</v>
      </c>
      <c r="H10" s="7" t="s">
        <v>498</v>
      </c>
      <c r="I10" s="7" t="s">
        <v>499</v>
      </c>
      <c r="J10" s="7" t="s">
        <v>22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6">
        <v>7</v>
      </c>
      <c r="B11" s="6" t="s">
        <v>500</v>
      </c>
      <c r="C11" s="6" t="s">
        <v>501</v>
      </c>
      <c r="D11" s="6" t="s">
        <v>502</v>
      </c>
      <c r="E11" s="6" t="s">
        <v>503</v>
      </c>
      <c r="F11" s="7" t="s">
        <v>39</v>
      </c>
      <c r="G11" s="6" t="s">
        <v>327</v>
      </c>
      <c r="H11" s="7" t="s">
        <v>504</v>
      </c>
      <c r="I11" s="7" t="s">
        <v>505</v>
      </c>
      <c r="J11" s="7" t="s">
        <v>22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6">
        <v>8</v>
      </c>
      <c r="B12" s="6" t="s">
        <v>506</v>
      </c>
      <c r="C12" s="6" t="s">
        <v>507</v>
      </c>
      <c r="D12" s="6" t="s">
        <v>508</v>
      </c>
      <c r="E12" s="6" t="s">
        <v>509</v>
      </c>
      <c r="F12" s="7" t="s">
        <v>39</v>
      </c>
      <c r="G12" s="6" t="s">
        <v>327</v>
      </c>
      <c r="H12" s="7" t="s">
        <v>498</v>
      </c>
      <c r="I12" s="7" t="s">
        <v>510</v>
      </c>
      <c r="J12" s="7" t="s">
        <v>22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6">
        <v>9</v>
      </c>
      <c r="B13" s="6" t="s">
        <v>511</v>
      </c>
      <c r="C13" s="6" t="s">
        <v>512</v>
      </c>
      <c r="D13" s="6" t="s">
        <v>513</v>
      </c>
      <c r="E13" s="6" t="s">
        <v>514</v>
      </c>
      <c r="F13" s="7" t="s">
        <v>39</v>
      </c>
      <c r="G13" s="6" t="s">
        <v>327</v>
      </c>
      <c r="H13" s="7" t="s">
        <v>498</v>
      </c>
      <c r="I13" s="7" t="s">
        <v>515</v>
      </c>
      <c r="J13" s="7" t="s">
        <v>22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6">
        <v>10</v>
      </c>
      <c r="B14" s="6" t="s">
        <v>516</v>
      </c>
      <c r="C14" s="6" t="s">
        <v>517</v>
      </c>
      <c r="D14" s="6" t="s">
        <v>518</v>
      </c>
      <c r="E14" s="6" t="s">
        <v>519</v>
      </c>
      <c r="F14" s="7" t="s">
        <v>39</v>
      </c>
      <c r="G14" s="6" t="s">
        <v>327</v>
      </c>
      <c r="H14" s="7" t="s">
        <v>520</v>
      </c>
      <c r="I14" s="7" t="s">
        <v>521</v>
      </c>
      <c r="J14" s="7" t="s">
        <v>22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6">
        <v>11</v>
      </c>
      <c r="B15" s="6" t="s">
        <v>522</v>
      </c>
      <c r="C15" s="6" t="s">
        <v>523</v>
      </c>
      <c r="D15" s="6" t="s">
        <v>524</v>
      </c>
      <c r="E15" s="6" t="s">
        <v>525</v>
      </c>
      <c r="F15" s="7" t="s">
        <v>39</v>
      </c>
      <c r="G15" s="6" t="s">
        <v>526</v>
      </c>
      <c r="H15" s="7" t="s">
        <v>527</v>
      </c>
      <c r="I15" s="7" t="s">
        <v>528</v>
      </c>
      <c r="J15" s="7" t="s">
        <v>22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6">
        <v>12</v>
      </c>
      <c r="B16" s="6" t="s">
        <v>374</v>
      </c>
      <c r="C16" s="6" t="s">
        <v>529</v>
      </c>
      <c r="D16" s="6" t="s">
        <v>530</v>
      </c>
      <c r="E16" s="6" t="s">
        <v>531</v>
      </c>
      <c r="F16" s="7" t="s">
        <v>39</v>
      </c>
      <c r="G16" s="6" t="s">
        <v>353</v>
      </c>
      <c r="H16" s="7" t="s">
        <v>532</v>
      </c>
      <c r="I16" s="7" t="s">
        <v>533</v>
      </c>
      <c r="J16" s="7" t="s">
        <v>22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6">
        <v>13</v>
      </c>
      <c r="B17" s="6" t="s">
        <v>534</v>
      </c>
      <c r="C17" s="6" t="s">
        <v>535</v>
      </c>
      <c r="D17" s="6" t="s">
        <v>536</v>
      </c>
      <c r="E17" s="6" t="s">
        <v>537</v>
      </c>
      <c r="F17" s="7" t="s">
        <v>39</v>
      </c>
      <c r="G17" s="6" t="s">
        <v>353</v>
      </c>
      <c r="H17" s="7" t="s">
        <v>538</v>
      </c>
      <c r="I17" s="7" t="s">
        <v>539</v>
      </c>
      <c r="J17" s="7" t="s">
        <v>22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6">
        <v>14</v>
      </c>
      <c r="B18" s="6" t="s">
        <v>540</v>
      </c>
      <c r="C18" s="6" t="s">
        <v>541</v>
      </c>
      <c r="D18" s="6" t="s">
        <v>542</v>
      </c>
      <c r="E18" s="6" t="s">
        <v>543</v>
      </c>
      <c r="F18" s="7" t="s">
        <v>39</v>
      </c>
      <c r="G18" s="6" t="s">
        <v>327</v>
      </c>
      <c r="H18" s="7" t="s">
        <v>544</v>
      </c>
      <c r="I18" s="7" t="s">
        <v>545</v>
      </c>
      <c r="J18" s="7" t="s">
        <v>22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6">
        <v>15</v>
      </c>
      <c r="B19" s="6" t="s">
        <v>546</v>
      </c>
      <c r="C19" s="6" t="s">
        <v>547</v>
      </c>
      <c r="D19" s="6" t="s">
        <v>548</v>
      </c>
      <c r="E19" s="6" t="s">
        <v>549</v>
      </c>
      <c r="F19" s="7" t="s">
        <v>39</v>
      </c>
      <c r="G19" s="6" t="s">
        <v>353</v>
      </c>
      <c r="H19" s="7" t="s">
        <v>550</v>
      </c>
      <c r="I19" s="7" t="s">
        <v>551</v>
      </c>
      <c r="J19" s="7" t="s">
        <v>22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" spans="1:26">
      <c r="A23" s="10" t="s">
        <v>552</v>
      </c>
      <c r="B23" s="11" t="s">
        <v>22</v>
      </c>
      <c r="C23" s="11" t="s">
        <v>22</v>
      </c>
      <c r="D23" s="11" t="s">
        <v>22</v>
      </c>
      <c r="E23" s="11" t="s">
        <v>22</v>
      </c>
      <c r="F23" s="12" t="s">
        <v>22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16" t="s">
        <v>23</v>
      </c>
      <c r="B24" s="16" t="s">
        <v>24</v>
      </c>
      <c r="C24" s="16" t="s">
        <v>23</v>
      </c>
      <c r="D24" s="16" t="s">
        <v>24</v>
      </c>
      <c r="E24" s="16" t="s">
        <v>23</v>
      </c>
      <c r="F24" s="16" t="s">
        <v>24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" spans="1:26">
      <c r="A25" s="6" t="s">
        <v>553</v>
      </c>
      <c r="B25" s="6">
        <f>COUNTIF(F5:F19,"是")</f>
        <v>0</v>
      </c>
      <c r="C25" s="6" t="s">
        <v>554</v>
      </c>
      <c r="D25" s="6">
        <f>COUNTIF(F5:F19,"待复核")</f>
        <v>0</v>
      </c>
      <c r="E25" s="6" t="s">
        <v>555</v>
      </c>
      <c r="F25" s="6" t="str">
        <f>IF(B24&gt;0,"先关闭硬伤或劝退",IF(D24&gt;0,"补证后再判断","进入ROI和上市推演"))</f>
        <v>先关闭硬伤或劝退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</sheetData>
  <dataValidations count="1">
    <dataValidation type="list" sqref="F5:F19">
      <formula1>"否,是,待复核"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20"/>
  <sheetViews>
    <sheetView showGridLines="0" workbookViewId="0">
      <selection activeCell="A1" sqref="A1"/>
    </sheetView>
  </sheetViews>
  <sheetFormatPr defaultColWidth="9" defaultRowHeight="14.25"/>
  <cols>
    <col min="1" max="1" width="8" customWidth="1"/>
    <col min="2" max="2" width="16" customWidth="1"/>
    <col min="3" max="3" width="34" customWidth="1"/>
    <col min="4" max="5" width="40" customWidth="1"/>
    <col min="6" max="6" width="34" customWidth="1"/>
    <col min="7" max="8" width="14" customWidth="1"/>
    <col min="9" max="9" width="34" customWidth="1"/>
  </cols>
  <sheetData>
    <row r="1" ht="20.25" spans="1:26">
      <c r="A1" s="1" t="s">
        <v>556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557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5" t="s">
        <v>307</v>
      </c>
      <c r="B4" s="5" t="s">
        <v>558</v>
      </c>
      <c r="C4" s="5" t="s">
        <v>559</v>
      </c>
      <c r="D4" s="5" t="s">
        <v>560</v>
      </c>
      <c r="E4" s="5" t="s">
        <v>561</v>
      </c>
      <c r="F4" s="5" t="s">
        <v>562</v>
      </c>
      <c r="G4" s="5" t="s">
        <v>563</v>
      </c>
      <c r="H4" s="5" t="s">
        <v>564</v>
      </c>
      <c r="I4" s="5" t="s">
        <v>324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75" spans="1:26">
      <c r="A5" s="6">
        <v>1</v>
      </c>
      <c r="B5" s="6" t="s">
        <v>565</v>
      </c>
      <c r="C5" s="6" t="s">
        <v>566</v>
      </c>
      <c r="D5" s="6" t="s">
        <v>567</v>
      </c>
      <c r="E5" s="6" t="s">
        <v>568</v>
      </c>
      <c r="F5" s="6" t="s">
        <v>569</v>
      </c>
      <c r="G5" s="7" t="s">
        <v>22</v>
      </c>
      <c r="H5" s="7" t="s">
        <v>39</v>
      </c>
      <c r="I5" s="7" t="s">
        <v>22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" spans="1:26">
      <c r="A6" s="6">
        <v>2</v>
      </c>
      <c r="B6" s="6" t="s">
        <v>570</v>
      </c>
      <c r="C6" s="6" t="s">
        <v>571</v>
      </c>
      <c r="D6" s="6" t="s">
        <v>572</v>
      </c>
      <c r="E6" s="6" t="s">
        <v>573</v>
      </c>
      <c r="F6" s="6" t="s">
        <v>574</v>
      </c>
      <c r="G6" s="7" t="s">
        <v>22</v>
      </c>
      <c r="H6" s="7" t="s">
        <v>39</v>
      </c>
      <c r="I6" s="7" t="s">
        <v>22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" spans="1:26">
      <c r="A7" s="6">
        <v>3</v>
      </c>
      <c r="B7" s="6" t="s">
        <v>575</v>
      </c>
      <c r="C7" s="6" t="s">
        <v>576</v>
      </c>
      <c r="D7" s="6" t="s">
        <v>577</v>
      </c>
      <c r="E7" s="6" t="s">
        <v>578</v>
      </c>
      <c r="F7" s="6" t="s">
        <v>579</v>
      </c>
      <c r="G7" s="7" t="s">
        <v>22</v>
      </c>
      <c r="H7" s="7" t="s">
        <v>39</v>
      </c>
      <c r="I7" s="7" t="s">
        <v>22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6">
        <v>4</v>
      </c>
      <c r="B8" s="6" t="s">
        <v>580</v>
      </c>
      <c r="C8" s="6" t="s">
        <v>581</v>
      </c>
      <c r="D8" s="6" t="s">
        <v>582</v>
      </c>
      <c r="E8" s="6" t="s">
        <v>583</v>
      </c>
      <c r="F8" s="6" t="s">
        <v>584</v>
      </c>
      <c r="G8" s="7" t="s">
        <v>22</v>
      </c>
      <c r="H8" s="7" t="s">
        <v>39</v>
      </c>
      <c r="I8" s="7" t="s">
        <v>22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75" spans="1:26">
      <c r="A9" s="6">
        <v>5</v>
      </c>
      <c r="B9" s="6" t="s">
        <v>585</v>
      </c>
      <c r="C9" s="6" t="s">
        <v>586</v>
      </c>
      <c r="D9" s="6" t="s">
        <v>587</v>
      </c>
      <c r="E9" s="6" t="s">
        <v>588</v>
      </c>
      <c r="F9" s="6" t="s">
        <v>589</v>
      </c>
      <c r="G9" s="7" t="s">
        <v>22</v>
      </c>
      <c r="H9" s="7" t="s">
        <v>39</v>
      </c>
      <c r="I9" s="7" t="s">
        <v>22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75" spans="1:26">
      <c r="A10" s="6">
        <v>6</v>
      </c>
      <c r="B10" s="6" t="s">
        <v>590</v>
      </c>
      <c r="C10" s="6" t="s">
        <v>591</v>
      </c>
      <c r="D10" s="6" t="s">
        <v>592</v>
      </c>
      <c r="E10" s="6" t="s">
        <v>593</v>
      </c>
      <c r="F10" s="6" t="s">
        <v>594</v>
      </c>
      <c r="G10" s="7" t="s">
        <v>22</v>
      </c>
      <c r="H10" s="7" t="s">
        <v>39</v>
      </c>
      <c r="I10" s="7" t="s">
        <v>22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" spans="1:26">
      <c r="A11" s="6">
        <v>7</v>
      </c>
      <c r="B11" s="6" t="s">
        <v>595</v>
      </c>
      <c r="C11" s="6" t="s">
        <v>596</v>
      </c>
      <c r="D11" s="6" t="s">
        <v>597</v>
      </c>
      <c r="E11" s="6" t="s">
        <v>598</v>
      </c>
      <c r="F11" s="6" t="s">
        <v>599</v>
      </c>
      <c r="G11" s="7" t="s">
        <v>22</v>
      </c>
      <c r="H11" s="7" t="s">
        <v>39</v>
      </c>
      <c r="I11" s="7" t="s">
        <v>22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75" spans="1:26">
      <c r="A12" s="6">
        <v>8</v>
      </c>
      <c r="B12" s="6" t="s">
        <v>600</v>
      </c>
      <c r="C12" s="6" t="s">
        <v>601</v>
      </c>
      <c r="D12" s="6" t="s">
        <v>602</v>
      </c>
      <c r="E12" s="6" t="s">
        <v>603</v>
      </c>
      <c r="F12" s="6" t="s">
        <v>604</v>
      </c>
      <c r="G12" s="7" t="s">
        <v>22</v>
      </c>
      <c r="H12" s="7" t="s">
        <v>39</v>
      </c>
      <c r="I12" s="7" t="s">
        <v>22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</sheetData>
  <dataValidations count="1">
    <dataValidation type="list" sqref="H5:H12">
      <formula1>"否,是,待复核"</formula1>
    </dataValidation>
  </dataValidation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20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4.25"/>
  <cols>
    <col min="1" max="1" width="8" customWidth="1"/>
    <col min="2" max="2" width="14" customWidth="1"/>
    <col min="3" max="3" width="18" customWidth="1"/>
    <col min="4" max="4" width="14" customWidth="1"/>
    <col min="5" max="7" width="12" customWidth="1"/>
    <col min="8" max="10" width="14" customWidth="1"/>
    <col min="11" max="14" width="12" customWidth="1"/>
    <col min="15" max="15" width="14" customWidth="1"/>
    <col min="16" max="20" width="24" customWidth="1"/>
    <col min="21" max="21" width="20" customWidth="1"/>
    <col min="22" max="22" width="24" customWidth="1"/>
  </cols>
  <sheetData>
    <row r="1" ht="20.25" spans="1:26">
      <c r="A1" s="1" t="s">
        <v>605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606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5" t="s">
        <v>307</v>
      </c>
      <c r="B4" s="5" t="s">
        <v>373</v>
      </c>
      <c r="C4" s="5" t="s">
        <v>374</v>
      </c>
      <c r="D4" s="5" t="s">
        <v>607</v>
      </c>
      <c r="E4" s="5" t="s">
        <v>375</v>
      </c>
      <c r="F4" s="5" t="s">
        <v>608</v>
      </c>
      <c r="G4" s="5" t="s">
        <v>609</v>
      </c>
      <c r="H4" s="5" t="s">
        <v>610</v>
      </c>
      <c r="I4" s="5" t="s">
        <v>379</v>
      </c>
      <c r="J4" s="5" t="s">
        <v>611</v>
      </c>
      <c r="K4" s="5" t="s">
        <v>612</v>
      </c>
      <c r="L4" s="5" t="s">
        <v>613</v>
      </c>
      <c r="M4" s="5" t="s">
        <v>614</v>
      </c>
      <c r="N4" s="5" t="s">
        <v>615</v>
      </c>
      <c r="O4" s="5" t="s">
        <v>616</v>
      </c>
      <c r="P4" s="5" t="s">
        <v>617</v>
      </c>
      <c r="Q4" s="5" t="s">
        <v>618</v>
      </c>
      <c r="R4" s="5" t="s">
        <v>619</v>
      </c>
      <c r="S4" s="5" t="s">
        <v>620</v>
      </c>
      <c r="T4" s="5" t="s">
        <v>621</v>
      </c>
      <c r="U4" s="5" t="s">
        <v>385</v>
      </c>
      <c r="V4" s="5" t="s">
        <v>324</v>
      </c>
      <c r="W4" s="2"/>
      <c r="X4" s="2"/>
      <c r="Y4" s="2"/>
      <c r="Z4" s="2"/>
    </row>
    <row r="5" spans="1:26">
      <c r="A5" s="6">
        <v>1</v>
      </c>
      <c r="B5" s="7" t="s">
        <v>622</v>
      </c>
      <c r="C5" s="7" t="s">
        <v>623</v>
      </c>
      <c r="D5" s="7" t="s">
        <v>624</v>
      </c>
      <c r="E5" s="7" t="s">
        <v>391</v>
      </c>
      <c r="F5" s="13" t="s">
        <v>14</v>
      </c>
      <c r="G5" s="15" t="s">
        <v>14</v>
      </c>
      <c r="H5" s="13" t="s">
        <v>14</v>
      </c>
      <c r="I5" s="18" t="s">
        <v>14</v>
      </c>
      <c r="J5" s="9" t="s">
        <v>14</v>
      </c>
      <c r="K5" s="18" t="s">
        <v>22</v>
      </c>
      <c r="L5" s="18" t="s">
        <v>22</v>
      </c>
      <c r="M5" s="18" t="s">
        <v>22</v>
      </c>
      <c r="N5" s="19" t="str">
        <f>IF(COUNT(K5:M5)=0,"",AVERAGE(K5:M5))</f>
        <v/>
      </c>
      <c r="O5" s="18" t="s">
        <v>22</v>
      </c>
      <c r="P5" s="7" t="s">
        <v>625</v>
      </c>
      <c r="Q5" s="7" t="s">
        <v>626</v>
      </c>
      <c r="R5" s="7" t="s">
        <v>627</v>
      </c>
      <c r="S5" s="7" t="s">
        <v>628</v>
      </c>
      <c r="T5" s="7" t="s">
        <v>629</v>
      </c>
      <c r="U5" s="7" t="s">
        <v>334</v>
      </c>
      <c r="V5" s="7" t="s">
        <v>22</v>
      </c>
      <c r="W5" s="2"/>
      <c r="X5" s="2"/>
      <c r="Y5" s="2"/>
      <c r="Z5" s="2"/>
    </row>
    <row r="6" spans="1:26">
      <c r="A6" s="6">
        <v>2</v>
      </c>
      <c r="B6" s="7" t="s">
        <v>630</v>
      </c>
      <c r="C6" s="7" t="s">
        <v>631</v>
      </c>
      <c r="D6" s="7" t="s">
        <v>632</v>
      </c>
      <c r="E6" s="7" t="s">
        <v>391</v>
      </c>
      <c r="F6" s="13" t="s">
        <v>14</v>
      </c>
      <c r="G6" s="15" t="s">
        <v>14</v>
      </c>
      <c r="H6" s="13" t="s">
        <v>14</v>
      </c>
      <c r="I6" s="18" t="s">
        <v>14</v>
      </c>
      <c r="J6" s="9" t="s">
        <v>14</v>
      </c>
      <c r="K6" s="18" t="s">
        <v>22</v>
      </c>
      <c r="L6" s="18" t="s">
        <v>22</v>
      </c>
      <c r="M6" s="18" t="s">
        <v>22</v>
      </c>
      <c r="N6" s="19" t="str">
        <f>IF(COUNT(K6:M6)=0,"",AVERAGE(K6:M6))</f>
        <v/>
      </c>
      <c r="O6" s="18" t="s">
        <v>22</v>
      </c>
      <c r="P6" s="7" t="s">
        <v>633</v>
      </c>
      <c r="Q6" s="7" t="s">
        <v>634</v>
      </c>
      <c r="R6" s="7" t="s">
        <v>635</v>
      </c>
      <c r="S6" s="7" t="s">
        <v>636</v>
      </c>
      <c r="T6" s="7" t="s">
        <v>637</v>
      </c>
      <c r="U6" s="7" t="s">
        <v>334</v>
      </c>
      <c r="V6" s="7" t="s">
        <v>22</v>
      </c>
      <c r="W6" s="2"/>
      <c r="X6" s="2"/>
      <c r="Y6" s="2"/>
      <c r="Z6" s="2"/>
    </row>
    <row r="7" spans="1:26">
      <c r="A7" s="6">
        <v>3</v>
      </c>
      <c r="B7" s="7" t="s">
        <v>638</v>
      </c>
      <c r="C7" s="7" t="s">
        <v>639</v>
      </c>
      <c r="D7" s="7" t="s">
        <v>632</v>
      </c>
      <c r="E7" s="7" t="s">
        <v>391</v>
      </c>
      <c r="F7" s="13" t="s">
        <v>14</v>
      </c>
      <c r="G7" s="15" t="s">
        <v>14</v>
      </c>
      <c r="H7" s="13" t="s">
        <v>14</v>
      </c>
      <c r="I7" s="18" t="s">
        <v>14</v>
      </c>
      <c r="J7" s="9" t="s">
        <v>14</v>
      </c>
      <c r="K7" s="18" t="s">
        <v>22</v>
      </c>
      <c r="L7" s="18" t="s">
        <v>22</v>
      </c>
      <c r="M7" s="18" t="s">
        <v>22</v>
      </c>
      <c r="N7" s="19" t="str">
        <f>IF(COUNT(K7:M7)=0,"",AVERAGE(K7:M7))</f>
        <v/>
      </c>
      <c r="O7" s="18" t="s">
        <v>22</v>
      </c>
      <c r="P7" s="7" t="s">
        <v>640</v>
      </c>
      <c r="Q7" s="7" t="s">
        <v>641</v>
      </c>
      <c r="R7" s="7" t="s">
        <v>642</v>
      </c>
      <c r="S7" s="7" t="s">
        <v>643</v>
      </c>
      <c r="T7" s="7" t="s">
        <v>644</v>
      </c>
      <c r="U7" s="7" t="s">
        <v>334</v>
      </c>
      <c r="V7" s="7" t="s">
        <v>22</v>
      </c>
      <c r="W7" s="2"/>
      <c r="X7" s="2"/>
      <c r="Y7" s="2"/>
      <c r="Z7" s="2"/>
    </row>
    <row r="8" spans="1:26">
      <c r="A8" s="6">
        <v>4</v>
      </c>
      <c r="B8" s="7" t="s">
        <v>645</v>
      </c>
      <c r="C8" s="7" t="s">
        <v>14</v>
      </c>
      <c r="D8" s="7" t="s">
        <v>646</v>
      </c>
      <c r="E8" s="7" t="s">
        <v>391</v>
      </c>
      <c r="F8" s="13" t="s">
        <v>14</v>
      </c>
      <c r="G8" s="15" t="s">
        <v>14</v>
      </c>
      <c r="H8" s="13" t="s">
        <v>14</v>
      </c>
      <c r="I8" s="18" t="s">
        <v>14</v>
      </c>
      <c r="J8" s="9" t="s">
        <v>14</v>
      </c>
      <c r="K8" s="18" t="s">
        <v>22</v>
      </c>
      <c r="L8" s="18" t="s">
        <v>22</v>
      </c>
      <c r="M8" s="18" t="s">
        <v>22</v>
      </c>
      <c r="N8" s="19" t="str">
        <f>IF(COUNT(K8:M8)=0,"",AVERAGE(K8:M8))</f>
        <v/>
      </c>
      <c r="O8" s="18" t="s">
        <v>22</v>
      </c>
      <c r="P8" s="7" t="s">
        <v>647</v>
      </c>
      <c r="Q8" s="7" t="s">
        <v>648</v>
      </c>
      <c r="R8" s="7" t="s">
        <v>649</v>
      </c>
      <c r="S8" s="7" t="s">
        <v>650</v>
      </c>
      <c r="T8" s="7" t="s">
        <v>651</v>
      </c>
      <c r="U8" s="7" t="s">
        <v>334</v>
      </c>
      <c r="V8" s="7" t="s">
        <v>22</v>
      </c>
      <c r="W8" s="2"/>
      <c r="X8" s="2"/>
      <c r="Y8" s="2"/>
      <c r="Z8" s="2"/>
    </row>
    <row r="9" spans="1:26">
      <c r="A9" s="6">
        <v>5</v>
      </c>
      <c r="B9" s="7" t="s">
        <v>14</v>
      </c>
      <c r="C9" s="7" t="s">
        <v>14</v>
      </c>
      <c r="D9" s="7" t="s">
        <v>652</v>
      </c>
      <c r="E9" s="7" t="s">
        <v>22</v>
      </c>
      <c r="F9" s="13" t="s">
        <v>22</v>
      </c>
      <c r="G9" s="15" t="s">
        <v>22</v>
      </c>
      <c r="H9" s="13" t="s">
        <v>22</v>
      </c>
      <c r="I9" s="18" t="s">
        <v>22</v>
      </c>
      <c r="J9" s="9" t="s">
        <v>22</v>
      </c>
      <c r="K9" s="18" t="s">
        <v>22</v>
      </c>
      <c r="L9" s="18" t="s">
        <v>22</v>
      </c>
      <c r="M9" s="18" t="s">
        <v>22</v>
      </c>
      <c r="N9" s="19" t="str">
        <f>IF(COUNT(K9:M9)=0,"",AVERAGE(K9:M9))</f>
        <v/>
      </c>
      <c r="O9" s="18" t="s">
        <v>22</v>
      </c>
      <c r="P9" s="7" t="s">
        <v>22</v>
      </c>
      <c r="Q9" s="7" t="s">
        <v>22</v>
      </c>
      <c r="R9" s="7" t="s">
        <v>22</v>
      </c>
      <c r="S9" s="7" t="s">
        <v>22</v>
      </c>
      <c r="T9" s="7" t="s">
        <v>22</v>
      </c>
      <c r="U9" s="7" t="s">
        <v>22</v>
      </c>
      <c r="V9" s="7" t="s">
        <v>22</v>
      </c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" spans="1:26">
      <c r="A12" s="10" t="s">
        <v>653</v>
      </c>
      <c r="B12" s="11" t="s">
        <v>22</v>
      </c>
      <c r="C12" s="11" t="s">
        <v>22</v>
      </c>
      <c r="D12" s="11" t="s">
        <v>22</v>
      </c>
      <c r="E12" s="11" t="s">
        <v>22</v>
      </c>
      <c r="F12" s="12" t="s">
        <v>22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5" t="s">
        <v>654</v>
      </c>
      <c r="B13" s="5" t="s">
        <v>655</v>
      </c>
      <c r="C13" s="5" t="s">
        <v>656</v>
      </c>
      <c r="D13" s="5" t="s">
        <v>657</v>
      </c>
      <c r="E13" s="5" t="s">
        <v>658</v>
      </c>
      <c r="F13" s="5" t="s">
        <v>324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7.5" spans="1:26">
      <c r="A14" s="6" t="s">
        <v>659</v>
      </c>
      <c r="B14" s="6" t="s">
        <v>660</v>
      </c>
      <c r="C14" s="6" t="s">
        <v>661</v>
      </c>
      <c r="D14" s="6" t="s">
        <v>662</v>
      </c>
      <c r="E14" s="6" t="s">
        <v>663</v>
      </c>
      <c r="F14" s="6" t="s">
        <v>22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6.75" spans="1:26">
      <c r="A15" s="6" t="s">
        <v>419</v>
      </c>
      <c r="B15" s="6" t="s">
        <v>664</v>
      </c>
      <c r="C15" s="6" t="s">
        <v>665</v>
      </c>
      <c r="D15" s="6" t="s">
        <v>666</v>
      </c>
      <c r="E15" s="6" t="s">
        <v>667</v>
      </c>
      <c r="F15" s="6" t="s">
        <v>22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6.75" spans="1:26">
      <c r="A16" s="6" t="s">
        <v>668</v>
      </c>
      <c r="B16" s="6" t="s">
        <v>669</v>
      </c>
      <c r="C16" s="6" t="s">
        <v>670</v>
      </c>
      <c r="D16" s="6" t="s">
        <v>671</v>
      </c>
      <c r="E16" s="6" t="s">
        <v>672</v>
      </c>
      <c r="F16" s="6" t="s">
        <v>22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75" spans="1:26">
      <c r="A17" s="6" t="s">
        <v>673</v>
      </c>
      <c r="B17" s="6" t="s">
        <v>674</v>
      </c>
      <c r="C17" s="6" t="s">
        <v>675</v>
      </c>
      <c r="D17" s="6" t="s">
        <v>676</v>
      </c>
      <c r="E17" s="6" t="s">
        <v>677</v>
      </c>
      <c r="F17" s="6" t="s">
        <v>22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75" spans="1:26">
      <c r="A18" s="6" t="s">
        <v>678</v>
      </c>
      <c r="B18" s="6" t="s">
        <v>679</v>
      </c>
      <c r="C18" s="6" t="s">
        <v>680</v>
      </c>
      <c r="D18" s="6" t="s">
        <v>681</v>
      </c>
      <c r="E18" s="6" t="s">
        <v>682</v>
      </c>
      <c r="F18" s="6" t="s">
        <v>22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20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4.25"/>
  <cols>
    <col min="1" max="1" width="20" customWidth="1"/>
    <col min="2" max="2" width="12" customWidth="1"/>
    <col min="3" max="4" width="10" customWidth="1"/>
    <col min="5" max="5" width="12" customWidth="1"/>
    <col min="6" max="6" width="10" customWidth="1"/>
    <col min="7" max="8" width="12" customWidth="1"/>
    <col min="9" max="10" width="10" customWidth="1"/>
    <col min="11" max="15" width="12" customWidth="1"/>
    <col min="16" max="16" width="14" customWidth="1"/>
    <col min="17" max="18" width="12" customWidth="1"/>
    <col min="19" max="20" width="16" customWidth="1"/>
    <col min="21" max="21" width="18" customWidth="1"/>
  </cols>
  <sheetData>
    <row r="1" ht="20.25" spans="1:26">
      <c r="A1" s="1" t="s">
        <v>683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684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5" t="s">
        <v>309</v>
      </c>
      <c r="B4" s="5" t="s">
        <v>311</v>
      </c>
      <c r="C4" s="5" t="s">
        <v>685</v>
      </c>
      <c r="D4" s="5" t="s">
        <v>686</v>
      </c>
      <c r="E4" s="5" t="s">
        <v>687</v>
      </c>
      <c r="F4" s="5" t="s">
        <v>688</v>
      </c>
      <c r="G4" s="5" t="s">
        <v>689</v>
      </c>
      <c r="H4" s="5" t="s">
        <v>690</v>
      </c>
      <c r="I4" s="5" t="s">
        <v>691</v>
      </c>
      <c r="J4" s="5" t="s">
        <v>692</v>
      </c>
      <c r="K4" s="5" t="s">
        <v>693</v>
      </c>
      <c r="L4" s="5" t="s">
        <v>694</v>
      </c>
      <c r="M4" s="5" t="s">
        <v>695</v>
      </c>
      <c r="N4" s="5" t="s">
        <v>696</v>
      </c>
      <c r="O4" s="5" t="s">
        <v>697</v>
      </c>
      <c r="P4" s="5" t="s">
        <v>698</v>
      </c>
      <c r="Q4" s="5" t="s">
        <v>699</v>
      </c>
      <c r="R4" s="5" t="s">
        <v>700</v>
      </c>
      <c r="S4" s="5" t="s">
        <v>701</v>
      </c>
      <c r="T4" s="5" t="s">
        <v>702</v>
      </c>
      <c r="U4" s="5" t="s">
        <v>703</v>
      </c>
      <c r="V4" s="2"/>
      <c r="W4" s="2"/>
      <c r="X4" s="2"/>
      <c r="Y4" s="2"/>
      <c r="Z4" s="2"/>
    </row>
    <row r="5" spans="1:26">
      <c r="A5" s="7" t="s">
        <v>325</v>
      </c>
      <c r="B5" s="13">
        <v>20727</v>
      </c>
      <c r="C5" s="9">
        <v>0.3062</v>
      </c>
      <c r="D5" s="9">
        <v>0.1048</v>
      </c>
      <c r="E5" s="22">
        <v>19.99</v>
      </c>
      <c r="F5" s="9">
        <v>0.15</v>
      </c>
      <c r="G5" s="22">
        <v>3.5</v>
      </c>
      <c r="H5" s="22">
        <v>5</v>
      </c>
      <c r="I5" s="22">
        <v>0.56</v>
      </c>
      <c r="J5" s="9">
        <v>0.28</v>
      </c>
      <c r="K5" s="23">
        <f>J5*E5*D5</f>
        <v>0.58658656</v>
      </c>
      <c r="L5" s="23">
        <f>IF(D5=0,"n.a.",I5/D5)</f>
        <v>5.34351145038168</v>
      </c>
      <c r="M5" s="19">
        <f>IF(D5=0,"n.a.",1/D5)</f>
        <v>9.54198473282443</v>
      </c>
      <c r="N5" s="22">
        <v>10</v>
      </c>
      <c r="O5" s="19">
        <f>IF(L5="n.a.","n.a.",N5/L5)</f>
        <v>1.87142857142857</v>
      </c>
      <c r="P5" s="9">
        <v>0.4</v>
      </c>
      <c r="Q5" s="19">
        <f>IF(P5&gt;=1,"n.a.",O5/(1-P5))</f>
        <v>3.11904761904762</v>
      </c>
      <c r="R5" s="19">
        <f>IF(Q5="n.a.","n.a.",Q5-O5)</f>
        <v>1.24761904761905</v>
      </c>
      <c r="S5" s="23">
        <f>1000*C5*D5*(E5*F5+G5)</f>
        <v>208.53530536</v>
      </c>
      <c r="T5" s="23">
        <f>1000*C5*D5*H5</f>
        <v>160.4488</v>
      </c>
      <c r="U5" s="6" t="str">
        <f>IF(I5&lt;=K5,"可投","高于目标CPC")</f>
        <v>可投</v>
      </c>
      <c r="V5" s="2"/>
      <c r="W5" s="2"/>
      <c r="X5" s="2"/>
      <c r="Y5" s="2"/>
      <c r="Z5" s="2"/>
    </row>
    <row r="6" spans="1:26">
      <c r="A6" s="7" t="s">
        <v>335</v>
      </c>
      <c r="B6" s="13">
        <v>12015</v>
      </c>
      <c r="C6" s="9">
        <v>0.4019</v>
      </c>
      <c r="D6" s="9">
        <v>0.0915</v>
      </c>
      <c r="E6" s="22">
        <v>29.99</v>
      </c>
      <c r="F6" s="9">
        <v>0.15</v>
      </c>
      <c r="G6" s="22">
        <v>4.2</v>
      </c>
      <c r="H6" s="22">
        <v>8</v>
      </c>
      <c r="I6" s="22">
        <v>0.79</v>
      </c>
      <c r="J6" s="9">
        <v>0.28</v>
      </c>
      <c r="K6" s="23">
        <f>J6*E6*D6</f>
        <v>0.7683438</v>
      </c>
      <c r="L6" s="23">
        <f>IF(D6=0,"n.a.",I6/D6)</f>
        <v>8.63387978142076</v>
      </c>
      <c r="M6" s="19">
        <f>IF(D6=0,"n.a.",1/D6)</f>
        <v>10.9289617486339</v>
      </c>
      <c r="N6" s="22">
        <v>10</v>
      </c>
      <c r="O6" s="19">
        <f>IF(L6="n.a.","n.a.",N6/L6)</f>
        <v>1.15822784810127</v>
      </c>
      <c r="P6" s="9">
        <v>0.4</v>
      </c>
      <c r="Q6" s="19">
        <f>IF(P6&gt;=1,"n.a.",O6/(1-P6))</f>
        <v>1.93037974683544</v>
      </c>
      <c r="R6" s="19">
        <f>IF(Q6="n.a.","n.a.",Q6-O6)</f>
        <v>0.772151898734177</v>
      </c>
      <c r="S6" s="23">
        <f>1000*C6*D6*(E6*F6+G6)</f>
        <v>319.877334225</v>
      </c>
      <c r="T6" s="23">
        <f>1000*C6*D6*H6</f>
        <v>294.1908</v>
      </c>
      <c r="U6" s="6" t="str">
        <f>IF(I6&lt;=K6,"可投","高于目标CPC")</f>
        <v>高于目标CPC</v>
      </c>
      <c r="V6" s="2"/>
      <c r="W6" s="2"/>
      <c r="X6" s="2"/>
      <c r="Y6" s="2"/>
      <c r="Z6" s="2"/>
    </row>
    <row r="7" spans="1:26">
      <c r="A7" s="7" t="s">
        <v>14</v>
      </c>
      <c r="B7" s="13" t="s">
        <v>22</v>
      </c>
      <c r="C7" s="9" t="s">
        <v>22</v>
      </c>
      <c r="D7" s="9" t="s">
        <v>22</v>
      </c>
      <c r="E7" s="22" t="s">
        <v>22</v>
      </c>
      <c r="F7" s="9" t="s">
        <v>22</v>
      </c>
      <c r="G7" s="22" t="s">
        <v>22</v>
      </c>
      <c r="H7" s="22" t="s">
        <v>22</v>
      </c>
      <c r="I7" s="22" t="s">
        <v>22</v>
      </c>
      <c r="J7" s="9" t="s">
        <v>22</v>
      </c>
      <c r="K7" s="23" t="str">
        <f>IF(OR(J7="",E7="",D7=""),"",J7*E7*D7)</f>
        <v/>
      </c>
      <c r="L7" s="23" t="str">
        <f>IF(OR(D7=0,D7="",I7=""),"n.a.",I7/D7)</f>
        <v>n.a.</v>
      </c>
      <c r="M7" s="19" t="str">
        <f>IF(OR(D7=0,D7=""),"n.a.",1/D7)</f>
        <v>n.a.</v>
      </c>
      <c r="N7" s="22" t="s">
        <v>22</v>
      </c>
      <c r="O7" s="19" t="str">
        <f>IF(OR(L7="n.a.",N7=""),"n.a.",N7/L7)</f>
        <v>n.a.</v>
      </c>
      <c r="P7" s="9" t="s">
        <v>22</v>
      </c>
      <c r="Q7" s="19" t="str">
        <f>IF(OR(O7="",O7="n.a.",P7=""),"",IF(P7&gt;=1,"n.a.",O7/(1-P7)))</f>
        <v/>
      </c>
      <c r="R7" s="19" t="str">
        <f>IF(OR(Q7="",Q7="n.a.",O7="",O7="n.a."),"",Q7-O7)</f>
        <v/>
      </c>
      <c r="S7" s="23" t="str">
        <f>IF(OR(C7="",D7="",E7="",F7="",G7=""),"",1000*C7*D7*(E7*F7+G7))</f>
        <v/>
      </c>
      <c r="T7" s="23" t="str">
        <f>IF(OR(C7="",D7="",H7=""),"",1000*C7*D7*H7)</f>
        <v/>
      </c>
      <c r="U7" s="6" t="str">
        <f>IF(OR(I7="",K7=""),"",IF(I7&lt;=K7,"可投","高于目标CPC"))</f>
        <v/>
      </c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" spans="1:26">
      <c r="A11" s="10" t="s">
        <v>704</v>
      </c>
      <c r="B11" s="11" t="s">
        <v>22</v>
      </c>
      <c r="C11" s="11" t="s">
        <v>22</v>
      </c>
      <c r="D11" s="11" t="s">
        <v>22</v>
      </c>
      <c r="E11" s="11" t="s">
        <v>22</v>
      </c>
      <c r="F11" s="11" t="s">
        <v>22</v>
      </c>
      <c r="G11" s="11" t="s">
        <v>22</v>
      </c>
      <c r="H11" s="12" t="s">
        <v>22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" spans="1:26">
      <c r="A12" s="5" t="s">
        <v>309</v>
      </c>
      <c r="B12" s="5" t="s">
        <v>705</v>
      </c>
      <c r="C12" s="5" t="s">
        <v>706</v>
      </c>
      <c r="D12" s="5" t="s">
        <v>707</v>
      </c>
      <c r="E12" s="5" t="s">
        <v>708</v>
      </c>
      <c r="F12" s="5" t="s">
        <v>709</v>
      </c>
      <c r="G12" s="5" t="s">
        <v>710</v>
      </c>
      <c r="H12" s="5" t="s">
        <v>324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72.75" spans="1:26">
      <c r="A13" s="7" t="s">
        <v>14</v>
      </c>
      <c r="B13" s="13" t="s">
        <v>22</v>
      </c>
      <c r="C13" s="9" t="s">
        <v>22</v>
      </c>
      <c r="D13" s="24" t="e">
        <f>IF(C13=0,"n.a.",B13/C13)</f>
        <v>#VALUE!</v>
      </c>
      <c r="E13" s="13" t="s">
        <v>22</v>
      </c>
      <c r="F13" s="25" t="e">
        <f>IF(B13=0,"n.a.",E13/B13)</f>
        <v>#VALUE!</v>
      </c>
      <c r="G13" s="13" t="s">
        <v>22</v>
      </c>
      <c r="H13" s="7" t="s">
        <v>711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7" t="s">
        <v>14</v>
      </c>
      <c r="B14" s="13" t="s">
        <v>22</v>
      </c>
      <c r="C14" s="9" t="s">
        <v>22</v>
      </c>
      <c r="D14" s="24" t="e">
        <f>IF(C14=0,"n.a.",B14/C14)</f>
        <v>#VALUE!</v>
      </c>
      <c r="E14" s="13" t="s">
        <v>22</v>
      </c>
      <c r="F14" s="25" t="e">
        <f>IF(B14=0,"n.a.",E14/B14)</f>
        <v>#VALUE!</v>
      </c>
      <c r="G14" s="13" t="s">
        <v>22</v>
      </c>
      <c r="H14" s="7" t="s">
        <v>22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20"/>
  <sheetViews>
    <sheetView showGridLines="0" workbookViewId="0">
      <selection activeCell="A1" sqref="A1"/>
    </sheetView>
  </sheetViews>
  <sheetFormatPr defaultColWidth="9" defaultRowHeight="14.25"/>
  <cols>
    <col min="1" max="1" width="8" customWidth="1"/>
    <col min="2" max="2" width="18" customWidth="1"/>
    <col min="3" max="6" width="34" customWidth="1"/>
    <col min="7" max="7" width="18" customWidth="1"/>
    <col min="8" max="9" width="14" customWidth="1"/>
    <col min="10" max="10" width="30" customWidth="1"/>
  </cols>
  <sheetData>
    <row r="1" ht="20.25" spans="1:26">
      <c r="A1" s="1" t="s">
        <v>712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713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5" t="s">
        <v>307</v>
      </c>
      <c r="B4" s="5" t="s">
        <v>714</v>
      </c>
      <c r="C4" s="5" t="s">
        <v>715</v>
      </c>
      <c r="D4" s="5" t="s">
        <v>125</v>
      </c>
      <c r="E4" s="5" t="s">
        <v>462</v>
      </c>
      <c r="F4" s="5" t="s">
        <v>562</v>
      </c>
      <c r="G4" s="5" t="s">
        <v>716</v>
      </c>
      <c r="H4" s="5" t="s">
        <v>717</v>
      </c>
      <c r="I4" s="5" t="s">
        <v>718</v>
      </c>
      <c r="J4" s="5" t="s">
        <v>324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6">
        <v>1</v>
      </c>
      <c r="B5" s="6" t="s">
        <v>719</v>
      </c>
      <c r="C5" s="6" t="s">
        <v>720</v>
      </c>
      <c r="D5" s="6" t="s">
        <v>721</v>
      </c>
      <c r="E5" s="6" t="s">
        <v>722</v>
      </c>
      <c r="F5" s="6" t="s">
        <v>723</v>
      </c>
      <c r="G5" s="7" t="s">
        <v>22</v>
      </c>
      <c r="H5" s="7" t="s">
        <v>22</v>
      </c>
      <c r="I5" s="7" t="s">
        <v>724</v>
      </c>
      <c r="J5" s="7" t="s">
        <v>22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75" spans="1:26">
      <c r="A6" s="6">
        <v>2</v>
      </c>
      <c r="B6" s="6" t="s">
        <v>725</v>
      </c>
      <c r="C6" s="6" t="s">
        <v>726</v>
      </c>
      <c r="D6" s="6" t="s">
        <v>727</v>
      </c>
      <c r="E6" s="6" t="s">
        <v>728</v>
      </c>
      <c r="F6" s="6" t="s">
        <v>729</v>
      </c>
      <c r="G6" s="7" t="s">
        <v>22</v>
      </c>
      <c r="H6" s="7" t="s">
        <v>22</v>
      </c>
      <c r="I6" s="7" t="s">
        <v>724</v>
      </c>
      <c r="J6" s="7" t="s">
        <v>22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6">
        <v>3</v>
      </c>
      <c r="B7" s="6" t="s">
        <v>730</v>
      </c>
      <c r="C7" s="6" t="s">
        <v>731</v>
      </c>
      <c r="D7" s="6" t="s">
        <v>732</v>
      </c>
      <c r="E7" s="6" t="s">
        <v>733</v>
      </c>
      <c r="F7" s="6" t="s">
        <v>734</v>
      </c>
      <c r="G7" s="7" t="s">
        <v>22</v>
      </c>
      <c r="H7" s="7" t="s">
        <v>22</v>
      </c>
      <c r="I7" s="7" t="s">
        <v>724</v>
      </c>
      <c r="J7" s="7" t="s">
        <v>22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" spans="1:26">
      <c r="A8" s="6">
        <v>4</v>
      </c>
      <c r="B8" s="6" t="s">
        <v>735</v>
      </c>
      <c r="C8" s="6" t="s">
        <v>736</v>
      </c>
      <c r="D8" s="6" t="s">
        <v>737</v>
      </c>
      <c r="E8" s="6" t="s">
        <v>738</v>
      </c>
      <c r="F8" s="6" t="s">
        <v>739</v>
      </c>
      <c r="G8" s="7" t="s">
        <v>22</v>
      </c>
      <c r="H8" s="7" t="s">
        <v>22</v>
      </c>
      <c r="I8" s="7" t="s">
        <v>724</v>
      </c>
      <c r="J8" s="7" t="s">
        <v>22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75" spans="1:26">
      <c r="A9" s="6">
        <v>5</v>
      </c>
      <c r="B9" s="6" t="s">
        <v>617</v>
      </c>
      <c r="C9" s="6" t="s">
        <v>740</v>
      </c>
      <c r="D9" s="6" t="s">
        <v>741</v>
      </c>
      <c r="E9" s="6" t="s">
        <v>742</v>
      </c>
      <c r="F9" s="6" t="s">
        <v>743</v>
      </c>
      <c r="G9" s="7" t="s">
        <v>22</v>
      </c>
      <c r="H9" s="7" t="s">
        <v>22</v>
      </c>
      <c r="I9" s="7" t="s">
        <v>724</v>
      </c>
      <c r="J9" s="7" t="s">
        <v>22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6">
        <v>6</v>
      </c>
      <c r="B10" s="6" t="s">
        <v>744</v>
      </c>
      <c r="C10" s="6" t="s">
        <v>745</v>
      </c>
      <c r="D10" s="6" t="s">
        <v>746</v>
      </c>
      <c r="E10" s="6" t="s">
        <v>747</v>
      </c>
      <c r="F10" s="6" t="s">
        <v>748</v>
      </c>
      <c r="G10" s="7" t="s">
        <v>22</v>
      </c>
      <c r="H10" s="7" t="s">
        <v>22</v>
      </c>
      <c r="I10" s="7" t="s">
        <v>724</v>
      </c>
      <c r="J10" s="7" t="s">
        <v>22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75" spans="1:26">
      <c r="A11" s="6">
        <v>7</v>
      </c>
      <c r="B11" s="6" t="s">
        <v>749</v>
      </c>
      <c r="C11" s="6" t="s">
        <v>750</v>
      </c>
      <c r="D11" s="6" t="s">
        <v>751</v>
      </c>
      <c r="E11" s="6" t="s">
        <v>752</v>
      </c>
      <c r="F11" s="6" t="s">
        <v>753</v>
      </c>
      <c r="G11" s="7" t="s">
        <v>22</v>
      </c>
      <c r="H11" s="7" t="s">
        <v>22</v>
      </c>
      <c r="I11" s="7" t="s">
        <v>724</v>
      </c>
      <c r="J11" s="7" t="s">
        <v>22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6">
        <v>8</v>
      </c>
      <c r="B12" s="6" t="s">
        <v>754</v>
      </c>
      <c r="C12" s="6" t="s">
        <v>755</v>
      </c>
      <c r="D12" s="6" t="s">
        <v>756</v>
      </c>
      <c r="E12" s="6" t="s">
        <v>757</v>
      </c>
      <c r="F12" s="6" t="s">
        <v>758</v>
      </c>
      <c r="G12" s="7" t="s">
        <v>22</v>
      </c>
      <c r="H12" s="7" t="s">
        <v>22</v>
      </c>
      <c r="I12" s="7" t="s">
        <v>724</v>
      </c>
      <c r="J12" s="7" t="s">
        <v>22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6">
        <v>9</v>
      </c>
      <c r="B13" s="6" t="s">
        <v>759</v>
      </c>
      <c r="C13" s="6" t="s">
        <v>760</v>
      </c>
      <c r="D13" s="6" t="s">
        <v>761</v>
      </c>
      <c r="E13" s="6" t="s">
        <v>762</v>
      </c>
      <c r="F13" s="6" t="s">
        <v>763</v>
      </c>
      <c r="G13" s="7" t="s">
        <v>22</v>
      </c>
      <c r="H13" s="7" t="s">
        <v>22</v>
      </c>
      <c r="I13" s="7" t="s">
        <v>724</v>
      </c>
      <c r="J13" s="7" t="s">
        <v>22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</sheetData>
  <dataValidations count="1">
    <dataValidation type="list" sqref="I5:I13">
      <formula1>"待补,已确认,需复核,红线"</formula1>
    </dataValidation>
  </dataValidation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20"/>
  <sheetViews>
    <sheetView showGridLines="0" workbookViewId="0">
      <selection activeCell="A1" sqref="A1"/>
    </sheetView>
  </sheetViews>
  <sheetFormatPr defaultColWidth="9" defaultRowHeight="14.25"/>
  <cols>
    <col min="1" max="1" width="8" customWidth="1"/>
    <col min="2" max="2" width="18" customWidth="1"/>
    <col min="3" max="3" width="30" customWidth="1"/>
    <col min="4" max="6" width="34" customWidth="1"/>
    <col min="7" max="7" width="30" customWidth="1"/>
    <col min="8" max="8" width="26" customWidth="1"/>
    <col min="9" max="10" width="18" customWidth="1"/>
  </cols>
  <sheetData>
    <row r="1" ht="20.25" spans="1:26">
      <c r="A1" s="1" t="s">
        <v>764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765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5" t="s">
        <v>307</v>
      </c>
      <c r="B4" s="5" t="s">
        <v>766</v>
      </c>
      <c r="C4" s="5" t="s">
        <v>123</v>
      </c>
      <c r="D4" s="5" t="s">
        <v>767</v>
      </c>
      <c r="E4" s="5" t="s">
        <v>462</v>
      </c>
      <c r="F4" s="5" t="s">
        <v>768</v>
      </c>
      <c r="G4" s="5" t="s">
        <v>769</v>
      </c>
      <c r="H4" s="5" t="s">
        <v>595</v>
      </c>
      <c r="I4" s="5" t="s">
        <v>770</v>
      </c>
      <c r="J4" s="5" t="s">
        <v>718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75" spans="1:26">
      <c r="A5" s="6">
        <v>1</v>
      </c>
      <c r="B5" s="6" t="s">
        <v>771</v>
      </c>
      <c r="C5" s="6" t="s">
        <v>772</v>
      </c>
      <c r="D5" s="6" t="s">
        <v>773</v>
      </c>
      <c r="E5" s="6" t="s">
        <v>774</v>
      </c>
      <c r="F5" s="6" t="s">
        <v>775</v>
      </c>
      <c r="G5" s="6" t="s">
        <v>776</v>
      </c>
      <c r="H5" s="6" t="s">
        <v>777</v>
      </c>
      <c r="I5" s="7" t="s">
        <v>22</v>
      </c>
      <c r="J5" s="7" t="s">
        <v>22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6">
        <v>2</v>
      </c>
      <c r="B6" s="6" t="s">
        <v>778</v>
      </c>
      <c r="C6" s="6" t="s">
        <v>779</v>
      </c>
      <c r="D6" s="6" t="s">
        <v>780</v>
      </c>
      <c r="E6" s="6" t="s">
        <v>781</v>
      </c>
      <c r="F6" s="6" t="s">
        <v>782</v>
      </c>
      <c r="G6" s="6" t="s">
        <v>783</v>
      </c>
      <c r="H6" s="6" t="s">
        <v>784</v>
      </c>
      <c r="I6" s="7" t="s">
        <v>22</v>
      </c>
      <c r="J6" s="7" t="s">
        <v>22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6">
        <v>3</v>
      </c>
      <c r="B7" s="6" t="s">
        <v>785</v>
      </c>
      <c r="C7" s="6" t="s">
        <v>786</v>
      </c>
      <c r="D7" s="6" t="s">
        <v>787</v>
      </c>
      <c r="E7" s="6" t="s">
        <v>788</v>
      </c>
      <c r="F7" s="6" t="s">
        <v>789</v>
      </c>
      <c r="G7" s="6" t="s">
        <v>790</v>
      </c>
      <c r="H7" s="6" t="s">
        <v>791</v>
      </c>
      <c r="I7" s="7" t="s">
        <v>22</v>
      </c>
      <c r="J7" s="7" t="s">
        <v>22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75" spans="1:26">
      <c r="A8" s="6">
        <v>4</v>
      </c>
      <c r="B8" s="6" t="s">
        <v>792</v>
      </c>
      <c r="C8" s="6" t="s">
        <v>793</v>
      </c>
      <c r="D8" s="6" t="s">
        <v>794</v>
      </c>
      <c r="E8" s="6" t="s">
        <v>795</v>
      </c>
      <c r="F8" s="6" t="s">
        <v>796</v>
      </c>
      <c r="G8" s="6" t="s">
        <v>797</v>
      </c>
      <c r="H8" s="6" t="s">
        <v>798</v>
      </c>
      <c r="I8" s="7" t="s">
        <v>22</v>
      </c>
      <c r="J8" s="7" t="s">
        <v>22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6">
        <v>5</v>
      </c>
      <c r="B9" s="6" t="s">
        <v>799</v>
      </c>
      <c r="C9" s="6" t="s">
        <v>800</v>
      </c>
      <c r="D9" s="6" t="s">
        <v>801</v>
      </c>
      <c r="E9" s="6" t="s">
        <v>802</v>
      </c>
      <c r="F9" s="6" t="s">
        <v>803</v>
      </c>
      <c r="G9" s="6" t="s">
        <v>804</v>
      </c>
      <c r="H9" s="6" t="s">
        <v>805</v>
      </c>
      <c r="I9" s="7" t="s">
        <v>22</v>
      </c>
      <c r="J9" s="7" t="s">
        <v>22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" spans="1:26">
      <c r="A13" s="10" t="s">
        <v>806</v>
      </c>
      <c r="B13" s="11" t="s">
        <v>22</v>
      </c>
      <c r="C13" s="11" t="s">
        <v>22</v>
      </c>
      <c r="D13" s="11" t="s">
        <v>22</v>
      </c>
      <c r="E13" s="11" t="s">
        <v>22</v>
      </c>
      <c r="F13" s="11" t="s">
        <v>22</v>
      </c>
      <c r="G13" s="11" t="s">
        <v>22</v>
      </c>
      <c r="H13" s="11" t="s">
        <v>22</v>
      </c>
      <c r="I13" s="11" t="s">
        <v>22</v>
      </c>
      <c r="J13" s="12" t="s">
        <v>22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5" t="s">
        <v>807</v>
      </c>
      <c r="B14" s="5" t="s">
        <v>808</v>
      </c>
      <c r="C14" s="5" t="s">
        <v>809</v>
      </c>
      <c r="D14" s="5" t="s">
        <v>810</v>
      </c>
      <c r="E14" s="5" t="s">
        <v>811</v>
      </c>
      <c r="F14" s="5" t="s">
        <v>812</v>
      </c>
      <c r="G14" s="5" t="s">
        <v>813</v>
      </c>
      <c r="H14" s="5" t="s">
        <v>814</v>
      </c>
      <c r="I14" s="5" t="s">
        <v>815</v>
      </c>
      <c r="J14" s="5" t="s">
        <v>816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6" t="s">
        <v>817</v>
      </c>
      <c r="B15" s="7" t="s">
        <v>818</v>
      </c>
      <c r="C15" s="7" t="s">
        <v>22</v>
      </c>
      <c r="D15" s="6" t="s">
        <v>819</v>
      </c>
      <c r="E15" s="7" t="s">
        <v>22</v>
      </c>
      <c r="F15" s="7" t="s">
        <v>22</v>
      </c>
      <c r="G15" s="7" t="s">
        <v>820</v>
      </c>
      <c r="H15" s="7" t="s">
        <v>821</v>
      </c>
      <c r="I15" s="7" t="s">
        <v>822</v>
      </c>
      <c r="J15" s="7" t="s">
        <v>823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75" spans="1:26">
      <c r="A16" s="6" t="s">
        <v>824</v>
      </c>
      <c r="B16" s="7" t="s">
        <v>818</v>
      </c>
      <c r="C16" s="7" t="s">
        <v>22</v>
      </c>
      <c r="D16" s="6" t="s">
        <v>825</v>
      </c>
      <c r="E16" s="7" t="s">
        <v>22</v>
      </c>
      <c r="F16" s="7" t="s">
        <v>22</v>
      </c>
      <c r="G16" s="7" t="s">
        <v>826</v>
      </c>
      <c r="H16" s="7" t="s">
        <v>827</v>
      </c>
      <c r="I16" s="7" t="s">
        <v>828</v>
      </c>
      <c r="J16" s="7" t="s">
        <v>823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" spans="1:26">
      <c r="A17" s="6" t="s">
        <v>829</v>
      </c>
      <c r="B17" s="7" t="s">
        <v>830</v>
      </c>
      <c r="C17" s="7" t="s">
        <v>22</v>
      </c>
      <c r="D17" s="6" t="s">
        <v>785</v>
      </c>
      <c r="E17" s="7" t="s">
        <v>22</v>
      </c>
      <c r="F17" s="7" t="s">
        <v>22</v>
      </c>
      <c r="G17" s="7" t="s">
        <v>831</v>
      </c>
      <c r="H17" s="7" t="s">
        <v>832</v>
      </c>
      <c r="I17" s="7" t="s">
        <v>833</v>
      </c>
      <c r="J17" s="7" t="s">
        <v>823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6" t="s">
        <v>834</v>
      </c>
      <c r="B18" s="7" t="s">
        <v>835</v>
      </c>
      <c r="C18" s="7" t="s">
        <v>22</v>
      </c>
      <c r="D18" s="6" t="s">
        <v>792</v>
      </c>
      <c r="E18" s="7" t="s">
        <v>22</v>
      </c>
      <c r="F18" s="7" t="s">
        <v>22</v>
      </c>
      <c r="G18" s="7" t="s">
        <v>836</v>
      </c>
      <c r="H18" s="7" t="s">
        <v>837</v>
      </c>
      <c r="I18" s="7" t="s">
        <v>838</v>
      </c>
      <c r="J18" s="7" t="s">
        <v>823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20"/>
  <sheetViews>
    <sheetView showGridLines="0" workbookViewId="0">
      <selection activeCell="H24" sqref="H24"/>
    </sheetView>
  </sheetViews>
  <sheetFormatPr defaultColWidth="9" defaultRowHeight="14.25"/>
  <cols>
    <col min="1" max="1" width="8" customWidth="1"/>
    <col min="2" max="2" width="24" customWidth="1"/>
    <col min="3" max="3" width="36" customWidth="1"/>
    <col min="4" max="5" width="12" customWidth="1"/>
    <col min="6" max="6" width="14" customWidth="1"/>
    <col min="7" max="7" width="38" customWidth="1"/>
    <col min="8" max="8" width="34" customWidth="1"/>
    <col min="9" max="9" width="24" customWidth="1"/>
  </cols>
  <sheetData>
    <row r="1" ht="20.25" spans="1:26">
      <c r="A1" s="1" t="s">
        <v>839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840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5" t="s">
        <v>307</v>
      </c>
      <c r="B4" s="5" t="s">
        <v>841</v>
      </c>
      <c r="C4" s="5" t="s">
        <v>842</v>
      </c>
      <c r="D4" s="5" t="s">
        <v>31</v>
      </c>
      <c r="E4" s="5" t="s">
        <v>563</v>
      </c>
      <c r="F4" s="5" t="s">
        <v>843</v>
      </c>
      <c r="G4" s="5" t="s">
        <v>769</v>
      </c>
      <c r="H4" s="5" t="s">
        <v>462</v>
      </c>
      <c r="I4" s="5" t="s">
        <v>324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6">
        <v>1</v>
      </c>
      <c r="B5" s="6" t="s">
        <v>844</v>
      </c>
      <c r="C5" s="6" t="s">
        <v>845</v>
      </c>
      <c r="D5" s="17">
        <v>8</v>
      </c>
      <c r="E5" s="18" t="s">
        <v>22</v>
      </c>
      <c r="F5" s="19" t="str">
        <f t="shared" ref="F5:F16" si="0">IF(E5="","",D5*E5/5)</f>
        <v/>
      </c>
      <c r="G5" s="6" t="s">
        <v>846</v>
      </c>
      <c r="H5" s="6" t="s">
        <v>847</v>
      </c>
      <c r="I5" s="7" t="s">
        <v>22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6">
        <v>2</v>
      </c>
      <c r="B6" s="6" t="s">
        <v>848</v>
      </c>
      <c r="C6" s="6" t="s">
        <v>849</v>
      </c>
      <c r="D6" s="17">
        <v>8</v>
      </c>
      <c r="E6" s="18" t="s">
        <v>22</v>
      </c>
      <c r="F6" s="19" t="str">
        <f t="shared" si="0"/>
        <v/>
      </c>
      <c r="G6" s="6" t="s">
        <v>850</v>
      </c>
      <c r="H6" s="6" t="s">
        <v>851</v>
      </c>
      <c r="I6" s="7" t="s">
        <v>22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6">
        <v>3</v>
      </c>
      <c r="B7" s="6" t="s">
        <v>852</v>
      </c>
      <c r="C7" s="6" t="s">
        <v>853</v>
      </c>
      <c r="D7" s="17">
        <v>10</v>
      </c>
      <c r="E7" s="18" t="s">
        <v>22</v>
      </c>
      <c r="F7" s="19" t="str">
        <f t="shared" si="0"/>
        <v/>
      </c>
      <c r="G7" s="6" t="s">
        <v>854</v>
      </c>
      <c r="H7" s="6" t="s">
        <v>855</v>
      </c>
      <c r="I7" s="7" t="s">
        <v>22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6">
        <v>4</v>
      </c>
      <c r="B8" s="6" t="s">
        <v>856</v>
      </c>
      <c r="C8" s="6" t="s">
        <v>857</v>
      </c>
      <c r="D8" s="17">
        <v>6</v>
      </c>
      <c r="E8" s="18" t="s">
        <v>22</v>
      </c>
      <c r="F8" s="19" t="str">
        <f t="shared" si="0"/>
        <v/>
      </c>
      <c r="G8" s="6" t="s">
        <v>858</v>
      </c>
      <c r="H8" s="6" t="s">
        <v>859</v>
      </c>
      <c r="I8" s="7" t="s">
        <v>22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6">
        <v>5</v>
      </c>
      <c r="B9" s="6" t="s">
        <v>860</v>
      </c>
      <c r="C9" s="6" t="s">
        <v>861</v>
      </c>
      <c r="D9" s="17">
        <v>10</v>
      </c>
      <c r="E9" s="18" t="s">
        <v>22</v>
      </c>
      <c r="F9" s="19" t="str">
        <f t="shared" si="0"/>
        <v/>
      </c>
      <c r="G9" s="6" t="s">
        <v>862</v>
      </c>
      <c r="H9" s="6" t="s">
        <v>863</v>
      </c>
      <c r="I9" s="7" t="s">
        <v>22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6">
        <v>6</v>
      </c>
      <c r="B10" s="6" t="s">
        <v>864</v>
      </c>
      <c r="C10" s="6" t="s">
        <v>865</v>
      </c>
      <c r="D10" s="17">
        <v>6</v>
      </c>
      <c r="E10" s="18" t="s">
        <v>22</v>
      </c>
      <c r="F10" s="19" t="str">
        <f t="shared" si="0"/>
        <v/>
      </c>
      <c r="G10" s="6" t="s">
        <v>866</v>
      </c>
      <c r="H10" s="6" t="s">
        <v>867</v>
      </c>
      <c r="I10" s="7" t="s">
        <v>22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" spans="1:26">
      <c r="A11" s="6">
        <v>7</v>
      </c>
      <c r="B11" s="6" t="s">
        <v>868</v>
      </c>
      <c r="C11" s="20" t="s">
        <v>869</v>
      </c>
      <c r="D11" s="17">
        <v>8</v>
      </c>
      <c r="E11" s="18" t="s">
        <v>22</v>
      </c>
      <c r="F11" s="19" t="str">
        <f t="shared" si="0"/>
        <v/>
      </c>
      <c r="G11" s="6" t="s">
        <v>870</v>
      </c>
      <c r="H11" s="6" t="s">
        <v>871</v>
      </c>
      <c r="I11" s="7" t="s">
        <v>22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6">
        <v>8</v>
      </c>
      <c r="B12" s="6" t="s">
        <v>872</v>
      </c>
      <c r="C12" s="6" t="s">
        <v>873</v>
      </c>
      <c r="D12" s="17">
        <v>8</v>
      </c>
      <c r="E12" s="18" t="s">
        <v>22</v>
      </c>
      <c r="F12" s="19" t="str">
        <f t="shared" si="0"/>
        <v/>
      </c>
      <c r="G12" s="6" t="s">
        <v>874</v>
      </c>
      <c r="H12" s="6" t="s">
        <v>875</v>
      </c>
      <c r="I12" s="7" t="s">
        <v>22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75" spans="1:26">
      <c r="A13" s="6">
        <v>9</v>
      </c>
      <c r="B13" s="6" t="s">
        <v>876</v>
      </c>
      <c r="C13" s="6" t="s">
        <v>877</v>
      </c>
      <c r="D13" s="17">
        <v>10</v>
      </c>
      <c r="E13" s="18" t="s">
        <v>22</v>
      </c>
      <c r="F13" s="19" t="str">
        <f t="shared" si="0"/>
        <v/>
      </c>
      <c r="G13" s="6" t="s">
        <v>878</v>
      </c>
      <c r="H13" s="6" t="s">
        <v>879</v>
      </c>
      <c r="I13" s="21" t="s">
        <v>880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6">
        <v>10</v>
      </c>
      <c r="B14" s="6" t="s">
        <v>881</v>
      </c>
      <c r="C14" s="6" t="s">
        <v>882</v>
      </c>
      <c r="D14" s="17">
        <v>8</v>
      </c>
      <c r="E14" s="18" t="s">
        <v>22</v>
      </c>
      <c r="F14" s="19" t="str">
        <f t="shared" si="0"/>
        <v/>
      </c>
      <c r="G14" s="6" t="s">
        <v>883</v>
      </c>
      <c r="H14" s="6" t="s">
        <v>884</v>
      </c>
      <c r="I14" s="7" t="s">
        <v>22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6">
        <v>11</v>
      </c>
      <c r="B15" s="6" t="s">
        <v>885</v>
      </c>
      <c r="C15" s="6" t="s">
        <v>886</v>
      </c>
      <c r="D15" s="17">
        <v>10</v>
      </c>
      <c r="E15" s="18" t="s">
        <v>22</v>
      </c>
      <c r="F15" s="19" t="str">
        <f t="shared" si="0"/>
        <v/>
      </c>
      <c r="G15" s="6" t="s">
        <v>887</v>
      </c>
      <c r="H15" s="6" t="s">
        <v>888</v>
      </c>
      <c r="I15" s="7" t="s">
        <v>22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6">
        <v>12</v>
      </c>
      <c r="B16" s="6" t="s">
        <v>889</v>
      </c>
      <c r="C16" s="6" t="s">
        <v>890</v>
      </c>
      <c r="D16" s="17">
        <v>8</v>
      </c>
      <c r="E16" s="18" t="s">
        <v>22</v>
      </c>
      <c r="F16" s="19" t="str">
        <f t="shared" si="0"/>
        <v/>
      </c>
      <c r="G16" s="6" t="s">
        <v>891</v>
      </c>
      <c r="H16" s="6" t="s">
        <v>892</v>
      </c>
      <c r="I16" s="7" t="s">
        <v>22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" spans="1:26">
      <c r="A19" s="10" t="s">
        <v>893</v>
      </c>
      <c r="B19" s="11" t="s">
        <v>22</v>
      </c>
      <c r="C19" s="11" t="s">
        <v>22</v>
      </c>
      <c r="D19" s="11" t="s">
        <v>22</v>
      </c>
      <c r="E19" s="12" t="s">
        <v>22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16" t="s">
        <v>23</v>
      </c>
      <c r="B20" s="16" t="s">
        <v>24</v>
      </c>
      <c r="C20" s="16" t="s">
        <v>23</v>
      </c>
      <c r="D20" s="16" t="s">
        <v>24</v>
      </c>
      <c r="E20" s="16" t="s">
        <v>324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5.5" spans="1:26">
      <c r="A21" s="6" t="s">
        <v>894</v>
      </c>
      <c r="B21" s="19">
        <f>SUM(F5:F16)</f>
        <v>0</v>
      </c>
      <c r="C21" s="6" t="s">
        <v>555</v>
      </c>
      <c r="D21" s="6" t="str">
        <f>IF(B20&gt;=80,"可进入上架准备",IF(B20&gt;=60,"先补Listing证据","暂缓上架"))</f>
        <v>可进入上架准备</v>
      </c>
      <c r="E21" s="6" t="s">
        <v>324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20"/>
  <sheetViews>
    <sheetView showGridLines="0" workbookViewId="0">
      <pane ySplit="4" topLeftCell="A23" activePane="bottomLeft" state="frozen"/>
      <selection/>
      <selection pane="bottomLeft" activeCell="A1" sqref="A1"/>
    </sheetView>
  </sheetViews>
  <sheetFormatPr defaultColWidth="9" defaultRowHeight="14.25"/>
  <cols>
    <col min="1" max="1" width="24" customWidth="1"/>
    <col min="2" max="2" width="12" customWidth="1"/>
    <col min="3" max="3" width="16" customWidth="1"/>
    <col min="4" max="4" width="44" customWidth="1"/>
    <col min="5" max="9" width="14" customWidth="1"/>
  </cols>
  <sheetData>
    <row r="1" ht="20.25" spans="1:26">
      <c r="A1" s="1" t="s">
        <v>895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896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5" t="s">
        <v>897</v>
      </c>
      <c r="B4" s="5" t="s">
        <v>898</v>
      </c>
      <c r="C4" s="5" t="s">
        <v>899</v>
      </c>
      <c r="D4" s="5" t="s">
        <v>900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6" t="s">
        <v>687</v>
      </c>
      <c r="B5" s="6" t="s">
        <v>901</v>
      </c>
      <c r="C5" s="8">
        <v>19.99</v>
      </c>
      <c r="D5" s="6" t="s">
        <v>902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6" t="s">
        <v>903</v>
      </c>
      <c r="B6" s="6" t="s">
        <v>904</v>
      </c>
      <c r="C6" s="9">
        <v>0.05</v>
      </c>
      <c r="D6" s="6" t="s">
        <v>905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6" t="s">
        <v>906</v>
      </c>
      <c r="B7" s="6" t="s">
        <v>901</v>
      </c>
      <c r="C7" s="8">
        <f>C5*(1-C6)</f>
        <v>18.9905</v>
      </c>
      <c r="D7" s="6" t="s">
        <v>907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6" t="s">
        <v>908</v>
      </c>
      <c r="B8" s="6" t="s">
        <v>909</v>
      </c>
      <c r="C8" s="8">
        <v>18</v>
      </c>
      <c r="D8" s="6" t="s">
        <v>910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6" t="s">
        <v>911</v>
      </c>
      <c r="B9" s="6" t="s">
        <v>912</v>
      </c>
      <c r="C9" s="8">
        <v>7.8</v>
      </c>
      <c r="D9" s="6" t="s">
        <v>913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6" t="s">
        <v>908</v>
      </c>
      <c r="B10" s="6" t="s">
        <v>901</v>
      </c>
      <c r="C10" s="8">
        <f>C8/C9</f>
        <v>2.30769230769231</v>
      </c>
      <c r="D10" s="6" t="s">
        <v>914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6" t="s">
        <v>915</v>
      </c>
      <c r="B11" s="6" t="s">
        <v>901</v>
      </c>
      <c r="C11" s="8">
        <v>1.2</v>
      </c>
      <c r="D11" s="6" t="s">
        <v>916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6" t="s">
        <v>689</v>
      </c>
      <c r="B12" s="6" t="s">
        <v>901</v>
      </c>
      <c r="C12" s="8">
        <v>3.5</v>
      </c>
      <c r="D12" s="6" t="s">
        <v>917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6" t="s">
        <v>688</v>
      </c>
      <c r="B13" s="6" t="s">
        <v>904</v>
      </c>
      <c r="C13" s="8">
        <v>0.15</v>
      </c>
      <c r="D13" s="6" t="s">
        <v>918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6" t="s">
        <v>919</v>
      </c>
      <c r="B14" s="6" t="s">
        <v>904</v>
      </c>
      <c r="C14" s="9">
        <v>0.19</v>
      </c>
      <c r="D14" s="6" t="s">
        <v>920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6" t="s">
        <v>921</v>
      </c>
      <c r="B15" s="6" t="s">
        <v>904</v>
      </c>
      <c r="C15" s="9">
        <v>0.05</v>
      </c>
      <c r="D15" s="6" t="s">
        <v>922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6" t="s">
        <v>923</v>
      </c>
      <c r="B16" s="6" t="s">
        <v>901</v>
      </c>
      <c r="C16" s="9">
        <v>0.56</v>
      </c>
      <c r="D16" s="6" t="s">
        <v>924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6" t="s">
        <v>686</v>
      </c>
      <c r="B17" s="6" t="s">
        <v>904</v>
      </c>
      <c r="C17" s="9">
        <v>0.1048</v>
      </c>
      <c r="D17" s="6" t="s">
        <v>315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6" t="s">
        <v>925</v>
      </c>
      <c r="B18" s="6" t="s">
        <v>901</v>
      </c>
      <c r="C18" s="9">
        <f>IF(C17=0,"n.a.",C16/C17)</f>
        <v>5.34351145038168</v>
      </c>
      <c r="D18" s="6" t="s">
        <v>694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6" t="s">
        <v>926</v>
      </c>
      <c r="B19" s="6" t="s">
        <v>901</v>
      </c>
      <c r="C19" s="8">
        <f>C7*C13</f>
        <v>2.848575</v>
      </c>
      <c r="D19" s="6" t="s">
        <v>927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6" t="s">
        <v>928</v>
      </c>
      <c r="B20" s="6" t="s">
        <v>901</v>
      </c>
      <c r="C20" s="8">
        <f>C7*C14/(1+C14)</f>
        <v>3.03209663865546</v>
      </c>
      <c r="D20" s="6" t="s">
        <v>929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6" t="s">
        <v>930</v>
      </c>
      <c r="B21" s="6" t="s">
        <v>901</v>
      </c>
      <c r="C21" s="8">
        <f>(C10+C11+C12)*C15</f>
        <v>0.350384615384615</v>
      </c>
      <c r="D21" s="6" t="s">
        <v>931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6" t="s">
        <v>932</v>
      </c>
      <c r="B22" s="6" t="s">
        <v>901</v>
      </c>
      <c r="C22" s="8">
        <f>C7-C10-C11-C12-C19-C20-C21</f>
        <v>5.75175143826761</v>
      </c>
      <c r="D22" s="6" t="s">
        <v>933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6" t="s">
        <v>934</v>
      </c>
      <c r="B23" s="6" t="s">
        <v>901</v>
      </c>
      <c r="C23" s="8">
        <f>IF(C18="n.a.","n.a.",C22-C18)</f>
        <v>0.408239987885934</v>
      </c>
      <c r="D23" s="6" t="s">
        <v>935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6" t="s">
        <v>936</v>
      </c>
      <c r="B24" s="6" t="s">
        <v>904</v>
      </c>
      <c r="C24" s="8">
        <f>IF(C23="n.a.","n.a.",C23/C7)</f>
        <v>0.0214970636837331</v>
      </c>
      <c r="D24" s="6" t="s">
        <v>937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6" t="s">
        <v>938</v>
      </c>
      <c r="B25" s="6" t="s">
        <v>901</v>
      </c>
      <c r="C25" s="9">
        <f>C17*C22</f>
        <v>0.602783550730446</v>
      </c>
      <c r="D25" s="6" t="s">
        <v>939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6" t="s">
        <v>692</v>
      </c>
      <c r="B26" s="6" t="s">
        <v>904</v>
      </c>
      <c r="C26" s="8">
        <v>0.28</v>
      </c>
      <c r="D26" s="6" t="s">
        <v>940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6" t="s">
        <v>693</v>
      </c>
      <c r="B27" s="6" t="s">
        <v>901</v>
      </c>
      <c r="C27" s="9">
        <f>C26*C7*C17</f>
        <v>0.557257232</v>
      </c>
      <c r="D27" s="6" t="s">
        <v>941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6" t="s">
        <v>942</v>
      </c>
      <c r="B28" s="6" t="s">
        <v>943</v>
      </c>
      <c r="C28" s="8">
        <v>500</v>
      </c>
      <c r="D28" s="6" t="s">
        <v>944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6" t="s">
        <v>945</v>
      </c>
      <c r="B29" s="6" t="s">
        <v>943</v>
      </c>
      <c r="C29" s="8">
        <v>300</v>
      </c>
      <c r="D29" s="6" t="s">
        <v>946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6" t="s">
        <v>947</v>
      </c>
      <c r="B30" s="6" t="s">
        <v>948</v>
      </c>
      <c r="C30" s="8">
        <v>60</v>
      </c>
      <c r="D30" s="6" t="s">
        <v>949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" spans="1:26">
      <c r="A34" s="10" t="s">
        <v>950</v>
      </c>
      <c r="B34" s="11" t="s">
        <v>22</v>
      </c>
      <c r="C34" s="11" t="s">
        <v>22</v>
      </c>
      <c r="D34" s="11" t="s">
        <v>22</v>
      </c>
      <c r="E34" s="11" t="s">
        <v>22</v>
      </c>
      <c r="F34" s="11" t="s">
        <v>22</v>
      </c>
      <c r="G34" s="11" t="s">
        <v>22</v>
      </c>
      <c r="H34" s="11" t="s">
        <v>22</v>
      </c>
      <c r="I34" s="12" t="s">
        <v>22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5" t="s">
        <v>951</v>
      </c>
      <c r="B35" s="5" t="s">
        <v>952</v>
      </c>
      <c r="C35" s="5" t="s">
        <v>953</v>
      </c>
      <c r="D35" s="5" t="s">
        <v>954</v>
      </c>
      <c r="E35" s="5" t="s">
        <v>955</v>
      </c>
      <c r="F35" s="5" t="s">
        <v>956</v>
      </c>
      <c r="G35" s="5" t="s">
        <v>957</v>
      </c>
      <c r="H35" s="5" t="s">
        <v>958</v>
      </c>
      <c r="I35" s="5" t="s">
        <v>959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6" t="s">
        <v>960</v>
      </c>
      <c r="B36" s="13">
        <v>60</v>
      </c>
      <c r="C36" s="14">
        <f t="shared" ref="C36:C41" si="0">B36*$C$7</f>
        <v>1139.43</v>
      </c>
      <c r="D36" s="15">
        <f>$C$28*($C$10+$C$11)</f>
        <v>1753.84615384615</v>
      </c>
      <c r="E36" s="14">
        <f t="shared" ref="E36:E41" si="1">B36*($C$12+$C$19+$C$20+$C$21)</f>
        <v>583.863375242405</v>
      </c>
      <c r="F36" s="14">
        <f t="shared" ref="F36:F41" si="2">B36*$C$18</f>
        <v>320.610687022901</v>
      </c>
      <c r="G36" s="14">
        <f t="shared" ref="G36:G41" si="3">B36*$C$23</f>
        <v>24.494399273156</v>
      </c>
      <c r="H36" s="14">
        <f t="shared" ref="H36:H41" si="4">G36-D36</f>
        <v>-1729.351754573</v>
      </c>
      <c r="I36" s="14">
        <f>H36</f>
        <v>-1729.351754573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6" t="s">
        <v>961</v>
      </c>
      <c r="B37" s="13">
        <v>100</v>
      </c>
      <c r="C37" s="14">
        <f t="shared" si="0"/>
        <v>1899.05</v>
      </c>
      <c r="D37" s="15">
        <v>0</v>
      </c>
      <c r="E37" s="14">
        <f t="shared" si="1"/>
        <v>973.105625404008</v>
      </c>
      <c r="F37" s="14">
        <f t="shared" si="2"/>
        <v>534.351145038168</v>
      </c>
      <c r="G37" s="14">
        <f t="shared" si="3"/>
        <v>40.8239987885934</v>
      </c>
      <c r="H37" s="14">
        <f t="shared" si="4"/>
        <v>40.8239987885934</v>
      </c>
      <c r="I37" s="14">
        <f>I36+H37</f>
        <v>-1688.5277557844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6" t="s">
        <v>962</v>
      </c>
      <c r="B38" s="13">
        <v>160</v>
      </c>
      <c r="C38" s="14">
        <f t="shared" si="0"/>
        <v>3038.48</v>
      </c>
      <c r="D38" s="15">
        <v>0</v>
      </c>
      <c r="E38" s="14">
        <f t="shared" si="1"/>
        <v>1556.96900064641</v>
      </c>
      <c r="F38" s="14">
        <f t="shared" si="2"/>
        <v>854.961832061069</v>
      </c>
      <c r="G38" s="14">
        <f t="shared" si="3"/>
        <v>65.3183980617494</v>
      </c>
      <c r="H38" s="14">
        <f t="shared" si="4"/>
        <v>65.3183980617494</v>
      </c>
      <c r="I38" s="14">
        <f>I37+H38</f>
        <v>-1623.20935772266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6" t="s">
        <v>963</v>
      </c>
      <c r="B39" s="13">
        <v>220</v>
      </c>
      <c r="C39" s="14">
        <f t="shared" si="0"/>
        <v>4177.91</v>
      </c>
      <c r="D39" s="15">
        <f>IF(SUM($B$36:B39)&gt;$C$28*0.75,$C$29*($C$10+$C$11),0)</f>
        <v>1052.30769230769</v>
      </c>
      <c r="E39" s="14">
        <f t="shared" si="1"/>
        <v>2140.83237588882</v>
      </c>
      <c r="F39" s="14">
        <f t="shared" si="2"/>
        <v>1175.57251908397</v>
      </c>
      <c r="G39" s="14">
        <f t="shared" si="3"/>
        <v>89.8127973349055</v>
      </c>
      <c r="H39" s="14">
        <f t="shared" si="4"/>
        <v>-962.494894972787</v>
      </c>
      <c r="I39" s="14">
        <f>I38+H39</f>
        <v>-2585.70425269544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6" t="s">
        <v>964</v>
      </c>
      <c r="B40" s="13">
        <v>260</v>
      </c>
      <c r="C40" s="14">
        <f t="shared" si="0"/>
        <v>4937.53</v>
      </c>
      <c r="D40" s="15">
        <v>0</v>
      </c>
      <c r="E40" s="14">
        <f t="shared" si="1"/>
        <v>2530.07462605042</v>
      </c>
      <c r="F40" s="14">
        <f t="shared" si="2"/>
        <v>1389.31297709924</v>
      </c>
      <c r="G40" s="14">
        <f t="shared" si="3"/>
        <v>106.142396850343</v>
      </c>
      <c r="H40" s="14">
        <f t="shared" si="4"/>
        <v>106.142396850343</v>
      </c>
      <c r="I40" s="14">
        <f>I39+H40</f>
        <v>-2479.5618558451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6" t="s">
        <v>965</v>
      </c>
      <c r="B41" s="13">
        <v>300</v>
      </c>
      <c r="C41" s="14">
        <f t="shared" si="0"/>
        <v>5697.15</v>
      </c>
      <c r="D41" s="15">
        <v>0</v>
      </c>
      <c r="E41" s="14">
        <f t="shared" si="1"/>
        <v>2919.31687621202</v>
      </c>
      <c r="F41" s="14">
        <f t="shared" si="2"/>
        <v>1603.0534351145</v>
      </c>
      <c r="G41" s="14">
        <f t="shared" si="3"/>
        <v>122.47199636578</v>
      </c>
      <c r="H41" s="14">
        <f t="shared" si="4"/>
        <v>122.47199636578</v>
      </c>
      <c r="I41" s="14">
        <f>I40+H41</f>
        <v>-2357.08985947932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" spans="1:26">
      <c r="A45" s="10" t="s">
        <v>966</v>
      </c>
      <c r="B45" s="11" t="s">
        <v>22</v>
      </c>
      <c r="C45" s="11" t="s">
        <v>22</v>
      </c>
      <c r="D45" s="11" t="s">
        <v>22</v>
      </c>
      <c r="E45" s="11" t="s">
        <v>22</v>
      </c>
      <c r="F45" s="12" t="s">
        <v>22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16" t="s">
        <v>23</v>
      </c>
      <c r="B46" s="16" t="s">
        <v>24</v>
      </c>
      <c r="C46" s="16" t="s">
        <v>23</v>
      </c>
      <c r="D46" s="16" t="s">
        <v>24</v>
      </c>
      <c r="E46" s="16" t="s">
        <v>23</v>
      </c>
      <c r="F46" s="16" t="s">
        <v>24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6" t="s">
        <v>967</v>
      </c>
      <c r="B47" s="14">
        <f>MIN(I36:I41)</f>
        <v>-2585.70425269544</v>
      </c>
      <c r="C47" s="6" t="s">
        <v>968</v>
      </c>
      <c r="D47" s="14">
        <f>I41</f>
        <v>-2357.08985947932</v>
      </c>
      <c r="E47" s="6" t="s">
        <v>555</v>
      </c>
      <c r="F47" s="6" t="str">
        <f>IF(D46&gt;0,"现金流可验证",IF(B46&lt;-2000,"缩小首批或劝退","小批量验证"))</f>
        <v>现金流可验证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20"/>
  <sheetViews>
    <sheetView showGridLines="0" tabSelected="1" workbookViewId="0">
      <selection activeCell="A1" sqref="A1"/>
    </sheetView>
  </sheetViews>
  <sheetFormatPr defaultColWidth="9" defaultRowHeight="14.25"/>
  <cols>
    <col min="1" max="1" width="8" customWidth="1"/>
    <col min="2" max="2" width="14" customWidth="1"/>
    <col min="3" max="3" width="20" customWidth="1"/>
    <col min="4" max="4" width="32" customWidth="1"/>
    <col min="5" max="5" width="28" customWidth="1"/>
    <col min="6" max="6" width="26" customWidth="1"/>
    <col min="7" max="8" width="18" customWidth="1"/>
    <col min="9" max="9" width="24" customWidth="1"/>
    <col min="10" max="10" width="28" customWidth="1"/>
    <col min="11" max="11" width="26" customWidth="1"/>
    <col min="12" max="12" width="24" customWidth="1"/>
  </cols>
  <sheetData>
    <row r="1" ht="20.25" spans="1:26">
      <c r="A1" s="1" t="s">
        <v>969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970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5" t="s">
        <v>971</v>
      </c>
      <c r="B4" s="5" t="s">
        <v>972</v>
      </c>
      <c r="C4" s="5" t="s">
        <v>973</v>
      </c>
      <c r="D4" s="5" t="s">
        <v>974</v>
      </c>
      <c r="E4" s="5" t="s">
        <v>975</v>
      </c>
      <c r="F4" s="5" t="s">
        <v>976</v>
      </c>
      <c r="G4" s="5" t="s">
        <v>977</v>
      </c>
      <c r="H4" s="5" t="s">
        <v>978</v>
      </c>
      <c r="I4" s="5" t="s">
        <v>979</v>
      </c>
      <c r="J4" s="5" t="s">
        <v>657</v>
      </c>
      <c r="K4" s="5" t="s">
        <v>770</v>
      </c>
      <c r="L4" s="5" t="s">
        <v>324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75" spans="1:26">
      <c r="A5" s="6" t="s">
        <v>980</v>
      </c>
      <c r="B5" s="6" t="s">
        <v>981</v>
      </c>
      <c r="C5" s="6" t="s">
        <v>201</v>
      </c>
      <c r="D5" s="6" t="s">
        <v>982</v>
      </c>
      <c r="E5" s="6" t="s">
        <v>983</v>
      </c>
      <c r="F5" s="6" t="s">
        <v>984</v>
      </c>
      <c r="G5" s="6" t="s">
        <v>985</v>
      </c>
      <c r="H5" s="6" t="s">
        <v>986</v>
      </c>
      <c r="I5" s="6" t="s">
        <v>987</v>
      </c>
      <c r="J5" s="6" t="s">
        <v>988</v>
      </c>
      <c r="K5" s="7" t="s">
        <v>989</v>
      </c>
      <c r="L5" s="7" t="s">
        <v>22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75" spans="1:26">
      <c r="A6" s="6" t="s">
        <v>990</v>
      </c>
      <c r="B6" s="6" t="s">
        <v>991</v>
      </c>
      <c r="C6" s="6" t="s">
        <v>241</v>
      </c>
      <c r="D6" s="6" t="s">
        <v>992</v>
      </c>
      <c r="E6" s="6" t="s">
        <v>993</v>
      </c>
      <c r="F6" s="6" t="s">
        <v>994</v>
      </c>
      <c r="G6" s="6" t="s">
        <v>995</v>
      </c>
      <c r="H6" s="6" t="s">
        <v>986</v>
      </c>
      <c r="I6" s="6" t="s">
        <v>996</v>
      </c>
      <c r="J6" s="6" t="s">
        <v>997</v>
      </c>
      <c r="K6" s="7" t="s">
        <v>998</v>
      </c>
      <c r="L6" s="7" t="s">
        <v>22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5.5" spans="1:26">
      <c r="A7" s="6" t="s">
        <v>999</v>
      </c>
      <c r="B7" s="6" t="s">
        <v>1000</v>
      </c>
      <c r="C7" s="6" t="s">
        <v>1001</v>
      </c>
      <c r="D7" s="6" t="s">
        <v>1002</v>
      </c>
      <c r="E7" s="6" t="s">
        <v>1003</v>
      </c>
      <c r="F7" s="6" t="s">
        <v>1004</v>
      </c>
      <c r="G7" s="6" t="s">
        <v>1005</v>
      </c>
      <c r="H7" s="6" t="s">
        <v>1006</v>
      </c>
      <c r="I7" s="6" t="s">
        <v>1007</v>
      </c>
      <c r="J7" s="6" t="s">
        <v>1008</v>
      </c>
      <c r="K7" s="7" t="s">
        <v>1009</v>
      </c>
      <c r="L7" s="7" t="s">
        <v>22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75" spans="1:26">
      <c r="A8" s="6" t="s">
        <v>1010</v>
      </c>
      <c r="B8" s="6" t="s">
        <v>1011</v>
      </c>
      <c r="C8" s="6" t="s">
        <v>1012</v>
      </c>
      <c r="D8" s="6" t="s">
        <v>1013</v>
      </c>
      <c r="E8" s="6" t="s">
        <v>1014</v>
      </c>
      <c r="F8" s="6" t="s">
        <v>1015</v>
      </c>
      <c r="G8" s="6" t="s">
        <v>1016</v>
      </c>
      <c r="H8" s="6" t="s">
        <v>1017</v>
      </c>
      <c r="I8" s="6" t="s">
        <v>1018</v>
      </c>
      <c r="J8" s="6" t="s">
        <v>1019</v>
      </c>
      <c r="K8" s="7" t="s">
        <v>1020</v>
      </c>
      <c r="L8" s="7" t="s">
        <v>22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75" spans="1:26">
      <c r="A9" s="6" t="s">
        <v>1021</v>
      </c>
      <c r="B9" s="6" t="s">
        <v>1022</v>
      </c>
      <c r="C9" s="6" t="s">
        <v>1023</v>
      </c>
      <c r="D9" s="6" t="s">
        <v>1024</v>
      </c>
      <c r="E9" s="6" t="s">
        <v>1025</v>
      </c>
      <c r="F9" s="6" t="s">
        <v>1026</v>
      </c>
      <c r="G9" s="6" t="s">
        <v>1027</v>
      </c>
      <c r="H9" s="6" t="s">
        <v>1028</v>
      </c>
      <c r="I9" s="6" t="s">
        <v>1029</v>
      </c>
      <c r="J9" s="6" t="s">
        <v>1030</v>
      </c>
      <c r="K9" s="7" t="s">
        <v>1031</v>
      </c>
      <c r="L9" s="7" t="s">
        <v>22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" spans="1:26">
      <c r="A10" s="6" t="s">
        <v>1032</v>
      </c>
      <c r="B10" s="6" t="s">
        <v>1033</v>
      </c>
      <c r="C10" s="6" t="s">
        <v>1034</v>
      </c>
      <c r="D10" s="6" t="s">
        <v>1035</v>
      </c>
      <c r="E10" s="6" t="s">
        <v>1036</v>
      </c>
      <c r="F10" s="6" t="s">
        <v>1037</v>
      </c>
      <c r="G10" s="6" t="s">
        <v>1038</v>
      </c>
      <c r="H10" s="6" t="s">
        <v>1039</v>
      </c>
      <c r="I10" s="6" t="s">
        <v>1040</v>
      </c>
      <c r="J10" s="6" t="s">
        <v>1041</v>
      </c>
      <c r="K10" s="7" t="s">
        <v>13</v>
      </c>
      <c r="L10" s="7" t="s">
        <v>22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75" spans="1:26">
      <c r="A11" s="6" t="s">
        <v>1042</v>
      </c>
      <c r="B11" s="6" t="s">
        <v>1043</v>
      </c>
      <c r="C11" s="6" t="s">
        <v>1044</v>
      </c>
      <c r="D11" s="6" t="s">
        <v>1045</v>
      </c>
      <c r="E11" s="6" t="s">
        <v>1046</v>
      </c>
      <c r="F11" s="6" t="s">
        <v>1047</v>
      </c>
      <c r="G11" s="6" t="s">
        <v>1048</v>
      </c>
      <c r="H11" s="6" t="s">
        <v>1049</v>
      </c>
      <c r="I11" s="6" t="s">
        <v>1050</v>
      </c>
      <c r="J11" s="6" t="s">
        <v>1051</v>
      </c>
      <c r="K11" s="7" t="s">
        <v>1009</v>
      </c>
      <c r="L11" s="7" t="s">
        <v>22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20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4.25"/>
  <cols>
    <col min="1" max="1" width="8" customWidth="1"/>
    <col min="2" max="2" width="24" customWidth="1"/>
    <col min="3" max="3" width="42" customWidth="1"/>
    <col min="4" max="4" width="44" customWidth="1"/>
    <col min="5" max="5" width="28" customWidth="1"/>
    <col min="6" max="7" width="18" customWidth="1"/>
    <col min="8" max="8" width="30" customWidth="1"/>
  </cols>
  <sheetData>
    <row r="1" ht="20.25" spans="1:26">
      <c r="A1" s="1" t="s">
        <v>1052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1053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5" t="s">
        <v>307</v>
      </c>
      <c r="B4" s="5" t="s">
        <v>128</v>
      </c>
      <c r="C4" s="5" t="s">
        <v>1054</v>
      </c>
      <c r="D4" s="5" t="s">
        <v>1055</v>
      </c>
      <c r="E4" s="5" t="s">
        <v>1056</v>
      </c>
      <c r="F4" s="5" t="s">
        <v>1057</v>
      </c>
      <c r="G4" s="5" t="s">
        <v>770</v>
      </c>
      <c r="H4" s="5" t="s">
        <v>1058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75" spans="1:26">
      <c r="A5" s="6">
        <v>1</v>
      </c>
      <c r="B5" s="6" t="s">
        <v>1059</v>
      </c>
      <c r="C5" s="6" t="s">
        <v>1060</v>
      </c>
      <c r="D5" s="6" t="s">
        <v>1061</v>
      </c>
      <c r="E5" s="6" t="s">
        <v>1062</v>
      </c>
      <c r="F5" s="6" t="s">
        <v>1063</v>
      </c>
      <c r="G5" s="7" t="s">
        <v>1009</v>
      </c>
      <c r="H5" s="6" t="s">
        <v>1064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6">
        <v>2</v>
      </c>
      <c r="B6" s="6" t="s">
        <v>1065</v>
      </c>
      <c r="C6" s="6" t="s">
        <v>1066</v>
      </c>
      <c r="D6" s="6" t="s">
        <v>1067</v>
      </c>
      <c r="E6" s="6" t="s">
        <v>1068</v>
      </c>
      <c r="F6" s="6" t="s">
        <v>1069</v>
      </c>
      <c r="G6" s="7" t="s">
        <v>998</v>
      </c>
      <c r="H6" s="6" t="s">
        <v>1070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6">
        <v>3</v>
      </c>
      <c r="B7" s="6" t="s">
        <v>1071</v>
      </c>
      <c r="C7" s="6" t="s">
        <v>1072</v>
      </c>
      <c r="D7" s="6" t="s">
        <v>1073</v>
      </c>
      <c r="E7" s="6" t="s">
        <v>1074</v>
      </c>
      <c r="F7" s="6" t="s">
        <v>1075</v>
      </c>
      <c r="G7" s="7" t="s">
        <v>1009</v>
      </c>
      <c r="H7" s="6" t="s">
        <v>1076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5.5" spans="1:26">
      <c r="A8" s="6">
        <v>4</v>
      </c>
      <c r="B8" s="6" t="s">
        <v>271</v>
      </c>
      <c r="C8" s="6" t="s">
        <v>1077</v>
      </c>
      <c r="D8" s="6" t="s">
        <v>1078</v>
      </c>
      <c r="E8" s="6" t="s">
        <v>1079</v>
      </c>
      <c r="F8" s="6" t="s">
        <v>1080</v>
      </c>
      <c r="G8" s="7" t="s">
        <v>1031</v>
      </c>
      <c r="H8" s="6" t="s">
        <v>1081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6">
        <v>5</v>
      </c>
      <c r="B9" s="6" t="s">
        <v>273</v>
      </c>
      <c r="C9" s="6" t="s">
        <v>1082</v>
      </c>
      <c r="D9" s="6" t="s">
        <v>1083</v>
      </c>
      <c r="E9" s="6" t="s">
        <v>1084</v>
      </c>
      <c r="F9" s="6" t="s">
        <v>1069</v>
      </c>
      <c r="G9" s="7" t="s">
        <v>998</v>
      </c>
      <c r="H9" s="6" t="s">
        <v>1085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6">
        <v>6</v>
      </c>
      <c r="B10" s="6" t="s">
        <v>1086</v>
      </c>
      <c r="C10" s="6" t="s">
        <v>1087</v>
      </c>
      <c r="D10" s="6" t="s">
        <v>1088</v>
      </c>
      <c r="E10" s="6" t="s">
        <v>1089</v>
      </c>
      <c r="F10" s="6" t="s">
        <v>1069</v>
      </c>
      <c r="G10" s="7" t="s">
        <v>1009</v>
      </c>
      <c r="H10" s="6" t="s">
        <v>1090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6">
        <v>7</v>
      </c>
      <c r="B11" s="6" t="s">
        <v>1091</v>
      </c>
      <c r="C11" s="6" t="s">
        <v>1092</v>
      </c>
      <c r="D11" s="6" t="s">
        <v>1093</v>
      </c>
      <c r="E11" s="6" t="s">
        <v>1094</v>
      </c>
      <c r="F11" s="6" t="s">
        <v>1080</v>
      </c>
      <c r="G11" s="7" t="s">
        <v>1009</v>
      </c>
      <c r="H11" s="6" t="s">
        <v>1095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75" spans="1:26">
      <c r="A12" s="6">
        <v>8</v>
      </c>
      <c r="B12" s="6" t="s">
        <v>1096</v>
      </c>
      <c r="C12" s="6" t="s">
        <v>1097</v>
      </c>
      <c r="D12" s="6" t="s">
        <v>1098</v>
      </c>
      <c r="E12" s="6" t="s">
        <v>1099</v>
      </c>
      <c r="F12" s="6" t="s">
        <v>1069</v>
      </c>
      <c r="G12" s="7" t="s">
        <v>1100</v>
      </c>
      <c r="H12" s="6" t="s">
        <v>1101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6">
        <v>9</v>
      </c>
      <c r="B13" s="6" t="s">
        <v>509</v>
      </c>
      <c r="C13" s="6" t="s">
        <v>1102</v>
      </c>
      <c r="D13" s="6" t="s">
        <v>1103</v>
      </c>
      <c r="E13" s="6" t="s">
        <v>1104</v>
      </c>
      <c r="F13" s="6" t="s">
        <v>1105</v>
      </c>
      <c r="G13" s="7" t="s">
        <v>1106</v>
      </c>
      <c r="H13" s="6" t="s">
        <v>1107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75" spans="1:26">
      <c r="A14" s="6">
        <v>10</v>
      </c>
      <c r="B14" s="6" t="s">
        <v>1108</v>
      </c>
      <c r="C14" s="6" t="s">
        <v>1109</v>
      </c>
      <c r="D14" s="6" t="s">
        <v>1110</v>
      </c>
      <c r="E14" s="6" t="s">
        <v>1111</v>
      </c>
      <c r="F14" s="6" t="s">
        <v>1112</v>
      </c>
      <c r="G14" s="7" t="s">
        <v>1113</v>
      </c>
      <c r="H14" s="6" t="s">
        <v>1114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6">
        <v>11</v>
      </c>
      <c r="B15" s="6" t="s">
        <v>1115</v>
      </c>
      <c r="C15" s="6" t="s">
        <v>1116</v>
      </c>
      <c r="D15" s="6" t="s">
        <v>1117</v>
      </c>
      <c r="E15" s="6" t="s">
        <v>1118</v>
      </c>
      <c r="F15" s="6" t="s">
        <v>1119</v>
      </c>
      <c r="G15" s="7" t="s">
        <v>998</v>
      </c>
      <c r="H15" s="6" t="s">
        <v>1120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6">
        <v>12</v>
      </c>
      <c r="B16" s="6" t="s">
        <v>297</v>
      </c>
      <c r="C16" s="6" t="s">
        <v>1121</v>
      </c>
      <c r="D16" s="6" t="s">
        <v>1122</v>
      </c>
      <c r="E16" s="6" t="s">
        <v>1123</v>
      </c>
      <c r="F16" s="6" t="s">
        <v>1069</v>
      </c>
      <c r="G16" s="7" t="s">
        <v>1124</v>
      </c>
      <c r="H16" s="6" t="s">
        <v>1125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6">
        <v>13</v>
      </c>
      <c r="B17" s="6" t="s">
        <v>1126</v>
      </c>
      <c r="C17" s="6" t="s">
        <v>1127</v>
      </c>
      <c r="D17" s="6" t="s">
        <v>1128</v>
      </c>
      <c r="E17" s="6" t="s">
        <v>1129</v>
      </c>
      <c r="F17" s="6" t="s">
        <v>1119</v>
      </c>
      <c r="G17" s="7" t="s">
        <v>770</v>
      </c>
      <c r="H17" s="6" t="s">
        <v>1130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00总控决策盘</vt:lpstr>
      <vt:lpstr>01调研项目类型清单</vt:lpstr>
      <vt:lpstr>02关键词前台搜索</vt:lpstr>
      <vt:lpstr>03图片搜索与结果减法</vt:lpstr>
      <vt:lpstr>04减法劝退清单</vt:lpstr>
      <vt:lpstr>05人货场与八流</vt:lpstr>
      <vt:lpstr>06竞品军情与流量对抗</vt:lpstr>
      <vt:lpstr>07广告流量eCPM预演</vt:lpstr>
      <vt:lpstr>08供应链产品结构</vt:lpstr>
      <vt:lpstr>09VOC转化阻力</vt:lpstr>
      <vt:lpstr>10CDQ_PQS_AI收录</vt:lpstr>
      <vt:lpstr>11利润现金流ROI</vt:lpstr>
      <vt:lpstr>12上市推演与作战打法</vt:lpstr>
      <vt:lpstr>13数据源字段字典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WPS_1778554845</cp:lastModifiedBy>
  <dcterms:created xsi:type="dcterms:W3CDTF">2026-09-14T03:35:44Z</dcterms:created>
  <dcterms:modified xsi:type="dcterms:W3CDTF">2026-09-14T03:39:19Z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D23215E9F23C4CE78A8FBB43A94E6163_12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