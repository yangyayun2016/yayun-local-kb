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7bbf37e66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产品线" sheetId="1" r:id="Rb4b357e7ea9b4cc7"/>
    <x:sheet xmlns:r="http://schemas.openxmlformats.org/officeDocument/2006/relationships" name="ASIN明细" sheetId="2" r:id="Rc12e3975509f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–"/>
    <x:numFmt numFmtId="201" formatCode="#,##0.00;[Red](#,##0.00);–"/>
    <x:numFmt numFmtId="202" formatCode="0.00%"/>
    <x:numFmt numFmtId="203" formatCode="0.00&quot; pp&quot;;[Red](0.00)&quot; pp&quot;"/>
    <x:numFmt numFmtId="204" formatCode="+#,##0;[Red]-#,##0;–"/>
    <x:numFmt numFmtId="205" formatCode="+#,##0.00;[Red]-#,##0.00;–"/>
    <x:numFmt numFmtId="206" formatCode="#,##0"/>
    <x:numFmt numFmtId="207" formatCode="#,##0.00"/>
  </x:numFmts>
  <x:fonts count="8">
    <x:font>
      <x:sz val="11"/>
      <x:name val="Carlito"/>
    </x:font>
    <x:font>
      <x:sz val="10"/>
      <x:color rgb="FF25384A"/>
      <x:name val="Arial"/>
    </x:font>
    <x:font>
      <x:b/>
      <x:sz val="15"/>
      <x:color rgb="FF17324F"/>
      <x:name val="Arial"/>
    </x:font>
    <x:font>
      <x:i/>
      <x:sz val="10"/>
      <x:color rgb="FF526276"/>
      <x:name val="Arial"/>
    </x:font>
    <x:font>
      <x:b/>
      <x:sz val="10"/>
      <x:color rgb="FFFFFFFF"/>
      <x:name val="Arial"/>
    </x:font>
    <x:font>
      <x:b/>
      <x:sz val="10"/>
      <x:color rgb="FF17324F"/>
      <x:name val="Arial"/>
    </x:font>
    <x:font>
      <x:b/>
      <x:sz val="11"/>
      <x:color rgb="FF245A83"/>
      <x:name val="Arial"/>
    </x:font>
    <x:font>
      <x:sz val="10"/>
      <x:color rgb="FF52627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EDF4FA"/>
      </x:patternFill>
    </x:fill>
    <x:fill>
      <x:patternFill patternType="solid">
        <x:fgColor rgb="FFF6F9FC"/>
      </x:patternFill>
    </x:fill>
  </x:fills>
  <x:borders count="3">
    <x:border/>
    <x:border>
      <x:bottom style="thin">
        <x:color rgb="FF9CB4CA"/>
      </x:bottom>
    </x:border>
    <x:border>
      <x:top style="thin">
        <x:color rgb="FF9CB4C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201" fontId="5" fillId="3" borderId="0" xfId="0" applyNumberFormat="1" applyFont="1" applyFill="1" applyBorder="1"/>
    <x:xf numFmtId="202" fontId="1" fillId="0" borderId="0" xfId="0" applyNumberFormat="1" applyFont="1" applyFill="1" applyBorder="1"/>
    <x:xf numFmtId="203" fontId="5" fillId="3" borderId="0" xfId="0" applyNumberFormat="1" applyFont="1" applyFill="1" applyBorder="1"/>
    <x:xf numFmtId="0" fontId="6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2" fontId="1" fillId="4" borderId="0" xfId="0" applyNumberFormat="1" applyFont="1" applyFill="1" applyBorder="1"/>
    <x:xf numFmtId="204" fontId="1" fillId="4" borderId="0" xfId="0" applyNumberFormat="1" applyFont="1" applyFill="1" applyBorder="1"/>
    <x:xf numFmtId="205" fontId="1" fillId="4" borderId="0" xfId="0" applyNumberFormat="1" applyFont="1" applyFill="1" applyBorder="1"/>
    <x:xf numFmtId="0" fontId="5" fillId="3" borderId="2" xfId="0" applyNumberFormat="1" applyFont="1" applyFill="1" applyBorder="1"/>
    <x:xf numFmtId="206" fontId="5" fillId="3" borderId="2" xfId="0" applyNumberFormat="1" applyFont="1" applyFill="1" applyBorder="1"/>
    <x:xf numFmtId="202" fontId="5" fillId="3" borderId="2" xfId="0" applyNumberFormat="1" applyFont="1" applyFill="1" applyBorder="1"/>
    <x:xf numFmtId="204" fontId="5" fillId="3" borderId="2" xfId="0" applyNumberFormat="1" applyFont="1" applyFill="1" applyBorder="1"/>
    <x:xf numFmtId="205" fontId="5" fillId="3" borderId="2" xfId="0" applyNumberFormat="1" applyFont="1" applyFill="1" applyBorder="1"/>
    <x:xf numFmtId="206" fontId="1" fillId="4" borderId="0" xfId="0" applyNumberFormat="1" applyFont="1" applyFill="1" applyBorder="1"/>
    <x:xf numFmtId="206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5e81723dc4ce1" /><Relationship Type="http://schemas.openxmlformats.org/officeDocument/2006/relationships/theme" Target="/xl/theme/theme1.xml" Id="R15594b8305fd4ef0" /><Relationship Type="http://schemas.openxmlformats.org/officeDocument/2006/relationships/sharedStrings" Target="/xl/sharedStrings.xml" Id="R776866146d3248a1" /><Relationship Type="http://schemas.openxmlformats.org/officeDocument/2006/relationships/worksheet" Target="/xl/worksheets/sheet1.xml" Id="Rb4b357e7ea9b4cc7" /><Relationship Type="http://schemas.openxmlformats.org/officeDocument/2006/relationships/worksheet" Target="/xl/worksheets/sheet2.xml" Id="Rc12e3975509f4a98" /></Relationships>
</file>

<file path=xl/tables/table1.xml><?xml version="1.0" encoding="utf-8"?>
<x:table xmlns:x="http://schemas.openxmlformats.org/spreadsheetml/2006/main" id="1" name="ASINMetrics" displayName="ASINMetrics" ref="A5:S206" headerRowCount="1" totalsRowCount="0" totalsRowShown="0">
  <x:autoFilter ref="A5:S206"/>
  <x:tableColumns count="19">
    <x:tableColumn id="1" name="ASIN"/>
    <x:tableColumn id="2" name="产品线"/>
    <x:tableColumn id="3" name="商品标题"/>
    <x:tableColumn id="4" name="存在期间"/>
    <x:tableColumn id="5" name="2025 件数"/>
    <x:tableColumn id="6" name="2025 GV"/>
    <x:tableColumn id="7" name="2025 源CVR"/>
    <x:tableColumn id="8" name="2025 件/GV"/>
    <x:tableColumn id="9" name="2025 收入 (€)"/>
    <x:tableColumn id="10" name="2026 件数"/>
    <x:tableColumn id="11" name="2026 GV"/>
    <x:tableColumn id="12" name="2026 源CVR①（待核）"/>
    <x:tableColumn id="13" name="2026 件/GV / 源CVR②"/>
    <x:tableColumn id="14" name="2026 收入 (€)"/>
    <x:tableColumn id="15" name="件数差"/>
    <x:tableColumn id="16" name="GV差"/>
    <x:tableColumn id="17" name="件/GV差 (pp)"/>
    <x:tableColumn id="18" name="2025 退货件"/>
    <x:tableColumn id="19" name="2026 退货件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c63a3d3d7e4f53" /></Relationships>
</file>

<file path=xl/worksheets/sheet1.xml><?xml version="1.0" encoding="utf-8"?>
<x:worksheet xmlns:x="http://schemas.openxmlformats.org/spreadsheetml/2006/main">
  <x:sheetPr>
    <x:tabColor rgb="FF163B63"/>
  </x:sheetPr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4" hidden="0" customWidth="1"/>
    <x:col min="4" max="4" width="17" hidden="0" customWidth="1"/>
    <x:col min="5" max="5" width="16" hidden="0" customWidth="1"/>
    <x:col min="6" max="6" width="20" hidden="0" customWidth="1"/>
    <x:col min="7" max="7" width="14" hidden="0" customWidth="1"/>
    <x:col min="8" max="8" width="17" hidden="0" customWidth="1"/>
    <x:col min="9" max="9" width="16" hidden="0" customWidth="1"/>
    <x:col min="10" max="10" width="17" hidden="0" customWidth="1"/>
    <x:col min="11" max="11" width="15" hidden="0" customWidth="1"/>
    <x:col min="12" max="12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VC ASIN 销量与转化率分析｜2025—2026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两年均按原表记录期汇总；2026 截止日期未提供，差值不作全年同比。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2" customHeight="1">
      <x:c r="A5" s="9" t="str">
        <x:v>期间</x:v>
      </x:c>
      <x:c r="B5" s="9" t="str">
        <x:v>ASIN数</x:v>
      </x:c>
      <x:c r="C5" s="9" t="str">
        <x:v>订购件数</x:v>
      </x:c>
      <x:c r="D5" s="9" t="str">
        <x:v>订购收入 (€)</x:v>
      </x:c>
      <x:c r="E5" s="9" t="str">
        <x:v>Glance Views</x:v>
      </x:c>
      <x:c r="F5" s="9" t="str">
        <x:v>件数 / GV</x:v>
      </x:c>
      <x:c r="G5" s="1"/>
      <x:c r="H5" s="1"/>
      <x:c r="I5" s="1"/>
      <x:c r="J5" s="1"/>
      <x:c r="K5" s="1"/>
      <x:c r="L5" s="1"/>
    </x:row>
    <x:row r="6" ht="27" customHeight="1">
      <x:c r="A6" s="1" t="str">
        <x:v>2025</x:v>
      </x:c>
      <x:c r="B6" s="12" t="n">
        <x:f>COUNTIF('ASIN明细'!$D$6:$D$206,"两年均有")+COUNTIF('ASIN明细'!$D$6:$D$206,"仅2025")</x:f>
        <x:v>186</x:v>
      </x:c>
      <x:c r="C6" s="12" t="n">
        <x:f>SUM('ASIN明细'!$E$6:$E$206)</x:f>
        <x:v>213401</x:v>
      </x:c>
      <x:c r="D6" s="14" t="n">
        <x:f>SUM('ASIN明细'!$I$6:$I$206)</x:f>
        <x:v>5633472.939999993</x:v>
      </x:c>
      <x:c r="E6" s="12" t="n">
        <x:f>SUM('ASIN明细'!$F$6:$F$206)</x:f>
        <x:v>4617431</x:v>
      </x:c>
      <x:c r="F6" s="16" t="n">
        <x:f>IF(E6&gt;0,C6/E6,"")</x:f>
        <x:v>0.04621639175550214</x:v>
      </x:c>
      <x:c r="G6" s="1"/>
      <x:c r="H6" s="1"/>
      <x:c r="I6" s="1"/>
      <x:c r="J6" s="1"/>
      <x:c r="K6" s="1"/>
      <x:c r="L6" s="1"/>
    </x:row>
    <x:row r="7" ht="27" customHeight="1">
      <x:c r="A7" s="1" t="str">
        <x:v>2026</x:v>
      </x:c>
      <x:c r="B7" s="12" t="n">
        <x:f>COUNTIF('ASIN明细'!$D$6:$D$206,"两年均有")+COUNTIF('ASIN明细'!$D$6:$D$206,"仅2026")</x:f>
        <x:v>191</x:v>
      </x:c>
      <x:c r="C7" s="12" t="n">
        <x:f>SUM('ASIN明细'!$J$6:$J$206)</x:f>
        <x:v>189731</x:v>
      </x:c>
      <x:c r="D7" s="14" t="n">
        <x:f>SUM('ASIN明细'!$N$6:$N$206)</x:f>
        <x:v>5172597.130000003</x:v>
      </x:c>
      <x:c r="E7" s="12" t="n">
        <x:f>SUM('ASIN明细'!$K$6:$K$206)</x:f>
        <x:v>3942402</x:v>
      </x:c>
      <x:c r="F7" s="16" t="n">
        <x:f>IF(E7&gt;0,C7/E7,"")</x:f>
        <x:v>0.04812573654335606</x:v>
      </x:c>
      <x:c r="G7" s="1"/>
      <x:c r="H7" s="1"/>
      <x:c r="I7" s="1"/>
      <x:c r="J7" s="1"/>
      <x:c r="K7" s="1"/>
      <x:c r="L7" s="1"/>
    </x:row>
    <x:row r="8" ht="27" customHeight="1">
      <x:c r="A8" s="11" t="str">
        <x:v>记录值差</x:v>
      </x:c>
      <x:c r="B8" s="13" t="n">
        <x:f>B7-B6</x:f>
        <x:v>5</x:v>
      </x:c>
      <x:c r="C8" s="13" t="n">
        <x:f>C7-C6</x:f>
        <x:v>-23670</x:v>
      </x:c>
      <x:c r="D8" s="15" t="n">
        <x:f>D7-D6</x:f>
        <x:v>-460875.8099999903</x:v>
      </x:c>
      <x:c r="E8" s="13" t="n">
        <x:f>E7-E6</x:f>
        <x:v>-675029</x:v>
      </x:c>
      <x:c r="F8" s="17" t="n">
        <x:f>(F7-F6)*100</x:f>
        <x:v>0.19093447878539144</x:v>
      </x:c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8" t="str">
        <x:v>产品线表现｜同口径：订购件数 ÷ Glance Views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32" customHeight="1">
      <x:c r="A11" s="9" t="str">
        <x:v>产品线</x:v>
      </x:c>
      <x:c r="B11" s="9" t="str">
        <x:v>2025 ASIN</x:v>
      </x:c>
      <x:c r="C11" s="9" t="str">
        <x:v>2025 件数</x:v>
      </x:c>
      <x:c r="D11" s="9" t="str">
        <x:v>2025 GV</x:v>
      </x:c>
      <x:c r="E11" s="9" t="str">
        <x:v>2025 件/GV</x:v>
      </x:c>
      <x:c r="F11" s="9" t="str">
        <x:v>2026 ASIN</x:v>
      </x:c>
      <x:c r="G11" s="9" t="str">
        <x:v>2026 件数</x:v>
      </x:c>
      <x:c r="H11" s="9" t="str">
        <x:v>2026 GV</x:v>
      </x:c>
      <x:c r="I11" s="9" t="str">
        <x:v>2026 件/GV</x:v>
      </x:c>
      <x:c r="J11" s="9" t="str">
        <x:v>2026 销量占比</x:v>
      </x:c>
      <x:c r="K11" s="9" t="str">
        <x:v>件数差</x:v>
      </x:c>
      <x:c r="L11" s="9" t="str">
        <x:v>效率差(pp)</x:v>
      </x:c>
    </x:row>
    <x:row r="12" ht="23" customHeight="1">
      <x:c r="A12" s="21" t="str">
        <x:v>打磨抛光与旋转工具</x:v>
      </x:c>
      <x:c r="B12" s="22" t="n">
        <x:f>COUNTIFS('ASIN明细'!$B$6:$B$206,$A12,'ASIN明细'!$D$6:$D$206,"&lt;&gt;仅2026")</x:f>
        <x:v>15</x:v>
      </x:c>
      <x:c r="C12" s="22" t="n">
        <x:f>SUMIF('ASIN明细'!$B$6:$B$206,$A12,'ASIN明细'!$E$6:$E$206)</x:f>
        <x:v>38412</x:v>
      </x:c>
      <x:c r="D12" s="22" t="n">
        <x:f>SUMIF('ASIN明细'!$B$6:$B$206,$A12,'ASIN明细'!$F$6:$F$206)</x:f>
        <x:v>727322</x:v>
      </x:c>
      <x:c r="E12" s="23" t="n">
        <x:f>IF(D12&gt;0,C12/D12,"")</x:f>
        <x:v>0.05281292192453961</x:v>
      </x:c>
      <x:c r="F12" s="22" t="n">
        <x:f>COUNTIFS('ASIN明细'!$B$6:$B$206,$A12,'ASIN明细'!$D$6:$D$206,"&lt;&gt;仅2025")</x:f>
        <x:v>16</x:v>
      </x:c>
      <x:c r="G12" s="22" t="n">
        <x:f>SUMIF('ASIN明细'!$B$6:$B$206,$A12,'ASIN明细'!$J$6:$J$206)</x:f>
        <x:v>43117</x:v>
      </x:c>
      <x:c r="H12" s="22" t="n">
        <x:f>SUMIF('ASIN明细'!$B$6:$B$206,$A12,'ASIN明细'!$K$6:$K$206)</x:f>
        <x:v>830408</x:v>
      </x:c>
      <x:c r="I12" s="23" t="n">
        <x:f>IF(H12&gt;0,G12/H12,"")</x:f>
        <x:v>0.05192266933844568</x:v>
      </x:c>
      <x:c r="J12" s="23" t="n">
        <x:f>IF($C$7&gt;0,G12/$C$7,"")</x:f>
        <x:v>0.2272533218082443</x:v>
      </x:c>
      <x:c r="K12" s="24" t="n">
        <x:f>G12-C12</x:f>
        <x:v>4705</x:v>
      </x:c>
      <x:c r="L12" s="25" t="n">
        <x:f>IF(AND(D12&gt;0,H12&gt;0),(I12-E12)*100,"")</x:f>
        <x:v>-0.08902525860939314</x:v>
      </x:c>
    </x:row>
    <x:row r="13" ht="23" customHeight="1">
      <x:c r="A13" s="1" t="str">
        <x:v>手动工具与套装</x:v>
      </x:c>
      <x:c r="B13" s="12" t="n">
        <x:f>COUNTIFS('ASIN明细'!$B$6:$B$206,$A13,'ASIN明细'!$D$6:$D$206,"&lt;&gt;仅2026")</x:f>
        <x:v>35</x:v>
      </x:c>
      <x:c r="C13" s="12" t="n">
        <x:f>SUMIF('ASIN明细'!$B$6:$B$206,$A13,'ASIN明细'!$E$6:$E$206)</x:f>
        <x:v>29964</x:v>
      </x:c>
      <x:c r="D13" s="12" t="n">
        <x:f>SUMIF('ASIN明细'!$B$6:$B$206,$A13,'ASIN明细'!$F$6:$F$206)</x:f>
        <x:v>470563</x:v>
      </x:c>
      <x:c r="E13" s="16" t="n">
        <x:f>IF(D13&gt;0,C13/D13,"")</x:f>
        <x:v>0.06367691467454942</x:v>
      </x:c>
      <x:c r="F13" s="12" t="n">
        <x:f>COUNTIFS('ASIN明细'!$B$6:$B$206,$A13,'ASIN明细'!$D$6:$D$206,"&lt;&gt;仅2025")</x:f>
        <x:v>34</x:v>
      </x:c>
      <x:c r="G13" s="12" t="n">
        <x:f>SUMIF('ASIN明细'!$B$6:$B$206,$A13,'ASIN明细'!$J$6:$J$206)</x:f>
        <x:v>29849</x:v>
      </x:c>
      <x:c r="H13" s="12" t="n">
        <x:f>SUMIF('ASIN明细'!$B$6:$B$206,$A13,'ASIN明细'!$K$6:$K$206)</x:f>
        <x:v>654593</x:v>
      </x:c>
      <x:c r="I13" s="16" t="n">
        <x:f>IF(H13&gt;0,G13/H13,"")</x:f>
        <x:v>0.04559932660447026</x:v>
      </x:c>
      <x:c r="J13" s="16" t="n">
        <x:f>IF($C$7&gt;0,G13/$C$7,"")</x:f>
        <x:v>0.1573227358734208</x:v>
      </x:c>
      <x:c r="K13" s="19" t="n">
        <x:f>G13-C13</x:f>
        <x:v>-115</x:v>
      </x:c>
      <x:c r="L13" s="20" t="n">
        <x:f>IF(AND(D13&gt;0,H13&gt;0),(I13-E13)*100,"")</x:f>
        <x:v>-1.8077588070079156</x:v>
      </x:c>
    </x:row>
    <x:row r="14" ht="23" customHeight="1">
      <x:c r="A14" s="21" t="str">
        <x:v>电动螺丝刀</x:v>
      </x:c>
      <x:c r="B14" s="22" t="n">
        <x:f>COUNTIFS('ASIN明细'!$B$6:$B$206,$A14,'ASIN明细'!$D$6:$D$206,"&lt;&gt;仅2026")</x:f>
        <x:v>12</x:v>
      </x:c>
      <x:c r="C14" s="22" t="n">
        <x:f>SUMIF('ASIN明细'!$B$6:$B$206,$A14,'ASIN明细'!$E$6:$E$206)</x:f>
        <x:v>46861</x:v>
      </x:c>
      <x:c r="D14" s="22" t="n">
        <x:f>SUMIF('ASIN明细'!$B$6:$B$206,$A14,'ASIN明细'!$F$6:$F$206)</x:f>
        <x:v>775089</x:v>
      </x:c>
      <x:c r="E14" s="23" t="n">
        <x:f>IF(D14&gt;0,C14/D14,"")</x:f>
        <x:v>0.06045886343374761</x:v>
      </x:c>
      <x:c r="F14" s="22" t="n">
        <x:f>COUNTIFS('ASIN明细'!$B$6:$B$206,$A14,'ASIN明细'!$D$6:$D$206,"&lt;&gt;仅2025")</x:f>
        <x:v>12</x:v>
      </x:c>
      <x:c r="G14" s="22" t="n">
        <x:f>SUMIF('ASIN明细'!$B$6:$B$206,$A14,'ASIN明细'!$J$6:$J$206)</x:f>
        <x:v>28028</x:v>
      </x:c>
      <x:c r="H14" s="22" t="n">
        <x:f>SUMIF('ASIN明细'!$B$6:$B$206,$A14,'ASIN明细'!$K$6:$K$206)</x:f>
        <x:v>471707</x:v>
      </x:c>
      <x:c r="I14" s="23" t="n">
        <x:f>IF(H14&gt;0,G14/H14,"")</x:f>
        <x:v>0.05941824056034784</x:v>
      </x:c>
      <x:c r="J14" s="23" t="n">
        <x:f>IF($C$7&gt;0,G14/$C$7,"")</x:f>
        <x:v>0.1477249368843257</x:v>
      </x:c>
      <x:c r="K14" s="24" t="n">
        <x:f>G14-C14</x:f>
        <x:v>-18833</x:v>
      </x:c>
      <x:c r="L14" s="25" t="n">
        <x:f>IF(AND(D14&gt;0,H14&gt;0),(I14-E14)*100,"")</x:f>
        <x:v>-0.10406228733997672</x:v>
      </x:c>
    </x:row>
    <x:row r="15" ht="23" customHeight="1">
      <x:c r="A15" s="1" t="str">
        <x:v>激光水平仪与测距</x:v>
      </x:c>
      <x:c r="B15" s="12" t="n">
        <x:f>COUNTIFS('ASIN明细'!$B$6:$B$206,$A15,'ASIN明细'!$D$6:$D$206,"&lt;&gt;仅2026")</x:f>
        <x:v>12</x:v>
      </x:c>
      <x:c r="C15" s="12" t="n">
        <x:f>SUMIF('ASIN明细'!$B$6:$B$206,$A15,'ASIN明细'!$E$6:$E$206)</x:f>
        <x:v>17020</x:v>
      </x:c>
      <x:c r="D15" s="12" t="n">
        <x:f>SUMIF('ASIN明细'!$B$6:$B$206,$A15,'ASIN明细'!$F$6:$F$206)</x:f>
        <x:v>337203</x:v>
      </x:c>
      <x:c r="E15" s="16" t="n">
        <x:f>IF(D15&gt;0,C15/D15,"")</x:f>
        <x:v>0.05047404679080554</x:v>
      </x:c>
      <x:c r="F15" s="12" t="n">
        <x:f>COUNTIFS('ASIN明细'!$B$6:$B$206,$A15,'ASIN明细'!$D$6:$D$206,"&lt;&gt;仅2025")</x:f>
        <x:v>12</x:v>
      </x:c>
      <x:c r="G15" s="12" t="n">
        <x:f>SUMIF('ASIN明细'!$B$6:$B$206,$A15,'ASIN明细'!$J$6:$J$206)</x:f>
        <x:v>15340</x:v>
      </x:c>
      <x:c r="H15" s="12" t="n">
        <x:f>SUMIF('ASIN明细'!$B$6:$B$206,$A15,'ASIN明细'!$K$6:$K$206)</x:f>
        <x:v>312418</x:v>
      </x:c>
      <x:c r="I15" s="16" t="n">
        <x:f>IF(H15&gt;0,G15/H15,"")</x:f>
        <x:v>0.04910088407198049</x:v>
      </x:c>
      <x:c r="J15" s="16" t="n">
        <x:f>IF($C$7&gt;0,G15/$C$7,"")</x:f>
        <x:v>0.08085131053965879</x:v>
      </x:c>
      <x:c r="K15" s="19" t="n">
        <x:f>G15-C15</x:f>
        <x:v>-1680</x:v>
      </x:c>
      <x:c r="L15" s="20" t="n">
        <x:f>IF(AND(D15&gt;0,H15&gt;0),(I15-E15)*100,"")</x:f>
        <x:v>-0.13731627188250523</x:v>
      </x:c>
    </x:row>
    <x:row r="16" ht="23" customHeight="1">
      <x:c r="A16" s="21" t="str">
        <x:v>锯片与开孔耗材</x:v>
      </x:c>
      <x:c r="B16" s="22" t="n">
        <x:f>COUNTIFS('ASIN明细'!$B$6:$B$206,$A16,'ASIN明细'!$D$6:$D$206,"&lt;&gt;仅2026")</x:f>
        <x:v>20</x:v>
      </x:c>
      <x:c r="C16" s="22" t="n">
        <x:f>SUMIF('ASIN明细'!$B$6:$B$206,$A16,'ASIN明细'!$E$6:$E$206)</x:f>
        <x:v>18437</x:v>
      </x:c>
      <x:c r="D16" s="22" t="n">
        <x:f>SUMIF('ASIN明细'!$B$6:$B$206,$A16,'ASIN明细'!$F$6:$F$206)</x:f>
        <x:v>318754</x:v>
      </x:c>
      <x:c r="E16" s="23" t="n">
        <x:f>IF(D16&gt;0,C16/D16,"")</x:f>
        <x:v>0.05784084278158078</x:v>
      </x:c>
      <x:c r="F16" s="22" t="n">
        <x:f>COUNTIFS('ASIN明细'!$B$6:$B$206,$A16,'ASIN明细'!$D$6:$D$206,"&lt;&gt;仅2025")</x:f>
        <x:v>20</x:v>
      </x:c>
      <x:c r="G16" s="22" t="n">
        <x:f>SUMIF('ASIN明细'!$B$6:$B$206,$A16,'ASIN明细'!$J$6:$J$206)</x:f>
        <x:v>15264</x:v>
      </x:c>
      <x:c r="H16" s="22" t="n">
        <x:f>SUMIF('ASIN明细'!$B$6:$B$206,$A16,'ASIN明细'!$K$6:$K$206)</x:f>
        <x:v>247292</x:v>
      </x:c>
      <x:c r="I16" s="23" t="n">
        <x:f>IF(H16&gt;0,G16/H16,"")</x:f>
        <x:v>0.06172460087669637</x:v>
      </x:c>
      <x:c r="J16" s="23" t="n">
        <x:f>IF($C$7&gt;0,G16/$C$7,"")</x:f>
        <x:v>0.0804507434209486</x:v>
      </x:c>
      <x:c r="K16" s="24" t="n">
        <x:f>G16-C16</x:f>
        <x:v>-3173</x:v>
      </x:c>
      <x:c r="L16" s="25" t="n">
        <x:f>IF(AND(D16&gt;0,H16&gt;0),(I16-E16)*100,"")</x:f>
        <x:v>0.38837580951155903</x:v>
      </x:c>
    </x:row>
    <x:row r="17" ht="23" customHeight="1">
      <x:c r="A17" s="1" t="str">
        <x:v>口腔护理与牙套清洁</x:v>
      </x:c>
      <x:c r="B17" s="12" t="n">
        <x:f>COUNTIFS('ASIN明细'!$B$6:$B$206,$A17,'ASIN明细'!$D$6:$D$206,"&lt;&gt;仅2026")</x:f>
        <x:v>4</x:v>
      </x:c>
      <x:c r="C17" s="12" t="n">
        <x:f>SUMIF('ASIN明细'!$B$6:$B$206,$A17,'ASIN明细'!$E$6:$E$206)</x:f>
        <x:v>5048</x:v>
      </x:c>
      <x:c r="D17" s="12" t="n">
        <x:f>SUMIF('ASIN明细'!$B$6:$B$206,$A17,'ASIN明细'!$F$6:$F$206)</x:f>
        <x:v>70977</x:v>
      </x:c>
      <x:c r="E17" s="16" t="n">
        <x:f>IF(D17&gt;0,C17/D17,"")</x:f>
        <x:v>0.07112163095087141</x:v>
      </x:c>
      <x:c r="F17" s="12" t="n">
        <x:f>COUNTIFS('ASIN明细'!$B$6:$B$206,$A17,'ASIN明细'!$D$6:$D$206,"&lt;&gt;仅2025")</x:f>
        <x:v>6</x:v>
      </x:c>
      <x:c r="G17" s="12" t="n">
        <x:f>SUMIF('ASIN明细'!$B$6:$B$206,$A17,'ASIN明细'!$J$6:$J$206)</x:f>
        <x:v>14753</x:v>
      </x:c>
      <x:c r="H17" s="12" t="n">
        <x:f>SUMIF('ASIN明细'!$B$6:$B$206,$A17,'ASIN明细'!$K$6:$K$206)</x:f>
        <x:v>202231</x:v>
      </x:c>
      <x:c r="I17" s="16" t="n">
        <x:f>IF(H17&gt;0,G17/H17,"")</x:f>
        <x:v>0.07295122904005816</x:v>
      </x:c>
      <x:c r="J17" s="16" t="n">
        <x:f>IF($C$7&gt;0,G17/$C$7,"")</x:f>
        <x:v>0.077757456609621</x:v>
      </x:c>
      <x:c r="K17" s="19" t="n">
        <x:f>G17-C17</x:f>
        <x:v>9705</x:v>
      </x:c>
      <x:c r="L17" s="20" t="n">
        <x:f>IF(AND(D17&gt;0,H17&gt;0),(I17-E17)*100,"")</x:f>
        <x:v>0.1829598089186743</x:v>
      </x:c>
    </x:row>
    <x:row r="18" ht="23" customHeight="1">
      <x:c r="A18" s="21" t="str">
        <x:v>电锯与电动切割</x:v>
      </x:c>
      <x:c r="B18" s="22" t="n">
        <x:f>COUNTIFS('ASIN明细'!$B$6:$B$206,$A18,'ASIN明细'!$D$6:$D$206,"&lt;&gt;仅2026")</x:f>
        <x:v>18</x:v>
      </x:c>
      <x:c r="C18" s="22" t="n">
        <x:f>SUMIF('ASIN明细'!$B$6:$B$206,$A18,'ASIN明细'!$E$6:$E$206)</x:f>
        <x:v>25412</x:v>
      </x:c>
      <x:c r="D18" s="22" t="n">
        <x:f>SUMIF('ASIN明细'!$B$6:$B$206,$A18,'ASIN明细'!$F$6:$F$206)</x:f>
        <x:v>910310</x:v>
      </x:c>
      <x:c r="E18" s="23" t="n">
        <x:f>IF(D18&gt;0,C18/D18,"")</x:f>
        <x:v>0.027915764959189727</x:v>
      </x:c>
      <x:c r="F18" s="22" t="n">
        <x:f>COUNTIFS('ASIN明细'!$B$6:$B$206,$A18,'ASIN明细'!$D$6:$D$206,"&lt;&gt;仅2025")</x:f>
        <x:v>17</x:v>
      </x:c>
      <x:c r="G18" s="22" t="n">
        <x:f>SUMIF('ASIN明细'!$B$6:$B$206,$A18,'ASIN明细'!$J$6:$J$206)</x:f>
        <x:v>14700</x:v>
      </x:c>
      <x:c r="H18" s="22" t="n">
        <x:f>SUMIF('ASIN明细'!$B$6:$B$206,$A18,'ASIN明细'!$K$6:$K$206)</x:f>
        <x:v>465125</x:v>
      </x:c>
      <x:c r="I18" s="23" t="n">
        <x:f>IF(H18&gt;0,G18/H18,"")</x:f>
        <x:v>0.031604407417360925</x:v>
      </x:c>
      <x:c r="J18" s="23" t="n">
        <x:f>IF($C$7&gt;0,G18/$C$7,"")</x:f>
        <x:v>0.07747811375052048</x:v>
      </x:c>
      <x:c r="K18" s="24" t="n">
        <x:f>G18-C18</x:f>
        <x:v>-10712</x:v>
      </x:c>
      <x:c r="L18" s="25" t="n">
        <x:f>IF(AND(D18&gt;0,H18&gt;0),(I18-E18)*100,"")</x:f>
        <x:v>0.3688642458171198</x:v>
      </x:c>
    </x:row>
    <x:row r="19" ht="23" customHeight="1">
      <x:c r="A19" s="1" t="str">
        <x:v>清洁电器与空气净化</x:v>
      </x:c>
      <x:c r="B19" s="12" t="n">
        <x:f>COUNTIFS('ASIN明细'!$B$6:$B$206,$A19,'ASIN明细'!$D$6:$D$206,"&lt;&gt;仅2026")</x:f>
        <x:v>6</x:v>
      </x:c>
      <x:c r="C19" s="12" t="n">
        <x:f>SUMIF('ASIN明细'!$B$6:$B$206,$A19,'ASIN明细'!$E$6:$E$206)</x:f>
        <x:v>3305</x:v>
      </x:c>
      <x:c r="D19" s="12" t="n">
        <x:f>SUMIF('ASIN明细'!$B$6:$B$206,$A19,'ASIN明细'!$F$6:$F$206)</x:f>
        <x:v>133348</x:v>
      </x:c>
      <x:c r="E19" s="16" t="n">
        <x:f>IF(D19&gt;0,C19/D19,"")</x:f>
        <x:v>0.02478477367489576</x:v>
      </x:c>
      <x:c r="F19" s="12" t="n">
        <x:f>COUNTIFS('ASIN明细'!$B$6:$B$206,$A19,'ASIN明细'!$D$6:$D$206,"&lt;&gt;仅2025")</x:f>
        <x:v>8</x:v>
      </x:c>
      <x:c r="G19" s="12" t="n">
        <x:f>SUMIF('ASIN明细'!$B$6:$B$206,$A19,'ASIN明细'!$J$6:$J$206)</x:f>
        <x:v>10499</x:v>
      </x:c>
      <x:c r="H19" s="12" t="n">
        <x:f>SUMIF('ASIN明细'!$B$6:$B$206,$A19,'ASIN明细'!$K$6:$K$206)</x:f>
        <x:v>309017</x:v>
      </x:c>
      <x:c r="I19" s="16" t="n">
        <x:f>IF(H19&gt;0,G19/H19,"")</x:f>
        <x:v>0.033975477077312896</x:v>
      </x:c>
      <x:c r="J19" s="16" t="n">
        <x:f>IF($C$7&gt;0,G19/$C$7,"")</x:f>
        <x:v>0.05533623920181731</x:v>
      </x:c>
      <x:c r="K19" s="19" t="n">
        <x:f>G19-C19</x:f>
        <x:v>7194</x:v>
      </x:c>
      <x:c r="L19" s="20" t="n">
        <x:f>IF(AND(D19&gt;0,H19&gt;0),(I19-E19)*100,"")</x:f>
        <x:v>0.9190703402417135</x:v>
      </x:c>
    </x:row>
    <x:row r="20" ht="23" customHeight="1">
      <x:c r="A20" s="21" t="str">
        <x:v>工作照明与应急</x:v>
      </x:c>
      <x:c r="B20" s="22" t="n">
        <x:f>COUNTIFS('ASIN明细'!$B$6:$B$206,$A20,'ASIN明细'!$D$6:$D$206,"&lt;&gt;仅2026")</x:f>
        <x:v>10</x:v>
      </x:c>
      <x:c r="C20" s="22" t="n">
        <x:f>SUMIF('ASIN明细'!$B$6:$B$206,$A20,'ASIN明细'!$E$6:$E$206)</x:f>
        <x:v>11806</x:v>
      </x:c>
      <x:c r="D20" s="22" t="n">
        <x:f>SUMIF('ASIN明细'!$B$6:$B$206,$A20,'ASIN明细'!$F$6:$F$206)</x:f>
        <x:v>150513</x:v>
      </x:c>
      <x:c r="E20" s="23" t="n">
        <x:f>IF(D20&gt;0,C20/D20,"")</x:f>
        <x:v>0.07843840731365397</x:v>
      </x:c>
      <x:c r="F20" s="22" t="n">
        <x:f>COUNTIFS('ASIN明细'!$B$6:$B$206,$A20,'ASIN明细'!$D$6:$D$206,"&lt;&gt;仅2025")</x:f>
        <x:v>10</x:v>
      </x:c>
      <x:c r="G20" s="22" t="n">
        <x:f>SUMIF('ASIN明细'!$B$6:$B$206,$A20,'ASIN明细'!$J$6:$J$206)</x:f>
        <x:v>7280</x:v>
      </x:c>
      <x:c r="H20" s="22" t="n">
        <x:f>SUMIF('ASIN明细'!$B$6:$B$206,$A20,'ASIN明细'!$K$6:$K$206)</x:f>
        <x:v>108915</x:v>
      </x:c>
      <x:c r="I20" s="23" t="n">
        <x:f>IF(H20&gt;0,G20/H20,"")</x:f>
        <x:v>0.0668411146306753</x:v>
      </x:c>
      <x:c r="J20" s="23" t="n">
        <x:f>IF($C$7&gt;0,G20/$C$7,"")</x:f>
        <x:v>0.03837011347644823</x:v>
      </x:c>
      <x:c r="K20" s="24" t="n">
        <x:f>G20-C20</x:f>
        <x:v>-4526</x:v>
      </x:c>
      <x:c r="L20" s="25" t="n">
        <x:f>IF(AND(D20&gt;0,H20&gt;0),(I20-E20)*100,"")</x:f>
        <x:v>-1.1597292682978668</x:v>
      </x:c>
    </x:row>
    <x:row r="21" ht="23" customHeight="1">
      <x:c r="A21" s="1" t="str">
        <x:v>喷涂与热工工具</x:v>
      </x:c>
      <x:c r="B21" s="12" t="n">
        <x:f>COUNTIFS('ASIN明细'!$B$6:$B$206,$A21,'ASIN明细'!$D$6:$D$206,"&lt;&gt;仅2026")</x:f>
        <x:v>4</x:v>
      </x:c>
      <x:c r="C21" s="12" t="n">
        <x:f>SUMIF('ASIN明细'!$B$6:$B$206,$A21,'ASIN明细'!$E$6:$E$206)</x:f>
        <x:v>4761</x:v>
      </x:c>
      <x:c r="D21" s="12" t="n">
        <x:f>SUMIF('ASIN明细'!$B$6:$B$206,$A21,'ASIN明细'!$F$6:$F$206)</x:f>
        <x:v>109729</x:v>
      </x:c>
      <x:c r="E21" s="16" t="n">
        <x:f>IF(D21&gt;0,C21/D21,"")</x:f>
        <x:v>0.04338871219094314</x:v>
      </x:c>
      <x:c r="F21" s="12" t="n">
        <x:f>COUNTIFS('ASIN明细'!$B$6:$B$206,$A21,'ASIN明细'!$D$6:$D$206,"&lt;&gt;仅2025")</x:f>
        <x:v>4</x:v>
      </x:c>
      <x:c r="G21" s="12" t="n">
        <x:f>SUMIF('ASIN明细'!$B$6:$B$206,$A21,'ASIN明细'!$J$6:$J$206)</x:f>
        <x:v>3651</x:v>
      </x:c>
      <x:c r="H21" s="12" t="n">
        <x:f>SUMIF('ASIN明细'!$B$6:$B$206,$A21,'ASIN明细'!$K$6:$K$206)</x:f>
        <x:v>84050</x:v>
      </x:c>
      <x:c r="I21" s="16" t="n">
        <x:f>IF(H21&gt;0,G21/H21,"")</x:f>
        <x:v>0.04343842950624628</x:v>
      </x:c>
      <x:c r="J21" s="16" t="n">
        <x:f>IF($C$7&gt;0,G21/$C$7,"")</x:f>
        <x:v>0.019243033558037432</x:v>
      </x:c>
      <x:c r="K21" s="19" t="n">
        <x:f>G21-C21</x:f>
        <x:v>-1110</x:v>
      </x:c>
      <x:c r="L21" s="20" t="n">
        <x:f>IF(AND(D21&gt;0,H21&gt;0),(I21-E21)*100,"")</x:f>
        <x:v>0.004971731530314244</x:v>
      </x:c>
    </x:row>
    <x:row r="22" ht="23" customHeight="1">
      <x:c r="A22" s="21" t="str">
        <x:v>电钻与冲击工具</x:v>
      </x:c>
      <x:c r="B22" s="22" t="n">
        <x:f>COUNTIFS('ASIN明细'!$B$6:$B$206,$A22,'ASIN明细'!$D$6:$D$206,"&lt;&gt;仅2026")</x:f>
        <x:v>17</x:v>
      </x:c>
      <x:c r="C22" s="22" t="n">
        <x:f>SUMIF('ASIN明细'!$B$6:$B$206,$A22,'ASIN明细'!$E$6:$E$206)</x:f>
        <x:v>8125</x:v>
      </x:c>
      <x:c r="D22" s="22" t="n">
        <x:f>SUMIF('ASIN明细'!$B$6:$B$206,$A22,'ASIN明细'!$F$6:$F$206)</x:f>
        <x:v>468291</x:v>
      </x:c>
      <x:c r="E22" s="23" t="n">
        <x:f>IF(D22&gt;0,C22/D22,"")</x:f>
        <x:v>0.01735032276938912</x:v>
      </x:c>
      <x:c r="F22" s="22" t="n">
        <x:f>COUNTIFS('ASIN明细'!$B$6:$B$206,$A22,'ASIN明细'!$D$6:$D$206,"&lt;&gt;仅2025")</x:f>
        <x:v>16</x:v>
      </x:c>
      <x:c r="G22" s="22" t="n">
        <x:f>SUMIF('ASIN明细'!$B$6:$B$206,$A22,'ASIN明细'!$J$6:$J$206)</x:f>
        <x:v>2901</x:v>
      </x:c>
      <x:c r="H22" s="22" t="n">
        <x:f>SUMIF('ASIN明细'!$B$6:$B$206,$A22,'ASIN明细'!$K$6:$K$206)</x:f>
        <x:v>144822</x:v>
      </x:c>
      <x:c r="I22" s="23" t="n">
        <x:f>IF(H22&gt;0,G22/H22,"")</x:f>
        <x:v>0.02003148692878154</x:v>
      </x:c>
      <x:c r="J22" s="23" t="n">
        <x:f>IF($C$7&gt;0,G22/$C$7,"")</x:f>
        <x:v>0.01529006857076598</x:v>
      </x:c>
      <x:c r="K22" s="24" t="n">
        <x:f>G22-C22</x:f>
        <x:v>-5224</x:v>
      </x:c>
      <x:c r="L22" s="25" t="n">
        <x:f>IF(AND(D22&gt;0,H22&gt;0),(I22-E22)*100,"")</x:f>
        <x:v>0.2681164159392419</x:v>
      </x:c>
    </x:row>
    <x:row r="23" ht="23" customHeight="1">
      <x:c r="A23" s="1" t="str">
        <x:v>汽车起重与充气</x:v>
      </x:c>
      <x:c r="B23" s="12" t="n">
        <x:f>COUNTIFS('ASIN明细'!$B$6:$B$206,$A23,'ASIN明细'!$D$6:$D$206,"&lt;&gt;仅2026")</x:f>
        <x:v>10</x:v>
      </x:c>
      <x:c r="C23" s="12" t="n">
        <x:f>SUMIF('ASIN明细'!$B$6:$B$206,$A23,'ASIN明细'!$E$6:$E$206)</x:f>
        <x:v>2058</x:v>
      </x:c>
      <x:c r="D23" s="12" t="n">
        <x:f>SUMIF('ASIN明细'!$B$6:$B$206,$A23,'ASIN明细'!$F$6:$F$206)</x:f>
        <x:v>81367</x:v>
      </x:c>
      <x:c r="E23" s="16" t="n">
        <x:f>IF(D23&gt;0,C23/D23,"")</x:f>
        <x:v>0.025292809124092076</x:v>
      </x:c>
      <x:c r="F23" s="12" t="n">
        <x:f>COUNTIFS('ASIN明细'!$B$6:$B$206,$A23,'ASIN明细'!$D$6:$D$206,"&lt;&gt;仅2025")</x:f>
        <x:v>11</x:v>
      </x:c>
      <x:c r="G23" s="12" t="n">
        <x:f>SUMIF('ASIN明细'!$B$6:$B$206,$A23,'ASIN明细'!$J$6:$J$206)</x:f>
        <x:v>1948</x:v>
      </x:c>
      <x:c r="H23" s="12" t="n">
        <x:f>SUMIF('ASIN明细'!$B$6:$B$206,$A23,'ASIN明细'!$K$6:$K$206)</x:f>
        <x:v>56435</x:v>
      </x:c>
      <x:c r="I23" s="16" t="n">
        <x:f>IF(H23&gt;0,G23/H23,"")</x:f>
        <x:v>0.034517586604057765</x:v>
      </x:c>
      <x:c r="J23" s="16" t="n">
        <x:f>IF($C$7&gt;0,G23/$C$7,"")</x:f>
        <x:v>0.01026716772693972</x:v>
      </x:c>
      <x:c r="K23" s="19" t="n">
        <x:f>G23-C23</x:f>
        <x:v>-110</x:v>
      </x:c>
      <x:c r="L23" s="20" t="n">
        <x:f>IF(AND(D23&gt;0,H23&gt;0),(I23-E23)*100,"")</x:f>
        <x:v>0.9224777479965689</x:v>
      </x:c>
    </x:row>
    <x:row r="24" ht="23" customHeight="1">
      <x:c r="A24" s="21" t="str">
        <x:v>园艺设备与工具</x:v>
      </x:c>
      <x:c r="B24" s="22" t="n">
        <x:f>COUNTIFS('ASIN明细'!$B$6:$B$206,$A24,'ASIN明细'!$D$6:$D$206,"&lt;&gt;仅2026")</x:f>
        <x:v>16</x:v>
      </x:c>
      <x:c r="C24" s="22" t="n">
        <x:f>SUMIF('ASIN明细'!$B$6:$B$206,$A24,'ASIN明细'!$E$6:$E$206)</x:f>
        <x:v>1292</x:v>
      </x:c>
      <x:c r="D24" s="22" t="n">
        <x:f>SUMIF('ASIN明细'!$B$6:$B$206,$A24,'ASIN明细'!$F$6:$F$206)</x:f>
        <x:v>53266</x:v>
      </x:c>
      <x:c r="E24" s="23" t="n">
        <x:f>IF(D24&gt;0,C24/D24,"")</x:f>
        <x:v>0.02425562272368866</x:v>
      </x:c>
      <x:c r="F24" s="22" t="n">
        <x:f>COUNTIFS('ASIN明细'!$B$6:$B$206,$A24,'ASIN明细'!$D$6:$D$206,"&lt;&gt;仅2025")</x:f>
        <x:v>18</x:v>
      </x:c>
      <x:c r="G24" s="22" t="n">
        <x:f>SUMIF('ASIN明细'!$B$6:$B$206,$A24,'ASIN明细'!$J$6:$J$206)</x:f>
        <x:v>1325</x:v>
      </x:c>
      <x:c r="H24" s="22" t="n">
        <x:f>SUMIF('ASIN明细'!$B$6:$B$206,$A24,'ASIN明细'!$K$6:$K$206)</x:f>
        <x:v>37085</x:v>
      </x:c>
      <x:c r="I24" s="23" t="n">
        <x:f>IF(H24&gt;0,G24/H24,"")</x:f>
        <x:v>0.035728731292975595</x:v>
      </x:c>
      <x:c r="J24" s="23" t="n">
        <x:f>IF($C$7&gt;0,G24/$C$7,"")</x:f>
        <x:v>0.0069835714775129</x:v>
      </x:c>
      <x:c r="K24" s="24" t="n">
        <x:f>G24-C24</x:f>
        <x:v>33</x:v>
      </x:c>
      <x:c r="L24" s="25" t="n">
        <x:f>IF(AND(D24&gt;0,H24&gt;0),(I24-E24)*100,"")</x:f>
        <x:v>1.1473108569286936</x:v>
      </x:c>
    </x:row>
    <x:row r="25" ht="23" customHeight="1">
      <x:c r="A25" s="1" t="str">
        <x:v>打磨耗材</x:v>
      </x:c>
      <x:c r="B25" s="12" t="n">
        <x:f>COUNTIFS('ASIN明细'!$B$6:$B$206,$A25,'ASIN明细'!$D$6:$D$206,"&lt;&gt;仅2026")</x:f>
        <x:v>7</x:v>
      </x:c>
      <x:c r="C25" s="12" t="n">
        <x:f>SUMIF('ASIN明细'!$B$6:$B$206,$A25,'ASIN明细'!$E$6:$E$206)</x:f>
        <x:v>900</x:v>
      </x:c>
      <x:c r="D25" s="12" t="n">
        <x:f>SUMIF('ASIN明细'!$B$6:$B$206,$A25,'ASIN明细'!$F$6:$F$206)</x:f>
        <x:v>10699</x:v>
      </x:c>
      <x:c r="E25" s="16" t="n">
        <x:f>IF(D25&gt;0,C25/D25,"")</x:f>
        <x:v>0.08412001121600149</x:v>
      </x:c>
      <x:c r="F25" s="12" t="n">
        <x:f>COUNTIFS('ASIN明细'!$B$6:$B$206,$A25,'ASIN明细'!$D$6:$D$206,"&lt;&gt;仅2025")</x:f>
        <x:v>7</x:v>
      </x:c>
      <x:c r="G25" s="12" t="n">
        <x:f>SUMIF('ASIN明细'!$B$6:$B$206,$A25,'ASIN明细'!$J$6:$J$206)</x:f>
        <x:v>1076</x:v>
      </x:c>
      <x:c r="H25" s="12" t="n">
        <x:f>SUMIF('ASIN明细'!$B$6:$B$206,$A25,'ASIN明细'!$K$6:$K$206)</x:f>
        <x:v>18304</x:v>
      </x:c>
      <x:c r="I25" s="16" t="n">
        <x:f>IF(H25&gt;0,G25/H25,"")</x:f>
        <x:v>0.05878496503496503</x:v>
      </x:c>
      <x:c r="J25" s="16" t="n">
        <x:f>IF($C$7&gt;0,G25/$C$7,"")</x:f>
        <x:v>0.005671187101738777</x:v>
      </x:c>
      <x:c r="K25" s="19" t="n">
        <x:f>G25-C25</x:f>
        <x:v>176</x:v>
      </x:c>
      <x:c r="L25" s="20" t="n">
        <x:f>IF(AND(D25&gt;0,H25&gt;0),(I25-E25)*100,"")</x:f>
        <x:v>-2.533504618103646</x:v>
      </x:c>
    </x:row>
    <x:row r="26" ht="27" customHeight="1">
      <x:c r="A26" s="26" t="str">
        <x:v>合计</x:v>
      </x:c>
      <x:c r="B26" s="27" t="n">
        <x:f>B6</x:f>
        <x:v>186</x:v>
      </x:c>
      <x:c r="C26" s="27" t="n">
        <x:f>C6</x:f>
        <x:v>213401</x:v>
      </x:c>
      <x:c r="D26" s="27" t="n">
        <x:f>E6</x:f>
        <x:v>4617431</x:v>
      </x:c>
      <x:c r="E26" s="28" t="n">
        <x:f>F6</x:f>
        <x:v>0.04621639175550214</x:v>
      </x:c>
      <x:c r="F26" s="27" t="n">
        <x:f>B7</x:f>
        <x:v>191</x:v>
      </x:c>
      <x:c r="G26" s="27" t="n">
        <x:f>C7</x:f>
        <x:v>189731</x:v>
      </x:c>
      <x:c r="H26" s="27" t="n">
        <x:f>E7</x:f>
        <x:v>3942402</x:v>
      </x:c>
      <x:c r="I26" s="28" t="n">
        <x:f>F7</x:f>
        <x:v>0.04812573654335606</x:v>
      </x:c>
      <x:c r="J26" s="28" t="n">
        <x:f>IF(C7&gt;0,G26/C7,"")</x:f>
        <x:v>1</x:v>
      </x:c>
      <x:c r="K26" s="29" t="n">
        <x:f>G26-C26</x:f>
        <x:v>-23670</x:v>
      </x:c>
      <x:c r="L26" s="30" t="n">
        <x:f>(I26-E26)*100</x:f>
        <x:v>0.19093447878539144</x:v>
      </x:c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8" t="str">
        <x:v>2026 订购件数 TOP10｜按本次上传数据排序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32" customHeight="1">
      <x:c r="A29" s="9" t="str">
        <x:v>ASIN</x:v>
      </x:c>
      <x:c r="B29" s="9" t="str">
        <x:v>产品线</x:v>
      </x:c>
      <x:c r="C29" s="9" t="str">
        <x:v>2025 件数</x:v>
      </x:c>
      <x:c r="D29" s="9" t="str">
        <x:v>2026 件数</x:v>
      </x:c>
      <x:c r="E29" s="9" t="str">
        <x:v>2026 占总量</x:v>
      </x:c>
      <x:c r="F29" s="9" t="str">
        <x:v>2026 件/GV</x:v>
      </x:c>
      <x:c r="G29" s="1"/>
      <x:c r="H29" s="1"/>
      <x:c r="I29" s="1"/>
      <x:c r="J29" s="1"/>
      <x:c r="K29" s="1"/>
      <x:c r="L29" s="1"/>
    </x:row>
    <x:row r="30" ht="23" customHeight="1">
      <x:c r="A30" s="21" t="str">
        <x:f>'ASIN明细'!A6</x:f>
        <x:v>B07RGK11RY</x:v>
      </x:c>
      <x:c r="B30" s="21" t="str">
        <x:f>'ASIN明细'!B6</x:f>
        <x:v>电动螺丝刀</x:v>
      </x:c>
      <x:c r="C30" s="31" t="n">
        <x:f>'ASIN明细'!E6</x:f>
        <x:v>26366</x:v>
      </x:c>
      <x:c r="D30" s="31" t="n">
        <x:f>'ASIN明细'!J6</x:f>
        <x:v>17223</x:v>
      </x:c>
      <x:c r="E30" s="23" t="n">
        <x:f>IF($C$7&gt;0,D30/$C$7,"")</x:f>
        <x:v>0.09077588796770164</x:v>
      </x:c>
      <x:c r="F30" s="23" t="n">
        <x:f>'ASIN明细'!M6</x:f>
        <x:v>0.06945850355499454</x:v>
      </x:c>
      <x:c r="G30" s="1"/>
      <x:c r="H30" s="1"/>
      <x:c r="I30" s="1"/>
      <x:c r="J30" s="1"/>
      <x:c r="K30" s="1"/>
      <x:c r="L30" s="1"/>
    </x:row>
    <x:row r="31" ht="23" customHeight="1">
      <x:c r="A31" s="1" t="str">
        <x:f>'ASIN明细'!A7</x:f>
        <x:v>B0F542C2DH</x:v>
      </x:c>
      <x:c r="B31" s="1" t="str">
        <x:f>'ASIN明细'!B7</x:f>
        <x:v>打磨抛光与旋转工具</x:v>
      </x:c>
      <x:c r="C31" s="32" t="n">
        <x:f>'ASIN明细'!E7</x:f>
        <x:v>1809</x:v>
      </x:c>
      <x:c r="D31" s="32" t="n">
        <x:f>'ASIN明细'!J7</x:f>
        <x:v>9361</x:v>
      </x:c>
      <x:c r="E31" s="16" t="n">
        <x:f>IF($C$7&gt;0,D31/$C$7,"")</x:f>
        <x:v>0.049338273661130756</x:v>
      </x:c>
      <x:c r="F31" s="16" t="n">
        <x:f>'ASIN明细'!M7</x:f>
        <x:v>0.051340693573775166</x:v>
      </x:c>
      <x:c r="G31" s="1"/>
      <x:c r="H31" s="1"/>
      <x:c r="I31" s="1"/>
      <x:c r="J31" s="1"/>
      <x:c r="K31" s="1"/>
      <x:c r="L31" s="1"/>
    </x:row>
    <x:row r="32" ht="23" customHeight="1">
      <x:c r="A32" s="21" t="str">
        <x:f>'ASIN明细'!A8</x:f>
        <x:v>B0D5CX7SFL</x:v>
      </x:c>
      <x:c r="B32" s="21" t="str">
        <x:f>'ASIN明细'!B8</x:f>
        <x:v>激光水平仪与测距</x:v>
      </x:c>
      <x:c r="C32" s="31" t="n">
        <x:f>'ASIN明细'!E8</x:f>
        <x:v>4930</x:v>
      </x:c>
      <x:c r="D32" s="31" t="n">
        <x:f>'ASIN明细'!J8</x:f>
        <x:v>7945</x:v>
      </x:c>
      <x:c r="E32" s="23" t="n">
        <x:f>IF($C$7&gt;0,D32/$C$7,"")</x:f>
        <x:v>0.04187507576516226</x:v>
      </x:c>
      <x:c r="F32" s="23" t="n">
        <x:f>'ASIN明细'!M8</x:f>
        <x:v>0.05610954956990918</x:v>
      </x:c>
      <x:c r="G32" s="1"/>
      <x:c r="H32" s="1"/>
      <x:c r="I32" s="1"/>
      <x:c r="J32" s="1"/>
      <x:c r="K32" s="1"/>
      <x:c r="L32" s="1"/>
    </x:row>
    <x:row r="33" ht="23" customHeight="1">
      <x:c r="A33" s="1" t="str">
        <x:f>'ASIN明细'!A9</x:f>
        <x:v>B0F1F7J8V3</x:v>
      </x:c>
      <x:c r="B33" s="1" t="str">
        <x:f>'ASIN明细'!B9</x:f>
        <x:v>清洁电器与空气净化</x:v>
      </x:c>
      <x:c r="C33" s="32" t="n">
        <x:f>'ASIN明细'!E9</x:f>
        <x:v>3090</x:v>
      </x:c>
      <x:c r="D33" s="32" t="n">
        <x:f>'ASIN明细'!J9</x:f>
        <x:v>7386</x:v>
      </x:c>
      <x:c r="E33" s="16" t="n">
        <x:f>IF($C$7&gt;0,D33/$C$7,"")</x:f>
        <x:v>0.03892879919464927</x:v>
      </x:c>
      <x:c r="F33" s="16" t="n">
        <x:f>'ASIN明细'!M9</x:f>
        <x:v>0.03855529861303238</x:v>
      </x:c>
      <x:c r="G33" s="1"/>
      <x:c r="H33" s="1"/>
      <x:c r="I33" s="1"/>
      <x:c r="J33" s="1"/>
      <x:c r="K33" s="1"/>
      <x:c r="L33" s="1"/>
    </x:row>
    <x:row r="34" ht="23" customHeight="1">
      <x:c r="A34" s="21" t="str">
        <x:f>'ASIN明细'!A10</x:f>
        <x:v>B086SQK2RK</x:v>
      </x:c>
      <x:c r="B34" s="21" t="str">
        <x:f>'ASIN明细'!B10</x:f>
        <x:v>电动螺丝刀</x:v>
      </x:c>
      <x:c r="C34" s="31" t="n">
        <x:f>'ASIN明细'!E10</x:f>
        <x:v>11075</x:v>
      </x:c>
      <x:c r="D34" s="31" t="n">
        <x:f>'ASIN明细'!J10</x:f>
        <x:v>7226</x:v>
      </x:c>
      <x:c r="E34" s="23" t="n">
        <x:f>IF($C$7&gt;0,D34/$C$7,"")</x:f>
        <x:v>0.03808549999736469</x:v>
      </x:c>
      <x:c r="F34" s="23" t="n">
        <x:f>'ASIN明细'!M10</x:f>
        <x:v>0.06956504996437993</x:v>
      </x:c>
      <x:c r="G34" s="1"/>
      <x:c r="H34" s="1"/>
      <x:c r="I34" s="1"/>
      <x:c r="J34" s="1"/>
      <x:c r="K34" s="1"/>
      <x:c r="L34" s="1"/>
    </x:row>
    <x:row r="35" ht="23" customHeight="1">
      <x:c r="A35" s="1" t="str">
        <x:f>'ASIN明细'!A11</x:f>
        <x:v>B0FGQ77SRF</x:v>
      </x:c>
      <x:c r="B35" s="1" t="str">
        <x:f>'ASIN明细'!B11</x:f>
        <x:v>口腔护理与牙套清洁</x:v>
      </x:c>
      <x:c r="C35" s="32" t="n">
        <x:f>'ASIN明细'!E11</x:f>
        <x:v>1419</x:v>
      </x:c>
      <x:c r="D35" s="32" t="n">
        <x:f>'ASIN明细'!J11</x:f>
        <x:v>6800</x:v>
      </x:c>
      <x:c r="E35" s="16" t="n">
        <x:f>IF($C$7&gt;0,D35/$C$7,"")</x:f>
        <x:v>0.035840215884594503</x:v>
      </x:c>
      <x:c r="F35" s="16" t="n">
        <x:f>'ASIN明细'!M11</x:f>
        <x:v>0.0768309493141708</x:v>
      </x:c>
      <x:c r="G35" s="1"/>
      <x:c r="H35" s="1"/>
      <x:c r="I35" s="1"/>
      <x:c r="J35" s="1"/>
      <x:c r="K35" s="1"/>
      <x:c r="L35" s="1"/>
    </x:row>
    <x:row r="36" ht="23" customHeight="1">
      <x:c r="A36" s="21" t="str">
        <x:f>'ASIN明细'!A12</x:f>
        <x:v>B0CNXDVYZN</x:v>
      </x:c>
      <x:c r="B36" s="21" t="str">
        <x:f>'ASIN明细'!B12</x:f>
        <x:v>打磨抛光与旋转工具</x:v>
      </x:c>
      <x:c r="C36" s="31" t="n">
        <x:f>'ASIN明细'!E12</x:f>
        <x:v>5009</x:v>
      </x:c>
      <x:c r="D36" s="31" t="n">
        <x:f>'ASIN明细'!J12</x:f>
        <x:v>6576</x:v>
      </x:c>
      <x:c r="E36" s="23" t="n">
        <x:f>IF($C$7&gt;0,D36/$C$7,"")</x:f>
        <x:v>0.0346595970083961</x:v>
      </x:c>
      <x:c r="F36" s="23" t="n">
        <x:f>'ASIN明细'!M12</x:f>
        <x:v>0.04523722715609457</x:v>
      </x:c>
      <x:c r="G36" s="1"/>
      <x:c r="H36" s="1"/>
      <x:c r="I36" s="1"/>
      <x:c r="J36" s="1"/>
      <x:c r="K36" s="1"/>
      <x:c r="L36" s="1"/>
    </x:row>
    <x:row r="37" ht="23" customHeight="1">
      <x:c r="A37" s="1" t="str">
        <x:f>'ASIN明细'!A13</x:f>
        <x:v>B08DJ3YH9J</x:v>
      </x:c>
      <x:c r="B37" s="1" t="str">
        <x:f>'ASIN明细'!B13</x:f>
        <x:v>打磨抛光与旋转工具</x:v>
      </x:c>
      <x:c r="C37" s="32" t="n">
        <x:f>'ASIN明细'!E13</x:f>
        <x:v>12222</x:v>
      </x:c>
      <x:c r="D37" s="32" t="n">
        <x:f>'ASIN明细'!J13</x:f>
        <x:v>6187</x:v>
      </x:c>
      <x:c r="E37" s="16" t="n">
        <x:f>IF($C$7&gt;0,D37/$C$7,"")</x:f>
        <x:v>0.03260932583499797</x:v>
      </x:c>
      <x:c r="F37" s="16" t="n">
        <x:f>'ASIN明细'!M13</x:f>
        <x:v>0.0678242948443889</x:v>
      </x:c>
      <x:c r="G37" s="1"/>
      <x:c r="H37" s="1"/>
      <x:c r="I37" s="1"/>
      <x:c r="J37" s="1"/>
      <x:c r="K37" s="1"/>
      <x:c r="L37" s="1"/>
    </x:row>
    <x:row r="38" ht="23" customHeight="1">
      <x:c r="A38" s="21" t="str">
        <x:f>'ASIN明细'!A14</x:f>
        <x:v>B07Y1K7L2K</x:v>
      </x:c>
      <x:c r="B38" s="21" t="str">
        <x:f>'ASIN明细'!B14</x:f>
        <x:v>锯片与开孔耗材</x:v>
      </x:c>
      <x:c r="C38" s="31" t="n">
        <x:f>'ASIN明细'!E14</x:f>
        <x:v>4748</x:v>
      </x:c>
      <x:c r="D38" s="31" t="n">
        <x:f>'ASIN明细'!J14</x:f>
        <x:v>5188</x:v>
      </x:c>
      <x:c r="E38" s="23" t="n">
        <x:f>IF($C$7&gt;0,D38/$C$7,"")</x:f>
        <x:v>0.027343976471952396</x:v>
      </x:c>
      <x:c r="F38" s="23" t="n">
        <x:f>'ASIN明细'!M14</x:f>
        <x:v>0.05788886409283642</x:v>
      </x:c>
      <x:c r="G38" s="1"/>
      <x:c r="H38" s="1"/>
      <x:c r="I38" s="1"/>
      <x:c r="J38" s="1"/>
      <x:c r="K38" s="1"/>
      <x:c r="L38" s="1"/>
    </x:row>
    <x:row r="39" ht="23" customHeight="1">
      <x:c r="A39" s="1" t="str">
        <x:f>'ASIN明细'!A15</x:f>
        <x:v>B0D6RG5DS5</x:v>
      </x:c>
      <x:c r="B39" s="1" t="str">
        <x:f>'ASIN明细'!B15</x:f>
        <x:v>手动工具与套装</x:v>
      </x:c>
      <x:c r="C39" s="32" t="n">
        <x:f>'ASIN明细'!E15</x:f>
        <x:v>4526</x:v>
      </x:c>
      <x:c r="D39" s="32" t="n">
        <x:f>'ASIN明细'!J15</x:f>
        <x:v>4957</x:v>
      </x:c>
      <x:c r="E39" s="16" t="n">
        <x:f>IF($C$7&gt;0,D39/$C$7,"")</x:f>
        <x:v>0.026126463255872787</x:v>
      </x:c>
      <x:c r="F39" s="16" t="n">
        <x:f>'ASIN明细'!M15</x:f>
        <x:v>0.09295653152308442</x:v>
      </x:c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36" customHeight="1">
      <x:c r="A41" s="33" t="str">
        <x:v>口径提示</x:v>
      </x:c>
      <x:c r="B41" s="35" t="str">
        <x:v>件/GV是件数与商品页面浏览量之比，可能高于按订单数计算的CVR；跨年仅比较该同口径指标。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36" customHeight="1">
      <x:c r="A42" s="33" t="str">
        <x:v>2025 源CVR</x:v>
      </x:c>
      <x:c r="B42" s="35" t="str">
        <x:v>2025汇总行原始CVR为4.32%，与件/GV（4.62%）不是同一指标；ASIN明细保留原值。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36" customHeight="1">
      <x:c r="A43" s="33" t="str">
        <x:v>2026 源CVR①</x:v>
      </x:c>
      <x:c r="B43" s="35" t="str">
        <x:v>2026有两列同名CVR；第二列逐行精确等于件/GV，第一列口径不明，汇总行15.7072为逐项相加，勿作总体CVR。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36" customHeight="1">
      <x:c r="A44" s="33" t="str">
        <x:v>数据时间</x:v>
      </x:c>
      <x:c r="B44" s="35" t="str">
        <x:v>原表无2026截止日、站点拆分及期间说明；本表仅比较上传两页的记录值。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36" customHeight="1">
      <x:c r="A45" s="33" t="str">
        <x:v>产品线归类</x:v>
      </x:c>
      <x:c r="B45" s="35" t="str">
        <x:v>产品线按标题人工归一；组合装按主商品归类，同一产品的不同ASIN分别计数。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</x:sheetData>
  <x:mergeCells>
    <x:mergeCell ref="B41:L41"/>
    <x:mergeCell ref="B42:L42"/>
    <x:mergeCell ref="B43:L43"/>
    <x:mergeCell ref="B44:L44"/>
    <x:mergeCell ref="B45:L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78DA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7" hidden="0" customWidth="1"/>
    <x:col min="3" max="3" width="66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3" hidden="0" customWidth="1"/>
    <x:col min="13" max="13" width="23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2" t="str">
        <x:v>ASIN逐项明细｜原始数据与同口径计算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 t="str">
        <x:v>源文件：metric-data (2025).xlsx，工作表 metric-data 2025 / metric-data 2026；2026“总计”行已剔除。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32" customHeight="1">
      <x:c r="A5" s="9" t="str">
        <x:v>ASIN</x:v>
      </x:c>
      <x:c r="B5" s="9" t="str">
        <x:v>产品线</x:v>
      </x:c>
      <x:c r="C5" s="9" t="str">
        <x:v>商品标题</x:v>
      </x:c>
      <x:c r="D5" s="9" t="str">
        <x:v>存在期间</x:v>
      </x:c>
      <x:c r="E5" s="9" t="str">
        <x:v>2025 件数</x:v>
      </x:c>
      <x:c r="F5" s="9" t="str">
        <x:v>2025 GV</x:v>
      </x:c>
      <x:c r="G5" s="9" t="str">
        <x:v>2025 源CVR</x:v>
      </x:c>
      <x:c r="H5" s="9" t="str">
        <x:v>2025 件/GV</x:v>
      </x:c>
      <x:c r="I5" s="9" t="str">
        <x:v>2025 收入 (€)</x:v>
      </x:c>
      <x:c r="J5" s="9" t="str">
        <x:v>2026 件数</x:v>
      </x:c>
      <x:c r="K5" s="9" t="str">
        <x:v>2026 GV</x:v>
      </x:c>
      <x:c r="L5" s="9" t="str">
        <x:v>2026 源CVR①（待核）</x:v>
      </x:c>
      <x:c r="M5" s="9" t="str">
        <x:v>2026 件/GV / 源CVR②</x:v>
      </x:c>
      <x:c r="N5" s="9" t="str">
        <x:v>2026 收入 (€)</x:v>
      </x:c>
      <x:c r="O5" s="9" t="str">
        <x:v>件数差</x:v>
      </x:c>
      <x:c r="P5" s="9" t="str">
        <x:v>GV差</x:v>
      </x:c>
      <x:c r="Q5" s="9" t="str">
        <x:v>件/GV差 (pp)</x:v>
      </x:c>
      <x:c r="R5" s="9" t="str">
        <x:v>2025 退货件</x:v>
      </x:c>
      <x:c r="S5" s="9" t="str">
        <x:v>2026 退货件</x:v>
      </x:c>
    </x:row>
    <x:row r="6" ht="22" customHeight="1">
      <x:c r="A6" s="1" t="str">
        <x:v>B07RGK11RY</x:v>
      </x:c>
      <x:c r="B6" s="1" t="str">
        <x:v>电动螺丝刀</x:v>
      </x:c>
      <x:c r="C6" s="1" t="str">
        <x:v>HYCHIKA Avvitatore a Batteria 6Nm, Cacciavite Elettrico 3.6 V 2.0 Ah, Avvitatore Elettrico, Luce a LE, Cavo di Ricarica USB, 35 Accessori, Custodia</x:v>
      </x:c>
      <x:c r="D6" s="1" t="str">
        <x:v>两年均有</x:v>
      </x:c>
      <x:c r="E6" s="12" t="n">
        <x:v>26366</x:v>
      </x:c>
      <x:c r="F6" s="12" t="n">
        <x:v>362208</x:v>
      </x:c>
      <x:c r="G6" s="16" t="n">
        <x:v>0.0715</x:v>
      </x:c>
      <x:c r="H6" s="16" t="n">
        <x:f>IF(F6&gt;0,E6/F6,"")</x:f>
        <x:v>0.0727924286597756</x:v>
      </x:c>
      <x:c r="I6" s="36" t="n">
        <x:v>514386.46</x:v>
      </x:c>
      <x:c r="J6" s="12" t="n">
        <x:v>17223</x:v>
      </x:c>
      <x:c r="K6" s="12" t="n">
        <x:v>247961</x:v>
      </x:c>
      <x:c r="L6" s="16" t="n">
        <x:v>0.2094</x:v>
      </x:c>
      <x:c r="M6" s="16" t="n">
        <x:f>IF(K6&gt;0,J6/K6,"")</x:f>
        <x:v>0.06945850355499454</x:v>
      </x:c>
      <x:c r="N6" s="36" t="n">
        <x:v>364155.54</x:v>
      </x:c>
      <x:c r="O6" s="19" t="n">
        <x:f>J6-E6</x:f>
        <x:v>-9143</x:v>
      </x:c>
      <x:c r="P6" s="19" t="n">
        <x:f>K6-F6</x:f>
        <x:v>-114247</x:v>
      </x:c>
      <x:c r="Q6" s="20" t="n">
        <x:f>IF(AND(F6&gt;0,K6&gt;0),(M6-H6)*100,"")</x:f>
        <x:v>-0.33339251047810603</x:v>
      </x:c>
      <x:c r="R6" s="12" t="n">
        <x:v>1521</x:v>
      </x:c>
      <x:c r="S6" s="12" t="n">
        <x:v>1034</x:v>
      </x:c>
    </x:row>
    <x:row r="7" ht="22" customHeight="1">
      <x:c r="A7" s="1" t="str">
        <x:v>B0F542C2DH</x:v>
      </x:c>
      <x:c r="B7" s="1" t="str">
        <x:v>打磨抛光与旋转工具</x:v>
      </x:c>
      <x:c r="C7" s="1" t="str">
        <x:v>HYCHIKA Mini Trapano,3.6V Utensile Rotante Multifunzione con 89 Accessori per Foratura,Levigatura,Lucidatura,Incisione,Mini Trapano con velocità regolabile e ricarica USB-C,Ideale per piccoli DIY.</x:v>
      </x:c>
      <x:c r="D7" s="1" t="str">
        <x:v>两年均有</x:v>
      </x:c>
      <x:c r="E7" s="12" t="n">
        <x:v>1809</x:v>
      </x:c>
      <x:c r="F7" s="12" t="n">
        <x:v>41728</x:v>
      </x:c>
      <x:c r="G7" s="16" t="n">
        <x:v>0.0423</x:v>
      </x:c>
      <x:c r="H7" s="16" t="n">
        <x:f>IF(F7&gt;0,E7/F7,"")</x:f>
        <x:v>0.043352185582822084</x:v>
      </x:c>
      <x:c r="I7" s="36" t="n">
        <x:v>34084.81</x:v>
      </x:c>
      <x:c r="J7" s="12" t="n">
        <x:v>9361</x:v>
      </x:c>
      <x:c r="K7" s="12" t="n">
        <x:v>182331</x:v>
      </x:c>
      <x:c r="L7" s="16" t="n">
        <x:v>0.1517</x:v>
      </x:c>
      <x:c r="M7" s="16" t="n">
        <x:f>IF(K7&gt;0,J7/K7,"")</x:f>
        <x:v>0.051340693573775166</x:v>
      </x:c>
      <x:c r="N7" s="36" t="n">
        <x:v>158150.77</x:v>
      </x:c>
      <x:c r="O7" s="19" t="n">
        <x:f>J7-E7</x:f>
        <x:v>7552</x:v>
      </x:c>
      <x:c r="P7" s="19" t="n">
        <x:f>K7-F7</x:f>
        <x:v>140603</x:v>
      </x:c>
      <x:c r="Q7" s="20" t="n">
        <x:f>IF(AND(F7&gt;0,K7&gt;0),(M7-H7)*100,"")</x:f>
        <x:v>0.7988507990953082</x:v>
      </x:c>
      <x:c r="R7" s="12" t="n">
        <x:v>104</x:v>
      </x:c>
      <x:c r="S7" s="12" t="n">
        <x:v>710</x:v>
      </x:c>
    </x:row>
    <x:row r="8" ht="22" customHeight="1">
      <x:c r="A8" s="1" t="str">
        <x:v>B0D5CX7SFL</x:v>
      </x:c>
      <x:c r="B8" s="1" t="str">
        <x:v>激光水平仪与测距</x:v>
      </x:c>
      <x:c r="C8" s="1" t="str">
        <x:v>HYCHIKA Nivel Láser Autonivelante 15M, Nivel Laser Verde Ajustable con 3 Niveles de Brillo, Laser Autonivelante Uso Interior y Exterior, Soporte Magnético 360° Rotación 2 Batería Incluida</x:v>
      </x:c>
      <x:c r="D8" s="1" t="str">
        <x:v>两年均有</x:v>
      </x:c>
      <x:c r="E8" s="12" t="n">
        <x:v>4930</x:v>
      </x:c>
      <x:c r="F8" s="12" t="n">
        <x:v>83917</x:v>
      </x:c>
      <x:c r="G8" s="16" t="n">
        <x:v>0.0585</x:v>
      </x:c>
      <x:c r="H8" s="16" t="n">
        <x:f>IF(F8&gt;0,E8/F8,"")</x:f>
        <x:v>0.0587485253285985</x:v>
      </x:c>
      <x:c r="I8" s="36" t="n">
        <x:v>113965.81</x:v>
      </x:c>
      <x:c r="J8" s="12" t="n">
        <x:v>7945</x:v>
      </x:c>
      <x:c r="K8" s="12" t="n">
        <x:v>141598</x:v>
      </x:c>
      <x:c r="L8" s="16" t="n">
        <x:v>0.1706</x:v>
      </x:c>
      <x:c r="M8" s="16" t="n">
        <x:f>IF(K8&gt;0,J8/K8,"")</x:f>
        <x:v>0.05610954956990918</x:v>
      </x:c>
      <x:c r="N8" s="36" t="n">
        <x:v>177296.05</x:v>
      </x:c>
      <x:c r="O8" s="19" t="n">
        <x:f>J8-E8</x:f>
        <x:v>3015</x:v>
      </x:c>
      <x:c r="P8" s="19" t="n">
        <x:f>K8-F8</x:f>
        <x:v>57681</x:v>
      </x:c>
      <x:c r="Q8" s="20" t="n">
        <x:f>IF(AND(F8&gt;0,K8&gt;0),(M8-H8)*100,"")</x:f>
        <x:v>-0.26389757586893214</x:v>
      </x:c>
      <x:c r="R8" s="12" t="n">
        <x:v>436</x:v>
      </x:c>
      <x:c r="S8" s="12" t="n">
        <x:v>679</x:v>
      </x:c>
    </x:row>
    <x:row r="9" ht="22" customHeight="1">
      <x:c r="A9" s="1" t="str">
        <x:v>B0F1F7J8V3</x:v>
      </x:c>
      <x:c r="B9" s="1" t="str">
        <x:v>清洁电器与空气净化</x:v>
      </x:c>
      <x:c r="C9" s="1" t="str">
        <x:v>HYCHIKA Milbensauger für Matratzen 16 kPa UV-C, Ultraschall, 60°C Heißluft</x:v>
      </x:c>
      <x:c r="D9" s="1" t="str">
        <x:v>两年均有</x:v>
      </x:c>
      <x:c r="E9" s="12" t="n">
        <x:v>3090</x:v>
      </x:c>
      <x:c r="F9" s="12" t="n">
        <x:v>121297</x:v>
      </x:c>
      <x:c r="G9" s="16" t="n">
        <x:v>0.0222</x:v>
      </x:c>
      <x:c r="H9" s="16" t="n">
        <x:f>IF(F9&gt;0,E9/F9,"")</x:f>
        <x:v>0.025474661368376793</x:v>
      </x:c>
      <x:c r="I9" s="36" t="n">
        <x:v>173067.55</x:v>
      </x:c>
      <x:c r="J9" s="12" t="n">
        <x:v>7386</x:v>
      </x:c>
      <x:c r="K9" s="12" t="n">
        <x:v>191569</x:v>
      </x:c>
      <x:c r="L9" s="16" t="n">
        <x:v>0.115</x:v>
      </x:c>
      <x:c r="M9" s="16" t="n">
        <x:f>IF(K9&gt;0,J9/K9,"")</x:f>
        <x:v>0.03855529861303238</x:v>
      </x:c>
      <x:c r="N9" s="36" t="n">
        <x:v>426637.77</x:v>
      </x:c>
      <x:c r="O9" s="19" t="n">
        <x:f>J9-E9</x:f>
        <x:v>4296</x:v>
      </x:c>
      <x:c r="P9" s="19" t="n">
        <x:f>K9-F9</x:f>
        <x:v>70272</x:v>
      </x:c>
      <x:c r="Q9" s="20" t="n">
        <x:f>IF(AND(F9&gt;0,K9&gt;0),(M9-H9)*100,"")</x:f>
        <x:v>1.3080637244655584</x:v>
      </x:c>
      <x:c r="R9" s="12" t="n">
        <x:v>139</x:v>
      </x:c>
      <x:c r="S9" s="12" t="n">
        <x:v>490</x:v>
      </x:c>
    </x:row>
    <x:row r="10" ht="22" customHeight="1">
      <x:c r="A10" s="1" t="str">
        <x:v>B086SQK2RK</x:v>
      </x:c>
      <x:c r="B10" s="1" t="str">
        <x:v>电动螺丝刀</x:v>
      </x:c>
      <x:c r="C10" s="1" t="str">
        <x:v>HYCHIKA Destornillador Eléctrico 6N.m, Atornillador Eléctrico Inalámbrico 3.6v Batería 2000mAh (Máximo Par 6 N.m) LED Luz, Mandril Magnétic, Cable USB, 20 Accesorios</x:v>
      </x:c>
      <x:c r="D10" s="1" t="str">
        <x:v>两年均有</x:v>
      </x:c>
      <x:c r="E10" s="12" t="n">
        <x:v>11075</x:v>
      </x:c>
      <x:c r="F10" s="12" t="n">
        <x:v>154166</x:v>
      </x:c>
      <x:c r="G10" s="16" t="n">
        <x:v>0.0703</x:v>
      </x:c>
      <x:c r="H10" s="16" t="n">
        <x:f>IF(F10&gt;0,E10/F10,"")</x:f>
        <x:v>0.07183814848929077</x:v>
      </x:c>
      <x:c r="I10" s="36" t="n">
        <x:v>181503.17</x:v>
      </x:c>
      <x:c r="J10" s="12" t="n">
        <x:v>7226</x:v>
      </x:c>
      <x:c r="K10" s="12" t="n">
        <x:v>103874</x:v>
      </x:c>
      <x:c r="L10" s="16" t="n">
        <x:v>0.1973</x:v>
      </x:c>
      <x:c r="M10" s="16" t="n">
        <x:f>IF(K10&gt;0,J10/K10,"")</x:f>
        <x:v>0.06956504996437993</x:v>
      </x:c>
      <x:c r="N10" s="36" t="n">
        <x:v>120465.19</x:v>
      </x:c>
      <x:c r="O10" s="19" t="n">
        <x:f>J10-E10</x:f>
        <x:v>-3849</x:v>
      </x:c>
      <x:c r="P10" s="19" t="n">
        <x:f>K10-F10</x:f>
        <x:v>-50292</x:v>
      </x:c>
      <x:c r="Q10" s="20" t="n">
        <x:f>IF(AND(F10&gt;0,K10&gt;0),(M10-H10)*100,"")</x:f>
        <x:v>-0.22730985249108382</x:v>
      </x:c>
      <x:c r="R10" s="12" t="n">
        <x:v>639</x:v>
      </x:c>
      <x:c r="S10" s="12" t="n">
        <x:v>461</x:v>
      </x:c>
    </x:row>
    <x:row r="11" ht="22" customHeight="1">
      <x:c r="A11" s="1" t="str">
        <x:v>B0FGQ77SRF</x:v>
      </x:c>
      <x:c r="B11" s="1" t="str">
        <x:v>口腔护理与牙套清洁</x:v>
      </x:c>
      <x:c r="C11" s="1" t="str">
        <x:v>Ultraschallreinigungsgerät Zahnschiene mit UV Sterilisierung,45 kHz Hochfrequenz, 4 Modi UV Zahnschiene Reinigung,200 ml,Zahnreinigungsbehälter,Retainers,Aligner etc.,（Weiß）</x:v>
      </x:c>
      <x:c r="D11" s="1" t="str">
        <x:v>两年均有</x:v>
      </x:c>
      <x:c r="E11" s="12" t="n">
        <x:v>1419</x:v>
      </x:c>
      <x:c r="F11" s="12" t="n">
        <x:v>18533</x:v>
      </x:c>
      <x:c r="G11" s="16" t="n">
        <x:v>0.0623</x:v>
      </x:c>
      <x:c r="H11" s="16" t="n">
        <x:f>IF(F11&gt;0,E11/F11,"")</x:f>
        <x:v>0.0765661252900232</x:v>
      </x:c>
      <x:c r="I11" s="36" t="n">
        <x:v>41021.94</x:v>
      </x:c>
      <x:c r="J11" s="12" t="n">
        <x:v>6800</x:v>
      </x:c>
      <x:c r="K11" s="12" t="n">
        <x:v>88506</x:v>
      </x:c>
      <x:c r="L11" s="16" t="n">
        <x:v>0.2223</x:v>
      </x:c>
      <x:c r="M11" s="16" t="n">
        <x:f>IF(K11&gt;0,J11/K11,"")</x:f>
        <x:v>0.0768309493141708</x:v>
      </x:c>
      <x:c r="N11" s="36" t="n">
        <x:v>198758.49</x:v>
      </x:c>
      <x:c r="O11" s="19" t="n">
        <x:f>J11-E11</x:f>
        <x:v>5381</x:v>
      </x:c>
      <x:c r="P11" s="19" t="n">
        <x:f>K11-F11</x:f>
        <x:v>69973</x:v>
      </x:c>
      <x:c r="Q11" s="20" t="n">
        <x:f>IF(AND(F11&gt;0,K11&gt;0),(M11-H11)*100,"")</x:f>
        <x:v>0.026482402414759743</x:v>
      </x:c>
      <x:c r="R11" s="12" t="n">
        <x:v>29</x:v>
      </x:c>
      <x:c r="S11" s="12" t="n">
        <x:v>283</x:v>
      </x:c>
    </x:row>
    <x:row r="12" ht="22" customHeight="1">
      <x:c r="A12" s="1" t="str">
        <x:v>B0CNXDVYZN</x:v>
      </x:c>
      <x:c r="B12" s="1" t="str">
        <x:v>打磨抛光与旋转工具</x:v>
      </x:c>
      <x:c r="C12" s="1" t="str">
        <x:v>HYCHIKA 170W utensile rotante 6 Velocità Variabili 8000-35000 RPM</x:v>
      </x:c>
      <x:c r="D12" s="1" t="str">
        <x:v>两年均有</x:v>
      </x:c>
      <x:c r="E12" s="12" t="n">
        <x:v>5009</x:v>
      </x:c>
      <x:c r="F12" s="12" t="n">
        <x:v>131050</x:v>
      </x:c>
      <x:c r="G12" s="16" t="n">
        <x:v>0.0372</x:v>
      </x:c>
      <x:c r="H12" s="16" t="n">
        <x:f>IF(F12&gt;0,E12/F12,"")</x:f>
        <x:v>0.03822205265165967</x:v>
      </x:c>
      <x:c r="I12" s="36" t="n">
        <x:v>151955.15</x:v>
      </x:c>
      <x:c r="J12" s="12" t="n">
        <x:v>6576</x:v>
      </x:c>
      <x:c r="K12" s="12" t="n">
        <x:v>145367</x:v>
      </x:c>
      <x:c r="L12" s="16" t="n">
        <x:v>0.1347</x:v>
      </x:c>
      <x:c r="M12" s="16" t="n">
        <x:f>IF(K12&gt;0,J12/K12,"")</x:f>
        <x:v>0.04523722715609457</x:v>
      </x:c>
      <x:c r="N12" s="36" t="n">
        <x:v>188662.46</x:v>
      </x:c>
      <x:c r="O12" s="19" t="n">
        <x:f>J12-E12</x:f>
        <x:v>1567</x:v>
      </x:c>
      <x:c r="P12" s="19" t="n">
        <x:f>K12-F12</x:f>
        <x:v>14317</x:v>
      </x:c>
      <x:c r="Q12" s="20" t="n">
        <x:f>IF(AND(F12&gt;0,K12&gt;0),(M12-H12)*100,"")</x:f>
        <x:v>0.7015174504434902</x:v>
      </x:c>
      <x:c r="R12" s="12" t="n">
        <x:v>294</x:v>
      </x:c>
      <x:c r="S12" s="12" t="n">
        <x:v>446</x:v>
      </x:c>
    </x:row>
    <x:row r="13" ht="22" customHeight="1">
      <x:c r="A13" s="1" t="str">
        <x:v>B08DJ3YH9J</x:v>
      </x:c>
      <x:c r="B13" s="1" t="str">
        <x:v>打磨抛光与旋转工具</x:v>
      </x:c>
      <x:c r="C13" s="1" t="str">
        <x:v>HYCHIKA Multischleifer, Deltaschleifer 200W, mit 12 Schleifblätter (Körnung 80/120/240), 14000 U/min, Klettfix-System, Staubsaugbeutel, Schleifmaschine für Ecke &amp; Kante, Metal &amp; Holz</x:v>
      </x:c>
      <x:c r="D13" s="1" t="str">
        <x:v>两年均有</x:v>
      </x:c>
      <x:c r="E13" s="12" t="n">
        <x:v>12222</x:v>
      </x:c>
      <x:c r="F13" s="12" t="n">
        <x:v>154570</x:v>
      </x:c>
      <x:c r="G13" s="16" t="n">
        <x:v>0.079</x:v>
      </x:c>
      <x:c r="H13" s="16" t="n">
        <x:f>IF(F13&gt;0,E13/F13,"")</x:f>
        <x:v>0.07907097108106359</x:v>
      </x:c>
      <x:c r="I13" s="36" t="n">
        <x:v>309048.37</x:v>
      </x:c>
      <x:c r="J13" s="12" t="n">
        <x:v>6187</x:v>
      </x:c>
      <x:c r="K13" s="12" t="n">
        <x:v>91221</x:v>
      </x:c>
      <x:c r="L13" s="16" t="n">
        <x:v>0.2024</x:v>
      </x:c>
      <x:c r="M13" s="16" t="n">
        <x:f>IF(K13&gt;0,J13/K13,"")</x:f>
        <x:v>0.0678242948443889</x:v>
      </x:c>
      <x:c r="N13" s="36" t="n">
        <x:v>161833.01</x:v>
      </x:c>
      <x:c r="O13" s="19" t="n">
        <x:f>J13-E13</x:f>
        <x:v>-6035</x:v>
      </x:c>
      <x:c r="P13" s="19" t="n">
        <x:f>K13-F13</x:f>
        <x:v>-63349</x:v>
      </x:c>
      <x:c r="Q13" s="20" t="n">
        <x:f>IF(AND(F13&gt;0,K13&gt;0),(M13-H13)*100,"")</x:f>
        <x:v>-1.124667623667469</x:v>
      </x:c>
      <x:c r="R13" s="12" t="n">
        <x:v>800</x:v>
      </x:c>
      <x:c r="S13" s="12" t="n">
        <x:v>380</x:v>
      </x:c>
    </x:row>
    <x:row r="14" ht="22" customHeight="1">
      <x:c r="A14" s="1" t="str">
        <x:v>B07Y1K7L2K</x:v>
      </x:c>
      <x:c r="B14" s="1" t="str">
        <x:v>锯片与开孔耗材</x:v>
      </x:c>
      <x:c r="C14" s="1" t="str">
        <x:v>HYCHIKA Seghe per Trapano 19 Pezzi, Ø19mm-152mm</x:v>
      </x:c>
      <x:c r="D14" s="1" t="str">
        <x:v>两年均有</x:v>
      </x:c>
      <x:c r="E14" s="12" t="n">
        <x:v>4748</x:v>
      </x:c>
      <x:c r="F14" s="12" t="n">
        <x:v>81970</x:v>
      </x:c>
      <x:c r="G14" s="16" t="n">
        <x:v>0.0576</x:v>
      </x:c>
      <x:c r="H14" s="16" t="n">
        <x:f>IF(F14&gt;0,E14/F14,"")</x:f>
        <x:v>0.057923630596559715</x:v>
      </x:c>
      <x:c r="I14" s="36" t="n">
        <x:v>93292.32</x:v>
      </x:c>
      <x:c r="J14" s="12" t="n">
        <x:v>5188</x:v>
      </x:c>
      <x:c r="K14" s="12" t="n">
        <x:v>89620</x:v>
      </x:c>
      <x:c r="L14" s="16" t="n">
        <x:v>0.1731</x:v>
      </x:c>
      <x:c r="M14" s="16" t="n">
        <x:f>IF(K14&gt;0,J14/K14,"")</x:f>
        <x:v>0.05788886409283642</x:v>
      </x:c>
      <x:c r="N14" s="36" t="n">
        <x:v>99103.12</x:v>
      </x:c>
      <x:c r="O14" s="19" t="n">
        <x:f>J14-E14</x:f>
        <x:v>440</x:v>
      </x:c>
      <x:c r="P14" s="19" t="n">
        <x:f>K14-F14</x:f>
        <x:v>7650</x:v>
      </x:c>
      <x:c r="Q14" s="20" t="n">
        <x:f>IF(AND(F14&gt;0,K14&gt;0),(M14-H14)*100,"")</x:f>
        <x:v>-0.003476650372329776</x:v>
      </x:c>
      <x:c r="R14" s="12" t="n">
        <x:v>202</x:v>
      </x:c>
      <x:c r="S14" s="12" t="n">
        <x:v>216</x:v>
      </x:c>
    </x:row>
    <x:row r="15" ht="22" customHeight="1">
      <x:c r="A15" s="1" t="str">
        <x:v>B0D6RG5DS5</x:v>
      </x:c>
      <x:c r="B15" s="1" t="str">
        <x:v>手动工具与套装</x:v>
      </x:c>
      <x:c r="C15" s="1" t="str">
        <x:v>HYCHIKA Schraubendreher Set, 30 PCS Schraubenzieher Set, Einschließlich Kreuzschruubendreeher, Flachschraubendreher, Geeignet für DIY, Wartungsmöbel, Spielzeug</x:v>
      </x:c>
      <x:c r="D15" s="1" t="str">
        <x:v>两年均有</x:v>
      </x:c>
      <x:c r="E15" s="12" t="n">
        <x:v>4526</x:v>
      </x:c>
      <x:c r="F15" s="12" t="n">
        <x:v>55849</x:v>
      </x:c>
      <x:c r="G15" s="16" t="n">
        <x:v>0.0764</x:v>
      </x:c>
      <x:c r="H15" s="16" t="n">
        <x:f>IF(F15&gt;0,E15/F15,"")</x:f>
        <x:v>0.08103994699994628</x:v>
      </x:c>
      <x:c r="I15" s="36" t="n">
        <x:v>54921.01</x:v>
      </x:c>
      <x:c r="J15" s="12" t="n">
        <x:v>4957</x:v>
      </x:c>
      <x:c r="K15" s="12" t="n">
        <x:v>53326</x:v>
      </x:c>
      <x:c r="L15" s="16" t="n">
        <x:v>0.2731</x:v>
      </x:c>
      <x:c r="M15" s="16" t="n">
        <x:f>IF(K15&gt;0,J15/K15,"")</x:f>
        <x:v>0.09295653152308442</x:v>
      </x:c>
      <x:c r="N15" s="36" t="n">
        <x:v>63285.44</x:v>
      </x:c>
      <x:c r="O15" s="19" t="n">
        <x:f>J15-E15</x:f>
        <x:v>431</x:v>
      </x:c>
      <x:c r="P15" s="19" t="n">
        <x:f>K15-F15</x:f>
        <x:v>-2523</x:v>
      </x:c>
      <x:c r="Q15" s="20" t="n">
        <x:f>IF(AND(F15&gt;0,K15&gt;0),(M15-H15)*100,"")</x:f>
        <x:v>1.1916584523138138</x:v>
      </x:c>
      <x:c r="R15" s="12" t="n">
        <x:v>70</x:v>
      </x:c>
      <x:c r="S15" s="12" t="n">
        <x:v>74</x:v>
      </x:c>
    </x:row>
    <x:row r="16" ht="22" customHeight="1">
      <x:c r="A16" s="1" t="str">
        <x:v>B0998L12KH</x:v>
      </x:c>
      <x:c r="B16" s="1" t="str">
        <x:v>电锯与电动切割</x:v>
      </x:c>
      <x:c r="C16" s="1" t="str">
        <x:v>HYCHIKA Stichsäge, 800W Max Holz Schnitttiefe 110mm, 800-3000SPM</x:v>
      </x:c>
      <x:c r="D16" s="1" t="str">
        <x:v>两年均有</x:v>
      </x:c>
      <x:c r="E16" s="12" t="n">
        <x:v>5347</x:v>
      </x:c>
      <x:c r="F16" s="12" t="n">
        <x:v>95401</x:v>
      </x:c>
      <x:c r="G16" s="16" t="n">
        <x:v>0.056</x:v>
      </x:c>
      <x:c r="H16" s="16" t="n">
        <x:f>IF(F16&gt;0,E16/F16,"")</x:f>
        <x:v>0.05604763052798189</x:v>
      </x:c>
      <x:c r="I16" s="36" t="n">
        <x:v>176008.94</x:v>
      </x:c>
      <x:c r="J16" s="12" t="n">
        <x:v>4658</x:v>
      </x:c>
      <x:c r="K16" s="12" t="n">
        <x:v>70084</x:v>
      </x:c>
      <x:c r="L16" s="16" t="n">
        <x:v>0.2007</x:v>
      </x:c>
      <x:c r="M16" s="16" t="n">
        <x:f>IF(K16&gt;0,J16/K16,"")</x:f>
        <x:v>0.06646310142115176</x:v>
      </x:c>
      <x:c r="N16" s="36" t="n">
        <x:v>152917.65</x:v>
      </x:c>
      <x:c r="O16" s="19" t="n">
        <x:f>J16-E16</x:f>
        <x:v>-689</x:v>
      </x:c>
      <x:c r="P16" s="19" t="n">
        <x:f>K16-F16</x:f>
        <x:v>-25317</x:v>
      </x:c>
      <x:c r="Q16" s="20" t="n">
        <x:f>IF(AND(F16&gt;0,K16&gt;0),(M16-H16)*100,"")</x:f>
        <x:v>1.0415470893169874</x:v>
      </x:c>
      <x:c r="R16" s="12" t="n">
        <x:v>437</x:v>
      </x:c>
      <x:c r="S16" s="12" t="n">
        <x:v>387</x:v>
      </x:c>
    </x:row>
    <x:row r="17" ht="22" customHeight="1">
      <x:c r="A17" s="1" t="str">
        <x:v>B086SRGF6M</x:v>
      </x:c>
      <x:c r="B17" s="1" t="str">
        <x:v>锯片与开孔耗材</x:v>
      </x:c>
      <x:c r="C17" s="1" t="str">
        <x:v>HYCHIKA Bimetall Lochsäge Set, 17tlg Lochbohrer Ø20mm-68mm, Maximale Schnitttiefe 40mm, Ideal zum Bohren von Weichmetall, Holz, PVC Platte und Kunststoffplatte</x:v>
      </x:c>
      <x:c r="D17" s="1" t="str">
        <x:v>两年均有</x:v>
      </x:c>
      <x:c r="E17" s="12" t="n">
        <x:v>5082</x:v>
      </x:c>
      <x:c r="F17" s="12" t="n">
        <x:v>99621</x:v>
      </x:c>
      <x:c r="G17" s="16" t="n">
        <x:v>0.0508</x:v>
      </x:c>
      <x:c r="H17" s="16" t="n">
        <x:f>IF(F17&gt;0,E17/F17,"")</x:f>
        <x:v>0.05101334056072515</x:v>
      </x:c>
      <x:c r="I17" s="36" t="n">
        <x:v>162304.32</x:v>
      </x:c>
      <x:c r="J17" s="12" t="n">
        <x:v>4078</x:v>
      </x:c>
      <x:c r="K17" s="12" t="n">
        <x:v>67578</x:v>
      </x:c>
      <x:c r="L17" s="16" t="n">
        <x:v>0.1797</x:v>
      </x:c>
      <x:c r="M17" s="16" t="n">
        <x:f>IF(K17&gt;0,J17/K17,"")</x:f>
        <x:v>0.06034508271922815</x:v>
      </x:c>
      <x:c r="N17" s="36" t="n">
        <x:v>122644.11</x:v>
      </x:c>
      <x:c r="O17" s="19" t="n">
        <x:f>J17-E17</x:f>
        <x:v>-1004</x:v>
      </x:c>
      <x:c r="P17" s="19" t="n">
        <x:f>K17-F17</x:f>
        <x:v>-32043</x:v>
      </x:c>
      <x:c r="Q17" s="20" t="n">
        <x:f>IF(AND(F17&gt;0,K17&gt;0),(M17-H17)*100,"")</x:f>
        <x:v>0.9331742158502999</x:v>
      </x:c>
      <x:c r="R17" s="12" t="n">
        <x:v>161</x:v>
      </x:c>
      <x:c r="S17" s="12" t="n">
        <x:v>107</x:v>
      </x:c>
    </x:row>
    <x:row r="18" ht="22" customHeight="1">
      <x:c r="A18" s="1" t="str">
        <x:v>B08DHP1D2X</x:v>
      </x:c>
      <x:c r="B18" s="1" t="str">
        <x:v>打磨抛光与旋转工具</x:v>
      </x:c>
      <x:c r="C18" s="1" t="str">
        <x:v>HYCHIKA Lijadora Orbital 300W, 6 Velocidad 13000RPM, Motor Cobre.</x:v>
      </x:c>
      <x:c r="D18" s="1" t="str">
        <x:v>两年均有</x:v>
      </x:c>
      <x:c r="E18" s="12" t="n">
        <x:v>5352</x:v>
      </x:c>
      <x:c r="F18" s="12" t="n">
        <x:v>102362</x:v>
      </x:c>
      <x:c r="G18" s="16" t="n">
        <x:v>0.0513</x:v>
      </x:c>
      <x:c r="H18" s="16" t="n">
        <x:f>IF(F18&gt;0,E18/F18,"")</x:f>
        <x:v>0.05228502764697837</x:v>
      </x:c>
      <x:c r="I18" s="36" t="n">
        <x:v>159522.5</x:v>
      </x:c>
      <x:c r="J18" s="12" t="n">
        <x:v>3813</x:v>
      </x:c>
      <x:c r="K18" s="12" t="n">
        <x:v>66917</x:v>
      </x:c>
      <x:c r="L18" s="16" t="n">
        <x:v>0.1689</x:v>
      </x:c>
      <x:c r="M18" s="16" t="n">
        <x:f>IF(K18&gt;0,J18/K18,"")</x:f>
        <x:v>0.05698103620903507</x:v>
      </x:c>
      <x:c r="N18" s="36" t="n">
        <x:v>103608.73</x:v>
      </x:c>
      <x:c r="O18" s="19" t="n">
        <x:f>J18-E18</x:f>
        <x:v>-1539</x:v>
      </x:c>
      <x:c r="P18" s="19" t="n">
        <x:f>K18-F18</x:f>
        <x:v>-35445</x:v>
      </x:c>
      <x:c r="Q18" s="20" t="n">
        <x:f>IF(AND(F18&gt;0,K18&gt;0),(M18-H18)*100,"")</x:f>
        <x:v>0.46960085620567016</x:v>
      </x:c>
      <x:c r="R18" s="12" t="n">
        <x:v>461</x:v>
      </x:c>
      <x:c r="S18" s="12" t="n">
        <x:v>224</x:v>
      </x:c>
    </x:row>
    <x:row r="19" ht="22" customHeight="1">
      <x:c r="A19" s="1" t="str">
        <x:v>B07S4KB14N</x:v>
      </x:c>
      <x:c r="B19" s="1" t="str">
        <x:v>电锯与电动切割</x:v>
      </x:c>
      <x:c r="C19" s="1" t="str">
        <x:v>HYCHIKA Stichsäge, 800W Max Holz Schnitttiefe 110mm</x:v>
      </x:c>
      <x:c r="D19" s="1" t="str">
        <x:v>两年均有</x:v>
      </x:c>
      <x:c r="E19" s="12" t="n">
        <x:v>8271</x:v>
      </x:c>
      <x:c r="F19" s="12" t="n">
        <x:v>139276</x:v>
      </x:c>
      <x:c r="G19" s="16" t="n">
        <x:v>0.0573</x:v>
      </x:c>
      <x:c r="H19" s="16" t="n">
        <x:f>IF(F19&gt;0,E19/F19,"")</x:f>
        <x:v>0.05938568023205721</x:v>
      </x:c>
      <x:c r="I19" s="36" t="n">
        <x:v>283865.81</x:v>
      </x:c>
      <x:c r="J19" s="12" t="n">
        <x:v>3808</x:v>
      </x:c>
      <x:c r="K19" s="12" t="n">
        <x:v>70603</x:v>
      </x:c>
      <x:c r="L19" s="16" t="n">
        <x:v>0.1564</x:v>
      </x:c>
      <x:c r="M19" s="16" t="n">
        <x:f>IF(K19&gt;0,J19/K19,"")</x:f>
        <x:v>0.05393538518193278</x:v>
      </x:c>
      <x:c r="N19" s="36" t="n">
        <x:v>126293.6</x:v>
      </x:c>
      <x:c r="O19" s="19" t="n">
        <x:f>J19-E19</x:f>
        <x:v>-4463</x:v>
      </x:c>
      <x:c r="P19" s="19" t="n">
        <x:f>K19-F19</x:f>
        <x:v>-68673</x:v>
      </x:c>
      <x:c r="Q19" s="20" t="n">
        <x:f>IF(AND(F19&gt;0,K19&gt;0),(M19-H19)*100,"")</x:f>
        <x:v>-0.5450295050124433</x:v>
      </x:c>
      <x:c r="R19" s="12" t="n">
        <x:v>723</x:v>
      </x:c>
      <x:c r="S19" s="12" t="n">
        <x:v>358</x:v>
      </x:c>
    </x:row>
    <x:row r="20" ht="22" customHeight="1">
      <x:c r="A20" s="1" t="str">
        <x:v>B0FL7TKJL3</x:v>
      </x:c>
      <x:c r="B20" s="1" t="str">
        <x:v>手动工具与套装</x:v>
      </x:c>
      <x:c r="C20" s="1" t="str">
        <x:v>HYCHIKA Llaves Dinamométricas 1/4", Precisión ±2%, 5-25Nm.</x:v>
      </x:c>
      <x:c r="D20" s="1" t="str">
        <x:v>两年均有</x:v>
      </x:c>
      <x:c r="E20" s="12" t="n">
        <x:v>106</x:v>
      </x:c>
      <x:c r="F20" s="12" t="n">
        <x:v>2958</x:v>
      </x:c>
      <x:c r="G20" s="16" t="n">
        <x:v>0.0255</x:v>
      </x:c>
      <x:c r="H20" s="16" t="n">
        <x:f>IF(F20&gt;0,E20/F20,"")</x:f>
        <x:v>0.03583502366463827</x:v>
      </x:c>
      <x:c r="I20" s="36" t="n">
        <x:v>2778</x:v>
      </x:c>
      <x:c r="J20" s="12" t="n">
        <x:v>3763</x:v>
      </x:c>
      <x:c r="K20" s="12" t="n">
        <x:v>106653</x:v>
      </x:c>
      <x:c r="L20" s="16" t="n">
        <x:v>0.0997</x:v>
      </x:c>
      <x:c r="M20" s="16" t="n">
        <x:f>IF(K20&gt;0,J20/K20,"")</x:f>
        <x:v>0.035282645588966086</x:v>
      </x:c>
      <x:c r="N20" s="36" t="n">
        <x:v>90519.3</x:v>
      </x:c>
      <x:c r="O20" s="19" t="n">
        <x:f>J20-E20</x:f>
        <x:v>3657</x:v>
      </x:c>
      <x:c r="P20" s="19" t="n">
        <x:f>K20-F20</x:f>
        <x:v>103695</x:v>
      </x:c>
      <x:c r="Q20" s="20" t="n">
        <x:f>IF(AND(F20&gt;0,K20&gt;0),(M20-H20)*100,"")</x:f>
        <x:v>-0.0552378075672183</x:v>
      </x:c>
      <x:c r="R20" s="12" t="n">
        <x:v>0</x:v>
      </x:c>
      <x:c r="S20" s="12" t="n">
        <x:v>172</x:v>
      </x:c>
    </x:row>
    <x:row r="21" ht="22" customHeight="1">
      <x:c r="A21" s="1" t="str">
        <x:v>B0FL7GNPQF</x:v>
      </x:c>
      <x:c r="B21" s="1" t="str">
        <x:v>手动工具与套装</x:v>
      </x:c>
      <x:c r="C21" s="1" t="str">
        <x:v>HYCHIKA Llave Dinamométrica 3/8" 10-60Nm, Precisión ±2%, 72 Dientes</x:v>
      </x:c>
      <x:c r="D21" s="1" t="str">
        <x:v>两年均有</x:v>
      </x:c>
      <x:c r="E21" s="12" t="n">
        <x:v>76</x:v>
      </x:c>
      <x:c r="F21" s="12" t="n">
        <x:v>1429</x:v>
      </x:c>
      <x:c r="G21" s="16" t="n">
        <x:v>0.0408</x:v>
      </x:c>
      <x:c r="H21" s="16" t="n">
        <x:f>IF(F21&gt;0,E21/F21,"")</x:f>
        <x:v>0.05318404478656403</x:v>
      </x:c>
      <x:c r="I21" s="36" t="n">
        <x:v>2092.31</x:v>
      </x:c>
      <x:c r="J21" s="12" t="n">
        <x:v>3426</x:v>
      </x:c>
      <x:c r="K21" s="12" t="n">
        <x:v>80890</x:v>
      </x:c>
      <x:c r="L21" s="16" t="n">
        <x:v>0.1228</x:v>
      </x:c>
      <x:c r="M21" s="16" t="n">
        <x:f>IF(K21&gt;0,J21/K21,"")</x:f>
        <x:v>0.04235381382123872</x:v>
      </x:c>
      <x:c r="N21" s="36" t="n">
        <x:v>89311.49</x:v>
      </x:c>
      <x:c r="O21" s="19" t="n">
        <x:f>J21-E21</x:f>
        <x:v>3350</x:v>
      </x:c>
      <x:c r="P21" s="19" t="n">
        <x:f>K21-F21</x:f>
        <x:v>79461</x:v>
      </x:c>
      <x:c r="Q21" s="20" t="n">
        <x:f>IF(AND(F21&gt;0,K21&gt;0),(M21-H21)*100,"")</x:f>
        <x:v>-1.083023096532531</x:v>
      </x:c>
      <x:c r="R21" s="12" t="n">
        <x:v>0</x:v>
      </x:c>
      <x:c r="S21" s="12" t="n">
        <x:v>157</x:v>
      </x:c>
    </x:row>
    <x:row r="22" ht="22" customHeight="1">
      <x:c r="A22" s="1" t="str">
        <x:v>B0FL7FQD6Q</x:v>
      </x:c>
      <x:c r="B22" s="1" t="str">
        <x:v>手动工具与套装</x:v>
      </x:c>
      <x:c r="C22" s="1" t="str">
        <x:v>HYCHIKA Llave Dinamométrica 1/2" 40-220Nm, Precisión ±2%, 72 Dientes</x:v>
      </x:c>
      <x:c r="D22" s="1" t="str">
        <x:v>两年均有</x:v>
      </x:c>
      <x:c r="E22" s="12" t="n">
        <x:v>122</x:v>
      </x:c>
      <x:c r="F22" s="12" t="n">
        <x:v>2980</x:v>
      </x:c>
      <x:c r="G22" s="16" t="n">
        <x:v>0.0398</x:v>
      </x:c>
      <x:c r="H22" s="16" t="n">
        <x:f>IF(F22&gt;0,E22/F22,"")</x:f>
        <x:v>0.04093959731543624</x:v>
      </x:c>
      <x:c r="I22" s="36" t="n">
        <x:v>4205.35</x:v>
      </x:c>
      <x:c r="J22" s="12" t="n">
        <x:v>3378</x:v>
      </x:c>
      <x:c r="K22" s="12" t="n">
        <x:v>95500</x:v>
      </x:c>
      <x:c r="L22" s="16" t="n">
        <x:v>0.1039</x:v>
      </x:c>
      <x:c r="M22" s="16" t="n">
        <x:f>IF(K22&gt;0,J22/K22,"")</x:f>
        <x:v>0.0353717277486911</x:v>
      </x:c>
      <x:c r="N22" s="36" t="n">
        <x:v>115170.08</x:v>
      </x:c>
      <x:c r="O22" s="19" t="n">
        <x:f>J22-E22</x:f>
        <x:v>3256</x:v>
      </x:c>
      <x:c r="P22" s="19" t="n">
        <x:f>K22-F22</x:f>
        <x:v>92520</x:v>
      </x:c>
      <x:c r="Q22" s="20" t="n">
        <x:f>IF(AND(F22&gt;0,K22&gt;0),(M22-H22)*100,"")</x:f>
        <x:v>-0.556786956674514</x:v>
      </x:c>
      <x:c r="R22" s="12" t="n">
        <x:v>0</x:v>
      </x:c>
      <x:c r="S22" s="12" t="n">
        <x:v>160</x:v>
      </x:c>
    </x:row>
    <x:row r="23" ht="22" customHeight="1">
      <x:c r="A23" s="1" t="str">
        <x:v>B0CYZCGXM3</x:v>
      </x:c>
      <x:c r="B23" s="1" t="str">
        <x:v>打磨抛光与旋转工具</x:v>
      </x:c>
      <x:c r="C23" s="1" t="str">
        <x:v>HYCHIKA Schleifmaschine, 140W Deltaschleifer, 13000 OPM.</x:v>
      </x:c>
      <x:c r="D23" s="1" t="str">
        <x:v>两年均有</x:v>
      </x:c>
      <x:c r="E23" s="12" t="n">
        <x:v>3956</x:v>
      </x:c>
      <x:c r="F23" s="12" t="n">
        <x:v>70180</x:v>
      </x:c>
      <x:c r="G23" s="16" t="n">
        <x:v>0.0563</x:v>
      </x:c>
      <x:c r="H23" s="16" t="n">
        <x:f>IF(F23&gt;0,E23/F23,"")</x:f>
        <x:v>0.05636933599316044</x:v>
      </x:c>
      <x:c r="I23" s="36" t="n">
        <x:v>95585.09</x:v>
      </x:c>
      <x:c r="J23" s="12" t="n">
        <x:v>3115</x:v>
      </x:c>
      <x:c r="K23" s="12" t="n">
        <x:v>49783</x:v>
      </x:c>
      <x:c r="L23" s="16" t="n">
        <x:v>0.1851</x:v>
      </x:c>
      <x:c r="M23" s="16" t="n">
        <x:f>IF(K23&gt;0,J23/K23,"")</x:f>
        <x:v>0.06257156057288632</x:v>
      </x:c>
      <x:c r="N23" s="36" t="n">
        <x:v>64818.88</x:v>
      </x:c>
      <x:c r="O23" s="19" t="n">
        <x:f>J23-E23</x:f>
        <x:v>-841</x:v>
      </x:c>
      <x:c r="P23" s="19" t="n">
        <x:f>K23-F23</x:f>
        <x:v>-20397</x:v>
      </x:c>
      <x:c r="Q23" s="20" t="n">
        <x:f>IF(AND(F23&gt;0,K23&gt;0),(M23-H23)*100,"")</x:f>
        <x:v>0.6202224579725878</x:v>
      </x:c>
      <x:c r="R23" s="12" t="n">
        <x:v>264</x:v>
      </x:c>
      <x:c r="S23" s="12" t="n">
        <x:v>174</x:v>
      </x:c>
    </x:row>
    <x:row r="24" ht="22" customHeight="1">
      <x:c r="A24" s="1" t="str">
        <x:v>B0BWXJ6DF3</x:v>
      </x:c>
      <x:c r="B24" s="1" t="str">
        <x:v>电动螺丝刀</x:v>
      </x:c>
      <x:c r="C24" s="1" t="str">
        <x:v>HYCHIKA Destornillador Eléctrico 6Nm, Bateria 3.6V 2,0 Ah, LED Luz, Carga Cable Tipo C, 20 Accesorios, Para Reparaciones en El Hogar</x:v>
      </x:c>
      <x:c r="D24" s="1" t="str">
        <x:v>两年均有</x:v>
      </x:c>
      <x:c r="E24" s="12" t="n">
        <x:v>4233</x:v>
      </x:c>
      <x:c r="F24" s="12" t="n">
        <x:v>111991</x:v>
      </x:c>
      <x:c r="G24" s="16" t="n">
        <x:v>0.0378</x:v>
      </x:c>
      <x:c r="H24" s="16" t="n">
        <x:f>IF(F24&gt;0,E24/F24,"")</x:f>
        <x:v>0.03779768017072801</x:v>
      </x:c>
      <x:c r="I24" s="36" t="n">
        <x:v>80464.82</x:v>
      </x:c>
      <x:c r="J24" s="12" t="n">
        <x:v>3043</x:v>
      </x:c>
      <x:c r="K24" s="12" t="n">
        <x:v>77727</x:v>
      </x:c>
      <x:c r="L24" s="16" t="n">
        <x:v>0.115</x:v>
      </x:c>
      <x:c r="M24" s="16" t="n">
        <x:f>IF(K24&gt;0,J24/K24,"")</x:f>
        <x:v>0.03914984497021627</x:v>
      </x:c>
      <x:c r="N24" s="36" t="n">
        <x:v>57845.61</x:v>
      </x:c>
      <x:c r="O24" s="19" t="n">
        <x:f>J24-E24</x:f>
        <x:v>-1190</x:v>
      </x:c>
      <x:c r="P24" s="19" t="n">
        <x:f>K24-F24</x:f>
        <x:v>-34264</x:v>
      </x:c>
      <x:c r="Q24" s="20" t="n">
        <x:f>IF(AND(F24&gt;0,K24&gt;0),(M24-H24)*100,"")</x:f>
        <x:v>0.13521647994882632</x:v>
      </x:c>
      <x:c r="R24" s="12" t="n">
        <x:v>291</x:v>
      </x:c>
      <x:c r="S24" s="12" t="n">
        <x:v>174</x:v>
      </x:c>
    </x:row>
    <x:row r="25" ht="22" customHeight="1">
      <x:c r="A25" s="1" t="str">
        <x:v>B0G51L6JQM</x:v>
      </x:c>
      <x:c r="B25" s="1" t="str">
        <x:v>打磨抛光与旋转工具</x:v>
      </x:c>
      <x:c r="C25" s="1" t="str">
        <x:v>HYCHIKA Utensile rotativo cordless 8V 2,0Ah batteria più grande</x:v>
      </x:c>
      <x:c r="D25" s="1" t="str">
        <x:v>仅2026</x:v>
      </x:c>
      <x:c r="E25" s="12" t="n">
        <x:v>0</x:v>
      </x:c>
      <x:c r="F25" s="12" t="n">
        <x:v>0</x:v>
      </x:c>
      <x:c r="G25" s="16"/>
      <x:c r="H25" s="16" t="str">
        <x:f>IF(F25&gt;0,E25/F25,"")</x:f>
      </x:c>
      <x:c r="I25" s="36" t="n">
        <x:v>0</x:v>
      </x:c>
      <x:c r="J25" s="12" t="n">
        <x:v>2887</x:v>
      </x:c>
      <x:c r="K25" s="12" t="n">
        <x:v>80640</x:v>
      </x:c>
      <x:c r="L25" s="16" t="n">
        <x:v>0.1126</x:v>
      </x:c>
      <x:c r="M25" s="16" t="n">
        <x:f>IF(K25&gt;0,J25/K25,"")</x:f>
        <x:v>0.03580109126984127</x:v>
      </x:c>
      <x:c r="N25" s="36" t="n">
        <x:v>88049.82</x:v>
      </x:c>
      <x:c r="O25" s="19" t="n">
        <x:f>J25-E25</x:f>
        <x:v>2887</x:v>
      </x:c>
      <x:c r="P25" s="19" t="n">
        <x:f>K25-F25</x:f>
        <x:v>80640</x:v>
      </x:c>
      <x:c r="Q25" s="20" t="str">
        <x:f>IF(AND(F25&gt;0,K25&gt;0),(M25-H25)*100,"")</x:f>
      </x:c>
      <x:c r="R25" s="12" t="n">
        <x:v>0</x:v>
      </x:c>
      <x:c r="S25" s="12" t="n">
        <x:v>227</x:v>
      </x:c>
    </x:row>
    <x:row r="26" ht="22" customHeight="1">
      <x:c r="A26" s="1" t="str">
        <x:v>B0F1F6W85W</x:v>
      </x:c>
      <x:c r="B26" s="1" t="str">
        <x:v>口腔护理与牙套清洁</x:v>
      </x:c>
      <x:c r="C26" s="1" t="str">
        <x:v>Spazzolino elettrico sonico per adulti, batteria ricaricabile con durata di 240 giorni,2500mAh,spazzolino con 3 modalità di pulizia,impermeabile IPX7,8 testine di ricambio,timer da 2 minuti,nero</x:v>
      </x:c>
      <x:c r="D26" s="1" t="str">
        <x:v>两年均有</x:v>
      </x:c>
      <x:c r="E26" s="12" t="n">
        <x:v>2094</x:v>
      </x:c>
      <x:c r="F26" s="12" t="n">
        <x:v>32730</x:v>
      </x:c>
      <x:c r="G26" s="16" t="n">
        <x:v>0.0545</x:v>
      </x:c>
      <x:c r="H26" s="16" t="n">
        <x:f>IF(F26&gt;0,E26/F26,"")</x:f>
        <x:v>0.06397800183318057</x:v>
      </x:c>
      <x:c r="I26" s="36" t="n">
        <x:v>30992.16</x:v>
      </x:c>
      <x:c r="J26" s="12" t="n">
        <x:v>2883</x:v>
      </x:c>
      <x:c r="K26" s="12" t="n">
        <x:v>38172</x:v>
      </x:c>
      <x:c r="L26" s="16" t="n">
        <x:v>0.2226</x:v>
      </x:c>
      <x:c r="M26" s="16" t="n">
        <x:f>IF(K26&gt;0,J26/K26,"")</x:f>
        <x:v>0.07552656397359321</x:v>
      </x:c>
      <x:c r="N26" s="36" t="n">
        <x:v>40742.82</x:v>
      </x:c>
      <x:c r="O26" s="19" t="n">
        <x:f>J26-E26</x:f>
        <x:v>789</x:v>
      </x:c>
      <x:c r="P26" s="19" t="n">
        <x:f>K26-F26</x:f>
        <x:v>5442</x:v>
      </x:c>
      <x:c r="Q26" s="20" t="n">
        <x:f>IF(AND(F26&gt;0,K26&gt;0),(M26-H26)*100,"")</x:f>
        <x:v>1.154856214041264</x:v>
      </x:c>
      <x:c r="R26" s="12" t="n">
        <x:v>53</x:v>
      </x:c>
      <x:c r="S26" s="12" t="n">
        <x:v>105</x:v>
      </x:c>
    </x:row>
    <x:row r="27" ht="22" customHeight="1">
      <x:c r="A27" s="1" t="str">
        <x:v>B0CGM1N7WJ</x:v>
      </x:c>
      <x:c r="B27" s="1" t="str">
        <x:v>手动工具与套装</x:v>
      </x:c>
      <x:c r="C27" s="1" t="str">
        <x:v>SORAKO Set cacciaviti da 11 pezzi, Con smagnetizzazione 2 in 1, Borsa in nylon ad alta densità, punta magnetica, impugnatura professionale antiscivolo, con 5 punte piatte, 5 punte a croce</x:v>
      </x:c>
      <x:c r="D27" s="1" t="str">
        <x:v>两年均有</x:v>
      </x:c>
      <x:c r="E27" s="12" t="n">
        <x:v>8539</x:v>
      </x:c>
      <x:c r="F27" s="12" t="n">
        <x:v>80785</x:v>
      </x:c>
      <x:c r="G27" s="16" t="n">
        <x:v>0.0854</x:v>
      </x:c>
      <x:c r="H27" s="16" t="n">
        <x:f>IF(F27&gt;0,E27/F27,"")</x:f>
        <x:v>0.10570031565265829</x:v>
      </x:c>
      <x:c r="I27" s="36" t="n">
        <x:v>96644.96</x:v>
      </x:c>
      <x:c r="J27" s="12" t="n">
        <x:v>2794</x:v>
      </x:c>
      <x:c r="K27" s="12" t="n">
        <x:v>24422</x:v>
      </x:c>
      <x:c r="L27" s="16" t="n">
        <x:v>0.2552</x:v>
      </x:c>
      <x:c r="M27" s="16" t="n">
        <x:f>IF(K27&gt;0,J27/K27,"")</x:f>
        <x:v>0.11440504463188927</x:v>
      </x:c>
      <x:c r="N27" s="36" t="n">
        <x:v>32403.07</x:v>
      </x:c>
      <x:c r="O27" s="19" t="n">
        <x:f>J27-E27</x:f>
        <x:v>-5745</x:v>
      </x:c>
      <x:c r="P27" s="19" t="n">
        <x:f>K27-F27</x:f>
        <x:v>-56363</x:v>
      </x:c>
      <x:c r="Q27" s="20" t="n">
        <x:f>IF(AND(F27&gt;0,K27&gt;0),(M27-H27)*100,"")</x:f>
        <x:v>0.8704728979230982</x:v>
      </x:c>
      <x:c r="R27" s="12" t="n">
        <x:v>117</x:v>
      </x:c>
      <x:c r="S27" s="12" t="n">
        <x:v>64</x:v>
      </x:c>
    </x:row>
    <x:row r="28" ht="22" customHeight="1">
      <x:c r="A28" s="1" t="str">
        <x:v>B0F215BDYQ</x:v>
      </x:c>
      <x:c r="B28" s="1" t="str">
        <x:v>激光水平仪与测距</x:v>
      </x:c>
      <x:c r="C28" s="1" t="str">
        <x:v>HYCHIKA Nivel Laser Autonivelante con Tripode, Verde Horizontal y Vertical Nivel Láser, Láser de Línea con Bolsa de Transporte y 2 Baterías AA, para Decoración del Hogar, Bricolaje</x:v>
      </x:c>
      <x:c r="D28" s="1" t="str">
        <x:v>两年均有</x:v>
      </x:c>
      <x:c r="E28" s="12" t="n">
        <x:v>1729</x:v>
      </x:c>
      <x:c r="F28" s="12" t="n">
        <x:v>32340</x:v>
      </x:c>
      <x:c r="G28" s="16" t="n">
        <x:v>0.0506</x:v>
      </x:c>
      <x:c r="H28" s="16" t="n">
        <x:f>IF(F28&gt;0,E28/F28,"")</x:f>
        <x:v>0.05346320346320346</x:v>
      </x:c>
      <x:c r="I28" s="36" t="n">
        <x:v>59945.02</x:v>
      </x:c>
      <x:c r="J28" s="12" t="n">
        <x:v>2707</x:v>
      </x:c>
      <x:c r="K28" s="12" t="n">
        <x:v>63363</x:v>
      </x:c>
      <x:c r="L28" s="16" t="n">
        <x:v>0.1283</x:v>
      </x:c>
      <x:c r="M28" s="16" t="n">
        <x:f>IF(K28&gt;0,J28/K28,"")</x:f>
        <x:v>0.04272209333522718</x:v>
      </x:c>
      <x:c r="N28" s="36" t="n">
        <x:v>90375.89</x:v>
      </x:c>
      <x:c r="O28" s="19" t="n">
        <x:f>J28-E28</x:f>
        <x:v>978</x:v>
      </x:c>
      <x:c r="P28" s="19" t="n">
        <x:f>K28-F28</x:f>
        <x:v>31023</x:v>
      </x:c>
      <x:c r="Q28" s="20" t="n">
        <x:f>IF(AND(F28&gt;0,K28&gt;0),(M28-H28)*100,"")</x:f>
        <x:v>-1.074111012797628</x:v>
      </x:c>
      <x:c r="R28" s="12" t="n">
        <x:v>150</x:v>
      </x:c>
      <x:c r="S28" s="12" t="n">
        <x:v>318</x:v>
      </x:c>
    </x:row>
    <x:row r="29" ht="22" customHeight="1">
      <x:c r="A29" s="1" t="str">
        <x:v>B0D4M1P52S</x:v>
      </x:c>
      <x:c r="B29" s="1" t="str">
        <x:v>工作照明与应急</x:v>
      </x:c>
      <x:c r="C29" s="1" t="str">
        <x:v>HYCHIKA LED Baustrahler, 50W 5500LM Arbeitsleuchte, IP65 Wasserdicht, 3M Kabel, Tragbar für Werkstatt, Baustelle, Garage, 6500K, Rot</x:v>
      </x:c>
      <x:c r="D29" s="1" t="str">
        <x:v>两年均有</x:v>
      </x:c>
      <x:c r="E29" s="12" t="n">
        <x:v>3547</x:v>
      </x:c>
      <x:c r="F29" s="12" t="n">
        <x:v>27454</x:v>
      </x:c>
      <x:c r="G29" s="16" t="n">
        <x:v>0.1287</x:v>
      </x:c>
      <x:c r="H29" s="16" t="n">
        <x:f>IF(F29&gt;0,E29/F29,"")</x:f>
        <x:v>0.12919793108472355</x:v>
      </x:c>
      <x:c r="I29" s="36" t="n">
        <x:v>75586.79</x:v>
      </x:c>
      <x:c r="J29" s="12" t="n">
        <x:v>2590</x:v>
      </x:c>
      <x:c r="K29" s="12" t="n">
        <x:v>25229</x:v>
      </x:c>
      <x:c r="L29" s="16" t="n">
        <x:v>0.2891</x:v>
      </x:c>
      <x:c r="M29" s="16" t="n">
        <x:f>IF(K29&gt;0,J29/K29,"")</x:f>
        <x:v>0.10265963771849855</x:v>
      </x:c>
      <x:c r="N29" s="36" t="n">
        <x:v>57062.44</x:v>
      </x:c>
      <x:c r="O29" s="19" t="n">
        <x:f>J29-E29</x:f>
        <x:v>-957</x:v>
      </x:c>
      <x:c r="P29" s="19" t="n">
        <x:f>K29-F29</x:f>
        <x:v>-2225</x:v>
      </x:c>
      <x:c r="Q29" s="20" t="n">
        <x:f>IF(AND(F29&gt;0,K29&gt;0),(M29-H29)*100,"")</x:f>
        <x:v>-2.6538293366225</x:v>
      </x:c>
      <x:c r="R29" s="12" t="n">
        <x:v>80</x:v>
      </x:c>
      <x:c r="S29" s="12" t="n">
        <x:v>111</x:v>
      </x:c>
    </x:row>
    <x:row r="30" ht="22" customHeight="1">
      <x:c r="A30" s="1" t="str">
        <x:v>B0CQYQD426</x:v>
      </x:c>
      <x:c r="B30" s="1" t="str">
        <x:v>激光水平仪与测距</x:v>
      </x:c>
      <x:c r="C30" s="1" t="str">
        <x:v>HYCHIKA Metro Laser - Misuratore Laser Tipo C Ricaricabile 60M Telemetro Laser Con Retroilluminazione Lcd M/In/Ft Modalità Di Misurazione Multipla Misurazioni Di Volume Area Distanza Pitagora</x:v>
      </x:c>
      <x:c r="D30" s="1" t="str">
        <x:v>两年均有</x:v>
      </x:c>
      <x:c r="E30" s="12" t="n">
        <x:v>4030</x:v>
      </x:c>
      <x:c r="F30" s="12" t="n">
        <x:v>44719</x:v>
      </x:c>
      <x:c r="G30" s="16" t="n">
        <x:v>0.0895</x:v>
      </x:c>
      <x:c r="H30" s="16" t="n">
        <x:f>IF(F30&gt;0,E30/F30,"")</x:f>
        <x:v>0.09011829423734878</x:v>
      </x:c>
      <x:c r="I30" s="36" t="n">
        <x:v>87050.41</x:v>
      </x:c>
      <x:c r="J30" s="12" t="n">
        <x:v>2544</x:v>
      </x:c>
      <x:c r="K30" s="12" t="n">
        <x:v>28798</x:v>
      </x:c>
      <x:c r="L30" s="16" t="n">
        <x:v>0.2663</x:v>
      </x:c>
      <x:c r="M30" s="16" t="n">
        <x:f>IF(K30&gt;0,J30/K30,"")</x:f>
        <x:v>0.08833946801861241</x:v>
      </x:c>
      <x:c r="N30" s="36" t="n">
        <x:v>56884.32</x:v>
      </x:c>
      <x:c r="O30" s="19" t="n">
        <x:f>J30-E30</x:f>
        <x:v>-1486</x:v>
      </x:c>
      <x:c r="P30" s="19" t="n">
        <x:f>K30-F30</x:f>
        <x:v>-15921</x:v>
      </x:c>
      <x:c r="Q30" s="20" t="n">
        <x:f>IF(AND(F30&gt;0,K30&gt;0),(M30-H30)*100,"")</x:f>
        <x:v>-0.17788262187363735</x:v>
      </x:c>
      <x:c r="R30" s="12" t="n">
        <x:v>306</x:v>
      </x:c>
      <x:c r="S30" s="12" t="n">
        <x:v>205</x:v>
      </x:c>
    </x:row>
    <x:row r="31" ht="22" customHeight="1">
      <x:c r="A31" s="1" t="str">
        <x:v>B0DRCVC3FG</x:v>
      </x:c>
      <x:c r="B31" s="1" t="str">
        <x:v>打磨抛光与旋转工具</x:v>
      </x:c>
      <x:c r="C31" s="1" t="str">
        <x:v>SORAKO Lijadora de Madera 220 W 14000 OPM, Lijadora Delta con Depósito</x:v>
      </x:c>
      <x:c r="D31" s="1" t="str">
        <x:v>两年均有</x:v>
      </x:c>
      <x:c r="E31" s="12" t="n">
        <x:v>1925</x:v>
      </x:c>
      <x:c r="F31" s="12" t="n">
        <x:v>28951</x:v>
      </x:c>
      <x:c r="G31" s="16" t="n">
        <x:v>0.0619</x:v>
      </x:c>
      <x:c r="H31" s="16" t="n">
        <x:f>IF(F31&gt;0,E31/F31,"")</x:f>
        <x:v>0.06649165831922904</x:v>
      </x:c>
      <x:c r="I31" s="36" t="n">
        <x:v>50201.77</x:v>
      </x:c>
      <x:c r="J31" s="12" t="n">
        <x:v>2510</x:v>
      </x:c>
      <x:c r="K31" s="12" t="n">
        <x:v>34857</x:v>
      </x:c>
      <x:c r="L31" s="16" t="n">
        <x:v>0.2086</x:v>
      </x:c>
      <x:c r="M31" s="16" t="n">
        <x:f>IF(K31&gt;0,J31/K31,"")</x:f>
        <x:v>0.0720084918380813</x:v>
      </x:c>
      <x:c r="N31" s="36" t="n">
        <x:v>65456.11</x:v>
      </x:c>
      <x:c r="O31" s="19" t="n">
        <x:f>J31-E31</x:f>
        <x:v>585</x:v>
      </x:c>
      <x:c r="P31" s="19" t="n">
        <x:f>K31-F31</x:f>
        <x:v>5906</x:v>
      </x:c>
      <x:c r="Q31" s="20" t="n">
        <x:f>IF(AND(F31&gt;0,K31&gt;0),(M31-H31)*100,"")</x:f>
        <x:v>0.5516833518852265</x:v>
      </x:c>
      <x:c r="R31" s="12" t="n">
        <x:v>105</x:v>
      </x:c>
      <x:c r="S31" s="12" t="n">
        <x:v>143</x:v>
      </x:c>
    </x:row>
    <x:row r="32" ht="22" customHeight="1">
      <x:c r="A32" s="1" t="str">
        <x:v>B0F5B71822</x:v>
      </x:c>
      <x:c r="B32" s="1" t="str">
        <x:v>打磨抛光与旋转工具</x:v>
      </x:c>
      <x:c r="C32" s="1" t="str">
        <x:v>HYCHIKA Utensile Rotante 150W con affilacatene,7 vel 10.000-33.000 giri/min</x:v>
      </x:c>
      <x:c r="D32" s="1" t="str">
        <x:v>两年均有</x:v>
      </x:c>
      <x:c r="E32" s="12" t="n">
        <x:v>1356</x:v>
      </x:c>
      <x:c r="F32" s="12" t="n">
        <x:v>30731</x:v>
      </x:c>
      <x:c r="G32" s="16" t="n">
        <x:v>0.044</x:v>
      </x:c>
      <x:c r="H32" s="16" t="n">
        <x:f>IF(F32&gt;0,E32/F32,"")</x:f>
        <x:v>0.044124825095180766</x:v>
      </x:c>
      <x:c r="I32" s="36" t="n">
        <x:v>41072.81</x:v>
      </x:c>
      <x:c r="J32" s="12" t="n">
        <x:v>2327</x:v>
      </x:c>
      <x:c r="K32" s="12" t="n">
        <x:v>64721</x:v>
      </x:c>
      <x:c r="L32" s="16" t="n">
        <x:v>0.0975</x:v>
      </x:c>
      <x:c r="M32" s="16" t="n">
        <x:f>IF(K32&gt;0,J32/K32,"")</x:f>
        <x:v>0.03595432703450194</x:v>
      </x:c>
      <x:c r="N32" s="36" t="n">
        <x:v>66777.63</x:v>
      </x:c>
      <x:c r="O32" s="19" t="n">
        <x:f>J32-E32</x:f>
        <x:v>971</x:v>
      </x:c>
      <x:c r="P32" s="19" t="n">
        <x:f>K32-F32</x:f>
        <x:v>33990</x:v>
      </x:c>
      <x:c r="Q32" s="20" t="n">
        <x:f>IF(AND(F32&gt;0,K32&gt;0),(M32-H32)*100,"")</x:f>
        <x:v>-0.8170498060678828</x:v>
      </x:c>
      <x:c r="R32" s="12" t="n">
        <x:v>42</x:v>
      </x:c>
      <x:c r="S32" s="12" t="n">
        <x:v>155</x:v>
      </x:c>
    </x:row>
    <x:row r="33" ht="22" customHeight="1">
      <x:c r="A33" s="1" t="str">
        <x:v>B0BZDBR3WM</x:v>
      </x:c>
      <x:c r="B33" s="1" t="str">
        <x:v>手动工具与套装</x:v>
      </x:c>
      <x:c r="C33" s="1" t="str">
        <x:v>SORAKO Set di Cacciaviti Professionali 118 Pezzi, con Cricchetto</x:v>
      </x:c>
      <x:c r="D33" s="1" t="str">
        <x:v>两年均有</x:v>
      </x:c>
      <x:c r="E33" s="12" t="n">
        <x:v>3970</x:v>
      </x:c>
      <x:c r="F33" s="12" t="n">
        <x:v>86726</x:v>
      </x:c>
      <x:c r="G33" s="16" t="n">
        <x:v>0.044</x:v>
      </x:c>
      <x:c r="H33" s="16" t="n">
        <x:f>IF(F33&gt;0,E33/F33,"")</x:f>
        <x:v>0.045776353112100175</x:v>
      </x:c>
      <x:c r="I33" s="36" t="n">
        <x:v>121463.49</x:v>
      </x:c>
      <x:c r="J33" s="12" t="n">
        <x:v>2320</x:v>
      </x:c>
      <x:c r="K33" s="12" t="n">
        <x:v>60715</x:v>
      </x:c>
      <x:c r="L33" s="16" t="n">
        <x:v>0.1159</x:v>
      </x:c>
      <x:c r="M33" s="16" t="n">
        <x:f>IF(K33&gt;0,J33/K33,"")</x:f>
        <x:v>0.038211315160998106</x:v>
      </x:c>
      <x:c r="N33" s="36" t="n">
        <x:v>75072.99</x:v>
      </x:c>
      <x:c r="O33" s="19" t="n">
        <x:f>J33-E33</x:f>
        <x:v>-1650</x:v>
      </x:c>
      <x:c r="P33" s="19" t="n">
        <x:f>K33-F33</x:f>
        <x:v>-26011</x:v>
      </x:c>
      <x:c r="Q33" s="20" t="n">
        <x:f>IF(AND(F33&gt;0,K33&gt;0),(M33-H33)*100,"")</x:f>
        <x:v>-0.7565037951102069</x:v>
      </x:c>
      <x:c r="R33" s="12" t="n">
        <x:v>68</x:v>
      </x:c>
      <x:c r="S33" s="12" t="n">
        <x:v>49</x:v>
      </x:c>
    </x:row>
    <x:row r="34" ht="22" customHeight="1">
      <x:c r="A34" s="1" t="str">
        <x:v>B0BBKGF7PN</x:v>
      </x:c>
      <x:c r="B34" s="1" t="str">
        <x:v>锯片与开孔耗材</x:v>
      </x:c>
      <x:c r="C34" s="1" t="str">
        <x:v>HYCHIKA Sega a Tazza per Legno 19 Pezzi, Ø19-127mm, Profondità di Taglio Massima: 25mm, Ideale per Forare Tavole di Legno Sottili Piastre in PVC e Plastica</x:v>
      </x:c>
      <x:c r="D34" s="1" t="str">
        <x:v>两年均有</x:v>
      </x:c>
      <x:c r="E34" s="12" t="n">
        <x:v>3767</x:v>
      </x:c>
      <x:c r="F34" s="12" t="n">
        <x:v>67560</x:v>
      </x:c>
      <x:c r="G34" s="16" t="n">
        <x:v>0.055</x:v>
      </x:c>
      <x:c r="H34" s="16" t="n">
        <x:f>IF(F34&gt;0,E34/F34,"")</x:f>
        <x:v>0.05575784487862641</x:v>
      </x:c>
      <x:c r="I34" s="36" t="n">
        <x:v>63824.84</x:v>
      </x:c>
      <x:c r="J34" s="12" t="n">
        <x:v>2256</x:v>
      </x:c>
      <x:c r="K34" s="12" t="n">
        <x:v>40410</x:v>
      </x:c>
      <x:c r="L34" s="16" t="n">
        <x:v>0.1604</x:v>
      </x:c>
      <x:c r="M34" s="16" t="n">
        <x:f>IF(K34&gt;0,J34/K34,"")</x:f>
        <x:v>0.05582776540460282</x:v>
      </x:c>
      <x:c r="N34" s="36" t="n">
        <x:v>39503.2</x:v>
      </x:c>
      <x:c r="O34" s="19" t="n">
        <x:f>J34-E34</x:f>
        <x:v>-1511</x:v>
      </x:c>
      <x:c r="P34" s="19" t="n">
        <x:f>K34-F34</x:f>
        <x:v>-27150</x:v>
      </x:c>
      <x:c r="Q34" s="20" t="n">
        <x:f>IF(AND(F34&gt;0,K34&gt;0),(M34-H34)*100,"")</x:f>
        <x:v>0.006992052597640935</x:v>
      </x:c>
      <x:c r="R34" s="12" t="n">
        <x:v>186</x:v>
      </x:c>
      <x:c r="S34" s="12" t="n">
        <x:v>116</x:v>
      </x:c>
    </x:row>
    <x:row r="35" ht="22" customHeight="1">
      <x:c r="A35" s="1" t="str">
        <x:v>B0CYYWY1C2</x:v>
      </x:c>
      <x:c r="B35" s="1" t="str">
        <x:v>打磨抛光与旋转工具</x:v>
      </x:c>
      <x:c r="C35" s="1" t="str">
        <x:v>HYCHIKA Lijadora Orbital 450W, 6 Velocidades 6000-12000OPM.</x:v>
      </x:c>
      <x:c r="D35" s="1" t="str">
        <x:v>两年均有</x:v>
      </x:c>
      <x:c r="E35" s="12" t="n">
        <x:v>2878</x:v>
      </x:c>
      <x:c r="F35" s="12" t="n">
        <x:v>60556</x:v>
      </x:c>
      <x:c r="G35" s="16" t="n">
        <x:v>0.0475</x:v>
      </x:c>
      <x:c r="H35" s="16" t="n">
        <x:f>IF(F35&gt;0,E35/F35,"")</x:f>
        <x:v>0.04752625668802431</x:v>
      </x:c>
      <x:c r="I35" s="36" t="n">
        <x:v>107535.59</x:v>
      </x:c>
      <x:c r="J35" s="12" t="n">
        <x:v>2223</x:v>
      </x:c>
      <x:c r="K35" s="12" t="n">
        <x:v>41301</x:v>
      </x:c>
      <x:c r="L35" s="16" t="n">
        <x:v>0.1624</x:v>
      </x:c>
      <x:c r="M35" s="16" t="n">
        <x:f>IF(K35&gt;0,J35/K35,"")</x:f>
        <x:v>0.053824362606232294</x:v>
      </x:c>
      <x:c r="N35" s="36" t="n">
        <x:v>84374.88</x:v>
      </x:c>
      <x:c r="O35" s="19" t="n">
        <x:f>J35-E35</x:f>
        <x:v>-655</x:v>
      </x:c>
      <x:c r="P35" s="19" t="n">
        <x:f>K35-F35</x:f>
        <x:v>-19255</x:v>
      </x:c>
      <x:c r="Q35" s="20" t="n">
        <x:f>IF(AND(F35&gt;0,K35&gt;0),(M35-H35)*100,"")</x:f>
        <x:v>0.6298105918207987</x:v>
      </x:c>
      <x:c r="R35" s="12" t="n">
        <x:v>228</x:v>
      </x:c>
      <x:c r="S35" s="12" t="n">
        <x:v>112</x:v>
      </x:c>
    </x:row>
    <x:row r="36" ht="22" customHeight="1">
      <x:c r="A36" s="1" t="str">
        <x:v>B0DM91VF98</x:v>
      </x:c>
      <x:c r="B36" s="1" t="str">
        <x:v>打磨抛光与旋转工具</x:v>
      </x:c>
      <x:c r="C36" s="1" t="str">
        <x:v>SORAKO Levigatrice Orbitale 350W, 6 Velocità Regolabili, Carta Vetrata 16 pezzi, Levigatrice Elettrica con Raccolta Polvere e Funzione di Frenata Rapida, Adatta per Levigare, Lucidare Legno, fai da te</x:v>
      </x:c>
      <x:c r="D36" s="1" t="str">
        <x:v>两年均有</x:v>
      </x:c>
      <x:c r="E36" s="12" t="n">
        <x:v>1303</x:v>
      </x:c>
      <x:c r="F36" s="12" t="n">
        <x:v>26201</x:v>
      </x:c>
      <x:c r="G36" s="16" t="n">
        <x:v>0.0497</x:v>
      </x:c>
      <x:c r="H36" s="16" t="n">
        <x:f>IF(F36&gt;0,E36/F36,"")</x:f>
        <x:v>0.04973092630052288</x:v>
      </x:c>
      <x:c r="I36" s="36" t="n">
        <x:v>39270.3</x:v>
      </x:c>
      <x:c r="J36" s="12" t="n">
        <x:v>2212</x:v>
      </x:c>
      <x:c r="K36" s="12" t="n">
        <x:v>37046</x:v>
      </x:c>
      <x:c r="L36" s="16" t="n">
        <x:v>0.1611</x:v>
      </x:c>
      <x:c r="M36" s="16" t="n">
        <x:f>IF(K36&gt;0,J36/K36,"")</x:f>
        <x:v>0.059709550288830106</x:v>
      </x:c>
      <x:c r="N36" s="36" t="n">
        <x:v>53679.55</x:v>
      </x:c>
      <x:c r="O36" s="19" t="n">
        <x:f>J36-E36</x:f>
        <x:v>909</x:v>
      </x:c>
      <x:c r="P36" s="19" t="n">
        <x:f>K36-F36</x:f>
        <x:v>10845</x:v>
      </x:c>
      <x:c r="Q36" s="20" t="n">
        <x:f>IF(AND(F36&gt;0,K36&gt;0),(M36-H36)*100,"")</x:f>
        <x:v>0.9978623988307227</x:v>
      </x:c>
      <x:c r="R36" s="12" t="n">
        <x:v>92</x:v>
      </x:c>
      <x:c r="S36" s="12" t="n">
        <x:v>144</x:v>
      </x:c>
    </x:row>
    <x:row r="37" ht="22" customHeight="1">
      <x:c r="A37" s="1" t="str">
        <x:v>B086SR9KVQ</x:v>
      </x:c>
      <x:c r="B37" s="1" t="str">
        <x:v>电锯与电动切割</x:v>
      </x:c>
      <x:c r="C37" s="1" t="str">
        <x:v>HYCHIKA Mini Sierra Circular 750W Con Cable Sierra Incisión 48mm</x:v>
      </x:c>
      <x:c r="D37" s="1" t="str">
        <x:v>两年均有</x:v>
      </x:c>
      <x:c r="E37" s="12" t="n">
        <x:v>3657</x:v>
      </x:c>
      <x:c r="F37" s="12" t="n">
        <x:v>205769</x:v>
      </x:c>
      <x:c r="G37" s="16" t="n">
        <x:v>0.0169</x:v>
      </x:c>
      <x:c r="H37" s="16" t="n">
        <x:f>IF(F37&gt;0,E37/F37,"")</x:f>
        <x:v>0.017772356380212764</x:v>
      </x:c>
      <x:c r="I37" s="36" t="n">
        <x:v>182471.07</x:v>
      </x:c>
      <x:c r="J37" s="12" t="n">
        <x:v>2091</x:v>
      </x:c>
      <x:c r="K37" s="12" t="n">
        <x:v>112549</x:v>
      </x:c>
      <x:c r="L37" s="16" t="n">
        <x:v>0.0556</x:v>
      </x:c>
      <x:c r="M37" s="16" t="n">
        <x:f>IF(K37&gt;0,J37/K37,"")</x:f>
        <x:v>0.01857857466525691</x:v>
      </x:c>
      <x:c r="N37" s="36" t="n">
        <x:v>105036.61</x:v>
      </x:c>
      <x:c r="O37" s="19" t="n">
        <x:f>J37-E37</x:f>
        <x:v>-1566</x:v>
      </x:c>
      <x:c r="P37" s="19" t="n">
        <x:f>K37-F37</x:f>
        <x:v>-93220</x:v>
      </x:c>
      <x:c r="Q37" s="20" t="n">
        <x:f>IF(AND(F37&gt;0,K37&gt;0),(M37-H37)*100,"")</x:f>
        <x:v>0.08062182850441454</x:v>
      </x:c>
      <x:c r="R37" s="12" t="n">
        <x:v>461</x:v>
      </x:c>
      <x:c r="S37" s="12" t="n">
        <x:v>277</x:v>
      </x:c>
    </x:row>
    <x:row r="38" ht="22" customHeight="1">
      <x:c r="A38" s="1" t="str">
        <x:v>B0F1TQRVJK</x:v>
      </x:c>
      <x:c r="B38" s="1" t="str">
        <x:v>口腔护理与牙套清洁</x:v>
      </x:c>
      <x:c r="C38" s="1" t="str">
        <x:v>Autonomia di 240 giorni Spazzolino Elettrico per Adulti,Spazzolino Ricaricabile con Batteria da 2500 mAh,8 Testine di Ricambio,3 Modalità di Pulizia,Impermeabile IPX7,Timer da 2 Minuti,Bianco</x:v>
      </x:c>
      <x:c r="D38" s="1" t="str">
        <x:v>两年均有</x:v>
      </x:c>
      <x:c r="E38" s="12" t="n">
        <x:v>1403</x:v>
      </x:c>
      <x:c r="F38" s="12" t="n">
        <x:v>17888</x:v>
      </x:c>
      <x:c r="G38" s="16" t="n">
        <x:v>0.0676</x:v>
      </x:c>
      <x:c r="H38" s="16" t="n">
        <x:f>IF(F38&gt;0,E38/F38,"")</x:f>
        <x:v>0.0784324686940966</x:v>
      </x:c>
      <x:c r="I38" s="36" t="n">
        <x:v>20553.05</x:v>
      </x:c>
      <x:c r="J38" s="12" t="n">
        <x:v>2036</x:v>
      </x:c>
      <x:c r="K38" s="12" t="n">
        <x:v>29251</x:v>
      </x:c>
      <x:c r="L38" s="16" t="n">
        <x:v>0.1881</x:v>
      </x:c>
      <x:c r="M38" s="16" t="n">
        <x:f>IF(K38&gt;0,J38/K38,"")</x:f>
        <x:v>0.06960445796724898</x:v>
      </x:c>
      <x:c r="N38" s="36" t="n">
        <x:v>29632.8</x:v>
      </x:c>
      <x:c r="O38" s="19" t="n">
        <x:f>J38-E38</x:f>
        <x:v>633</x:v>
      </x:c>
      <x:c r="P38" s="19" t="n">
        <x:f>K38-F38</x:f>
        <x:v>11363</x:v>
      </x:c>
      <x:c r="Q38" s="20" t="n">
        <x:f>IF(AND(F38&gt;0,K38&gt;0),(M38-H38)*100,"")</x:f>
        <x:v>-0.8828010726847622</x:v>
      </x:c>
      <x:c r="R38" s="12" t="n">
        <x:v>39</x:v>
      </x:c>
      <x:c r="S38" s="12" t="n">
        <x:v>86</x:v>
      </x:c>
    </x:row>
    <x:row r="39" ht="22" customHeight="1">
      <x:c r="A39" s="1" t="str">
        <x:v>B0FNMBQFBC</x:v>
      </x:c>
      <x:c r="B39" s="1" t="str">
        <x:v>清洁电器与空气净化</x:v>
      </x:c>
      <x:c r="C39" s="1" t="str">
        <x:v>Purificatore d'aria con HEPA Filtra il 99,97% di polvere e particelle fino a una dimensione di 0,3 micron, modalità sleep (20 dB) e modalità auto, tre velocità per uso domestico</x:v>
      </x:c>
      <x:c r="D39" s="1" t="str">
        <x:v>两年均有</x:v>
      </x:c>
      <x:c r="E39" s="12" t="n">
        <x:v>1</x:v>
      </x:c>
      <x:c r="F39" s="12" t="n">
        <x:v>16</x:v>
      </x:c>
      <x:c r="G39" s="16" t="n">
        <x:v>0.0009</x:v>
      </x:c>
      <x:c r="H39" s="16" t="n">
        <x:f>IF(F39&gt;0,E39/F39,"")</x:f>
        <x:v>0.0625</x:v>
      </x:c>
      <x:c r="I39" s="36" t="n">
        <x:v>42.61</x:v>
      </x:c>
      <x:c r="J39" s="12" t="n">
        <x:v>1973</x:v>
      </x:c>
      <x:c r="K39" s="12" t="n">
        <x:v>60308</x:v>
      </x:c>
      <x:c r="L39" s="16" t="n">
        <x:v>0.0965</x:v>
      </x:c>
      <x:c r="M39" s="16" t="n">
        <x:f>IF(K39&gt;0,J39/K39,"")</x:f>
        <x:v>0.032715394309212706</x:v>
      </x:c>
      <x:c r="N39" s="36" t="n">
        <x:v>69815.16</x:v>
      </x:c>
      <x:c r="O39" s="19" t="n">
        <x:f>J39-E39</x:f>
        <x:v>1972</x:v>
      </x:c>
      <x:c r="P39" s="19" t="n">
        <x:f>K39-F39</x:f>
        <x:v>60292</x:v>
      </x:c>
      <x:c r="Q39" s="20" t="n">
        <x:f>IF(AND(F39&gt;0,K39&gt;0),(M39-H39)*100,"")</x:f>
        <x:v>-2.9784605690787296</x:v>
      </x:c>
      <x:c r="R39" s="12" t="n">
        <x:v>0</x:v>
      </x:c>
      <x:c r="S39" s="12" t="n">
        <x:v>172</x:v>
      </x:c>
    </x:row>
    <x:row r="40" ht="22" customHeight="1">
      <x:c r="A40" s="1" t="str">
        <x:v>B0FXLSB51W</x:v>
      </x:c>
      <x:c r="B40" s="1" t="str">
        <x:v>口腔护理与牙套清洁</x:v>
      </x:c>
      <x:c r="C40" s="1" t="str">
        <x:v>Ultraschallreinigungsgerät Zahnschiene mit UV Sterilisierung,45 kHz Hochfrequenz, 4 Modi UV Zahnschiene Reinigung,200 ml,Zahnreinigungsbehälter,Retainers,Aligner etc.,（Schwarz）</x:v>
      </x:c>
      <x:c r="D40" s="1" t="str">
        <x:v>两年均有</x:v>
      </x:c>
      <x:c r="E40" s="12" t="n">
        <x:v>132</x:v>
      </x:c>
      <x:c r="F40" s="12" t="n">
        <x:v>1826</x:v>
      </x:c>
      <x:c r="G40" s="16" t="n">
        <x:v>0.0709</x:v>
      </x:c>
      <x:c r="H40" s="16" t="n">
        <x:f>IF(F40&gt;0,E40/F40,"")</x:f>
        <x:v>0.07228915662650602</x:v>
      </x:c>
      <x:c r="I40" s="36" t="n">
        <x:v>3836.12</x:v>
      </x:c>
      <x:c r="J40" s="12" t="n">
        <x:v>1942</x:v>
      </x:c>
      <x:c r="K40" s="12" t="n">
        <x:v>25637</x:v>
      </x:c>
      <x:c r="L40" s="16" t="n">
        <x:v>0.2291</x:v>
      </x:c>
      <x:c r="M40" s="16" t="n">
        <x:f>IF(K40&gt;0,J40/K40,"")</x:f>
        <x:v>0.0757498927331591</x:v>
      </x:c>
      <x:c r="N40" s="36" t="n">
        <x:v>58137.92</x:v>
      </x:c>
      <x:c r="O40" s="19" t="n">
        <x:f>J40-E40</x:f>
        <x:v>1810</x:v>
      </x:c>
      <x:c r="P40" s="19" t="n">
        <x:f>K40-F40</x:f>
        <x:v>23811</x:v>
      </x:c>
      <x:c r="Q40" s="20" t="n">
        <x:f>IF(AND(F40&gt;0,K40&gt;0),(M40-H40)*100,"")</x:f>
        <x:v>0.3460736106653081</x:v>
      </x:c>
      <x:c r="R40" s="12" t="n">
        <x:v>0</x:v>
      </x:c>
      <x:c r="S40" s="12" t="n">
        <x:v>57</x:v>
      </x:c>
    </x:row>
    <x:row r="41" ht="22" customHeight="1">
      <x:c r="A41" s="1" t="str">
        <x:v>B0F1CZSFHM</x:v>
      </x:c>
      <x:c r="B41" s="1" t="str">
        <x:v>打磨抛光与旋转工具</x:v>
      </x:c>
      <x:c r="C41" s="1" t="str">
        <x:v>HYCHIKA Lijadora Orbital 300W, 6 Velocidades 12000OPM.</x:v>
      </x:c>
      <x:c r="D41" s="1" t="str">
        <x:v>两年均有</x:v>
      </x:c>
      <x:c r="E41" s="12" t="n">
        <x:v>932</x:v>
      </x:c>
      <x:c r="F41" s="12" t="n">
        <x:v>18520</x:v>
      </x:c>
      <x:c r="G41" s="16" t="n">
        <x:v>0.0501</x:v>
      </x:c>
      <x:c r="H41" s="16" t="n">
        <x:f>IF(F41&gt;0,E41/F41,"")</x:f>
        <x:v>0.05032397408207343</x:v>
      </x:c>
      <x:c r="I41" s="36" t="n">
        <x:v>27053.58</x:v>
      </x:c>
      <x:c r="J41" s="12" t="n">
        <x:v>1802</x:v>
      </x:c>
      <x:c r="K41" s="12" t="n">
        <x:v>33133</x:v>
      </x:c>
      <x:c r="L41" s="16" t="n">
        <x:v>0.165</x:v>
      </x:c>
      <x:c r="M41" s="16" t="n">
        <x:f>IF(K41&gt;0,J41/K41,"")</x:f>
        <x:v>0.05438686505900462</x:v>
      </x:c>
      <x:c r="N41" s="36" t="n">
        <x:v>52090.2</x:v>
      </x:c>
      <x:c r="O41" s="19" t="n">
        <x:f>J41-E41</x:f>
        <x:v>870</x:v>
      </x:c>
      <x:c r="P41" s="19" t="n">
        <x:f>K41-F41</x:f>
        <x:v>14613</x:v>
      </x:c>
      <x:c r="Q41" s="20" t="n">
        <x:f>IF(AND(F41&gt;0,K41&gt;0),(M41-H41)*100,"")</x:f>
        <x:v>0.40628909769311883</x:v>
      </x:c>
      <x:c r="R41" s="12" t="n">
        <x:v>59</x:v>
      </x:c>
      <x:c r="S41" s="12" t="n">
        <x:v>84</x:v>
      </x:c>
    </x:row>
    <x:row r="42" ht="22" customHeight="1">
      <x:c r="A42" s="1" t="str">
        <x:v>B07RZK3CVP</x:v>
      </x:c>
      <x:c r="B42" s="1" t="str">
        <x:v>电锯与电动切割</x:v>
      </x:c>
      <x:c r="C42" s="1" t="str">
        <x:v>HYCHIKA Sega Circolare, 500W Mini Seghe Circolare 4500RPM, Profondità di Taglio: 0-25mm,Tubo per Aspirapolvere, 3x Lame adatto per Legno, Plastica, Metallo Morbido</x:v>
      </x:c>
      <x:c r="D42" s="1" t="str">
        <x:v>两年均有</x:v>
      </x:c>
      <x:c r="E42" s="12" t="n">
        <x:v>3064</x:v>
      </x:c>
      <x:c r="F42" s="12" t="n">
        <x:v>205790</x:v>
      </x:c>
      <x:c r="G42" s="16" t="n">
        <x:v>0.0148</x:v>
      </x:c>
      <x:c r="H42" s="16" t="n">
        <x:f>IF(F42&gt;0,E42/F42,"")</x:f>
        <x:v>0.014888964478351717</x:v>
      </x:c>
      <x:c r="I42" s="36" t="n">
        <x:v>151943.11</x:v>
      </x:c>
      <x:c r="J42" s="12" t="n">
        <x:v>1749</x:v>
      </x:c>
      <x:c r="K42" s="12" t="n">
        <x:v>98215</x:v>
      </x:c>
      <x:c r="L42" s="16" t="n">
        <x:v>0.0555</x:v>
      </x:c>
      <x:c r="M42" s="16" t="n">
        <x:f>IF(K42&gt;0,J42/K42,"")</x:f>
        <x:v>0.017807870488214632</x:v>
      </x:c>
      <x:c r="N42" s="36" t="n">
        <x:v>84345.88</x:v>
      </x:c>
      <x:c r="O42" s="19" t="n">
        <x:f>J42-E42</x:f>
        <x:v>-1315</x:v>
      </x:c>
      <x:c r="P42" s="19" t="n">
        <x:f>K42-F42</x:f>
        <x:v>-107575</x:v>
      </x:c>
      <x:c r="Q42" s="20" t="n">
        <x:f>IF(AND(F42&gt;0,K42&gt;0),(M42-H42)*100,"")</x:f>
        <x:v>0.2918906009862915</x:v>
      </x:c>
      <x:c r="R42" s="12" t="n">
        <x:v>388</x:v>
      </x:c>
      <x:c r="S42" s="12" t="n">
        <x:v>226</x:v>
      </x:c>
    </x:row>
    <x:row r="43" ht="22" customHeight="1">
      <x:c r="A43" s="1" t="str">
        <x:v>B08NB15B8B</x:v>
      </x:c>
      <x:c r="B43" s="1" t="str">
        <x:v>电钻与冲击工具</x:v>
      </x:c>
      <x:c r="C43" s="1" t="str">
        <x:v>HYCHIKA Trapano Avvitatore Batteria 12V, Avvitatore a Batteria 30 Nm, 21+1 Impostazioni Di Coppia, 2 Velocità Regolabili, 26 Accessori, Luce LED, Adatto per il fai da te in casa e in giardino</x:v>
      </x:c>
      <x:c r="D43" s="1" t="str">
        <x:v>两年均有</x:v>
      </x:c>
      <x:c r="E43" s="12" t="n">
        <x:v>3203</x:v>
      </x:c>
      <x:c r="F43" s="12" t="n">
        <x:v>115217</x:v>
      </x:c>
      <x:c r="G43" s="16" t="n">
        <x:v>0.0277</x:v>
      </x:c>
      <x:c r="H43" s="16" t="n">
        <x:f>IF(F43&gt;0,E43/F43,"")</x:f>
        <x:v>0.027799717055642832</x:v>
      </x:c>
      <x:c r="I43" s="36" t="n">
        <x:v>96255.38</x:v>
      </x:c>
      <x:c r="J43" s="12" t="n">
        <x:v>1645</x:v>
      </x:c>
      <x:c r="K43" s="12" t="n">
        <x:v>64705</x:v>
      </x:c>
      <x:c r="L43" s="16" t="n">
        <x:v>0.0746</x:v>
      </x:c>
      <x:c r="M43" s="16" t="n">
        <x:f>IF(K43&gt;0,J43/K43,"")</x:f>
        <x:v>0.025423073951008422</x:v>
      </x:c>
      <x:c r="N43" s="36" t="n">
        <x:v>51289.03</x:v>
      </x:c>
      <x:c r="O43" s="19" t="n">
        <x:f>J43-E43</x:f>
        <x:v>-1558</x:v>
      </x:c>
      <x:c r="P43" s="19" t="n">
        <x:f>K43-F43</x:f>
        <x:v>-50512</x:v>
      </x:c>
      <x:c r="Q43" s="20" t="n">
        <x:f>IF(AND(F43&gt;0,K43&gt;0),(M43-H43)*100,"")</x:f>
        <x:v>-0.237664310463441</x:v>
      </x:c>
      <x:c r="R43" s="12" t="n">
        <x:v>290</x:v>
      </x:c>
      <x:c r="S43" s="12" t="n">
        <x:v>173</x:v>
      </x:c>
    </x:row>
    <x:row r="44" ht="22" customHeight="1">
      <x:c r="A44" s="1" t="str">
        <x:v>B0CG9MBTMF</x:v>
      </x:c>
      <x:c r="B44" s="1" t="str">
        <x:v>喷涂与热工工具</x:v>
      </x:c>
      <x:c r="C44" s="1" t="str">
        <x:v>HYCHIKA Pistola de Calor Profesional, 60℃- 600℃ Temperatura Variable Continua, Motor de Cobre Puro de 1800W, Protección Contra Sobrecarga, 6 Boquillas para Decapar Pintura, Termorretráctil, etc</x:v>
      </x:c>
      <x:c r="D44" s="1" t="str">
        <x:v>两年均有</x:v>
      </x:c>
      <x:c r="E44" s="12" t="n">
        <x:v>3165</x:v>
      </x:c>
      <x:c r="F44" s="12" t="n">
        <x:v>45928</x:v>
      </x:c>
      <x:c r="G44" s="16" t="n">
        <x:v>0.0687</x:v>
      </x:c>
      <x:c r="H44" s="16" t="n">
        <x:f>IF(F44&gt;0,E44/F44,"")</x:f>
        <x:v>0.06891221041630378</x:v>
      </x:c>
      <x:c r="I44" s="36" t="n">
        <x:v>60392.19</x:v>
      </x:c>
      <x:c r="J44" s="12" t="n">
        <x:v>1533</x:v>
      </x:c>
      <x:c r="K44" s="12" t="n">
        <x:v>19122</x:v>
      </x:c>
      <x:c r="L44" s="16" t="n">
        <x:v>0.1282</x:v>
      </x:c>
      <x:c r="M44" s="16" t="n">
        <x:f>IF(K44&gt;0,J44/K44,"")</x:f>
        <x:v>0.08016943834326953</x:v>
      </x:c>
      <x:c r="N44" s="36" t="n">
        <x:v>30224.48</x:v>
      </x:c>
      <x:c r="O44" s="19" t="n">
        <x:f>J44-E44</x:f>
        <x:v>-1632</x:v>
      </x:c>
      <x:c r="P44" s="19" t="n">
        <x:f>K44-F44</x:f>
        <x:v>-26806</x:v>
      </x:c>
      <x:c r="Q44" s="20" t="n">
        <x:f>IF(AND(F44&gt;0,K44&gt;0),(M44-H44)*100,"")</x:f>
        <x:v>1.125722792696575</x:v>
      </x:c>
      <x:c r="R44" s="12" t="n">
        <x:v>198</x:v>
      </x:c>
      <x:c r="S44" s="12" t="n">
        <x:v>170</x:v>
      </x:c>
    </x:row>
    <x:row r="45" ht="22" customHeight="1">
      <x:c r="A45" s="1" t="str">
        <x:v>B0D7HVPSPQ</x:v>
      </x:c>
      <x:c r="B45" s="1" t="str">
        <x:v>手动工具与套装</x:v>
      </x:c>
      <x:c r="C45" s="1" t="str">
        <x:v>HYCHIKA Set di Cacciaviti Professionali 51 Pezzi,con Cacciaviti Precisione</x:v>
      </x:c>
      <x:c r="D45" s="1" t="str">
        <x:v>两年均有</x:v>
      </x:c>
      <x:c r="E45" s="12" t="n">
        <x:v>1159</x:v>
      </x:c>
      <x:c r="F45" s="12" t="n">
        <x:v>35687</x:v>
      </x:c>
      <x:c r="G45" s="16" t="n">
        <x:v>0.0289</x:v>
      </x:c>
      <x:c r="H45" s="16" t="n">
        <x:f>IF(F45&gt;0,E45/F45,"")</x:f>
        <x:v>0.032476812284585425</x:v>
      </x:c>
      <x:c r="I45" s="36" t="n">
        <x:v>22587.3</x:v>
      </x:c>
      <x:c r="J45" s="12" t="n">
        <x:v>1488</x:v>
      </x:c>
      <x:c r="K45" s="12" t="n">
        <x:v>45454</x:v>
      </x:c>
      <x:c r="L45" s="16" t="n">
        <x:v>0.0961</x:v>
      </x:c>
      <x:c r="M45" s="16" t="n">
        <x:f>IF(K45&gt;0,J45/K45,"")</x:f>
        <x:v>0.03273639283671404</x:v>
      </x:c>
      <x:c r="N45" s="36" t="n">
        <x:v>30332.28</x:v>
      </x:c>
      <x:c r="O45" s="19" t="n">
        <x:f>J45-E45</x:f>
        <x:v>329</x:v>
      </x:c>
      <x:c r="P45" s="19" t="n">
        <x:f>K45-F45</x:f>
        <x:v>9767</x:v>
      </x:c>
      <x:c r="Q45" s="20" t="n">
        <x:f>IF(AND(F45&gt;0,K45&gt;0),(M45-H45)*100,"")</x:f>
        <x:v>0.025958055212861597</x:v>
      </x:c>
      <x:c r="R45" s="12" t="n">
        <x:v>22</x:v>
      </x:c>
      <x:c r="S45" s="12" t="n">
        <x:v>40</x:v>
      </x:c>
    </x:row>
    <x:row r="46" ht="22" customHeight="1">
      <x:c r="A46" s="1" t="str">
        <x:v>B088WQLM4L</x:v>
      </x:c>
      <x:c r="B46" s="1" t="str">
        <x:v>工作照明与应急</x:v>
      </x:c>
      <x:c r="C46" s="1" t="str">
        <x:v>HYCHIKA LED Baustrahler, 30 W 3500 lm 6500 K kaltweiß, IP65 Wasserdicht</x:v>
      </x:c>
      <x:c r="D46" s="1" t="str">
        <x:v>两年均有</x:v>
      </x:c>
      <x:c r="E46" s="12" t="n">
        <x:v>3255</x:v>
      </x:c>
      <x:c r="F46" s="12" t="n">
        <x:v>28437</x:v>
      </x:c>
      <x:c r="G46" s="16" t="n">
        <x:v>0.1139</x:v>
      </x:c>
      <x:c r="H46" s="16" t="n">
        <x:f>IF(F46&gt;0,E46/F46,"")</x:f>
        <x:v>0.11446355100749024</x:v>
      </x:c>
      <x:c r="I46" s="36" t="n">
        <x:v>56735.26</x:v>
      </x:c>
      <x:c r="J46" s="12" t="n">
        <x:v>1443</x:v>
      </x:c>
      <x:c r="K46" s="12" t="n">
        <x:v>17674</x:v>
      </x:c>
      <x:c r="L46" s="16" t="n">
        <x:v>0.246</x:v>
      </x:c>
      <x:c r="M46" s="16" t="n">
        <x:f>IF(K46&gt;0,J46/K46,"")</x:f>
        <x:v>0.08164535475840218</x:v>
      </x:c>
      <x:c r="N46" s="36" t="n">
        <x:v>25760.8</x:v>
      </x:c>
      <x:c r="O46" s="19" t="n">
        <x:f>J46-E46</x:f>
        <x:v>-1812</x:v>
      </x:c>
      <x:c r="P46" s="19" t="n">
        <x:f>K46-F46</x:f>
        <x:v>-10763</x:v>
      </x:c>
      <x:c r="Q46" s="20" t="n">
        <x:f>IF(AND(F46&gt;0,K46&gt;0),(M46-H46)*100,"")</x:f>
        <x:v>-3.2818196249088065</x:v>
      </x:c>
      <x:c r="R46" s="12" t="n">
        <x:v>130</x:v>
      </x:c>
      <x:c r="S46" s="12" t="n">
        <x:v>52</x:v>
      </x:c>
    </x:row>
    <x:row r="47" ht="22" customHeight="1">
      <x:c r="A47" s="1" t="str">
        <x:v>B0CRDK814K</x:v>
      </x:c>
      <x:c r="B47" s="1" t="str">
        <x:v>手动工具与套装</x:v>
      </x:c>
      <x:c r="C47" s="1" t="str">
        <x:v>HYCHIKA Set Scalpelli SDS Plus 4 Pezzi - Scalpello a Punta, Piatto 40mm, Scanalatore 25mm e Piastrelle 20mm - Accessori per Tassellatore e Martello Demolitore su Calcestruzzo e Muratura</x:v>
      </x:c>
      <x:c r="D47" s="1" t="str">
        <x:v>两年均有</x:v>
      </x:c>
      <x:c r="E47" s="12" t="n">
        <x:v>1269</x:v>
      </x:c>
      <x:c r="F47" s="12" t="n">
        <x:v>11511</x:v>
      </x:c>
      <x:c r="G47" s="16" t="n">
        <x:v>0.1101</x:v>
      </x:c>
      <x:c r="H47" s="16" t="n">
        <x:f>IF(F47&gt;0,E47/F47,"")</x:f>
        <x:v>0.11024237685691947</x:v>
      </x:c>
      <x:c r="I47" s="36" t="n">
        <x:v>16519.79</x:v>
      </x:c>
      <x:c r="J47" s="12" t="n">
        <x:v>1418</x:v>
      </x:c>
      <x:c r="K47" s="12" t="n">
        <x:v>20509</x:v>
      </x:c>
      <x:c r="L47" s="16" t="n">
        <x:v>0.2123</x:v>
      </x:c>
      <x:c r="M47" s="16" t="n">
        <x:f>IF(K47&gt;0,J47/K47,"")</x:f>
        <x:v>0.06914037739528987</x:v>
      </x:c>
      <x:c r="N47" s="36" t="n">
        <x:v>17144.41</x:v>
      </x:c>
      <x:c r="O47" s="19" t="n">
        <x:f>J47-E47</x:f>
        <x:v>149</x:v>
      </x:c>
      <x:c r="P47" s="19" t="n">
        <x:f>K47-F47</x:f>
        <x:v>8998</x:v>
      </x:c>
      <x:c r="Q47" s="20" t="n">
        <x:f>IF(AND(F47&gt;0,K47&gt;0),(M47-H47)*100,"")</x:f>
        <x:v>-4.110199946162959</x:v>
      </x:c>
      <x:c r="R47" s="12" t="n">
        <x:v>29</x:v>
      </x:c>
      <x:c r="S47" s="12" t="n">
        <x:v>37</x:v>
      </x:c>
    </x:row>
    <x:row r="48" ht="22" customHeight="1">
      <x:c r="A48" s="1" t="str">
        <x:v>B0F9YCJ1FS</x:v>
      </x:c>
      <x:c r="B48" s="1" t="str">
        <x:v>工作照明与应急</x:v>
      </x:c>
      <x:c r="C48" s="1" t="str">
        <x:v>HYCHIKA LED Akku Strahler,20 W 2000 LM 6500 K IP65 Wasserdicht</x:v>
      </x:c>
      <x:c r="D48" s="1" t="str">
        <x:v>两年均有</x:v>
      </x:c>
      <x:c r="E48" s="12" t="n">
        <x:v>467</x:v>
      </x:c>
      <x:c r="F48" s="12" t="n">
        <x:v>8354</x:v>
      </x:c>
      <x:c r="G48" s="16" t="n">
        <x:v>0.0548</x:v>
      </x:c>
      <x:c r="H48" s="16" t="n">
        <x:f>IF(F48&gt;0,E48/F48,"")</x:f>
        <x:v>0.05590136461575293</x:v>
      </x:c>
      <x:c r="I48" s="36" t="n">
        <x:v>9658.46</x:v>
      </x:c>
      <x:c r="J48" s="12" t="n">
        <x:v>1191</x:v>
      </x:c>
      <x:c r="K48" s="12" t="n">
        <x:v>20704</x:v>
      </x:c>
      <x:c r="L48" s="16" t="n">
        <x:v>0.1693</x:v>
      </x:c>
      <x:c r="M48" s="16" t="n">
        <x:f>IF(K48&gt;0,J48/K48,"")</x:f>
        <x:v>0.057525115919629055</x:v>
      </x:c>
      <x:c r="N48" s="36" t="n">
        <x:v>24013.96</x:v>
      </x:c>
      <x:c r="O48" s="19" t="n">
        <x:f>J48-E48</x:f>
        <x:v>724</x:v>
      </x:c>
      <x:c r="P48" s="19" t="n">
        <x:f>K48-F48</x:f>
        <x:v>12350</x:v>
      </x:c>
      <x:c r="Q48" s="20" t="n">
        <x:f>IF(AND(F48&gt;0,K48&gt;0),(M48-H48)*100,"")</x:f>
        <x:v>0.16237513038761253</x:v>
      </x:c>
      <x:c r="R48" s="12" t="n">
        <x:v>16</x:v>
      </x:c>
      <x:c r="S48" s="12" t="n">
        <x:v>64</x:v>
      </x:c>
    </x:row>
    <x:row r="49" ht="22" customHeight="1">
      <x:c r="A49" s="1" t="str">
        <x:v>B0BYMQ4B8Q</x:v>
      </x:c>
      <x:c r="B49" s="1" t="str">
        <x:v>工作照明与应急</x:v>
      </x:c>
      <x:c r="C49" s="1" t="str">
        <x:v>HYCHIKA LED Baustrahler mit Stativ LED Strahler mit Stativ, 14000Lumen</x:v>
      </x:c>
      <x:c r="D49" s="1" t="str">
        <x:v>两年均有</x:v>
      </x:c>
      <x:c r="E49" s="12" t="n">
        <x:v>2628</x:v>
      </x:c>
      <x:c r="F49" s="12" t="n">
        <x:v>63888</x:v>
      </x:c>
      <x:c r="G49" s="16" t="n">
        <x:v>0.041</x:v>
      </x:c>
      <x:c r="H49" s="16" t="n">
        <x:f>IF(F49&gt;0,E49/F49,"")</x:f>
        <x:v>0.041134485349361385</x:v>
      </x:c>
      <x:c r="I49" s="36" t="n">
        <x:v>182610.32</x:v>
      </x:c>
      <x:c r="J49" s="12" t="n">
        <x:v>1185</x:v>
      </x:c>
      <x:c r="K49" s="12" t="n">
        <x:v>32783</x:v>
      </x:c>
      <x:c r="L49" s="16" t="n">
        <x:v>0.1045</x:v>
      </x:c>
      <x:c r="M49" s="16" t="n">
        <x:f>IF(K49&gt;0,J49/K49,"")</x:f>
        <x:v>0.03614678339383217</x:v>
      </x:c>
      <x:c r="N49" s="36" t="n">
        <x:v>80908.01</x:v>
      </x:c>
      <x:c r="O49" s="19" t="n">
        <x:f>J49-E49</x:f>
        <x:v>-1443</x:v>
      </x:c>
      <x:c r="P49" s="19" t="n">
        <x:f>K49-F49</x:f>
        <x:v>-31105</x:v>
      </x:c>
      <x:c r="Q49" s="20" t="n">
        <x:f>IF(AND(F49&gt;0,K49&gt;0),(M49-H49)*100,"")</x:f>
        <x:v>-0.49877019555292157</x:v>
      </x:c>
      <x:c r="R49" s="12" t="n">
        <x:v>111</x:v>
      </x:c>
      <x:c r="S49" s="12" t="n">
        <x:v>70</x:v>
      </x:c>
    </x:row>
    <x:row r="50" ht="22" customHeight="1">
      <x:c r="A50" s="1" t="str">
        <x:v>B0D2XH63MM</x:v>
      </x:c>
      <x:c r="B50" s="1" t="str">
        <x:v>汽车起重与充气</x:v>
      </x:c>
      <x:c r="C50" s="1" t="str">
        <x:v>HYCHIKA Cric da corsa in acciaio, con pompa di sollevamento rapido a pistone idraulico, capacità di 1.5 tonnellate</x:v>
      </x:c>
      <x:c r="D50" s="1" t="str">
        <x:v>两年均有</x:v>
      </x:c>
      <x:c r="E50" s="12" t="n">
        <x:v>603</x:v>
      </x:c>
      <x:c r="F50" s="12" t="n">
        <x:v>21253</x:v>
      </x:c>
      <x:c r="G50" s="16" t="n">
        <x:v>0.0283</x:v>
      </x:c>
      <x:c r="H50" s="16" t="n">
        <x:f>IF(F50&gt;0,E50/F50,"")</x:f>
        <x:v>0.028372465063755705</x:v>
      </x:c>
      <x:c r="I50" s="36" t="n">
        <x:v>17436.31</x:v>
      </x:c>
      <x:c r="J50" s="12" t="n">
        <x:v>1130</x:v>
      </x:c>
      <x:c r="K50" s="12" t="n">
        <x:v>29981</x:v>
      </x:c>
      <x:c r="L50" s="16" t="n">
        <x:v>0.1117</x:v>
      </x:c>
      <x:c r="M50" s="16" t="n">
        <x:f>IF(K50&gt;0,J50/K50,"")</x:f>
        <x:v>0.037690537340315536</x:v>
      </x:c>
      <x:c r="N50" s="36" t="n">
        <x:v>33883.93</x:v>
      </x:c>
      <x:c r="O50" s="19" t="n">
        <x:f>J50-E50</x:f>
        <x:v>527</x:v>
      </x:c>
      <x:c r="P50" s="19" t="n">
        <x:f>K50-F50</x:f>
        <x:v>8728</x:v>
      </x:c>
      <x:c r="Q50" s="20" t="n">
        <x:f>IF(AND(F50&gt;0,K50&gt;0),(M50-H50)*100,"")</x:f>
        <x:v>0.9318072276559831</x:v>
      </x:c>
      <x:c r="R50" s="12" t="n">
        <x:v>48</x:v>
      </x:c>
      <x:c r="S50" s="12" t="n">
        <x:v>78</x:v>
      </x:c>
    </x:row>
    <x:row r="51" ht="22" customHeight="1">
      <x:c r="A51" s="1" t="str">
        <x:v>B0FHH6H76D</x:v>
      </x:c>
      <x:c r="B51" s="1" t="str">
        <x:v>手动工具与套装</x:v>
      </x:c>
      <x:c r="C51" s="1" t="str">
        <x:v>HYCHIKA Ratschenschlüssel Set, 9Pcs Ringschlüssel Set</x:v>
      </x:c>
      <x:c r="D51" s="1" t="str">
        <x:v>两年均有</x:v>
      </x:c>
      <x:c r="E51" s="12" t="n">
        <x:v>269</x:v>
      </x:c>
      <x:c r="F51" s="12" t="n">
        <x:v>6538</x:v>
      </x:c>
      <x:c r="G51" s="16" t="n">
        <x:v>0.0383</x:v>
      </x:c>
      <x:c r="H51" s="16" t="n">
        <x:f>IF(F51&gt;0,E51/F51,"")</x:f>
        <x:v>0.04114408075864179</x:v>
      </x:c>
      <x:c r="I51" s="36" t="n">
        <x:v>7466.82</x:v>
      </x:c>
      <x:c r="J51" s="12" t="n">
        <x:v>1098</x:v>
      </x:c>
      <x:c r="K51" s="12" t="n">
        <x:v>39194</x:v>
      </x:c>
      <x:c r="L51" s="16" t="n">
        <x:v>0.0677</x:v>
      </x:c>
      <x:c r="M51" s="16" t="n">
        <x:f>IF(K51&gt;0,J51/K51,"")</x:f>
        <x:v>0.028014492014083788</x:v>
      </x:c>
      <x:c r="N51" s="36" t="n">
        <x:v>30156.59</x:v>
      </x:c>
      <x:c r="O51" s="19" t="n">
        <x:f>J51-E51</x:f>
        <x:v>829</x:v>
      </x:c>
      <x:c r="P51" s="19" t="n">
        <x:f>K51-F51</x:f>
        <x:v>32656</x:v>
      </x:c>
      <x:c r="Q51" s="20" t="n">
        <x:f>IF(AND(F51&gt;0,K51&gt;0),(M51-H51)*100,"")</x:f>
        <x:v>-1.3129588744558</x:v>
      </x:c>
      <x:c r="R51" s="12" t="n">
        <x:v>3</x:v>
      </x:c>
      <x:c r="S51" s="12" t="n">
        <x:v>22</x:v>
      </x:c>
    </x:row>
    <x:row r="52" ht="22" customHeight="1">
      <x:c r="A52" s="1" t="str">
        <x:v>B0FHPR9TV5</x:v>
      </x:c>
      <x:c r="B52" s="1" t="str">
        <x:v>手动工具与套装</x:v>
      </x:c>
      <x:c r="C52" s="1" t="str">
        <x:v>HYCHIKA Ringschlüssel Set 9Pcs für Kfz-Reparatur und Industrie-Wartung</x:v>
      </x:c>
      <x:c r="D52" s="1" t="str">
        <x:v>两年均有</x:v>
      </x:c>
      <x:c r="E52" s="12" t="n">
        <x:v>357</x:v>
      </x:c>
      <x:c r="F52" s="12" t="n">
        <x:v>8273</x:v>
      </x:c>
      <x:c r="G52" s="16" t="n">
        <x:v>0.0414</x:v>
      </x:c>
      <x:c r="H52" s="16" t="n">
        <x:f>IF(F52&gt;0,E52/F52,"")</x:f>
        <x:v>0.04315242354647649</x:v>
      </x:c>
      <x:c r="I52" s="36" t="n">
        <x:v>11043.78</x:v>
      </x:c>
      <x:c r="J52" s="12" t="n">
        <x:v>1065</x:v>
      </x:c>
      <x:c r="K52" s="12" t="n">
        <x:v>40398</x:v>
      </x:c>
      <x:c r="L52" s="16" t="n">
        <x:v>0.0671</x:v>
      </x:c>
      <x:c r="M52" s="16" t="n">
        <x:f>IF(K52&gt;0,J52/K52,"")</x:f>
        <x:v>0.02636269122233774</x:v>
      </x:c>
      <x:c r="N52" s="36" t="n">
        <x:v>33089.16</x:v>
      </x:c>
      <x:c r="O52" s="19" t="n">
        <x:f>J52-E52</x:f>
        <x:v>708</x:v>
      </x:c>
      <x:c r="P52" s="19" t="n">
        <x:f>K52-F52</x:f>
        <x:v>32125</x:v>
      </x:c>
      <x:c r="Q52" s="20" t="n">
        <x:f>IF(AND(F52&gt;0,K52&gt;0),(M52-H52)*100,"")</x:f>
        <x:v>-1.6789732324138753</x:v>
      </x:c>
      <x:c r="R52" s="12" t="n">
        <x:v>1</x:v>
      </x:c>
      <x:c r="S52" s="12" t="n">
        <x:v>32</x:v>
      </x:c>
    </x:row>
    <x:row r="53" ht="22" customHeight="1">
      <x:c r="A53" s="1" t="str">
        <x:v>B0GDCZ7BWK</x:v>
      </x:c>
      <x:c r="B53" s="1" t="str">
        <x:v>清洁电器与空气净化</x:v>
      </x:c>
      <x:c r="C53" s="1" t="str">
        <x:v>HYCHIKA Nasssauger Polsterreiniger Gerät 1800W</x:v>
      </x:c>
      <x:c r="D53" s="1" t="str">
        <x:v>仅2026</x:v>
      </x:c>
      <x:c r="E53" s="12" t="n">
        <x:v>0</x:v>
      </x:c>
      <x:c r="F53" s="12" t="n">
        <x:v>0</x:v>
      </x:c>
      <x:c r="G53" s="16"/>
      <x:c r="H53" s="16" t="str">
        <x:f>IF(F53&gt;0,E53/F53,"")</x:f>
      </x:c>
      <x:c r="I53" s="36" t="n">
        <x:v>0</x:v>
      </x:c>
      <x:c r="J53" s="12" t="n">
        <x:v>994</x:v>
      </x:c>
      <x:c r="K53" s="12" t="n">
        <x:v>52763</x:v>
      </x:c>
      <x:c r="L53" s="16" t="n">
        <x:v>0.0379</x:v>
      </x:c>
      <x:c r="M53" s="16" t="n">
        <x:f>IF(K53&gt;0,J53/K53,"")</x:f>
        <x:v>0.018838959119079658</x:v>
      </x:c>
      <x:c r="N53" s="36" t="n">
        <x:v>95216.92</x:v>
      </x:c>
      <x:c r="O53" s="19" t="n">
        <x:f>J53-E53</x:f>
        <x:v>994</x:v>
      </x:c>
      <x:c r="P53" s="19" t="n">
        <x:f>K53-F53</x:f>
        <x:v>52763</x:v>
      </x:c>
      <x:c r="Q53" s="20" t="str">
        <x:f>IF(AND(F53&gt;0,K53&gt;0),(M53-H53)*100,"")</x:f>
      </x:c>
      <x:c r="R53" s="12" t="n">
        <x:v>0</x:v>
      </x:c>
      <x:c r="S53" s="12" t="n">
        <x:v>219</x:v>
      </x:c>
    </x:row>
    <x:row r="54" ht="22" customHeight="1">
      <x:c r="A54" s="1" t="str">
        <x:v>B07ZFNCBXX</x:v>
      </x:c>
      <x:c r="B54" s="1" t="str">
        <x:v>锯片与开孔耗材</x:v>
      </x:c>
      <x:c r="C54" s="1" t="str">
        <x:v>HYCHIKA Säbelsägeblätter Set, 32PCS Sägeblätter Säbelsäge Holz, zum Schneiden von Metall und Holz mit Organizer Koffer</x:v>
      </x:c>
      <x:c r="D54" s="1" t="str">
        <x:v>两年均有</x:v>
      </x:c>
      <x:c r="E54" s="12" t="n">
        <x:v>1602</x:v>
      </x:c>
      <x:c r="F54" s="12" t="n">
        <x:v>16964</x:v>
      </x:c>
      <x:c r="G54" s="16" t="n">
        <x:v>0.0941</x:v>
      </x:c>
      <x:c r="H54" s="16" t="n">
        <x:f>IF(F54&gt;0,E54/F54,"")</x:f>
        <x:v>0.09443527469936336</x:v>
      </x:c>
      <x:c r="I54" s="36" t="n">
        <x:v>24585.33</x:v>
      </x:c>
      <x:c r="J54" s="12" t="n">
        <x:v>983</x:v>
      </x:c>
      <x:c r="K54" s="12" t="n">
        <x:v>11436</x:v>
      </x:c>
      <x:c r="L54" s="16" t="n">
        <x:v>0.26</x:v>
      </x:c>
      <x:c r="M54" s="16" t="n">
        <x:f>IF(K54&gt;0,J54/K54,"")</x:f>
        <x:v>0.0859566281916754</x:v>
      </x:c>
      <x:c r="N54" s="36" t="n">
        <x:v>14865.37</x:v>
      </x:c>
      <x:c r="O54" s="19" t="n">
        <x:f>J54-E54</x:f>
        <x:v>-619</x:v>
      </x:c>
      <x:c r="P54" s="19" t="n">
        <x:f>K54-F54</x:f>
        <x:v>-5528</x:v>
      </x:c>
      <x:c r="Q54" s="20" t="n">
        <x:f>IF(AND(F54&gt;0,K54&gt;0),(M54-H54)*100,"")</x:f>
        <x:v>-0.8478646507687954</x:v>
      </x:c>
      <x:c r="R54" s="12" t="n">
        <x:v>44</x:v>
      </x:c>
      <x:c r="S54" s="12" t="n">
        <x:v>11</x:v>
      </x:c>
    </x:row>
    <x:row r="55" ht="22" customHeight="1">
      <x:c r="A55" s="1" t="str">
        <x:v>B0FX9ZCTX9</x:v>
      </x:c>
      <x:c r="B55" s="1" t="str">
        <x:v>手动工具与套装</x:v>
      </x:c>
      <x:c r="C55" s="1" t="str">
        <x:v>HYCHIKA Tornillo de Banco 80 mm, 360 ° Se Puede Girar, Tornillo de Banco de Trabajo de Hierro Fundido, Adecuado para Esmerilar, Taladrar, Pulir y Operaciones Manuales a Pequeña Escala</x:v>
      </x:c>
      <x:c r="D55" s="1" t="str">
        <x:v>两年均有</x:v>
      </x:c>
      <x:c r="E55" s="12" t="n">
        <x:v>0</x:v>
      </x:c>
      <x:c r="F55" s="12" t="n">
        <x:v>0</x:v>
      </x:c>
      <x:c r="G55" s="16" t="n">
        <x:v>0</x:v>
      </x:c>
      <x:c r="H55" s="16" t="str">
        <x:f>IF(F55&gt;0,E55/F55,"")</x:f>
      </x:c>
      <x:c r="I55" s="36" t="n">
        <x:v>0</x:v>
      </x:c>
      <x:c r="J55" s="12" t="n">
        <x:v>929</x:v>
      </x:c>
      <x:c r="K55" s="12" t="n">
        <x:v>9455</x:v>
      </x:c>
      <x:c r="L55" s="16" t="n">
        <x:v>0.312</x:v>
      </x:c>
      <x:c r="M55" s="16" t="n">
        <x:f>IF(K55&gt;0,J55/K55,"")</x:f>
        <x:v>0.0982548915917504</x:v>
      </x:c>
      <x:c r="N55" s="36" t="n">
        <x:v>19105.67</x:v>
      </x:c>
      <x:c r="O55" s="19" t="n">
        <x:f>J55-E55</x:f>
        <x:v>929</x:v>
      </x:c>
      <x:c r="P55" s="19" t="n">
        <x:f>K55-F55</x:f>
        <x:v>9455</x:v>
      </x:c>
      <x:c r="Q55" s="20" t="str">
        <x:f>IF(AND(F55&gt;0,K55&gt;0),(M55-H55)*100,"")</x:f>
      </x:c>
      <x:c r="R55" s="12" t="n">
        <x:v>0</x:v>
      </x:c>
      <x:c r="S55" s="12" t="n">
        <x:v>14</x:v>
      </x:c>
    </x:row>
    <x:row r="56" ht="22" customHeight="1">
      <x:c r="A56" s="1" t="str">
        <x:v>B0F1N5Y29H</x:v>
      </x:c>
      <x:c r="B56" s="1" t="str">
        <x:v>喷涂与热工工具</x:v>
      </x:c>
      <x:c r="C56" s="1" t="str">
        <x:v>HYCHIKA Pistola per verniciare da 600W, Pistola a spruzzo per verniciare HVLP con contenitore da 1200ml, 4 ugelli, 3 modalità, ideale per la verniciatura di mobili, recinzioni, pareti</x:v>
      </x:c>
      <x:c r="D56" s="1" t="str">
        <x:v>两年均有</x:v>
      </x:c>
      <x:c r="E56" s="12" t="n">
        <x:v>777</x:v>
      </x:c>
      <x:c r="F56" s="12" t="n">
        <x:v>23484</x:v>
      </x:c>
      <x:c r="G56" s="16" t="n">
        <x:v>0.0311</x:v>
      </x:c>
      <x:c r="H56" s="16" t="n">
        <x:f>IF(F56&gt;0,E56/F56,"")</x:f>
        <x:v>0.033086356668369954</x:v>
      </x:c>
      <x:c r="I56" s="36" t="n">
        <x:v>30635.71</x:v>
      </x:c>
      <x:c r="J56" s="12" t="n">
        <x:v>898</x:v>
      </x:c>
      <x:c r="K56" s="12" t="n">
        <x:v>26996</x:v>
      </x:c>
      <x:c r="L56" s="16" t="n">
        <x:v>0.0931</x:v>
      </x:c>
      <x:c r="M56" s="16" t="n">
        <x:f>IF(K56&gt;0,J56/K56,"")</x:f>
        <x:v>0.03326418728700548</x:v>
      </x:c>
      <x:c r="N56" s="36" t="n">
        <x:v>34099.16</x:v>
      </x:c>
      <x:c r="O56" s="19" t="n">
        <x:f>J56-E56</x:f>
        <x:v>121</x:v>
      </x:c>
      <x:c r="P56" s="19" t="n">
        <x:f>K56-F56</x:f>
        <x:v>3512</x:v>
      </x:c>
      <x:c r="Q56" s="20" t="n">
        <x:f>IF(AND(F56&gt;0,K56&gt;0),(M56-H56)*100,"")</x:f>
        <x:v>0.017783061863552857</x:v>
      </x:c>
      <x:c r="R56" s="12" t="n">
        <x:v>64</x:v>
      </x:c>
      <x:c r="S56" s="12" t="n">
        <x:v>75</x:v>
      </x:c>
    </x:row>
    <x:row r="57" ht="22" customHeight="1">
      <x:c r="A57" s="1" t="str">
        <x:v>B091Q2N3GT</x:v>
      </x:c>
      <x:c r="B57" s="1" t="str">
        <x:v>工作照明与应急</x:v>
      </x:c>
      <x:c r="C57" s="1" t="str">
        <x:v>HYCHIKA LED Baustrahler 100W, LED Strahler 12000 LM 6500K, 2 Modes Adjustable Brightness, 360° Degree Rotation Wasserdichtes IP65 Arbeitsleuchter Drehbar, 2 m Kabel mit Stecker für Werkstatt Baustelle</x:v>
      </x:c>
      <x:c r="D57" s="1" t="str">
        <x:v>两年均有</x:v>
      </x:c>
      <x:c r="E57" s="12" t="n">
        <x:v>1900</x:v>
      </x:c>
      <x:c r="F57" s="12" t="n">
        <x:v>21500</x:v>
      </x:c>
      <x:c r="G57" s="16" t="n">
        <x:v>0.0878</x:v>
      </x:c>
      <x:c r="H57" s="16" t="n">
        <x:f>IF(F57&gt;0,E57/F57,"")</x:f>
        <x:v>0.08837209302325581</x:v>
      </x:c>
      <x:c r="I57" s="36" t="n">
        <x:v>62149.39</x:v>
      </x:c>
      <x:c r="J57" s="12" t="n">
        <x:v>871</x:v>
      </x:c>
      <x:c r="K57" s="12" t="n">
        <x:v>12427</x:v>
      </x:c>
      <x:c r="L57" s="16" t="n">
        <x:v>0.2119</x:v>
      </x:c>
      <x:c r="M57" s="16" t="n">
        <x:f>IF(K57&gt;0,J57/K57,"")</x:f>
        <x:v>0.07008932163836806</x:v>
      </x:c>
      <x:c r="N57" s="36" t="n">
        <x:v>28098.36</x:v>
      </x:c>
      <x:c r="O57" s="19" t="n">
        <x:f>J57-E57</x:f>
        <x:v>-1029</x:v>
      </x:c>
      <x:c r="P57" s="19" t="n">
        <x:f>K57-F57</x:f>
        <x:v>-9073</x:v>
      </x:c>
      <x:c r="Q57" s="20" t="n">
        <x:f>IF(AND(F57&gt;0,K57&gt;0),(M57-H57)*100,"")</x:f>
        <x:v>-1.828277138488775</x:v>
      </x:c>
      <x:c r="R57" s="12" t="n">
        <x:v>81</x:v>
      </x:c>
      <x:c r="S57" s="12" t="n">
        <x:v>49</x:v>
      </x:c>
    </x:row>
    <x:row r="58" ht="22" customHeight="1">
      <x:c r="A58" s="1" t="str">
        <x:v>B0BZDCFBWV</x:v>
      </x:c>
      <x:c r="B58" s="1" t="str">
        <x:v>手动工具与套装</x:v>
      </x:c>
      <x:c r="C58" s="1" t="str">
        <x:v>SORAKO Set di Cacciaviti Magnetici 40 Pezzi, Intaglio &amp; Phillips</x:v>
      </x:c>
      <x:c r="D58" s="1" t="str">
        <x:v>两年均有</x:v>
      </x:c>
      <x:c r="E58" s="12" t="n">
        <x:v>1584</x:v>
      </x:c>
      <x:c r="F58" s="12" t="n">
        <x:v>45521</x:v>
      </x:c>
      <x:c r="G58" s="16" t="n">
        <x:v>0.0315</x:v>
      </x:c>
      <x:c r="H58" s="16" t="n">
        <x:f>IF(F58&gt;0,E58/F58,"")</x:f>
        <x:v>0.03479712660090947</x:v>
      </x:c>
      <x:c r="I58" s="36" t="n">
        <x:v>31850.8</x:v>
      </x:c>
      <x:c r="J58" s="12" t="n">
        <x:v>849</x:v>
      </x:c>
      <x:c r="K58" s="12" t="n">
        <x:v>25154</x:v>
      </x:c>
      <x:c r="L58" s="16" t="n">
        <x:v>0.0983</x:v>
      </x:c>
      <x:c r="M58" s="16" t="n">
        <x:f>IF(K58&gt;0,J58/K58,"")</x:f>
        <x:v>0.0337520871431979</x:v>
      </x:c>
      <x:c r="N58" s="36" t="n">
        <x:v>17251.66</x:v>
      </x:c>
      <x:c r="O58" s="19" t="n">
        <x:f>J58-E58</x:f>
        <x:v>-735</x:v>
      </x:c>
      <x:c r="P58" s="19" t="n">
        <x:f>K58-F58</x:f>
        <x:v>-20367</x:v>
      </x:c>
      <x:c r="Q58" s="20" t="n">
        <x:f>IF(AND(F58&gt;0,K58&gt;0),(M58-H58)*100,"")</x:f>
        <x:v>-0.10450394577115746</x:v>
      </x:c>
      <x:c r="R58" s="12" t="n">
        <x:v>50</x:v>
      </x:c>
      <x:c r="S58" s="12" t="n">
        <x:v>18</x:v>
      </x:c>
    </x:row>
    <x:row r="59" ht="22" customHeight="1">
      <x:c r="A59" s="1" t="str">
        <x:v>B0FJ21PPPJ</x:v>
      </x:c>
      <x:c r="B59" s="1" t="str">
        <x:v>电锯与电动切割</x:v>
      </x:c>
      <x:c r="C59" s="1" t="str">
        <x:v>HYCHIKA Tijera Electrica Inalámbricas 4V, Cúter Rotativo Eléctrico 300 RPM, Tijeras Eléctricas con 2 Cuchillas y LED para Tela, Costura, Cuero, Alfombra, Cartón y Plástico</x:v>
      </x:c>
      <x:c r="D59" s="1" t="str">
        <x:v>两年均有</x:v>
      </x:c>
      <x:c r="E59" s="12" t="n">
        <x:v>73</x:v>
      </x:c>
      <x:c r="F59" s="12" t="n">
        <x:v>1020</x:v>
      </x:c>
      <x:c r="G59" s="16" t="n">
        <x:v>0.052</x:v>
      </x:c>
      <x:c r="H59" s="16" t="n">
        <x:f>IF(F59&gt;0,E59/F59,"")</x:f>
        <x:v>0.07156862745098039</x:v>
      </x:c>
      <x:c r="I59" s="36" t="n">
        <x:v>2418.02</x:v>
      </x:c>
      <x:c r="J59" s="12" t="n">
        <x:v>835</x:v>
      </x:c>
      <x:c r="K59" s="12" t="n">
        <x:v>25302</x:v>
      </x:c>
      <x:c r="L59" s="16" t="n">
        <x:v>0.0958</x:v>
      </x:c>
      <x:c r="M59" s="16" t="n">
        <x:f>IF(K59&gt;0,J59/K59,"")</x:f>
        <x:v>0.03300134376729112</x:v>
      </x:c>
      <x:c r="N59" s="36" t="n">
        <x:v>24948.09</x:v>
      </x:c>
      <x:c r="O59" s="19" t="n">
        <x:f>J59-E59</x:f>
        <x:v>762</x:v>
      </x:c>
      <x:c r="P59" s="19" t="n">
        <x:f>K59-F59</x:f>
        <x:v>24282</x:v>
      </x:c>
      <x:c r="Q59" s="20" t="n">
        <x:f>IF(AND(F59&gt;0,K59&gt;0),(M59-H59)*100,"")</x:f>
        <x:v>-3.8567283683689264</x:v>
      </x:c>
      <x:c r="R59" s="12" t="n">
        <x:v>0</x:v>
      </x:c>
      <x:c r="S59" s="12" t="n">
        <x:v>70</x:v>
      </x:c>
    </x:row>
    <x:row r="60" ht="22" customHeight="1">
      <x:c r="A60" s="1" t="str">
        <x:v>B0FFGM2W7H</x:v>
      </x:c>
      <x:c r="B60" s="1" t="str">
        <x:v>喷涂与热工工具</x:v>
      </x:c>
      <x:c r="C60" s="1" t="str">
        <x:v>HYCHIKA Soldador Estaño, con Batería de 2600mAh, Calentamiento Rápido en 7 Segundos (200℃-450℃), Suspensión/Apagado Automático, Soldador de Estaño para Reparación Electrónica, Soldadura y DIY</x:v>
      </x:c>
      <x:c r="D60" s="1" t="str">
        <x:v>两年均有</x:v>
      </x:c>
      <x:c r="E60" s="12" t="n">
        <x:v>0</x:v>
      </x:c>
      <x:c r="F60" s="12" t="n">
        <x:v>23</x:v>
      </x:c>
      <x:c r="G60" s="16" t="n">
        <x:v>0</x:v>
      </x:c>
      <x:c r="H60" s="16" t="n">
        <x:f>IF(F60&gt;0,E60/F60,"")</x:f>
        <x:v>0</x:v>
      </x:c>
      <x:c r="I60" s="36" t="n">
        <x:v>0</x:v>
      </x:c>
      <x:c r="J60" s="12" t="n">
        <x:v>790</x:v>
      </x:c>
      <x:c r="K60" s="12" t="n">
        <x:v>17079</x:v>
      </x:c>
      <x:c r="L60" s="16" t="n">
        <x:v>0.13</x:v>
      </x:c>
      <x:c r="M60" s="16" t="n">
        <x:f>IF(K60&gt;0,J60/K60,"")</x:f>
        <x:v>0.04625563557585339</x:v>
      </x:c>
      <x:c r="N60" s="36" t="n">
        <x:v>38547.44</x:v>
      </x:c>
      <x:c r="O60" s="19" t="n">
        <x:f>J60-E60</x:f>
        <x:v>790</x:v>
      </x:c>
      <x:c r="P60" s="19" t="n">
        <x:f>K60-F60</x:f>
        <x:v>17056</x:v>
      </x:c>
      <x:c r="Q60" s="20" t="n">
        <x:f>IF(AND(F60&gt;0,K60&gt;0),(M60-H60)*100,"")</x:f>
        <x:v>4.625563557585339</x:v>
      </x:c>
      <x:c r="R60" s="12" t="n">
        <x:v>0</x:v>
      </x:c>
      <x:c r="S60" s="12" t="n">
        <x:v>34</x:v>
      </x:c>
    </x:row>
    <x:row r="61" ht="22" customHeight="1">
      <x:c r="A61" s="1" t="str">
        <x:v>B0H5PY47GP</x:v>
      </x:c>
      <x:c r="B61" s="1" t="str">
        <x:v>口腔护理与牙套清洁</x:v>
      </x:c>
      <x:c r="C61" s="1" t="str">
        <x:v>Ultraschallreinigungsgerät Zahnschiene mit UV-C Licht,Wasserdicht,48kHz Schall Dental Pod mit Timer,4 Modi,200 mL Reinigungsgerät für Prothesen,Aligner und Mundschutz,Weiß</x:v>
      </x:c>
      <x:c r="D61" s="1" t="str">
        <x:v>仅2026</x:v>
      </x:c>
      <x:c r="E61" s="12" t="n">
        <x:v>0</x:v>
      </x:c>
      <x:c r="F61" s="12" t="n">
        <x:v>0</x:v>
      </x:c>
      <x:c r="G61" s="16"/>
      <x:c r="H61" s="16" t="str">
        <x:f>IF(F61&gt;0,E61/F61,"")</x:f>
      </x:c>
      <x:c r="I61" s="36" t="n">
        <x:v>0</x:v>
      </x:c>
      <x:c r="J61" s="12" t="n">
        <x:v>699</x:v>
      </x:c>
      <x:c r="K61" s="12" t="n">
        <x:v>10208</x:v>
      </x:c>
      <x:c r="L61" s="16" t="n">
        <x:v>0.0587</x:v>
      </x:c>
      <x:c r="M61" s="16" t="n">
        <x:f>IF(K61&gt;0,J61/K61,"")</x:f>
        <x:v>0.0684757053291536</x:v>
      </x:c>
      <x:c r="N61" s="36" t="n">
        <x:v>23924.5</x:v>
      </x:c>
      <x:c r="O61" s="19" t="n">
        <x:f>J61-E61</x:f>
        <x:v>699</x:v>
      </x:c>
      <x:c r="P61" s="19" t="n">
        <x:f>K61-F61</x:f>
        <x:v>10208</x:v>
      </x:c>
      <x:c r="Q61" s="20" t="str">
        <x:f>IF(AND(F61&gt;0,K61&gt;0),(M61-H61)*100,"")</x:f>
      </x:c>
      <x:c r="R61" s="12" t="n">
        <x:v>0</x:v>
      </x:c>
      <x:c r="S61" s="12" t="n">
        <x:v>12</x:v>
      </x:c>
    </x:row>
    <x:row r="62" ht="22" customHeight="1">
      <x:c r="A62" s="1" t="str">
        <x:v>B088JXZ55T</x:v>
      </x:c>
      <x:c r="B62" s="1" t="str">
        <x:v>电钻与冲击工具</x:v>
      </x:c>
      <x:c r="C62" s="1" t="str">
        <x:v>HYCHIKA Trapano Avvitatore Batteria 18 V 45 Nm, Trapano a Percussione</x:v>
      </x:c>
      <x:c r="D62" s="1" t="str">
        <x:v>两年均有</x:v>
      </x:c>
      <x:c r="E62" s="12" t="n">
        <x:v>992</x:v>
      </x:c>
      <x:c r="F62" s="12" t="n">
        <x:v>66329</x:v>
      </x:c>
      <x:c r="G62" s="16" t="n">
        <x:v>0.0149</x:v>
      </x:c>
      <x:c r="H62" s="16" t="n">
        <x:f>IF(F62&gt;0,E62/F62,"")</x:f>
        <x:v>0.014955750878198074</x:v>
      </x:c>
      <x:c r="I62" s="36" t="n">
        <x:v>44259.68</x:v>
      </x:c>
      <x:c r="J62" s="12" t="n">
        <x:v>681</x:v>
      </x:c>
      <x:c r="K62" s="12" t="n">
        <x:v>34713</x:v>
      </x:c>
      <x:c r="L62" s="16" t="n">
        <x:v>0.0572</x:v>
      </x:c>
      <x:c r="M62" s="16" t="n">
        <x:f>IF(K62&gt;0,J62/K62,"")</x:f>
        <x:v>0.01961801054360038</x:v>
      </x:c>
      <x:c r="N62" s="36" t="n">
        <x:v>31780.5</x:v>
      </x:c>
      <x:c r="O62" s="19" t="n">
        <x:f>J62-E62</x:f>
        <x:v>-311</x:v>
      </x:c>
      <x:c r="P62" s="19" t="n">
        <x:f>K62-F62</x:f>
        <x:v>-31616</x:v>
      </x:c>
      <x:c r="Q62" s="20" t="n">
        <x:f>IF(AND(F62&gt;0,K62&gt;0),(M62-H62)*100,"")</x:f>
        <x:v>0.4662259665402308</x:v>
      </x:c>
      <x:c r="R62" s="12" t="n">
        <x:v>122</x:v>
      </x:c>
      <x:c r="S62" s="12" t="n">
        <x:v>72</x:v>
      </x:c>
    </x:row>
    <x:row r="63" ht="22" customHeight="1">
      <x:c r="A63" s="1" t="str">
        <x:v>B0CSSLQPZL</x:v>
      </x:c>
      <x:c r="B63" s="1" t="str">
        <x:v>锯片与开孔耗材</x:v>
      </x:c>
      <x:c r="C63" s="1" t="str">
        <x:v>HYCHIKA Seghe a Tazza Bi-Metallica 60mm, Fresa A Tazza per Legno, Iron Alluminio, Cartongesso, Tubi, Plastica, Pannelli di Fibra</x:v>
      </x:c>
      <x:c r="D63" s="1" t="str">
        <x:v>两年均有</x:v>
      </x:c>
      <x:c r="E63" s="12" t="n">
        <x:v>232</x:v>
      </x:c>
      <x:c r="F63" s="12" t="n">
        <x:v>2311</x:v>
      </x:c>
      <x:c r="G63" s="16" t="n">
        <x:v>0.0996</x:v>
      </x:c>
      <x:c r="H63" s="16" t="n">
        <x:f>IF(F63&gt;0,E63/F63,"")</x:f>
        <x:v>0.10038944180008655</x:v>
      </x:c>
      <x:c r="I63" s="36" t="n">
        <x:v>1724.8</x:v>
      </x:c>
      <x:c r="J63" s="12" t="n">
        <x:v>602</x:v>
      </x:c>
      <x:c r="K63" s="12" t="n">
        <x:v>4234</x:v>
      </x:c>
      <x:c r="L63" s="16" t="n">
        <x:v>0.4242</x:v>
      </x:c>
      <x:c r="M63" s="16" t="n">
        <x:f>IF(K63&gt;0,J63/K63,"")</x:f>
        <x:v>0.14218233349078885</x:v>
      </x:c>
      <x:c r="N63" s="36" t="n">
        <x:v>4614.74</x:v>
      </x:c>
      <x:c r="O63" s="19" t="n">
        <x:f>J63-E63</x:f>
        <x:v>370</x:v>
      </x:c>
      <x:c r="P63" s="19" t="n">
        <x:f>K63-F63</x:f>
        <x:v>1923</x:v>
      </x:c>
      <x:c r="Q63" s="20" t="n">
        <x:f>IF(AND(F63&gt;0,K63&gt;0),(M63-H63)*100,"")</x:f>
        <x:v>4.17928916907023</x:v>
      </x:c>
      <x:c r="R63" s="12" t="n">
        <x:v>7</x:v>
      </x:c>
      <x:c r="S63" s="12" t="n">
        <x:v>15</x:v>
      </x:c>
    </x:row>
    <x:row r="64" ht="22" customHeight="1">
      <x:c r="A64" s="1" t="str">
        <x:v>B0BRCX7H1W</x:v>
      </x:c>
      <x:c r="B64" s="1" t="str">
        <x:v>打磨耗材</x:v>
      </x:c>
      <x:c r="C64" s="1" t="str">
        <x:v>HYCHIKA Schruppscheiben 125mm 10 Stück, Professional Schruppscheibe gekröpft, Winkelschleifer Scheiben für Stahl-, Metallbearbeitung Schleifen Polieren, Entgraten Ø125 x 22,2 mm, Dicke:6 mm</x:v>
      </x:c>
      <x:c r="D64" s="1" t="str">
        <x:v>两年均有</x:v>
      </x:c>
      <x:c r="E64" s="12" t="n">
        <x:v>475</x:v>
      </x:c>
      <x:c r="F64" s="12" t="n">
        <x:v>3300</x:v>
      </x:c>
      <x:c r="G64" s="16" t="n">
        <x:v>0.1262</x:v>
      </x:c>
      <x:c r="H64" s="16" t="n">
        <x:f>IF(F64&gt;0,E64/F64,"")</x:f>
        <x:v>0.14393939393939395</x:v>
      </x:c>
      <x:c r="I64" s="36" t="n">
        <x:v>6898.81</x:v>
      </x:c>
      <x:c r="J64" s="12" t="n">
        <x:v>580</x:v>
      </x:c>
      <x:c r="K64" s="12" t="n">
        <x:v>8882</x:v>
      </x:c>
      <x:c r="L64" s="16" t="n">
        <x:v>0.2189</x:v>
      </x:c>
      <x:c r="M64" s="16" t="n">
        <x:f>IF(K64&gt;0,J64/K64,"")</x:f>
        <x:v>0.06530060797117766</x:v>
      </x:c>
      <x:c r="N64" s="36" t="n">
        <x:v>7733.61</x:v>
      </x:c>
      <x:c r="O64" s="19" t="n">
        <x:f>J64-E64</x:f>
        <x:v>105</x:v>
      </x:c>
      <x:c r="P64" s="19" t="n">
        <x:f>K64-F64</x:f>
        <x:v>5582</x:v>
      </x:c>
      <x:c r="Q64" s="20" t="n">
        <x:f>IF(AND(F64&gt;0,K64&gt;0),(M64-H64)*100,"")</x:f>
        <x:v>-7.863878596821629</x:v>
      </x:c>
      <x:c r="R64" s="12" t="n">
        <x:v>4</x:v>
      </x:c>
      <x:c r="S64" s="12" t="n">
        <x:v>15</x:v>
      </x:c>
    </x:row>
    <x:row r="65" ht="22" customHeight="1">
      <x:c r="A65" s="1" t="str">
        <x:v>B0DBZFJ46V</x:v>
      </x:c>
      <x:c r="B65" s="1" t="str">
        <x:v>园艺设备与工具</x:v>
      </x:c>
      <x:c r="C65" s="1" t="str">
        <x:v>HYCHIKA Teleskop Heckenschere Hand Heckenschere Manuell 111CM, Handheckenschere, Hochwertige Stahl-Klingen, Klingenlänge: 214 MM, Buschschere, Für Form- und Rückschnitt von Hecken und Büschen</x:v>
      </x:c>
      <x:c r="D65" s="1" t="str">
        <x:v>两年均有</x:v>
      </x:c>
      <x:c r="E65" s="12" t="n">
        <x:v>326</x:v>
      </x:c>
      <x:c r="F65" s="12" t="n">
        <x:v>6875</x:v>
      </x:c>
      <x:c r="G65" s="16" t="n">
        <x:v>0.0438</x:v>
      </x:c>
      <x:c r="H65" s="16" t="n">
        <x:f>IF(F65&gt;0,E65/F65,"")</x:f>
        <x:v>0.04741818181818182</x:v>
      </x:c>
      <x:c r="I65" s="36" t="n">
        <x:v>12731.42</x:v>
      </x:c>
      <x:c r="J65" s="12" t="n">
        <x:v>559</x:v>
      </x:c>
      <x:c r="K65" s="12" t="n">
        <x:v>8932</x:v>
      </x:c>
      <x:c r="L65" s="16" t="n">
        <x:v>0.1801</x:v>
      </x:c>
      <x:c r="M65" s="16" t="n">
        <x:f>IF(K65&gt;0,J65/K65,"")</x:f>
        <x:v>0.06258396775638154</x:v>
      </x:c>
      <x:c r="N65" s="36" t="n">
        <x:v>25835.1</x:v>
      </x:c>
      <x:c r="O65" s="19" t="n">
        <x:f>J65-E65</x:f>
        <x:v>233</x:v>
      </x:c>
      <x:c r="P65" s="19" t="n">
        <x:f>K65-F65</x:f>
        <x:v>2057</x:v>
      </x:c>
      <x:c r="Q65" s="20" t="n">
        <x:f>IF(AND(F65&gt;0,K65&gt;0),(M65-H65)*100,"")</x:f>
        <x:v>1.5165785938199727</x:v>
      </x:c>
      <x:c r="R65" s="12" t="n">
        <x:v>10</x:v>
      </x:c>
      <x:c r="S65" s="12" t="n">
        <x:v>20</x:v>
      </x:c>
    </x:row>
    <x:row r="66" ht="22" customHeight="1">
      <x:c r="A66" s="1" t="str">
        <x:v>B0F218K5BD</x:v>
      </x:c>
      <x:c r="B66" s="1" t="str">
        <x:v>激光水平仪与测距</x:v>
      </x:c>
      <x:c r="C66" s="1" t="str">
        <x:v>HYCHIKA Trípode para Nivel Láser 65cm - Soporte Extensible y Ajustable con Rosca Universal 1/4", Cabezal Giratorio 360° y 180°, Nivel de Burbuja y Bolsa para Láser, Cámara y Smartphone</x:v>
      </x:c>
      <x:c r="D66" s="1" t="str">
        <x:v>两年均有</x:v>
      </x:c>
      <x:c r="E66" s="12" t="n">
        <x:v>226</x:v>
      </x:c>
      <x:c r="F66" s="12" t="n">
        <x:v>6416</x:v>
      </x:c>
      <x:c r="G66" s="16" t="n">
        <x:v>0.032</x:v>
      </x:c>
      <x:c r="H66" s="16" t="n">
        <x:f>IF(F66&gt;0,E66/F66,"")</x:f>
        <x:v>0.03522443890274314</x:v>
      </x:c>
      <x:c r="I66" s="36" t="n">
        <x:v>4356.52</x:v>
      </x:c>
      <x:c r="J66" s="12" t="n">
        <x:v>538</x:v>
      </x:c>
      <x:c r="K66" s="12" t="n">
        <x:v>19033</x:v>
      </x:c>
      <x:c r="L66" s="16" t="n">
        <x:v>0.0844</x:v>
      </x:c>
      <x:c r="M66" s="16" t="n">
        <x:f>IF(K66&gt;0,J66/K66,"")</x:f>
        <x:v>0.028266694688173173</x:v>
      </x:c>
      <x:c r="N66" s="36" t="n">
        <x:v>10387.78</x:v>
      </x:c>
      <x:c r="O66" s="19" t="n">
        <x:f>J66-E66</x:f>
        <x:v>312</x:v>
      </x:c>
      <x:c r="P66" s="19" t="n">
        <x:f>K66-F66</x:f>
        <x:v>12617</x:v>
      </x:c>
      <x:c r="Q66" s="20" t="n">
        <x:f>IF(AND(F66&gt;0,K66&gt;0),(M66-H66)*100,"")</x:f>
        <x:v>-0.6957744214569968</x:v>
      </x:c>
      <x:c r="R66" s="12" t="n">
        <x:v>23</x:v>
      </x:c>
      <x:c r="S66" s="12" t="n">
        <x:v>85</x:v>
      </x:c>
    </x:row>
    <x:row r="67" ht="22" customHeight="1">
      <x:c r="A67" s="1" t="str">
        <x:v>B0F65V6Q55</x:v>
      </x:c>
      <x:c r="B67" s="1" t="str">
        <x:v>激光水平仪与测距</x:v>
      </x:c>
      <x:c r="C67" s="1" t="str">
        <x:v>HYCHIKA Nivel Laser Autonivelante 360 Grados, Nivel Láser con Trípode 12 Líneas, 1 x 360° Horizontal y 2 x 360° Verticales, 2 x 3000 mAh Batería, Control Remoto, Bolsa de tela, IP54</x:v>
      </x:c>
      <x:c r="D67" s="1" t="str">
        <x:v>两年均有</x:v>
      </x:c>
      <x:c r="E67" s="12" t="n">
        <x:v>136</x:v>
      </x:c>
      <x:c r="F67" s="12" t="n">
        <x:v>7886</x:v>
      </x:c>
      <x:c r="G67" s="16" t="n">
        <x:v>0.0154</x:v>
      </x:c>
      <x:c r="H67" s="16" t="n">
        <x:f>IF(F67&gt;0,E67/F67,"")</x:f>
        <x:v>0.017245751965508496</x:v>
      </x:c>
      <x:c r="I67" s="36" t="n">
        <x:v>14636.56</x:v>
      </x:c>
      <x:c r="J67" s="12" t="n">
        <x:v>538</x:v>
      </x:c>
      <x:c r="K67" s="12" t="n">
        <x:v>25755</x:v>
      </x:c>
      <x:c r="L67" s="16" t="n">
        <x:v>0.0629</x:v>
      </x:c>
      <x:c r="M67" s="16" t="n">
        <x:f>IF(K67&gt;0,J67/K67,"")</x:f>
        <x:v>0.02088914773830324</x:v>
      </x:c>
      <x:c r="N67" s="36" t="n">
        <x:v>53925.41</x:v>
      </x:c>
      <x:c r="O67" s="19" t="n">
        <x:f>J67-E67</x:f>
        <x:v>402</x:v>
      </x:c>
      <x:c r="P67" s="19" t="n">
        <x:f>K67-F67</x:f>
        <x:v>17869</x:v>
      </x:c>
      <x:c r="Q67" s="20" t="n">
        <x:f>IF(AND(F67&gt;0,K67&gt;0),(M67-H67)*100,"")</x:f>
        <x:v>0.3643395772794745</x:v>
      </x:c>
      <x:c r="R67" s="12" t="n">
        <x:v>10</x:v>
      </x:c>
      <x:c r="S67" s="12" t="n">
        <x:v>34</x:v>
      </x:c>
    </x:row>
    <x:row r="68" ht="22" customHeight="1">
      <x:c r="A68" s="1" t="str">
        <x:v>B07QXSGNYH</x:v>
      </x:c>
      <x:c r="B68" s="1" t="str">
        <x:v>激光水平仪与测距</x:v>
      </x:c>
      <x:c r="C68" s="1" t="str">
        <x:v>HYCHIKA Nivel Laser Autonivelante Rojo, 15m, Nivel Láser Manual/Automático, IP54, Base Magnética Giratoria 360°, Herramienta De Nivelación</x:v>
      </x:c>
      <x:c r="D68" s="1" t="str">
        <x:v>两年均有</x:v>
      </x:c>
      <x:c r="E68" s="12" t="n">
        <x:v>2629</x:v>
      </x:c>
      <x:c r="F68" s="12" t="n">
        <x:v>82801</x:v>
      </x:c>
      <x:c r="G68" s="16" t="n">
        <x:v>0.0311</x:v>
      </x:c>
      <x:c r="H68" s="16" t="n">
        <x:f>IF(F68&gt;0,E68/F68,"")</x:f>
        <x:v>0.03175082426540742</x:v>
      </x:c>
      <x:c r="I68" s="36" t="n">
        <x:v>58510.53</x:v>
      </x:c>
      <x:c r="J68" s="12" t="n">
        <x:v>529</x:v>
      </x:c>
      <x:c r="K68" s="12" t="n">
        <x:v>16179</x:v>
      </x:c>
      <x:c r="L68" s="16" t="n">
        <x:v>0.0893</x:v>
      </x:c>
      <x:c r="M68" s="16" t="n">
        <x:f>IF(K68&gt;0,J68/K68,"")</x:f>
        <x:v>0.03269670560603251</x:v>
      </x:c>
      <x:c r="N68" s="36" t="n">
        <x:v>13137.84</x:v>
      </x:c>
      <x:c r="O68" s="19" t="n">
        <x:f>J68-E68</x:f>
        <x:v>-2100</x:v>
      </x:c>
      <x:c r="P68" s="19" t="n">
        <x:f>K68-F68</x:f>
        <x:v>-66622</x:v>
      </x:c>
      <x:c r="Q68" s="20" t="n">
        <x:f>IF(AND(F68&gt;0,K68&gt;0),(M68-H68)*100,"")</x:f>
        <x:v>0.09458813406250863</x:v>
      </x:c>
      <x:c r="R68" s="12" t="n">
        <x:v>272</x:v>
      </x:c>
      <x:c r="S68" s="12" t="n">
        <x:v>40</x:v>
      </x:c>
    </x:row>
    <x:row r="69" ht="22" customHeight="1">
      <x:c r="A69" s="1" t="str">
        <x:v>B0DRFDJHTM</x:v>
      </x:c>
      <x:c r="B69" s="1" t="str">
        <x:v>激光水平仪与测距</x:v>
      </x:c>
      <x:c r="C69" s="1" t="str">
        <x:v>HYCHIKA Nivel Laser Verde, Horizontal y Vertical Nivel Láser Autonivelante, Láser de Línea con Bolsa de Lona y 2 Baterías AA, para Decoración del Hogar, Bricolaje</x:v>
      </x:c>
      <x:c r="D69" s="1" t="str">
        <x:v>两年均有</x:v>
      </x:c>
      <x:c r="E69" s="12" t="n">
        <x:v>581</x:v>
      </x:c>
      <x:c r="F69" s="12" t="n">
        <x:v>15268</x:v>
      </x:c>
      <x:c r="G69" s="16" t="n">
        <x:v>0.0311</x:v>
      </x:c>
      <x:c r="H69" s="16" t="n">
        <x:f>IF(F69&gt;0,E69/F69,"")</x:f>
        <x:v>0.038053445113963844</x:v>
      </x:c>
      <x:c r="I69" s="36" t="n">
        <x:v>13462.31</x:v>
      </x:c>
      <x:c r="J69" s="12" t="n">
        <x:v>527</x:v>
      </x:c>
      <x:c r="K69" s="12" t="n">
        <x:v>16086</x:v>
      </x:c>
      <x:c r="L69" s="16" t="n">
        <x:v>0.0921</x:v>
      </x:c>
      <x:c r="M69" s="16" t="n">
        <x:f>IF(K69&gt;0,J69/K69,"")</x:f>
        <x:v>0.03276140743503668</x:v>
      </x:c>
      <x:c r="N69" s="36" t="n">
        <x:v>12111.48</x:v>
      </x:c>
      <x:c r="O69" s="19" t="n">
        <x:f>J69-E69</x:f>
        <x:v>-54</x:v>
      </x:c>
      <x:c r="P69" s="19" t="n">
        <x:f>K69-F69</x:f>
        <x:v>818</x:v>
      </x:c>
      <x:c r="Q69" s="20" t="n">
        <x:f>IF(AND(F69&gt;0,K69&gt;0),(M69-H69)*100,"")</x:f>
        <x:v>-0.5292037678927164</x:v>
      </x:c>
      <x:c r="R69" s="12" t="n">
        <x:v>48</x:v>
      </x:c>
      <x:c r="S69" s="12" t="n">
        <x:v>53</x:v>
      </x:c>
    </x:row>
    <x:row r="70" ht="22" customHeight="1">
      <x:c r="A70" s="1" t="str">
        <x:v>B0FSD48CPH</x:v>
      </x:c>
      <x:c r="B70" s="1" t="str">
        <x:v>电锯与电动切割</x:v>
      </x:c>
      <x:c r="C70" s="1" t="str">
        <x:v>HYCHIKA Sierra Circular de Mano, Mini Sierra Circular 750W 3500 rpm con Bolsa de Transporte, 3 Hojas de Sierra 115+125mm, Riel de Guía, Profundidad de Corte 48mm, para Madera, Metal Blando, Plástico</x:v>
      </x:c>
      <x:c r="D70" s="1" t="str">
        <x:v>仅2026</x:v>
      </x:c>
      <x:c r="E70" s="12" t="n">
        <x:v>0</x:v>
      </x:c>
      <x:c r="F70" s="12" t="n">
        <x:v>0</x:v>
      </x:c>
      <x:c r="G70" s="16"/>
      <x:c r="H70" s="16" t="str">
        <x:f>IF(F70&gt;0,E70/F70,"")</x:f>
      </x:c>
      <x:c r="I70" s="36" t="n">
        <x:v>0</x:v>
      </x:c>
      <x:c r="J70" s="12" t="n">
        <x:v>525</x:v>
      </x:c>
      <x:c r="K70" s="12" t="n">
        <x:v>29573</x:v>
      </x:c>
      <x:c r="L70" s="16" t="n">
        <x:v>0.0519</x:v>
      </x:c>
      <x:c r="M70" s="16" t="n">
        <x:f>IF(K70&gt;0,J70/K70,"")</x:f>
        <x:v>0.017752679809285497</x:v>
      </x:c>
      <x:c r="N70" s="36" t="n">
        <x:v>29650.71</x:v>
      </x:c>
      <x:c r="O70" s="19" t="n">
        <x:f>J70-E70</x:f>
        <x:v>525</x:v>
      </x:c>
      <x:c r="P70" s="19" t="n">
        <x:f>K70-F70</x:f>
        <x:v>29573</x:v>
      </x:c>
      <x:c r="Q70" s="20" t="str">
        <x:f>IF(AND(F70&gt;0,K70&gt;0),(M70-H70)*100,"")</x:f>
      </x:c>
      <x:c r="R70" s="12" t="n">
        <x:v>0</x:v>
      </x:c>
      <x:c r="S70" s="12" t="n">
        <x:v>30</x:v>
      </x:c>
    </x:row>
    <x:row r="71" ht="22" customHeight="1">
      <x:c r="A71" s="1" t="str">
        <x:v>B0924CRTTH</x:v>
      </x:c>
      <x:c r="B71" s="1" t="str">
        <x:v>锯片与开孔耗材</x:v>
      </x:c>
      <x:c r="C71" s="1" t="str">
        <x:v>HYCHIKA Lame Per Sega Circolare 115mm, Mini Sega Circolare 3 lame (24T TCT, 60T HSS, 9T) Per Tagliare Legno, Metallo Morbido, Piastrelle</x:v>
      </x:c>
      <x:c r="D71" s="1" t="str">
        <x:v>两年均有</x:v>
      </x:c>
      <x:c r="E71" s="12" t="n">
        <x:v>474</x:v>
      </x:c>
      <x:c r="F71" s="12" t="n">
        <x:v>12180</x:v>
      </x:c>
      <x:c r="G71" s="16" t="n">
        <x:v>0.0369</x:v>
      </x:c>
      <x:c r="H71" s="16" t="n">
        <x:f>IF(F71&gt;0,E71/F71,"")</x:f>
        <x:v>0.03891625615763547</x:v>
      </x:c>
      <x:c r="I71" s="36" t="n">
        <x:v>6549.45</x:v>
      </x:c>
      <x:c r="J71" s="12" t="n">
        <x:v>500</x:v>
      </x:c>
      <x:c r="K71" s="12" t="n">
        <x:v>12787</x:v>
      </x:c>
      <x:c r="L71" s="16" t="n">
        <x:v>0.1186</x:v>
      </x:c>
      <x:c r="M71" s="16" t="n">
        <x:f>IF(K71&gt;0,J71/K71,"")</x:f>
        <x:v>0.039102213185266285</x:v>
      </x:c>
      <x:c r="N71" s="36" t="n">
        <x:v>6012.65</x:v>
      </x:c>
      <x:c r="O71" s="19" t="n">
        <x:f>J71-E71</x:f>
        <x:v>26</x:v>
      </x:c>
      <x:c r="P71" s="19" t="n">
        <x:f>K71-F71</x:f>
        <x:v>607</x:v>
      </x:c>
      <x:c r="Q71" s="20" t="n">
        <x:f>IF(AND(F71&gt;0,K71&gt;0),(M71-H71)*100,"")</x:f>
        <x:v>0.01859570276308148</x:v>
      </x:c>
      <x:c r="R71" s="12" t="n">
        <x:v>44</x:v>
      </x:c>
      <x:c r="S71" s="12" t="n">
        <x:v>54</x:v>
      </x:c>
    </x:row>
    <x:row r="72" ht="22" customHeight="1">
      <x:c r="A72" s="1" t="str">
        <x:v>B0811CNVCJ</x:v>
      </x:c>
      <x:c r="B72" s="1" t="str">
        <x:v>电锯与电动切割</x:v>
      </x:c>
      <x:c r="C72" s="1" t="str">
        <x:v>HYCHIKA Säbelsäge, 18V Akku Universalsäge, Reciprosäge mit 2x2.0Ah Batterien, mit variabler Drehzahl von 0-2800 SPM, 2 Sägeblätter, Schnellladegerät, LED Licht,Ideal zum Schneiden von Holz und Metall</x:v>
      </x:c>
      <x:c r="D72" s="1" t="str">
        <x:v>两年均有</x:v>
      </x:c>
      <x:c r="E72" s="12" t="n">
        <x:v>1188</x:v>
      </x:c>
      <x:c r="F72" s="12" t="n">
        <x:v>75855</x:v>
      </x:c>
      <x:c r="G72" s="16" t="n">
        <x:v>0.0152</x:v>
      </x:c>
      <x:c r="H72" s="16" t="n">
        <x:f>IF(F72&gt;0,E72/F72,"")</x:f>
        <x:v>0.01566145936325885</x:v>
      </x:c>
      <x:c r="I72" s="36" t="n">
        <x:v>75862.85</x:v>
      </x:c>
      <x:c r="J72" s="12" t="n">
        <x:v>498</x:v>
      </x:c>
      <x:c r="K72" s="12" t="n">
        <x:v>29407</x:v>
      </x:c>
      <x:c r="L72" s="16" t="n">
        <x:v>0.0456</x:v>
      </x:c>
      <x:c r="M72" s="16" t="n">
        <x:f>IF(K72&gt;0,J72/K72,"")</x:f>
        <x:v>0.016934743428435407</x:v>
      </x:c>
      <x:c r="N72" s="36" t="n">
        <x:v>31431.14</x:v>
      </x:c>
      <x:c r="O72" s="19" t="n">
        <x:f>J72-E72</x:f>
        <x:v>-690</x:v>
      </x:c>
      <x:c r="P72" s="19" t="n">
        <x:f>K72-F72</x:f>
        <x:v>-46448</x:v>
      </x:c>
      <x:c r="Q72" s="20" t="n">
        <x:f>IF(AND(F72&gt;0,K72&gt;0),(M72-H72)*100,"")</x:f>
        <x:v>0.1273284065176558</x:v>
      </x:c>
      <x:c r="R72" s="12" t="n">
        <x:v>126</x:v>
      </x:c>
      <x:c r="S72" s="12" t="n">
        <x:v>37</x:v>
      </x:c>
    </x:row>
    <x:row r="73" ht="22" customHeight="1">
      <x:c r="A73" s="1" t="str">
        <x:v>B0CSSN34XW</x:v>
      </x:c>
      <x:c r="B73" s="1" t="str">
        <x:v>锯片与开孔耗材</x:v>
      </x:c>
      <x:c r="C73" s="1" t="str">
        <x:v>HYCHIKA Seghe a Tazza Bi-Metallica 80mm, Fresa A Tazza per Legno, Iron Alluminio, Cartongesso, Tubi, Plastica, Pannelli di Fibra</x:v>
      </x:c>
      <x:c r="D73" s="1" t="str">
        <x:v>两年均有</x:v>
      </x:c>
      <x:c r="E73" s="12" t="n">
        <x:v>108</x:v>
      </x:c>
      <x:c r="F73" s="12" t="n">
        <x:v>1253</x:v>
      </x:c>
      <x:c r="G73" s="16" t="n">
        <x:v>0.0861</x:v>
      </x:c>
      <x:c r="H73" s="16" t="n">
        <x:f>IF(F73&gt;0,E73/F73,"")</x:f>
        <x:v>0.08619313647246608</x:v>
      </x:c>
      <x:c r="I73" s="36" t="n">
        <x:v>1026.14</x:v>
      </x:c>
      <x:c r="J73" s="12" t="n">
        <x:v>449</x:v>
      </x:c>
      <x:c r="K73" s="12" t="n">
        <x:v>4220</x:v>
      </x:c>
      <x:c r="L73" s="16" t="n">
        <x:v>0.3378</x:v>
      </x:c>
      <x:c r="M73" s="16" t="n">
        <x:f>IF(K73&gt;0,J73/K73,"")</x:f>
        <x:v>0.10639810426540285</x:v>
      </x:c>
      <x:c r="N73" s="36" t="n">
        <x:v>4492.8</x:v>
      </x:c>
      <x:c r="O73" s="19" t="n">
        <x:f>J73-E73</x:f>
        <x:v>341</x:v>
      </x:c>
      <x:c r="P73" s="19" t="n">
        <x:f>K73-F73</x:f>
        <x:v>2967</x:v>
      </x:c>
      <x:c r="Q73" s="20" t="n">
        <x:f>IF(AND(F73&gt;0,K73&gt;0),(M73-H73)*100,"")</x:f>
        <x:v>2.0204967792936763</x:v>
      </x:c>
      <x:c r="R73" s="12" t="n">
        <x:v>10</x:v>
      </x:c>
      <x:c r="S73" s="12" t="n">
        <x:v>27</x:v>
      </x:c>
    </x:row>
    <x:row r="74" ht="22" customHeight="1">
      <x:c r="A74" s="1" t="str">
        <x:v>B0CRDR4R4K</x:v>
      </x:c>
      <x:c r="B74" s="1" t="str">
        <x:v>锯片与开孔耗材</x:v>
      </x:c>
      <x:c r="C74" s="1" t="str">
        <x:v>HYCHIKA Lochsäge 68mm, Bi-Metall Fliesenbohrer Steckdosenbohrer Lochsäge Bohraufsatz für Akkuschrauber und Bohrmaschinen für Aluminium, Holz, fliesen, PVC-Platte und Kunststoffplatte</x:v>
      </x:c>
      <x:c r="D74" s="1" t="str">
        <x:v>两年均有</x:v>
      </x:c>
      <x:c r="E74" s="12" t="n">
        <x:v>368</x:v>
      </x:c>
      <x:c r="F74" s="12" t="n">
        <x:v>2967</x:v>
      </x:c>
      <x:c r="G74" s="16" t="n">
        <x:v>0.1237</x:v>
      </x:c>
      <x:c r="H74" s="16" t="n">
        <x:f>IF(F74&gt;0,E74/F74,"")</x:f>
        <x:v>0.12403100775193798</x:v>
      </x:c>
      <x:c r="I74" s="36" t="n">
        <x:v>3043.51</x:v>
      </x:c>
      <x:c r="J74" s="12" t="n">
        <x:v>445</x:v>
      </x:c>
      <x:c r="K74" s="12" t="n">
        <x:v>4474</x:v>
      </x:c>
      <x:c r="L74" s="16" t="n">
        <x:v>0.2901</x:v>
      </x:c>
      <x:c r="M74" s="16" t="n">
        <x:f>IF(K74&gt;0,J74/K74,"")</x:f>
        <x:v>0.09946356727760393</x:v>
      </x:c>
      <x:c r="N74" s="36" t="n">
        <x:v>3849.9</x:v>
      </x:c>
      <x:c r="O74" s="19" t="n">
        <x:f>J74-E74</x:f>
        <x:v>77</x:v>
      </x:c>
      <x:c r="P74" s="19" t="n">
        <x:f>K74-F74</x:f>
        <x:v>1507</x:v>
      </x:c>
      <x:c r="Q74" s="20" t="n">
        <x:f>IF(AND(F74&gt;0,K74&gt;0),(M74-H74)*100,"")</x:f>
        <x:v>-2.4567440474334052</x:v>
      </x:c>
      <x:c r="R74" s="12" t="n">
        <x:v>16</x:v>
      </x:c>
      <x:c r="S74" s="12" t="n">
        <x:v>20</x:v>
      </x:c>
    </x:row>
    <x:row r="75" ht="22" customHeight="1">
      <x:c r="A75" s="1" t="str">
        <x:v>B09G6BDHFP</x:v>
      </x:c>
      <x:c r="B75" s="1" t="str">
        <x:v>电动螺丝刀</x:v>
      </x:c>
      <x:c r="C75" s="1" t="str">
        <x:v>HYCHIKA Elektrischer Precision Schraubendreher Feinmechaniker Set, 67 in 1 Mini Feinmechaniker Werkzeug Set Handy Reparatur Werkzeug Set für Smartphones, Tablets, Konsolen, Kameras, Uhren etc</x:v>
      </x:c>
      <x:c r="D75" s="1" t="str">
        <x:v>两年均有</x:v>
      </x:c>
      <x:c r="E75" s="12" t="n">
        <x:v>1775</x:v>
      </x:c>
      <x:c r="F75" s="12" t="n">
        <x:v>85953</x:v>
      </x:c>
      <x:c r="G75" s="16" t="n">
        <x:v>0.0206</x:v>
      </x:c>
      <x:c r="H75" s="16" t="n">
        <x:f>IF(F75&gt;0,E75/F75,"")</x:f>
        <x:v>0.02065082079741254</x:v>
      </x:c>
      <x:c r="I75" s="36" t="n">
        <x:v>47857.14</x:v>
      </x:c>
      <x:c r="J75" s="12" t="n">
        <x:v>433</x:v>
      </x:c>
      <x:c r="K75" s="12" t="n">
        <x:v>34860</x:v>
      </x:c>
      <x:c r="L75" s="16" t="n">
        <x:v>0.0334</x:v>
      </x:c>
      <x:c r="M75" s="16" t="n">
        <x:f>IF(K75&gt;0,J75/K75,"")</x:f>
        <x:v>0.012421113023522662</x:v>
      </x:c>
      <x:c r="N75" s="36" t="n">
        <x:v>12241.9</x:v>
      </x:c>
      <x:c r="O75" s="19" t="n">
        <x:f>J75-E75</x:f>
        <x:v>-1342</x:v>
      </x:c>
      <x:c r="P75" s="19" t="n">
        <x:f>K75-F75</x:f>
        <x:v>-51093</x:v>
      </x:c>
      <x:c r="Q75" s="20" t="n">
        <x:f>IF(AND(F75&gt;0,K75&gt;0),(M75-H75)*100,"")</x:f>
        <x:v>-0.8229707773889877</x:v>
      </x:c>
      <x:c r="R75" s="12" t="n">
        <x:v>104</x:v>
      </x:c>
      <x:c r="S75" s="12" t="n">
        <x:v>41</x:v>
      </x:c>
    </x:row>
    <x:row r="76" ht="22" customHeight="1">
      <x:c r="A76" s="1" t="str">
        <x:v>B0CJ4JDKRK</x:v>
      </x:c>
      <x:c r="B76" s="1" t="str">
        <x:v>喷涂与热工工具</x:v>
      </x:c>
      <x:c r="C76" s="1" t="str">
        <x:v>HYCHIKA Pistola per Verniciare, 600W HVLP Pistola a Spruzzo per Verniciare, Serbatoio da 1200ML 4 Ugelli e 2 Strumenti di Pulizia, Spruzzatore di Vernice a 3 Modelli per Pareti e Soffitti, Recinzione</x:v>
      </x:c>
      <x:c r="D76" s="1" t="str">
        <x:v>两年均有</x:v>
      </x:c>
      <x:c r="E76" s="12" t="n">
        <x:v>819</x:v>
      </x:c>
      <x:c r="F76" s="12" t="n">
        <x:v>40294</x:v>
      </x:c>
      <x:c r="G76" s="16" t="n">
        <x:v>0.0192</x:v>
      </x:c>
      <x:c r="H76" s="16" t="n">
        <x:f>IF(F76&gt;0,E76/F76,"")</x:f>
        <x:v>0.020325606790092817</x:v>
      </x:c>
      <x:c r="I76" s="36" t="n">
        <x:v>31437.91</x:v>
      </x:c>
      <x:c r="J76" s="12" t="n">
        <x:v>430</x:v>
      </x:c>
      <x:c r="K76" s="12" t="n">
        <x:v>20853</x:v>
      </x:c>
      <x:c r="L76" s="16" t="n">
        <x:v>0.0614</x:v>
      </x:c>
      <x:c r="M76" s="16" t="n">
        <x:f>IF(K76&gt;0,J76/K76,"")</x:f>
        <x:v>0.02062053421570038</x:v>
      </x:c>
      <x:c r="N76" s="36" t="n">
        <x:v>16638.67</x:v>
      </x:c>
      <x:c r="O76" s="19" t="n">
        <x:f>J76-E76</x:f>
        <x:v>-389</x:v>
      </x:c>
      <x:c r="P76" s="19" t="n">
        <x:f>K76-F76</x:f>
        <x:v>-19441</x:v>
      </x:c>
      <x:c r="Q76" s="20" t="n">
        <x:f>IF(AND(F76&gt;0,K76&gt;0),(M76-H76)*100,"")</x:f>
        <x:v>0.029492742560756346</x:v>
      </x:c>
      <x:c r="R76" s="12" t="n">
        <x:v>74</x:v>
      </x:c>
      <x:c r="S76" s="12" t="n">
        <x:v>40</x:v>
      </x:c>
    </x:row>
    <x:row r="77" ht="22" customHeight="1">
      <x:c r="A77" s="1" t="str">
        <x:v>B0CGR2VPRL</x:v>
      </x:c>
      <x:c r="B77" s="1" t="str">
        <x:v>手动工具与套装</x:v>
      </x:c>
      <x:c r="C77" s="1" t="str">
        <x:v>SORAKO Ratschenschlüssel 18mm</x:v>
      </x:c>
      <x:c r="D77" s="1" t="str">
        <x:v>两年均有</x:v>
      </x:c>
      <x:c r="E77" s="12" t="n">
        <x:v>842</x:v>
      </x:c>
      <x:c r="F77" s="12" t="n">
        <x:v>4867</x:v>
      </x:c>
      <x:c r="G77" s="16" t="n">
        <x:v>0.1728</x:v>
      </x:c>
      <x:c r="H77" s="16" t="n">
        <x:f>IF(F77&gt;0,E77/F77,"")</x:f>
        <x:v>0.17300184918841174</x:v>
      </x:c>
      <x:c r="I77" s="36" t="n">
        <x:v>4595.42</x:v>
      </x:c>
      <x:c r="J77" s="12" t="n">
        <x:v>427</x:v>
      </x:c>
      <x:c r="K77" s="12" t="n">
        <x:v>2625</x:v>
      </x:c>
      <x:c r="L77" s="16" t="n">
        <x:v>0.4095</x:v>
      </x:c>
      <x:c r="M77" s="16" t="n">
        <x:f>IF(K77&gt;0,J77/K77,"")</x:f>
        <x:v>0.16266666666666665</x:v>
      </x:c>
      <x:c r="N77" s="36" t="n">
        <x:v>2331.7</x:v>
      </x:c>
      <x:c r="O77" s="19" t="n">
        <x:f>J77-E77</x:f>
        <x:v>-415</x:v>
      </x:c>
      <x:c r="P77" s="19" t="n">
        <x:f>K77-F77</x:f>
        <x:v>-2242</x:v>
      </x:c>
      <x:c r="Q77" s="20" t="n">
        <x:f>IF(AND(F77&gt;0,K77&gt;0),(M77-H77)*100,"")</x:f>
        <x:v>-1.033518252174509</x:v>
      </x:c>
      <x:c r="R77" s="12" t="n">
        <x:v>18</x:v>
      </x:c>
      <x:c r="S77" s="12" t="n">
        <x:v>17</x:v>
      </x:c>
    </x:row>
    <x:row r="78" ht="22" customHeight="1">
      <x:c r="A78" s="1" t="str">
        <x:v>B0BZPHPHS5</x:v>
      </x:c>
      <x:c r="B78" s="1" t="str">
        <x:v>手动工具与套装</x:v>
      </x:c>
      <x:c r="C78" s="1" t="str">
        <x:v>SORAKO Set Chiavi Inglesi 8-19mm, 12Pcs Chiavi a Cricchetto con Custodia Portatile, Set Chiavi a Cricchetto per Fai da Te e Riparazione</x:v>
      </x:c>
      <x:c r="D78" s="1" t="str">
        <x:v>两年均有</x:v>
      </x:c>
      <x:c r="E78" s="12" t="n">
        <x:v>1811</x:v>
      </x:c>
      <x:c r="F78" s="12" t="n">
        <x:v>40252</x:v>
      </x:c>
      <x:c r="G78" s="16" t="n">
        <x:v>0.0349</x:v>
      </x:c>
      <x:c r="H78" s="16" t="n">
        <x:f>IF(F78&gt;0,E78/F78,"")</x:f>
        <x:v>0.04499155321474709</x:v>
      </x:c>
      <x:c r="I78" s="36" t="n">
        <x:v>61654.14</x:v>
      </x:c>
      <x:c r="J78" s="12" t="n">
        <x:v>418</x:v>
      </x:c>
      <x:c r="K78" s="12" t="n">
        <x:v>12201</x:v>
      </x:c>
      <x:c r="L78" s="16" t="n">
        <x:v>0.0939</x:v>
      </x:c>
      <x:c r="M78" s="16" t="n">
        <x:f>IF(K78&gt;0,J78/K78,"")</x:f>
        <x:v>0.03425948692730104</x:v>
      </x:c>
      <x:c r="N78" s="36" t="n">
        <x:v>14246.31</x:v>
      </x:c>
      <x:c r="O78" s="19" t="n">
        <x:f>J78-E78</x:f>
        <x:v>-1393</x:v>
      </x:c>
      <x:c r="P78" s="19" t="n">
        <x:f>K78-F78</x:f>
        <x:v>-28051</x:v>
      </x:c>
      <x:c r="Q78" s="20" t="n">
        <x:f>IF(AND(F78&gt;0,K78&gt;0),(M78-H78)*100,"")</x:f>
        <x:v>-1.0732066287446052</x:v>
      </x:c>
      <x:c r="R78" s="12" t="n">
        <x:v>32</x:v>
      </x:c>
      <x:c r="S78" s="12" t="n">
        <x:v>10</x:v>
      </x:c>
    </x:row>
    <x:row r="79" ht="22" customHeight="1">
      <x:c r="A79" s="1" t="str">
        <x:v>B0DWK65NDF</x:v>
      </x:c>
      <x:c r="B79" s="1" t="str">
        <x:v>手动工具与套装</x:v>
      </x:c>
      <x:c r="C79" s="1" t="str">
        <x:v>HYCHIKA Pinza Crimpatrice Capicorda，Spelafili Automatico 3 in 1, Strumenti di Crimpatura con 1200PCS Cavo Connettori 0.25-10mm²(AWG 24-8) Terminals, Pinza Capicorda, Attrezzi Kit Elettricista</x:v>
      </x:c>
      <x:c r="D79" s="1" t="str">
        <x:v>两年均有</x:v>
      </x:c>
      <x:c r="E79" s="12" t="n">
        <x:v>39</x:v>
      </x:c>
      <x:c r="F79" s="12" t="n">
        <x:v>1373</x:v>
      </x:c>
      <x:c r="G79" s="16" t="n">
        <x:v>0.0136</x:v>
      </x:c>
      <x:c r="H79" s="16" t="n">
        <x:f>IF(F79&gt;0,E79/F79,"")</x:f>
        <x:v>0.028404952658412235</x:v>
      </x:c>
      <x:c r="I79" s="36" t="n">
        <x:v>1019.2</x:v>
      </x:c>
      <x:c r="J79" s="12" t="n">
        <x:v>397</x:v>
      </x:c>
      <x:c r="K79" s="12" t="n">
        <x:v>7199</x:v>
      </x:c>
      <x:c r="L79" s="16" t="n">
        <x:v>0.2061</x:v>
      </x:c>
      <x:c r="M79" s="16" t="n">
        <x:f>IF(K79&gt;0,J79/K79,"")</x:f>
        <x:v>0.05514654813168496</x:v>
      </x:c>
      <x:c r="N79" s="36" t="n">
        <x:v>9485.91</x:v>
      </x:c>
      <x:c r="O79" s="19" t="n">
        <x:f>J79-E79</x:f>
        <x:v>358</x:v>
      </x:c>
      <x:c r="P79" s="19" t="n">
        <x:f>K79-F79</x:f>
        <x:v>5826</x:v>
      </x:c>
      <x:c r="Q79" s="20" t="n">
        <x:f>IF(AND(F79&gt;0,K79&gt;0),(M79-H79)*100,"")</x:f>
        <x:v>2.6741595473272723</x:v>
      </x:c>
      <x:c r="R79" s="12" t="n">
        <x:v>0</x:v>
      </x:c>
      <x:c r="S79" s="12" t="n">
        <x:v>19</x:v>
      </x:c>
    </x:row>
    <x:row r="80" ht="22" customHeight="1">
      <x:c r="A80" s="1" t="str">
        <x:v>B0GX9LXCL7</x:v>
      </x:c>
      <x:c r="B80" s="1" t="str">
        <x:v>口腔护理与牙套清洁</x:v>
      </x:c>
      <x:c r="C80" s="1" t="str">
        <x:v>Scatola UV per Protesi Dentarie con Asciugatura ad Aria Forzata e Sterilizzazione UV, Ideale per Apparecchi Ortodontici, Dentiere e Altri Dispositivi Dentali. Bianco.</x:v>
      </x:c>
      <x:c r="D80" s="1" t="str">
        <x:v>仅2026</x:v>
      </x:c>
      <x:c r="E80" s="12" t="n">
        <x:v>0</x:v>
      </x:c>
      <x:c r="F80" s="12" t="n">
        <x:v>0</x:v>
      </x:c>
      <x:c r="G80" s="16"/>
      <x:c r="H80" s="16" t="str">
        <x:f>IF(F80&gt;0,E80/F80,"")</x:f>
      </x:c>
      <x:c r="I80" s="36" t="n">
        <x:v>0</x:v>
      </x:c>
      <x:c r="J80" s="12" t="n">
        <x:v>393</x:v>
      </x:c>
      <x:c r="K80" s="12" t="n">
        <x:v>10457</x:v>
      </x:c>
      <x:c r="L80" s="16" t="n">
        <x:v>0.0766</x:v>
      </x:c>
      <x:c r="M80" s="16" t="n">
        <x:f>IF(K80&gt;0,J80/K80,"")</x:f>
        <x:v>0.037582480634981354</x:v>
      </x:c>
      <x:c r="N80" s="36" t="n">
        <x:v>7773.79</x:v>
      </x:c>
      <x:c r="O80" s="19" t="n">
        <x:f>J80-E80</x:f>
        <x:v>393</x:v>
      </x:c>
      <x:c r="P80" s="19" t="n">
        <x:f>K80-F80</x:f>
        <x:v>10457</x:v>
      </x:c>
      <x:c r="Q80" s="20" t="str">
        <x:f>IF(AND(F80&gt;0,K80&gt;0),(M80-H80)*100,"")</x:f>
      </x:c>
      <x:c r="R80" s="12" t="n">
        <x:v>0</x:v>
      </x:c>
      <x:c r="S80" s="12" t="n">
        <x:v>19</x:v>
      </x:c>
    </x:row>
    <x:row r="81" ht="22" customHeight="1">
      <x:c r="A81" s="1" t="str">
        <x:v>B0CGR39HNK</x:v>
      </x:c>
      <x:c r="B81" s="1" t="str">
        <x:v>手动工具与套装</x:v>
      </x:c>
      <x:c r="C81" s="1" t="str">
        <x:v>SORAKO Ratschenschlüssel 21mm</x:v>
      </x:c>
      <x:c r="D81" s="1" t="str">
        <x:v>两年均有</x:v>
      </x:c>
      <x:c r="E81" s="12" t="n">
        <x:v>630</x:v>
      </x:c>
      <x:c r="F81" s="12" t="n">
        <x:v>4502</x:v>
      </x:c>
      <x:c r="G81" s="16" t="n">
        <x:v>0.1371</x:v>
      </x:c>
      <x:c r="H81" s="16" t="n">
        <x:f>IF(F81&gt;0,E81/F81,"")</x:f>
        <x:v>0.1399378054198134</x:v>
      </x:c>
      <x:c r="I81" s="36" t="n">
        <x:v>4176.93</x:v>
      </x:c>
      <x:c r="J81" s="12" t="n">
        <x:v>364</x:v>
      </x:c>
      <x:c r="K81" s="12" t="n">
        <x:v>2612</x:v>
      </x:c>
      <x:c r="L81" s="16" t="n">
        <x:v>0.3771</x:v>
      </x:c>
      <x:c r="M81" s="16" t="n">
        <x:f>IF(K81&gt;0,J81/K81,"")</x:f>
        <x:v>0.13935681470137826</x:v>
      </x:c>
      <x:c r="N81" s="36" t="n">
        <x:v>2353.6</x:v>
      </x:c>
      <x:c r="O81" s="19" t="n">
        <x:f>J81-E81</x:f>
        <x:v>-266</x:v>
      </x:c>
      <x:c r="P81" s="19" t="n">
        <x:f>K81-F81</x:f>
        <x:v>-1890</x:v>
      </x:c>
      <x:c r="Q81" s="20" t="n">
        <x:f>IF(AND(F81&gt;0,K81&gt;0),(M81-H81)*100,"")</x:f>
        <x:v>-0.058099071843514816</x:v>
      </x:c>
      <x:c r="R81" s="12" t="n">
        <x:v>32</x:v>
      </x:c>
      <x:c r="S81" s="12" t="n">
        <x:v>15</x:v>
      </x:c>
    </x:row>
    <x:row r="82" ht="22" customHeight="1">
      <x:c r="A82" s="1" t="str">
        <x:v>B0BRCYGTF5</x:v>
      </x:c>
      <x:c r="B82" s="1" t="str">
        <x:v>打磨耗材</x:v>
      </x:c>
      <x:c r="C82" s="1" t="str">
        <x:v>HYCHIKA Fächerschleifscheiben Professional Fächerscheiben Set 10 St, 115 x 22,23 mm in Profi Qualität 13300 RPM Max für Edelstahl, Metall und Holz</x:v>
      </x:c>
      <x:c r="D82" s="1" t="str">
        <x:v>两年均有</x:v>
      </x:c>
      <x:c r="E82" s="12" t="n">
        <x:v>333</x:v>
      </x:c>
      <x:c r="F82" s="12" t="n">
        <x:v>5405</x:v>
      </x:c>
      <x:c r="G82" s="16" t="n">
        <x:v>0.0602</x:v>
      </x:c>
      <x:c r="H82" s="16" t="n">
        <x:f>IF(F82&gt;0,E82/F82,"")</x:f>
        <x:v>0.06160962072155412</x:v>
      </x:c>
      <x:c r="I82" s="36" t="n">
        <x:v>4268.64</x:v>
      </x:c>
      <x:c r="J82" s="12" t="n">
        <x:v>343</x:v>
      </x:c>
      <x:c r="K82" s="12" t="n">
        <x:v>6915</x:v>
      </x:c>
      <x:c r="L82" s="16" t="n">
        <x:v>0.1247</x:v>
      </x:c>
      <x:c r="M82" s="16" t="n">
        <x:f>IF(K82&gt;0,J82/K82,"")</x:f>
        <x:v>0.04960231381055676</x:v>
      </x:c>
      <x:c r="N82" s="36" t="n">
        <x:v>3934.58</x:v>
      </x:c>
      <x:c r="O82" s="19" t="n">
        <x:f>J82-E82</x:f>
        <x:v>10</x:v>
      </x:c>
      <x:c r="P82" s="19" t="n">
        <x:f>K82-F82</x:f>
        <x:v>1510</x:v>
      </x:c>
      <x:c r="Q82" s="20" t="n">
        <x:f>IF(AND(F82&gt;0,K82&gt;0),(M82-H82)*100,"")</x:f>
        <x:v>-1.2007306910997357</x:v>
      </x:c>
      <x:c r="R82" s="12" t="n">
        <x:v>4</x:v>
      </x:c>
      <x:c r="S82" s="12" t="n">
        <x:v>37</x:v>
      </x:c>
    </x:row>
    <x:row r="83" ht="22" customHeight="1">
      <x:c r="A83" s="1" t="str">
        <x:v>B0BRN59B36</x:v>
      </x:c>
      <x:c r="B83" s="1" t="str">
        <x:v>电锯与电动切割</x:v>
      </x:c>
      <x:c r="C83" s="1" t="str">
        <x:v>HYCHIKA Sierra Circular 1300W 4500RPM 185mm Mini Sierra Circular, Motor de alta Potencia, Profundidad de corte 65mm (90º), 45mm (45º), Extracción de Polvo, 2M Cable, para Corte de Madera/Plástico</x:v>
      </x:c>
      <x:c r="D83" s="1" t="str">
        <x:v>两年均有</x:v>
      </x:c>
      <x:c r="E83" s="12" t="n">
        <x:v>2841</x:v>
      </x:c>
      <x:c r="F83" s="12" t="n">
        <x:v>124167</x:v>
      </x:c>
      <x:c r="G83" s="16" t="n">
        <x:v>0.0225</x:v>
      </x:c>
      <x:c r="H83" s="16" t="n">
        <x:f>IF(F83&gt;0,E83/F83,"")</x:f>
        <x:v>0.022880475488656408</x:v>
      </x:c>
      <x:c r="I83" s="36" t="n">
        <x:v>111824.92</x:v>
      </x:c>
      <x:c r="J83" s="12" t="n">
        <x:v>335</x:v>
      </x:c>
      <x:c r="K83" s="12" t="n">
        <x:v>14995</x:v>
      </x:c>
      <x:c r="L83" s="16" t="n">
        <x:v>0.022</x:v>
      </x:c>
      <x:c r="M83" s="16" t="n">
        <x:f>IF(K83&gt;0,J83/K83,"")</x:f>
        <x:v>0.022340780260086696</x:v>
      </x:c>
      <x:c r="N83" s="36" t="n">
        <x:v>12998.9</x:v>
      </x:c>
      <x:c r="O83" s="19" t="n">
        <x:f>J83-E83</x:f>
        <x:v>-2506</x:v>
      </x:c>
      <x:c r="P83" s="19" t="n">
        <x:f>K83-F83</x:f>
        <x:v>-109172</x:v>
      </x:c>
      <x:c r="Q83" s="20" t="n">
        <x:f>IF(AND(F83&gt;0,K83&gt;0),(M83-H83)*100,"")</x:f>
        <x:v>-0.05396952285697115</x:v>
      </x:c>
      <x:c r="R83" s="12" t="n">
        <x:v>275</x:v>
      </x:c>
      <x:c r="S83" s="12" t="n">
        <x:v>34</x:v>
      </x:c>
    </x:row>
    <x:row r="84" ht="22" customHeight="1">
      <x:c r="A84" s="1" t="str">
        <x:v>B0CSSQ6TVP</x:v>
      </x:c>
      <x:c r="B84" s="1" t="str">
        <x:v>锯片与开孔耗材</x:v>
      </x:c>
      <x:c r="C84" s="1" t="str">
        <x:v>HYCHIKA Seghe a Tazza Bi-Metallica 125mm, Fresa A Tazza per Legno, Iron Alluminio, Cartongesso, Tubi, Plastica, Pannelli di Fibra</x:v>
      </x:c>
      <x:c r="D84" s="1" t="str">
        <x:v>两年均有</x:v>
      </x:c>
      <x:c r="E84" s="12" t="n">
        <x:v>200</x:v>
      </x:c>
      <x:c r="F84" s="12" t="n">
        <x:v>1506</x:v>
      </x:c>
      <x:c r="G84" s="16" t="n">
        <x:v>0.117</x:v>
      </x:c>
      <x:c r="H84" s="16" t="n">
        <x:f>IF(F84&gt;0,E84/F84,"")</x:f>
        <x:v>0.13280212483399734</x:v>
      </x:c>
      <x:c r="I84" s="36" t="n">
        <x:v>2378.38</x:v>
      </x:c>
      <x:c r="J84" s="12" t="n">
        <x:v>299</x:v>
      </x:c>
      <x:c r="K84" s="12" t="n">
        <x:v>2948</x:v>
      </x:c>
      <x:c r="L84" s="16" t="n">
        <x:v>0.3071</x:v>
      </x:c>
      <x:c r="M84" s="16" t="n">
        <x:f>IF(K84&gt;0,J84/K84,"")</x:f>
        <x:v>0.1014246947082768</x:v>
      </x:c>
      <x:c r="N84" s="36" t="n">
        <x:v>3602.94</x:v>
      </x:c>
      <x:c r="O84" s="19" t="n">
        <x:f>J84-E84</x:f>
        <x:v>99</x:v>
      </x:c>
      <x:c r="P84" s="19" t="n">
        <x:f>K84-F84</x:f>
        <x:v>1442</x:v>
      </x:c>
      <x:c r="Q84" s="20" t="n">
        <x:f>IF(AND(F84&gt;0,K84&gt;0),(M84-H84)*100,"")</x:f>
        <x:v>-3.1377430125720545</x:v>
      </x:c>
      <x:c r="R84" s="12" t="n">
        <x:v>15</x:v>
      </x:c>
      <x:c r="S84" s="12" t="n">
        <x:v>9</x:v>
      </x:c>
    </x:row>
    <x:row r="85" ht="22" customHeight="1">
      <x:c r="A85" s="1" t="str">
        <x:v>B0DFM646ZZ</x:v>
      </x:c>
      <x:c r="B85" s="1" t="str">
        <x:v>园艺设备与工具</x:v>
      </x:c>
      <x:c r="C85" s="1" t="str">
        <x:v>HYCHIKA Spruzzino Nebulizzatore 3 L, Spruzzino Acqua con Ugello Regolabile, Nebulizzatore Piante, Pompa Irroratrice a Spalla, Spruzzatore a Pressione Adatto per Cortili, Giardinaggio e Coltivazione</x:v>
      </x:c>
      <x:c r="D85" s="1" t="str">
        <x:v>两年均有</x:v>
      </x:c>
      <x:c r="E85" s="12" t="n">
        <x:v>0</x:v>
      </x:c>
      <x:c r="F85" s="12" t="n">
        <x:v>20</x:v>
      </x:c>
      <x:c r="G85" s="16" t="n">
        <x:v>0</x:v>
      </x:c>
      <x:c r="H85" s="16" t="n">
        <x:f>IF(F85&gt;0,E85/F85,"")</x:f>
        <x:v>0</x:v>
      </x:c>
      <x:c r="I85" s="36" t="n">
        <x:v>0</x:v>
      </x:c>
      <x:c r="J85" s="12" t="n">
        <x:v>293</x:v>
      </x:c>
      <x:c r="K85" s="12" t="n">
        <x:v>3320</x:v>
      </x:c>
      <x:c r="L85" s="16" t="n">
        <x:v>0.1651</x:v>
      </x:c>
      <x:c r="M85" s="16" t="n">
        <x:f>IF(K85&gt;0,J85/K85,"")</x:f>
        <x:v>0.08825301204819277</x:v>
      </x:c>
      <x:c r="N85" s="36" t="n">
        <x:v>5037.83</x:v>
      </x:c>
      <x:c r="O85" s="19" t="n">
        <x:f>J85-E85</x:f>
        <x:v>293</x:v>
      </x:c>
      <x:c r="P85" s="19" t="n">
        <x:f>K85-F85</x:f>
        <x:v>3300</x:v>
      </x:c>
      <x:c r="Q85" s="20" t="n">
        <x:f>IF(AND(F85&gt;0,K85&gt;0),(M85-H85)*100,"")</x:f>
        <x:v>8.825301204819278</x:v>
      </x:c>
      <x:c r="R85" s="12" t="n">
        <x:v>0</x:v>
      </x:c>
      <x:c r="S85" s="12" t="n">
        <x:v>13</x:v>
      </x:c>
    </x:row>
    <x:row r="86" ht="22" customHeight="1">
      <x:c r="A86" s="1" t="str">
        <x:v>B0DWF9YVQF</x:v>
      </x:c>
      <x:c r="B86" s="1" t="str">
        <x:v>手动工具与套装</x:v>
      </x:c>
      <x:c r="C86" s="1" t="str">
        <x:v>HYCHIKA Pialla per Legno con 4 lame (45°/3/5/6mm), Pialletto a Mano per Legno. Impugnatura Ergonomica, Livella a Bolla, Pialla Manuale per Legno per Falegnami e Carpentieri</x:v>
      </x:c>
      <x:c r="D86" s="1" t="str">
        <x:v>两年均有</x:v>
      </x:c>
      <x:c r="E86" s="12" t="n">
        <x:v>25</x:v>
      </x:c>
      <x:c r="F86" s="12" t="n">
        <x:v>963</x:v>
      </x:c>
      <x:c r="G86" s="16" t="n">
        <x:v>0.0065</x:v>
      </x:c>
      <x:c r="H86" s="16" t="n">
        <x:f>IF(F86&gt;0,E86/F86,"")</x:f>
        <x:v>0.02596053997923157</x:v>
      </x:c>
      <x:c r="I86" s="36" t="n">
        <x:v>656.38</x:v>
      </x:c>
      <x:c r="J86" s="12" t="n">
        <x:v>292</x:v>
      </x:c>
      <x:c r="K86" s="12" t="n">
        <x:v>13004</x:v>
      </x:c>
      <x:c r="L86" s="16" t="n">
        <x:v>0.0689</x:v>
      </x:c>
      <x:c r="M86" s="16" t="n">
        <x:f>IF(K86&gt;0,J86/K86,"")</x:f>
        <x:v>0.02245462934481698</x:v>
      </x:c>
      <x:c r="N86" s="36" t="n">
        <x:v>7440.95</x:v>
      </x:c>
      <x:c r="O86" s="19" t="n">
        <x:f>J86-E86</x:f>
        <x:v>267</x:v>
      </x:c>
      <x:c r="P86" s="19" t="n">
        <x:f>K86-F86</x:f>
        <x:v>12041</x:v>
      </x:c>
      <x:c r="Q86" s="20" t="n">
        <x:f>IF(AND(F86&gt;0,K86&gt;0),(M86-H86)*100,"")</x:f>
        <x:v>-0.3505910634414588</x:v>
      </x:c>
      <x:c r="R86" s="12" t="n">
        <x:v>1</x:v>
      </x:c>
      <x:c r="S86" s="12" t="n">
        <x:v>21</x:v>
      </x:c>
    </x:row>
    <x:row r="87" ht="22" customHeight="1">
      <x:c r="A87" s="1" t="str">
        <x:v>B09WYSQSSL</x:v>
      </x:c>
      <x:c r="B87" s="1" t="str">
        <x:v>电钻与冲击工具</x:v>
      </x:c>
      <x:c r="C87" s="1" t="str">
        <x:v>Trapano Avvitatore Batteria 12V, HYCHIKA 104pcs Avvitatore a Batteria Cassetta Attrezzi fai da te, 1,5Ah Avvitatore Elettrico, 2 Velocità 30N.m Mas, Carica rapida 1 ora, kit Attrezzi Completa</x:v>
      </x:c>
      <x:c r="D87" s="1" t="str">
        <x:v>两年均有</x:v>
      </x:c>
      <x:c r="E87" s="12" t="n">
        <x:v>301</x:v>
      </x:c>
      <x:c r="F87" s="12" t="n">
        <x:v>29092</x:v>
      </x:c>
      <x:c r="G87" s="16" t="n">
        <x:v>0.0091</x:v>
      </x:c>
      <x:c r="H87" s="16" t="n">
        <x:f>IF(F87&gt;0,E87/F87,"")</x:f>
        <x:v>0.010346487006737248</x:v>
      </x:c>
      <x:c r="I87" s="36" t="n">
        <x:v>18882.84</x:v>
      </x:c>
      <x:c r="J87" s="12" t="n">
        <x:v>268</x:v>
      </x:c>
      <x:c r="K87" s="12" t="n">
        <x:v>17407</x:v>
      </x:c>
      <x:c r="L87" s="16" t="n">
        <x:v>0.0413</x:v>
      </x:c>
      <x:c r="M87" s="16" t="n">
        <x:f>IF(K87&gt;0,J87/K87,"")</x:f>
        <x:v>0.01539610501522376</x:v>
      </x:c>
      <x:c r="N87" s="36" t="n">
        <x:v>14335.54</x:v>
      </x:c>
      <x:c r="O87" s="19" t="n">
        <x:f>J87-E87</x:f>
        <x:v>-33</x:v>
      </x:c>
      <x:c r="P87" s="19" t="n">
        <x:f>K87-F87</x:f>
        <x:v>-11685</x:v>
      </x:c>
      <x:c r="Q87" s="20" t="n">
        <x:f>IF(AND(F87&gt;0,K87&gt;0),(M87-H87)*100,"")</x:f>
        <x:v>0.5049618008486513</x:v>
      </x:c>
      <x:c r="R87" s="12" t="n">
        <x:v>9</x:v>
      </x:c>
      <x:c r="S87" s="12" t="n">
        <x:v>9</x:v>
      </x:c>
    </x:row>
    <x:row r="88" ht="22" customHeight="1">
      <x:c r="A88" s="1" t="str">
        <x:v>B088K58DXP</x:v>
      </x:c>
      <x:c r="B88" s="1" t="str">
        <x:v>电钻与冲击工具</x:v>
      </x:c>
      <x:c r="C88" s="1" t="str">
        <x:v>HYCHIKA Trapano Avvitatore Batteria 18V, Brushless 60Nm Trapano a Percussione, 2.0Ah Batteries, 53 Accessori, Caricatore Rapido, 21+3 Coppie, 2 Velocità Variabile, 0-500/0-2000 RPM</x:v>
      </x:c>
      <x:c r="D88" s="1" t="str">
        <x:v>两年均有</x:v>
      </x:c>
      <x:c r="E88" s="12" t="n">
        <x:v>688</x:v>
      </x:c>
      <x:c r="F88" s="12" t="n">
        <x:v>57600</x:v>
      </x:c>
      <x:c r="G88" s="16" t="n">
        <x:v>0.0119</x:v>
      </x:c>
      <x:c r="H88" s="16" t="n">
        <x:f>IF(F88&gt;0,E88/F88,"")</x:f>
        <x:v>0.011944444444444445</x:v>
      </x:c>
      <x:c r="I88" s="36" t="n">
        <x:v>44557.97</x:v>
      </x:c>
      <x:c r="J88" s="12" t="n">
        <x:v>241</x:v>
      </x:c>
      <x:c r="K88" s="12" t="n">
        <x:v>18267</x:v>
      </x:c>
      <x:c r="L88" s="16" t="n">
        <x:v>0.0376</x:v>
      </x:c>
      <x:c r="M88" s="16" t="n">
        <x:f>IF(K88&gt;0,J88/K88,"")</x:f>
        <x:v>0.013193189905293699</x:v>
      </x:c>
      <x:c r="N88" s="36" t="n">
        <x:v>15854.14</x:v>
      </x:c>
      <x:c r="O88" s="19" t="n">
        <x:f>J88-E88</x:f>
        <x:v>-447</x:v>
      </x:c>
      <x:c r="P88" s="19" t="n">
        <x:f>K88-F88</x:f>
        <x:v>-39333</x:v>
      </x:c>
      <x:c r="Q88" s="20" t="n">
        <x:f>IF(AND(F88&gt;0,K88&gt;0),(M88-H88)*100,"")</x:f>
        <x:v>0.12487454608492536</x:v>
      </x:c>
      <x:c r="R88" s="12" t="n">
        <x:v>157</x:v>
      </x:c>
      <x:c r="S88" s="12" t="n">
        <x:v>48</x:v>
      </x:c>
    </x:row>
    <x:row r="89" ht="22" customHeight="1">
      <x:c r="A89" s="1" t="str">
        <x:v>B0D2XHTNJV</x:v>
      </x:c>
      <x:c r="B89" s="1" t="str">
        <x:v>汽车起重与充气</x:v>
      </x:c>
      <x:c r="C89" s="1" t="str">
        <x:v>HYCHIKA Hydraulischer Wagenheber 3T, Premium Wagenheber flach mit 360° Rollen &amp; Doppelkolben, Trolley Jack mit Doppelkolben-Schnellhubpumpe, Hubbereich 75-505 mm, Car Jack</x:v>
      </x:c>
      <x:c r="D89" s="1" t="str">
        <x:v>两年均有</x:v>
      </x:c>
      <x:c r="E89" s="12" t="n">
        <x:v>196</x:v>
      </x:c>
      <x:c r="F89" s="12" t="n">
        <x:v>11989</x:v>
      </x:c>
      <x:c r="G89" s="16" t="n">
        <x:v>0.0144</x:v>
      </x:c>
      <x:c r="H89" s="16" t="n">
        <x:f>IF(F89&gt;0,E89/F89,"")</x:f>
        <x:v>0.01634831929268496</x:v>
      </x:c>
      <x:c r="I89" s="36" t="n">
        <x:v>22527.05</x:v>
      </x:c>
      <x:c r="J89" s="12" t="n">
        <x:v>216</x:v>
      </x:c>
      <x:c r="K89" s="12" t="n">
        <x:v>6482</x:v>
      </x:c>
      <x:c r="L89" s="16" t="n">
        <x:v>0.0753</x:v>
      </x:c>
      <x:c r="M89" s="16" t="n">
        <x:f>IF(K89&gt;0,J89/K89,"")</x:f>
        <x:v>0.03332304844183894</x:v>
      </x:c>
      <x:c r="N89" s="36" t="n">
        <x:v>24415.65</x:v>
      </x:c>
      <x:c r="O89" s="19" t="n">
        <x:f>J89-E89</x:f>
        <x:v>20</x:v>
      </x:c>
      <x:c r="P89" s="19" t="n">
        <x:f>K89-F89</x:f>
        <x:v>-5507</x:v>
      </x:c>
      <x:c r="Q89" s="20" t="n">
        <x:f>IF(AND(F89&gt;0,K89&gt;0),(M89-H89)*100,"")</x:f>
        <x:v>1.6974729149153982</x:v>
      </x:c>
      <x:c r="R89" s="12" t="n">
        <x:v>12</x:v>
      </x:c>
      <x:c r="S89" s="12" t="n">
        <x:v>25</x:v>
      </x:c>
    </x:row>
    <x:row r="90" ht="22" customHeight="1">
      <x:c r="A90" s="1" t="str">
        <x:v>B07ZFN24DM</x:v>
      </x:c>
      <x:c r="B90" s="1" t="str">
        <x:v>锯片与开孔耗材</x:v>
      </x:c>
      <x:c r="C90" s="1" t="str">
        <x:v>HYCHIKA Mini Hojas de Sierra Circular 3 PCS Diámetro: 85 mm, Eje: 10 mm, HC/HS/Diamante 4500 RPM</x:v>
      </x:c>
      <x:c r="D90" s="1" t="str">
        <x:v>两年均有</x:v>
      </x:c>
      <x:c r="E90" s="12" t="n">
        <x:v>312</x:v>
      </x:c>
      <x:c r="F90" s="12" t="n">
        <x:v>9833</x:v>
      </x:c>
      <x:c r="G90" s="16" t="n">
        <x:v>0.0313</x:v>
      </x:c>
      <x:c r="H90" s="16" t="n">
        <x:f>IF(F90&gt;0,E90/F90,"")</x:f>
        <x:v>0.031729889148784704</x:v>
      </x:c>
      <x:c r="I90" s="36" t="n">
        <x:v>5043.15</x:v>
      </x:c>
      <x:c r="J90" s="12" t="n">
        <x:v>190</x:v>
      </x:c>
      <x:c r="K90" s="12" t="n">
        <x:v>5087</x:v>
      </x:c>
      <x:c r="L90" s="16" t="n">
        <x:v>0.1126</x:v>
      </x:c>
      <x:c r="M90" s="16" t="n">
        <x:f>IF(K90&gt;0,J90/K90,"")</x:f>
        <x:v>0.03735010811873403</x:v>
      </x:c>
      <x:c r="N90" s="36" t="n">
        <x:v>3080.35</x:v>
      </x:c>
      <x:c r="O90" s="19" t="n">
        <x:f>J90-E90</x:f>
        <x:v>-122</x:v>
      </x:c>
      <x:c r="P90" s="19" t="n">
        <x:f>K90-F90</x:f>
        <x:v>-4746</x:v>
      </x:c>
      <x:c r="Q90" s="20" t="n">
        <x:f>IF(AND(F90&gt;0,K90&gt;0),(M90-H90)*100,"")</x:f>
        <x:v>0.5620218969949325</x:v>
      </x:c>
      <x:c r="R90" s="12" t="n">
        <x:v>19</x:v>
      </x:c>
      <x:c r="S90" s="12" t="n">
        <x:v>12</x:v>
      </x:c>
    </x:row>
    <x:row r="91" ht="22" customHeight="1">
      <x:c r="A91" s="1" t="str">
        <x:v>B0GH5M3TJJ</x:v>
      </x:c>
      <x:c r="B91" s="1" t="str">
        <x:v>汽车起重与充气</x:v>
      </x:c>
      <x:c r="C91" s="1" t="str">
        <x:v>HYCHIKA Scherenheber 3T Wagenheber Auto Tragbar Autoheber Hebebühne 3 Tonnen Hebebereich von 120 mm bis 445 mm, Wagenheber für SUV PKW</x:v>
      </x:c>
      <x:c r="D91" s="1" t="str">
        <x:v>仅2026</x:v>
      </x:c>
      <x:c r="E91" s="12" t="n">
        <x:v>0</x:v>
      </x:c>
      <x:c r="F91" s="12" t="n">
        <x:v>0</x:v>
      </x:c>
      <x:c r="G91" s="16"/>
      <x:c r="H91" s="16" t="str">
        <x:f>IF(F91&gt;0,E91/F91,"")</x:f>
      </x:c>
      <x:c r="I91" s="36" t="n">
        <x:v>0</x:v>
      </x:c>
      <x:c r="J91" s="12" t="n">
        <x:v>184</x:v>
      </x:c>
      <x:c r="K91" s="12" t="n">
        <x:v>3506</x:v>
      </x:c>
      <x:c r="L91" s="16" t="n">
        <x:v>0.0952</x:v>
      </x:c>
      <x:c r="M91" s="16" t="n">
        <x:f>IF(K91&gt;0,J91/K91,"")</x:f>
        <x:v>0.052481460353679406</x:v>
      </x:c>
      <x:c r="N91" s="36" t="n">
        <x:v>5951.49</x:v>
      </x:c>
      <x:c r="O91" s="19" t="n">
        <x:f>J91-E91</x:f>
        <x:v>184</x:v>
      </x:c>
      <x:c r="P91" s="19" t="n">
        <x:f>K91-F91</x:f>
        <x:v>3506</x:v>
      </x:c>
      <x:c r="Q91" s="20" t="str">
        <x:f>IF(AND(F91&gt;0,K91&gt;0),(M91-H91)*100,"")</x:f>
      </x:c>
      <x:c r="R91" s="12" t="n">
        <x:v>0</x:v>
      </x:c>
      <x:c r="S91" s="12" t="n">
        <x:v>9</x:v>
      </x:c>
    </x:row>
    <x:row r="92" ht="22" customHeight="1">
      <x:c r="A92" s="1" t="str">
        <x:v>B099ZX6CVC</x:v>
      </x:c>
      <x:c r="B92" s="1" t="str">
        <x:v>电锯与电动切割</x:v>
      </x:c>
      <x:c r="C92" s="1" t="str">
        <x:v>HYCHIKA Sega Circolare 18V, Mini Sega Circolare a Batteria 3500RPM con Guida Laser e Borsa di Stoccaggio, Profondito di Taglio Massima 48mm e 32mm, 3 Lame, per Legno, Tagliare Piastrelle, Metallo</x:v>
      </x:c>
      <x:c r="D92" s="1" t="str">
        <x:v>两年均有</x:v>
      </x:c>
      <x:c r="E92" s="12" t="n">
        <x:v>610</x:v>
      </x:c>
      <x:c r="F92" s="12" t="n">
        <x:v>38194</x:v>
      </x:c>
      <x:c r="G92" s="16" t="n">
        <x:v>0.0159</x:v>
      </x:c>
      <x:c r="H92" s="16" t="n">
        <x:f>IF(F92&gt;0,E92/F92,"")</x:f>
        <x:v>0.015971094936377443</x:v>
      </x:c>
      <x:c r="I92" s="36" t="n">
        <x:v>54703.21</x:v>
      </x:c>
      <x:c r="J92" s="12" t="n">
        <x:v>176</x:v>
      </x:c>
      <x:c r="K92" s="12" t="n">
        <x:v>13439</x:v>
      </x:c>
      <x:c r="L92" s="16" t="n">
        <x:v>0.0291</x:v>
      </x:c>
      <x:c r="M92" s="16" t="n">
        <x:f>IF(K92&gt;0,J92/K92,"")</x:f>
        <x:v>0.01309621251581219</x:v>
      </x:c>
      <x:c r="N92" s="36" t="n">
        <x:v>15746.32</x:v>
      </x:c>
      <x:c r="O92" s="19" t="n">
        <x:f>J92-E92</x:f>
        <x:v>-434</x:v>
      </x:c>
      <x:c r="P92" s="19" t="n">
        <x:f>K92-F92</x:f>
        <x:v>-24755</x:v>
      </x:c>
      <x:c r="Q92" s="20" t="n">
        <x:f>IF(AND(F92&gt;0,K92&gt;0),(M92-H92)*100,"")</x:f>
        <x:v>-0.28748824205652534</x:v>
      </x:c>
      <x:c r="R92" s="12" t="n">
        <x:v>75</x:v>
      </x:c>
      <x:c r="S92" s="12" t="n">
        <x:v>21</x:v>
      </x:c>
    </x:row>
    <x:row r="93" ht="22" customHeight="1">
      <x:c r="A93" s="1" t="str">
        <x:v>B0C2P2J4JG</x:v>
      </x:c>
      <x:c r="B93" s="1" t="str">
        <x:v>汽车起重与充气</x:v>
      </x:c>
      <x:c r="C93" s="1" t="str">
        <x:v>HYCHIKA Elektrische Luftpumpe Auto 12V 6000mAh, 150PSI Mini Akku Pumpe Fahrrad Kompressor mit LED-Licht für Auto Fahrrad Motorrad Bälle, AutoOff und Powerbank</x:v>
      </x:c>
      <x:c r="D93" s="1" t="str">
        <x:v>两年均有</x:v>
      </x:c>
      <x:c r="E93" s="12" t="n">
        <x:v>864</x:v>
      </x:c>
      <x:c r="F93" s="12" t="n">
        <x:v>25828</x:v>
      </x:c>
      <x:c r="G93" s="16" t="n">
        <x:v>0.0334</x:v>
      </x:c>
      <x:c r="H93" s="16" t="n">
        <x:f>IF(F93&gt;0,E93/F93,"")</x:f>
        <x:v>0.033452067523617776</x:v>
      </x:c>
      <x:c r="I93" s="36" t="n">
        <x:v>19159.88</x:v>
      </x:c>
      <x:c r="J93" s="12" t="n">
        <x:v>169</x:v>
      </x:c>
      <x:c r="K93" s="12" t="n">
        <x:v>6646</x:v>
      </x:c>
      <x:c r="L93" s="16" t="n">
        <x:v>0.0948</x:v>
      </x:c>
      <x:c r="M93" s="16" t="n">
        <x:f>IF(K93&gt;0,J93/K93,"")</x:f>
        <x:v>0.025428829371050257</x:v>
      </x:c>
      <x:c r="N93" s="36" t="n">
        <x:v>3694.85</x:v>
      </x:c>
      <x:c r="O93" s="19" t="n">
        <x:f>J93-E93</x:f>
        <x:v>-695</x:v>
      </x:c>
      <x:c r="P93" s="19" t="n">
        <x:f>K93-F93</x:f>
        <x:v>-19182</x:v>
      </x:c>
      <x:c r="Q93" s="20" t="n">
        <x:f>IF(AND(F93&gt;0,K93&gt;0),(M93-H93)*100,"")</x:f>
        <x:v>-0.802323815256752</x:v>
      </x:c>
      <x:c r="R93" s="12" t="n">
        <x:v>52</x:v>
      </x:c>
      <x:c r="S93" s="12" t="n">
        <x:v>23</x:v>
      </x:c>
    </x:row>
    <x:row r="94" ht="22" customHeight="1">
      <x:c r="A94" s="1" t="str">
        <x:v>B0FFG95G7F</x:v>
      </x:c>
      <x:c r="B94" s="1" t="str">
        <x:v>手动工具与套装</x:v>
      </x:c>
      <x:c r="C94" s="1" t="str">
        <x:v>HYCHIKA Juego de destornilladores 39 en 1 para mecánicos de precisión 39 en 1 screwdriver set Ideal para Electrónica | Gafas | Relojes | Juguetes | Proyectos de hobby | Bicicletas</x:v>
      </x:c>
      <x:c r="D94" s="1" t="str">
        <x:v>两年均有</x:v>
      </x:c>
      <x:c r="E94" s="12" t="n">
        <x:v>177</x:v>
      </x:c>
      <x:c r="F94" s="12" t="n">
        <x:v>6008</x:v>
      </x:c>
      <x:c r="G94" s="16" t="n">
        <x:v>0.0265</x:v>
      </x:c>
      <x:c r="H94" s="16" t="n">
        <x:f>IF(F94&gt;0,E94/F94,"")</x:f>
        <x:v>0.029460719041278297</x:v>
      </x:c>
      <x:c r="I94" s="36" t="n">
        <x:v>2240.02</x:v>
      </x:c>
      <x:c r="J94" s="12" t="n">
        <x:v>168</x:v>
      </x:c>
      <x:c r="K94" s="12" t="n">
        <x:v>5946</x:v>
      </x:c>
      <x:c r="L94" s="16" t="n">
        <x:v>0.0711</x:v>
      </x:c>
      <x:c r="M94" s="16" t="n">
        <x:f>IF(K94&gt;0,J94/K94,"")</x:f>
        <x:v>0.028254288597376387</x:v>
      </x:c>
      <x:c r="N94" s="36" t="n">
        <x:v>2214.61</x:v>
      </x:c>
      <x:c r="O94" s="19" t="n">
        <x:f>J94-E94</x:f>
        <x:v>-9</x:v>
      </x:c>
      <x:c r="P94" s="19" t="n">
        <x:f>K94-F94</x:f>
        <x:v>-62</x:v>
      </x:c>
      <x:c r="Q94" s="20" t="n">
        <x:f>IF(AND(F94&gt;0,K94&gt;0),(M94-H94)*100,"")</x:f>
        <x:v>-0.12064304439019097</x:v>
      </x:c>
      <x:c r="R94" s="12" t="n">
        <x:v>4</x:v>
      </x:c>
      <x:c r="S94" s="12" t="n">
        <x:v>11</x:v>
      </x:c>
    </x:row>
    <x:row r="95" ht="22" customHeight="1">
      <x:c r="A95" s="1" t="str">
        <x:v>B0FFGQXWGT</x:v>
      </x:c>
      <x:c r="B95" s="1" t="str">
        <x:v>清洁电器与空气净化</x:v>
      </x:c>
      <x:c r="C95" s="1" t="str">
        <x:v>HYCHIKA aspirabriciole senza fili - mini aspirapolvere senza fili,19 kPa aspirapolvere auto,aspirabriciole, aspirapolvere per auto, aspirapolvere portatile,sofa</x:v>
      </x:c>
      <x:c r="D95" s="1" t="str">
        <x:v>两年均有</x:v>
      </x:c>
      <x:c r="E95" s="12" t="n">
        <x:v>113</x:v>
      </x:c>
      <x:c r="F95" s="12" t="n">
        <x:v>4255</x:v>
      </x:c>
      <x:c r="G95" s="16" t="n">
        <x:v>0.0168</x:v>
      </x:c>
      <x:c r="H95" s="16" t="n">
        <x:f>IF(F95&gt;0,E95/F95,"")</x:f>
        <x:v>0.026556991774383077</x:v>
      </x:c>
      <x:c r="I95" s="36" t="n">
        <x:v>3257.14</x:v>
      </x:c>
      <x:c r="J95" s="12" t="n">
        <x:v>142</x:v>
      </x:c>
      <x:c r="K95" s="12" t="n">
        <x:v>3226</x:v>
      </x:c>
      <x:c r="L95" s="16" t="n">
        <x:v>0.1112</x:v>
      </x:c>
      <x:c r="M95" s="16" t="n">
        <x:f>IF(K95&gt;0,J95/K95,"")</x:f>
        <x:v>0.04401735895846249</x:v>
      </x:c>
      <x:c r="N95" s="36" t="n">
        <x:v>3965.4</x:v>
      </x:c>
      <x:c r="O95" s="19" t="n">
        <x:f>J95-E95</x:f>
        <x:v>29</x:v>
      </x:c>
      <x:c r="P95" s="19" t="n">
        <x:f>K95-F95</x:f>
        <x:v>-1029</x:v>
      </x:c>
      <x:c r="Q95" s="20" t="n">
        <x:f>IF(AND(F95&gt;0,K95&gt;0),(M95-H95)*100,"")</x:f>
        <x:v>1.7460367184079413</x:v>
      </x:c>
      <x:c r="R95" s="12" t="n">
        <x:v>1</x:v>
      </x:c>
      <x:c r="S95" s="12" t="n">
        <x:v>14</x:v>
      </x:c>
    </x:row>
    <x:row r="96" ht="22" customHeight="1">
      <x:c r="A96" s="1" t="str">
        <x:v>B0CQM5998Q</x:v>
      </x:c>
      <x:c r="B96" s="1" t="str">
        <x:v>锯片与开孔耗材</x:v>
      </x:c>
      <x:c r="C96" s="1" t="str">
        <x:v>HYCHIKA Seghe a Tazza Bi-Metallica 68mm 60mm, Sega A Tazza per Legno, Iron Alluminio, Cartongesso, Tubi, Plastica, Pannelli di Fibra</x:v>
      </x:c>
      <x:c r="D96" s="1" t="str">
        <x:v>两年均有</x:v>
      </x:c>
      <x:c r="E96" s="12" t="n">
        <x:v>203</x:v>
      </x:c>
      <x:c r="F96" s="12" t="n">
        <x:v>2493</x:v>
      </x:c>
      <x:c r="G96" s="16" t="n">
        <x:v>0.0812</x:v>
      </x:c>
      <x:c r="H96" s="16" t="n">
        <x:f>IF(F96&gt;0,E96/F96,"")</x:f>
        <x:v>0.08142799839550742</x:v>
      </x:c>
      <x:c r="I96" s="36" t="n">
        <x:v>2562.85</x:v>
      </x:c>
      <x:c r="J96" s="12" t="n">
        <x:v>135</x:v>
      </x:c>
      <x:c r="K96" s="12" t="n">
        <x:v>2051</x:v>
      </x:c>
      <x:c r="L96" s="16" t="n">
        <x:v>0.2111</x:v>
      </x:c>
      <x:c r="M96" s="16" t="n">
        <x:f>IF(K96&gt;0,J96/K96,"")</x:f>
        <x:v>0.06582155046318869</x:v>
      </x:c>
      <x:c r="N96" s="36" t="n">
        <x:v>1684.75</x:v>
      </x:c>
      <x:c r="O96" s="19" t="n">
        <x:f>J96-E96</x:f>
        <x:v>-68</x:v>
      </x:c>
      <x:c r="P96" s="19" t="n">
        <x:f>K96-F96</x:f>
        <x:v>-442</x:v>
      </x:c>
      <x:c r="Q96" s="20" t="n">
        <x:f>IF(AND(F96&gt;0,K96&gt;0),(M96-H96)*100,"")</x:f>
        <x:v>-1.5606447932318732</x:v>
      </x:c>
      <x:c r="R96" s="12" t="n">
        <x:v>10</x:v>
      </x:c>
      <x:c r="S96" s="12" t="n">
        <x:v>11</x:v>
      </x:c>
    </x:row>
    <x:row r="97" ht="22" customHeight="1">
      <x:c r="A97" s="1" t="str">
        <x:v>B0D2XGDZGF</x:v>
      </x:c>
      <x:c r="B97" s="1" t="str">
        <x:v>汽车起重与充气</x:v>
      </x:c>
      <x:c r="C97" s="1" t="str">
        <x:v>HYCHIKA Hydraulischer Wagenheber Hydraulisch, Wagenheber 3T Hydraulisch, Rangierwagenheber mit Tragegriff, Hydraulikheber, 5.3-14.6 Zoll Hubbereich, 360° Schwenkräder, für Auto, SUV und Reifenwechsel</x:v>
      </x:c>
      <x:c r="D97" s="1" t="str">
        <x:v>两年均有</x:v>
      </x:c>
      <x:c r="E97" s="12" t="n">
        <x:v>56</x:v>
      </x:c>
      <x:c r="F97" s="12" t="n">
        <x:v>4507</x:v>
      </x:c>
      <x:c r="G97" s="16" t="n">
        <x:v>0.0122</x:v>
      </x:c>
      <x:c r="H97" s="16" t="n">
        <x:f>IF(F97&gt;0,E97/F97,"")</x:f>
        <x:v>0.012425116485467052</x:v>
      </x:c>
      <x:c r="I97" s="36" t="n">
        <x:v>4370.52</x:v>
      </x:c>
      <x:c r="J97" s="12" t="n">
        <x:v>128</x:v>
      </x:c>
      <x:c r="K97" s="12" t="n">
        <x:v>5683</x:v>
      </x:c>
      <x:c r="L97" s="16" t="n">
        <x:v>0.0536</x:v>
      </x:c>
      <x:c r="M97" s="16" t="n">
        <x:f>IF(K97&gt;0,J97/K97,"")</x:f>
        <x:v>0.022523315150448708</x:v>
      </x:c>
      <x:c r="N97" s="36" t="n">
        <x:v>8201</x:v>
      </x:c>
      <x:c r="O97" s="19" t="n">
        <x:f>J97-E97</x:f>
        <x:v>72</x:v>
      </x:c>
      <x:c r="P97" s="19" t="n">
        <x:f>K97-F97</x:f>
        <x:v>1176</x:v>
      </x:c>
      <x:c r="Q97" s="20" t="n">
        <x:f>IF(AND(F97&gt;0,K97&gt;0),(M97-H97)*100,"")</x:f>
        <x:v>1.0098198664981655</x:v>
      </x:c>
      <x:c r="R97" s="12" t="n">
        <x:v>5</x:v>
      </x:c>
      <x:c r="S97" s="12" t="n">
        <x:v>13</x:v>
      </x:c>
    </x:row>
    <x:row r="98" ht="22" customHeight="1">
      <x:c r="A98" s="1" t="str">
        <x:v>B0DCBYPL2X</x:v>
      </x:c>
      <x:c r="B98" s="1" t="str">
        <x:v>园艺设备与工具</x:v>
      </x:c>
      <x:c r="C98" s="1" t="str">
        <x:v>HICHIKA Schlauchtrommel Gartenschlauch 20m – Schlauchbox für die Wandhalterung, Automatische Verriegelung und Aufrollung, 8-Stufiger Sprühdüse, 180°Schwenkbare Schlauchaufroller</x:v>
      </x:c>
      <x:c r="D98" s="1" t="str">
        <x:v>两年均有</x:v>
      </x:c>
      <x:c r="E98" s="12" t="n">
        <x:v>326</x:v>
      </x:c>
      <x:c r="F98" s="12" t="n">
        <x:v>9994</x:v>
      </x:c>
      <x:c r="G98" s="16" t="n">
        <x:v>0.0309</x:v>
      </x:c>
      <x:c r="H98" s="16" t="n">
        <x:f>IF(F98&gt;0,E98/F98,"")</x:f>
        <x:v>0.032619571743045826</x:v>
      </x:c>
      <x:c r="I98" s="36" t="n">
        <x:v>20194.45</x:v>
      </x:c>
      <x:c r="J98" s="12" t="n">
        <x:v>125</x:v>
      </x:c>
      <x:c r="K98" s="12" t="n">
        <x:v>4154</x:v>
      </x:c>
      <x:c r="L98" s="16" t="n">
        <x:v>0.0876</x:v>
      </x:c>
      <x:c r="M98" s="16" t="n">
        <x:f>IF(K98&gt;0,J98/K98,"")</x:f>
        <x:v>0.03009147809340395</x:v>
      </x:c>
      <x:c r="N98" s="36" t="n">
        <x:v>8876.57</x:v>
      </x:c>
      <x:c r="O98" s="19" t="n">
        <x:f>J98-E98</x:f>
        <x:v>-201</x:v>
      </x:c>
      <x:c r="P98" s="19" t="n">
        <x:f>K98-F98</x:f>
        <x:v>-5840</x:v>
      </x:c>
      <x:c r="Q98" s="20" t="n">
        <x:f>IF(AND(F98&gt;0,K98&gt;0),(M98-H98)*100,"")</x:f>
        <x:v>-0.2528093649641877</x:v>
      </x:c>
      <x:c r="R98" s="12" t="n">
        <x:v>13</x:v>
      </x:c>
      <x:c r="S98" s="12" t="n">
        <x:v>3</x:v>
      </x:c>
    </x:row>
    <x:row r="99" ht="22" customHeight="1">
      <x:c r="A99" s="1" t="str">
        <x:v>B0FFGKNZNN</x:v>
      </x:c>
      <x:c r="B99" s="1" t="str">
        <x:v>汽车起重与充气</x:v>
      </x:c>
      <x:c r="C99" s="1" t="str">
        <x:v>HYCHIKA Avviatore Batteria Auto 1500A - Avviatore Emergenza con Compressore,Booster Avviamento Auto/Moto Portatile (Fino a Tutti i Benzina e 4L Diesel),Doppia USB,600 Lumen LED</x:v>
      </x:c>
      <x:c r="D99" s="1" t="str">
        <x:v>两年均有</x:v>
      </x:c>
      <x:c r="E99" s="12" t="n">
        <x:v>154</x:v>
      </x:c>
      <x:c r="F99" s="12" t="n">
        <x:v>4341</x:v>
      </x:c>
      <x:c r="G99" s="16" t="n">
        <x:v>0.0193</x:v>
      </x:c>
      <x:c r="H99" s="16" t="n">
        <x:f>IF(F99&gt;0,E99/F99,"")</x:f>
        <x:v>0.035475696844045154</x:v>
      </x:c>
      <x:c r="I99" s="36" t="n">
        <x:v>7263.69</x:v>
      </x:c>
      <x:c r="J99" s="12" t="n">
        <x:v>120</x:v>
      </x:c>
      <x:c r="K99" s="12" t="n">
        <x:v>4065</x:v>
      </x:c>
      <x:c r="L99" s="16" t="n">
        <x:v>0.0741</x:v>
      </x:c>
      <x:c r="M99" s="16" t="n">
        <x:f>IF(K99&gt;0,J99/K99,"")</x:f>
        <x:v>0.02952029520295203</x:v>
      </x:c>
      <x:c r="N99" s="36" t="n">
        <x:v>7693.48</x:v>
      </x:c>
      <x:c r="O99" s="19" t="n">
        <x:f>J99-E99</x:f>
        <x:v>-34</x:v>
      </x:c>
      <x:c r="P99" s="19" t="n">
        <x:f>K99-F99</x:f>
        <x:v>-276</x:v>
      </x:c>
      <x:c r="Q99" s="20" t="n">
        <x:f>IF(AND(F99&gt;0,K99&gt;0),(M99-H99)*100,"")</x:f>
        <x:v>-0.5955401641093125</x:v>
      </x:c>
      <x:c r="R99" s="12" t="n">
        <x:v>2</x:v>
      </x:c>
      <x:c r="S99" s="12" t="n">
        <x:v>9</x:v>
      </x:c>
    </x:row>
    <x:row r="100" ht="22" customHeight="1">
      <x:c r="A100" s="1" t="str">
        <x:v>B0BRCXLNGS</x:v>
      </x:c>
      <x:c r="B100" s="1" t="str">
        <x:v>打磨耗材</x:v>
      </x:c>
      <x:c r="C100" s="1" t="str">
        <x:v>HYCHIKA Trennscheiben für Metall 10 Stück, Winkelschleifer Scheiben 125 x 1.2 x 22.2mm, Trennscheiben Winkelschleifer Zubehör für Metall, Stahl, Edelstahl</x:v>
      </x:c>
      <x:c r="D100" s="1" t="str">
        <x:v>两年均有</x:v>
      </x:c>
      <x:c r="E100" s="12" t="n">
        <x:v>92</x:v>
      </x:c>
      <x:c r="F100" s="12" t="n">
        <x:v>1380</x:v>
      </x:c>
      <x:c r="G100" s="16" t="n">
        <x:v>0.0651</x:v>
      </x:c>
      <x:c r="H100" s="16" t="n">
        <x:f>IF(F100&gt;0,E100/F100,"")</x:f>
        <x:v>0.06666666666666667</x:v>
      </x:c>
      <x:c r="I100" s="36" t="n">
        <x:v>774.32</x:v>
      </x:c>
      <x:c r="J100" s="12" t="n">
        <x:v>114</x:v>
      </x:c>
      <x:c r="K100" s="12" t="n">
        <x:v>1484</x:v>
      </x:c>
      <x:c r="L100" s="16" t="n">
        <x:v>0.208</x:v>
      </x:c>
      <x:c r="M100" s="16" t="n">
        <x:f>IF(K100&gt;0,J100/K100,"")</x:f>
        <x:v>0.07681940700808626</x:v>
      </x:c>
      <x:c r="N100" s="36" t="n">
        <x:v>790.02</x:v>
      </x:c>
      <x:c r="O100" s="19" t="n">
        <x:f>J100-E100</x:f>
        <x:v>22</x:v>
      </x:c>
      <x:c r="P100" s="19" t="n">
        <x:f>K100-F100</x:f>
        <x:v>104</x:v>
      </x:c>
      <x:c r="Q100" s="20" t="n">
        <x:f>IF(AND(F100&gt;0,K100&gt;0),(M100-H100)*100,"")</x:f>
        <x:v>1.0152740341419595</x:v>
      </x:c>
      <x:c r="R100" s="12" t="n">
        <x:v>2</x:v>
      </x:c>
      <x:c r="S100" s="12" t="n">
        <x:v>4</x:v>
      </x:c>
    </x:row>
    <x:row r="101" ht="22" customHeight="1">
      <x:c r="A101" s="1" t="str">
        <x:v>B0CRDRN642</x:v>
      </x:c>
      <x:c r="B101" s="1" t="str">
        <x:v>锯片与开孔耗材</x:v>
      </x:c>
      <x:c r="C101" s="1" t="str">
        <x:v>HYCHIKA Seghe a Tazza Bi-Metallica 100mm, Fresa A Tazza per Legno, Iron Alluminio, Cartongesso, Tubi, Plastica, Pannelli di Fibra</x:v>
      </x:c>
      <x:c r="D101" s="1" t="str">
        <x:v>两年均有</x:v>
      </x:c>
      <x:c r="E101" s="12" t="n">
        <x:v>144</x:v>
      </x:c>
      <x:c r="F101" s="12" t="n">
        <x:v>2795</x:v>
      </x:c>
      <x:c r="G101" s="16" t="n">
        <x:v>0.0513</x:v>
      </x:c>
      <x:c r="H101" s="16" t="n">
        <x:f>IF(F101&gt;0,E101/F101,"")</x:f>
        <x:v>0.05152057245080501</x:v>
      </x:c>
      <x:c r="I101" s="36" t="n">
        <x:v>1575.05</x:v>
      </x:c>
      <x:c r="J101" s="12" t="n">
        <x:v>109</x:v>
      </x:c>
      <x:c r="K101" s="12" t="n">
        <x:v>1714</x:v>
      </x:c>
      <x:c r="L101" s="16" t="n">
        <x:v>0.2151</x:v>
      </x:c>
      <x:c r="M101" s="16" t="n">
        <x:f>IF(K101&gt;0,J101/K101,"")</x:f>
        <x:v>0.06359393232205368</x:v>
      </x:c>
      <x:c r="N101" s="36" t="n">
        <x:v>1196.45</x:v>
      </x:c>
      <x:c r="O101" s="19" t="n">
        <x:f>J101-E101</x:f>
        <x:v>-35</x:v>
      </x:c>
      <x:c r="P101" s="19" t="n">
        <x:f>K101-F101</x:f>
        <x:v>-1081</x:v>
      </x:c>
      <x:c r="Q101" s="20" t="n">
        <x:f>IF(AND(F101&gt;0,K101&gt;0),(M101-H101)*100,"")</x:f>
        <x:v>1.207335987124867</x:v>
      </x:c>
      <x:c r="R101" s="12" t="n">
        <x:v>14</x:v>
      </x:c>
      <x:c r="S101" s="12" t="n">
        <x:v>6</x:v>
      </x:c>
    </x:row>
    <x:row r="102" ht="22" customHeight="1">
      <x:c r="A102" s="1" t="str">
        <x:v>B0DBZCG7RS</x:v>
      </x:c>
      <x:c r="B102" s="1" t="str">
        <x:v>园艺设备与工具</x:v>
      </x:c>
      <x:c r="C102" s="1" t="str">
        <x:v>HYCHIKA Troncarami Telescopico 99CM, Cesoie Lunghe per Potatura, Cesoia da Potatura, Tagliano Rami di Ø50 mm max., Lame Affilate, Troncarami Bypass per La Potatura di Rami Secchi e Umidi</x:v>
      </x:c>
      <x:c r="D102" s="1" t="str">
        <x:v>两年均有</x:v>
      </x:c>
      <x:c r="E102" s="12" t="n">
        <x:v>166</x:v>
      </x:c>
      <x:c r="F102" s="12" t="n">
        <x:v>4693</x:v>
      </x:c>
      <x:c r="G102" s="16" t="n">
        <x:v>0.035</x:v>
      </x:c>
      <x:c r="H102" s="16" t="n">
        <x:f>IF(F102&gt;0,E102/F102,"")</x:f>
        <x:v>0.0353718303856808</x:v>
      </x:c>
      <x:c r="I102" s="36" t="n">
        <x:v>6233.12</x:v>
      </x:c>
      <x:c r="J102" s="12" t="n">
        <x:v>106</x:v>
      </x:c>
      <x:c r="K102" s="12" t="n">
        <x:v>4176</x:v>
      </x:c>
      <x:c r="L102" s="16" t="n">
        <x:v>0.0757</x:v>
      </x:c>
      <x:c r="M102" s="16" t="n">
        <x:f>IF(K102&gt;0,J102/K102,"")</x:f>
        <x:v>0.025383141762452106</x:v>
      </x:c>
      <x:c r="N102" s="36" t="n">
        <x:v>4204.69</x:v>
      </x:c>
      <x:c r="O102" s="19" t="n">
        <x:f>J102-E102</x:f>
        <x:v>-60</x:v>
      </x:c>
      <x:c r="P102" s="19" t="n">
        <x:f>K102-F102</x:f>
        <x:v>-517</x:v>
      </x:c>
      <x:c r="Q102" s="20" t="n">
        <x:f>IF(AND(F102&gt;0,K102&gt;0),(M102-H102)*100,"")</x:f>
        <x:v>-0.9988688623228693</x:v>
      </x:c>
      <x:c r="R102" s="12" t="n">
        <x:v>21</x:v>
      </x:c>
      <x:c r="S102" s="12" t="n">
        <x:v>11</x:v>
      </x:c>
    </x:row>
    <x:row r="103" ht="22" customHeight="1">
      <x:c r="A103" s="1" t="str">
        <x:v>B0DFPKMC6C</x:v>
      </x:c>
      <x:c r="B103" s="1" t="str">
        <x:v>打磨抛光与旋转工具</x:v>
      </x:c>
      <x:c r="C103" s="1" t="str">
        <x:v>HYCHIKA 1400W Satiniermaschine, Bürstenschleifer zur Renovierung von Oberflächen, Holz Renovierungsschleifer 8 Gänge Variabler Drehzahlbereich 600-3600RPM, Metall Schleifmaschine Bürstmaschine</x:v>
      </x:c>
      <x:c r="D103" s="1" t="str">
        <x:v>两年均有</x:v>
      </x:c>
      <x:c r="E103" s="12" t="n">
        <x:v>36</x:v>
      </x:c>
      <x:c r="F103" s="12" t="n">
        <x:v>1701</x:v>
      </x:c>
      <x:c r="G103" s="16" t="n">
        <x:v>0.021</x:v>
      </x:c>
      <x:c r="H103" s="16" t="n">
        <x:f>IF(F103&gt;0,E103/F103,"")</x:f>
        <x:v>0.021164021164021163</x:v>
      </x:c>
      <x:c r="I103" s="36" t="n">
        <x:v>2558.02</x:v>
      </x:c>
      <x:c r="J103" s="12" t="n">
        <x:v>100</x:v>
      </x:c>
      <x:c r="K103" s="12" t="n">
        <x:v>2835</x:v>
      </x:c>
      <x:c r="L103" s="16" t="n">
        <x:v>0.0923</x:v>
      </x:c>
      <x:c r="M103" s="16" t="n">
        <x:f>IF(K103&gt;0,J103/K103,"")</x:f>
        <x:v>0.03527336860670194</x:v>
      </x:c>
      <x:c r="N103" s="36" t="n">
        <x:v>6224.01</x:v>
      </x:c>
      <x:c r="O103" s="19" t="n">
        <x:f>J103-E103</x:f>
        <x:v>64</x:v>
      </x:c>
      <x:c r="P103" s="19" t="n">
        <x:f>K103-F103</x:f>
        <x:v>1134</x:v>
      </x:c>
      <x:c r="Q103" s="20" t="n">
        <x:f>IF(AND(F103&gt;0,K103&gt;0),(M103-H103)*100,"")</x:f>
        <x:v>1.4109347442680775</x:v>
      </x:c>
      <x:c r="R103" s="12" t="n">
        <x:v>6</x:v>
      </x:c>
      <x:c r="S103" s="12" t="n">
        <x:v>8</x:v>
      </x:c>
    </x:row>
    <x:row r="104" ht="22" customHeight="1">
      <x:c r="A104" s="1" t="str">
        <x:v>B0DCNPZW4K</x:v>
      </x:c>
      <x:c r="B104" s="1" t="str">
        <x:v>园艺设备与工具</x:v>
      </x:c>
      <x:c r="C104" s="1" t="str">
        <x:v>HYCHIKA Tagliasiepi Elettrico con Filo 550W, Taglia Siepe Elettrico, Tagliasiepe Elettrico, Lunghezza Lama 450MM, Distanza Denti 18MM, Lame a Doppia Azione, per la Potatura di Siepi e Arbusti</x:v>
      </x:c>
      <x:c r="D104" s="1" t="str">
        <x:v>两年均有</x:v>
      </x:c>
      <x:c r="E104" s="12" t="n">
        <x:v>162</x:v>
      </x:c>
      <x:c r="F104" s="12" t="n">
        <x:v>11058</x:v>
      </x:c>
      <x:c r="G104" s="16" t="n">
        <x:v>0.009</x:v>
      </x:c>
      <x:c r="H104" s="16" t="n">
        <x:f>IF(F104&gt;0,E104/F104,"")</x:f>
        <x:v>0.01465002712967987</x:v>
      </x:c>
      <x:c r="I104" s="36" t="n">
        <x:v>7817.13</x:v>
      </x:c>
      <x:c r="J104" s="12" t="n">
        <x:v>95</x:v>
      </x:c>
      <x:c r="K104" s="12" t="n">
        <x:v>6844</x:v>
      </x:c>
      <x:c r="L104" s="16" t="n">
        <x:v>0.041</x:v>
      </x:c>
      <x:c r="M104" s="16" t="n">
        <x:f>IF(K104&gt;0,J104/K104,"")</x:f>
        <x:v>0.013880771478667446</x:v>
      </x:c>
      <x:c r="N104" s="36" t="n">
        <x:v>4754.72</x:v>
      </x:c>
      <x:c r="O104" s="19" t="n">
        <x:f>J104-E104</x:f>
        <x:v>-67</x:v>
      </x:c>
      <x:c r="P104" s="19" t="n">
        <x:f>K104-F104</x:f>
        <x:v>-4214</x:v>
      </x:c>
      <x:c r="Q104" s="20" t="n">
        <x:f>IF(AND(F104&gt;0,K104&gt;0),(M104-H104)*100,"")</x:f>
        <x:v>-0.07692556510124245</x:v>
      </x:c>
      <x:c r="R104" s="12" t="n">
        <x:v>11</x:v>
      </x:c>
      <x:c r="S104" s="12" t="n">
        <x:v>4</x:v>
      </x:c>
    </x:row>
    <x:row r="105" ht="22" customHeight="1">
      <x:c r="A105" s="1" t="str">
        <x:v>B0D4DHHTHQ</x:v>
      </x:c>
      <x:c r="B105" s="1" t="str">
        <x:v>手动工具与套装</x:v>
      </x:c>
      <x:c r="C105" s="1" t="str">
        <x:v>HYCHIKA 16 pezzi in 1 cacciavite a cricchetto, set di cacciaviti magnetici tutto in uno, multiutensile a cricchetto con punte esagonali a doppia estremità Phillips, a taglio, Torx e quadrate</x:v>
      </x:c>
      <x:c r="D105" s="1" t="str">
        <x:v>两年均有</x:v>
      </x:c>
      <x:c r="E105" s="12" t="n">
        <x:v>2249</x:v>
      </x:c>
      <x:c r="F105" s="12" t="n">
        <x:v>41701</x:v>
      </x:c>
      <x:c r="G105" s="16" t="n">
        <x:v>0.0539</x:v>
      </x:c>
      <x:c r="H105" s="16" t="n">
        <x:f>IF(F105&gt;0,E105/F105,"")</x:f>
        <x:v>0.05393156039423515</x:v>
      </x:c>
      <x:c r="I105" s="36" t="n">
        <x:v>16665.17</x:v>
      </x:c>
      <x:c r="J105" s="12" t="n">
        <x:v>76</x:v>
      </x:c>
      <x:c r="K105" s="12" t="n">
        <x:v>1741</x:v>
      </x:c>
      <x:c r="L105" s="16" t="n">
        <x:v>0.0704</x:v>
      </x:c>
      <x:c r="M105" s="16" t="n">
        <x:f>IF(K105&gt;0,J105/K105,"")</x:f>
        <x:v>0.043653072946582425</x:v>
      </x:c>
      <x:c r="N105" s="36" t="n">
        <x:v>522.84</x:v>
      </x:c>
      <x:c r="O105" s="19" t="n">
        <x:f>J105-E105</x:f>
        <x:v>-2173</x:v>
      </x:c>
      <x:c r="P105" s="19" t="n">
        <x:f>K105-F105</x:f>
        <x:v>-39960</x:v>
      </x:c>
      <x:c r="Q105" s="20" t="n">
        <x:f>IF(AND(F105&gt;0,K105&gt;0),(M105-H105)*100,"")</x:f>
        <x:v>-1.0278487447652722</x:v>
      </x:c>
      <x:c r="R105" s="12" t="n">
        <x:v>74</x:v>
      </x:c>
      <x:c r="S105" s="12" t="n">
        <x:v>6</x:v>
      </x:c>
    </x:row>
    <x:row r="106" ht="22" customHeight="1">
      <x:c r="A106" s="1" t="str">
        <x:v>B0DBZCKXT4</x:v>
      </x:c>
      <x:c r="B106" s="1" t="str">
        <x:v>园艺设备与工具</x:v>
      </x:c>
      <x:c r="C106" s="1" t="str">
        <x:v>HYCHIKA Troncarami Cesoie Potatura 74CM, Forbici da Potatura, Cesoia Giardinaggio, Forbice Potatura Professionali, Taglia Rami, Tagliano Cuts Ø50 mm max., Attrezzi Giardinaggio Forbici da Giardino</x:v>
      </x:c>
      <x:c r="D106" s="1" t="str">
        <x:v>两年均有</x:v>
      </x:c>
      <x:c r="E106" s="12" t="n">
        <x:v>211</x:v>
      </x:c>
      <x:c r="F106" s="12" t="n">
        <x:v>6435</x:v>
      </x:c>
      <x:c r="G106" s="16" t="n">
        <x:v>0.0323</x:v>
      </x:c>
      <x:c r="H106" s="16" t="n">
        <x:f>IF(F106&gt;0,E106/F106,"")</x:f>
        <x:v>0.03278943278943279</x:v>
      </x:c>
      <x:c r="I106" s="36" t="n">
        <x:v>6816.16</x:v>
      </x:c>
      <x:c r="J106" s="12" t="n">
        <x:v>76</x:v>
      </x:c>
      <x:c r="K106" s="12" t="n">
        <x:v>3106</x:v>
      </x:c>
      <x:c r="L106" s="16" t="n">
        <x:v>0.0621</x:v>
      </x:c>
      <x:c r="M106" s="16" t="n">
        <x:f>IF(K106&gt;0,J106/K106,"")</x:f>
        <x:v>0.02446877012234385</x:v>
      </x:c>
      <x:c r="N106" s="36" t="n">
        <x:v>2405.59</x:v>
      </x:c>
      <x:c r="O106" s="19" t="n">
        <x:f>J106-E106</x:f>
        <x:v>-135</x:v>
      </x:c>
      <x:c r="P106" s="19" t="n">
        <x:f>K106-F106</x:f>
        <x:v>-3329</x:v>
      </x:c>
      <x:c r="Q106" s="20" t="n">
        <x:f>IF(AND(F106&gt;0,K106&gt;0),(M106-H106)*100,"")</x:f>
        <x:v>-0.8320662667088939</x:v>
      </x:c>
      <x:c r="R106" s="12" t="n">
        <x:v>9</x:v>
      </x:c>
      <x:c r="S106" s="12" t="n">
        <x:v>5</x:v>
      </x:c>
    </x:row>
    <x:row r="107" ht="22" customHeight="1">
      <x:c r="A107" s="1" t="str">
        <x:v>B0CGR1Q6BJ</x:v>
      </x:c>
      <x:c r="B107" s="1" t="str">
        <x:v>手动工具与套装</x:v>
      </x:c>
      <x:c r="C107" s="1" t="str">
        <x:v>SORAKO Llave de carraca 15mm, Herramientas de Reparación Del Hogar</x:v>
      </x:c>
      <x:c r="D107" s="1" t="str">
        <x:v>两年均有</x:v>
      </x:c>
      <x:c r="E107" s="12" t="n">
        <x:v>1072</x:v>
      </x:c>
      <x:c r="F107" s="12" t="n">
        <x:v>3908</x:v>
      </x:c>
      <x:c r="G107" s="16" t="n">
        <x:v>0.2723</x:v>
      </x:c>
      <x:c r="H107" s="16" t="n">
        <x:f>IF(F107&gt;0,E107/F107,"")</x:f>
        <x:v>0.2743091095189355</x:v>
      </x:c>
      <x:c r="I107" s="36" t="n">
        <x:v>5389.81</x:v>
      </x:c>
      <x:c r="J107" s="12" t="n">
        <x:v>61</x:v>
      </x:c>
      <x:c r="K107" s="12" t="n">
        <x:v>865</x:v>
      </x:c>
      <x:c r="L107" s="16" t="n">
        <x:v>0.1542</x:v>
      </x:c>
      <x:c r="M107" s="16" t="n">
        <x:f>IF(K107&gt;0,J107/K107,"")</x:f>
        <x:v>0.07052023121387284</x:v>
      </x:c>
      <x:c r="N107" s="36" t="n">
        <x:v>306.73</x:v>
      </x:c>
      <x:c r="O107" s="19" t="n">
        <x:f>J107-E107</x:f>
        <x:v>-1011</x:v>
      </x:c>
      <x:c r="P107" s="19" t="n">
        <x:f>K107-F107</x:f>
        <x:v>-3043</x:v>
      </x:c>
      <x:c r="Q107" s="20" t="n">
        <x:f>IF(AND(F107&gt;0,K107&gt;0),(M107-H107)*100,"")</x:f>
        <x:v>-20.378887830506265</x:v>
      </x:c>
      <x:c r="R107" s="12" t="n">
        <x:v>31</x:v>
      </x:c>
      <x:c r="S107" s="12" t="n">
        <x:v>2</x:v>
      </x:c>
    </x:row>
    <x:row r="108" ht="22" customHeight="1">
      <x:c r="A108" s="1" t="str">
        <x:v>B0FFLJ2HMW</x:v>
      </x:c>
      <x:c r="B108" s="1" t="str">
        <x:v>电动螺丝刀</x:v>
      </x:c>
      <x:c r="C108" s="1" t="str">
        <x:v>HYCHIKA Juego de destornilladores eléctricos de precisión de precisión 62 en 1,juego de destornilladores eléctricos,herramientas de precisión para electrónica con batería,para teléfono móvil</x:v>
      </x:c>
      <x:c r="D108" s="1" t="str">
        <x:v>两年均有</x:v>
      </x:c>
      <x:c r="E108" s="12" t="n">
        <x:v>220</x:v>
      </x:c>
      <x:c r="F108" s="12" t="n">
        <x:v>6102</x:v>
      </x:c>
      <x:c r="G108" s="16" t="n">
        <x:v>0.0324</x:v>
      </x:c>
      <x:c r="H108" s="16" t="n">
        <x:f>IF(F108&gt;0,E108/F108,"")</x:f>
        <x:v>0.03605375286791216</x:v>
      </x:c>
      <x:c r="I108" s="36" t="n">
        <x:v>6287.99</x:v>
      </x:c>
      <x:c r="J108" s="12" t="n">
        <x:v>56</x:v>
      </x:c>
      <x:c r="K108" s="12" t="n">
        <x:v>2635</x:v>
      </x:c>
      <x:c r="L108" s="16" t="n">
        <x:v>0.0262</x:v>
      </x:c>
      <x:c r="M108" s="16" t="n">
        <x:f>IF(K108&gt;0,J108/K108,"")</x:f>
        <x:v>0.02125237191650854</x:v>
      </x:c>
      <x:c r="N108" s="36" t="n">
        <x:v>1705.73</x:v>
      </x:c>
      <x:c r="O108" s="19" t="n">
        <x:f>J108-E108</x:f>
        <x:v>-164</x:v>
      </x:c>
      <x:c r="P108" s="19" t="n">
        <x:f>K108-F108</x:f>
        <x:v>-3467</x:v>
      </x:c>
      <x:c r="Q108" s="20" t="n">
        <x:f>IF(AND(F108&gt;0,K108&gt;0),(M108-H108)*100,"")</x:f>
        <x:v>-1.4801380951403622</x:v>
      </x:c>
      <x:c r="R108" s="12" t="n">
        <x:v>2</x:v>
      </x:c>
      <x:c r="S108" s="12" t="n">
        <x:v>11</x:v>
      </x:c>
    </x:row>
    <x:row r="109" ht="22" customHeight="1">
      <x:c r="A109" s="1" t="str">
        <x:v>B0FFGHJ575</x:v>
      </x:c>
      <x:c r="B109" s="1" t="str">
        <x:v>手动工具与套装</x:v>
      </x:c>
      <x:c r="C109" s="1" t="str">
        <x:v>HYCHIKA Set di cacciaviti a cricchetto 24 in 1 – Mini chiave a cricchetto con manico reversibile ad alta coppia, set di punte strette per cacciavite offset ad angolo retto</x:v>
      </x:c>
      <x:c r="D109" s="1" t="str">
        <x:v>两年均有</x:v>
      </x:c>
      <x:c r="E109" s="12" t="n">
        <x:v>283</x:v>
      </x:c>
      <x:c r="F109" s="12" t="n">
        <x:v>7506</x:v>
      </x:c>
      <x:c r="G109" s="16" t="n">
        <x:v>0.0268</x:v>
      </x:c>
      <x:c r="H109" s="16" t="n">
        <x:f>IF(F109&gt;0,E109/F109,"")</x:f>
        <x:v>0.037703170796695974</x:v>
      </x:c>
      <x:c r="I109" s="36" t="n">
        <x:v>4358.22</x:v>
      </x:c>
      <x:c r="J109" s="12" t="n">
        <x:v>55</x:v>
      </x:c>
      <x:c r="K109" s="12" t="n">
        <x:v>2553</x:v>
      </x:c>
      <x:c r="L109" s="16" t="n">
        <x:v>0.043</x:v>
      </x:c>
      <x:c r="M109" s="16" t="n">
        <x:f>IF(K109&gt;0,J109/K109,"")</x:f>
        <x:v>0.02154328241284763</x:v>
      </x:c>
      <x:c r="N109" s="36" t="n">
        <x:v>900.56</x:v>
      </x:c>
      <x:c r="O109" s="19" t="n">
        <x:f>J109-E109</x:f>
        <x:v>-228</x:v>
      </x:c>
      <x:c r="P109" s="19" t="n">
        <x:f>K109-F109</x:f>
        <x:v>-4953</x:v>
      </x:c>
      <x:c r="Q109" s="20" t="n">
        <x:f>IF(AND(F109&gt;0,K109&gt;0),(M109-H109)*100,"")</x:f>
        <x:v>-1.6159888383848342</x:v>
      </x:c>
      <x:c r="R109" s="12" t="n">
        <x:v>2</x:v>
      </x:c>
      <x:c r="S109" s="12" t="n">
        <x:v>5</x:v>
      </x:c>
    </x:row>
    <x:row r="110" ht="22" customHeight="1">
      <x:c r="A110" s="1" t="str">
        <x:v>B0DL2T638V</x:v>
      </x:c>
      <x:c r="B110" s="1" t="str">
        <x:v>电钻与冲击工具</x:v>
      </x:c>
      <x:c r="C110" s="1" t="str">
        <x:v>HYCHIKA Taladro Percutor a Batería 18 V, Taladro Inalámbrico con Batería de 2,0 AH, Taladro de Impacto máx 45 Nm, 2 velocidades, Par 21+3, con 55 Accesorios, con luz de trabajo LED</x:v>
      </x:c>
      <x:c r="D110" s="1" t="str">
        <x:v>两年均有</x:v>
      </x:c>
      <x:c r="E110" s="12" t="n">
        <x:v>115</x:v>
      </x:c>
      <x:c r="F110" s="12" t="n">
        <x:v>22516</x:v>
      </x:c>
      <x:c r="G110" s="16" t="n">
        <x:v>0.0051</x:v>
      </x:c>
      <x:c r="H110" s="16" t="n">
        <x:f>IF(F110&gt;0,E110/F110,"")</x:f>
        <x:v>0.005107479125954877</x:v>
      </x:c>
      <x:c r="I110" s="36" t="n">
        <x:v>7045.99</x:v>
      </x:c>
      <x:c r="J110" s="12" t="n">
        <x:v>47</x:v>
      </x:c>
      <x:c r="K110" s="12" t="n">
        <x:v>7380</x:v>
      </x:c>
      <x:c r="L110" s="16" t="n">
        <x:v>0.0136</x:v>
      </x:c>
      <x:c r="M110" s="16" t="n">
        <x:f>IF(K110&gt;0,J110/K110,"")</x:f>
        <x:v>0.006368563685636856</x:v>
      </x:c>
      <x:c r="N110" s="36" t="n">
        <x:v>2998.06</x:v>
      </x:c>
      <x:c r="O110" s="19" t="n">
        <x:f>J110-E110</x:f>
        <x:v>-68</x:v>
      </x:c>
      <x:c r="P110" s="19" t="n">
        <x:f>K110-F110</x:f>
        <x:v>-15136</x:v>
      </x:c>
      <x:c r="Q110" s="20" t="n">
        <x:f>IF(AND(F110&gt;0,K110&gt;0),(M110-H110)*100,"")</x:f>
        <x:v>0.12610845596819795</x:v>
      </x:c>
      <x:c r="R110" s="12" t="n">
        <x:v>18</x:v>
      </x:c>
      <x:c r="S110" s="12" t="n">
        <x:v>9</x:v>
      </x:c>
    </x:row>
    <x:row r="111" ht="22" customHeight="1">
      <x:c r="A111" s="1" t="str">
        <x:v>B0GDXLN9C3</x:v>
      </x:c>
      <x:c r="B111" s="1" t="str">
        <x:v>电动螺丝刀</x:v>
      </x:c>
      <x:c r="C111" s="1" t="str">
        <x:v>HYCHIKA Destornillador Electrico, 6 N m Atornillador Electrico con Pantalla LCD, 7 Configuraciones de Torque, Batería de 2200 mAh, Luz LED Adecuado Para Reparaciones de Muebles y Del Hogar</x:v>
      </x:c>
      <x:c r="D111" s="1" t="str">
        <x:v>仅2026</x:v>
      </x:c>
      <x:c r="E111" s="12" t="n">
        <x:v>0</x:v>
      </x:c>
      <x:c r="F111" s="12" t="n">
        <x:v>0</x:v>
      </x:c>
      <x:c r="G111" s="16"/>
      <x:c r="H111" s="16" t="str">
        <x:f>IF(F111&gt;0,E111/F111,"")</x:f>
      </x:c>
      <x:c r="I111" s="36" t="n">
        <x:v>0</x:v>
      </x:c>
      <x:c r="J111" s="12" t="n">
        <x:v>47</x:v>
      </x:c>
      <x:c r="K111" s="12" t="n">
        <x:v>4355</x:v>
      </x:c>
      <x:c r="L111" s="16" t="n">
        <x:v>0.0256</x:v>
      </x:c>
      <x:c r="M111" s="16" t="n">
        <x:f>IF(K111&gt;0,J111/K111,"")</x:f>
        <x:v>0.01079219288174512</x:v>
      </x:c>
      <x:c r="N111" s="36" t="n">
        <x:v>2069.82</x:v>
      </x:c>
      <x:c r="O111" s="19" t="n">
        <x:f>J111-E111</x:f>
        <x:v>47</x:v>
      </x:c>
      <x:c r="P111" s="19" t="n">
        <x:f>K111-F111</x:f>
        <x:v>4355</x:v>
      </x:c>
      <x:c r="Q111" s="20" t="str">
        <x:f>IF(AND(F111&gt;0,K111&gt;0),(M111-H111)*100,"")</x:f>
      </x:c>
      <x:c r="R111" s="12" t="n">
        <x:v>0</x:v>
      </x:c>
      <x:c r="S111" s="12" t="n">
        <x:v>2</x:v>
      </x:c>
    </x:row>
    <x:row r="112" ht="22" customHeight="1">
      <x:c r="A112" s="1" t="str">
        <x:v>B0GXJMMG49</x:v>
      </x:c>
      <x:c r="B112" s="1" t="str">
        <x:v>园艺设备与工具</x:v>
      </x:c>
      <x:c r="C112" s="1" t="str">
        <x:v>HYCHIKA forbici potatura a batteria.Due batterie ricaricabili da 1,5 Ah.</x:v>
      </x:c>
      <x:c r="D112" s="1" t="str">
        <x:v>仅2026</x:v>
      </x:c>
      <x:c r="E112" s="12" t="n">
        <x:v>0</x:v>
      </x:c>
      <x:c r="F112" s="12" t="n">
        <x:v>0</x:v>
      </x:c>
      <x:c r="G112" s="16"/>
      <x:c r="H112" s="16" t="str">
        <x:f>IF(F112&gt;0,E112/F112,"")</x:f>
      </x:c>
      <x:c r="I112" s="36" t="n">
        <x:v>0</x:v>
      </x:c>
      <x:c r="J112" s="12" t="n">
        <x:v>43</x:v>
      </x:c>
      <x:c r="K112" s="12" t="n">
        <x:v>1764</x:v>
      </x:c>
      <x:c r="L112" s="16" t="n">
        <x:v>0.0211</x:v>
      </x:c>
      <x:c r="M112" s="16" t="n">
        <x:f>IF(K112&gt;0,J112/K112,"")</x:f>
        <x:v>0.024376417233560092</x:v>
      </x:c>
      <x:c r="N112" s="36" t="n">
        <x:v>2233.48</x:v>
      </x:c>
      <x:c r="O112" s="19" t="n">
        <x:f>J112-E112</x:f>
        <x:v>43</x:v>
      </x:c>
      <x:c r="P112" s="19" t="n">
        <x:f>K112-F112</x:f>
        <x:v>1764</x:v>
      </x:c>
      <x:c r="Q112" s="20" t="str">
        <x:f>IF(AND(F112&gt;0,K112&gt;0),(M112-H112)*100,"")</x:f>
      </x:c>
      <x:c r="R112" s="12" t="n">
        <x:v>0</x:v>
      </x:c>
      <x:c r="S112" s="12" t="n">
        <x:v>1</x:v>
      </x:c>
    </x:row>
    <x:row r="113" ht="22" customHeight="1">
      <x:c r="A113" s="1" t="str">
        <x:v>B0BRCXXMMG</x:v>
      </x:c>
      <x:c r="B113" s="1" t="str">
        <x:v>打磨耗材</x:v>
      </x:c>
      <x:c r="C113" s="1" t="str">
        <x:v>HYCHIKA Fächerschleifer 125 mm Professional gerade Fächerschleifscheiben Set 10 St 125 x 22,23 mm in Profi Qualität, Fächerscheiben, Max 12200 RPM für Edelstahl, INOX, Stahl, Körnung P120</x:v>
      </x:c>
      <x:c r="D113" s="1" t="str">
        <x:v>两年均有</x:v>
      </x:c>
      <x:c r="E113" s="12" t="n">
        <x:v>0</x:v>
      </x:c>
      <x:c r="F113" s="12" t="n">
        <x:v>0</x:v>
      </x:c>
      <x:c r="G113" s="16" t="n">
        <x:v>0</x:v>
      </x:c>
      <x:c r="H113" s="16" t="str">
        <x:f>IF(F113&gt;0,E113/F113,"")</x:f>
      </x:c>
      <x:c r="I113" s="36" t="n">
        <x:v>0</x:v>
      </x:c>
      <x:c r="J113" s="12" t="n">
        <x:v>38</x:v>
      </x:c>
      <x:c r="K113" s="12" t="n">
        <x:v>775</x:v>
      </x:c>
      <x:c r="L113" s="16" t="n">
        <x:v>0.095</x:v>
      </x:c>
      <x:c r="M113" s="16" t="n">
        <x:f>IF(K113&gt;0,J113/K113,"")</x:f>
        <x:v>0.04903225806451613</x:v>
      </x:c>
      <x:c r="N113" s="36" t="n">
        <x:v>450.82</x:v>
      </x:c>
      <x:c r="O113" s="19" t="n">
        <x:f>J113-E113</x:f>
        <x:v>38</x:v>
      </x:c>
      <x:c r="P113" s="19" t="n">
        <x:f>K113-F113</x:f>
        <x:v>775</x:v>
      </x:c>
      <x:c r="Q113" s="20" t="str">
        <x:f>IF(AND(F113&gt;0,K113&gt;0),(M113-H113)*100,"")</x:f>
      </x:c>
      <x:c r="R113" s="12" t="n">
        <x:v>0</x:v>
      </x:c>
      <x:c r="S113" s="12" t="n">
        <x:v>0</x:v>
      </x:c>
    </x:row>
    <x:row r="114" ht="22" customHeight="1">
      <x:c r="A114" s="1" t="str">
        <x:v>B0GGR91VFZ</x:v>
      </x:c>
      <x:c r="B114" s="1" t="str">
        <x:v>手动工具与套装</x:v>
      </x:c>
      <x:c r="C114" s="1" t="str">
        <x:v>HYCHIKA Tornillo de Banco 100mm(4 pulgadas), 360 ° Se Puede Girar, Tornillo de Banco de Trabajo de Hierro Fundido, Apto para el Trabajo con Madera, el Mecanizado de Metales, el Pulido y el Taladrado</x:v>
      </x:c>
      <x:c r="D114" s="1" t="str">
        <x:v>仅2026</x:v>
      </x:c>
      <x:c r="E114" s="12" t="n">
        <x:v>0</x:v>
      </x:c>
      <x:c r="F114" s="12" t="n">
        <x:v>0</x:v>
      </x:c>
      <x:c r="G114" s="16"/>
      <x:c r="H114" s="16" t="str">
        <x:f>IF(F114&gt;0,E114/F114,"")</x:f>
      </x:c>
      <x:c r="I114" s="36" t="n">
        <x:v>0</x:v>
      </x:c>
      <x:c r="J114" s="12" t="n">
        <x:v>34</x:v>
      </x:c>
      <x:c r="K114" s="12" t="n">
        <x:v>880</x:v>
      </x:c>
      <x:c r="L114" s="16" t="n">
        <x:v>0.025</x:v>
      </x:c>
      <x:c r="M114" s="16" t="n">
        <x:f>IF(K114&gt;0,J114/K114,"")</x:f>
        <x:v>0.038636363636363635</x:v>
      </x:c>
      <x:c r="N114" s="36" t="n">
        <x:v>979.45</x:v>
      </x:c>
      <x:c r="O114" s="19" t="n">
        <x:f>J114-E114</x:f>
        <x:v>34</x:v>
      </x:c>
      <x:c r="P114" s="19" t="n">
        <x:f>K114-F114</x:f>
        <x:v>880</x:v>
      </x:c>
      <x:c r="Q114" s="20" t="str">
        <x:f>IF(AND(F114&gt;0,K114&gt;0),(M114-H114)*100,"")</x:f>
      </x:c>
      <x:c r="R114" s="12" t="n">
        <x:v>0</x:v>
      </x:c>
      <x:c r="S114" s="12" t="n">
        <x:v>2</x:v>
      </x:c>
    </x:row>
    <x:row r="115" ht="22" customHeight="1">
      <x:c r="A115" s="1" t="str">
        <x:v>B0DWFN2T1J</x:v>
      </x:c>
      <x:c r="B115" s="1" t="str">
        <x:v>手动工具与套装</x:v>
      </x:c>
      <x:c r="C115" s="1" t="str">
        <x:v>HYCHIKA Rohrschneider 3–50 mm / 0.1–2" mit Entgrater – Vielseitiger Rohrschneider für Alle Gängigen Metalle wie Kupfer, Aluminium Sowie für Verbundrohre</x:v>
      </x:c>
      <x:c r="D115" s="1" t="str">
        <x:v>两年均有</x:v>
      </x:c>
      <x:c r="E115" s="12" t="n">
        <x:v>0</x:v>
      </x:c>
      <x:c r="F115" s="12" t="n">
        <x:v>1</x:v>
      </x:c>
      <x:c r="G115" s="16" t="n">
        <x:v>0</x:v>
      </x:c>
      <x:c r="H115" s="16" t="n">
        <x:f>IF(F115&gt;0,E115/F115,"")</x:f>
        <x:v>0</x:v>
      </x:c>
      <x:c r="I115" s="36" t="n">
        <x:v>0</x:v>
      </x:c>
      <x:c r="J115" s="12" t="n">
        <x:v>31</x:v>
      </x:c>
      <x:c r="K115" s="12" t="n">
        <x:v>414</x:v>
      </x:c>
      <x:c r="L115" s="16" t="n">
        <x:v>0.1024</x:v>
      </x:c>
      <x:c r="M115" s="16" t="n">
        <x:f>IF(K115&gt;0,J115/K115,"")</x:f>
        <x:v>0.0748792270531401</x:v>
      </x:c>
      <x:c r="N115" s="36" t="n">
        <x:v>612.83</x:v>
      </x:c>
      <x:c r="O115" s="19" t="n">
        <x:f>J115-E115</x:f>
        <x:v>31</x:v>
      </x:c>
      <x:c r="P115" s="19" t="n">
        <x:f>K115-F115</x:f>
        <x:v>413</x:v>
      </x:c>
      <x:c r="Q115" s="20" t="n">
        <x:f>IF(AND(F115&gt;0,K115&gt;0),(M115-H115)*100,"")</x:f>
        <x:v>7.487922705314009</x:v>
      </x:c>
      <x:c r="R115" s="12" t="n">
        <x:v>0</x:v>
      </x:c>
      <x:c r="S115" s="12" t="n">
        <x:v>2</x:v>
      </x:c>
    </x:row>
    <x:row r="116" ht="22" customHeight="1">
      <x:c r="A116" s="1" t="str">
        <x:v>B0BZPLBTM8</x:v>
      </x:c>
      <x:c r="B116" s="1" t="str">
        <x:v>手动工具与套装</x:v>
      </x:c>
      <x:c r="C116" s="1" t="str">
        <x:v>SORAKO Ratschenschlüssel Set, Ringschlüssel Set Schraubenschlüssel set 8-19 mm, 12Pcs Maulschlüssel Ringmaulschlüssel für Fahrradreparatur Autoreparatur</x:v>
      </x:c>
      <x:c r="D116" s="1" t="str">
        <x:v>两年均有</x:v>
      </x:c>
      <x:c r="E116" s="12" t="n">
        <x:v>759</x:v>
      </x:c>
      <x:c r="F116" s="12" t="n">
        <x:v>13506</x:v>
      </x:c>
      <x:c r="G116" s="16" t="n">
        <x:v>0.0254</x:v>
      </x:c>
      <x:c r="H116" s="16" t="n">
        <x:f>IF(F116&gt;0,E116/F116,"")</x:f>
        <x:v>0.05619724566859174</x:v>
      </x:c>
      <x:c r="I116" s="36" t="n">
        <x:v>20832.74</x:v>
      </x:c>
      <x:c r="J116" s="12" t="n">
        <x:v>25</x:v>
      </x:c>
      <x:c r="K116" s="12" t="n">
        <x:v>1773</x:v>
      </x:c>
      <x:c r="L116" s="16" t="n">
        <x:v>0.0096</x:v>
      </x:c>
      <x:c r="M116" s="16" t="n">
        <x:f>IF(K116&gt;0,J116/K116,"")</x:f>
        <x:v>0.01410039481105471</x:v>
      </x:c>
      <x:c r="N116" s="36" t="n">
        <x:v>742.32</x:v>
      </x:c>
      <x:c r="O116" s="19" t="n">
        <x:f>J116-E116</x:f>
        <x:v>-734</x:v>
      </x:c>
      <x:c r="P116" s="19" t="n">
        <x:f>K116-F116</x:f>
        <x:v>-11733</x:v>
      </x:c>
      <x:c r="Q116" s="20" t="n">
        <x:f>IF(AND(F116&gt;0,K116&gt;0),(M116-H116)*100,"")</x:f>
        <x:v>-4.209685085753702</x:v>
      </x:c>
      <x:c r="R116" s="12" t="n">
        <x:v>13</x:v>
      </x:c>
      <x:c r="S116" s="12" t="n">
        <x:v>0</x:v>
      </x:c>
    </x:row>
    <x:row r="117" ht="22" customHeight="1">
      <x:c r="A117" s="1" t="str">
        <x:v>B08H1YBG3P</x:v>
      </x:c>
      <x:c r="B117" s="1" t="str">
        <x:v>电锯与电动切割</x:v>
      </x:c>
      <x:c r="C117" s="1" t="str">
        <x:v>SORAKO sierra sable electrica, 18V, con batería de 4,0 Ah ，sierra recíproca de velocidad variable de 0-3000 SPM，cargador,2 cuchillas，ideal para cortar madera y metal, podar</x:v>
      </x:c>
      <x:c r="D117" s="1" t="str">
        <x:v>两年均有</x:v>
      </x:c>
      <x:c r="E117" s="12" t="n">
        <x:v>82</x:v>
      </x:c>
      <x:c r="F117" s="12" t="n">
        <x:v>4146</x:v>
      </x:c>
      <x:c r="G117" s="16" t="n">
        <x:v>0.0196</x:v>
      </x:c>
      <x:c r="H117" s="16" t="n">
        <x:f>IF(F117&gt;0,E117/F117,"")</x:f>
        <x:v>0.019778099372889532</x:v>
      </x:c>
      <x:c r="I117" s="36" t="n">
        <x:v>4590.51</x:v>
      </x:c>
      <x:c r="J117" s="12" t="n">
        <x:v>25</x:v>
      </x:c>
      <x:c r="K117" s="12" t="n">
        <x:v>950</x:v>
      </x:c>
      <x:c r="L117" s="16" t="n">
        <x:v>0.0642</x:v>
      </x:c>
      <x:c r="M117" s="16" t="n">
        <x:f>IF(K117&gt;0,J117/K117,"")</x:f>
        <x:v>0.02631578947368421</x:v>
      </x:c>
      <x:c r="N117" s="36" t="n">
        <x:v>1476.63</x:v>
      </x:c>
      <x:c r="O117" s="19" t="n">
        <x:f>J117-E117</x:f>
        <x:v>-57</x:v>
      </x:c>
      <x:c r="P117" s="19" t="n">
        <x:f>K117-F117</x:f>
        <x:v>-3196</x:v>
      </x:c>
      <x:c r="Q117" s="20" t="n">
        <x:f>IF(AND(F117&gt;0,K117&gt;0),(M117-H117)*100,"")</x:f>
        <x:v>0.6537690100794677</x:v>
      </x:c>
      <x:c r="R117" s="12" t="n">
        <x:v>14</x:v>
      </x:c>
      <x:c r="S117" s="12" t="n">
        <x:v>5</x:v>
      </x:c>
    </x:row>
    <x:row r="118" ht="22" customHeight="1">
      <x:c r="A118" s="1" t="str">
        <x:v>B09959MJ2C</x:v>
      </x:c>
      <x:c r="B118" s="1" t="str">
        <x:v>园艺设备与工具</x:v>
      </x:c>
      <x:c r="C118" s="1" t="str">
        <x:v>HYCHIKA Motosierra Bateria, 8'' Brushless Motosierra Eléctrica con 4.0Ah Batería, 2 Cadenas, Motosierra Bateria para Cortar Madera, Podar Ramas</x:v>
      </x:c>
      <x:c r="D118" s="1" t="str">
        <x:v>两年均有</x:v>
      </x:c>
      <x:c r="E118" s="12" t="n">
        <x:v>92</x:v>
      </x:c>
      <x:c r="F118" s="12" t="n">
        <x:v>12648</x:v>
      </x:c>
      <x:c r="G118" s="16" t="n">
        <x:v>0.0045</x:v>
      </x:c>
      <x:c r="H118" s="16" t="n">
        <x:f>IF(F118&gt;0,E118/F118,"")</x:f>
        <x:v>0.007273877292852625</x:v>
      </x:c>
      <x:c r="I118" s="36" t="n">
        <x:v>10399.36</x:v>
      </x:c>
      <x:c r="J118" s="12" t="n">
        <x:v>21</x:v>
      </x:c>
      <x:c r="K118" s="12" t="n">
        <x:v>4096</x:v>
      </x:c>
      <x:c r="L118" s="16" t="n">
        <x:v>0.0109</x:v>
      </x:c>
      <x:c r="M118" s="16" t="n">
        <x:f>IF(K118&gt;0,J118/K118,"")</x:f>
        <x:v>0.005126953125</x:v>
      </x:c>
      <x:c r="N118" s="36" t="n">
        <x:v>2547.38</x:v>
      </x:c>
      <x:c r="O118" s="19" t="n">
        <x:f>J118-E118</x:f>
        <x:v>-71</x:v>
      </x:c>
      <x:c r="P118" s="19" t="n">
        <x:f>K118-F118</x:f>
        <x:v>-8552</x:v>
      </x:c>
      <x:c r="Q118" s="20" t="n">
        <x:f>IF(AND(F118&gt;0,K118&gt;0),(M118-H118)*100,"")</x:f>
        <x:v>-0.21469241678526246</x:v>
      </x:c>
      <x:c r="R118" s="12" t="n">
        <x:v>15</x:v>
      </x:c>
      <x:c r="S118" s="12" t="n">
        <x:v>9</x:v>
      </x:c>
    </x:row>
    <x:row r="119" ht="22" customHeight="1">
      <x:c r="A119" s="1" t="str">
        <x:v>B0CF8F5N5X</x:v>
      </x:c>
      <x:c r="B119" s="1" t="str">
        <x:v>电钻与冲击工具</x:v>
      </x:c>
      <x:c r="C119" s="1" t="str">
        <x:v>HYCHIKA Professional Akku-Drehschlagschrauber 18V (Nur Schlagschrauber)</x:v>
      </x:c>
      <x:c r="D119" s="1" t="str">
        <x:v>两年均有</x:v>
      </x:c>
      <x:c r="E119" s="12" t="n">
        <x:v>15</x:v>
      </x:c>
      <x:c r="F119" s="12" t="n">
        <x:v>5468</x:v>
      </x:c>
      <x:c r="G119" s="16" t="n">
        <x:v>0.0027</x:v>
      </x:c>
      <x:c r="H119" s="16" t="n">
        <x:f>IF(F119&gt;0,E119/F119,"")</x:f>
        <x:v>0.0027432333577176297</x:v>
      </x:c>
      <x:c r="I119" s="36" t="n">
        <x:v>715.37</x:v>
      </x:c>
      <x:c r="J119" s="12" t="n">
        <x:v>16</x:v>
      </x:c>
      <x:c r="K119" s="12" t="n">
        <x:v>2136</x:v>
      </x:c>
      <x:c r="L119" s="16" t="n">
        <x:v>0.0089</x:v>
      </x:c>
      <x:c r="M119" s="16" t="n">
        <x:f>IF(K119&gt;0,J119/K119,"")</x:f>
        <x:v>0.00749063670411985</x:v>
      </x:c>
      <x:c r="N119" s="36" t="n">
        <x:v>779.34</x:v>
      </x:c>
      <x:c r="O119" s="19" t="n">
        <x:f>J119-E119</x:f>
        <x:v>1</x:v>
      </x:c>
      <x:c r="P119" s="19" t="n">
        <x:f>K119-F119</x:f>
        <x:v>-3332</x:v>
      </x:c>
      <x:c r="Q119" s="20" t="n">
        <x:f>IF(AND(F119&gt;0,K119&gt;0),(M119-H119)*100,"")</x:f>
        <x:v>0.47474033464022203</x:v>
      </x:c>
      <x:c r="R119" s="12" t="n">
        <x:v>9</x:v>
      </x:c>
      <x:c r="S119" s="12" t="n">
        <x:v>0</x:v>
      </x:c>
    </x:row>
    <x:row r="120" ht="22" customHeight="1">
      <x:c r="A120" s="1" t="str">
        <x:v>B08DHD3QQ2</x:v>
      </x:c>
      <x:c r="B120" s="1" t="str">
        <x:v>激光水平仪与测距</x:v>
      </x:c>
      <x:c r="C120" s="1" t="str">
        <x:v>HYCHIKA Nivel Láser Verde 45M, USB Carga, Láser Autonivelante, IP54 en Exteriores, 2 Láser Módulo Línea Cruzado Vertical/Horizontal, Soporte Magnético, 360°Rotante</x:v>
      </x:c>
      <x:c r="D120" s="1" t="str">
        <x:v>两年均有</x:v>
      </x:c>
      <x:c r="E120" s="12" t="n">
        <x:v>2230</x:v>
      </x:c>
      <x:c r="F120" s="12" t="n">
        <x:v>50124</x:v>
      </x:c>
      <x:c r="G120" s="16" t="n">
        <x:v>0.0443</x:v>
      </x:c>
      <x:c r="H120" s="16" t="n">
        <x:f>IF(F120&gt;0,E120/F120,"")</x:f>
        <x:v>0.044489665629239485</x:v>
      </x:c>
      <x:c r="I120" s="36" t="n">
        <x:v>67941.64</x:v>
      </x:c>
      <x:c r="J120" s="12" t="n">
        <x:v>12</x:v>
      </x:c>
      <x:c r="K120" s="12" t="n">
        <x:v>1518</x:v>
      </x:c>
      <x:c r="L120" s="16" t="n">
        <x:v>0.0061</x:v>
      </x:c>
      <x:c r="M120" s="16" t="n">
        <x:f>IF(K120&gt;0,J120/K120,"")</x:f>
        <x:v>0.007905138339920948</x:v>
      </x:c>
      <x:c r="N120" s="36" t="n">
        <x:v>375.34</x:v>
      </x:c>
      <x:c r="O120" s="19" t="n">
        <x:f>J120-E120</x:f>
        <x:v>-2218</x:v>
      </x:c>
      <x:c r="P120" s="19" t="n">
        <x:f>K120-F120</x:f>
        <x:v>-48606</x:v>
      </x:c>
      <x:c r="Q120" s="20" t="n">
        <x:f>IF(AND(F120&gt;0,K120&gt;0),(M120-H120)*100,"")</x:f>
        <x:v>-3.658452728931853</x:v>
      </x:c>
      <x:c r="R120" s="12" t="n">
        <x:v>223</x:v>
      </x:c>
      <x:c r="S120" s="12" t="n">
        <x:v>8</x:v>
      </x:c>
    </x:row>
    <x:row r="121" ht="22" customHeight="1">
      <x:c r="A121" s="1" t="str">
        <x:v>B0CQLSJ5JM</x:v>
      </x:c>
      <x:c r="B121" s="1" t="str">
        <x:v>锯片与开孔耗材</x:v>
      </x:c>
      <x:c r="C121" s="1" t="str">
        <x:v>HYCHIKA Seghe a Tazza Bi-Metallica 68mm 40mm, Fresa A Tazza per Legno, Iron Alluminio, Cartongesso, Tubi, Plastica, Pannelli di Fibra</x:v>
      </x:c>
      <x:c r="D121" s="1" t="str">
        <x:v>两年均有</x:v>
      </x:c>
      <x:c r="E121" s="12" t="n">
        <x:v>67</x:v>
      </x:c>
      <x:c r="F121" s="12" t="n">
        <x:v>1075</x:v>
      </x:c>
      <x:c r="G121" s="16" t="n">
        <x:v>0.0389</x:v>
      </x:c>
      <x:c r="H121" s="16" t="n">
        <x:f>IF(F121&gt;0,E121/F121,"")</x:f>
        <x:v>0.062325581395348835</x:v>
      </x:c>
      <x:c r="I121" s="36" t="n">
        <x:v>819.49</x:v>
      </x:c>
      <x:c r="J121" s="12" t="n">
        <x:v>12</x:v>
      </x:c>
      <x:c r="K121" s="12" t="n">
        <x:v>237</x:v>
      </x:c>
      <x:c r="L121" s="16" t="n">
        <x:v>0.1026</x:v>
      </x:c>
      <x:c r="M121" s="16" t="n">
        <x:f>IF(K121&gt;0,J121/K121,"")</x:f>
        <x:v>0.05063291139240506</x:v>
      </x:c>
      <x:c r="N121" s="36" t="n">
        <x:v>142.26</x:v>
      </x:c>
      <x:c r="O121" s="19" t="n">
        <x:f>J121-E121</x:f>
        <x:v>-55</x:v>
      </x:c>
      <x:c r="P121" s="19" t="n">
        <x:f>K121-F121</x:f>
        <x:v>-838</x:v>
      </x:c>
      <x:c r="Q121" s="20" t="n">
        <x:f>IF(AND(F121&gt;0,K121&gt;0),(M121-H121)*100,"")</x:f>
        <x:v>-1.1692670002943772</x:v>
      </x:c>
      <x:c r="R121" s="12" t="n">
        <x:v>5</x:v>
      </x:c>
      <x:c r="S121" s="12" t="n">
        <x:v>0</x:v>
      </x:c>
    </x:row>
    <x:row r="122" ht="22" customHeight="1">
      <x:c r="A122" s="1" t="str">
        <x:v>B0BLXSRMWM</x:v>
      </x:c>
      <x:c r="B122" s="1" t="str">
        <x:v>手动工具与套装</x:v>
      </x:c>
      <x:c r="C122" s="1" t="str">
        <x:v>Werkzeugset für Zuhause, Handwerkzeuge für Reparatur und Wartung Werkzeugkoffer Schrauber Bit Set für Autoreparatur, Garage, Haushalt, Büro, Arbeitsplatz Werkstatt, DIY-Werkzeuge im kompakten Koffer</x:v>
      </x:c>
      <x:c r="D122" s="1" t="str">
        <x:v>两年均有</x:v>
      </x:c>
      <x:c r="E122" s="12" t="n">
        <x:v>25</x:v>
      </x:c>
      <x:c r="F122" s="12" t="n">
        <x:v>1627</x:v>
      </x:c>
      <x:c r="G122" s="16" t="n">
        <x:v>0.0147</x:v>
      </x:c>
      <x:c r="H122" s="16" t="n">
        <x:f>IF(F122&gt;0,E122/F122,"")</x:f>
        <x:v>0.015365703749231715</x:v>
      </x:c>
      <x:c r="I122" s="36" t="n">
        <x:v>851.56</x:v>
      </x:c>
      <x:c r="J122" s="12" t="n">
        <x:v>12</x:v>
      </x:c>
      <x:c r="K122" s="12" t="n">
        <x:v>664</x:v>
      </x:c>
      <x:c r="L122" s="16" t="n">
        <x:v>0.0213</x:v>
      </x:c>
      <x:c r="M122" s="16" t="n">
        <x:f>IF(K122&gt;0,J122/K122,"")</x:f>
        <x:v>0.018072289156626505</x:v>
      </x:c>
      <x:c r="N122" s="36" t="n">
        <x:v>230.44</x:v>
      </x:c>
      <x:c r="O122" s="19" t="n">
        <x:f>J122-E122</x:f>
        <x:v>-13</x:v>
      </x:c>
      <x:c r="P122" s="19" t="n">
        <x:f>K122-F122</x:f>
        <x:v>-963</x:v>
      </x:c>
      <x:c r="Q122" s="20" t="n">
        <x:f>IF(AND(F122&gt;0,K122&gt;0),(M122-H122)*100,"")</x:f>
        <x:v>0.2706585407394791</x:v>
      </x:c>
      <x:c r="R122" s="12" t="n">
        <x:v>2</x:v>
      </x:c>
      <x:c r="S122" s="12" t="n">
        <x:v>0</x:v>
      </x:c>
    </x:row>
    <x:row r="123" ht="22" customHeight="1">
      <x:c r="A123" s="1" t="str">
        <x:v>B099ZT7QC3</x:v>
      </x:c>
      <x:c r="B123" s="1" t="str">
        <x:v>锯片与开孔耗材</x:v>
      </x:c>
      <x:c r="C123" s="1" t="str">
        <x:v>Lame per Sega a Gattuccio 16 PCS, HYCHIKA Lama Per Sega a Sciabola Per il Taglio di Metallo, Legno, Plastica, Con Scatola di Immagazzinaggio</x:v>
      </x:c>
      <x:c r="D123" s="1" t="str">
        <x:v>两年均有</x:v>
      </x:c>
      <x:c r="E123" s="12" t="n">
        <x:v>326</x:v>
      </x:c>
      <x:c r="F123" s="12" t="n">
        <x:v>3983</x:v>
      </x:c>
      <x:c r="G123" s="16" t="n">
        <x:v>0.08</x:v>
      </x:c>
      <x:c r="H123" s="16" t="n">
        <x:f>IF(F123&gt;0,E123/F123,"")</x:f>
        <x:v>0.08184785337685162</x:v>
      </x:c>
      <x:c r="I123" s="36" t="n">
        <x:v>4698.24</x:v>
      </x:c>
      <x:c r="J123" s="12" t="n">
        <x:v>10</x:v>
      </x:c>
      <x:c r="K123" s="12" t="n">
        <x:v>115</x:v>
      </x:c>
      <x:c r="L123" s="16" t="n">
        <x:v>0.1598</x:v>
      </x:c>
      <x:c r="M123" s="16" t="n">
        <x:f>IF(K123&gt;0,J123/K123,"")</x:f>
        <x:v>0.08695652173913043</x:v>
      </x:c>
      <x:c r="N123" s="36" t="n">
        <x:v>143.34</x:v>
      </x:c>
      <x:c r="O123" s="19" t="n">
        <x:f>J123-E123</x:f>
        <x:v>-316</x:v>
      </x:c>
      <x:c r="P123" s="19" t="n">
        <x:f>K123-F123</x:f>
        <x:v>-3868</x:v>
      </x:c>
      <x:c r="Q123" s="20" t="n">
        <x:f>IF(AND(F123&gt;0,K123&gt;0),(M123-H123)*100,"")</x:f>
        <x:v>0.5108668362278814</x:v>
      </x:c>
      <x:c r="R123" s="12" t="n">
        <x:v>6</x:v>
      </x:c>
      <x:c r="S123" s="12" t="n">
        <x:v>0</x:v>
      </x:c>
    </x:row>
    <x:row r="124" ht="22" customHeight="1">
      <x:c r="A124" s="1" t="str">
        <x:v>B0DCNXR6CJ</x:v>
      </x:c>
      <x:c r="B124" s="1" t="str">
        <x:v>园艺设备与工具</x:v>
      </x:c>
      <x:c r="C124" s="1" t="str">
        <x:v>HYCHIKA Tagliasiepi Telescopico 750W, Potatore Telescopico Elettrico, Elettrosega Telescopica, Manico Telescopico da 162 CM a 220 CM, Velocità Catena 11 m/s, per Potatura Alberi Piante Siepi</x:v>
      </x:c>
      <x:c r="D124" s="1" t="str">
        <x:v>两年均有</x:v>
      </x:c>
      <x:c r="E124" s="12" t="n">
        <x:v>9</x:v>
      </x:c>
      <x:c r="F124" s="12" t="n">
        <x:v>1363</x:v>
      </x:c>
      <x:c r="G124" s="16" t="n">
        <x:v>0.0011</x:v>
      </x:c>
      <x:c r="H124" s="16" t="n">
        <x:f>IF(F124&gt;0,E124/F124,"")</x:f>
        <x:v>0.006603081438004402</x:v>
      </x:c>
      <x:c r="I124" s="36" t="n">
        <x:v>630.63</x:v>
      </x:c>
      <x:c r="J124" s="12" t="n">
        <x:v>6</x:v>
      </x:c>
      <x:c r="K124" s="12" t="n">
        <x:v>674</x:v>
      </x:c>
      <x:c r="L124" s="16" t="n">
        <x:v>0.006</x:v>
      </x:c>
      <x:c r="M124" s="16" t="n">
        <x:f>IF(K124&gt;0,J124/K124,"")</x:f>
        <x:v>0.008902077151335312</x:v>
      </x:c>
      <x:c r="N124" s="36" t="n">
        <x:v>415.24</x:v>
      </x:c>
      <x:c r="O124" s="19" t="n">
        <x:f>J124-E124</x:f>
        <x:v>-3</x:v>
      </x:c>
      <x:c r="P124" s="19" t="n">
        <x:f>K124-F124</x:f>
        <x:v>-689</x:v>
      </x:c>
      <x:c r="Q124" s="20" t="n">
        <x:f>IF(AND(F124&gt;0,K124&gt;0),(M124-H124)*100,"")</x:f>
        <x:v>0.22989957133309097</x:v>
      </x:c>
      <x:c r="R124" s="12" t="n">
        <x:v>3</x:v>
      </x:c>
      <x:c r="S124" s="12" t="n">
        <x:v>0</x:v>
      </x:c>
    </x:row>
    <x:row r="125" ht="22" customHeight="1">
      <x:c r="A125" s="1" t="str">
        <x:v>B09CPT3PG3</x:v>
      </x:c>
      <x:c r="B125" s="1" t="str">
        <x:v>锯片与开孔耗材</x:v>
      </x:c>
      <x:c r="C125" s="1" t="str">
        <x:v>HYCHIKA Set di Seghe a Tazza,7 Corone e 5 Corone,Multilama per Legno, Cartongesso, Truciolato Foro</x:v>
      </x:c>
      <x:c r="D125" s="1" t="str">
        <x:v>两年均有</x:v>
      </x:c>
      <x:c r="E125" s="12" t="n">
        <x:v>632</x:v>
      </x:c>
      <x:c r="F125" s="12" t="n">
        <x:v>9893</x:v>
      </x:c>
      <x:c r="G125" s="16" t="n">
        <x:v>0.0584</x:v>
      </x:c>
      <x:c r="H125" s="16" t="n">
        <x:f>IF(F125&gt;0,E125/F125,"")</x:f>
        <x:v>0.06388355402810068</x:v>
      </x:c>
      <x:c r="I125" s="36" t="n">
        <x:v>5350.09</x:v>
      </x:c>
      <x:c r="J125" s="12" t="n">
        <x:v>4</x:v>
      </x:c>
      <x:c r="K125" s="12" t="n">
        <x:v>339</x:v>
      </x:c>
      <x:c r="L125" s="16" t="n">
        <x:v>0.0095</x:v>
      </x:c>
      <x:c r="M125" s="16" t="n">
        <x:f>IF(K125&gt;0,J125/K125,"")</x:f>
        <x:v>0.011799410029498525</x:v>
      </x:c>
      <x:c r="N125" s="36" t="n">
        <x:v>32.83</x:v>
      </x:c>
      <x:c r="O125" s="19" t="n">
        <x:f>J125-E125</x:f>
        <x:v>-628</x:v>
      </x:c>
      <x:c r="P125" s="19" t="n">
        <x:f>K125-F125</x:f>
        <x:v>-9554</x:v>
      </x:c>
      <x:c r="Q125" s="20" t="n">
        <x:f>IF(AND(F125&gt;0,K125&gt;0),(M125-H125)*100,"")</x:f>
        <x:v>-5.2084143998602155</x:v>
      </x:c>
      <x:c r="R125" s="12" t="n">
        <x:v>58</x:v>
      </x:c>
      <x:c r="S125" s="12" t="n">
        <x:v>0</x:v>
      </x:c>
    </x:row>
    <x:row r="126" ht="22" customHeight="1">
      <x:c r="A126" s="1" t="str">
        <x:v>B0CPSFPNBN</x:v>
      </x:c>
      <x:c r="B126" s="1" t="str">
        <x:v>锯片与开孔耗材</x:v>
      </x:c>
      <x:c r="C126" s="1" t="str">
        <x:v>Hychika Hojas de Sierra de Sable para Madera 240 mm, 6 Piezas CRV, para Corte de Madera y Plástico</x:v>
      </x:c>
      <x:c r="D126" s="1" t="str">
        <x:v>两年均有</x:v>
      </x:c>
      <x:c r="E126" s="12" t="n">
        <x:v>88</x:v>
      </x:c>
      <x:c r="F126" s="12" t="n">
        <x:v>1353</x:v>
      </x:c>
      <x:c r="G126" s="16" t="n">
        <x:v>0.0212</x:v>
      </x:c>
      <x:c r="H126" s="16" t="n">
        <x:f>IF(F126&gt;0,E126/F126,"")</x:f>
        <x:v>0.06504065040650407</x:v>
      </x:c>
      <x:c r="I126" s="36" t="n">
        <x:v>996.35</x:v>
      </x:c>
      <x:c r="J126" s="12" t="n">
        <x:v>4</x:v>
      </x:c>
      <x:c r="K126" s="12" t="n">
        <x:v>29</x:v>
      </x:c>
      <x:c r="L126" s="16" t="n">
        <x:v>0.0945</x:v>
      </x:c>
      <x:c r="M126" s="16" t="n">
        <x:f>IF(K126&gt;0,J126/K126,"")</x:f>
        <x:v>0.13793103448275862</x:v>
      </x:c>
      <x:c r="N126" s="36" t="n">
        <x:v>38.98</x:v>
      </x:c>
      <x:c r="O126" s="19" t="n">
        <x:f>J126-E126</x:f>
        <x:v>-84</x:v>
      </x:c>
      <x:c r="P126" s="19" t="n">
        <x:f>K126-F126</x:f>
        <x:v>-1324</x:v>
      </x:c>
      <x:c r="Q126" s="20" t="n">
        <x:f>IF(AND(F126&gt;0,K126&gt;0),(M126-H126)*100,"")</x:f>
        <x:v>7.289038407625455</x:v>
      </x:c>
      <x:c r="R126" s="12" t="n">
        <x:v>1</x:v>
      </x:c>
      <x:c r="S126" s="12" t="n">
        <x:v>0</x:v>
      </x:c>
    </x:row>
    <x:row r="127" ht="22" customHeight="1">
      <x:c r="A127" s="1" t="str">
        <x:v>B0C94J1HLQ</x:v>
      </x:c>
      <x:c r="B127" s="1" t="str">
        <x:v>清洁电器与空气净化</x:v>
      </x:c>
      <x:c r="C127" s="1" t="str">
        <x:v>HYCHIKA Aspiratore Solidi Liquidi, 3 in 1 Aspirapolvere Industriale 1000W, Aspiratori per Umido e Secco con filtro lavabile, Capacità Vano Raccolta 12L per Uso Domestico e Industriale</x:v>
      </x:c>
      <x:c r="D127" s="1" t="str">
        <x:v>两年均有</x:v>
      </x:c>
      <x:c r="E127" s="12" t="n">
        <x:v>51</x:v>
      </x:c>
      <x:c r="F127" s="12" t="n">
        <x:v>2954</x:v>
      </x:c>
      <x:c r="G127" s="16" t="n">
        <x:v>0.0164</x:v>
      </x:c>
      <x:c r="H127" s="16" t="n">
        <x:f>IF(F127&gt;0,E127/F127,"")</x:f>
        <x:v>0.017264725795531483</x:v>
      </x:c>
      <x:c r="I127" s="36" t="n">
        <x:v>1598.29</x:v>
      </x:c>
      <x:c r="J127" s="12" t="n">
        <x:v>4</x:v>
      </x:c>
      <x:c r="K127" s="12" t="n">
        <x:v>744</x:v>
      </x:c>
      <x:c r="L127" s="16" t="n">
        <x:v>0.0111</x:v>
      </x:c>
      <x:c r="M127" s="16" t="n">
        <x:f>IF(K127&gt;0,J127/K127,"")</x:f>
        <x:v>0.005376344086021506</x:v>
      </x:c>
      <x:c r="N127" s="36" t="n">
        <x:v>148.18</x:v>
      </x:c>
      <x:c r="O127" s="19" t="n">
        <x:f>J127-E127</x:f>
        <x:v>-47</x:v>
      </x:c>
      <x:c r="P127" s="19" t="n">
        <x:f>K127-F127</x:f>
        <x:v>-2210</x:v>
      </x:c>
      <x:c r="Q127" s="20" t="n">
        <x:f>IF(AND(F127&gt;0,K127&gt;0),(M127-H127)*100,"")</x:f>
        <x:v>-1.1888381709509976</x:v>
      </x:c>
      <x:c r="R127" s="12" t="n">
        <x:v>5</x:v>
      </x:c>
      <x:c r="S127" s="12" t="n">
        <x:v>1</x:v>
      </x:c>
    </x:row>
    <x:row r="128" ht="22" customHeight="1">
      <x:c r="A128" s="1" t="str">
        <x:v>B088BDFTXR</x:v>
      </x:c>
      <x:c r="B128" s="1" t="str">
        <x:v>电钻与冲击工具</x:v>
      </x:c>
      <x:c r="C128" s="1" t="str">
        <x:v>HYCHIKA Llave de Impacto, 4,0 Ah 18V Pistola de Impacto Baterías, 3 Vasos de Impacto 17, 19, 21 mm, Mandril de 13 mm, Cargador, 1 Adaptador, para Automoción Doméstica</x:v>
      </x:c>
      <x:c r="D128" s="1" t="str">
        <x:v>两年均有</x:v>
      </x:c>
      <x:c r="E128" s="12" t="n">
        <x:v>522</x:v>
      </x:c>
      <x:c r="F128" s="12" t="n">
        <x:v>48615</x:v>
      </x:c>
      <x:c r="G128" s="16" t="n">
        <x:v>0.0102</x:v>
      </x:c>
      <x:c r="H128" s="16" t="n">
        <x:f>IF(F128&gt;0,E128/F128,"")</x:f>
        <x:v>0.010737426720148102</x:v>
      </x:c>
      <x:c r="I128" s="36" t="n">
        <x:v>31792.22</x:v>
      </x:c>
      <x:c r="J128" s="12" t="n">
        <x:v>3</x:v>
      </x:c>
      <x:c r="K128" s="12" t="n">
        <x:v>57</x:v>
      </x:c>
      <x:c r="L128" s="16" t="n">
        <x:v>0.003</x:v>
      </x:c>
      <x:c r="M128" s="16" t="n">
        <x:f>IF(K128&gt;0,J128/K128,"")</x:f>
        <x:v>0.05263157894736842</x:v>
      </x:c>
      <x:c r="N128" s="36" t="n">
        <x:v>186.27</x:v>
      </x:c>
      <x:c r="O128" s="19" t="n">
        <x:f>J128-E128</x:f>
        <x:v>-519</x:v>
      </x:c>
      <x:c r="P128" s="19" t="n">
        <x:f>K128-F128</x:f>
        <x:v>-48558</x:v>
      </x:c>
      <x:c r="Q128" s="20" t="n">
        <x:f>IF(AND(F128&gt;0,K128&gt;0),(M128-H128)*100,"")</x:f>
        <x:v>4.189415222722031</x:v>
      </x:c>
      <x:c r="R128" s="12" t="n">
        <x:v>103</x:v>
      </x:c>
      <x:c r="S128" s="12" t="n">
        <x:v>4</x:v>
      </x:c>
    </x:row>
    <x:row r="129" ht="22" customHeight="1">
      <x:c r="A129" s="1" t="str">
        <x:v>B09DS8VVT1</x:v>
      </x:c>
      <x:c r="B129" s="1" t="str">
        <x:v>手动工具与套装</x:v>
      </x:c>
      <x:c r="C129" s="1" t="str">
        <x:v>SORAKO Juego de llaves de vaso de impacto，juego de llaves de vaso profesionales de 1/2" de 16 piezas con extensiones de mango de llave en L para herramientas de reparación de máquinas grandes y más</x:v>
      </x:c>
      <x:c r="D129" s="1" t="str">
        <x:v>两年均有</x:v>
      </x:c>
      <x:c r="E129" s="12" t="n">
        <x:v>70</x:v>
      </x:c>
      <x:c r="F129" s="12" t="n">
        <x:v>2891</x:v>
      </x:c>
      <x:c r="G129" s="16" t="n">
        <x:v>0.0242</x:v>
      </x:c>
      <x:c r="H129" s="16" t="n">
        <x:f>IF(F129&gt;0,E129/F129,"")</x:f>
        <x:v>0.024213075060532687</x:v>
      </x:c>
      <x:c r="I129" s="36" t="n">
        <x:v>2014.72</x:v>
      </x:c>
      <x:c r="J129" s="12" t="n">
        <x:v>3</x:v>
      </x:c>
      <x:c r="K129" s="12" t="n">
        <x:v>395</x:v>
      </x:c>
      <x:c r="L129" s="16" t="n">
        <x:v>0.0318</x:v>
      </x:c>
      <x:c r="M129" s="16" t="n">
        <x:f>IF(K129&gt;0,J129/K129,"")</x:f>
        <x:v>0.007594936708860759</x:v>
      </x:c>
      <x:c r="N129" s="36" t="n">
        <x:v>118.7</x:v>
      </x:c>
      <x:c r="O129" s="19" t="n">
        <x:f>J129-E129</x:f>
        <x:v>-67</x:v>
      </x:c>
      <x:c r="P129" s="19" t="n">
        <x:f>K129-F129</x:f>
        <x:v>-2496</x:v>
      </x:c>
      <x:c r="Q129" s="20" t="n">
        <x:f>IF(AND(F129&gt;0,K129&gt;0),(M129-H129)*100,"")</x:f>
        <x:v>-1.661813835167193</x:v>
      </x:c>
      <x:c r="R129" s="12" t="n">
        <x:v>0</x:v>
      </x:c>
      <x:c r="S129" s="12" t="n">
        <x:v>0</x:v>
      </x:c>
    </x:row>
    <x:row r="130" ht="22" customHeight="1">
      <x:c r="A130" s="1" t="str">
        <x:v>B08DJ4NWHS</x:v>
      </x:c>
      <x:c r="B130" s="1" t="str">
        <x:v>打磨抛光与旋转工具</x:v>
      </x:c>
      <x:c r="C130" s="1" t="str">
        <x:v>HYCHIKA Winkelschleifer, 18V Akku-Winkelschleifer 8500 U/min mit 3 Schleifscheiben, 4,0-Ah-Akku, Hilfsgriff mit 3 Positionen zum Schleifen, Schneiden und Polieren</x:v>
      </x:c>
      <x:c r="D130" s="1" t="str">
        <x:v>两年均有</x:v>
      </x:c>
      <x:c r="E130" s="12" t="n">
        <x:v>934</x:v>
      </x:c>
      <x:c r="F130" s="12" t="n">
        <x:v>38776</x:v>
      </x:c>
      <x:c r="G130" s="16" t="n">
        <x:v>0.0232</x:v>
      </x:c>
      <x:c r="H130" s="16" t="n">
        <x:f>IF(F130&gt;0,E130/F130,"")</x:f>
        <x:v>0.024087064163400042</x:v>
      </x:c>
      <x:c r="I130" s="36" t="n">
        <x:v>52407.86</x:v>
      </x:c>
      <x:c r="J130" s="12" t="n">
        <x:v>2</x:v>
      </x:c>
      <x:c r="K130" s="12" t="n">
        <x:v>175</x:v>
      </x:c>
      <x:c r="L130" s="16" t="n">
        <x:v>0.0047</x:v>
      </x:c>
      <x:c r="M130" s="16" t="n">
        <x:f>IF(K130&gt;0,J130/K130,"")</x:f>
        <x:v>0.011428571428571429</x:v>
      </x:c>
      <x:c r="N130" s="36" t="n">
        <x:v>119.04</x:v>
      </x:c>
      <x:c r="O130" s="19" t="n">
        <x:f>J130-E130</x:f>
        <x:v>-932</x:v>
      </x:c>
      <x:c r="P130" s="19" t="n">
        <x:f>K130-F130</x:f>
        <x:v>-38601</x:v>
      </x:c>
      <x:c r="Q130" s="20" t="n">
        <x:f>IF(AND(F130&gt;0,K130&gt;0),(M130-H130)*100,"")</x:f>
        <x:v>-1.2658492734828612</x:v>
      </x:c>
      <x:c r="R130" s="12" t="n">
        <x:v>142</x:v>
      </x:c>
      <x:c r="S130" s="12" t="n">
        <x:v>13</x:v>
      </x:c>
    </x:row>
    <x:row r="131" ht="22" customHeight="1">
      <x:c r="A131" s="1" t="str">
        <x:v>B093GY7279</x:v>
      </x:c>
      <x:c r="B131" s="1" t="str">
        <x:v>打磨抛光与旋转工具</x:v>
      </x:c>
      <x:c r="C131" s="1" t="str">
        <x:v>HYCHIKA Winkelschleifer 1200W, 3000-10000RPM mit 6 Geschwindigkeiten, Perfekt zum Schleifen Polieren, 2pcs 125mm Schleifscheiben, 1 Seitengriff, 1 Schutzhauben, 1 Schraubenschlüssel</x:v>
      </x:c>
      <x:c r="D131" s="1" t="str">
        <x:v>两年均有</x:v>
      </x:c>
      <x:c r="E131" s="12" t="n">
        <x:v>423</x:v>
      </x:c>
      <x:c r="F131" s="12" t="n">
        <x:v>12518</x:v>
      </x:c>
      <x:c r="G131" s="16" t="n">
        <x:v>0.0322</x:v>
      </x:c>
      <x:c r="H131" s="16" t="n">
        <x:f>IF(F131&gt;0,E131/F131,"")</x:f>
        <x:v>0.033791340469723596</x:v>
      </x:c>
      <x:c r="I131" s="36" t="n">
        <x:v>16652.82</x:v>
      </x:c>
      <x:c r="J131" s="12" t="n">
        <x:v>2</x:v>
      </x:c>
      <x:c r="K131" s="12" t="n">
        <x:v>81</x:v>
      </x:c>
      <x:c r="L131" s="16" t="n">
        <x:v>0.0126</x:v>
      </x:c>
      <x:c r="M131" s="16" t="n">
        <x:f>IF(K131&gt;0,J131/K131,"")</x:f>
        <x:v>0.024691358024691357</x:v>
      </x:c>
      <x:c r="N131" s="36" t="n">
        <x:v>80.53</x:v>
      </x:c>
      <x:c r="O131" s="19" t="n">
        <x:f>J131-E131</x:f>
        <x:v>-421</x:v>
      </x:c>
      <x:c r="P131" s="19" t="n">
        <x:f>K131-F131</x:f>
        <x:v>-12437</x:v>
      </x:c>
      <x:c r="Q131" s="20" t="n">
        <x:f>IF(AND(F131&gt;0,K131&gt;0),(M131-H131)*100,"")</x:f>
        <x:v>-0.909998244503224</x:v>
      </x:c>
      <x:c r="R131" s="12" t="n">
        <x:v>51</x:v>
      </x:c>
      <x:c r="S131" s="12" t="n">
        <x:v>2</x:v>
      </x:c>
    </x:row>
    <x:row r="132" ht="22" customHeight="1">
      <x:c r="A132" s="1" t="str">
        <x:v>B0928QT1YC</x:v>
      </x:c>
      <x:c r="B132" s="1" t="str">
        <x:v>手动工具与套装</x:v>
      </x:c>
      <x:c r="C132" s="1" t="str">
        <x:v>SORAKO Set Cacciaviti, 51 Pezzi set Cacciaviti Professionali, con 30 punte, La forma della testa copre una, croce, prugna, esagonale, quadrata</x:v>
      </x:c>
      <x:c r="D132" s="1" t="str">
        <x:v>两年均有</x:v>
      </x:c>
      <x:c r="E132" s="12" t="n">
        <x:v>3</x:v>
      </x:c>
      <x:c r="F132" s="12" t="n">
        <x:v>3120</x:v>
      </x:c>
      <x:c r="G132" s="16" t="n">
        <x:v>0.0001</x:v>
      </x:c>
      <x:c r="H132" s="16" t="n">
        <x:f>IF(F132&gt;0,E132/F132,"")</x:f>
        <x:v>0.0009615384615384616</x:v>
      </x:c>
      <x:c r="I132" s="36" t="n">
        <x:v>73.61</x:v>
      </x:c>
      <x:c r="J132" s="12" t="n">
        <x:v>1</x:v>
      </x:c>
      <x:c r="K132" s="12" t="n">
        <x:v>25</x:v>
      </x:c>
      <x:c r="L132" s="16" t="n">
        <x:v>0.0128</x:v>
      </x:c>
      <x:c r="M132" s="16" t="n">
        <x:f>IF(K132&gt;0,J132/K132,"")</x:f>
        <x:v>0.04</x:v>
      </x:c>
      <x:c r="N132" s="36" t="n">
        <x:v>25.2</x:v>
      </x:c>
      <x:c r="O132" s="19" t="n">
        <x:f>J132-E132</x:f>
        <x:v>-2</x:v>
      </x:c>
      <x:c r="P132" s="19" t="n">
        <x:f>K132-F132</x:f>
        <x:v>-3095</x:v>
      </x:c>
      <x:c r="Q132" s="20" t="n">
        <x:f>IF(AND(F132&gt;0,K132&gt;0),(M132-H132)*100,"")</x:f>
        <x:v>3.9038461538461537</x:v>
      </x:c>
      <x:c r="R132" s="12" t="n">
        <x:v>1</x:v>
      </x:c>
      <x:c r="S132" s="12" t="n">
        <x:v>0</x:v>
      </x:c>
    </x:row>
    <x:row r="133" ht="22" customHeight="1">
      <x:c r="A133" s="1" t="str">
        <x:v>B091Q27CLV</x:v>
      </x:c>
      <x:c r="B133" s="1" t="str">
        <x:v>打磨耗材</x:v>
      </x:c>
      <x:c r="C133" s="1" t="str">
        <x:v>HYCHIKA Schleifpapier 125mm Klett, 100 Stück Mit Körnung 40/60/80/100/120/150/180/240/320/400, 8 Loch Schleifscheiben 125mm Klett für Exzenterschleifer</x:v>
      </x:c>
      <x:c r="D133" s="1" t="str">
        <x:v>两年均有</x:v>
      </x:c>
      <x:c r="E133" s="12" t="n">
        <x:v>0</x:v>
      </x:c>
      <x:c r="F133" s="12" t="n">
        <x:v>0</x:v>
      </x:c>
      <x:c r="G133" s="16" t="n">
        <x:v>0</x:v>
      </x:c>
      <x:c r="H133" s="16" t="str">
        <x:f>IF(F133&gt;0,E133/F133,"")</x:f>
      </x:c>
      <x:c r="I133" s="36" t="n">
        <x:v>0</x:v>
      </x:c>
      <x:c r="J133" s="12" t="n">
        <x:v>1</x:v>
      </x:c>
      <x:c r="K133" s="12" t="n">
        <x:v>91</x:v>
      </x:c>
      <x:c r="L133" s="16" t="n">
        <x:v>0.011</x:v>
      </x:c>
      <x:c r="M133" s="16" t="n">
        <x:f>IF(K133&gt;0,J133/K133,"")</x:f>
        <x:v>0.01098901098901099</x:v>
      </x:c>
      <x:c r="N133" s="36" t="n">
        <x:v>16.39</x:v>
      </x:c>
      <x:c r="O133" s="19" t="n">
        <x:f>J133-E133</x:f>
        <x:v>1</x:v>
      </x:c>
      <x:c r="P133" s="19" t="n">
        <x:f>K133-F133</x:f>
        <x:v>91</x:v>
      </x:c>
      <x:c r="Q133" s="20" t="str">
        <x:f>IF(AND(F133&gt;0,K133&gt;0),(M133-H133)*100,"")</x:f>
      </x:c>
      <x:c r="R133" s="12" t="n">
        <x:v>0</x:v>
      </x:c>
      <x:c r="S133" s="12" t="n">
        <x:v>0</x:v>
      </x:c>
    </x:row>
    <x:row r="134" ht="22" customHeight="1">
      <x:c r="A134" s="1" t="str">
        <x:v>B0FFLQSH4G</x:v>
      </x:c>
      <x:c r="B134" s="1" t="str">
        <x:v>汽车起重与充气</x:v>
      </x:c>
      <x:c r="C134" s="1" t="str">
        <x:v>HYCHIKA Hydraulischer Wagenheber Idraulico 2.0T, Cric con Pompa a Pistone ad Alta Velocità Idraulica, Cric Idraulico, Area di Sollevamento 135-320 MM, per Limousine, SUV, Cambio Pneumatici di Ricambio</x:v>
      </x:c>
      <x:c r="D134" s="1" t="str">
        <x:v>两年均有</x:v>
      </x:c>
      <x:c r="E134" s="12" t="n">
        <x:v>0</x:v>
      </x:c>
      <x:c r="F134" s="12" t="n">
        <x:v>0</x:v>
      </x:c>
      <x:c r="G134" s="16" t="n">
        <x:v>0</x:v>
      </x:c>
      <x:c r="H134" s="16" t="str">
        <x:f>IF(F134&gt;0,E134/F134,"")</x:f>
      </x:c>
      <x:c r="I134" s="36" t="n">
        <x:v>0</x:v>
      </x:c>
      <x:c r="J134" s="12" t="n">
        <x:v>1</x:v>
      </x:c>
      <x:c r="K134" s="12" t="n">
        <x:v>34</x:v>
      </x:c>
      <x:c r="L134" s="16" t="n">
        <x:v>0.0035</x:v>
      </x:c>
      <x:c r="M134" s="16" t="n">
        <x:f>IF(K134&gt;0,J134/K134,"")</x:f>
        <x:v>0.029411764705882353</x:v>
      </x:c>
      <x:c r="N134" s="36" t="n">
        <x:v>51.91</x:v>
      </x:c>
      <x:c r="O134" s="19" t="n">
        <x:f>J134-E134</x:f>
        <x:v>1</x:v>
      </x:c>
      <x:c r="P134" s="19" t="n">
        <x:f>K134-F134</x:f>
        <x:v>34</x:v>
      </x:c>
      <x:c r="Q134" s="20" t="str">
        <x:f>IF(AND(F134&gt;0,K134&gt;0),(M134-H134)*100,"")</x:f>
      </x:c>
      <x:c r="R134" s="12" t="n">
        <x:v>0</x:v>
      </x:c>
      <x:c r="S134" s="12" t="n">
        <x:v>0</x:v>
      </x:c>
    </x:row>
    <x:row r="135" ht="22" customHeight="1">
      <x:c r="A135" s="1" t="str">
        <x:v>B0GJZGZ76C</x:v>
      </x:c>
      <x:c r="B135" s="1" t="str">
        <x:v>园艺设备与工具</x:v>
      </x:c>
      <x:c r="C135" s="1" t="str">
        <x:v>HYCHIKA Tijeras Podar 74CM, Tijeras de Podar de Mano, Podadora Manual, Diámetro de Corte: Ø50 mm max., Tijera de Ahorro de Trabajo con Cuchillas Afiladas, para Ramas Frescas y Marchitas</x:v>
      </x:c>
      <x:c r="D135" s="1" t="str">
        <x:v>仅2026</x:v>
      </x:c>
      <x:c r="E135" s="12" t="n">
        <x:v>0</x:v>
      </x:c>
      <x:c r="F135" s="12" t="n">
        <x:v>0</x:v>
      </x:c>
      <x:c r="G135" s="16"/>
      <x:c r="H135" s="16" t="str">
        <x:f>IF(F135&gt;0,E135/F135,"")</x:f>
      </x:c>
      <x:c r="I135" s="36" t="n">
        <x:v>0</x:v>
      </x:c>
      <x:c r="J135" s="12" t="n">
        <x:v>1</x:v>
      </x:c>
      <x:c r="K135" s="12" t="n">
        <x:v>19</x:v>
      </x:c>
      <x:c r="L135" s="16" t="n">
        <x:v>0.0323</x:v>
      </x:c>
      <x:c r="M135" s="16" t="n">
        <x:f>IF(K135&gt;0,J135/K135,"")</x:f>
        <x:v>0.05263157894736842</x:v>
      </x:c>
      <x:c r="N135" s="36" t="n">
        <x:v>27.72</x:v>
      </x:c>
      <x:c r="O135" s="19" t="n">
        <x:f>J135-E135</x:f>
        <x:v>1</x:v>
      </x:c>
      <x:c r="P135" s="19" t="n">
        <x:f>K135-F135</x:f>
        <x:v>19</x:v>
      </x:c>
      <x:c r="Q135" s="20" t="str">
        <x:f>IF(AND(F135&gt;0,K135&gt;0),(M135-H135)*100,"")</x:f>
      </x:c>
      <x:c r="R135" s="12" t="n">
        <x:v>0</x:v>
      </x:c>
      <x:c r="S135" s="12" t="n">
        <x:v>0</x:v>
      </x:c>
    </x:row>
    <x:row r="136" ht="22" customHeight="1">
      <x:c r="A136" s="1" t="str">
        <x:v>B09QM574ZF</x:v>
      </x:c>
      <x:c r="B136" s="1" t="str">
        <x:v>电动螺丝刀</x:v>
      </x:c>
      <x:c r="C136" s="1" t="str">
        <x:v>SORAKO Avvitatore Elettrico 6Nm Cacciavite Elettrico 3.6V con 30 Accessori, con Luce LED, 2 Direzioni di Rotazione, Indicatore Batteria e Caricabatterie, per Fai da Te, Blu+Nero+Arancione,1/4"</x:v>
      </x:c>
      <x:c r="D136" s="1" t="str">
        <x:v>两年均有</x:v>
      </x:c>
      <x:c r="E136" s="12" t="n">
        <x:v>2869</x:v>
      </x:c>
      <x:c r="F136" s="12" t="n">
        <x:v>40957</x:v>
      </x:c>
      <x:c r="G136" s="16" t="n">
        <x:v>0.0698</x:v>
      </x:c>
      <x:c r="H136" s="16" t="n">
        <x:f>IF(F136&gt;0,E136/F136,"")</x:f>
        <x:v>0.07004907586004834</x:v>
      </x:c>
      <x:c r="I136" s="36" t="n">
        <x:v>36639.78</x:v>
      </x:c>
      <x:c r="J136" s="12" t="n">
        <x:v>0</x:v>
      </x:c>
      <x:c r="K136" s="12" t="n">
        <x:v>31</x:v>
      </x:c>
      <x:c r="L136" s="16" t="n">
        <x:v>0</x:v>
      </x:c>
      <x:c r="M136" s="16" t="n">
        <x:f>IF(K136&gt;0,J136/K136,"")</x:f>
        <x:v>0</x:v>
      </x:c>
      <x:c r="N136" s="36" t="n">
        <x:v>0</x:v>
      </x:c>
      <x:c r="O136" s="19" t="n">
        <x:f>J136-E136</x:f>
        <x:v>-2869</x:v>
      </x:c>
      <x:c r="P136" s="19" t="n">
        <x:f>K136-F136</x:f>
        <x:v>-40926</x:v>
      </x:c>
      <x:c r="Q136" s="20" t="n">
        <x:f>IF(AND(F136&gt;0,K136&gt;0),(M136-H136)*100,"")</x:f>
        <x:v>-7.004907586004834</x:v>
      </x:c>
      <x:c r="R136" s="12" t="n">
        <x:v>220</x:v>
      </x:c>
      <x:c r="S136" s="12" t="n">
        <x:v>13</x:v>
      </x:c>
    </x:row>
    <x:row r="137" ht="22" customHeight="1">
      <x:c r="A137" s="1" t="str">
        <x:v>B0D9828D7K</x:v>
      </x:c>
      <x:c r="B137" s="1" t="str">
        <x:v>电钻与冲击工具</x:v>
      </x:c>
      <x:c r="C137" s="1" t="str">
        <x:v>HYCHIKA Trapano Avvitatore Batteria, Motore senza spazzole, 45Nm Max, con coppia 23+1, 2 velocità, trapano da 1500mAh, 53 accessori Adatta per avvitare e forare legno, plastica e metallo</x:v>
      </x:c>
      <x:c r="D137" s="1" t="str">
        <x:v>两年均有</x:v>
      </x:c>
      <x:c r="E137" s="12" t="n">
        <x:v>1917</x:v>
      </x:c>
      <x:c r="F137" s="12" t="n">
        <x:v>92215</x:v>
      </x:c>
      <x:c r="G137" s="16" t="n">
        <x:v>0.02</x:v>
      </x:c>
      <x:c r="H137" s="16" t="n">
        <x:f>IF(F137&gt;0,E137/F137,"")</x:f>
        <x:v>0.02078837499322236</x:v>
      </x:c>
      <x:c r="I137" s="36" t="n">
        <x:v>87065.34</x:v>
      </x:c>
      <x:c r="J137" s="12" t="n">
        <x:v>0</x:v>
      </x:c>
      <x:c r="K137" s="12" t="n">
        <x:v>0</x:v>
      </x:c>
      <x:c r="L137" s="16" t="n">
        <x:v>0</x:v>
      </x:c>
      <x:c r="M137" s="16" t="str">
        <x:f>IF(K137&gt;0,J137/K137,"")</x:f>
      </x:c>
      <x:c r="N137" s="36" t="n">
        <x:v>0</x:v>
      </x:c>
      <x:c r="O137" s="19" t="n">
        <x:f>J137-E137</x:f>
        <x:v>-1917</x:v>
      </x:c>
      <x:c r="P137" s="19" t="n">
        <x:f>K137-F137</x:f>
        <x:v>-92215</x:v>
      </x:c>
      <x:c r="Q137" s="20" t="str">
        <x:f>IF(AND(F137&gt;0,K137&gt;0),(M137-H137)*100,"")</x:f>
      </x:c>
      <x:c r="R137" s="12" t="n">
        <x:v>205</x:v>
      </x:c>
      <x:c r="S137" s="12" t="n">
        <x:v>23</x:v>
      </x:c>
    </x:row>
    <x:row r="138" ht="22" customHeight="1">
      <x:c r="A138" s="1" t="str">
        <x:v>B0BRCV73YZ</x:v>
      </x:c>
      <x:c r="B138" s="1" t="str">
        <x:v>激光水平仪与测距</x:v>
      </x:c>
      <x:c r="C138" s="1" t="str">
        <x:v>HYCHIKA Nivel Láser, 15m Láser Nivel Cruzado Horizontal y Vertical Láser Autonivelación, Soporte Magnético 360° Rotación 2 batería incluida</x:v>
      </x:c>
      <x:c r="D138" s="1" t="str">
        <x:v>两年均有</x:v>
      </x:c>
      <x:c r="E138" s="12" t="n">
        <x:v>528</x:v>
      </x:c>
      <x:c r="F138" s="12" t="n">
        <x:v>13647</x:v>
      </x:c>
      <x:c r="G138" s="16" t="n">
        <x:v>0.038</x:v>
      </x:c>
      <x:c r="H138" s="16" t="n">
        <x:f>IF(F138&gt;0,E138/F138,"")</x:f>
        <x:v>0.03868982193888767</x:v>
      </x:c>
      <x:c r="I138" s="36" t="n">
        <x:v>13668.35</x:v>
      </x:c>
      <x:c r="J138" s="12" t="n">
        <x:v>0</x:v>
      </x:c>
      <x:c r="K138" s="12" t="n">
        <x:v>88</x:v>
      </x:c>
      <x:c r="L138" s="16" t="n">
        <x:v>0</x:v>
      </x:c>
      <x:c r="M138" s="16" t="n">
        <x:f>IF(K138&gt;0,J138/K138,"")</x:f>
        <x:v>0</x:v>
      </x:c>
      <x:c r="N138" s="36" t="n">
        <x:v>0</x:v>
      </x:c>
      <x:c r="O138" s="19" t="n">
        <x:f>J138-E138</x:f>
        <x:v>-528</x:v>
      </x:c>
      <x:c r="P138" s="19" t="n">
        <x:f>K138-F138</x:f>
        <x:v>-13559</x:v>
      </x:c>
      <x:c r="Q138" s="20" t="n">
        <x:f>IF(AND(F138&gt;0,K138&gt;0),(M138-H138)*100,"")</x:f>
        <x:v>-3.8689821938887667</x:v>
      </x:c>
      <x:c r="R138" s="12" t="n">
        <x:v>89</x:v>
      </x:c>
      <x:c r="S138" s="12" t="n">
        <x:v>1</x:v>
      </x:c>
    </x:row>
    <x:row r="139" ht="22" customHeight="1">
      <x:c r="A139" s="1" t="str">
        <x:v>B09G66F7TZ</x:v>
      </x:c>
      <x:c r="B139" s="1" t="str">
        <x:v>电动螺丝刀</x:v>
      </x:c>
      <x:c r="C139" s="1" t="str">
        <x:v>HYCHIKA Destornillador Eléctrico 3N.m, Atornillador a Batería 2,0Ah, Juego de 58 Pcs, LED Luz, 3.6V Carga USB, Mini Atornillador Eléctrico, Juego de Destornilladores Recargables,Verde</x:v>
      </x:c>
      <x:c r="D139" s="1" t="str">
        <x:v>两年均有</x:v>
      </x:c>
      <x:c r="E139" s="12" t="n">
        <x:v>322</x:v>
      </x:c>
      <x:c r="F139" s="12" t="n">
        <x:v>13347</x:v>
      </x:c>
      <x:c r="G139" s="16" t="n">
        <x:v>0.0237</x:v>
      </x:c>
      <x:c r="H139" s="16" t="n">
        <x:f>IF(F139&gt;0,E139/F139,"")</x:f>
        <x:v>0.02412527159661347</x:v>
      </x:c>
      <x:c r="I139" s="36" t="n">
        <x:v>9489.7</x:v>
      </x:c>
      <x:c r="J139" s="12" t="n">
        <x:v>0</x:v>
      </x:c>
      <x:c r="K139" s="12" t="n">
        <x:v>182</x:v>
      </x:c>
      <x:c r="L139" s="16" t="n">
        <x:v>0</x:v>
      </x:c>
      <x:c r="M139" s="16" t="n">
        <x:f>IF(K139&gt;0,J139/K139,"")</x:f>
        <x:v>0</x:v>
      </x:c>
      <x:c r="N139" s="36" t="n">
        <x:v>0</x:v>
      </x:c>
      <x:c r="O139" s="19" t="n">
        <x:f>J139-E139</x:f>
        <x:v>-322</x:v>
      </x:c>
      <x:c r="P139" s="19" t="n">
        <x:f>K139-F139</x:f>
        <x:v>-13165</x:v>
      </x:c>
      <x:c r="Q139" s="20" t="n">
        <x:f>IF(AND(F139&gt;0,K139&gt;0),(M139-H139)*100,"")</x:f>
        <x:v>-2.412527159661347</x:v>
      </x:c>
      <x:c r="R139" s="12" t="n">
        <x:v>60</x:v>
      </x:c>
      <x:c r="S139" s="12" t="n">
        <x:v>3</x:v>
      </x:c>
    </x:row>
    <x:row r="140" ht="22" customHeight="1">
      <x:c r="A140" s="1" t="str">
        <x:v>B093H1KGVT</x:v>
      </x:c>
      <x:c r="B140" s="1" t="str">
        <x:v>打磨抛光与旋转工具</x:v>
      </x:c>
      <x:c r="C140" s="1" t="str">
        <x:v>HYCHIKA Winkelschleifer 125mm, 880W Trennschleifer, 12000 min-1, Zusatzhandgriff, mit 2 Schleifscheiben, 2 Trennscheiben, perfekt zum Schleifen, Schneiden und Polieren</x:v>
      </x:c>
      <x:c r="D140" s="1" t="str">
        <x:v>两年均有</x:v>
      </x:c>
      <x:c r="E140" s="12" t="n">
        <x:v>277</x:v>
      </x:c>
      <x:c r="F140" s="12" t="n">
        <x:v>9437</x:v>
      </x:c>
      <x:c r="G140" s="16" t="n">
        <x:v>0.0242</x:v>
      </x:c>
      <x:c r="H140" s="16" t="n">
        <x:f>IF(F140&gt;0,E140/F140,"")</x:f>
        <x:v>0.029352548479389638</x:v>
      </x:c>
      <x:c r="I140" s="36" t="n">
        <x:v>8173.88</x:v>
      </x:c>
      <x:c r="J140" s="12" t="n">
        <x:v>0</x:v>
      </x:c>
      <x:c r="K140" s="12" t="n">
        <x:v>0</x:v>
      </x:c>
      <x:c r="L140" s="16" t="n">
        <x:v>0</x:v>
      </x:c>
      <x:c r="M140" s="16" t="str">
        <x:f>IF(K140&gt;0,J140/K140,"")</x:f>
      </x:c>
      <x:c r="N140" s="36" t="n">
        <x:v>0</x:v>
      </x:c>
      <x:c r="O140" s="19" t="n">
        <x:f>J140-E140</x:f>
        <x:v>-277</x:v>
      </x:c>
      <x:c r="P140" s="19" t="n">
        <x:f>K140-F140</x:f>
        <x:v>-9437</x:v>
      </x:c>
      <x:c r="Q140" s="20" t="str">
        <x:f>IF(AND(F140&gt;0,K140&gt;0),(M140-H140)*100,"")</x:f>
      </x:c>
      <x:c r="R140" s="12" t="n">
        <x:v>26</x:v>
      </x:c>
      <x:c r="S140" s="12" t="n">
        <x:v>1</x:v>
      </x:c>
    </x:row>
    <x:row r="141" ht="22" customHeight="1">
      <x:c r="A141" s="1" t="str">
        <x:v>B08DJ59FPM</x:v>
      </x:c>
      <x:c r="B141" s="1" t="str">
        <x:v>汽车起重与充气</x:v>
      </x:c>
      <x:c r="C141" s="1" t="str">
        <x:v>HYCHIKA Compressore Aria Portatile 18V, Compressore a Batteria Ricaricabile, 5*Adattatori, 160PSI, Luce LED, Presa Accendisigari 12V, Caricatore, 380L/Min, per Bicicletta, Palla</x:v>
      </x:c>
      <x:c r="D141" s="1" t="str">
        <x:v>两年均有</x:v>
      </x:c>
      <x:c r="E141" s="12" t="n">
        <x:v>185</x:v>
      </x:c>
      <x:c r="F141" s="12" t="n">
        <x:v>13173</x:v>
      </x:c>
      <x:c r="G141" s="16" t="n">
        <x:v>0.0134</x:v>
      </x:c>
      <x:c r="H141" s="16" t="n">
        <x:f>IF(F141&gt;0,E141/F141,"")</x:f>
        <x:v>0.014043877628482502</x:v>
      </x:c>
      <x:c r="I141" s="36" t="n">
        <x:v>9913.95</x:v>
      </x:c>
      <x:c r="J141" s="12" t="n">
        <x:v>0</x:v>
      </x:c>
      <x:c r="K141" s="12" t="n">
        <x:v>26</x:v>
      </x:c>
      <x:c r="L141" s="16" t="n">
        <x:v>0</x:v>
      </x:c>
      <x:c r="M141" s="16" t="n">
        <x:f>IF(K141&gt;0,J141/K141,"")</x:f>
        <x:v>0</x:v>
      </x:c>
      <x:c r="N141" s="36" t="n">
        <x:v>0</x:v>
      </x:c>
      <x:c r="O141" s="19" t="n">
        <x:f>J141-E141</x:f>
        <x:v>-185</x:v>
      </x:c>
      <x:c r="P141" s="19" t="n">
        <x:f>K141-F141</x:f>
        <x:v>-13147</x:v>
      </x:c>
      <x:c r="Q141" s="20" t="n">
        <x:f>IF(AND(F141&gt;0,K141&gt;0),(M141-H141)*100,"")</x:f>
        <x:v>-1.4043877628482502</x:v>
      </x:c>
      <x:c r="R141" s="12" t="n">
        <x:v>17</x:v>
      </x:c>
      <x:c r="S141" s="12" t="n">
        <x:v>0</x:v>
      </x:c>
    </x:row>
    <x:row r="142" ht="22" customHeight="1">
      <x:c r="A142" s="1" t="str">
        <x:v>B08DJ4B3KX</x:v>
      </x:c>
      <x:c r="B142" s="1" t="str">
        <x:v>电锯与电动切割</x:v>
      </x:c>
      <x:c r="C142" s="1" t="str">
        <x:v>HYCHIKA Sega circolare a batteria, 18V con 2 lame da 165 mm, profondità di taglio massima 53 mm (90°)/36 mm (45°)</x:v>
      </x:c>
      <x:c r="D142" s="1" t="str">
        <x:v>两年均有</x:v>
      </x:c>
      <x:c r="E142" s="12" t="n">
        <x:v>176</x:v>
      </x:c>
      <x:c r="F142" s="12" t="n">
        <x:v>13630</x:v>
      </x:c>
      <x:c r="G142" s="16" t="n">
        <x:v>0.0126</x:v>
      </x:c>
      <x:c r="H142" s="16" t="n">
        <x:f>IF(F142&gt;0,E142/F142,"")</x:f>
        <x:v>0.012912692589875275</x:v>
      </x:c>
      <x:c r="I142" s="36" t="n">
        <x:v>11743.37</x:v>
      </x:c>
      <x:c r="J142" s="12" t="n">
        <x:v>0</x:v>
      </x:c>
      <x:c r="K142" s="12" t="n">
        <x:v>0</x:v>
      </x:c>
      <x:c r="L142" s="16" t="n">
        <x:v>0</x:v>
      </x:c>
      <x:c r="M142" s="16" t="str">
        <x:f>IF(K142&gt;0,J142/K142,"")</x:f>
      </x:c>
      <x:c r="N142" s="36" t="n">
        <x:v>0</x:v>
      </x:c>
      <x:c r="O142" s="19" t="n">
        <x:f>J142-E142</x:f>
        <x:v>-176</x:v>
      </x:c>
      <x:c r="P142" s="19" t="n">
        <x:f>K142-F142</x:f>
        <x:v>-13630</x:v>
      </x:c>
      <x:c r="Q142" s="20" t="str">
        <x:f>IF(AND(F142&gt;0,K142&gt;0),(M142-H142)*100,"")</x:f>
      </x:c>
      <x:c r="R142" s="12" t="n">
        <x:v>26</x:v>
      </x:c>
      <x:c r="S142" s="12" t="n">
        <x:v>1</x:v>
      </x:c>
    </x:row>
    <x:row r="143" ht="22" customHeight="1">
      <x:c r="A143" s="1" t="str">
        <x:v>B08P47W7LL</x:v>
      </x:c>
      <x:c r="B143" s="1" t="str">
        <x:v>电钻与冲击工具</x:v>
      </x:c>
      <x:c r="C143" s="1" t="str">
        <x:v>HYCHIKA Trapano Avvitatore 16,8V con batteria da 1,5Ah, 45N-m e 23+1 impostazioni di coppia, mandrino senza chiave da 10mm, 2 velocità variabili, 53PCS accessori.</x:v>
      </x:c>
      <x:c r="D143" s="1" t="str">
        <x:v>两年均有</x:v>
      </x:c>
      <x:c r="E143" s="12" t="n">
        <x:v>172</x:v>
      </x:c>
      <x:c r="F143" s="12" t="n">
        <x:v>12154</x:v>
      </x:c>
      <x:c r="G143" s="16" t="n">
        <x:v>0.014</x:v>
      </x:c>
      <x:c r="H143" s="16" t="n">
        <x:f>IF(F143&gt;0,E143/F143,"")</x:f>
        <x:v>0.014151719598486096</x:v>
      </x:c>
      <x:c r="I143" s="36" t="n">
        <x:v>6736.27</x:v>
      </x:c>
      <x:c r="J143" s="12" t="n">
        <x:v>0</x:v>
      </x:c>
      <x:c r="K143" s="12" t="n">
        <x:v>15</x:v>
      </x:c>
      <x:c r="L143" s="16" t="n">
        <x:v>0</x:v>
      </x:c>
      <x:c r="M143" s="16" t="n">
        <x:f>IF(K143&gt;0,J143/K143,"")</x:f>
        <x:v>0</x:v>
      </x:c>
      <x:c r="N143" s="36" t="n">
        <x:v>0</x:v>
      </x:c>
      <x:c r="O143" s="19" t="n">
        <x:f>J143-E143</x:f>
        <x:v>-172</x:v>
      </x:c>
      <x:c r="P143" s="19" t="n">
        <x:f>K143-F143</x:f>
        <x:v>-12139</x:v>
      </x:c>
      <x:c r="Q143" s="20" t="n">
        <x:f>IF(AND(F143&gt;0,K143&gt;0),(M143-H143)*100,"")</x:f>
        <x:v>-1.4151719598486097</x:v>
      </x:c>
      <x:c r="R143" s="12" t="n">
        <x:v>18</x:v>
      </x:c>
      <x:c r="S143" s="12" t="n">
        <x:v>0</x:v>
      </x:c>
    </x:row>
    <x:row r="144" ht="22" customHeight="1">
      <x:c r="A144" s="1" t="str">
        <x:v>B09LQM2H7Z</x:v>
      </x:c>
      <x:c r="B144" s="1" t="str">
        <x:v>电钻与冲击工具</x:v>
      </x:c>
      <x:c r="C144" s="1" t="str">
        <x:v>HYCHIKA Trapano Avvitatore 18V, Trapani Combinati Azionatore a percussione a Impulsi 160Nm, 2,0Ah Batteria, Borsa di Stoccaggio e 22 Accessori Inclusi</x:v>
      </x:c>
      <x:c r="D144" s="1" t="str">
        <x:v>两年均有</x:v>
      </x:c>
      <x:c r="E144" s="12" t="n">
        <x:v>130</x:v>
      </x:c>
      <x:c r="F144" s="12" t="n">
        <x:v>12330</x:v>
      </x:c>
      <x:c r="G144" s="16" t="n">
        <x:v>0.0103</x:v>
      </x:c>
      <x:c r="H144" s="16" t="n">
        <x:f>IF(F144&gt;0,E144/F144,"")</x:f>
        <x:v>0.010543390105433901</x:v>
      </x:c>
      <x:c r="I144" s="36" t="n">
        <x:v>9211.58</x:v>
      </x:c>
      <x:c r="J144" s="12" t="n">
        <x:v>0</x:v>
      </x:c>
      <x:c r="K144" s="12" t="n">
        <x:v>0</x:v>
      </x:c>
      <x:c r="L144" s="16" t="n">
        <x:v>0</x:v>
      </x:c>
      <x:c r="M144" s="16" t="str">
        <x:f>IF(K144&gt;0,J144/K144,"")</x:f>
      </x:c>
      <x:c r="N144" s="36" t="n">
        <x:v>0</x:v>
      </x:c>
      <x:c r="O144" s="19" t="n">
        <x:f>J144-E144</x:f>
        <x:v>-130</x:v>
      </x:c>
      <x:c r="P144" s="19" t="n">
        <x:f>K144-F144</x:f>
        <x:v>-12330</x:v>
      </x:c>
      <x:c r="Q144" s="20" t="str">
        <x:f>IF(AND(F144&gt;0,K144&gt;0),(M144-H144)*100,"")</x:f>
      </x:c>
      <x:c r="R144" s="12" t="n">
        <x:v>27</x:v>
      </x:c>
      <x:c r="S144" s="12" t="n">
        <x:v>0</x:v>
      </x:c>
    </x:row>
    <x:row r="145" ht="22" customHeight="1">
      <x:c r="A145" s="1" t="str">
        <x:v>B0CL3X5MNQ</x:v>
      </x:c>
      <x:c r="B145" s="1" t="str">
        <x:v>电锯与电动切割</x:v>
      </x:c>
      <x:c r="C145" s="1" t="str">
        <x:v>HYCHIKA 18V Sierra Sable Inalámbrica, Sierra Alternativa, 0-2800 RPM, Ideal para Cortar Madera y Metal</x:v>
      </x:c>
      <x:c r="D145" s="1" t="str">
        <x:v>两年均有</x:v>
      </x:c>
      <x:c r="E145" s="12" t="n">
        <x:v>102</x:v>
      </x:c>
      <x:c r="F145" s="12" t="n">
        <x:v>5915</x:v>
      </x:c>
      <x:c r="G145" s="16" t="n">
        <x:v>0.0172</x:v>
      </x:c>
      <x:c r="H145" s="16" t="n">
        <x:f>IF(F145&gt;0,E145/F145,"")</x:f>
        <x:v>0.01724429416737109</x:v>
      </x:c>
      <x:c r="I145" s="36" t="n">
        <x:v>4022.96</x:v>
      </x:c>
      <x:c r="J145" s="12" t="n">
        <x:v>0</x:v>
      </x:c>
      <x:c r="K145" s="12" t="n">
        <x:v>0</x:v>
      </x:c>
      <x:c r="L145" s="16" t="n">
        <x:v>0</x:v>
      </x:c>
      <x:c r="M145" s="16" t="str">
        <x:f>IF(K145&gt;0,J145/K145,"")</x:f>
      </x:c>
      <x:c r="N145" s="36" t="n">
        <x:v>0</x:v>
      </x:c>
      <x:c r="O145" s="19" t="n">
        <x:f>J145-E145</x:f>
        <x:v>-102</x:v>
      </x:c>
      <x:c r="P145" s="19" t="n">
        <x:f>K145-F145</x:f>
        <x:v>-5915</x:v>
      </x:c>
      <x:c r="Q145" s="20" t="str">
        <x:f>IF(AND(F145&gt;0,K145&gt;0),(M145-H145)*100,"")</x:f>
      </x:c>
      <x:c r="R145" s="12" t="n">
        <x:v>17</x:v>
      </x:c>
      <x:c r="S145" s="12" t="n">
        <x:v>2</x:v>
      </x:c>
    </x:row>
    <x:row r="146" ht="22" customHeight="1">
      <x:c r="A146" s="1" t="str">
        <x:v>B0CST2M7XS</x:v>
      </x:c>
      <x:c r="B146" s="1" t="str">
        <x:v>锯片与开孔耗材</x:v>
      </x:c>
      <x:c r="C146" s="1" t="str">
        <x:v>HYCHIKA Seghe a Tazza Bi-Metallica 140mm, Fresa A Tazza per Legno, Iron Alluminio, Cartongesso, Tubi, Plastica, Pannelli di Fibra</x:v>
      </x:c>
      <x:c r="D146" s="1" t="str">
        <x:v>两年均有</x:v>
      </x:c>
      <x:c r="E146" s="12" t="n">
        <x:v>84</x:v>
      </x:c>
      <x:c r="F146" s="12" t="n">
        <x:v>995</x:v>
      </x:c>
      <x:c r="G146" s="16" t="n">
        <x:v>0.0839</x:v>
      </x:c>
      <x:c r="H146" s="16" t="n">
        <x:f>IF(F146&gt;0,E146/F146,"")</x:f>
        <x:v>0.08442211055276382</x:v>
      </x:c>
      <x:c r="I146" s="36" t="n">
        <x:v>1093.76</x:v>
      </x:c>
      <x:c r="J146" s="12" t="n">
        <x:v>0</x:v>
      </x:c>
      <x:c r="K146" s="12" t="n">
        <x:v>0</x:v>
      </x:c>
      <x:c r="L146" s="16" t="n">
        <x:v>0</x:v>
      </x:c>
      <x:c r="M146" s="16" t="str">
        <x:f>IF(K146&gt;0,J146/K146,"")</x:f>
      </x:c>
      <x:c r="N146" s="36" t="n">
        <x:v>0</x:v>
      </x:c>
      <x:c r="O146" s="19" t="n">
        <x:f>J146-E146</x:f>
        <x:v>-84</x:v>
      </x:c>
      <x:c r="P146" s="19" t="n">
        <x:f>K146-F146</x:f>
        <x:v>-995</x:v>
      </x:c>
      <x:c r="Q146" s="20" t="str">
        <x:f>IF(AND(F146&gt;0,K146&gt;0),(M146-H146)*100,"")</x:f>
      </x:c>
      <x:c r="R146" s="12" t="n">
        <x:v>3</x:v>
      </x:c>
      <x:c r="S146" s="12" t="n">
        <x:v>0</x:v>
      </x:c>
    </x:row>
    <x:row r="147" ht="22" customHeight="1">
      <x:c r="A147" s="1" t="str">
        <x:v>B0C8RYFL4G</x:v>
      </x:c>
      <x:c r="B147" s="1" t="str">
        <x:v>电钻与冲击工具</x:v>
      </x:c>
      <x:c r="C147" s="1" t="str">
        <x:v>HYCHIKA Trapano Avvitatore Batteria 18V, Avvitatore a Batteria 2 Velocità 35Nm da 2.0AH, Ricarica Rapida in 1 ora, 22 Accessori Inclusi</x:v>
      </x:c>
      <x:c r="D147" s="1" t="str">
        <x:v>两年均有</x:v>
      </x:c>
      <x:c r="E147" s="12" t="n">
        <x:v>68</x:v>
      </x:c>
      <x:c r="F147" s="12" t="n">
        <x:v>3644</x:v>
      </x:c>
      <x:c r="G147" s="16" t="n">
        <x:v>0.0182</x:v>
      </x:c>
      <x:c r="H147" s="16" t="n">
        <x:f>IF(F147&gt;0,E147/F147,"")</x:f>
        <x:v>0.018660812294182216</x:v>
      </x:c>
      <x:c r="I147" s="36" t="n">
        <x:v>1754.94</x:v>
      </x:c>
      <x:c r="J147" s="12" t="n">
        <x:v>0</x:v>
      </x:c>
      <x:c r="K147" s="12" t="n">
        <x:v>0</x:v>
      </x:c>
      <x:c r="L147" s="16" t="n">
        <x:v>0</x:v>
      </x:c>
      <x:c r="M147" s="16" t="str">
        <x:f>IF(K147&gt;0,J147/K147,"")</x:f>
      </x:c>
      <x:c r="N147" s="36" t="n">
        <x:v>0</x:v>
      </x:c>
      <x:c r="O147" s="19" t="n">
        <x:f>J147-E147</x:f>
        <x:v>-68</x:v>
      </x:c>
      <x:c r="P147" s="19" t="n">
        <x:f>K147-F147</x:f>
        <x:v>-3644</x:v>
      </x:c>
      <x:c r="Q147" s="20" t="str">
        <x:f>IF(AND(F147&gt;0,K147&gt;0),(M147-H147)*100,"")</x:f>
      </x:c>
      <x:c r="R147" s="12" t="n">
        <x:v>11</x:v>
      </x:c>
      <x:c r="S147" s="12" t="n">
        <x:v>0</x:v>
      </x:c>
    </x:row>
    <x:row r="148" ht="22" customHeight="1">
      <x:c r="A148" s="1" t="str">
        <x:v>B0CCN9QZL7</x:v>
      </x:c>
      <x:c r="B148" s="1" t="str">
        <x:v>清洁电器与空气净化</x:v>
      </x:c>
      <x:c r="C148" s="1" t="str">
        <x:v>HYCHIKA Nass Trockensauger, 1200W Industriestaubsauger 20L Edelstahlbehälter, Nass- &amp; Trockensauger Blasen, mit HEPA-Filter und Zubehör ideal für Industrie und Haushalt</x:v>
      </x:c>
      <x:c r="D148" s="1" t="str">
        <x:v>两年均有</x:v>
      </x:c>
      <x:c r="E148" s="12" t="n">
        <x:v>43</x:v>
      </x:c>
      <x:c r="F148" s="12" t="n">
        <x:v>2259</x:v>
      </x:c>
      <x:c r="G148" s="16" t="n">
        <x:v>0.0174</x:v>
      </x:c>
      <x:c r="H148" s="16" t="n">
        <x:f>IF(F148&gt;0,E148/F148,"")</x:f>
        <x:v>0.019034971226206288</x:v>
      </x:c>
      <x:c r="I148" s="36" t="n">
        <x:v>1496.55</x:v>
      </x:c>
      <x:c r="J148" s="12" t="n">
        <x:v>0</x:v>
      </x:c>
      <x:c r="K148" s="12" t="n">
        <x:v>361</x:v>
      </x:c>
      <x:c r="L148" s="16" t="n">
        <x:v>0</x:v>
      </x:c>
      <x:c r="M148" s="16" t="n">
        <x:f>IF(K148&gt;0,J148/K148,"")</x:f>
        <x:v>0</x:v>
      </x:c>
      <x:c r="N148" s="36" t="n">
        <x:v>0</x:v>
      </x:c>
      <x:c r="O148" s="19" t="n">
        <x:f>J148-E148</x:f>
        <x:v>-43</x:v>
      </x:c>
      <x:c r="P148" s="19" t="n">
        <x:f>K148-F148</x:f>
        <x:v>-1898</x:v>
      </x:c>
      <x:c r="Q148" s="20" t="n">
        <x:f>IF(AND(F148&gt;0,K148&gt;0),(M148-H148)*100,"")</x:f>
        <x:v>-1.9034971226206288</x:v>
      </x:c>
      <x:c r="R148" s="12" t="n">
        <x:v>15</x:v>
      </x:c>
      <x:c r="S148" s="12" t="n">
        <x:v>2</x:v>
      </x:c>
    </x:row>
    <x:row r="149" ht="22" customHeight="1">
      <x:c r="A149" s="1" t="str">
        <x:v>B091PZXJ9M</x:v>
      </x:c>
      <x:c r="B149" s="1" t="str">
        <x:v>工作照明与应急</x:v>
      </x:c>
      <x:c r="C149" s="1" t="str">
        <x:v>Radio mit LED Taschenlampe, HYCHIKA Tragbares Radio Weltempfänger Bluetooth Lautsprecher Wetter AM/FM/SW Notfallradio, 8000mAh Wiederaufladbare Powerbank, USB-Handy-Lader, 3 Modi LED Taschenlampe</x:v>
      </x:c>
      <x:c r="D149" s="1" t="str">
        <x:v>两年均有</x:v>
      </x:c>
      <x:c r="E149" s="12" t="n">
        <x:v>9</x:v>
      </x:c>
      <x:c r="F149" s="12" t="n">
        <x:v>283</x:v>
      </x:c>
      <x:c r="G149" s="16" t="n">
        <x:v>0.0147</x:v>
      </x:c>
      <x:c r="H149" s="16" t="n">
        <x:f>IF(F149&gt;0,E149/F149,"")</x:f>
        <x:v>0.03180212014134275</x:v>
      </x:c>
      <x:c r="I149" s="36" t="n">
        <x:v>212.62</x:v>
      </x:c>
      <x:c r="J149" s="12" t="n">
        <x:v>0</x:v>
      </x:c>
      <x:c r="K149" s="12" t="n">
        <x:v>56</x:v>
      </x:c>
      <x:c r="L149" s="16" t="n">
        <x:v>0</x:v>
      </x:c>
      <x:c r="M149" s="16" t="n">
        <x:f>IF(K149&gt;0,J149/K149,"")</x:f>
        <x:v>0</x:v>
      </x:c>
      <x:c r="N149" s="36" t="n">
        <x:v>0</x:v>
      </x:c>
      <x:c r="O149" s="19" t="n">
        <x:f>J149-E149</x:f>
        <x:v>-9</x:v>
      </x:c>
      <x:c r="P149" s="19" t="n">
        <x:f>K149-F149</x:f>
        <x:v>-227</x:v>
      </x:c>
      <x:c r="Q149" s="20" t="n">
        <x:f>IF(AND(F149&gt;0,K149&gt;0),(M149-H149)*100,"")</x:f>
        <x:v>-3.180212014134275</x:v>
      </x:c>
      <x:c r="R149" s="12" t="n">
        <x:v>3</x:v>
      </x:c>
      <x:c r="S149" s="12" t="n">
        <x:v>1</x:v>
      </x:c>
    </x:row>
    <x:row r="150" ht="22" customHeight="1">
      <x:c r="A150" s="1" t="str">
        <x:v>B0C94K6HB2</x:v>
      </x:c>
      <x:c r="B150" s="1" t="str">
        <x:v>清洁电器与空气净化</x:v>
      </x:c>
      <x:c r="C150" s="1" t="str">
        <x:v>HYCHIKA Aspiratore Solidi-Liquidi, 18V Aspirapolvere A Batteria,150W 15L, Applica A Piscina/Auto/Famiglia, Con Filtro, Sacchetto Filtro, Funzione Di Soffiaggio, Bocchetta Per Pavimenti E Fessure.</x:v>
      </x:c>
      <x:c r="D150" s="1" t="str">
        <x:v>两年均有</x:v>
      </x:c>
      <x:c r="E150" s="12" t="n">
        <x:v>7</x:v>
      </x:c>
      <x:c r="F150" s="12" t="n">
        <x:v>2567</x:v>
      </x:c>
      <x:c r="G150" s="16" t="n">
        <x:v>0.0008</x:v>
      </x:c>
      <x:c r="H150" s="16" t="n">
        <x:f>IF(F150&gt;0,E150/F150,"")</x:f>
        <x:v>0.0027269185820023374</x:v>
      </x:c>
      <x:c r="I150" s="36" t="n">
        <x:v>540.22</x:v>
      </x:c>
      <x:c r="J150" s="12" t="n">
        <x:v>0</x:v>
      </x:c>
      <x:c r="K150" s="12" t="n">
        <x:v>46</x:v>
      </x:c>
      <x:c r="L150" s="16" t="n">
        <x:v>0</x:v>
      </x:c>
      <x:c r="M150" s="16" t="n">
        <x:f>IF(K150&gt;0,J150/K150,"")</x:f>
        <x:v>0</x:v>
      </x:c>
      <x:c r="N150" s="36" t="n">
        <x:v>0</x:v>
      </x:c>
      <x:c r="O150" s="19" t="n">
        <x:f>J150-E150</x:f>
        <x:v>-7</x:v>
      </x:c>
      <x:c r="P150" s="19" t="n">
        <x:f>K150-F150</x:f>
        <x:v>-2521</x:v>
      </x:c>
      <x:c r="Q150" s="20" t="n">
        <x:f>IF(AND(F150&gt;0,K150&gt;0),(M150-H150)*100,"")</x:f>
        <x:v>-0.2726918582002337</x:v>
      </x:c>
      <x:c r="R150" s="12" t="n">
        <x:v>2</x:v>
      </x:c>
      <x:c r="S150" s="12" t="n">
        <x:v>0</x:v>
      </x:c>
    </x:row>
    <x:row r="151" ht="22" customHeight="1">
      <x:c r="A151" s="1" t="str">
        <x:v>B07S6S6C1B</x:v>
      </x:c>
      <x:c r="B151" s="1" t="str">
        <x:v>电锯与电动切割</x:v>
      </x:c>
      <x:c r="C151" s="1" t="str">
        <x:v>Kreissäge, HYCHIKA Handkreissäge 1500W 4700RPM, Max. Schnitttiefe: 90°: 65mm/45°: 45mm mit 2 Sägeblättern 190mm(24T/40T), Kupfermotor, Sicherheitsschalter für Holz DIY</x:v>
      </x:c>
      <x:c r="D151" s="1" t="str">
        <x:v>两年均有</x:v>
      </x:c>
      <x:c r="E151" s="12" t="n">
        <x:v>1</x:v>
      </x:c>
      <x:c r="F151" s="12" t="n">
        <x:v>1106</x:v>
      </x:c>
      <x:c r="G151" s="16" t="n">
        <x:v>0.0004</x:v>
      </x:c>
      <x:c r="H151" s="16" t="n">
        <x:f>IF(F151&gt;0,E151/F151,"")</x:f>
        <x:v>0.0009041591320072332</x:v>
      </x:c>
      <x:c r="I151" s="36" t="n">
        <x:v>55.74</x:v>
      </x:c>
      <x:c r="J151" s="12" t="n">
        <x:v>0</x:v>
      </x:c>
      <x:c r="K151" s="12" t="n">
        <x:v>0</x:v>
      </x:c>
      <x:c r="L151" s="16" t="n">
        <x:v>0</x:v>
      </x:c>
      <x:c r="M151" s="16" t="str">
        <x:f>IF(K151&gt;0,J151/K151,"")</x:f>
      </x:c>
      <x:c r="N151" s="36" t="n">
        <x:v>0</x:v>
      </x:c>
      <x:c r="O151" s="19" t="n">
        <x:f>J151-E151</x:f>
        <x:v>-1</x:v>
      </x:c>
      <x:c r="P151" s="19" t="n">
        <x:f>K151-F151</x:f>
        <x:v>-1106</x:v>
      </x:c>
      <x:c r="Q151" s="20" t="str">
        <x:f>IF(AND(F151&gt;0,K151&gt;0),(M151-H151)*100,"")</x:f>
      </x:c>
      <x:c r="R151" s="12" t="n">
        <x:v>1</x:v>
      </x:c>
      <x:c r="S151" s="12" t="n">
        <x:v>0</x:v>
      </x:c>
    </x:row>
    <x:row r="152" ht="22" customHeight="1">
      <x:c r="A152" s="1" t="str">
        <x:v>B0928RBDSH</x:v>
      </x:c>
      <x:c r="B152" s="1" t="str">
        <x:v>手动工具与套装</x:v>
      </x:c>
      <x:c r="C152" s="1" t="str">
        <x:v>SORAKO Werkzeugkoffer 97 teilig Werkzeugset Werkzeugkasten inkl.Schraubenschlüssel Steckschlüsseleinsätze Bitsatz Ratsche und den Schraubendreher mit Starker Tragetasche</x:v>
      </x:c>
      <x:c r="D152" s="1" t="str">
        <x:v>两年均有</x:v>
      </x:c>
      <x:c r="E152" s="12" t="n">
        <x:v>1</x:v>
      </x:c>
      <x:c r="F152" s="12" t="n">
        <x:v>9</x:v>
      </x:c>
      <x:c r="G152" s="16" t="n">
        <x:v>0.0075</x:v>
      </x:c>
      <x:c r="H152" s="16" t="n">
        <x:f>IF(F152&gt;0,E152/F152,"")</x:f>
        <x:v>0.1111111111111111</x:v>
      </x:c>
      <x:c r="I152" s="36" t="n">
        <x:v>29.4</x:v>
      </x:c>
      <x:c r="J152" s="12" t="n">
        <x:v>0</x:v>
      </x:c>
      <x:c r="K152" s="12" t="n">
        <x:v>0</x:v>
      </x:c>
      <x:c r="L152" s="16" t="n">
        <x:v>0</x:v>
      </x:c>
      <x:c r="M152" s="16" t="str">
        <x:f>IF(K152&gt;0,J152/K152,"")</x:f>
      </x:c>
      <x:c r="N152" s="36" t="n">
        <x:v>0</x:v>
      </x:c>
      <x:c r="O152" s="19" t="n">
        <x:f>J152-E152</x:f>
        <x:v>-1</x:v>
      </x:c>
      <x:c r="P152" s="19" t="n">
        <x:f>K152-F152</x:f>
        <x:v>-9</x:v>
      </x:c>
      <x:c r="Q152" s="20" t="str">
        <x:f>IF(AND(F152&gt;0,K152&gt;0),(M152-H152)*100,"")</x:f>
      </x:c>
      <x:c r="R152" s="12" t="n">
        <x:v>1</x:v>
      </x:c>
      <x:c r="S152" s="12" t="n">
        <x:v>0</x:v>
      </x:c>
    </x:row>
    <x:row r="153" ht="22" customHeight="1">
      <x:c r="A153" s="1" t="str">
        <x:v>B09NCVHY5V</x:v>
      </x:c>
      <x:c r="B153" s="1" t="str">
        <x:v>电钻与冲击工具</x:v>
      </x:c>
      <x:c r="C153" s="1" t="str">
        <x:v>HYCHIKA Akkuschrauber, Akku Bohrschrauber 12V, 30Nm Drehmoment, 2x1.5 Ah Akkus, Schnellladung, 21+1 Drehmomenteinstellungen, Zwei Geschwindigkeiten, 22 Zubehör, Ideal zum Schrauben und Bohren</x:v>
      </x:c>
      <x:c r="D153" s="1" t="str">
        <x:v>两年均有</x:v>
      </x:c>
      <x:c r="E153" s="12" t="n">
        <x:v>1</x:v>
      </x:c>
      <x:c r="F153" s="12" t="n">
        <x:v>2479</x:v>
      </x:c>
      <x:c r="G153" s="16" t="n">
        <x:v>0.0004</x:v>
      </x:c>
      <x:c r="H153" s="16" t="n">
        <x:f>IF(F153&gt;0,E153/F153,"")</x:f>
        <x:v>0.0004033884630899556</x:v>
      </x:c>
      <x:c r="I153" s="36" t="n">
        <x:v>45.42</x:v>
      </x:c>
      <x:c r="J153" s="12" t="n">
        <x:v>0</x:v>
      </x:c>
      <x:c r="K153" s="12" t="n">
        <x:v>0</x:v>
      </x:c>
      <x:c r="L153" s="16" t="n">
        <x:v>0</x:v>
      </x:c>
      <x:c r="M153" s="16" t="str">
        <x:f>IF(K153&gt;0,J153/K153,"")</x:f>
      </x:c>
      <x:c r="N153" s="36" t="n">
        <x:v>0</x:v>
      </x:c>
      <x:c r="O153" s="19" t="n">
        <x:f>J153-E153</x:f>
        <x:v>-1</x:v>
      </x:c>
      <x:c r="P153" s="19" t="n">
        <x:f>K153-F153</x:f>
        <x:v>-2479</x:v>
      </x:c>
      <x:c r="Q153" s="20" t="str">
        <x:f>IF(AND(F153&gt;0,K153&gt;0),(M153-H153)*100,"")</x:f>
      </x:c>
      <x:c r="R153" s="12" t="n">
        <x:v>6</x:v>
      </x:c>
      <x:c r="S153" s="12" t="n">
        <x:v>0</x:v>
      </x:c>
    </x:row>
    <x:row r="154" ht="22" customHeight="1">
      <x:c r="A154" s="1" t="str">
        <x:v>B0BR3LTSFY</x:v>
      </x:c>
      <x:c r="B154" s="1" t="str">
        <x:v>手动工具与套装</x:v>
      </x:c>
      <x:c r="C154" s="1" t="str">
        <x:v>SORAKO Ratschenschlüssel 10mm, Schraubenschlüssel Maulschlüssel Ringmaulschlüssel aus CR-V mit mattierter Chromoberfläche</x:v>
      </x:c>
      <x:c r="D154" s="1" t="str">
        <x:v>仅2025</x:v>
      </x:c>
      <x:c r="E154" s="12" t="n">
        <x:v>1</x:v>
      </x:c>
      <x:c r="F154" s="12" t="n">
        <x:v>72</x:v>
      </x:c>
      <x:c r="G154" s="16" t="n">
        <x:v>0.0139</x:v>
      </x:c>
      <x:c r="H154" s="16" t="n">
        <x:f>IF(F154&gt;0,E154/F154,"")</x:f>
        <x:v>0.013888888888888888</x:v>
      </x:c>
      <x:c r="I154" s="36" t="n">
        <x:v>4.95</x:v>
      </x:c>
      <x:c r="J154" s="12" t="n">
        <x:v>0</x:v>
      </x:c>
      <x:c r="K154" s="12" t="n">
        <x:v>0</x:v>
      </x:c>
      <x:c r="L154" s="16"/>
      <x:c r="M154" s="16" t="str">
        <x:f>IF(K154&gt;0,J154/K154,"")</x:f>
      </x:c>
      <x:c r="N154" s="36" t="n">
        <x:v>0</x:v>
      </x:c>
      <x:c r="O154" s="19" t="n">
        <x:f>J154-E154</x:f>
        <x:v>-1</x:v>
      </x:c>
      <x:c r="P154" s="19" t="n">
        <x:f>K154-F154</x:f>
        <x:v>-72</x:v>
      </x:c>
      <x:c r="Q154" s="20" t="str">
        <x:f>IF(AND(F154&gt;0,K154&gt;0),(M154-H154)*100,"")</x:f>
      </x:c>
      <x:c r="R154" s="12" t="n">
        <x:v>0</x:v>
      </x:c>
      <x:c r="S154" s="12" t="n">
        <x:v>0</x:v>
      </x:c>
    </x:row>
    <x:row r="155" ht="22" customHeight="1">
      <x:c r="A155" s="1" t="str">
        <x:v>B0C5MY4N4Y</x:v>
      </x:c>
      <x:c r="B155" s="1" t="str">
        <x:v>电动螺丝刀</x:v>
      </x:c>
      <x:c r="C155" s="1" t="str">
        <x:v>Cacciaviti Precisione - Hychika 24 In 1 Mini Cacciavite Elettrico Multifunzione, Kit Di Riparazione Elettronica Fai Da Te Per Iphone, Samsung, Tablet, Pc, Laptop, Occhiali</x:v>
      </x:c>
      <x:c r="D155" s="1" t="str">
        <x:v>两年均有</x:v>
      </x:c>
      <x:c r="E155" s="12" t="n">
        <x:v>1</x:v>
      </x:c>
      <x:c r="F155" s="12" t="n">
        <x:v>158</x:v>
      </x:c>
      <x:c r="G155" s="16" t="n">
        <x:v>0.0055</x:v>
      </x:c>
      <x:c r="H155" s="16" t="n">
        <x:f>IF(F155&gt;0,E155/F155,"")</x:f>
        <x:v>0.006329113924050633</x:v>
      </x:c>
      <x:c r="I155" s="36" t="n">
        <x:v>17.84</x:v>
      </x:c>
      <x:c r="J155" s="12" t="n">
        <x:v>0</x:v>
      </x:c>
      <x:c r="K155" s="12" t="n">
        <x:v>18</x:v>
      </x:c>
      <x:c r="L155" s="16" t="n">
        <x:v>0</x:v>
      </x:c>
      <x:c r="M155" s="16" t="n">
        <x:f>IF(K155&gt;0,J155/K155,"")</x:f>
        <x:v>0</x:v>
      </x:c>
      <x:c r="N155" s="36" t="n">
        <x:v>0</x:v>
      </x:c>
      <x:c r="O155" s="19" t="n">
        <x:f>J155-E155</x:f>
        <x:v>-1</x:v>
      </x:c>
      <x:c r="P155" s="19" t="n">
        <x:f>K155-F155</x:f>
        <x:v>-140</x:v>
      </x:c>
      <x:c r="Q155" s="20" t="n">
        <x:f>IF(AND(F155&gt;0,K155&gt;0),(M155-H155)*100,"")</x:f>
        <x:v>-0.6329113924050633</x:v>
      </x:c>
      <x:c r="R155" s="12" t="n">
        <x:v>1</x:v>
      </x:c>
      <x:c r="S155" s="12" t="n">
        <x:v>0</x:v>
      </x:c>
    </x:row>
    <x:row r="156" ht="22" customHeight="1">
      <x:c r="A156" s="1" t="str">
        <x:v>B0CDBF1FSZ</x:v>
      </x:c>
      <x:c r="B156" s="1" t="str">
        <x:v>激光水平仪与测距</x:v>
      </x:c>
      <x:c r="C156" s="1" t="str">
        <x:v>Metro Laser - Hychika Misuratore Laser Tipo C Ricaricabile Telemetro Laser Con Retroilluminazione Lcd M/In/Ft Modalità Di Misurazione Multipla Misurazioni Di Volume Area Distanza Pitagora (40M)</x:v>
      </x:c>
      <x:c r="D156" s="1" t="str">
        <x:v>仅2025</x:v>
      </x:c>
      <x:c r="E156" s="12" t="n">
        <x:v>1</x:v>
      </x:c>
      <x:c r="F156" s="12" t="n">
        <x:v>35</x:v>
      </x:c>
      <x:c r="G156" s="16" t="n">
        <x:v>0.0286</x:v>
      </x:c>
      <x:c r="H156" s="16" t="n">
        <x:f>IF(F156&gt;0,E156/F156,"")</x:f>
        <x:v>0.02857142857142857</x:v>
      </x:c>
      <x:c r="I156" s="36" t="n">
        <x:v>19.58</x:v>
      </x:c>
      <x:c r="J156" s="12" t="n">
        <x:v>0</x:v>
      </x:c>
      <x:c r="K156" s="12" t="n">
        <x:v>0</x:v>
      </x:c>
      <x:c r="L156" s="16"/>
      <x:c r="M156" s="16" t="str">
        <x:f>IF(K156&gt;0,J156/K156,"")</x:f>
      </x:c>
      <x:c r="N156" s="36" t="n">
        <x:v>0</x:v>
      </x:c>
      <x:c r="O156" s="19" t="n">
        <x:f>J156-E156</x:f>
        <x:v>-1</x:v>
      </x:c>
      <x:c r="P156" s="19" t="n">
        <x:f>K156-F156</x:f>
        <x:v>-35</x:v>
      </x:c>
      <x:c r="Q156" s="20" t="str">
        <x:f>IF(AND(F156&gt;0,K156&gt;0),(M156-H156)*100,"")</x:f>
      </x:c>
      <x:c r="R156" s="12" t="n">
        <x:v>2</x:v>
      </x:c>
      <x:c r="S156" s="12" t="n">
        <x:v>0</x:v>
      </x:c>
    </x:row>
    <x:row r="157" ht="22" customHeight="1">
      <x:c r="A157" s="1" t="str">
        <x:v>B0D8T88D8K</x:v>
      </x:c>
      <x:c r="B157" s="1" t="str">
        <x:v>电钻与冲击工具</x:v>
      </x:c>
      <x:c r="C157" s="1" t="str">
        <x:v>HYCHIKA Taladro Percutor a Batería 18 V, Taladro Inalámbrico con Batería de 2,0 AH, Taladro de Impacto máx 45 Nm, 2 velocidades, Par 21+3, con 27 Accesorios</x:v>
      </x:c>
      <x:c r="D157" s="1" t="str">
        <x:v>两年均有</x:v>
      </x:c>
      <x:c r="E157" s="12" t="n">
        <x:v>1</x:v>
      </x:c>
      <x:c r="F157" s="12" t="n">
        <x:v>163</x:v>
      </x:c>
      <x:c r="G157" s="16" t="n">
        <x:v>0.0011</x:v>
      </x:c>
      <x:c r="H157" s="16" t="n">
        <x:f>IF(F157&gt;0,E157/F157,"")</x:f>
        <x:v>0.006134969325153374</x:v>
      </x:c>
      <x:c r="I157" s="36" t="n">
        <x:v>49.58</x:v>
      </x:c>
      <x:c r="J157" s="12" t="n">
        <x:v>0</x:v>
      </x:c>
      <x:c r="K157" s="12" t="n">
        <x:v>0</x:v>
      </x:c>
      <x:c r="L157" s="16" t="n">
        <x:v>0</x:v>
      </x:c>
      <x:c r="M157" s="16" t="str">
        <x:f>IF(K157&gt;0,J157/K157,"")</x:f>
      </x:c>
      <x:c r="N157" s="36" t="n">
        <x:v>0</x:v>
      </x:c>
      <x:c r="O157" s="19" t="n">
        <x:f>J157-E157</x:f>
        <x:v>-1</x:v>
      </x:c>
      <x:c r="P157" s="19" t="n">
        <x:f>K157-F157</x:f>
        <x:v>-163</x:v>
      </x:c>
      <x:c r="Q157" s="20" t="str">
        <x:f>IF(AND(F157&gt;0,K157&gt;0),(M157-H157)*100,"")</x:f>
      </x:c>
      <x:c r="R157" s="12" t="n">
        <x:v>1</x:v>
      </x:c>
      <x:c r="S157" s="12" t="n">
        <x:v>0</x:v>
      </x:c>
    </x:row>
    <x:row r="158" ht="22" customHeight="1">
      <x:c r="A158" s="1" t="str">
        <x:v>B088W9NM18</x:v>
      </x:c>
      <x:c r="B158" s="1" t="str">
        <x:v>工作照明与应急</x:v>
      </x:c>
      <x:c r="C158" s="1" t="str">
        <x:v>HYCHIKA LED Baustrahler 50W, LED Flutlicht 5500 LM 6500K, Wasserdichtes IP65 Arbeitsleuchter Drehbar, 3 m Kabel mit Stecker für Werkstatt Baustelle</x:v>
      </x:c>
      <x:c r="D158" s="1" t="str">
        <x:v>两年均有</x:v>
      </x:c>
      <x:c r="E158" s="12" t="n">
        <x:v>0</x:v>
      </x:c>
      <x:c r="F158" s="12" t="n">
        <x:v>199</x:v>
      </x:c>
      <x:c r="G158" s="16" t="n">
        <x:v>0</x:v>
      </x:c>
      <x:c r="H158" s="16" t="n">
        <x:f>IF(F158&gt;0,E158/F158,"")</x:f>
        <x:v>0</x:v>
      </x:c>
      <x:c r="I158" s="36" t="n">
        <x:v>0</x:v>
      </x:c>
      <x:c r="J158" s="12" t="n">
        <x:v>0</x:v>
      </x:c>
      <x:c r="K158" s="12" t="n">
        <x:v>0</x:v>
      </x:c>
      <x:c r="L158" s="16" t="n">
        <x:v>0</x:v>
      </x:c>
      <x:c r="M158" s="16" t="str">
        <x:f>IF(K158&gt;0,J158/K158,"")</x:f>
      </x:c>
      <x:c r="N158" s="36" t="n">
        <x:v>0</x:v>
      </x:c>
      <x:c r="O158" s="19" t="n">
        <x:f>J158-E158</x:f>
        <x:v>0</x:v>
      </x:c>
      <x:c r="P158" s="19" t="n">
        <x:f>K158-F158</x:f>
        <x:v>-199</x:v>
      </x:c>
      <x:c r="Q158" s="20" t="str">
        <x:f>IF(AND(F158&gt;0,K158&gt;0),(M158-H158)*100,"")</x:f>
      </x:c>
      <x:c r="R158" s="12" t="n">
        <x:v>35</x:v>
      </x:c>
      <x:c r="S158" s="12" t="n">
        <x:v>2</x:v>
      </x:c>
    </x:row>
    <x:row r="159" ht="22" customHeight="1">
      <x:c r="A159" s="1" t="str">
        <x:v>B08H1MCC9Y</x:v>
      </x:c>
      <x:c r="B159" s="1" t="str">
        <x:v>电锯与电动切割</x:v>
      </x:c>
      <x:c r="C159" s="1" t="str">
        <x:v>Sierra de calar 600 W, SORAKO caladora eléctrica 800~3000SPM, máx65 mm, 6 engranajes, 4 posiciones de pista, ángulo de corte ± 45°, para madera, PVC, madera contrachapada y metal</x:v>
      </x:c>
      <x:c r="D159" s="1" t="str">
        <x:v>两年均有</x:v>
      </x:c>
      <x:c r="E159" s="12" t="n">
        <x:v>0</x:v>
      </x:c>
      <x:c r="F159" s="12" t="n">
        <x:v>40</x:v>
      </x:c>
      <x:c r="G159" s="16" t="n">
        <x:v>0</x:v>
      </x:c>
      <x:c r="H159" s="16" t="n">
        <x:f>IF(F159&gt;0,E159/F159,"")</x:f>
        <x:v>0</x:v>
      </x:c>
      <x:c r="I159" s="36" t="n">
        <x:v>0</x:v>
      </x:c>
      <x:c r="J159" s="12" t="n">
        <x:v>0</x:v>
      </x:c>
      <x:c r="K159" s="12" t="n">
        <x:v>8</x:v>
      </x:c>
      <x:c r="L159" s="16" t="n">
        <x:v>0</x:v>
      </x:c>
      <x:c r="M159" s="16" t="n">
        <x:f>IF(K159&gt;0,J159/K159,"")</x:f>
        <x:v>0</x:v>
      </x:c>
      <x:c r="N159" s="36" t="n">
        <x:v>0</x:v>
      </x:c>
      <x:c r="O159" s="19" t="n">
        <x:f>J159-E159</x:f>
        <x:v>0</x:v>
      </x:c>
      <x:c r="P159" s="19" t="n">
        <x:f>K159-F159</x:f>
        <x:v>-32</x:v>
      </x:c>
      <x:c r="Q159" s="20" t="n">
        <x:f>IF(AND(F159&gt;0,K159&gt;0),(M159-H159)*100,"")</x:f>
        <x:v>0</x:v>
      </x:c>
      <x:c r="R159" s="12" t="n">
        <x:v>1</x:v>
      </x:c>
      <x:c r="S159" s="12" t="n">
        <x:v>0</x:v>
      </x:c>
    </x:row>
    <x:row r="160" ht="22" customHeight="1">
      <x:c r="A160" s="1" t="str">
        <x:v>B08LVBK2HR</x:v>
      </x:c>
      <x:c r="B160" s="1" t="str">
        <x:v>园艺设备与工具</x:v>
      </x:c>
      <x:c r="C160" s="1" t="str">
        <x:v>Tagliabordi a Batteria Brushless 36V, HYCHIKA Decespugliatore Elettrico 2 * 2.0Ah Batteria, 35cm Larghezza di Taglio, 2 Velocità, Filo da 2mm, 6000RPM, Angolo di Taglio, Ruota Spigoli, Tagliabordi</x:v>
      </x:c>
      <x:c r="D160" s="1" t="str">
        <x:v>两年均有</x:v>
      </x:c>
      <x:c r="E160" s="12" t="n">
        <x:v>0</x:v>
      </x:c>
      <x:c r="F160" s="12" t="n">
        <x:v>0</x:v>
      </x:c>
      <x:c r="G160" s="16" t="n">
        <x:v>0</x:v>
      </x:c>
      <x:c r="H160" s="16" t="str">
        <x:f>IF(F160&gt;0,E160/F160,"")</x:f>
      </x:c>
      <x:c r="I160" s="36" t="n">
        <x:v>0</x:v>
      </x:c>
      <x:c r="J160" s="12" t="n">
        <x:v>0</x:v>
      </x:c>
      <x:c r="K160" s="12" t="n">
        <x:v>0</x:v>
      </x:c>
      <x:c r="L160" s="16" t="n">
        <x:v>0</x:v>
      </x:c>
      <x:c r="M160" s="16" t="str">
        <x:f>IF(K160&gt;0,J160/K160,"")</x:f>
      </x:c>
      <x:c r="N160" s="36" t="n">
        <x:v>0</x:v>
      </x:c>
      <x:c r="O160" s="19" t="n">
        <x:f>J160-E160</x:f>
        <x:v>0</x:v>
      </x:c>
      <x:c r="P160" s="19" t="n">
        <x:f>K160-F160</x:f>
        <x:v>0</x:v>
      </x:c>
      <x:c r="Q160" s="20" t="str">
        <x:f>IF(AND(F160&gt;0,K160&gt;0),(M160-H160)*100,"")</x:f>
      </x:c>
      <x:c r="R160" s="12" t="n">
        <x:v>0</x:v>
      </x:c>
      <x:c r="S160" s="12" t="n">
        <x:v>0</x:v>
      </x:c>
    </x:row>
    <x:row r="161" ht="22" customHeight="1">
      <x:c r="A161" s="1" t="str">
        <x:v>B08LVCVQ4C</x:v>
      </x:c>
      <x:c r="B161" s="1" t="str">
        <x:v>园艺设备与工具</x:v>
      </x:c>
      <x:c r="C161" s="1" t="str">
        <x:v>Soplador de Hojas a Bateria Brushless 36V, HYCHIKA 2x 4.0Ah Batería, 2 Velocidades, 212 Km/h, Cargador Rápido, Soplador de Aire Inalámbrico, para Limpiar Hojas, Polvado de Garaje y Basura Pequeña</x:v>
      </x:c>
      <x:c r="D161" s="1" t="str">
        <x:v>两年均有</x:v>
      </x:c>
      <x:c r="E161" s="12" t="n">
        <x:v>0</x:v>
      </x:c>
      <x:c r="F161" s="12" t="n">
        <x:v>0</x:v>
      </x:c>
      <x:c r="G161" s="16" t="n">
        <x:v>0</x:v>
      </x:c>
      <x:c r="H161" s="16" t="str">
        <x:f>IF(F161&gt;0,E161/F161,"")</x:f>
      </x:c>
      <x:c r="I161" s="36" t="n">
        <x:v>0</x:v>
      </x:c>
      <x:c r="J161" s="12" t="n">
        <x:v>0</x:v>
      </x:c>
      <x:c r="K161" s="12" t="n">
        <x:v>0</x:v>
      </x:c>
      <x:c r="L161" s="16" t="n">
        <x:v>0</x:v>
      </x:c>
      <x:c r="M161" s="16" t="str">
        <x:f>IF(K161&gt;0,J161/K161,"")</x:f>
      </x:c>
      <x:c r="N161" s="36" t="n">
        <x:v>0</x:v>
      </x:c>
      <x:c r="O161" s="19" t="n">
        <x:f>J161-E161</x:f>
        <x:v>0</x:v>
      </x:c>
      <x:c r="P161" s="19" t="n">
        <x:f>K161-F161</x:f>
        <x:v>0</x:v>
      </x:c>
      <x:c r="Q161" s="20" t="str">
        <x:f>IF(AND(F161&gt;0,K161&gt;0),(M161-H161)*100,"")</x:f>
      </x:c>
      <x:c r="R161" s="12" t="n">
        <x:v>0</x:v>
      </x:c>
      <x:c r="S161" s="12" t="n">
        <x:v>0</x:v>
      </x:c>
    </x:row>
    <x:row r="162" ht="22" customHeight="1">
      <x:c r="A162" s="1" t="str">
        <x:v>B08LVFZRJY</x:v>
      </x:c>
      <x:c r="B162" s="1" t="str">
        <x:v>园艺设备与工具</x:v>
      </x:c>
      <x:c r="C162" s="1" t="str">
        <x:v>Tagliasiepi senza fili HYCHIKA 36V senza spazzole con batterie agli ioni di litio 2* 2,0 Ah e caricabatterie rapido, lunghezza lama 60 cm, diametro di taglio 26 mm</x:v>
      </x:c>
      <x:c r="D162" s="1" t="str">
        <x:v>两年均有</x:v>
      </x:c>
      <x:c r="E162" s="12" t="n">
        <x:v>0</x:v>
      </x:c>
      <x:c r="F162" s="12" t="n">
        <x:v>0</x:v>
      </x:c>
      <x:c r="G162" s="16" t="n">
        <x:v>0</x:v>
      </x:c>
      <x:c r="H162" s="16" t="str">
        <x:f>IF(F162&gt;0,E162/F162,"")</x:f>
      </x:c>
      <x:c r="I162" s="36" t="n">
        <x:v>0</x:v>
      </x:c>
      <x:c r="J162" s="12" t="n">
        <x:v>0</x:v>
      </x:c>
      <x:c r="K162" s="12" t="n">
        <x:v>0</x:v>
      </x:c>
      <x:c r="L162" s="16" t="n">
        <x:v>0</x:v>
      </x:c>
      <x:c r="M162" s="16" t="str">
        <x:f>IF(K162&gt;0,J162/K162,"")</x:f>
      </x:c>
      <x:c r="N162" s="36" t="n">
        <x:v>0</x:v>
      </x:c>
      <x:c r="O162" s="19" t="n">
        <x:f>J162-E162</x:f>
        <x:v>0</x:v>
      </x:c>
      <x:c r="P162" s="19" t="n">
        <x:f>K162-F162</x:f>
        <x:v>0</x:v>
      </x:c>
      <x:c r="Q162" s="20" t="str">
        <x:f>IF(AND(F162&gt;0,K162&gt;0),(M162-H162)*100,"")</x:f>
      </x:c>
      <x:c r="R162" s="12" t="n">
        <x:v>3</x:v>
      </x:c>
      <x:c r="S162" s="12" t="n">
        <x:v>0</x:v>
      </x:c>
    </x:row>
    <x:row r="163" ht="22" customHeight="1">
      <x:c r="A163" s="1" t="str">
        <x:v>B08PPB7ZQ3</x:v>
      </x:c>
      <x:c r="B163" s="1" t="str">
        <x:v>园艺设备与工具</x:v>
      </x:c>
      <x:c r="C163" s="1" t="str">
        <x:v>Robot Cortacésped 24V, HYCHIKA 3500RPM Robot para Superficies hasta 800 m², IPX4 Impermeable, 3 Cuchillas, Altura máx de Corte 55MM, Ancho 200MM, Protección Antirrobo, Cable Delimitador, Ganchos</x:v>
      </x:c>
      <x:c r="D163" s="1" t="str">
        <x:v>两年均有</x:v>
      </x:c>
      <x:c r="E163" s="12" t="n">
        <x:v>0</x:v>
      </x:c>
      <x:c r="F163" s="12" t="n">
        <x:v>0</x:v>
      </x:c>
      <x:c r="G163" s="16" t="n">
        <x:v>0</x:v>
      </x:c>
      <x:c r="H163" s="16" t="str">
        <x:f>IF(F163&gt;0,E163/F163,"")</x:f>
      </x:c>
      <x:c r="I163" s="36" t="n">
        <x:v>0</x:v>
      </x:c>
      <x:c r="J163" s="12" t="n">
        <x:v>0</x:v>
      </x:c>
      <x:c r="K163" s="12" t="n">
        <x:v>0</x:v>
      </x:c>
      <x:c r="L163" s="16" t="n">
        <x:v>0</x:v>
      </x:c>
      <x:c r="M163" s="16" t="str">
        <x:f>IF(K163&gt;0,J163/K163,"")</x:f>
      </x:c>
      <x:c r="N163" s="36" t="n">
        <x:v>0</x:v>
      </x:c>
      <x:c r="O163" s="19" t="n">
        <x:f>J163-E163</x:f>
        <x:v>0</x:v>
      </x:c>
      <x:c r="P163" s="19" t="n">
        <x:f>K163-F163</x:f>
        <x:v>0</x:v>
      </x:c>
      <x:c r="Q163" s="20" t="str">
        <x:f>IF(AND(F163&gt;0,K163&gt;0),(M163-H163)*100,"")</x:f>
      </x:c>
      <x:c r="R163" s="12" t="n">
        <x:v>0</x:v>
      </x:c>
      <x:c r="S163" s="12" t="n">
        <x:v>0</x:v>
      </x:c>
    </x:row>
    <x:row r="164" ht="22" customHeight="1">
      <x:c r="A164" s="1" t="str">
        <x:v>B08QD6HB6Y</x:v>
      </x:c>
      <x:c r="B164" s="1" t="str">
        <x:v>电钻与冲击工具</x:v>
      </x:c>
      <x:c r="C164" s="1" t="str">
        <x:v>SORAKO Trapano Avvitatore Batteria 18V, Avvitatore Elettrico 35N.m, Batteria al Litio da 2.0Ah, Ricarica Rapida in 40 minuto, 21+1 Regolazioni Coppia, 12 Accessori Inclusi</x:v>
      </x:c>
      <x:c r="D164" s="1" t="str">
        <x:v>两年均有</x:v>
      </x:c>
      <x:c r="E164" s="12" t="n">
        <x:v>0</x:v>
      </x:c>
      <x:c r="F164" s="12" t="n">
        <x:v>0</x:v>
      </x:c>
      <x:c r="G164" s="16" t="n">
        <x:v>0</x:v>
      </x:c>
      <x:c r="H164" s="16" t="str">
        <x:f>IF(F164&gt;0,E164/F164,"")</x:f>
      </x:c>
      <x:c r="I164" s="36" t="n">
        <x:v>0</x:v>
      </x:c>
      <x:c r="J164" s="12" t="n">
        <x:v>0</x:v>
      </x:c>
      <x:c r="K164" s="12" t="n">
        <x:v>0</x:v>
      </x:c>
      <x:c r="L164" s="16" t="n">
        <x:v>0</x:v>
      </x:c>
      <x:c r="M164" s="16" t="str">
        <x:f>IF(K164&gt;0,J164/K164,"")</x:f>
      </x:c>
      <x:c r="N164" s="36" t="n">
        <x:v>0</x:v>
      </x:c>
      <x:c r="O164" s="19" t="n">
        <x:f>J164-E164</x:f>
        <x:v>0</x:v>
      </x:c>
      <x:c r="P164" s="19" t="n">
        <x:f>K164-F164</x:f>
        <x:v>0</x:v>
      </x:c>
      <x:c r="Q164" s="20" t="str">
        <x:f>IF(AND(F164&gt;0,K164&gt;0),(M164-H164)*100,"")</x:f>
      </x:c>
      <x:c r="R164" s="12" t="n">
        <x:v>0</x:v>
      </x:c>
      <x:c r="S164" s="12" t="n">
        <x:v>0</x:v>
      </x:c>
    </x:row>
    <x:row r="165" ht="22" customHeight="1">
      <x:c r="A165" s="1" t="str">
        <x:v>B08YYJJJ1W</x:v>
      </x:c>
      <x:c r="B165" s="1" t="str">
        <x:v>园艺设备与工具</x:v>
      </x:c>
      <x:c r="C165" s="1" t="str">
        <x:v>Tagliasiepi a Batteria, SORAKO 18V Tagliasiepi Elettrico 2000SPM, con 2000mAh Li-ion e Caricabatterie, Lunghezza Lama 45 cm, Spaziatura Denti 18 mm</x:v>
      </x:c>
      <x:c r="D165" s="1" t="str">
        <x:v>两年均有</x:v>
      </x:c>
      <x:c r="E165" s="12" t="n">
        <x:v>0</x:v>
      </x:c>
      <x:c r="F165" s="12" t="n">
        <x:v>0</x:v>
      </x:c>
      <x:c r="G165" s="16" t="n">
        <x:v>0</x:v>
      </x:c>
      <x:c r="H165" s="16" t="str">
        <x:f>IF(F165&gt;0,E165/F165,"")</x:f>
      </x:c>
      <x:c r="I165" s="36" t="n">
        <x:v>0</x:v>
      </x:c>
      <x:c r="J165" s="12" t="n">
        <x:v>0</x:v>
      </x:c>
      <x:c r="K165" s="12" t="n">
        <x:v>0</x:v>
      </x:c>
      <x:c r="L165" s="16" t="n">
        <x:v>0</x:v>
      </x:c>
      <x:c r="M165" s="16" t="str">
        <x:f>IF(K165&gt;0,J165/K165,"")</x:f>
      </x:c>
      <x:c r="N165" s="36" t="n">
        <x:v>0</x:v>
      </x:c>
      <x:c r="O165" s="19" t="n">
        <x:f>J165-E165</x:f>
        <x:v>0</x:v>
      </x:c>
      <x:c r="P165" s="19" t="n">
        <x:f>K165-F165</x:f>
        <x:v>0</x:v>
      </x:c>
      <x:c r="Q165" s="20" t="str">
        <x:f>IF(AND(F165&gt;0,K165&gt;0),(M165-H165)*100,"")</x:f>
      </x:c>
      <x:c r="R165" s="12" t="n">
        <x:v>0</x:v>
      </x:c>
      <x:c r="S165" s="12" t="n">
        <x:v>0</x:v>
      </x:c>
    </x:row>
    <x:row r="166" ht="22" customHeight="1">
      <x:c r="A166" s="1" t="str">
        <x:v>B091PZGFC7</x:v>
      </x:c>
      <x:c r="B166" s="1" t="str">
        <x:v>工作照明与应急</x:v>
      </x:c>
      <x:c r="C166" s="1" t="str">
        <x:v>HYCHIKA LED Baustrahler Arbeitsstrahler mit Stativ 2x60W,LED Strahler mit Stativ 2x7000 Lumen,1.75M Einstellbar Teleskopisch Tripod-Ständer, 360°Grad Drehung 5M Kabel LED Arbeitsleuchte auf Stativ</x:v>
      </x:c>
      <x:c r="D166" s="1" t="str">
        <x:v>两年均有</x:v>
      </x:c>
      <x:c r="E166" s="12" t="n">
        <x:v>0</x:v>
      </x:c>
      <x:c r="F166" s="12" t="n">
        <x:v>0</x:v>
      </x:c>
      <x:c r="G166" s="16" t="n">
        <x:v>0</x:v>
      </x:c>
      <x:c r="H166" s="16" t="str">
        <x:f>IF(F166&gt;0,E166/F166,"")</x:f>
      </x:c>
      <x:c r="I166" s="36" t="n">
        <x:v>0</x:v>
      </x:c>
      <x:c r="J166" s="12" t="n">
        <x:v>0</x:v>
      </x:c>
      <x:c r="K166" s="12" t="n">
        <x:v>0</x:v>
      </x:c>
      <x:c r="L166" s="16" t="n">
        <x:v>0</x:v>
      </x:c>
      <x:c r="M166" s="16" t="str">
        <x:f>IF(K166&gt;0,J166/K166,"")</x:f>
      </x:c>
      <x:c r="N166" s="36" t="n">
        <x:v>0</x:v>
      </x:c>
      <x:c r="O166" s="19" t="n">
        <x:f>J166-E166</x:f>
        <x:v>0</x:v>
      </x:c>
      <x:c r="P166" s="19" t="n">
        <x:f>K166-F166</x:f>
        <x:v>0</x:v>
      </x:c>
      <x:c r="Q166" s="20" t="str">
        <x:f>IF(AND(F166&gt;0,K166&gt;0),(M166-H166)*100,"")</x:f>
      </x:c>
      <x:c r="R166" s="12" t="n">
        <x:v>0</x:v>
      </x:c>
      <x:c r="S166" s="12" t="n">
        <x:v>0</x:v>
      </x:c>
    </x:row>
    <x:row r="167" ht="22" customHeight="1">
      <x:c r="A167" s="1" t="str">
        <x:v>B091PZLPFS</x:v>
      </x:c>
      <x:c r="B167" s="1" t="str">
        <x:v>打磨耗材</x:v>
      </x:c>
      <x:c r="C167" s="1" t="str">
        <x:v>HYCHIKA Papeles de Lija, 60 Piezas Grano Cada 10x 60/80/100/120/180/240 con 6 Agujeros, Diseñado Específicamente para HYCHIKA Lijadora Madera(Número Modelo: FL118A/MS200W)</x:v>
      </x:c>
      <x:c r="D167" s="1" t="str">
        <x:v>两年均有</x:v>
      </x:c>
      <x:c r="E167" s="12" t="n">
        <x:v>0</x:v>
      </x:c>
      <x:c r="F167" s="12" t="n">
        <x:v>614</x:v>
      </x:c>
      <x:c r="G167" s="16" t="n">
        <x:v>0</x:v>
      </x:c>
      <x:c r="H167" s="16" t="n">
        <x:f>IF(F167&gt;0,E167/F167,"")</x:f>
        <x:v>0</x:v>
      </x:c>
      <x:c r="I167" s="36" t="n">
        <x:v>0</x:v>
      </x:c>
      <x:c r="J167" s="12" t="n">
        <x:v>0</x:v>
      </x:c>
      <x:c r="K167" s="12" t="n">
        <x:v>0</x:v>
      </x:c>
      <x:c r="L167" s="16" t="n">
        <x:v>0</x:v>
      </x:c>
      <x:c r="M167" s="16" t="str">
        <x:f>IF(K167&gt;0,J167/K167,"")</x:f>
      </x:c>
      <x:c r="N167" s="36" t="n">
        <x:v>0</x:v>
      </x:c>
      <x:c r="O167" s="19" t="n">
        <x:f>J167-E167</x:f>
        <x:v>0</x:v>
      </x:c>
      <x:c r="P167" s="19" t="n">
        <x:f>K167-F167</x:f>
        <x:v>-614</x:v>
      </x:c>
      <x:c r="Q167" s="20" t="str">
        <x:f>IF(AND(F167&gt;0,K167&gt;0),(M167-H167)*100,"")</x:f>
      </x:c>
      <x:c r="R167" s="12" t="n">
        <x:v>0</x:v>
      </x:c>
      <x:c r="S167" s="12" t="n">
        <x:v>0</x:v>
      </x:c>
    </x:row>
    <x:row r="168" ht="22" customHeight="1">
      <x:c r="A168" s="1" t="str">
        <x:v>B091Q11982</x:v>
      </x:c>
      <x:c r="B168" s="1" t="str">
        <x:v>工作照明与应急</x:v>
      </x:c>
      <x:c r="C168" s="1" t="str">
        <x:v>HYCHIKA 4 en 1 multifunción LED Recargable luz 15 W, 8000 mAh, Radio FM, Altavoz Bluetooth, Alarma SOS para Exteriores, Camping, Senderismo</x:v>
      </x:c>
      <x:c r="D168" s="1" t="str">
        <x:v>两年均有</x:v>
      </x:c>
      <x:c r="E168" s="12" t="n">
        <x:v>0</x:v>
      </x:c>
      <x:c r="F168" s="12" t="n">
        <x:v>240</x:v>
      </x:c>
      <x:c r="G168" s="16" t="n">
        <x:v>0</x:v>
      </x:c>
      <x:c r="H168" s="16" t="n">
        <x:f>IF(F168&gt;0,E168/F168,"")</x:f>
        <x:v>0</x:v>
      </x:c>
      <x:c r="I168" s="36" t="n">
        <x:v>0</x:v>
      </x:c>
      <x:c r="J168" s="12" t="n">
        <x:v>0</x:v>
      </x:c>
      <x:c r="K168" s="12" t="n">
        <x:v>26</x:v>
      </x:c>
      <x:c r="L168" s="16" t="n">
        <x:v>0</x:v>
      </x:c>
      <x:c r="M168" s="16" t="n">
        <x:f>IF(K168&gt;0,J168/K168,"")</x:f>
        <x:v>0</x:v>
      </x:c>
      <x:c r="N168" s="36" t="n">
        <x:v>0</x:v>
      </x:c>
      <x:c r="O168" s="19" t="n">
        <x:f>J168-E168</x:f>
        <x:v>0</x:v>
      </x:c>
      <x:c r="P168" s="19" t="n">
        <x:f>K168-F168</x:f>
        <x:v>-214</x:v>
      </x:c>
      <x:c r="Q168" s="20" t="n">
        <x:f>IF(AND(F168&gt;0,K168&gt;0),(M168-H168)*100,"")</x:f>
        <x:v>0</x:v>
      </x:c>
      <x:c r="R168" s="12" t="n">
        <x:v>0</x:v>
      </x:c>
      <x:c r="S168" s="12" t="n">
        <x:v>0</x:v>
      </x:c>
    </x:row>
    <x:row r="169" ht="22" customHeight="1">
      <x:c r="A169" s="1" t="str">
        <x:v>B09335P92G</x:v>
      </x:c>
      <x:c r="B169" s="1" t="str">
        <x:v>手动工具与套装</x:v>
      </x:c>
      <x:c r="C169" s="1" t="str">
        <x:v>SORAKO Set Chiavi Cricchetto 12Pcs, Kit Chiavi a Cricchetto, Metriche 8-19mm, 72 Denti con Design della Corsa di Ritorno di 5°, in Acciaio Cr-V di Grado Industriale, con Custodia Portatile</x:v>
      </x:c>
      <x:c r="D169" s="1" t="str">
        <x:v>两年均有</x:v>
      </x:c>
      <x:c r="E169" s="12" t="n">
        <x:v>0</x:v>
      </x:c>
      <x:c r="F169" s="12" t="n">
        <x:v>0</x:v>
      </x:c>
      <x:c r="G169" s="16" t="n">
        <x:v>0</x:v>
      </x:c>
      <x:c r="H169" s="16" t="str">
        <x:f>IF(F169&gt;0,E169/F169,"")</x:f>
      </x:c>
      <x:c r="I169" s="36" t="n">
        <x:v>0</x:v>
      </x:c>
      <x:c r="J169" s="12" t="n">
        <x:v>0</x:v>
      </x:c>
      <x:c r="K169" s="12" t="n">
        <x:v>12</x:v>
      </x:c>
      <x:c r="L169" s="16" t="n">
        <x:v>0</x:v>
      </x:c>
      <x:c r="M169" s="16" t="n">
        <x:f>IF(K169&gt;0,J169/K169,"")</x:f>
        <x:v>0</x:v>
      </x:c>
      <x:c r="N169" s="36" t="n">
        <x:v>0</x:v>
      </x:c>
      <x:c r="O169" s="19" t="n">
        <x:f>J169-E169</x:f>
        <x:v>0</x:v>
      </x:c>
      <x:c r="P169" s="19" t="n">
        <x:f>K169-F169</x:f>
        <x:v>12</x:v>
      </x:c>
      <x:c r="Q169" s="20" t="str">
        <x:f>IF(AND(F169&gt;0,K169&gt;0),(M169-H169)*100,"")</x:f>
      </x:c>
      <x:c r="R169" s="12" t="n">
        <x:v>0</x:v>
      </x:c>
      <x:c r="S169" s="12" t="n">
        <x:v>0</x:v>
      </x:c>
    </x:row>
    <x:row r="170" ht="22" customHeight="1">
      <x:c r="A170" s="1" t="str">
        <x:v>B09336VHY1</x:v>
      </x:c>
      <x:c r="B170" s="1" t="str">
        <x:v>手动工具与套装</x:v>
      </x:c>
      <x:c r="C170" s="1" t="str">
        <x:v>Set Cacciaviti da 118 pezzi, Cacciavite di Precisione e Cacciavite a Stella, con Punte Piatte, Manica, Impugnatura a Cricchetto, Punta da Trapano, per Riparazioni Manuali e Fai da Te</x:v>
      </x:c>
      <x:c r="D170" s="1" t="str">
        <x:v>两年均有</x:v>
      </x:c>
      <x:c r="E170" s="12" t="n">
        <x:v>0</x:v>
      </x:c>
      <x:c r="F170" s="12" t="n">
        <x:v>0</x:v>
      </x:c>
      <x:c r="G170" s="16" t="n">
        <x:v>0</x:v>
      </x:c>
      <x:c r="H170" s="16" t="str">
        <x:f>IF(F170&gt;0,E170/F170,"")</x:f>
      </x:c>
      <x:c r="I170" s="36" t="n">
        <x:v>0</x:v>
      </x:c>
      <x:c r="J170" s="12" t="n">
        <x:v>0</x:v>
      </x:c>
      <x:c r="K170" s="12" t="n">
        <x:v>0</x:v>
      </x:c>
      <x:c r="L170" s="16" t="n">
        <x:v>0</x:v>
      </x:c>
      <x:c r="M170" s="16" t="str">
        <x:f>IF(K170&gt;0,J170/K170,"")</x:f>
      </x:c>
      <x:c r="N170" s="36" t="n">
        <x:v>0</x:v>
      </x:c>
      <x:c r="O170" s="19" t="n">
        <x:f>J170-E170</x:f>
        <x:v>0</x:v>
      </x:c>
      <x:c r="P170" s="19" t="n">
        <x:f>K170-F170</x:f>
        <x:v>0</x:v>
      </x:c>
      <x:c r="Q170" s="20" t="str">
        <x:f>IF(AND(F170&gt;0,K170&gt;0),(M170-H170)*100,"")</x:f>
      </x:c>
      <x:c r="R170" s="12" t="n">
        <x:v>1</x:v>
      </x:c>
      <x:c r="S170" s="12" t="n">
        <x:v>0</x:v>
      </x:c>
    </x:row>
    <x:row r="171" ht="22" customHeight="1">
      <x:c r="A171" s="1" t="str">
        <x:v>B09337GPK2</x:v>
      </x:c>
      <x:c r="B171" s="1" t="str">
        <x:v>手动工具与套装</x:v>
      </x:c>
      <x:c r="C171" s="1" t="str">
        <x:v>SORAKO Set Cacciaviti di 44 pezzi, Set Cacciaviti Magnetici, Incluso Magnetizzatore e Smagnetizzatore, Valido Aiuto per la Manutenzione e le Migliorie Domestiche, L'artigianato e il Fai-da-Te</x:v>
      </x:c>
      <x:c r="D171" s="1" t="str">
        <x:v>两年均有</x:v>
      </x:c>
      <x:c r="E171" s="12" t="n">
        <x:v>0</x:v>
      </x:c>
      <x:c r="F171" s="12" t="n">
        <x:v>0</x:v>
      </x:c>
      <x:c r="G171" s="16" t="n">
        <x:v>0</x:v>
      </x:c>
      <x:c r="H171" s="16" t="str">
        <x:f>IF(F171&gt;0,E171/F171,"")</x:f>
      </x:c>
      <x:c r="I171" s="36" t="n">
        <x:v>0</x:v>
      </x:c>
      <x:c r="J171" s="12" t="n">
        <x:v>0</x:v>
      </x:c>
      <x:c r="K171" s="12" t="n">
        <x:v>0</x:v>
      </x:c>
      <x:c r="L171" s="16" t="n">
        <x:v>0</x:v>
      </x:c>
      <x:c r="M171" s="16" t="str">
        <x:f>IF(K171&gt;0,J171/K171,"")</x:f>
      </x:c>
      <x:c r="N171" s="36" t="n">
        <x:v>0</x:v>
      </x:c>
      <x:c r="O171" s="19" t="n">
        <x:f>J171-E171</x:f>
        <x:v>0</x:v>
      </x:c>
      <x:c r="P171" s="19" t="n">
        <x:f>K171-F171</x:f>
        <x:v>0</x:v>
      </x:c>
      <x:c r="Q171" s="20" t="str">
        <x:f>IF(AND(F171&gt;0,K171&gt;0),(M171-H171)*100,"")</x:f>
      </x:c>
      <x:c r="R171" s="12" t="n">
        <x:v>0</x:v>
      </x:c>
      <x:c r="S171" s="12" t="n">
        <x:v>0</x:v>
      </x:c>
    </x:row>
    <x:row r="172" ht="22" customHeight="1">
      <x:c r="A172" s="1" t="str">
        <x:v>B09337WTF9</x:v>
      </x:c>
      <x:c r="B172" s="1" t="str">
        <x:v>手动工具与套装</x:v>
      </x:c>
      <x:c r="C172" s="1" t="str">
        <x:v>SORAKO Juego de llaves de trinquete ajustables, juego de llaves combinadas de 16 piezas, juego de herramientas con bolsa enrollable para reparación de automóviles, mantenimiento industrial y más</x:v>
      </x:c>
      <x:c r="D172" s="1" t="str">
        <x:v>仅2025</x:v>
      </x:c>
      <x:c r="E172" s="12" t="n">
        <x:v>0</x:v>
      </x:c>
      <x:c r="F172" s="12" t="n">
        <x:v>0</x:v>
      </x:c>
      <x:c r="G172" s="16" t="n">
        <x:v>0</x:v>
      </x:c>
      <x:c r="H172" s="16" t="str">
        <x:f>IF(F172&gt;0,E172/F172,"")</x:f>
      </x:c>
      <x:c r="I172" s="36" t="n">
        <x:v>0</x:v>
      </x:c>
      <x:c r="J172" s="12" t="n">
        <x:v>0</x:v>
      </x:c>
      <x:c r="K172" s="12" t="n">
        <x:v>0</x:v>
      </x:c>
      <x:c r="L172" s="16"/>
      <x:c r="M172" s="16" t="str">
        <x:f>IF(K172&gt;0,J172/K172,"")</x:f>
      </x:c>
      <x:c r="N172" s="36" t="n">
        <x:v>0</x:v>
      </x:c>
      <x:c r="O172" s="19" t="n">
        <x:f>J172-E172</x:f>
        <x:v>0</x:v>
      </x:c>
      <x:c r="P172" s="19" t="n">
        <x:f>K172-F172</x:f>
        <x:v>0</x:v>
      </x:c>
      <x:c r="Q172" s="20" t="str">
        <x:f>IF(AND(F172&gt;0,K172&gt;0),(M172-H172)*100,"")</x:f>
      </x:c>
      <x:c r="R172" s="12" t="n">
        <x:v>0</x:v>
      </x:c>
      <x:c r="S172" s="12" t="n">
        <x:v>0</x:v>
      </x:c>
    </x:row>
    <x:row r="173" ht="22" customHeight="1">
      <x:c r="A173" s="1" t="str">
        <x:v>B093BQMPC9</x:v>
      </x:c>
      <x:c r="B173" s="1" t="str">
        <x:v>园艺设备与工具</x:v>
      </x:c>
      <x:c r="C173" s="1" t="str">
        <x:v>Motosierra eléctrica Para Cortar Madera, Árboles, Setos Motosierra Batería de 18V y 10"</x:v>
      </x:c>
      <x:c r="D173" s="1" t="str">
        <x:v>两年均有</x:v>
      </x:c>
      <x:c r="E173" s="12" t="n">
        <x:v>0</x:v>
      </x:c>
      <x:c r="F173" s="12" t="n">
        <x:v>0</x:v>
      </x:c>
      <x:c r="G173" s="16" t="n">
        <x:v>0</x:v>
      </x:c>
      <x:c r="H173" s="16" t="str">
        <x:f>IF(F173&gt;0,E173/F173,"")</x:f>
      </x:c>
      <x:c r="I173" s="36" t="n">
        <x:v>0</x:v>
      </x:c>
      <x:c r="J173" s="12" t="n">
        <x:v>0</x:v>
      </x:c>
      <x:c r="K173" s="12" t="n">
        <x:v>0</x:v>
      </x:c>
      <x:c r="L173" s="16" t="n">
        <x:v>0</x:v>
      </x:c>
      <x:c r="M173" s="16" t="str">
        <x:f>IF(K173&gt;0,J173/K173,"")</x:f>
      </x:c>
      <x:c r="N173" s="36" t="n">
        <x:v>0</x:v>
      </x:c>
      <x:c r="O173" s="19" t="n">
        <x:f>J173-E173</x:f>
        <x:v>0</x:v>
      </x:c>
      <x:c r="P173" s="19" t="n">
        <x:f>K173-F173</x:f>
        <x:v>0</x:v>
      </x:c>
      <x:c r="Q173" s="20" t="str">
        <x:f>IF(AND(F173&gt;0,K173&gt;0),(M173-H173)*100,"")</x:f>
      </x:c>
      <x:c r="R173" s="12" t="n">
        <x:v>0</x:v>
      </x:c>
      <x:c r="S173" s="12" t="n">
        <x:v>0</x:v>
      </x:c>
    </x:row>
    <x:row r="174" ht="22" customHeight="1">
      <x:c r="A174" s="1" t="str">
        <x:v>B093GXNTPP</x:v>
      </x:c>
      <x:c r="B174" s="1" t="str">
        <x:v>电锯与电动切割</x:v>
      </x:c>
      <x:c r="C174" s="1" t="str">
        <x:v>Troncatrice, 1500W HYCHIKA Troncatrice Radiale Scorrevole, 230mm Diapositiva, 4500RPM e angolo di taglio 45°, Guida laser, lama TCT e Interruttore di sicurezza, Profondità fino a 60 mm</x:v>
      </x:c>
      <x:c r="D174" s="1" t="str">
        <x:v>两年均有</x:v>
      </x:c>
      <x:c r="E174" s="12" t="n">
        <x:v>0</x:v>
      </x:c>
      <x:c r="F174" s="12" t="n">
        <x:v>0</x:v>
      </x:c>
      <x:c r="G174" s="16" t="n">
        <x:v>0</x:v>
      </x:c>
      <x:c r="H174" s="16" t="str">
        <x:f>IF(F174&gt;0,E174/F174,"")</x:f>
      </x:c>
      <x:c r="I174" s="36" t="n">
        <x:v>0</x:v>
      </x:c>
      <x:c r="J174" s="12" t="n">
        <x:v>0</x:v>
      </x:c>
      <x:c r="K174" s="12" t="n">
        <x:v>0</x:v>
      </x:c>
      <x:c r="L174" s="16" t="n">
        <x:v>0</x:v>
      </x:c>
      <x:c r="M174" s="16" t="str">
        <x:f>IF(K174&gt;0,J174/K174,"")</x:f>
      </x:c>
      <x:c r="N174" s="36" t="n">
        <x:v>0</x:v>
      </x:c>
      <x:c r="O174" s="19" t="n">
        <x:f>J174-E174</x:f>
        <x:v>0</x:v>
      </x:c>
      <x:c r="P174" s="19" t="n">
        <x:f>K174-F174</x:f>
        <x:v>0</x:v>
      </x:c>
      <x:c r="Q174" s="20" t="str">
        <x:f>IF(AND(F174&gt;0,K174&gt;0),(M174-H174)*100,"")</x:f>
      </x:c>
      <x:c r="R174" s="12" t="n">
        <x:v>0</x:v>
      </x:c>
      <x:c r="S174" s="12" t="n">
        <x:v>0</x:v>
      </x:c>
    </x:row>
    <x:row r="175" ht="22" customHeight="1">
      <x:c r="A175" s="1" t="str">
        <x:v>B095WXD5PT</x:v>
      </x:c>
      <x:c r="B175" s="1" t="str">
        <x:v>汽车起重与充气</x:v>
      </x:c>
      <x:c r="C175" s="1" t="str">
        <x:v>Luftkompressor 12V, HYCHIKA Auto Luftpumpe 160PSI/1100KPA/11bar mit 2000mAh Akku, LCD-Bildschirm Mini Reifenpumpe Automatische Abschaltung Elektrischer Kompressor für Reifen, Bälle, Ballon</x:v>
      </x:c>
      <x:c r="D175" s="1" t="str">
        <x:v>两年均有</x:v>
      </x:c>
      <x:c r="E175" s="12" t="n">
        <x:v>0</x:v>
      </x:c>
      <x:c r="F175" s="12" t="n">
        <x:v>272</x:v>
      </x:c>
      <x:c r="G175" s="16" t="n">
        <x:v>0</x:v>
      </x:c>
      <x:c r="H175" s="16" t="n">
        <x:f>IF(F175&gt;0,E175/F175,"")</x:f>
        <x:v>0</x:v>
      </x:c>
      <x:c r="I175" s="36" t="n">
        <x:v>0</x:v>
      </x:c>
      <x:c r="J175" s="12" t="n">
        <x:v>0</x:v>
      </x:c>
      <x:c r="K175" s="12" t="n">
        <x:v>0</x:v>
      </x:c>
      <x:c r="L175" s="16" t="n">
        <x:v>0</x:v>
      </x:c>
      <x:c r="M175" s="16" t="str">
        <x:f>IF(K175&gt;0,J175/K175,"")</x:f>
      </x:c>
      <x:c r="N175" s="36" t="n">
        <x:v>0</x:v>
      </x:c>
      <x:c r="O175" s="19" t="n">
        <x:f>J175-E175</x:f>
        <x:v>0</x:v>
      </x:c>
      <x:c r="P175" s="19" t="n">
        <x:f>K175-F175</x:f>
        <x:v>-272</x:v>
      </x:c>
      <x:c r="Q175" s="20" t="str">
        <x:f>IF(AND(F175&gt;0,K175&gt;0),(M175-H175)*100,"")</x:f>
      </x:c>
      <x:c r="R175" s="12" t="n">
        <x:v>0</x:v>
      </x:c>
      <x:c r="S175" s="12" t="n">
        <x:v>0</x:v>
      </x:c>
    </x:row>
    <x:row r="176" ht="22" customHeight="1">
      <x:c r="A176" s="1" t="str">
        <x:v>B099K1PFKD</x:v>
      </x:c>
      <x:c r="B176" s="1" t="str">
        <x:v>园艺设备与工具</x:v>
      </x:c>
      <x:c r="C176" s="1" t="str">
        <x:v>Motosierra Bateria Brushless, HYCHIKA Eléctrica, Espada 35.5 CM</x:v>
      </x:c>
      <x:c r="D176" s="1" t="str">
        <x:v>两年均有</x:v>
      </x:c>
      <x:c r="E176" s="12" t="n">
        <x:v>0</x:v>
      </x:c>
      <x:c r="F176" s="12" t="n">
        <x:v>0</x:v>
      </x:c>
      <x:c r="G176" s="16" t="n">
        <x:v>0</x:v>
      </x:c>
      <x:c r="H176" s="16" t="str">
        <x:f>IF(F176&gt;0,E176/F176,"")</x:f>
      </x:c>
      <x:c r="I176" s="36" t="n">
        <x:v>0</x:v>
      </x:c>
      <x:c r="J176" s="12" t="n">
        <x:v>0</x:v>
      </x:c>
      <x:c r="K176" s="12" t="n">
        <x:v>0</x:v>
      </x:c>
      <x:c r="L176" s="16" t="n">
        <x:v>0</x:v>
      </x:c>
      <x:c r="M176" s="16" t="str">
        <x:f>IF(K176&gt;0,J176/K176,"")</x:f>
      </x:c>
      <x:c r="N176" s="36" t="n">
        <x:v>0</x:v>
      </x:c>
      <x:c r="O176" s="19" t="n">
        <x:f>J176-E176</x:f>
        <x:v>0</x:v>
      </x:c>
      <x:c r="P176" s="19" t="n">
        <x:f>K176-F176</x:f>
        <x:v>0</x:v>
      </x:c>
      <x:c r="Q176" s="20" t="str">
        <x:f>IF(AND(F176&gt;0,K176&gt;0),(M176-H176)*100,"")</x:f>
      </x:c>
      <x:c r="R176" s="12" t="n">
        <x:v>3</x:v>
      </x:c>
      <x:c r="S176" s="12" t="n">
        <x:v>1</x:v>
      </x:c>
    </x:row>
    <x:row r="177" ht="22" customHeight="1">
      <x:c r="A177" s="1" t="str">
        <x:v>B099ZV82FN</x:v>
      </x:c>
      <x:c r="B177" s="1" t="str">
        <x:v>锯片与开孔耗材</x:v>
      </x:c>
      <x:c r="C177" s="1" t="str">
        <x:v>Hojas de Sierra Sable, Hoja Sierra Sable 8 Pcs Cortar Metal, Madera, Plástico, Con Caja De Almacenamiento</x:v>
      </x:c>
      <x:c r="D177" s="1" t="str">
        <x:v>仅2026</x:v>
      </x:c>
      <x:c r="E177" s="12" t="n">
        <x:v>0</x:v>
      </x:c>
      <x:c r="F177" s="12" t="n">
        <x:v>0</x:v>
      </x:c>
      <x:c r="G177" s="16"/>
      <x:c r="H177" s="16" t="str">
        <x:f>IF(F177&gt;0,E177/F177,"")</x:f>
      </x:c>
      <x:c r="I177" s="36" t="n">
        <x:v>0</x:v>
      </x:c>
      <x:c r="J177" s="12" t="n">
        <x:v>0</x:v>
      </x:c>
      <x:c r="K177" s="12" t="n">
        <x:v>0</x:v>
      </x:c>
      <x:c r="L177" s="16" t="n">
        <x:v>0</x:v>
      </x:c>
      <x:c r="M177" s="16" t="str">
        <x:f>IF(K177&gt;0,J177/K177,"")</x:f>
      </x:c>
      <x:c r="N177" s="36" t="n">
        <x:v>0</x:v>
      </x:c>
      <x:c r="O177" s="19" t="n">
        <x:f>J177-E177</x:f>
        <x:v>0</x:v>
      </x:c>
      <x:c r="P177" s="19" t="n">
        <x:f>K177-F177</x:f>
        <x:v>0</x:v>
      </x:c>
      <x:c r="Q177" s="20" t="str">
        <x:f>IF(AND(F177&gt;0,K177&gt;0),(M177-H177)*100,"")</x:f>
      </x:c>
      <x:c r="R177" s="12" t="n">
        <x:v>0</x:v>
      </x:c>
      <x:c r="S177" s="12" t="n">
        <x:v>0</x:v>
      </x:c>
    </x:row>
    <x:row r="178" ht="22" customHeight="1">
      <x:c r="A178" s="1" t="str">
        <x:v>B09BJDLXNC</x:v>
      </x:c>
      <x:c r="B178" s="1" t="str">
        <x:v>电锯与电动切割</x:v>
      </x:c>
      <x:c r="C178" s="1" t="str">
        <x:v>Säbelsäge, HYCHIKA 12V Akku Säbelsäge mit 2x2.0 Ah Batterie, mit variabler Drehzahl von 0 bis 2800SPM, 6 Sägeblätter, Schnellladegerät, LED Licht, Ideal zum Schneiden von Holz und Metall</x:v>
      </x:c>
      <x:c r="D178" s="1" t="str">
        <x:v>仅2025</x:v>
      </x:c>
      <x:c r="E178" s="12" t="n">
        <x:v>0</x:v>
      </x:c>
      <x:c r="F178" s="12" t="n">
        <x:v>1</x:v>
      </x:c>
      <x:c r="G178" s="16" t="n">
        <x:v>0</x:v>
      </x:c>
      <x:c r="H178" s="16" t="n">
        <x:f>IF(F178&gt;0,E178/F178,"")</x:f>
        <x:v>0</x:v>
      </x:c>
      <x:c r="I178" s="36" t="n">
        <x:v>0</x:v>
      </x:c>
      <x:c r="J178" s="12" t="n">
        <x:v>0</x:v>
      </x:c>
      <x:c r="K178" s="12" t="n">
        <x:v>0</x:v>
      </x:c>
      <x:c r="L178" s="16"/>
      <x:c r="M178" s="16" t="str">
        <x:f>IF(K178&gt;0,J178/K178,"")</x:f>
      </x:c>
      <x:c r="N178" s="36" t="n">
        <x:v>0</x:v>
      </x:c>
      <x:c r="O178" s="19" t="n">
        <x:f>J178-E178</x:f>
        <x:v>0</x:v>
      </x:c>
      <x:c r="P178" s="19" t="n">
        <x:f>K178-F178</x:f>
        <x:v>-1</x:v>
      </x:c>
      <x:c r="Q178" s="20" t="str">
        <x:f>IF(AND(F178&gt;0,K178&gt;0),(M178-H178)*100,"")</x:f>
      </x:c>
      <x:c r="R178" s="12" t="n">
        <x:v>1</x:v>
      </x:c>
      <x:c r="S178" s="12" t="n">
        <x:v>0</x:v>
      </x:c>
    </x:row>
    <x:row r="179" ht="22" customHeight="1">
      <x:c r="A179" s="1" t="str">
        <x:v>B09NR62S6M</x:v>
      </x:c>
      <x:c r="B179" s="1" t="str">
        <x:v>电动螺丝刀</x:v>
      </x:c>
      <x:c r="C179" s="1" t="str">
        <x:v>SORAKO Destornillador Inalámbrico 3.6V, 6Nm, Con Batería 2.0Ah, Mandril Magnético, Luz LED, Rotación Horaria/Antihoraria, Carga USB</x:v>
      </x:c>
      <x:c r="D179" s="1" t="str">
        <x:v>两年均有</x:v>
      </x:c>
      <x:c r="E179" s="12" t="n">
        <x:v>0</x:v>
      </x:c>
      <x:c r="F179" s="12" t="n">
        <x:v>113</x:v>
      </x:c>
      <x:c r="G179" s="16" t="n">
        <x:v>0</x:v>
      </x:c>
      <x:c r="H179" s="16" t="n">
        <x:f>IF(F179&gt;0,E179/F179,"")</x:f>
        <x:v>0</x:v>
      </x:c>
      <x:c r="I179" s="36" t="n">
        <x:v>0</x:v>
      </x:c>
      <x:c r="J179" s="12" t="n">
        <x:v>0</x:v>
      </x:c>
      <x:c r="K179" s="12" t="n">
        <x:v>0</x:v>
      </x:c>
      <x:c r="L179" s="16" t="n">
        <x:v>0</x:v>
      </x:c>
      <x:c r="M179" s="16" t="str">
        <x:f>IF(K179&gt;0,J179/K179,"")</x:f>
      </x:c>
      <x:c r="N179" s="36" t="n">
        <x:v>0</x:v>
      </x:c>
      <x:c r="O179" s="19" t="n">
        <x:f>J179-E179</x:f>
        <x:v>0</x:v>
      </x:c>
      <x:c r="P179" s="19" t="n">
        <x:f>K179-F179</x:f>
        <x:v>-113</x:v>
      </x:c>
      <x:c r="Q179" s="20" t="str">
        <x:f>IF(AND(F179&gt;0,K179&gt;0),(M179-H179)*100,"")</x:f>
      </x:c>
      <x:c r="R179" s="12" t="n">
        <x:v>0</x:v>
      </x:c>
      <x:c r="S179" s="12" t="n">
        <x:v>0</x:v>
      </x:c>
    </x:row>
    <x:row r="180" ht="22" customHeight="1">
      <x:c r="A180" s="1" t="str">
        <x:v>B0B1SLBK2P</x:v>
      </x:c>
      <x:c r="B180" s="1" t="str">
        <x:v>电动螺丝刀</x:v>
      </x:c>
      <x:c r="C180" s="1" t="str">
        <x:v>Akkuschrauber, HYCHIKA 6N·m Drehmoment 2000mAh 3,6V Akku &amp; Amazon Basics Ratschenschlüssel magnetisch und PräzisionsSchraubendreher für Elektronik, 73 Stück, 1er-Pack, Schwarz/Silber/Rot</x:v>
      </x:c>
      <x:c r="D180" s="1" t="str">
        <x:v>两年均有</x:v>
      </x:c>
      <x:c r="E180" s="12" t="n">
        <x:v>0</x:v>
      </x:c>
      <x:c r="F180" s="12" t="n">
        <x:v>94</x:v>
      </x:c>
      <x:c r="G180" s="16" t="n">
        <x:v>0</x:v>
      </x:c>
      <x:c r="H180" s="16" t="n">
        <x:f>IF(F180&gt;0,E180/F180,"")</x:f>
        <x:v>0</x:v>
      </x:c>
      <x:c r="I180" s="36" t="n">
        <x:v>0</x:v>
      </x:c>
      <x:c r="J180" s="12" t="n">
        <x:v>0</x:v>
      </x:c>
      <x:c r="K180" s="12" t="n">
        <x:v>64</x:v>
      </x:c>
      <x:c r="L180" s="16" t="n">
        <x:v>0</x:v>
      </x:c>
      <x:c r="M180" s="16" t="n">
        <x:f>IF(K180&gt;0,J180/K180,"")</x:f>
        <x:v>0</x:v>
      </x:c>
      <x:c r="N180" s="36" t="n">
        <x:v>0</x:v>
      </x:c>
      <x:c r="O180" s="19" t="n">
        <x:f>J180-E180</x:f>
        <x:v>0</x:v>
      </x:c>
      <x:c r="P180" s="19" t="n">
        <x:f>K180-F180</x:f>
        <x:v>-30</x:v>
      </x:c>
      <x:c r="Q180" s="20" t="n">
        <x:f>IF(AND(F180&gt;0,K180&gt;0),(M180-H180)*100,"")</x:f>
        <x:v>0</x:v>
      </x:c>
      <x:c r="R180" s="12" t="n">
        <x:v>0</x:v>
      </x:c>
      <x:c r="S180" s="12" t="n">
        <x:v>0</x:v>
      </x:c>
    </x:row>
    <x:row r="181" ht="22" customHeight="1">
      <x:c r="A181" s="1" t="str">
        <x:v>B0B9QYZ3CM</x:v>
      </x:c>
      <x:c r="B181" s="1" t="str">
        <x:v>激光水平仪与测距</x:v>
      </x:c>
      <x:c r="C181" s="1" t="str">
        <x:v>Kreuzlinienlaser, Linienlaser HYCHIKA Selbstnivellierend 15M mit Dualem Lasermodul 360°Umschaltbar &amp; Knauf 196210 Schraubvorsatz mit Bit-Halter für Akku-Schrauber und Hand-Bohrmaschinen</x:v>
      </x:c>
      <x:c r="D181" s="1" t="str">
        <x:v>仅2025</x:v>
      </x:c>
      <x:c r="E181" s="12" t="n">
        <x:v>0</x:v>
      </x:c>
      <x:c r="F181" s="12" t="n">
        <x:v>0</x:v>
      </x:c>
      <x:c r="G181" s="16" t="n">
        <x:v>0</x:v>
      </x:c>
      <x:c r="H181" s="16" t="str">
        <x:f>IF(F181&gt;0,E181/F181,"")</x:f>
      </x:c>
      <x:c r="I181" s="36" t="n">
        <x:v>0</x:v>
      </x:c>
      <x:c r="J181" s="12" t="n">
        <x:v>0</x:v>
      </x:c>
      <x:c r="K181" s="12" t="n">
        <x:v>0</x:v>
      </x:c>
      <x:c r="L181" s="16"/>
      <x:c r="M181" s="16" t="str">
        <x:f>IF(K181&gt;0,J181/K181,"")</x:f>
      </x:c>
      <x:c r="N181" s="36" t="n">
        <x:v>0</x:v>
      </x:c>
      <x:c r="O181" s="19" t="n">
        <x:f>J181-E181</x:f>
        <x:v>0</x:v>
      </x:c>
      <x:c r="P181" s="19" t="n">
        <x:f>K181-F181</x:f>
        <x:v>0</x:v>
      </x:c>
      <x:c r="Q181" s="20" t="str">
        <x:f>IF(AND(F181&gt;0,K181&gt;0),(M181-H181)*100,"")</x:f>
      </x:c>
      <x:c r="R181" s="12" t="n">
        <x:v>0</x:v>
      </x:c>
      <x:c r="S181" s="12" t="n">
        <x:v>0</x:v>
      </x:c>
    </x:row>
    <x:row r="182" ht="22" customHeight="1">
      <x:c r="A182" s="1" t="str">
        <x:v>B0BJ5TZYXR</x:v>
      </x:c>
      <x:c r="B182" s="1" t="str">
        <x:v>激光水平仪与测距</x:v>
      </x:c>
      <x:c r="C182" s="1" t="str">
        <x:v>Linienlaser</x:v>
      </x:c>
      <x:c r="D182" s="1" t="str">
        <x:v>仅2026</x:v>
      </x:c>
      <x:c r="E182" s="12" t="n">
        <x:v>0</x:v>
      </x:c>
      <x:c r="F182" s="12" t="n">
        <x:v>0</x:v>
      </x:c>
      <x:c r="G182" s="16"/>
      <x:c r="H182" s="16" t="str">
        <x:f>IF(F182&gt;0,E182/F182,"")</x:f>
      </x:c>
      <x:c r="I182" s="36" t="n">
        <x:v>0</x:v>
      </x:c>
      <x:c r="J182" s="12" t="n">
        <x:v>0</x:v>
      </x:c>
      <x:c r="K182" s="12" t="n">
        <x:v>0</x:v>
      </x:c>
      <x:c r="L182" s="16" t="n">
        <x:v>0</x:v>
      </x:c>
      <x:c r="M182" s="16" t="str">
        <x:f>IF(K182&gt;0,J182/K182,"")</x:f>
      </x:c>
      <x:c r="N182" s="36" t="n">
        <x:v>0</x:v>
      </x:c>
      <x:c r="O182" s="19" t="n">
        <x:f>J182-E182</x:f>
        <x:v>0</x:v>
      </x:c>
      <x:c r="P182" s="19" t="n">
        <x:f>K182-F182</x:f>
        <x:v>0</x:v>
      </x:c>
      <x:c r="Q182" s="20" t="str">
        <x:f>IF(AND(F182&gt;0,K182&gt;0),(M182-H182)*100,"")</x:f>
      </x:c>
      <x:c r="R182" s="12" t="n">
        <x:v>0</x:v>
      </x:c>
      <x:c r="S182" s="12" t="n">
        <x:v>0</x:v>
      </x:c>
    </x:row>
    <x:row r="183" ht="22" customHeight="1">
      <x:c r="A183" s="1" t="str">
        <x:v>B0BKFN4K33</x:v>
      </x:c>
      <x:c r="B183" s="1" t="str">
        <x:v>园艺设备与工具</x:v>
      </x:c>
      <x:c r="C183" s="1" t="str">
        <x:v>SORAKO Motosierra Batería, 18V Motosierra Eléctrica con 4.0Ah Batería, barra guía de 25cm, tensión de cadena sin herramientas, autolubricante para cortar madera, árboles</x:v>
      </x:c>
      <x:c r="D183" s="1" t="str">
        <x:v>两年均有</x:v>
      </x:c>
      <x:c r="E183" s="12" t="n">
        <x:v>0</x:v>
      </x:c>
      <x:c r="F183" s="12" t="n">
        <x:v>180</x:v>
      </x:c>
      <x:c r="G183" s="16" t="n">
        <x:v>0</x:v>
      </x:c>
      <x:c r="H183" s="16" t="n">
        <x:f>IF(F183&gt;0,E183/F183,"")</x:f>
        <x:v>0</x:v>
      </x:c>
      <x:c r="I183" s="36" t="n">
        <x:v>0</x:v>
      </x:c>
      <x:c r="J183" s="12" t="n">
        <x:v>0</x:v>
      </x:c>
      <x:c r="K183" s="12" t="n">
        <x:v>0</x:v>
      </x:c>
      <x:c r="L183" s="16" t="n">
        <x:v>0</x:v>
      </x:c>
      <x:c r="M183" s="16" t="str">
        <x:f>IF(K183&gt;0,J183/K183,"")</x:f>
      </x:c>
      <x:c r="N183" s="36" t="n">
        <x:v>0</x:v>
      </x:c>
      <x:c r="O183" s="19" t="n">
        <x:f>J183-E183</x:f>
        <x:v>0</x:v>
      </x:c>
      <x:c r="P183" s="19" t="n">
        <x:f>K183-F183</x:f>
        <x:v>-180</x:v>
      </x:c>
      <x:c r="Q183" s="20" t="str">
        <x:f>IF(AND(F183&gt;0,K183&gt;0),(M183-H183)*100,"")</x:f>
      </x:c>
      <x:c r="R183" s="12" t="n">
        <x:v>0</x:v>
      </x:c>
      <x:c r="S183" s="12" t="n">
        <x:v>0</x:v>
      </x:c>
    </x:row>
    <x:row r="184" ht="22" customHeight="1">
      <x:c r="A184" s="1" t="str">
        <x:v>B0BKG6ZCLK</x:v>
      </x:c>
      <x:c r="B184" s="1" t="str">
        <x:v>激光水平仪与测距</x:v>
      </x:c>
      <x:c r="C184" s="1" t="str">
        <x:v>Nivel Laser, SORAKO Nivel Laser Autonivelante Rojo, 15m, Nivel Láser Automático, IP54, Nivel Laser Automático 360°, Herramienta De Nivelación Profesional De Alta Precisión</x:v>
      </x:c>
      <x:c r="D184" s="1" t="str">
        <x:v>两年均有</x:v>
      </x:c>
      <x:c r="E184" s="12" t="n">
        <x:v>0</x:v>
      </x:c>
      <x:c r="F184" s="12" t="n">
        <x:v>50</x:v>
      </x:c>
      <x:c r="G184" s="16" t="n">
        <x:v>0</x:v>
      </x:c>
      <x:c r="H184" s="16" t="n">
        <x:f>IF(F184&gt;0,E184/F184,"")</x:f>
        <x:v>0</x:v>
      </x:c>
      <x:c r="I184" s="36" t="n">
        <x:v>0</x:v>
      </x:c>
      <x:c r="J184" s="12" t="n">
        <x:v>0</x:v>
      </x:c>
      <x:c r="K184" s="12" t="n">
        <x:v>0</x:v>
      </x:c>
      <x:c r="L184" s="16" t="n">
        <x:v>0</x:v>
      </x:c>
      <x:c r="M184" s="16" t="str">
        <x:f>IF(K184&gt;0,J184/K184,"")</x:f>
      </x:c>
      <x:c r="N184" s="36" t="n">
        <x:v>0</x:v>
      </x:c>
      <x:c r="O184" s="19" t="n">
        <x:f>J184-E184</x:f>
        <x:v>0</x:v>
      </x:c>
      <x:c r="P184" s="19" t="n">
        <x:f>K184-F184</x:f>
        <x:v>-50</x:v>
      </x:c>
      <x:c r="Q184" s="20" t="str">
        <x:f>IF(AND(F184&gt;0,K184&gt;0),(M184-H184)*100,"")</x:f>
      </x:c>
      <x:c r="R184" s="12" t="n">
        <x:v>1</x:v>
      </x:c>
      <x:c r="S184" s="12" t="n">
        <x:v>0</x:v>
      </x:c>
    </x:row>
    <x:row r="185" ht="22" customHeight="1">
      <x:c r="A185" s="1" t="str">
        <x:v>B0BRP9BCWN</x:v>
      </x:c>
      <x:c r="B185" s="1" t="str">
        <x:v>电锯与电动切割</x:v>
      </x:c>
      <x:c r="C185" s="1" t="str">
        <x:v>Handkreissäge, HYCHIKA 18V Akku Kreissäge mit 4.0Ah Li-Ion, 4000RPM, maximale Schnitttiefe: 90º (53mm)/45º (36mm), 2 Sägeblätter (24T/40T), Parallelführung, Ideal für Holz, Kunststoff, Weichmetall</x:v>
      </x:c>
      <x:c r="D185" s="1" t="str">
        <x:v>两年均有</x:v>
      </x:c>
      <x:c r="E185" s="12" t="n">
        <x:v>0</x:v>
      </x:c>
      <x:c r="F185" s="12" t="n">
        <x:v>0</x:v>
      </x:c>
      <x:c r="G185" s="16" t="n">
        <x:v>0</x:v>
      </x:c>
      <x:c r="H185" s="16" t="str">
        <x:f>IF(F185&gt;0,E185/F185,"")</x:f>
      </x:c>
      <x:c r="I185" s="36" t="n">
        <x:v>0</x:v>
      </x:c>
      <x:c r="J185" s="12" t="n">
        <x:v>0</x:v>
      </x:c>
      <x:c r="K185" s="12" t="n">
        <x:v>0</x:v>
      </x:c>
      <x:c r="L185" s="16" t="n">
        <x:v>0</x:v>
      </x:c>
      <x:c r="M185" s="16" t="str">
        <x:f>IF(K185&gt;0,J185/K185,"")</x:f>
      </x:c>
      <x:c r="N185" s="36" t="n">
        <x:v>0</x:v>
      </x:c>
      <x:c r="O185" s="19" t="n">
        <x:f>J185-E185</x:f>
        <x:v>0</x:v>
      </x:c>
      <x:c r="P185" s="19" t="n">
        <x:f>K185-F185</x:f>
        <x:v>0</x:v>
      </x:c>
      <x:c r="Q185" s="20" t="str">
        <x:f>IF(AND(F185&gt;0,K185&gt;0),(M185-H185)*100,"")</x:f>
      </x:c>
      <x:c r="R185" s="12" t="n">
        <x:v>1</x:v>
      </x:c>
      <x:c r="S185" s="12" t="n">
        <x:v>0</x:v>
      </x:c>
    </x:row>
    <x:row r="186" ht="22" customHeight="1">
      <x:c r="A186" s="1" t="str">
        <x:v>B0BRPC6L64</x:v>
      </x:c>
      <x:c r="B186" s="1" t="str">
        <x:v>锯片与开孔耗材</x:v>
      </x:c>
      <x:c r="C186" s="1" t="str">
        <x:v>Bi-Metall Lochsäge, HYCHIKA 17 PCS Lochsäge Set mit 11 Sägeblättern 19mm-68mm, 2 Dornen, 3 Bohrern, 1 Sechskantschlüssel &amp; WAGO® Klemme, 3-Leiter, 4 mm², Verbindungsklemmen mit Hebel (50 Stück)</x:v>
      </x:c>
      <x:c r="D186" s="1" t="str">
        <x:v>仅2025</x:v>
      </x:c>
      <x:c r="E186" s="12" t="n">
        <x:v>0</x:v>
      </x:c>
      <x:c r="F186" s="12" t="n">
        <x:v>0</x:v>
      </x:c>
      <x:c r="G186" s="16" t="n">
        <x:v>0</x:v>
      </x:c>
      <x:c r="H186" s="16" t="str">
        <x:f>IF(F186&gt;0,E186/F186,"")</x:f>
      </x:c>
      <x:c r="I186" s="36" t="n">
        <x:v>0</x:v>
      </x:c>
      <x:c r="J186" s="12" t="n">
        <x:v>0</x:v>
      </x:c>
      <x:c r="K186" s="12" t="n">
        <x:v>0</x:v>
      </x:c>
      <x:c r="L186" s="16"/>
      <x:c r="M186" s="16" t="str">
        <x:f>IF(K186&gt;0,J186/K186,"")</x:f>
      </x:c>
      <x:c r="N186" s="36" t="n">
        <x:v>0</x:v>
      </x:c>
      <x:c r="O186" s="19" t="n">
        <x:f>J186-E186</x:f>
        <x:v>0</x:v>
      </x:c>
      <x:c r="P186" s="19" t="n">
        <x:f>K186-F186</x:f>
        <x:v>0</x:v>
      </x:c>
      <x:c r="Q186" s="20" t="str">
        <x:f>IF(AND(F186&gt;0,K186&gt;0),(M186-H186)*100,"")</x:f>
      </x:c>
      <x:c r="R186" s="12" t="n">
        <x:v>0</x:v>
      </x:c>
      <x:c r="S186" s="12" t="n">
        <x:v>0</x:v>
      </x:c>
    </x:row>
    <x:row r="187" ht="22" customHeight="1">
      <x:c r="A187" s="1" t="str">
        <x:v>B0BX2RL52C</x:v>
      </x:c>
      <x:c r="B187" s="1" t="str">
        <x:v>锯片与开孔耗材</x:v>
      </x:c>
      <x:c r="C187" s="1" t="str">
        <x:v>HYCHIKA Säbelsägeblätter, 6tlg Säbelsägeblätter Holz Für Bambus, PVC, Holz, Trockenbau, Passt für alle Säbelsäge</x:v>
      </x:c>
      <x:c r="D187" s="1" t="str">
        <x:v>两年均有</x:v>
      </x:c>
      <x:c r="E187" s="12" t="n">
        <x:v>0</x:v>
      </x:c>
      <x:c r="F187" s="12" t="n">
        <x:v>0</x:v>
      </x:c>
      <x:c r="G187" s="16" t="n">
        <x:v>0</x:v>
      </x:c>
      <x:c r="H187" s="16" t="str">
        <x:f>IF(F187&gt;0,E187/F187,"")</x:f>
      </x:c>
      <x:c r="I187" s="36" t="n">
        <x:v>0</x:v>
      </x:c>
      <x:c r="J187" s="12" t="n">
        <x:v>0</x:v>
      </x:c>
      <x:c r="K187" s="12" t="n">
        <x:v>0</x:v>
      </x:c>
      <x:c r="L187" s="16" t="n">
        <x:v>0</x:v>
      </x:c>
      <x:c r="M187" s="16" t="str">
        <x:f>IF(K187&gt;0,J187/K187,"")</x:f>
      </x:c>
      <x:c r="N187" s="36" t="n">
        <x:v>0</x:v>
      </x:c>
      <x:c r="O187" s="19" t="n">
        <x:f>J187-E187</x:f>
        <x:v>0</x:v>
      </x:c>
      <x:c r="P187" s="19" t="n">
        <x:f>K187-F187</x:f>
        <x:v>0</x:v>
      </x:c>
      <x:c r="Q187" s="20" t="str">
        <x:f>IF(AND(F187&gt;0,K187&gt;0),(M187-H187)*100,"")</x:f>
      </x:c>
      <x:c r="R187" s="12" t="n">
        <x:v>0</x:v>
      </x:c>
      <x:c r="S187" s="12" t="n">
        <x:v>0</x:v>
      </x:c>
    </x:row>
    <x:row r="188" ht="22" customHeight="1">
      <x:c r="A188" s="1" t="str">
        <x:v>B0BZP5VPPS</x:v>
      </x:c>
      <x:c r="B188" s="1" t="str">
        <x:v>手动工具与套装</x:v>
      </x:c>
      <x:c r="C188" s="1" t="str">
        <x:v>SORAKO Juego de Llaves de Vaso 16 piezas, 1/2 Vasos de Impacto 10-24 mm, con Extensiones de Mango de Llave en L para para Reparar Automóviles</x:v>
      </x:c>
      <x:c r="D188" s="1" t="str">
        <x:v>两年均有</x:v>
      </x:c>
      <x:c r="E188" s="12" t="n">
        <x:v>0</x:v>
      </x:c>
      <x:c r="F188" s="12" t="n">
        <x:v>0</x:v>
      </x:c>
      <x:c r="G188" s="16" t="n">
        <x:v>0</x:v>
      </x:c>
      <x:c r="H188" s="16" t="str">
        <x:f>IF(F188&gt;0,E188/F188,"")</x:f>
      </x:c>
      <x:c r="I188" s="36" t="n">
        <x:v>0</x:v>
      </x:c>
      <x:c r="J188" s="12" t="n">
        <x:v>0</x:v>
      </x:c>
      <x:c r="K188" s="12" t="n">
        <x:v>0</x:v>
      </x:c>
      <x:c r="L188" s="16" t="n">
        <x:v>0</x:v>
      </x:c>
      <x:c r="M188" s="16" t="str">
        <x:f>IF(K188&gt;0,J188/K188,"")</x:f>
      </x:c>
      <x:c r="N188" s="36" t="n">
        <x:v>0</x:v>
      </x:c>
      <x:c r="O188" s="19" t="n">
        <x:f>J188-E188</x:f>
        <x:v>0</x:v>
      </x:c>
      <x:c r="P188" s="19" t="n">
        <x:f>K188-F188</x:f>
        <x:v>0</x:v>
      </x:c>
      <x:c r="Q188" s="20" t="str">
        <x:f>IF(AND(F188&gt;0,K188&gt;0),(M188-H188)*100,"")</x:f>
      </x:c>
      <x:c r="R188" s="12" t="n">
        <x:v>0</x:v>
      </x:c>
      <x:c r="S188" s="12" t="n">
        <x:v>0</x:v>
      </x:c>
    </x:row>
    <x:row r="189" ht="22" customHeight="1">
      <x:c r="A189" s="1" t="str">
        <x:v>B0BZPBZW9R</x:v>
      </x:c>
      <x:c r="B189" s="1" t="str">
        <x:v>手动工具与套装</x:v>
      </x:c>
      <x:c r="C189" s="1" t="str">
        <x:v>SORAKO Ratschenschlüssel 13mm, Schraubenschlüssel Maulschlüssel Ringmaulschlüssel aus CR-V mit mattierter Chromoberfläche</x:v>
      </x:c>
      <x:c r="D189" s="1" t="str">
        <x:v>两年均有</x:v>
      </x:c>
      <x:c r="E189" s="12" t="n">
        <x:v>0</x:v>
      </x:c>
      <x:c r="F189" s="12" t="n">
        <x:v>0</x:v>
      </x:c>
      <x:c r="G189" s="16" t="n">
        <x:v>0</x:v>
      </x:c>
      <x:c r="H189" s="16" t="str">
        <x:f>IF(F189&gt;0,E189/F189,"")</x:f>
      </x:c>
      <x:c r="I189" s="36" t="n">
        <x:v>0</x:v>
      </x:c>
      <x:c r="J189" s="12" t="n">
        <x:v>0</x:v>
      </x:c>
      <x:c r="K189" s="12" t="n">
        <x:v>0</x:v>
      </x:c>
      <x:c r="L189" s="16" t="n">
        <x:v>0</x:v>
      </x:c>
      <x:c r="M189" s="16" t="str">
        <x:f>IF(K189&gt;0,J189/K189,"")</x:f>
      </x:c>
      <x:c r="N189" s="36" t="n">
        <x:v>0</x:v>
      </x:c>
      <x:c r="O189" s="19" t="n">
        <x:f>J189-E189</x:f>
        <x:v>0</x:v>
      </x:c>
      <x:c r="P189" s="19" t="n">
        <x:f>K189-F189</x:f>
        <x:v>0</x:v>
      </x:c>
      <x:c r="Q189" s="20" t="str">
        <x:f>IF(AND(F189&gt;0,K189&gt;0),(M189-H189)*100,"")</x:f>
      </x:c>
      <x:c r="R189" s="12" t="n">
        <x:v>0</x:v>
      </x:c>
      <x:c r="S189" s="12" t="n">
        <x:v>0</x:v>
      </x:c>
    </x:row>
    <x:row r="190" ht="22" customHeight="1">
      <x:c r="A190" s="1" t="str">
        <x:v>B0C57VYH59</x:v>
      </x:c>
      <x:c r="B190" s="1" t="str">
        <x:v>电锯与电动切割</x:v>
      </x:c>
      <x:c r="C190" s="1" t="str">
        <x:v>Kreissäge 750 W, HYCHIKA 3500 U/min, max. Schnitttiefe 48 mm (90°) und 32 mm (45°) &amp; kwb LINE-MASTER Präzisionslineal 800 mm, Vorteils-Set mit Führungsschiene, Sägeführung</x:v>
      </x:c>
      <x:c r="D190" s="1" t="str">
        <x:v>仅2025</x:v>
      </x:c>
      <x:c r="E190" s="12" t="n">
        <x:v>0</x:v>
      </x:c>
      <x:c r="F190" s="12" t="n">
        <x:v>0</x:v>
      </x:c>
      <x:c r="G190" s="16" t="n">
        <x:v>0</x:v>
      </x:c>
      <x:c r="H190" s="16" t="str">
        <x:f>IF(F190&gt;0,E190/F190,"")</x:f>
      </x:c>
      <x:c r="I190" s="36" t="n">
        <x:v>0</x:v>
      </x:c>
      <x:c r="J190" s="12" t="n">
        <x:v>0</x:v>
      </x:c>
      <x:c r="K190" s="12" t="n">
        <x:v>0</x:v>
      </x:c>
      <x:c r="L190" s="16"/>
      <x:c r="M190" s="16" t="str">
        <x:f>IF(K190&gt;0,J190/K190,"")</x:f>
      </x:c>
      <x:c r="N190" s="36" t="n">
        <x:v>0</x:v>
      </x:c>
      <x:c r="O190" s="19" t="n">
        <x:f>J190-E190</x:f>
        <x:v>0</x:v>
      </x:c>
      <x:c r="P190" s="19" t="n">
        <x:f>K190-F190</x:f>
        <x:v>0</x:v>
      </x:c>
      <x:c r="Q190" s="20" t="str">
        <x:f>IF(AND(F190&gt;0,K190&gt;0),(M190-H190)*100,"")</x:f>
      </x:c>
      <x:c r="R190" s="12" t="n">
        <x:v>0</x:v>
      </x:c>
      <x:c r="S190" s="12" t="n">
        <x:v>0</x:v>
      </x:c>
    </x:row>
    <x:row r="191" ht="22" customHeight="1">
      <x:c r="A191" s="1" t="str">
        <x:v>B0CCJD18QB</x:v>
      </x:c>
      <x:c r="B191" s="1" t="str">
        <x:v>电锯与电动切割</x:v>
      </x:c>
      <x:c r="C191" s="1" t="str">
        <x:v>Sierra de Calar 800W, 800-3000SPM, HYCHIKA Sierra Calar Eléctrica</x:v>
      </x:c>
      <x:c r="D191" s="1" t="str">
        <x:v>两年均有</x:v>
      </x:c>
      <x:c r="E191" s="12" t="n">
        <x:v>0</x:v>
      </x:c>
      <x:c r="F191" s="12" t="n">
        <x:v>0</x:v>
      </x:c>
      <x:c r="G191" s="16" t="n">
        <x:v>0</x:v>
      </x:c>
      <x:c r="H191" s="16" t="str">
        <x:f>IF(F191&gt;0,E191/F191,"")</x:f>
      </x:c>
      <x:c r="I191" s="36" t="n">
        <x:v>0</x:v>
      </x:c>
      <x:c r="J191" s="12" t="n">
        <x:v>0</x:v>
      </x:c>
      <x:c r="K191" s="12" t="n">
        <x:v>0</x:v>
      </x:c>
      <x:c r="L191" s="16" t="n">
        <x:v>0</x:v>
      </x:c>
      <x:c r="M191" s="16" t="str">
        <x:f>IF(K191&gt;0,J191/K191,"")</x:f>
      </x:c>
      <x:c r="N191" s="36" t="n">
        <x:v>0</x:v>
      </x:c>
      <x:c r="O191" s="19" t="n">
        <x:f>J191-E191</x:f>
        <x:v>0</x:v>
      </x:c>
      <x:c r="P191" s="19" t="n">
        <x:f>K191-F191</x:f>
        <x:v>0</x:v>
      </x:c>
      <x:c r="Q191" s="20" t="str">
        <x:f>IF(AND(F191&gt;0,K191&gt;0),(M191-H191)*100,"")</x:f>
      </x:c>
      <x:c r="R191" s="12" t="n">
        <x:v>1</x:v>
      </x:c>
      <x:c r="S191" s="12" t="n">
        <x:v>0</x:v>
      </x:c>
    </x:row>
    <x:row r="192" ht="22" customHeight="1">
      <x:c r="A192" s="1" t="str">
        <x:v>B0CG6N2845</x:v>
      </x:c>
      <x:c r="B192" s="1" t="str">
        <x:v>电钻与冲击工具</x:v>
      </x:c>
      <x:c r="C192" s="1" t="str">
        <x:v>Akkuschrauber, HYCHIKA 18V 35N·m Akku Bohrschrauber mit 2.0 Ah Akku &amp; Selbstnivellierend 15M mit Dualem Lasermodul 360°Umschaltbar Horizontal/Vertikal mit Halterung, 2 x AA Batterie IP54 Schutzlevel</x:v>
      </x:c>
      <x:c r="D192" s="1" t="str">
        <x:v>仅2025</x:v>
      </x:c>
      <x:c r="E192" s="12" t="n">
        <x:v>0</x:v>
      </x:c>
      <x:c r="F192" s="12" t="n">
        <x:v>90</x:v>
      </x:c>
      <x:c r="G192" s="16" t="n">
        <x:v>0</x:v>
      </x:c>
      <x:c r="H192" s="16" t="n">
        <x:f>IF(F192&gt;0,E192/F192,"")</x:f>
        <x:v>0</x:v>
      </x:c>
      <x:c r="I192" s="36" t="n">
        <x:v>0</x:v>
      </x:c>
      <x:c r="J192" s="12" t="n">
        <x:v>0</x:v>
      </x:c>
      <x:c r="K192" s="12" t="n">
        <x:v>0</x:v>
      </x:c>
      <x:c r="L192" s="16"/>
      <x:c r="M192" s="16" t="str">
        <x:f>IF(K192&gt;0,J192/K192,"")</x:f>
      </x:c>
      <x:c r="N192" s="36" t="n">
        <x:v>0</x:v>
      </x:c>
      <x:c r="O192" s="19" t="n">
        <x:f>J192-E192</x:f>
        <x:v>0</x:v>
      </x:c>
      <x:c r="P192" s="19" t="n">
        <x:f>K192-F192</x:f>
        <x:v>-90</x:v>
      </x:c>
      <x:c r="Q192" s="20" t="str">
        <x:f>IF(AND(F192&gt;0,K192&gt;0),(M192-H192)*100,"")</x:f>
      </x:c>
      <x:c r="R192" s="12" t="n">
        <x:v>0</x:v>
      </x:c>
      <x:c r="S192" s="12" t="n">
        <x:v>0</x:v>
      </x:c>
    </x:row>
    <x:row r="193" ht="22" customHeight="1">
      <x:c r="A193" s="1" t="str">
        <x:v>B0CG6NYF55</x:v>
      </x:c>
      <x:c r="B193" s="1" t="str">
        <x:v>电钻与冲击工具</x:v>
      </x:c>
      <x:c r="C193" s="1" t="str">
        <x:v>Akkuschrauber HYCHIKA 12V Akku bohrschrauber mit 30 N.m Max Akkuschrauber Set &amp; H+H Werkzeug 45200 45500 VDE Standardprüfer 45200/45500 Spannungsprüfer/Phasenprüfer-Set</x:v>
      </x:c>
      <x:c r="D193" s="1" t="str">
        <x:v>两年均有</x:v>
      </x:c>
      <x:c r="E193" s="12" t="n">
        <x:v>0</x:v>
      </x:c>
      <x:c r="F193" s="12" t="n">
        <x:v>238</x:v>
      </x:c>
      <x:c r="G193" s="16" t="n">
        <x:v>0</x:v>
      </x:c>
      <x:c r="H193" s="16" t="n">
        <x:f>IF(F193&gt;0,E193/F193,"")</x:f>
        <x:v>0</x:v>
      </x:c>
      <x:c r="I193" s="36" t="n">
        <x:v>0</x:v>
      </x:c>
      <x:c r="J193" s="12" t="n">
        <x:v>0</x:v>
      </x:c>
      <x:c r="K193" s="12" t="n">
        <x:v>142</x:v>
      </x:c>
      <x:c r="L193" s="16" t="n">
        <x:v>0</x:v>
      </x:c>
      <x:c r="M193" s="16" t="n">
        <x:f>IF(K193&gt;0,J193/K193,"")</x:f>
        <x:v>0</x:v>
      </x:c>
      <x:c r="N193" s="36" t="n">
        <x:v>0</x:v>
      </x:c>
      <x:c r="O193" s="19" t="n">
        <x:f>J193-E193</x:f>
        <x:v>0</x:v>
      </x:c>
      <x:c r="P193" s="19" t="n">
        <x:f>K193-F193</x:f>
        <x:v>-96</x:v>
      </x:c>
      <x:c r="Q193" s="20" t="n">
        <x:f>IF(AND(F193&gt;0,K193&gt;0),(M193-H193)*100,"")</x:f>
        <x:v>0</x:v>
      </x:c>
      <x:c r="R193" s="12" t="n">
        <x:v>0</x:v>
      </x:c>
      <x:c r="S193" s="12" t="n">
        <x:v>0</x:v>
      </x:c>
    </x:row>
    <x:row r="194" ht="22" customHeight="1">
      <x:c r="A194" s="1" t="str">
        <x:v>B0CG6P3RBN</x:v>
      </x:c>
      <x:c r="B194" s="1" t="str">
        <x:v>电钻与冲击工具</x:v>
      </x:c>
      <x:c r="C194" s="1" t="str">
        <x:v>Akkuschrauber, HYCHIKA 18V 35N·m Akku Bohrschrauber mit 2.0 Ah Akku &amp; kwb Werkzeug-Koffer inkl. Schrauber-Bits, 42-teilig, gefüllt, robust und hochwertig</x:v>
      </x:c>
      <x:c r="D194" s="1" t="str">
        <x:v>两年均有</x:v>
      </x:c>
      <x:c r="E194" s="12" t="n">
        <x:v>0</x:v>
      </x:c>
      <x:c r="F194" s="12" t="n">
        <x:v>141</x:v>
      </x:c>
      <x:c r="G194" s="16" t="n">
        <x:v>0</x:v>
      </x:c>
      <x:c r="H194" s="16" t="n">
        <x:f>IF(F194&gt;0,E194/F194,"")</x:f>
        <x:v>0</x:v>
      </x:c>
      <x:c r="I194" s="36" t="n">
        <x:v>0</x:v>
      </x:c>
      <x:c r="J194" s="12" t="n">
        <x:v>0</x:v>
      </x:c>
      <x:c r="K194" s="12" t="n">
        <x:v>0</x:v>
      </x:c>
      <x:c r="L194" s="16" t="n">
        <x:v>0</x:v>
      </x:c>
      <x:c r="M194" s="16" t="str">
        <x:f>IF(K194&gt;0,J194/K194,"")</x:f>
      </x:c>
      <x:c r="N194" s="36" t="n">
        <x:v>0</x:v>
      </x:c>
      <x:c r="O194" s="19" t="n">
        <x:f>J194-E194</x:f>
        <x:v>0</x:v>
      </x:c>
      <x:c r="P194" s="19" t="n">
        <x:f>K194-F194</x:f>
        <x:v>-141</x:v>
      </x:c>
      <x:c r="Q194" s="20" t="str">
        <x:f>IF(AND(F194&gt;0,K194&gt;0),(M194-H194)*100,"")</x:f>
      </x:c>
      <x:c r="R194" s="12" t="n">
        <x:v>0</x:v>
      </x:c>
      <x:c r="S194" s="12" t="n">
        <x:v>0</x:v>
      </x:c>
    </x:row>
    <x:row r="195" ht="22" customHeight="1">
      <x:c r="A195" s="1" t="str">
        <x:v>B0CH3B43QY</x:v>
      </x:c>
      <x:c r="B195" s="1" t="str">
        <x:v>电动螺丝刀</x:v>
      </x:c>
      <x:c r="C195" s="1" t="str">
        <x:v>Akkuschrauber, HYCHIKA 6N·m Drehmoment 2000mAh 3,6V Akku mit 35 Zubehörteilen &amp; TOX Sortimentskoffer Plug &amp; Play Dübel Set mit Allzweckdübel TRIKA 5x31 mm</x:v>
      </x:c>
      <x:c r="D195" s="1" t="str">
        <x:v>仅2025</x:v>
      </x:c>
      <x:c r="E195" s="12" t="n">
        <x:v>0</x:v>
      </x:c>
      <x:c r="F195" s="12" t="n">
        <x:v>0</x:v>
      </x:c>
      <x:c r="G195" s="16" t="n">
        <x:v>0</x:v>
      </x:c>
      <x:c r="H195" s="16" t="str">
        <x:f>IF(F195&gt;0,E195/F195,"")</x:f>
      </x:c>
      <x:c r="I195" s="36" t="n">
        <x:v>0</x:v>
      </x:c>
      <x:c r="J195" s="12" t="n">
        <x:v>0</x:v>
      </x:c>
      <x:c r="K195" s="12" t="n">
        <x:v>0</x:v>
      </x:c>
      <x:c r="L195" s="16"/>
      <x:c r="M195" s="16" t="str">
        <x:f>IF(K195&gt;0,J195/K195,"")</x:f>
      </x:c>
      <x:c r="N195" s="36" t="n">
        <x:v>0</x:v>
      </x:c>
      <x:c r="O195" s="19" t="n">
        <x:f>J195-E195</x:f>
        <x:v>0</x:v>
      </x:c>
      <x:c r="P195" s="19" t="n">
        <x:f>K195-F195</x:f>
        <x:v>0</x:v>
      </x:c>
      <x:c r="Q195" s="20" t="str">
        <x:f>IF(AND(F195&gt;0,K195&gt;0),(M195-H195)*100,"")</x:f>
      </x:c>
      <x:c r="R195" s="12" t="n">
        <x:v>0</x:v>
      </x:c>
      <x:c r="S195" s="12" t="n">
        <x:v>0</x:v>
      </x:c>
    </x:row>
    <x:row r="196" ht="22" customHeight="1">
      <x:c r="A196" s="1" t="str">
        <x:v>B0CPF4DDV4</x:v>
      </x:c>
      <x:c r="B196" s="1" t="str">
        <x:v>手动工具与套装</x:v>
      </x:c>
      <x:c r="C196" s="1" t="str">
        <x:v>HYCHIKA Schraubstock, Mehrzweck-Kombinationsrohr-Schraubstock, Drehfußbank für Holzbearbeitung (11,4 cm)</x:v>
      </x:c>
      <x:c r="D196" s="1" t="str">
        <x:v>两年均有</x:v>
      </x:c>
      <x:c r="E196" s="12" t="n">
        <x:v>0</x:v>
      </x:c>
      <x:c r="F196" s="12" t="n">
        <x:v>0</x:v>
      </x:c>
      <x:c r="G196" s="16" t="n">
        <x:v>0</x:v>
      </x:c>
      <x:c r="H196" s="16" t="str">
        <x:f>IF(F196&gt;0,E196/F196,"")</x:f>
      </x:c>
      <x:c r="I196" s="36" t="n">
        <x:v>0</x:v>
      </x:c>
      <x:c r="J196" s="12" t="n">
        <x:v>0</x:v>
      </x:c>
      <x:c r="K196" s="12" t="n">
        <x:v>14</x:v>
      </x:c>
      <x:c r="L196" s="16" t="n">
        <x:v>0</x:v>
      </x:c>
      <x:c r="M196" s="16" t="n">
        <x:f>IF(K196&gt;0,J196/K196,"")</x:f>
        <x:v>0</x:v>
      </x:c>
      <x:c r="N196" s="36" t="n">
        <x:v>0</x:v>
      </x:c>
      <x:c r="O196" s="19" t="n">
        <x:f>J196-E196</x:f>
        <x:v>0</x:v>
      </x:c>
      <x:c r="P196" s="19" t="n">
        <x:f>K196-F196</x:f>
        <x:v>14</x:v>
      </x:c>
      <x:c r="Q196" s="20" t="str">
        <x:f>IF(AND(F196&gt;0,K196&gt;0),(M196-H196)*100,"")</x:f>
      </x:c>
      <x:c r="R196" s="12" t="n">
        <x:v>0</x:v>
      </x:c>
      <x:c r="S196" s="12" t="n">
        <x:v>0</x:v>
      </x:c>
    </x:row>
    <x:row r="197" ht="22" customHeight="1">
      <x:c r="A197" s="1" t="str">
        <x:v>B0CRDP9JZL</x:v>
      </x:c>
      <x:c r="B197" s="1" t="str">
        <x:v>锯片与开孔耗材</x:v>
      </x:c>
      <x:c r="C197" s="1" t="str">
        <x:v>Hychika - Juego de 7 brocas perforadoras bimetálicas para yeso, tableros, plásticos y metales (22, 25, 29, 35, 44, 51, 54 mm)</x:v>
      </x:c>
      <x:c r="D197" s="1" t="str">
        <x:v>仅2025</x:v>
      </x:c>
      <x:c r="E197" s="12" t="n">
        <x:v>0</x:v>
      </x:c>
      <x:c r="F197" s="12" t="n">
        <x:v>2</x:v>
      </x:c>
      <x:c r="G197" s="16" t="n">
        <x:v>0</x:v>
      </x:c>
      <x:c r="H197" s="16" t="n">
        <x:f>IF(F197&gt;0,E197/F197,"")</x:f>
        <x:v>0</x:v>
      </x:c>
      <x:c r="I197" s="36" t="n">
        <x:v>0</x:v>
      </x:c>
      <x:c r="J197" s="12" t="n">
        <x:v>0</x:v>
      </x:c>
      <x:c r="K197" s="12" t="n">
        <x:v>0</x:v>
      </x:c>
      <x:c r="L197" s="16"/>
      <x:c r="M197" s="16" t="str">
        <x:f>IF(K197&gt;0,J197/K197,"")</x:f>
      </x:c>
      <x:c r="N197" s="36" t="n">
        <x:v>0</x:v>
      </x:c>
      <x:c r="O197" s="19" t="n">
        <x:f>J197-E197</x:f>
        <x:v>0</x:v>
      </x:c>
      <x:c r="P197" s="19" t="n">
        <x:f>K197-F197</x:f>
        <x:v>-2</x:v>
      </x:c>
      <x:c r="Q197" s="20" t="str">
        <x:f>IF(AND(F197&gt;0,K197&gt;0),(M197-H197)*100,"")</x:f>
      </x:c>
      <x:c r="R197" s="12" t="n">
        <x:v>0</x:v>
      </x:c>
      <x:c r="S197" s="12" t="n">
        <x:v>0</x:v>
      </x:c>
    </x:row>
    <x:row r="198" ht="22" customHeight="1">
      <x:c r="A198" s="1" t="str">
        <x:v>B0DB1Z1T7Z</x:v>
      </x:c>
      <x:c r="B198" s="1" t="str">
        <x:v>打磨耗材</x:v>
      </x:c>
      <x:c r="C198" s="1" t="str">
        <x:v>HYCHIKA Schleifpapier für Deltaschleifer 60 Stück, 6 Löcher Klettverschluss, Körnung 60/80/100/120/180/240, Kompatibel mit HYCHIKA 140W Deltaschleifer (Modellnummer: TX104)</x:v>
      </x:c>
      <x:c r="D198" s="1" t="str">
        <x:v>两年均有</x:v>
      </x:c>
      <x:c r="E198" s="12" t="n">
        <x:v>0</x:v>
      </x:c>
      <x:c r="F198" s="12" t="n">
        <x:v>0</x:v>
      </x:c>
      <x:c r="G198" s="16" t="n">
        <x:v>0</x:v>
      </x:c>
      <x:c r="H198" s="16" t="str">
        <x:f>IF(F198&gt;0,E198/F198,"")</x:f>
      </x:c>
      <x:c r="I198" s="36" t="n">
        <x:v>0</x:v>
      </x:c>
      <x:c r="J198" s="12" t="n">
        <x:v>0</x:v>
      </x:c>
      <x:c r="K198" s="12" t="n">
        <x:v>157</x:v>
      </x:c>
      <x:c r="L198" s="16" t="n">
        <x:v>0</x:v>
      </x:c>
      <x:c r="M198" s="16" t="n">
        <x:f>IF(K198&gt;0,J198/K198,"")</x:f>
        <x:v>0</x:v>
      </x:c>
      <x:c r="N198" s="36" t="n">
        <x:v>0</x:v>
      </x:c>
      <x:c r="O198" s="19" t="n">
        <x:f>J198-E198</x:f>
        <x:v>0</x:v>
      </x:c>
      <x:c r="P198" s="19" t="n">
        <x:f>K198-F198</x:f>
        <x:v>157</x:v>
      </x:c>
      <x:c r="Q198" s="20" t="str">
        <x:f>IF(AND(F198&gt;0,K198&gt;0),(M198-H198)*100,"")</x:f>
      </x:c>
      <x:c r="R198" s="12" t="n">
        <x:v>0</x:v>
      </x:c>
      <x:c r="S198" s="12" t="n">
        <x:v>0</x:v>
      </x:c>
    </x:row>
    <x:row r="199" ht="22" customHeight="1">
      <x:c r="A199" s="1" t="str">
        <x:v>B0F5HSHTZP</x:v>
      </x:c>
      <x:c r="B199" s="1" t="str">
        <x:v>工作照明与应急</x:v>
      </x:c>
      <x:c r="C199" s="1" t="str">
        <x:v>HYCHIKA LED Baustrahler 30W, Baustellen Strahler 3500 LM 6500K kaltweiß, IP65 Wasserdicht, Tragbare Arbeitsleuchte, Arbeitsbeleuchtung mit 2m Netzkabel und Stecker (Packung mit 2)</x:v>
      </x:c>
      <x:c r="D199" s="1" t="str">
        <x:v>两年均有</x:v>
      </x:c>
      <x:c r="E199" s="12" t="n">
        <x:v>0</x:v>
      </x:c>
      <x:c r="F199" s="12" t="n">
        <x:v>158</x:v>
      </x:c>
      <x:c r="G199" s="16" t="n">
        <x:v>0</x:v>
      </x:c>
      <x:c r="H199" s="16" t="n">
        <x:f>IF(F199&gt;0,E199/F199,"")</x:f>
        <x:v>0</x:v>
      </x:c>
      <x:c r="I199" s="36" t="n">
        <x:v>0</x:v>
      </x:c>
      <x:c r="J199" s="12" t="n">
        <x:v>0</x:v>
      </x:c>
      <x:c r="K199" s="12" t="n">
        <x:v>16</x:v>
      </x:c>
      <x:c r="L199" s="16" t="n">
        <x:v>0</x:v>
      </x:c>
      <x:c r="M199" s="16" t="n">
        <x:f>IF(K199&gt;0,J199/K199,"")</x:f>
        <x:v>0</x:v>
      </x:c>
      <x:c r="N199" s="36" t="n">
        <x:v>0</x:v>
      </x:c>
      <x:c r="O199" s="19" t="n">
        <x:f>J199-E199</x:f>
        <x:v>0</x:v>
      </x:c>
      <x:c r="P199" s="19" t="n">
        <x:f>K199-F199</x:f>
        <x:v>-142</x:v>
      </x:c>
      <x:c r="Q199" s="20" t="n">
        <x:f>IF(AND(F199&gt;0,K199&gt;0),(M199-H199)*100,"")</x:f>
        <x:v>0</x:v>
      </x:c>
      <x:c r="R199" s="12" t="n">
        <x:v>0</x:v>
      </x:c>
      <x:c r="S199" s="12" t="n">
        <x:v>0</x:v>
      </x:c>
    </x:row>
    <x:row r="200" ht="22" customHeight="1">
      <x:c r="A200" s="1" t="str">
        <x:v>B0F7RH5M61</x:v>
      </x:c>
      <x:c r="B200" s="1" t="str">
        <x:v>打磨抛光与旋转工具</x:v>
      </x:c>
      <x:c r="C200" s="1" t="str">
        <x:v>HYCHIKA Winkelschleifer, 18V Akku-Winkelschleifer 8500 U/min mit 3 Schleifscheiben, 4,0-Ah-Akku, Hilfsgriff mit 3 Positionen + Fächerschleifscheiben Fächerscheiben Set 10 St, 115 x 22,23 mm</x:v>
      </x:c>
      <x:c r="D200" s="1" t="str">
        <x:v>两年均有</x:v>
      </x:c>
      <x:c r="E200" s="12" t="n">
        <x:v>0</x:v>
      </x:c>
      <x:c r="F200" s="12" t="n">
        <x:v>41</x:v>
      </x:c>
      <x:c r="G200" s="16" t="n">
        <x:v>0</x:v>
      </x:c>
      <x:c r="H200" s="16" t="n">
        <x:f>IF(F200&gt;0,E200/F200,"")</x:f>
        <x:v>0</x:v>
      </x:c>
      <x:c r="I200" s="36" t="n">
        <x:v>0</x:v>
      </x:c>
      <x:c r="J200" s="12" t="n">
        <x:v>0</x:v>
      </x:c>
      <x:c r="K200" s="12" t="n">
        <x:v>0</x:v>
      </x:c>
      <x:c r="L200" s="16" t="n">
        <x:v>0</x:v>
      </x:c>
      <x:c r="M200" s="16" t="str">
        <x:f>IF(K200&gt;0,J200/K200,"")</x:f>
      </x:c>
      <x:c r="N200" s="36" t="n">
        <x:v>0</x:v>
      </x:c>
      <x:c r="O200" s="19" t="n">
        <x:f>J200-E200</x:f>
        <x:v>0</x:v>
      </x:c>
      <x:c r="P200" s="19" t="n">
        <x:f>K200-F200</x:f>
        <x:v>-41</x:v>
      </x:c>
      <x:c r="Q200" s="20" t="str">
        <x:f>IF(AND(F200&gt;0,K200&gt;0),(M200-H200)*100,"")</x:f>
      </x:c>
      <x:c r="R200" s="12" t="n">
        <x:v>0</x:v>
      </x:c>
      <x:c r="S200" s="12" t="n">
        <x:v>0</x:v>
      </x:c>
    </x:row>
    <x:row r="201" ht="22" customHeight="1">
      <x:c r="A201" s="1" t="str">
        <x:v>B0FFGLFC4X</x:v>
      </x:c>
      <x:c r="B201" s="1" t="str">
        <x:v>电动螺丝刀</x:v>
      </x:c>
      <x:c r="C201" s="1" t="str">
        <x:v>HYCHIKA Cacciavite a batteria piccolo, 6 N· m con display, 7 coppie, batteria da 2200 mAh, trapano a batteria con luce LED, adatto per mobili e riparazioni domestiche</x:v>
      </x:c>
      <x:c r="D201" s="1" t="str">
        <x:v>两年均有</x:v>
      </x:c>
      <x:c r="E201" s="12" t="n">
        <x:v>0</x:v>
      </x:c>
      <x:c r="F201" s="12" t="n">
        <x:v>0</x:v>
      </x:c>
      <x:c r="G201" s="16" t="n">
        <x:v>0</x:v>
      </x:c>
      <x:c r="H201" s="16" t="str">
        <x:f>IF(F201&gt;0,E201/F201,"")</x:f>
      </x:c>
      <x:c r="I201" s="36" t="n">
        <x:v>0</x:v>
      </x:c>
      <x:c r="J201" s="12" t="n">
        <x:v>0</x:v>
      </x:c>
      <x:c r="K201" s="12" t="n">
        <x:v>0</x:v>
      </x:c>
      <x:c r="L201" s="16" t="n">
        <x:v>0</x:v>
      </x:c>
      <x:c r="M201" s="16" t="str">
        <x:f>IF(K201&gt;0,J201/K201,"")</x:f>
      </x:c>
      <x:c r="N201" s="36" t="n">
        <x:v>0</x:v>
      </x:c>
      <x:c r="O201" s="19" t="n">
        <x:f>J201-E201</x:f>
        <x:v>0</x:v>
      </x:c>
      <x:c r="P201" s="19" t="n">
        <x:f>K201-F201</x:f>
        <x:v>0</x:v>
      </x:c>
      <x:c r="Q201" s="20" t="str">
        <x:f>IF(AND(F201&gt;0,K201&gt;0),(M201-H201)*100,"")</x:f>
      </x:c>
      <x:c r="R201" s="12" t="n">
        <x:v>0</x:v>
      </x:c>
      <x:c r="S201" s="12" t="n">
        <x:v>0</x:v>
      </x:c>
    </x:row>
    <x:row r="202" ht="22" customHeight="1">
      <x:c r="A202" s="1" t="str">
        <x:v>B0FFM7G9YF</x:v>
      </x:c>
      <x:c r="B202" s="1" t="str">
        <x:v>汽车起重与充气</x:v>
      </x:c>
      <x:c r="C202" s="1" t="str">
        <x:v>HYCHIKA Hydraulischer Wagenheber Hydraulisch 2.5T, Rangierwagenheber mit Hydraulischer Kolben-Schnellhubpumpe, Hydraulikheber, 135-370 MM Hubbereich, für Limousine, SUV, Reifenwechsel Ersatz</x:v>
      </x:c>
      <x:c r="D202" s="1" t="str">
        <x:v>两年均有</x:v>
      </x:c>
      <x:c r="E202" s="12" t="n">
        <x:v>0</x:v>
      </x:c>
      <x:c r="F202" s="12" t="n">
        <x:v>0</x:v>
      </x:c>
      <x:c r="G202" s="16" t="n">
        <x:v>0</x:v>
      </x:c>
      <x:c r="H202" s="16" t="str">
        <x:f>IF(F202&gt;0,E202/F202,"")</x:f>
      </x:c>
      <x:c r="I202" s="36" t="n">
        <x:v>0</x:v>
      </x:c>
      <x:c r="J202" s="12" t="n">
        <x:v>0</x:v>
      </x:c>
      <x:c r="K202" s="12" t="n">
        <x:v>0</x:v>
      </x:c>
      <x:c r="L202" s="16" t="n">
        <x:v>0</x:v>
      </x:c>
      <x:c r="M202" s="16" t="str">
        <x:f>IF(K202&gt;0,J202/K202,"")</x:f>
      </x:c>
      <x:c r="N202" s="36" t="n">
        <x:v>0</x:v>
      </x:c>
      <x:c r="O202" s="19" t="n">
        <x:f>J202-E202</x:f>
        <x:v>0</x:v>
      </x:c>
      <x:c r="P202" s="19" t="n">
        <x:f>K202-F202</x:f>
        <x:v>0</x:v>
      </x:c>
      <x:c r="Q202" s="20" t="str">
        <x:f>IF(AND(F202&gt;0,K202&gt;0),(M202-H202)*100,"")</x:f>
      </x:c>
      <x:c r="R202" s="12" t="n">
        <x:v>0</x:v>
      </x:c>
      <x:c r="S202" s="12" t="n">
        <x:v>0</x:v>
      </x:c>
    </x:row>
    <x:row r="203" ht="22" customHeight="1">
      <x:c r="A203" s="1" t="str">
        <x:v>B0FFM7Z2LZ</x:v>
      </x:c>
      <x:c r="B203" s="1" t="str">
        <x:v>汽车起重与充气</x:v>
      </x:c>
      <x:c r="C203" s="1" t="str">
        <x:v>HYCHIKA Hydraulischer Wagenheber Hydraulisch 1.5T, Rangierwagenheber mit Hydraulischer Kolben-Schnellhubpumpe, Hydraulikheber, 135-320 MM Hubbereich, für Limousine, SUV, Reifenwechsel Ersatz</x:v>
      </x:c>
      <x:c r="D203" s="1" t="str">
        <x:v>两年均有</x:v>
      </x:c>
      <x:c r="E203" s="12" t="n">
        <x:v>0</x:v>
      </x:c>
      <x:c r="F203" s="12" t="n">
        <x:v>4</x:v>
      </x:c>
      <x:c r="G203" s="16" t="n">
        <x:v>0</x:v>
      </x:c>
      <x:c r="H203" s="16" t="n">
        <x:f>IF(F203&gt;0,E203/F203,"")</x:f>
        <x:v>0</x:v>
      </x:c>
      <x:c r="I203" s="36" t="n">
        <x:v>0</x:v>
      </x:c>
      <x:c r="J203" s="12" t="n">
        <x:v>0</x:v>
      </x:c>
      <x:c r="K203" s="12" t="n">
        <x:v>12</x:v>
      </x:c>
      <x:c r="L203" s="16" t="n">
        <x:v>0</x:v>
      </x:c>
      <x:c r="M203" s="16" t="n">
        <x:f>IF(K203&gt;0,J203/K203,"")</x:f>
        <x:v>0</x:v>
      </x:c>
      <x:c r="N203" s="36" t="n">
        <x:v>0</x:v>
      </x:c>
      <x:c r="O203" s="19" t="n">
        <x:f>J203-E203</x:f>
        <x:v>0</x:v>
      </x:c>
      <x:c r="P203" s="19" t="n">
        <x:f>K203-F203</x:f>
        <x:v>8</x:v>
      </x:c>
      <x:c r="Q203" s="20" t="n">
        <x:f>IF(AND(F203&gt;0,K203&gt;0),(M203-H203)*100,"")</x:f>
        <x:v>0</x:v>
      </x:c>
      <x:c r="R203" s="12" t="n">
        <x:v>0</x:v>
      </x:c>
      <x:c r="S203" s="12" t="n">
        <x:v>0</x:v>
      </x:c>
    </x:row>
    <x:row r="204" ht="22" customHeight="1">
      <x:c r="A204" s="1" t="str">
        <x:v>B0G5BDWDG3</x:v>
      </x:c>
      <x:c r="B204" s="1" t="str">
        <x:v>锯片与开孔耗材</x:v>
      </x:c>
      <x:c r="C204" s="1" t="str">
        <x:v>HYCHIKA Corona Perforadoras 68mm, Sierra Corona Serras Perfuradoras, Ideal Para Sierra Perforación Para, Aluminio, Madera, PVC (Paquete de 4)</x:v>
      </x:c>
      <x:c r="D204" s="1" t="str">
        <x:v>仅2026</x:v>
      </x:c>
      <x:c r="E204" s="12" t="n">
        <x:v>0</x:v>
      </x:c>
      <x:c r="F204" s="12" t="n">
        <x:v>0</x:v>
      </x:c>
      <x:c r="G204" s="16"/>
      <x:c r="H204" s="16" t="str">
        <x:f>IF(F204&gt;0,E204/F204,"")</x:f>
      </x:c>
      <x:c r="I204" s="36" t="n">
        <x:v>0</x:v>
      </x:c>
      <x:c r="J204" s="12" t="n">
        <x:v>0</x:v>
      </x:c>
      <x:c r="K204" s="12" t="n">
        <x:v>13</x:v>
      </x:c>
      <x:c r="L204" s="16" t="n">
        <x:v>0</x:v>
      </x:c>
      <x:c r="M204" s="16" t="n">
        <x:f>IF(K204&gt;0,J204/K204,"")</x:f>
        <x:v>0</x:v>
      </x:c>
      <x:c r="N204" s="36" t="n">
        <x:v>0</x:v>
      </x:c>
      <x:c r="O204" s="19" t="n">
        <x:f>J204-E204</x:f>
        <x:v>0</x:v>
      </x:c>
      <x:c r="P204" s="19" t="n">
        <x:f>K204-F204</x:f>
        <x:v>13</x:v>
      </x:c>
      <x:c r="Q204" s="20" t="str">
        <x:f>IF(AND(F204&gt;0,K204&gt;0),(M204-H204)*100,"")</x:f>
      </x:c>
      <x:c r="R204" s="12" t="n">
        <x:v>0</x:v>
      </x:c>
      <x:c r="S204" s="12" t="n">
        <x:v>0</x:v>
      </x:c>
    </x:row>
    <x:row r="205" ht="22" customHeight="1">
      <x:c r="A205" s="1" t="str">
        <x:v>B0HFLRH66Q</x:v>
      </x:c>
      <x:c r="B205" s="1" t="str">
        <x:v>激光水平仪与测距</x:v>
      </x:c>
      <x:c r="C205" s="1" t="str">
        <x:v>HYCHIKA Nivel Laser</x:v>
      </x:c>
      <x:c r="D205" s="1" t="str">
        <x:v>仅2026</x:v>
      </x:c>
      <x:c r="E205" s="12" t="n">
        <x:v>0</x:v>
      </x:c>
      <x:c r="F205" s="12" t="n">
        <x:v>0</x:v>
      </x:c>
      <x:c r="G205" s="16"/>
      <x:c r="H205" s="16" t="str">
        <x:f>IF(F205&gt;0,E205/F205,"")</x:f>
      </x:c>
      <x:c r="I205" s="36" t="n">
        <x:v>0</x:v>
      </x:c>
      <x:c r="J205" s="12" t="n">
        <x:v>0</x:v>
      </x:c>
      <x:c r="K205" s="12" t="n">
        <x:v>0</x:v>
      </x:c>
      <x:c r="L205" s="16" t="n">
        <x:v>0</x:v>
      </x:c>
      <x:c r="M205" s="16" t="str">
        <x:f>IF(K205&gt;0,J205/K205,"")</x:f>
      </x:c>
      <x:c r="N205" s="36" t="n">
        <x:v>0</x:v>
      </x:c>
      <x:c r="O205" s="19" t="n">
        <x:f>J205-E205</x:f>
        <x:v>0</x:v>
      </x:c>
      <x:c r="P205" s="19" t="n">
        <x:f>K205-F205</x:f>
        <x:v>0</x:v>
      </x:c>
      <x:c r="Q205" s="20" t="str">
        <x:f>IF(AND(F205&gt;0,K205&gt;0),(M205-H205)*100,"")</x:f>
      </x:c>
      <x:c r="R205" s="12" t="n">
        <x:v>0</x:v>
      </x:c>
      <x:c r="S205" s="12" t="n">
        <x:v>0</x:v>
      </x:c>
    </x:row>
    <x:row r="206" ht="22" customHeight="1">
      <x:c r="A206" s="1" t="str">
        <x:v>B0HJNP31QW</x:v>
      </x:c>
      <x:c r="B206" s="1" t="str">
        <x:v>清洁电器与空气净化</x:v>
      </x:c>
      <x:c r="C206" s="1" t="str">
        <x:v>HYCHIKA Lava tappezzeria 1800W, 17kPa Lavatappeti e Divani Portatile, Doppio Serbatoio e Autopulizia, Lavatappeti pulitore per Divano, Tappeti, Zerbini, Auto e Famiglie con Animali</x:v>
      </x:c>
      <x:c r="D206" s="1" t="str">
        <x:v>仅2026</x:v>
      </x:c>
      <x:c r="E206" s="12" t="n">
        <x:v>0</x:v>
      </x:c>
      <x:c r="F206" s="12" t="n">
        <x:v>0</x:v>
      </x:c>
      <x:c r="G206" s="16"/>
      <x:c r="H206" s="16" t="str">
        <x:f>IF(F206&gt;0,E206/F206,"")</x:f>
      </x:c>
      <x:c r="I206" s="36" t="n">
        <x:v>0</x:v>
      </x:c>
      <x:c r="J206" s="12" t="n">
        <x:v>0</x:v>
      </x:c>
      <x:c r="K206" s="12" t="n">
        <x:v>0</x:v>
      </x:c>
      <x:c r="L206" s="16" t="n">
        <x:v>0</x:v>
      </x:c>
      <x:c r="M206" s="16" t="str">
        <x:f>IF(K206&gt;0,J206/K206,"")</x:f>
      </x:c>
      <x:c r="N206" s="36" t="n">
        <x:v>0</x:v>
      </x:c>
      <x:c r="O206" s="19" t="n">
        <x:f>J206-E206</x:f>
        <x:v>0</x:v>
      </x:c>
      <x:c r="P206" s="19" t="n">
        <x:f>K206-F206</x:f>
        <x:v>0</x:v>
      </x:c>
      <x:c r="Q206" s="20" t="str">
        <x:f>IF(AND(F206&gt;0,K206&gt;0),(M206-H206)*100,"")</x:f>
      </x:c>
      <x:c r="R206" s="12" t="n">
        <x:v>0</x:v>
      </x:c>
      <x:c r="S206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c63a3d3d7e4f53"/>
  </x:tableParts>
</x:worksheet>
</file>