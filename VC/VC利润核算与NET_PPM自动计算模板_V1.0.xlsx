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uyan\Downloads\"/>
    </mc:Choice>
  </mc:AlternateContent>
  <bookViews>
    <workbookView windowWidth="28800" windowHeight="12255" tabRatio="500" activeTab="3"/>
  </bookViews>
  <sheets>
    <sheet name="说明与图例" sheetId="1" r:id="rId1"/>
    <sheet name="参数与站点费率" sheetId="2" r:id="rId2"/>
    <sheet name="VC利润测算" sheetId="3" r:id="rId3"/>
    <sheet name="汇总看板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C12" authorId="0">
      <text>
        <r>
          <rPr>
            <sz val="10"/>
            <rFont val="Arial"/>
            <charset val="134"/>
          </rPr>
          <t xml:space="preserve">VAT </t>
        </r>
        <r>
          <rPr>
            <sz val="10"/>
            <rFont val="Noto Sans CJK SC"/>
            <charset val="134"/>
          </rPr>
          <t xml:space="preserve">默认 </t>
        </r>
        <r>
          <rPr>
            <sz val="10"/>
            <rFont val="Arial"/>
            <charset val="134"/>
          </rPr>
          <t>20%</t>
        </r>
        <r>
          <rPr>
            <sz val="10"/>
            <rFont val="Noto Sans CJK SC"/>
            <charset val="134"/>
          </rPr>
          <t xml:space="preserve">（与原表 </t>
        </r>
        <r>
          <rPr>
            <sz val="10"/>
            <rFont val="Arial"/>
            <charset val="134"/>
          </rPr>
          <t xml:space="preserve">/1.2 </t>
        </r>
        <r>
          <rPr>
            <sz val="10"/>
            <rFont val="Noto Sans CJK SC"/>
            <charset val="134"/>
          </rPr>
          <t>口径一致）；各国实际税率不同可自行调整。</t>
        </r>
      </text>
    </comment>
    <comment ref="E12" authorId="0">
      <text>
        <r>
          <rPr>
            <sz val="10"/>
            <rFont val="Noto Sans CJK SC"/>
            <charset val="134"/>
          </rPr>
          <t>汇率为示意值，请按当期实际维护。</t>
        </r>
        <r>
          <rPr>
            <sz val="10"/>
            <rFont val="Arial"/>
            <charset val="134"/>
          </rPr>
          <t xml:space="preserve">PLN/SEK </t>
        </r>
        <r>
          <rPr>
            <sz val="10"/>
            <rFont val="Noto Sans CJK SC"/>
            <charset val="134"/>
          </rPr>
          <t>已按近似汇率填入。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E3" authorId="0">
      <text>
        <r>
          <rPr>
            <sz val="10"/>
            <rFont val="Noto Sans CJK SC"/>
            <charset val="134"/>
          </rPr>
          <t>供货价（</t>
        </r>
        <r>
          <rPr>
            <sz val="10"/>
            <rFont val="Arial"/>
            <charset val="134"/>
          </rPr>
          <t xml:space="preserve">PO </t>
        </r>
        <r>
          <rPr>
            <sz val="10"/>
            <rFont val="Noto Sans CJK SC"/>
            <charset val="134"/>
          </rPr>
          <t>售价）：亚马逊付给你的不含税单价，</t>
        </r>
        <r>
          <rPr>
            <sz val="10"/>
            <rFont val="Arial"/>
            <charset val="134"/>
          </rPr>
          <t xml:space="preserve">NET PPM </t>
        </r>
        <r>
          <rPr>
            <sz val="10"/>
            <rFont val="Noto Sans CJK SC"/>
            <charset val="134"/>
          </rPr>
          <t xml:space="preserve">里的 </t>
        </r>
        <r>
          <rPr>
            <sz val="10"/>
            <rFont val="Arial"/>
            <charset val="134"/>
          </rPr>
          <t>Cost Price</t>
        </r>
        <r>
          <rPr>
            <sz val="10"/>
            <rFont val="Noto Sans CJK SC"/>
            <charset val="134"/>
          </rPr>
          <t>。</t>
        </r>
      </text>
    </comment>
    <comment ref="H3" authorId="0">
      <text>
        <r>
          <rPr>
            <sz val="10"/>
            <rFont val="Noto Sans CJK SC"/>
            <charset val="134"/>
          </rPr>
          <t xml:space="preserve">佣金扣点 </t>
        </r>
        <r>
          <rPr>
            <sz val="10"/>
            <rFont val="Arial"/>
            <charset val="134"/>
          </rPr>
          <t xml:space="preserve">= Damage+Freight+Co-op </t>
        </r>
        <r>
          <rPr>
            <sz val="10"/>
            <rFont val="Noto Sans CJK SC"/>
            <charset val="134"/>
          </rPr>
          <t>等按供货价</t>
        </r>
        <r>
          <rPr>
            <sz val="10"/>
            <rFont val="Arial"/>
            <charset val="134"/>
          </rPr>
          <t>%</t>
        </r>
        <r>
          <rPr>
            <sz val="10"/>
            <rFont val="Noto Sans CJK SC"/>
            <charset val="134"/>
          </rPr>
          <t>扣除的津贴之和（小数）。</t>
        </r>
      </text>
    </comment>
    <comment ref="AA3" authorId="0">
      <text>
        <r>
          <rPr>
            <sz val="10"/>
            <rFont val="Arial"/>
            <charset val="134"/>
          </rPr>
          <t>NET PPM =(</t>
        </r>
        <r>
          <rPr>
            <sz val="10"/>
            <rFont val="Noto Sans CJK SC"/>
            <charset val="134"/>
          </rPr>
          <t>不含税</t>
        </r>
        <r>
          <rPr>
            <sz val="10"/>
            <rFont val="Arial"/>
            <charset val="134"/>
          </rPr>
          <t xml:space="preserve">List − Cost + </t>
        </r>
        <r>
          <rPr>
            <sz val="10"/>
            <rFont val="Noto Sans CJK SC"/>
            <charset val="134"/>
          </rPr>
          <t>佣金额</t>
        </r>
        <r>
          <rPr>
            <sz val="10"/>
            <rFont val="Arial"/>
            <charset val="134"/>
          </rPr>
          <t>)/(</t>
        </r>
        <r>
          <rPr>
            <sz val="10"/>
            <rFont val="Noto Sans CJK SC"/>
            <charset val="134"/>
          </rPr>
          <t>不含税</t>
        </r>
        <r>
          <rPr>
            <sz val="10"/>
            <rFont val="Arial"/>
            <charset val="134"/>
          </rPr>
          <t xml:space="preserve">List − </t>
        </r>
        <r>
          <rPr>
            <sz val="10"/>
            <rFont val="Noto Sans CJK SC"/>
            <charset val="134"/>
          </rPr>
          <t>促销</t>
        </r>
        <r>
          <rPr>
            <sz val="10"/>
            <rFont val="Arial"/>
            <charset val="134"/>
          </rPr>
          <t>Funding)</t>
        </r>
        <r>
          <rPr>
            <sz val="10"/>
            <rFont val="Noto Sans CJK SC"/>
            <charset val="134"/>
          </rPr>
          <t>，等价于团队实测的不促销</t>
        </r>
        <r>
          <rPr>
            <sz val="10"/>
            <rFont val="Arial"/>
            <charset val="134"/>
          </rPr>
          <t xml:space="preserve">/BD </t>
        </r>
        <r>
          <rPr>
            <sz val="10"/>
            <rFont val="Noto Sans CJK SC"/>
            <charset val="134"/>
          </rPr>
          <t>两式。</t>
        </r>
      </text>
    </comment>
    <comment ref="AD3" authorId="0">
      <text>
        <r>
          <rPr>
            <sz val="10"/>
            <rFont val="Noto Sans CJK SC"/>
            <charset val="134"/>
          </rPr>
          <t xml:space="preserve">保本 </t>
        </r>
        <r>
          <rPr>
            <sz val="10"/>
            <rFont val="Arial"/>
            <charset val="134"/>
          </rPr>
          <t xml:space="preserve">Coupon </t>
        </r>
        <r>
          <rPr>
            <sz val="10"/>
            <rFont val="Noto Sans CJK SC"/>
            <charset val="134"/>
          </rPr>
          <t xml:space="preserve">上限 </t>
        </r>
        <r>
          <rPr>
            <sz val="10"/>
            <rFont val="Arial"/>
            <charset val="134"/>
          </rPr>
          <t xml:space="preserve">= </t>
        </r>
        <r>
          <rPr>
            <sz val="10"/>
            <rFont val="Noto Sans CJK SC"/>
            <charset val="134"/>
          </rPr>
          <t xml:space="preserve">在毛利率不低于『安全边际』前提下，可给的最大 </t>
        </r>
        <r>
          <rPr>
            <sz val="10"/>
            <rFont val="Arial"/>
            <charset val="134"/>
          </rPr>
          <t>Coupon%</t>
        </r>
        <r>
          <rPr>
            <sz val="10"/>
            <rFont val="Noto Sans CJK SC"/>
            <charset val="134"/>
          </rPr>
          <t>。</t>
        </r>
      </text>
    </comment>
  </commentList>
</comments>
</file>

<file path=xl/sharedStrings.xml><?xml version="1.0" encoding="utf-8"?>
<sst xmlns="http://schemas.openxmlformats.org/spreadsheetml/2006/main" count="181" uniqueCount="108">
  <si>
    <r>
      <rPr>
        <b/>
        <sz val="18"/>
        <color rgb="FF102A43"/>
        <rFont val="Microsoft YaHei"/>
        <charset val="1"/>
      </rPr>
      <t xml:space="preserve">VC </t>
    </r>
    <r>
      <rPr>
        <b/>
        <sz val="18"/>
        <color rgb="FF102A43"/>
        <rFont val="Noto Sans CJK SC"/>
        <charset val="134"/>
      </rPr>
      <t xml:space="preserve">利润核算与 </t>
    </r>
    <r>
      <rPr>
        <b/>
        <sz val="18"/>
        <color rgb="FF102A43"/>
        <rFont val="Microsoft YaHei"/>
        <charset val="1"/>
      </rPr>
      <t xml:space="preserve">NET PPM </t>
    </r>
    <r>
      <rPr>
        <b/>
        <sz val="18"/>
        <color rgb="FF102A43"/>
        <rFont val="Noto Sans CJK SC"/>
        <charset val="134"/>
      </rPr>
      <t>自动计算模板</t>
    </r>
  </si>
  <si>
    <r>
      <rPr>
        <i/>
        <sz val="10"/>
        <color rgb="FFE8871E"/>
        <rFont val="Noto Sans CJK SC"/>
        <charset val="134"/>
      </rPr>
      <t xml:space="preserve">配套《跨境电商亚马逊 </t>
    </r>
    <r>
      <rPr>
        <i/>
        <sz val="10"/>
        <color rgb="FFE8871E"/>
        <rFont val="Microsoft YaHei"/>
        <charset val="1"/>
      </rPr>
      <t xml:space="preserve">VC </t>
    </r>
    <r>
      <rPr>
        <i/>
        <sz val="10"/>
        <color rgb="FFE8871E"/>
        <rFont val="Noto Sans CJK SC"/>
        <charset val="134"/>
      </rPr>
      <t>自营供应商渠道专项基础运营及部分推广操作指导》</t>
    </r>
    <r>
      <rPr>
        <i/>
        <sz val="10"/>
        <color rgb="FFE8871E"/>
        <rFont val="Microsoft YaHei"/>
        <charset val="1"/>
      </rPr>
      <t xml:space="preserve">· </t>
    </r>
    <r>
      <rPr>
        <i/>
        <sz val="10"/>
        <color rgb="FFE8871E"/>
        <rFont val="Noto Sans CJK SC"/>
        <charset val="134"/>
      </rPr>
      <t xml:space="preserve">天机跨境 </t>
    </r>
    <r>
      <rPr>
        <i/>
        <sz val="10"/>
        <color rgb="FFE8871E"/>
        <rFont val="Microsoft YaHei"/>
        <charset val="1"/>
      </rPr>
      <t xml:space="preserve">· </t>
    </r>
    <r>
      <rPr>
        <i/>
        <sz val="10"/>
        <color rgb="FFE8871E"/>
        <rFont val="Noto Sans CJK SC"/>
        <charset val="134"/>
      </rPr>
      <t>阳亚运</t>
    </r>
  </si>
  <si>
    <t>一、用途</t>
  </si>
  <si>
    <r>
      <rPr>
        <sz val="10"/>
        <color rgb="FF1B2733"/>
        <rFont val="Noto Sans CJK SC"/>
        <charset val="134"/>
      </rPr>
      <t>本模板参考「欧洲</t>
    </r>
    <r>
      <rPr>
        <sz val="10"/>
        <color rgb="FF1B2733"/>
        <rFont val="Microsoft YaHei"/>
        <charset val="1"/>
      </rPr>
      <t>VC</t>
    </r>
    <r>
      <rPr>
        <sz val="10"/>
        <color rgb="FF1B2733"/>
        <rFont val="Noto Sans CJK SC"/>
        <charset val="134"/>
      </rPr>
      <t xml:space="preserve">毛利测算」的成本结构重建，用于逐 </t>
    </r>
    <r>
      <rPr>
        <sz val="10"/>
        <color rgb="FF1B2733"/>
        <rFont val="Microsoft YaHei"/>
        <charset val="1"/>
      </rPr>
      <t xml:space="preserve">SKU × </t>
    </r>
    <r>
      <rPr>
        <sz val="10"/>
        <color rgb="FF1B2733"/>
        <rFont val="Noto Sans CJK SC"/>
        <charset val="134"/>
      </rPr>
      <t xml:space="preserve">站点 </t>
    </r>
    <r>
      <rPr>
        <sz val="10"/>
        <color rgb="FF1B2733"/>
        <rFont val="Microsoft YaHei"/>
        <charset val="1"/>
      </rPr>
      <t xml:space="preserve">× </t>
    </r>
    <r>
      <rPr>
        <sz val="10"/>
        <color rgb="FF1B2733"/>
        <rFont val="Noto Sans CJK SC"/>
        <charset val="134"/>
      </rPr>
      <t xml:space="preserve">促销力度核算 </t>
    </r>
    <r>
      <rPr>
        <sz val="10"/>
        <color rgb="FF1B2733"/>
        <rFont val="Microsoft YaHei"/>
        <charset val="1"/>
      </rPr>
      <t xml:space="preserve">VC </t>
    </r>
    <r>
      <rPr>
        <sz val="10"/>
        <color rgb="FF1B2733"/>
        <rFont val="Noto Sans CJK SC"/>
        <charset val="134"/>
      </rPr>
      <t xml:space="preserve">供应商的单位毛利、毛利率，并自动计算亚马逊考核用的 </t>
    </r>
    <r>
      <rPr>
        <sz val="10"/>
        <color rgb="FF1B2733"/>
        <rFont val="Microsoft YaHei"/>
        <charset val="1"/>
      </rPr>
      <t>NET PPM</t>
    </r>
    <r>
      <rPr>
        <sz val="10"/>
        <color rgb="FF1B2733"/>
        <rFont val="Noto Sans CJK SC"/>
        <charset val="134"/>
      </rPr>
      <t xml:space="preserve">。填入蓝色列，其余列（含 </t>
    </r>
    <r>
      <rPr>
        <sz val="10"/>
        <color rgb="FF1B2733"/>
        <rFont val="Microsoft YaHei"/>
        <charset val="1"/>
      </rPr>
      <t>NET PPM</t>
    </r>
    <r>
      <rPr>
        <sz val="10"/>
        <color rgb="FF1B2733"/>
        <rFont val="Noto Sans CJK SC"/>
        <charset val="134"/>
      </rPr>
      <t>）自动算出。</t>
    </r>
  </si>
  <si>
    <t>二、颜色图例</t>
  </si>
  <si>
    <r>
      <rPr>
        <b/>
        <sz val="10"/>
        <color rgb="FF0000FF"/>
        <rFont val="Noto Sans CJK SC"/>
        <charset val="134"/>
      </rPr>
      <t xml:space="preserve">  蓝色字 </t>
    </r>
    <r>
      <rPr>
        <b/>
        <sz val="10"/>
        <color rgb="FF0000FF"/>
        <rFont val="Microsoft YaHei"/>
        <charset val="1"/>
      </rPr>
      <t xml:space="preserve">= </t>
    </r>
    <r>
      <rPr>
        <b/>
        <sz val="10"/>
        <color rgb="FF0000FF"/>
        <rFont val="Noto Sans CJK SC"/>
        <charset val="134"/>
      </rPr>
      <t xml:space="preserve">手动输入 </t>
    </r>
  </si>
  <si>
    <r>
      <rPr>
        <b/>
        <sz val="10"/>
        <color rgb="FF008000"/>
        <rFont val="Noto Sans CJK SC"/>
        <charset val="134"/>
      </rPr>
      <t xml:space="preserve">  绿色字 </t>
    </r>
    <r>
      <rPr>
        <b/>
        <sz val="10"/>
        <color rgb="FF008000"/>
        <rFont val="Microsoft YaHei"/>
        <charset val="1"/>
      </rPr>
      <t xml:space="preserve">= </t>
    </r>
    <r>
      <rPr>
        <b/>
        <sz val="10"/>
        <color rgb="FF008000"/>
        <rFont val="Noto Sans CJK SC"/>
        <charset val="134"/>
      </rPr>
      <t>跨表引用（自动取自『参数与站点费率』）</t>
    </r>
  </si>
  <si>
    <r>
      <rPr>
        <sz val="10"/>
        <color rgb="FF1B2733"/>
        <rFont val="Noto Sans CJK SC"/>
        <charset val="134"/>
      </rPr>
      <t xml:space="preserve">  黑色字 </t>
    </r>
    <r>
      <rPr>
        <sz val="10"/>
        <color rgb="FF1B2733"/>
        <rFont val="Microsoft YaHei"/>
        <charset val="1"/>
      </rPr>
      <t xml:space="preserve">= </t>
    </r>
    <r>
      <rPr>
        <sz val="10"/>
        <color rgb="FF1B2733"/>
        <rFont val="Noto Sans CJK SC"/>
        <charset val="134"/>
      </rPr>
      <t>公式自动计算，请勿手改</t>
    </r>
  </si>
  <si>
    <r>
      <rPr>
        <sz val="10"/>
        <color rgb="FF1B2733"/>
        <rFont val="Noto Sans CJK SC"/>
        <charset val="134"/>
      </rPr>
      <t xml:space="preserve">  黄色底 </t>
    </r>
    <r>
      <rPr>
        <sz val="10"/>
        <color rgb="FF1B2733"/>
        <rFont val="Microsoft YaHei"/>
        <charset val="1"/>
      </rPr>
      <t xml:space="preserve">= </t>
    </r>
    <r>
      <rPr>
        <sz val="10"/>
        <color rgb="FF1B2733"/>
        <rFont val="Noto Sans CJK SC"/>
        <charset val="134"/>
      </rPr>
      <t>关键全局假设，可按账号实际调整</t>
    </r>
  </si>
  <si>
    <r>
      <rPr>
        <b/>
        <sz val="12"/>
        <color rgb="FF102A43"/>
        <rFont val="Noto Sans CJK SC"/>
        <charset val="134"/>
      </rPr>
      <t>三、</t>
    </r>
    <r>
      <rPr>
        <b/>
        <sz val="12"/>
        <color rgb="FF102A43"/>
        <rFont val="Microsoft YaHei"/>
        <charset val="1"/>
      </rPr>
      <t xml:space="preserve">NET PPM </t>
    </r>
    <r>
      <rPr>
        <b/>
        <sz val="12"/>
        <color rgb="FF102A43"/>
        <rFont val="Noto Sans CJK SC"/>
        <charset val="134"/>
      </rPr>
      <t>公式（团队实测口径，本模板自动套用）</t>
    </r>
  </si>
  <si>
    <r>
      <rPr>
        <b/>
        <sz val="10"/>
        <color rgb="FF1B2733"/>
        <rFont val="Microsoft YaHei"/>
        <charset val="1"/>
      </rPr>
      <t>NET PPM</t>
    </r>
    <r>
      <rPr>
        <b/>
        <sz val="10"/>
        <color rgb="FF1B2733"/>
        <rFont val="Noto Sans CJK SC"/>
        <charset val="134"/>
      </rPr>
      <t>（不促销）</t>
    </r>
    <r>
      <rPr>
        <b/>
        <sz val="10"/>
        <color rgb="FF1B2733"/>
        <rFont val="Microsoft YaHei"/>
        <charset val="1"/>
      </rPr>
      <t xml:space="preserve">= (List Price − Cost Price + </t>
    </r>
    <r>
      <rPr>
        <b/>
        <sz val="10"/>
        <color rgb="FF1B2733"/>
        <rFont val="Noto Sans CJK SC"/>
        <charset val="134"/>
      </rPr>
      <t xml:space="preserve">佣金扣点 </t>
    </r>
    <r>
      <rPr>
        <b/>
        <sz val="10"/>
        <color rgb="FF1B2733"/>
        <rFont val="Microsoft YaHei"/>
        <charset val="1"/>
      </rPr>
      <t>× Cost Price) / List Price</t>
    </r>
  </si>
  <si>
    <r>
      <rPr>
        <b/>
        <sz val="10"/>
        <color rgb="FF1B2733"/>
        <rFont val="Microsoft YaHei"/>
        <charset val="1"/>
      </rPr>
      <t>NET PPM</t>
    </r>
    <r>
      <rPr>
        <b/>
        <sz val="10"/>
        <color rgb="FF1B2733"/>
        <rFont val="Noto Sans CJK SC"/>
        <charset val="134"/>
      </rPr>
      <t>（</t>
    </r>
    <r>
      <rPr>
        <b/>
        <sz val="10"/>
        <color rgb="FF1B2733"/>
        <rFont val="Microsoft YaHei"/>
        <charset val="1"/>
      </rPr>
      <t xml:space="preserve">BD/Coupon </t>
    </r>
    <r>
      <rPr>
        <b/>
        <sz val="10"/>
        <color rgb="FF1B2733"/>
        <rFont val="Noto Sans CJK SC"/>
        <charset val="134"/>
      </rPr>
      <t>促销）</t>
    </r>
    <r>
      <rPr>
        <b/>
        <sz val="10"/>
        <color rgb="FF1B2733"/>
        <rFont val="Microsoft YaHei"/>
        <charset val="1"/>
      </rPr>
      <t>= (</t>
    </r>
    <r>
      <rPr>
        <b/>
        <sz val="10"/>
        <color rgb="FF1B2733"/>
        <rFont val="Noto Sans CJK SC"/>
        <charset val="134"/>
      </rPr>
      <t xml:space="preserve">促销后 </t>
    </r>
    <r>
      <rPr>
        <b/>
        <sz val="10"/>
        <color rgb="FF1B2733"/>
        <rFont val="Microsoft YaHei"/>
        <charset val="1"/>
      </rPr>
      <t xml:space="preserve">List − Cost + </t>
    </r>
    <r>
      <rPr>
        <b/>
        <sz val="10"/>
        <color rgb="FF1B2733"/>
        <rFont val="Noto Sans CJK SC"/>
        <charset val="134"/>
      </rPr>
      <t xml:space="preserve">促销 </t>
    </r>
    <r>
      <rPr>
        <b/>
        <sz val="10"/>
        <color rgb="FF1B2733"/>
        <rFont val="Microsoft YaHei"/>
        <charset val="1"/>
      </rPr>
      <t xml:space="preserve">Funding + </t>
    </r>
    <r>
      <rPr>
        <b/>
        <sz val="10"/>
        <color rgb="FF1B2733"/>
        <rFont val="Noto Sans CJK SC"/>
        <charset val="134"/>
      </rPr>
      <t xml:space="preserve">佣金扣点 </t>
    </r>
    <r>
      <rPr>
        <b/>
        <sz val="10"/>
        <color rgb="FF1B2733"/>
        <rFont val="Microsoft YaHei"/>
        <charset val="1"/>
      </rPr>
      <t xml:space="preserve">× Cost) / </t>
    </r>
    <r>
      <rPr>
        <b/>
        <sz val="10"/>
        <color rgb="FF1B2733"/>
        <rFont val="Noto Sans CJK SC"/>
        <charset val="134"/>
      </rPr>
      <t xml:space="preserve">促销后 </t>
    </r>
    <r>
      <rPr>
        <b/>
        <sz val="10"/>
        <color rgb="FF1B2733"/>
        <rFont val="Microsoft YaHei"/>
        <charset val="1"/>
      </rPr>
      <t>List</t>
    </r>
  </si>
  <si>
    <r>
      <rPr>
        <sz val="10"/>
        <color rgb="FF1B2733"/>
        <rFont val="Noto Sans CJK SC"/>
        <charset val="134"/>
      </rPr>
      <t xml:space="preserve">说明：① 佣金扣点 </t>
    </r>
    <r>
      <rPr>
        <sz val="10"/>
        <color rgb="FF1B2733"/>
        <rFont val="Microsoft YaHei"/>
        <charset val="1"/>
      </rPr>
      <t xml:space="preserve">= Damage + Freight + Co-op </t>
    </r>
    <r>
      <rPr>
        <sz val="10"/>
        <color rgb="FF1B2733"/>
        <rFont val="Noto Sans CJK SC"/>
        <charset val="134"/>
      </rPr>
      <t xml:space="preserve">等所有按供货价百分比扣除的津贴之和（小数）。② 欧洲站以『不含税 </t>
    </r>
    <r>
      <rPr>
        <sz val="10"/>
        <color rgb="FF1B2733"/>
        <rFont val="Microsoft YaHei"/>
        <charset val="1"/>
      </rPr>
      <t>List</t>
    </r>
    <r>
      <rPr>
        <sz val="10"/>
        <color rgb="FF1B2733"/>
        <rFont val="Noto Sans CJK SC"/>
        <charset val="134"/>
      </rPr>
      <t xml:space="preserve">』为基准（增值税不计入亚马逊利润，对应原表 </t>
    </r>
    <r>
      <rPr>
        <sz val="10"/>
        <color rgb="FF1B2733"/>
        <rFont val="Microsoft YaHei"/>
        <charset val="1"/>
      </rPr>
      <t xml:space="preserve">K </t>
    </r>
    <r>
      <rPr>
        <sz val="10"/>
        <color rgb="FF1B2733"/>
        <rFont val="Noto Sans CJK SC"/>
        <charset val="134"/>
      </rPr>
      <t xml:space="preserve">列口径）；美国站把参数表 </t>
    </r>
    <r>
      <rPr>
        <sz val="10"/>
        <color rgb="FF1B2733"/>
        <rFont val="Microsoft YaHei"/>
        <charset val="1"/>
      </rPr>
      <t xml:space="preserve">VAT </t>
    </r>
    <r>
      <rPr>
        <sz val="10"/>
        <color rgb="FF1B2733"/>
        <rFont val="Noto Sans CJK SC"/>
        <charset val="134"/>
      </rPr>
      <t xml:space="preserve">设为 </t>
    </r>
    <r>
      <rPr>
        <sz val="10"/>
        <color rgb="FF1B2733"/>
        <rFont val="Microsoft YaHei"/>
        <charset val="1"/>
      </rPr>
      <t xml:space="preserve">0 </t>
    </r>
    <r>
      <rPr>
        <sz val="10"/>
        <color rgb="FF1B2733"/>
        <rFont val="Noto Sans CJK SC"/>
        <charset val="134"/>
      </rPr>
      <t>即可。③ 两式可合并为一条：</t>
    </r>
    <r>
      <rPr>
        <sz val="10"/>
        <color rgb="FF1B2733"/>
        <rFont val="Microsoft YaHei"/>
        <charset val="1"/>
      </rPr>
      <t>NET PPM = (</t>
    </r>
    <r>
      <rPr>
        <sz val="10"/>
        <color rgb="FF1B2733"/>
        <rFont val="Noto Sans CJK SC"/>
        <charset val="134"/>
      </rPr>
      <t>不含税</t>
    </r>
    <r>
      <rPr>
        <sz val="10"/>
        <color rgb="FF1B2733"/>
        <rFont val="Microsoft YaHei"/>
        <charset val="1"/>
      </rPr>
      <t xml:space="preserve">List − Cost + </t>
    </r>
    <r>
      <rPr>
        <sz val="10"/>
        <color rgb="FF1B2733"/>
        <rFont val="Noto Sans CJK SC"/>
        <charset val="134"/>
      </rPr>
      <t>佣金额</t>
    </r>
    <r>
      <rPr>
        <sz val="10"/>
        <color rgb="FF1B2733"/>
        <rFont val="Microsoft YaHei"/>
        <charset val="1"/>
      </rPr>
      <t>) / (</t>
    </r>
    <r>
      <rPr>
        <sz val="10"/>
        <color rgb="FF1B2733"/>
        <rFont val="Noto Sans CJK SC"/>
        <charset val="134"/>
      </rPr>
      <t>不含税</t>
    </r>
    <r>
      <rPr>
        <sz val="10"/>
        <color rgb="FF1B2733"/>
        <rFont val="Microsoft YaHei"/>
        <charset val="1"/>
      </rPr>
      <t xml:space="preserve">List − </t>
    </r>
    <r>
      <rPr>
        <sz val="10"/>
        <color rgb="FF1B2733"/>
        <rFont val="Noto Sans CJK SC"/>
        <charset val="134"/>
      </rPr>
      <t>促销</t>
    </r>
    <r>
      <rPr>
        <sz val="10"/>
        <color rgb="FF1B2733"/>
        <rFont val="Microsoft YaHei"/>
        <charset val="1"/>
      </rPr>
      <t>Funding)</t>
    </r>
    <r>
      <rPr>
        <sz val="10"/>
        <color rgb="FF1B2733"/>
        <rFont val="Noto Sans CJK SC"/>
        <charset val="134"/>
      </rPr>
      <t xml:space="preserve">，本模板即按此自动计算，不促销时 </t>
    </r>
    <r>
      <rPr>
        <sz val="10"/>
        <color rgb="FF1B2733"/>
        <rFont val="Microsoft YaHei"/>
        <charset val="1"/>
      </rPr>
      <t xml:space="preserve">Funding=0 </t>
    </r>
    <r>
      <rPr>
        <sz val="10"/>
        <color rgb="FF1B2733"/>
        <rFont val="Noto Sans CJK SC"/>
        <charset val="134"/>
      </rPr>
      <t>自动退化为第一式。</t>
    </r>
  </si>
  <si>
    <r>
      <rPr>
        <b/>
        <sz val="12"/>
        <color rgb="FF102A43"/>
        <rFont val="Noto Sans CJK SC"/>
        <charset val="134"/>
      </rPr>
      <t xml:space="preserve">四、利润灯规则（源自手册第 </t>
    </r>
    <r>
      <rPr>
        <b/>
        <sz val="12"/>
        <color rgb="FF102A43"/>
        <rFont val="Microsoft YaHei"/>
        <charset val="1"/>
      </rPr>
      <t xml:space="preserve">36 </t>
    </r>
    <r>
      <rPr>
        <b/>
        <sz val="12"/>
        <color rgb="FF102A43"/>
        <rFont val="Noto Sans CJK SC"/>
        <charset val="134"/>
      </rPr>
      <t>章）</t>
    </r>
  </si>
  <si>
    <r>
      <rPr>
        <sz val="10"/>
        <color rgb="FFB23A3A"/>
        <rFont val="Noto Sans CJK SC"/>
        <charset val="134"/>
      </rPr>
      <t xml:space="preserve">  🔴 红灯：毛利率 </t>
    </r>
    <r>
      <rPr>
        <sz val="10"/>
        <color rgb="FFB23A3A"/>
        <rFont val="Microsoft YaHei"/>
        <charset val="1"/>
      </rPr>
      <t xml:space="preserve">&lt; 10% —— </t>
    </r>
    <r>
      <rPr>
        <sz val="10"/>
        <color rgb="FFB23A3A"/>
        <rFont val="Noto Sans CJK SC"/>
        <charset val="134"/>
      </rPr>
      <t>立即暂停广告、排查成本、考虑提价或淘汰</t>
    </r>
  </si>
  <si>
    <r>
      <rPr>
        <sz val="10"/>
        <color rgb="FF8A6D1B"/>
        <rFont val="Noto Sans CJK SC"/>
        <charset val="134"/>
      </rPr>
      <t xml:space="preserve">  🟡 黄灯：毛利率 </t>
    </r>
    <r>
      <rPr>
        <sz val="10"/>
        <color rgb="FF8A6D1B"/>
        <rFont val="Microsoft YaHei"/>
        <charset val="1"/>
      </rPr>
      <t xml:space="preserve">10%–25% —— </t>
    </r>
    <r>
      <rPr>
        <sz val="10"/>
        <color rgb="FF8A6D1B"/>
        <rFont val="Noto Sans CJK SC"/>
        <charset val="134"/>
      </rPr>
      <t xml:space="preserve">控广告占比 </t>
    </r>
    <r>
      <rPr>
        <sz val="10"/>
        <color rgb="FF8A6D1B"/>
        <rFont val="Microsoft YaHei"/>
        <charset val="1"/>
      </rPr>
      <t>&lt;8%</t>
    </r>
    <r>
      <rPr>
        <sz val="10"/>
        <color rgb="FF8A6D1B"/>
        <rFont val="Noto Sans CJK SC"/>
        <charset val="134"/>
      </rPr>
      <t>，优化头程</t>
    </r>
    <r>
      <rPr>
        <sz val="10"/>
        <color rgb="FF8A6D1B"/>
        <rFont val="Microsoft YaHei"/>
        <charset val="1"/>
      </rPr>
      <t>/</t>
    </r>
    <r>
      <rPr>
        <sz val="10"/>
        <color rgb="FF8A6D1B"/>
        <rFont val="Noto Sans CJK SC"/>
        <charset val="134"/>
      </rPr>
      <t>包装</t>
    </r>
  </si>
  <si>
    <r>
      <rPr>
        <sz val="10"/>
        <color rgb="FF2E7D5B"/>
        <rFont val="Noto Sans CJK SC"/>
        <charset val="134"/>
      </rPr>
      <t xml:space="preserve">  🟢 绿灯：毛利率 </t>
    </r>
    <r>
      <rPr>
        <sz val="10"/>
        <color rgb="FF2E7D5B"/>
        <rFont val="Microsoft YaHei"/>
        <charset val="1"/>
      </rPr>
      <t xml:space="preserve">&gt; 25% —— </t>
    </r>
    <r>
      <rPr>
        <sz val="10"/>
        <color rgb="FF2E7D5B"/>
        <rFont val="Noto Sans CJK SC"/>
        <charset val="134"/>
      </rPr>
      <t xml:space="preserve">可加大广告投入，争取 </t>
    </r>
    <r>
      <rPr>
        <sz val="10"/>
        <color rgb="FF2E7D5B"/>
        <rFont val="Microsoft YaHei"/>
        <charset val="1"/>
      </rPr>
      <t>Bulk Buy</t>
    </r>
  </si>
  <si>
    <t>五、使用步骤</t>
  </si>
  <si>
    <r>
      <rPr>
        <sz val="10"/>
        <color rgb="FF1B2733"/>
        <rFont val="Microsoft YaHei"/>
        <charset val="1"/>
      </rPr>
      <t xml:space="preserve">1) </t>
    </r>
    <r>
      <rPr>
        <sz val="10"/>
        <color rgb="FF1B2733"/>
        <rFont val="Noto Sans CJK SC"/>
        <charset val="134"/>
      </rPr>
      <t xml:space="preserve">先到『参数与站点费率』维护：采购增值税率、目标 </t>
    </r>
    <r>
      <rPr>
        <sz val="10"/>
        <color rgb="FF1B2733"/>
        <rFont val="Microsoft YaHei"/>
        <charset val="1"/>
      </rPr>
      <t>NET PPM</t>
    </r>
    <r>
      <rPr>
        <sz val="10"/>
        <color rgb="FF1B2733"/>
        <rFont val="Noto Sans CJK SC"/>
        <charset val="134"/>
      </rPr>
      <t xml:space="preserve">、利润灯阈值、安全边际，以及各站点 </t>
    </r>
    <r>
      <rPr>
        <sz val="10"/>
        <color rgb="FF1B2733"/>
        <rFont val="Microsoft YaHei"/>
        <charset val="1"/>
      </rPr>
      <t xml:space="preserve">VAT / </t>
    </r>
    <r>
      <rPr>
        <sz val="10"/>
        <color rgb="FF1B2733"/>
        <rFont val="Noto Sans CJK SC"/>
        <charset val="134"/>
      </rPr>
      <t xml:space="preserve">二程整箱费 </t>
    </r>
    <r>
      <rPr>
        <sz val="10"/>
        <color rgb="FF1B2733"/>
        <rFont val="Microsoft YaHei"/>
        <charset val="1"/>
      </rPr>
      <t xml:space="preserve">/ </t>
    </r>
    <r>
      <rPr>
        <sz val="10"/>
        <color rgb="FF1B2733"/>
        <rFont val="Noto Sans CJK SC"/>
        <charset val="134"/>
      </rPr>
      <t>汇率。</t>
    </r>
  </si>
  <si>
    <r>
      <rPr>
        <sz val="10"/>
        <color rgb="FF1B2733"/>
        <rFont val="Microsoft YaHei"/>
        <charset val="1"/>
      </rPr>
      <t xml:space="preserve">2) </t>
    </r>
    <r>
      <rPr>
        <sz val="10"/>
        <color rgb="FF1B2733"/>
        <rFont val="Noto Sans CJK SC"/>
        <charset val="134"/>
      </rPr>
      <t>在『</t>
    </r>
    <r>
      <rPr>
        <sz val="10"/>
        <color rgb="FF1B2733"/>
        <rFont val="Microsoft YaHei"/>
        <charset val="1"/>
      </rPr>
      <t>VC</t>
    </r>
    <r>
      <rPr>
        <sz val="10"/>
        <color rgb="FF1B2733"/>
        <rFont val="Noto Sans CJK SC"/>
        <charset val="134"/>
      </rPr>
      <t xml:space="preserve">利润测算』从第 </t>
    </r>
    <r>
      <rPr>
        <sz val="10"/>
        <color rgb="FF1B2733"/>
        <rFont val="Microsoft YaHei"/>
        <charset val="1"/>
      </rPr>
      <t xml:space="preserve">4 </t>
    </r>
    <r>
      <rPr>
        <sz val="10"/>
        <color rgb="FF1B2733"/>
        <rFont val="Noto Sans CJK SC"/>
        <charset val="134"/>
      </rPr>
      <t>行起，逐行填写蓝色输入列（站点、</t>
    </r>
    <r>
      <rPr>
        <sz val="10"/>
        <color rgb="FF1B2733"/>
        <rFont val="Microsoft YaHei"/>
        <charset val="1"/>
      </rPr>
      <t>SKU</t>
    </r>
    <r>
      <rPr>
        <sz val="10"/>
        <color rgb="FF1B2733"/>
        <rFont val="Noto Sans CJK SC"/>
        <charset val="134"/>
      </rPr>
      <t xml:space="preserve">、供货价、含税 </t>
    </r>
    <r>
      <rPr>
        <sz val="10"/>
        <color rgb="FF1B2733"/>
        <rFont val="Microsoft YaHei"/>
        <charset val="1"/>
      </rPr>
      <t>List</t>
    </r>
    <r>
      <rPr>
        <sz val="10"/>
        <color rgb="FF1B2733"/>
        <rFont val="Noto Sans CJK SC"/>
        <charset val="134"/>
      </rPr>
      <t>、</t>
    </r>
    <r>
      <rPr>
        <sz val="10"/>
        <color rgb="FF1B2733"/>
        <rFont val="Microsoft YaHei"/>
        <charset val="1"/>
      </rPr>
      <t>Coupon%</t>
    </r>
    <r>
      <rPr>
        <sz val="10"/>
        <color rgb="FF1B2733"/>
        <rFont val="Noto Sans CJK SC"/>
        <charset val="134"/>
      </rPr>
      <t>、佣金扣点</t>
    </r>
    <r>
      <rPr>
        <sz val="10"/>
        <color rgb="FF1B2733"/>
        <rFont val="Microsoft YaHei"/>
        <charset val="1"/>
      </rPr>
      <t xml:space="preserve">% </t>
    </r>
    <r>
      <rPr>
        <sz val="10"/>
        <color rgb="FF1B2733"/>
        <rFont val="Noto Sans CJK SC"/>
        <charset val="134"/>
      </rPr>
      <t>等）。</t>
    </r>
  </si>
  <si>
    <r>
      <rPr>
        <sz val="10"/>
        <color rgb="FF1B2733"/>
        <rFont val="Microsoft YaHei"/>
        <charset val="1"/>
      </rPr>
      <t xml:space="preserve">3) </t>
    </r>
    <r>
      <rPr>
        <sz val="10"/>
        <color rgb="FF1B2733"/>
        <rFont val="Noto Sans CJK SC"/>
        <charset val="134"/>
      </rPr>
      <t>毛利、毛利率、</t>
    </r>
    <r>
      <rPr>
        <sz val="10"/>
        <color rgb="FF1B2733"/>
        <rFont val="Microsoft YaHei"/>
        <charset val="1"/>
      </rPr>
      <t>NET PPM</t>
    </r>
    <r>
      <rPr>
        <sz val="10"/>
        <color rgb="FF1B2733"/>
        <rFont val="Noto Sans CJK SC"/>
        <charset val="134"/>
      </rPr>
      <t xml:space="preserve">、利润灯、保本 </t>
    </r>
    <r>
      <rPr>
        <sz val="10"/>
        <color rgb="FF1B2733"/>
        <rFont val="Microsoft YaHei"/>
        <charset val="1"/>
      </rPr>
      <t xml:space="preserve">Coupon </t>
    </r>
    <r>
      <rPr>
        <sz val="10"/>
        <color rgb="FF1B2733"/>
        <rFont val="Noto Sans CJK SC"/>
        <charset val="134"/>
      </rPr>
      <t>上限自动算出；『汇总看板』按站点汇总红黄绿分布与均值。</t>
    </r>
  </si>
  <si>
    <r>
      <rPr>
        <sz val="10"/>
        <color rgb="FF1B2733"/>
        <rFont val="Microsoft YaHei"/>
        <charset val="1"/>
      </rPr>
      <t xml:space="preserve">4) </t>
    </r>
    <r>
      <rPr>
        <sz val="10"/>
        <color rgb="FF1B2733"/>
        <rFont val="Noto Sans CJK SC"/>
        <charset val="134"/>
      </rPr>
      <t xml:space="preserve">前 </t>
    </r>
    <r>
      <rPr>
        <sz val="10"/>
        <color rgb="FF1B2733"/>
        <rFont val="Microsoft YaHei"/>
        <charset val="1"/>
      </rPr>
      <t xml:space="preserve">19 </t>
    </r>
    <r>
      <rPr>
        <sz val="10"/>
        <color rgb="FF1B2733"/>
        <rFont val="Noto Sans CJK SC"/>
        <charset val="134"/>
      </rPr>
      <t>行为真实示例（除螨仪</t>
    </r>
    <r>
      <rPr>
        <sz val="10"/>
        <color rgb="FF1B2733"/>
        <rFont val="Microsoft YaHei"/>
        <charset val="1"/>
      </rPr>
      <t>/</t>
    </r>
    <r>
      <rPr>
        <sz val="10"/>
        <color rgb="FF1B2733"/>
        <rFont val="Noto Sans CJK SC"/>
        <charset val="134"/>
      </rPr>
      <t>布艺机</t>
    </r>
    <r>
      <rPr>
        <sz val="10"/>
        <color rgb="FF1B2733"/>
        <rFont val="Microsoft YaHei"/>
        <charset val="1"/>
      </rPr>
      <t>/</t>
    </r>
    <r>
      <rPr>
        <sz val="10"/>
        <color rgb="FF1B2733"/>
        <rFont val="Noto Sans CJK SC"/>
        <charset val="134"/>
      </rPr>
      <t>空净等，可复算原表数字）；示例下方留有空行，可直接套用或整表复制扩展。</t>
    </r>
  </si>
  <si>
    <t>参数与站点费率</t>
  </si>
  <si>
    <r>
      <rPr>
        <i/>
        <sz val="9"/>
        <color rgb="FF5B6B7B"/>
        <rFont val="Noto Sans CJK SC"/>
        <charset val="134"/>
      </rPr>
      <t>黄色单元格可按你的账号</t>
    </r>
    <r>
      <rPr>
        <i/>
        <sz val="9"/>
        <color rgb="FF5B6B7B"/>
        <rFont val="Microsoft YaHei"/>
        <charset val="1"/>
      </rPr>
      <t>/</t>
    </r>
    <r>
      <rPr>
        <i/>
        <sz val="9"/>
        <color rgb="FF5B6B7B"/>
        <rFont val="Noto Sans CJK SC"/>
        <charset val="134"/>
      </rPr>
      <t>站点实际修改；『</t>
    </r>
    <r>
      <rPr>
        <i/>
        <sz val="9"/>
        <color rgb="FF5B6B7B"/>
        <rFont val="Microsoft YaHei"/>
        <charset val="1"/>
      </rPr>
      <t>VC</t>
    </r>
    <r>
      <rPr>
        <i/>
        <sz val="9"/>
        <color rgb="FF5B6B7B"/>
        <rFont val="Noto Sans CJK SC"/>
        <charset val="134"/>
      </rPr>
      <t>利润测算』的公式全部引用此处。</t>
    </r>
  </si>
  <si>
    <t>全局参数</t>
  </si>
  <si>
    <r>
      <rPr>
        <sz val="10"/>
        <color rgb="FF1B2733"/>
        <rFont val="Noto Sans CJK SC"/>
        <charset val="134"/>
      </rPr>
      <t>采购增值税率（</t>
    </r>
    <r>
      <rPr>
        <sz val="10"/>
        <color rgb="FF1B2733"/>
        <rFont val="Microsoft YaHei"/>
        <charset val="1"/>
      </rPr>
      <t xml:space="preserve">¥ </t>
    </r>
    <r>
      <rPr>
        <sz val="10"/>
        <color rgb="FF1B2733"/>
        <rFont val="Noto Sans CJK SC"/>
        <charset val="134"/>
      </rPr>
      <t>含税转不含税）</t>
    </r>
  </si>
  <si>
    <r>
      <rPr>
        <sz val="10"/>
        <color rgb="FF1B2733"/>
        <rFont val="Noto Sans CJK SC"/>
        <charset val="134"/>
      </rPr>
      <t xml:space="preserve">安全边际（保本 </t>
    </r>
    <r>
      <rPr>
        <sz val="10"/>
        <color rgb="FF1B2733"/>
        <rFont val="Microsoft YaHei"/>
        <charset val="1"/>
      </rPr>
      <t xml:space="preserve">Coupon </t>
    </r>
    <r>
      <rPr>
        <sz val="10"/>
        <color rgb="FF1B2733"/>
        <rFont val="Noto Sans CJK SC"/>
        <charset val="134"/>
      </rPr>
      <t>目标毛利率）</t>
    </r>
  </si>
  <si>
    <r>
      <rPr>
        <sz val="10"/>
        <color rgb="FF1B2733"/>
        <rFont val="Noto Sans CJK SC"/>
        <charset val="134"/>
      </rPr>
      <t xml:space="preserve">目标 </t>
    </r>
    <r>
      <rPr>
        <sz val="10"/>
        <color rgb="FF1B2733"/>
        <rFont val="Microsoft YaHei"/>
        <charset val="1"/>
      </rPr>
      <t>NET PPM</t>
    </r>
    <r>
      <rPr>
        <sz val="10"/>
        <color rgb="FF1B2733"/>
        <rFont val="Noto Sans CJK SC"/>
        <charset val="134"/>
      </rPr>
      <t>（类目均值，达标线）</t>
    </r>
  </si>
  <si>
    <r>
      <rPr>
        <sz val="10"/>
        <color rgb="FF1B2733"/>
        <rFont val="Noto Sans CJK SC"/>
        <charset val="134"/>
      </rPr>
      <t xml:space="preserve">利润灯 </t>
    </r>
    <r>
      <rPr>
        <sz val="10"/>
        <color rgb="FF1B2733"/>
        <rFont val="Microsoft YaHei"/>
        <charset val="1"/>
      </rPr>
      <t xml:space="preserve">· </t>
    </r>
    <r>
      <rPr>
        <sz val="10"/>
        <color rgb="FF1B2733"/>
        <rFont val="Noto Sans CJK SC"/>
        <charset val="134"/>
      </rPr>
      <t xml:space="preserve">红线（毛利率 </t>
    </r>
    <r>
      <rPr>
        <sz val="10"/>
        <color rgb="FF1B2733"/>
        <rFont val="Microsoft YaHei"/>
        <charset val="1"/>
      </rPr>
      <t>&lt;</t>
    </r>
    <r>
      <rPr>
        <sz val="10"/>
        <color rgb="FF1B2733"/>
        <rFont val="Noto Sans CJK SC"/>
        <charset val="134"/>
      </rPr>
      <t>）</t>
    </r>
  </si>
  <si>
    <r>
      <rPr>
        <sz val="10"/>
        <color rgb="FF1B2733"/>
        <rFont val="Noto Sans CJK SC"/>
        <charset val="134"/>
      </rPr>
      <t xml:space="preserve">利润灯 </t>
    </r>
    <r>
      <rPr>
        <sz val="10"/>
        <color rgb="FF1B2733"/>
        <rFont val="Microsoft YaHei"/>
        <charset val="1"/>
      </rPr>
      <t xml:space="preserve">· </t>
    </r>
    <r>
      <rPr>
        <sz val="10"/>
        <color rgb="FF1B2733"/>
        <rFont val="Noto Sans CJK SC"/>
        <charset val="134"/>
      </rPr>
      <t xml:space="preserve">绿线（毛利率 </t>
    </r>
    <r>
      <rPr>
        <sz val="10"/>
        <color rgb="FF1B2733"/>
        <rFont val="Microsoft YaHei"/>
        <charset val="1"/>
      </rPr>
      <t>&gt;</t>
    </r>
    <r>
      <rPr>
        <sz val="10"/>
        <color rgb="FF1B2733"/>
        <rFont val="Noto Sans CJK SC"/>
        <charset val="134"/>
      </rPr>
      <t>）</t>
    </r>
  </si>
  <si>
    <t>站点费率表</t>
  </si>
  <si>
    <t>站点</t>
  </si>
  <si>
    <t>币种</t>
  </si>
  <si>
    <t>VAT%</t>
  </si>
  <si>
    <r>
      <rPr>
        <b/>
        <sz val="10"/>
        <color rgb="FFFFFFFF"/>
        <rFont val="Noto Sans CJK SC"/>
        <charset val="134"/>
      </rPr>
      <t>二程整箱费</t>
    </r>
    <r>
      <rPr>
        <b/>
        <sz val="10"/>
        <color rgb="FFFFFFFF"/>
        <rFont val="Microsoft YaHei"/>
        <charset val="1"/>
      </rPr>
      <t>(</t>
    </r>
    <r>
      <rPr>
        <b/>
        <sz val="10"/>
        <color rgb="FFFFFFFF"/>
        <rFont val="Noto Sans CJK SC"/>
        <charset val="134"/>
      </rPr>
      <t>外币</t>
    </r>
    <r>
      <rPr>
        <b/>
        <sz val="10"/>
        <color rgb="FFFFFFFF"/>
        <rFont val="Microsoft YaHei"/>
        <charset val="1"/>
      </rPr>
      <t>)</t>
    </r>
  </si>
  <si>
    <r>
      <rPr>
        <b/>
        <sz val="10"/>
        <color rgb="FFFFFFFF"/>
        <rFont val="Noto Sans CJK SC"/>
        <charset val="134"/>
      </rPr>
      <t>汇率</t>
    </r>
    <r>
      <rPr>
        <b/>
        <sz val="10"/>
        <color rgb="FFFFFFFF"/>
        <rFont val="Microsoft YaHei"/>
        <charset val="1"/>
      </rPr>
      <t>(¥/</t>
    </r>
    <r>
      <rPr>
        <b/>
        <sz val="10"/>
        <color rgb="FFFFFFFF"/>
        <rFont val="Noto Sans CJK SC"/>
        <charset val="134"/>
      </rPr>
      <t>外币</t>
    </r>
    <r>
      <rPr>
        <b/>
        <sz val="10"/>
        <color rgb="FFFFFFFF"/>
        <rFont val="Microsoft YaHei"/>
        <charset val="1"/>
      </rPr>
      <t>)</t>
    </r>
  </si>
  <si>
    <t>UK</t>
  </si>
  <si>
    <t>GBP</t>
  </si>
  <si>
    <t>DE</t>
  </si>
  <si>
    <t>EUR</t>
  </si>
  <si>
    <t>FR</t>
  </si>
  <si>
    <t>IT</t>
  </si>
  <si>
    <t>ES</t>
  </si>
  <si>
    <t>NL</t>
  </si>
  <si>
    <t>PL</t>
  </si>
  <si>
    <t>PLN</t>
  </si>
  <si>
    <t>SE</t>
  </si>
  <si>
    <t>SEK</t>
  </si>
  <si>
    <t>BE</t>
  </si>
  <si>
    <r>
      <rPr>
        <b/>
        <sz val="15"/>
        <color rgb="FF102A43"/>
        <rFont val="Microsoft YaHei"/>
        <charset val="1"/>
      </rPr>
      <t xml:space="preserve">VC </t>
    </r>
    <r>
      <rPr>
        <b/>
        <sz val="15"/>
        <color rgb="FF102A43"/>
        <rFont val="Noto Sans CJK SC"/>
        <charset val="134"/>
      </rPr>
      <t xml:space="preserve">利润核算与 </t>
    </r>
    <r>
      <rPr>
        <b/>
        <sz val="15"/>
        <color rgb="FF102A43"/>
        <rFont val="Microsoft YaHei"/>
        <charset val="1"/>
      </rPr>
      <t xml:space="preserve">NET PPM </t>
    </r>
    <r>
      <rPr>
        <b/>
        <sz val="15"/>
        <color rgb="FF102A43"/>
        <rFont val="Noto Sans CJK SC"/>
        <charset val="134"/>
      </rPr>
      <t>测算表</t>
    </r>
  </si>
  <si>
    <r>
      <rPr>
        <i/>
        <sz val="9"/>
        <color rgb="FF5B6B7B"/>
        <rFont val="Noto Sans CJK SC"/>
        <charset val="134"/>
      </rPr>
      <t>蓝色列</t>
    </r>
    <r>
      <rPr>
        <i/>
        <sz val="9"/>
        <color rgb="FF5B6B7B"/>
        <rFont val="Microsoft YaHei"/>
        <charset val="1"/>
      </rPr>
      <t>=</t>
    </r>
    <r>
      <rPr>
        <i/>
        <sz val="9"/>
        <color rgb="FF5B6B7B"/>
        <rFont val="Noto Sans CJK SC"/>
        <charset val="134"/>
      </rPr>
      <t>手动输入；绿色列</t>
    </r>
    <r>
      <rPr>
        <i/>
        <sz val="9"/>
        <color rgb="FF5B6B7B"/>
        <rFont val="Microsoft YaHei"/>
        <charset val="1"/>
      </rPr>
      <t>=</t>
    </r>
    <r>
      <rPr>
        <i/>
        <sz val="9"/>
        <color rgb="FF5B6B7B"/>
        <rFont val="Noto Sans CJK SC"/>
        <charset val="134"/>
      </rPr>
      <t>自动取自参数表；黑色列</t>
    </r>
    <r>
      <rPr>
        <i/>
        <sz val="9"/>
        <color rgb="FF5B6B7B"/>
        <rFont val="Microsoft YaHei"/>
        <charset val="1"/>
      </rPr>
      <t>=</t>
    </r>
    <r>
      <rPr>
        <i/>
        <sz val="9"/>
        <color rgb="FF5B6B7B"/>
        <rFont val="Noto Sans CJK SC"/>
        <charset val="134"/>
      </rPr>
      <t>自动计算。站点须与『参数与站点费率』一致。</t>
    </r>
  </si>
  <si>
    <t>SKU</t>
  </si>
  <si>
    <t>ASIN</t>
  </si>
  <si>
    <t>产品名称</t>
  </si>
  <si>
    <r>
      <rPr>
        <b/>
        <sz val="9"/>
        <color rgb="FFFFFFFF"/>
        <rFont val="Noto Sans CJK SC"/>
        <charset val="134"/>
      </rPr>
      <t xml:space="preserve">供货价 </t>
    </r>
    <r>
      <rPr>
        <b/>
        <sz val="9"/>
        <color rgb="FFFFFFFF"/>
        <rFont val="Microsoft YaHei"/>
        <charset val="1"/>
      </rPr>
      <t>Cost
(</t>
    </r>
    <r>
      <rPr>
        <b/>
        <sz val="9"/>
        <color rgb="FFFFFFFF"/>
        <rFont val="Noto Sans CJK SC"/>
        <charset val="134"/>
      </rPr>
      <t>不含税</t>
    </r>
    <r>
      <rPr>
        <b/>
        <sz val="9"/>
        <color rgb="FFFFFFFF"/>
        <rFont val="Microsoft YaHei"/>
        <charset val="1"/>
      </rPr>
      <t>·</t>
    </r>
    <r>
      <rPr>
        <b/>
        <sz val="9"/>
        <color rgb="FFFFFFFF"/>
        <rFont val="Noto Sans CJK SC"/>
        <charset val="134"/>
      </rPr>
      <t>外币</t>
    </r>
    <r>
      <rPr>
        <b/>
        <sz val="9"/>
        <color rgb="FFFFFFFF"/>
        <rFont val="Microsoft YaHei"/>
        <charset val="1"/>
      </rPr>
      <t>)</t>
    </r>
  </si>
  <si>
    <r>
      <rPr>
        <b/>
        <sz val="9"/>
        <color rgb="FFFFFFFF"/>
        <rFont val="Noto Sans CJK SC"/>
        <charset val="134"/>
      </rPr>
      <t xml:space="preserve">建议价 </t>
    </r>
    <r>
      <rPr>
        <b/>
        <sz val="9"/>
        <color rgb="FFFFFFFF"/>
        <rFont val="Microsoft YaHei"/>
        <charset val="1"/>
      </rPr>
      <t>List
(</t>
    </r>
    <r>
      <rPr>
        <b/>
        <sz val="9"/>
        <color rgb="FFFFFFFF"/>
        <rFont val="Noto Sans CJK SC"/>
        <charset val="134"/>
      </rPr>
      <t>含税</t>
    </r>
    <r>
      <rPr>
        <b/>
        <sz val="9"/>
        <color rgb="FFFFFFFF"/>
        <rFont val="Microsoft YaHei"/>
        <charset val="1"/>
      </rPr>
      <t>·</t>
    </r>
    <r>
      <rPr>
        <b/>
        <sz val="9"/>
        <color rgb="FFFFFFFF"/>
        <rFont val="Noto Sans CJK SC"/>
        <charset val="134"/>
      </rPr>
      <t>外币</t>
    </r>
    <r>
      <rPr>
        <b/>
        <sz val="9"/>
        <color rgb="FFFFFFFF"/>
        <rFont val="Microsoft YaHei"/>
        <charset val="1"/>
      </rPr>
      <t>)</t>
    </r>
  </si>
  <si>
    <r>
      <rPr>
        <b/>
        <sz val="9"/>
        <color rgb="FFFFFFFF"/>
        <rFont val="Microsoft YaHei"/>
        <charset val="1"/>
      </rPr>
      <t xml:space="preserve">Coupon
</t>
    </r>
    <r>
      <rPr>
        <b/>
        <sz val="9"/>
        <color rgb="FFFFFFFF"/>
        <rFont val="Noto Sans CJK SC"/>
        <charset val="134"/>
      </rPr>
      <t>促销折扣</t>
    </r>
    <r>
      <rPr>
        <b/>
        <sz val="9"/>
        <color rgb="FFFFFFFF"/>
        <rFont val="Microsoft YaHei"/>
        <charset val="1"/>
      </rPr>
      <t>%</t>
    </r>
  </si>
  <si>
    <r>
      <rPr>
        <b/>
        <sz val="9"/>
        <color rgb="FFFFFFFF"/>
        <rFont val="Noto Sans CJK SC"/>
        <charset val="134"/>
      </rPr>
      <t>佣金扣点</t>
    </r>
    <r>
      <rPr>
        <b/>
        <sz val="9"/>
        <color rgb="FFFFFFFF"/>
        <rFont val="Microsoft YaHei"/>
        <charset val="1"/>
      </rPr>
      <t>%
Dam+Frt+Coop</t>
    </r>
  </si>
  <si>
    <r>
      <rPr>
        <b/>
        <sz val="9"/>
        <color rgb="FFFFFFFF"/>
        <rFont val="Noto Sans CJK SC"/>
        <charset val="134"/>
      </rPr>
      <t>广告</t>
    </r>
    <r>
      <rPr>
        <b/>
        <sz val="9"/>
        <color rgb="FFFFFFFF"/>
        <rFont val="Microsoft YaHei"/>
        <charset val="1"/>
      </rPr>
      <t>/</t>
    </r>
    <r>
      <rPr>
        <b/>
        <sz val="9"/>
        <color rgb="FFFFFFFF"/>
        <rFont val="Noto Sans CJK SC"/>
        <charset val="134"/>
      </rPr>
      <t>件
外币</t>
    </r>
  </si>
  <si>
    <r>
      <rPr>
        <b/>
        <sz val="9"/>
        <color rgb="FFFFFFFF"/>
        <rFont val="Noto Sans CJK SC"/>
        <charset val="134"/>
      </rPr>
      <t>其他</t>
    </r>
    <r>
      <rPr>
        <b/>
        <sz val="9"/>
        <color rgb="FFFFFFFF"/>
        <rFont val="Microsoft YaHei"/>
        <charset val="1"/>
      </rPr>
      <t>%</t>
    </r>
  </si>
  <si>
    <r>
      <rPr>
        <b/>
        <sz val="9"/>
        <color rgb="FFFFFFFF"/>
        <rFont val="Noto Sans CJK SC"/>
        <charset val="134"/>
      </rPr>
      <t xml:space="preserve">采购成本
</t>
    </r>
    <r>
      <rPr>
        <b/>
        <sz val="9"/>
        <color rgb="FFFFFFFF"/>
        <rFont val="Microsoft YaHei"/>
        <charset val="1"/>
      </rPr>
      <t>¥</t>
    </r>
    <r>
      <rPr>
        <b/>
        <sz val="9"/>
        <color rgb="FFFFFFFF"/>
        <rFont val="Noto Sans CJK SC"/>
        <charset val="134"/>
      </rPr>
      <t>含税</t>
    </r>
  </si>
  <si>
    <r>
      <rPr>
        <b/>
        <sz val="9"/>
        <color rgb="FFFFFFFF"/>
        <rFont val="Noto Sans CJK SC"/>
        <charset val="134"/>
      </rPr>
      <t xml:space="preserve">头程
</t>
    </r>
    <r>
      <rPr>
        <b/>
        <sz val="9"/>
        <color rgb="FFFFFFFF"/>
        <rFont val="Microsoft YaHei"/>
        <charset val="1"/>
      </rPr>
      <t>¥/</t>
    </r>
    <r>
      <rPr>
        <b/>
        <sz val="9"/>
        <color rgb="FFFFFFFF"/>
        <rFont val="Noto Sans CJK SC"/>
        <charset val="134"/>
      </rPr>
      <t>件</t>
    </r>
  </si>
  <si>
    <t>装箱数</t>
  </si>
  <si>
    <r>
      <rPr>
        <b/>
        <sz val="9"/>
        <color rgb="FFFFFFFF"/>
        <rFont val="Noto Sans CJK SC"/>
        <charset val="134"/>
      </rPr>
      <t xml:space="preserve">汇率
</t>
    </r>
    <r>
      <rPr>
        <b/>
        <sz val="9"/>
        <color rgb="FFFFFFFF"/>
        <rFont val="Microsoft YaHei"/>
        <charset val="1"/>
      </rPr>
      <t>¥/</t>
    </r>
    <r>
      <rPr>
        <b/>
        <sz val="9"/>
        <color rgb="FFFFFFFF"/>
        <rFont val="Noto Sans CJK SC"/>
        <charset val="134"/>
      </rPr>
      <t>外币</t>
    </r>
  </si>
  <si>
    <r>
      <rPr>
        <b/>
        <sz val="9"/>
        <color rgb="FFFFFFFF"/>
        <rFont val="Noto Sans CJK SC"/>
        <charset val="134"/>
      </rPr>
      <t>二程</t>
    </r>
    <r>
      <rPr>
        <b/>
        <sz val="9"/>
        <color rgb="FFFFFFFF"/>
        <rFont val="Microsoft YaHei"/>
        <charset val="1"/>
      </rPr>
      <t>/</t>
    </r>
    <r>
      <rPr>
        <b/>
        <sz val="9"/>
        <color rgb="FFFFFFFF"/>
        <rFont val="Noto Sans CJK SC"/>
        <charset val="134"/>
      </rPr>
      <t>件
外币</t>
    </r>
  </si>
  <si>
    <r>
      <rPr>
        <b/>
        <sz val="9"/>
        <color rgb="FFFFFFFF"/>
        <rFont val="Microsoft YaHei"/>
        <charset val="1"/>
      </rPr>
      <t>List</t>
    </r>
    <r>
      <rPr>
        <b/>
        <sz val="9"/>
        <color rgb="FFFFFFFF"/>
        <rFont val="Noto Sans CJK SC"/>
        <charset val="134"/>
      </rPr>
      <t>不含税
外币</t>
    </r>
  </si>
  <si>
    <r>
      <rPr>
        <b/>
        <sz val="9"/>
        <color rgb="FFFFFFFF"/>
        <rFont val="Noto Sans CJK SC"/>
        <charset val="134"/>
      </rPr>
      <t>促销</t>
    </r>
    <r>
      <rPr>
        <b/>
        <sz val="9"/>
        <color rgb="FFFFFFFF"/>
        <rFont val="Microsoft YaHei"/>
        <charset val="1"/>
      </rPr>
      <t xml:space="preserve">Funding
</t>
    </r>
    <r>
      <rPr>
        <b/>
        <sz val="9"/>
        <color rgb="FFFFFFFF"/>
        <rFont val="Noto Sans CJK SC"/>
        <charset val="134"/>
      </rPr>
      <t>外币</t>
    </r>
  </si>
  <si>
    <t>成交价含税
外币</t>
  </si>
  <si>
    <t>佣金额
外币</t>
  </si>
  <si>
    <r>
      <rPr>
        <b/>
        <sz val="9"/>
        <color rgb="FFFFFFFF"/>
        <rFont val="Noto Sans CJK SC"/>
        <charset val="134"/>
      </rPr>
      <t>采购</t>
    </r>
    <r>
      <rPr>
        <b/>
        <sz val="9"/>
        <color rgb="FFFFFFFF"/>
        <rFont val="Microsoft YaHei"/>
        <charset val="1"/>
      </rPr>
      <t xml:space="preserve">¥
</t>
    </r>
    <r>
      <rPr>
        <b/>
        <sz val="9"/>
        <color rgb="FFFFFFFF"/>
        <rFont val="Noto Sans CJK SC"/>
        <charset val="134"/>
      </rPr>
      <t>不含税</t>
    </r>
  </si>
  <si>
    <t>头程
外币</t>
  </si>
  <si>
    <t>产品成本
外币</t>
  </si>
  <si>
    <t>其他
外币</t>
  </si>
  <si>
    <t>单位毛利
外币</t>
  </si>
  <si>
    <t>毛利率</t>
  </si>
  <si>
    <t>NET PPM</t>
  </si>
  <si>
    <t>利润灯</t>
  </si>
  <si>
    <r>
      <rPr>
        <b/>
        <sz val="9"/>
        <color rgb="FFFFFFFF"/>
        <rFont val="Microsoft YaHei"/>
        <charset val="1"/>
      </rPr>
      <t xml:space="preserve">NET PPM
</t>
    </r>
    <r>
      <rPr>
        <b/>
        <sz val="9"/>
        <color rgb="FFFFFFFF"/>
        <rFont val="Noto Sans CJK SC"/>
        <charset val="134"/>
      </rPr>
      <t>达标</t>
    </r>
  </si>
  <si>
    <r>
      <rPr>
        <b/>
        <sz val="9"/>
        <color rgb="FFFFFFFF"/>
        <rFont val="Noto Sans CJK SC"/>
        <charset val="134"/>
      </rPr>
      <t>保本</t>
    </r>
    <r>
      <rPr>
        <b/>
        <sz val="9"/>
        <color rgb="FFFFFFFF"/>
        <rFont val="Microsoft YaHei"/>
        <charset val="1"/>
      </rPr>
      <t xml:space="preserve">Coupon
</t>
    </r>
    <r>
      <rPr>
        <b/>
        <sz val="9"/>
        <color rgb="FFFFFFFF"/>
        <rFont val="Noto Sans CJK SC"/>
        <charset val="134"/>
      </rPr>
      <t>上限</t>
    </r>
    <r>
      <rPr>
        <b/>
        <sz val="9"/>
        <color rgb="FFFFFFFF"/>
        <rFont val="Microsoft YaHei"/>
        <charset val="1"/>
      </rPr>
      <t>%</t>
    </r>
  </si>
  <si>
    <t>R0001UK</t>
  </si>
  <si>
    <t>B0F1F535PC</t>
  </si>
  <si>
    <t>除螨仪</t>
  </si>
  <si>
    <r>
      <rPr>
        <sz val="10"/>
        <color rgb="FF0000FF"/>
        <rFont val="Noto Sans CJK SC"/>
        <charset val="134"/>
      </rPr>
      <t>除螨仪（</t>
    </r>
    <r>
      <rPr>
        <sz val="10"/>
        <color rgb="FF0000FF"/>
        <rFont val="Microsoft YaHei"/>
        <charset val="1"/>
      </rPr>
      <t>Coupon 5%</t>
    </r>
    <r>
      <rPr>
        <sz val="10"/>
        <color rgb="FF0000FF"/>
        <rFont val="Noto Sans CJK SC"/>
        <charset val="134"/>
      </rPr>
      <t>）</t>
    </r>
  </si>
  <si>
    <r>
      <rPr>
        <sz val="10"/>
        <color rgb="FF0000FF"/>
        <rFont val="Noto Sans CJK SC"/>
        <charset val="134"/>
      </rPr>
      <t>除螨仪（</t>
    </r>
    <r>
      <rPr>
        <sz val="10"/>
        <color rgb="FF0000FF"/>
        <rFont val="Microsoft YaHei"/>
        <charset val="1"/>
      </rPr>
      <t>Coupon 10%</t>
    </r>
    <r>
      <rPr>
        <sz val="10"/>
        <color rgb="FF0000FF"/>
        <rFont val="Noto Sans CJK SC"/>
        <charset val="134"/>
      </rPr>
      <t>）</t>
    </r>
  </si>
  <si>
    <r>
      <rPr>
        <sz val="10"/>
        <color rgb="FF0000FF"/>
        <rFont val="Noto Sans CJK SC"/>
        <charset val="134"/>
      </rPr>
      <t>除螨仪（</t>
    </r>
    <r>
      <rPr>
        <sz val="10"/>
        <color rgb="FF0000FF"/>
        <rFont val="Microsoft YaHei"/>
        <charset val="1"/>
      </rPr>
      <t>Coupon 15%</t>
    </r>
    <r>
      <rPr>
        <sz val="10"/>
        <color rgb="FF0000FF"/>
        <rFont val="Noto Sans CJK SC"/>
        <charset val="134"/>
      </rPr>
      <t>）</t>
    </r>
  </si>
  <si>
    <t>R0001EU</t>
  </si>
  <si>
    <t>B0F1F7J8V3</t>
  </si>
  <si>
    <t>R0002UK</t>
  </si>
  <si>
    <t>B0GDDKS6ZJ</t>
  </si>
  <si>
    <t>布艺清洗机</t>
  </si>
  <si>
    <t>R0002EU</t>
  </si>
  <si>
    <t>B0GDCZ7BWK</t>
  </si>
  <si>
    <t>R0007UK</t>
  </si>
  <si>
    <t>B0FNM5M6R6</t>
  </si>
  <si>
    <r>
      <rPr>
        <sz val="10"/>
        <color rgb="FF0000FF"/>
        <rFont val="Noto Sans CJK SC"/>
        <charset val="134"/>
      </rPr>
      <t>空净</t>
    </r>
    <r>
      <rPr>
        <sz val="10"/>
        <color rgb="FF0000FF"/>
        <rFont val="Microsoft YaHei"/>
        <charset val="1"/>
      </rPr>
      <t>AP100A</t>
    </r>
  </si>
  <si>
    <t>R0007EU</t>
  </si>
  <si>
    <t>B0FNMBQFBC</t>
  </si>
  <si>
    <t>B0FFGKNZNN</t>
  </si>
  <si>
    <t>气泵</t>
  </si>
  <si>
    <t>汇总看板（按站点）</t>
  </si>
  <si>
    <r>
      <rPr>
        <i/>
        <sz val="9"/>
        <color rgb="FF5B6B7B"/>
        <rFont val="Noto Sans CJK SC"/>
        <charset val="134"/>
      </rPr>
      <t>随『</t>
    </r>
    <r>
      <rPr>
        <i/>
        <sz val="9"/>
        <color rgb="FF5B6B7B"/>
        <rFont val="Microsoft YaHei"/>
        <charset val="1"/>
      </rPr>
      <t>VC</t>
    </r>
    <r>
      <rPr>
        <i/>
        <sz val="9"/>
        <color rgb="FF5B6B7B"/>
        <rFont val="Noto Sans CJK SC"/>
        <charset val="134"/>
      </rPr>
      <t>利润测算』自动刷新；统计示例</t>
    </r>
    <r>
      <rPr>
        <i/>
        <sz val="9"/>
        <color rgb="FF5B6B7B"/>
        <rFont val="Microsoft YaHei"/>
        <charset val="1"/>
      </rPr>
      <t>+</t>
    </r>
    <r>
      <rPr>
        <i/>
        <sz val="9"/>
        <color rgb="FF5B6B7B"/>
        <rFont val="Noto Sans CJK SC"/>
        <charset val="134"/>
      </rPr>
      <t>空行整个数据区。</t>
    </r>
  </si>
  <si>
    <t>产品数</t>
  </si>
  <si>
    <t>平均毛利率</t>
  </si>
  <si>
    <r>
      <rPr>
        <b/>
        <sz val="10"/>
        <color rgb="FFFFFFFF"/>
        <rFont val="Noto Sans CJK SC"/>
        <charset val="134"/>
      </rPr>
      <t>平均</t>
    </r>
    <r>
      <rPr>
        <b/>
        <sz val="10"/>
        <color rgb="FFFFFFFF"/>
        <rFont val="Microsoft YaHei"/>
        <charset val="1"/>
      </rPr>
      <t>NET PPM</t>
    </r>
  </si>
  <si>
    <t>🔴红</t>
  </si>
  <si>
    <t>🟡黄</t>
  </si>
  <si>
    <t>🟢绿</t>
  </si>
  <si>
    <r>
      <rPr>
        <b/>
        <sz val="10"/>
        <color rgb="FFFFFFFF"/>
        <rFont val="Noto Sans CJK SC"/>
        <charset val="134"/>
      </rPr>
      <t>合计</t>
    </r>
    <r>
      <rPr>
        <b/>
        <sz val="10"/>
        <color rgb="FFFFFFFF"/>
        <rFont val="Microsoft YaHei"/>
        <charset val="1"/>
      </rPr>
      <t>/</t>
    </r>
    <r>
      <rPr>
        <b/>
        <sz val="10"/>
        <color rgb="FFFFFFFF"/>
        <rFont val="Noto Sans CJK SC"/>
        <charset val="134"/>
      </rPr>
      <t>均值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</si>
</sst>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;\(#,##0.00\);\-"/>
  </numFmts>
  <fonts count="60">
    <font>
      <sz val="11"/>
      <color theme="1"/>
      <name val="Calibri"/>
      <charset val="1"/>
    </font>
    <font>
      <b/>
      <sz val="16"/>
      <color rgb="FF102A43"/>
      <name val="Noto Sans CJK SC"/>
      <charset val="134"/>
    </font>
    <font>
      <i/>
      <sz val="9"/>
      <color rgb="FF5B6B7B"/>
      <name val="Noto Sans CJK SC"/>
      <charset val="134"/>
    </font>
    <font>
      <b/>
      <sz val="10"/>
      <color rgb="FFFFFFFF"/>
      <name val="Noto Sans CJK SC"/>
      <charset val="134"/>
    </font>
    <font>
      <b/>
      <sz val="10"/>
      <color rgb="FF102A43"/>
      <name val="Microsoft YaHei"/>
      <charset val="1"/>
    </font>
    <font>
      <sz val="10"/>
      <color rgb="FF1B2733"/>
      <name val="Microsoft YaHei"/>
      <charset val="1"/>
    </font>
    <font>
      <sz val="10"/>
      <color rgb="FFB23A3A"/>
      <name val="Microsoft YaHei"/>
      <charset val="1"/>
    </font>
    <font>
      <sz val="10"/>
      <color rgb="FF8A6D1B"/>
      <name val="Microsoft YaHei"/>
      <charset val="1"/>
    </font>
    <font>
      <sz val="10"/>
      <color rgb="FF2E7D5B"/>
      <name val="Microsoft YaHei"/>
      <charset val="1"/>
    </font>
    <font>
      <b/>
      <sz val="10"/>
      <color rgb="FF1B2733"/>
      <name val="Microsoft YaHei"/>
      <charset val="1"/>
    </font>
    <font>
      <b/>
      <sz val="10"/>
      <color rgb="FFB23A3A"/>
      <name val="Microsoft YaHei"/>
      <charset val="1"/>
    </font>
    <font>
      <b/>
      <sz val="10"/>
      <color rgb="FF8A6D1B"/>
      <name val="Microsoft YaHei"/>
      <charset val="1"/>
    </font>
    <font>
      <b/>
      <sz val="10"/>
      <color rgb="FF2E7D5B"/>
      <name val="Microsoft YaHei"/>
      <charset val="1"/>
    </font>
    <font>
      <b/>
      <sz val="15"/>
      <color rgb="FF102A43"/>
      <name val="Microsoft YaHei"/>
      <charset val="1"/>
    </font>
    <font>
      <b/>
      <sz val="9"/>
      <color rgb="FFFFFFFF"/>
      <name val="Noto Sans CJK SC"/>
      <charset val="134"/>
    </font>
    <font>
      <b/>
      <sz val="9"/>
      <color rgb="FFFFFFFF"/>
      <name val="Microsoft YaHei"/>
      <charset val="1"/>
    </font>
    <font>
      <sz val="10"/>
      <color rgb="FF0000FF"/>
      <name val="Microsoft YaHei"/>
      <charset val="1"/>
    </font>
    <font>
      <sz val="10"/>
      <color rgb="FF0000FF"/>
      <name val="Noto Sans CJK SC"/>
      <charset val="134"/>
    </font>
    <font>
      <sz val="10"/>
      <color rgb="FF008000"/>
      <name val="Microsoft YaHei"/>
      <charset val="1"/>
    </font>
    <font>
      <sz val="10"/>
      <color rgb="FF1B2733"/>
      <name val="Noto Sans CJK SC"/>
      <charset val="134"/>
    </font>
    <font>
      <b/>
      <sz val="12"/>
      <color rgb="FF102A43"/>
      <name val="Noto Sans CJK SC"/>
      <charset val="134"/>
    </font>
    <font>
      <b/>
      <sz val="10"/>
      <color rgb="FF0000FF"/>
      <name val="Microsoft YaHei"/>
      <charset val="1"/>
    </font>
    <font>
      <b/>
      <sz val="10"/>
      <color rgb="FFFFFFFF"/>
      <name val="Microsoft YaHei"/>
      <charset val="1"/>
    </font>
    <font>
      <b/>
      <sz val="18"/>
      <color rgb="FF102A43"/>
      <name val="Microsoft YaHei"/>
      <charset val="1"/>
    </font>
    <font>
      <i/>
      <sz val="10"/>
      <color rgb="FFE8871E"/>
      <name val="Noto Sans CJK SC"/>
      <charset val="134"/>
    </font>
    <font>
      <b/>
      <sz val="10"/>
      <color rgb="FF0000FF"/>
      <name val="Noto Sans CJK SC"/>
      <charset val="134"/>
    </font>
    <font>
      <b/>
      <sz val="10"/>
      <color rgb="FF008000"/>
      <name val="Noto Sans CJK SC"/>
      <charset val="134"/>
    </font>
    <font>
      <sz val="10"/>
      <color rgb="FFB23A3A"/>
      <name val="Noto Sans CJK SC"/>
      <charset val="134"/>
    </font>
    <font>
      <sz val="10"/>
      <color rgb="FF8A6D1B"/>
      <name val="Noto Sans CJK SC"/>
      <charset val="134"/>
    </font>
    <font>
      <sz val="10"/>
      <color rgb="FF2E7D5B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102A43"/>
      <name val="Microsoft YaHei"/>
      <charset val="1"/>
    </font>
    <font>
      <b/>
      <sz val="15"/>
      <color rgb="FF102A43"/>
      <name val="Noto Sans CJK SC"/>
      <charset val="134"/>
    </font>
    <font>
      <i/>
      <sz val="9"/>
      <color rgb="FF5B6B7B"/>
      <name val="Microsoft YaHei"/>
      <charset val="1"/>
    </font>
    <font>
      <b/>
      <sz val="18"/>
      <color rgb="FF102A43"/>
      <name val="Noto Sans CJK SC"/>
      <charset val="134"/>
    </font>
    <font>
      <b/>
      <sz val="10"/>
      <color rgb="FF008000"/>
      <name val="Microsoft YaHei"/>
      <charset val="1"/>
    </font>
    <font>
      <b/>
      <sz val="10"/>
      <color rgb="FF1B2733"/>
      <name val="Noto Sans CJK SC"/>
      <charset val="134"/>
    </font>
    <font>
      <i/>
      <sz val="10"/>
      <color rgb="FFE8871E"/>
      <name val="Microsoft YaHei"/>
      <charset val="1"/>
    </font>
    <font>
      <sz val="10"/>
      <name val="Arial"/>
      <charset val="134"/>
    </font>
    <font>
      <sz val="10"/>
      <name val="Noto Sans CJK SC"/>
      <charset val="134"/>
    </font>
  </fonts>
  <fills count="43">
    <fill>
      <patternFill patternType="none"/>
    </fill>
    <fill>
      <patternFill patternType="gray125"/>
    </fill>
    <fill>
      <patternFill patternType="solid">
        <fgColor rgb="FF102A43"/>
        <bgColor rgb="FF1B2733"/>
      </patternFill>
    </fill>
    <fill>
      <patternFill patternType="solid">
        <fgColor rgb="FFE8871E"/>
        <bgColor rgb="FFFF6600"/>
      </patternFill>
    </fill>
    <fill>
      <patternFill patternType="solid">
        <fgColor rgb="FFFDF0E2"/>
        <bgColor rgb="FFFCF3D6"/>
      </patternFill>
    </fill>
    <fill>
      <patternFill patternType="solid">
        <fgColor rgb="FFF2F5F8"/>
        <bgColor rgb="FFF5F7F9"/>
      </patternFill>
    </fill>
    <fill>
      <patternFill patternType="solid">
        <fgColor rgb="FFFFF6CC"/>
        <bgColor rgb="FFFCF3D6"/>
      </patternFill>
    </fill>
    <fill>
      <patternFill patternType="solid">
        <fgColor rgb="FFFFFFFF"/>
        <bgColor rgb="FFF5F7F9"/>
      </patternFill>
    </fill>
    <fill>
      <patternFill patternType="solid">
        <fgColor rgb="FFF5F7F9"/>
        <bgColor rgb="FFF2F5F8"/>
      </patternFill>
    </fill>
    <fill>
      <patternFill patternType="solid">
        <fgColor rgb="FFF7E3E3"/>
        <bgColor rgb="FFFDF0E2"/>
      </patternFill>
    </fill>
    <fill>
      <patternFill patternType="solid">
        <fgColor rgb="FFFCF3D6"/>
        <bgColor rgb="FFFFF6CC"/>
      </patternFill>
    </fill>
    <fill>
      <patternFill patternType="solid">
        <fgColor rgb="FFE4F1E9"/>
        <bgColor rgb="FFF2F5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0" fillId="0" borderId="0" applyBorder="0" applyAlignment="0" applyProtection="0"/>
    <xf numFmtId="44" fontId="30" fillId="0" borderId="0" applyBorder="0" applyAlignment="0" applyProtection="0"/>
    <xf numFmtId="9" fontId="30" fillId="0" borderId="0" applyBorder="0" applyAlignment="0" applyProtection="0"/>
    <xf numFmtId="41" fontId="30" fillId="0" borderId="0" applyBorder="0" applyAlignment="0" applyProtection="0"/>
    <xf numFmtId="42" fontId="30" fillId="0" borderId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2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3" borderId="5" applyNumberFormat="0" applyAlignment="0" applyProtection="0">
      <alignment vertical="center"/>
    </xf>
    <xf numFmtId="0" fontId="41" fillId="14" borderId="6" applyNumberFormat="0" applyAlignment="0" applyProtection="0">
      <alignment vertical="center"/>
    </xf>
    <xf numFmtId="0" fontId="42" fillId="14" borderId="5" applyNumberFormat="0" applyAlignment="0" applyProtection="0">
      <alignment vertical="center"/>
    </xf>
    <xf numFmtId="0" fontId="43" fillId="15" borderId="7" applyNumberFormat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76" fontId="9" fillId="4" borderId="1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/>
    </xf>
    <xf numFmtId="0" fontId="1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77" fontId="16" fillId="0" borderId="1" xfId="0" applyNumberFormat="1" applyFont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  <xf numFmtId="177" fontId="16" fillId="5" borderId="1" xfId="0" applyNumberFormat="1" applyFont="1" applyFill="1" applyBorder="1" applyAlignment="1">
      <alignment horizontal="center" vertical="center"/>
    </xf>
    <xf numFmtId="176" fontId="16" fillId="5" borderId="1" xfId="0" applyNumberFormat="1" applyFont="1" applyFill="1" applyBorder="1" applyAlignment="1">
      <alignment horizontal="center" vertical="center"/>
    </xf>
    <xf numFmtId="4" fontId="16" fillId="5" borderId="1" xfId="0" applyNumberFormat="1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176" fontId="18" fillId="5" borderId="1" xfId="0" applyNumberFormat="1" applyFont="1" applyFill="1" applyBorder="1" applyAlignment="1">
      <alignment horizontal="center" vertical="center"/>
    </xf>
    <xf numFmtId="4" fontId="18" fillId="5" borderId="1" xfId="0" applyNumberFormat="1" applyFont="1" applyFill="1" applyBorder="1" applyAlignment="1">
      <alignment horizontal="center" vertical="center"/>
    </xf>
    <xf numFmtId="177" fontId="18" fillId="5" borderId="1" xfId="0" applyNumberFormat="1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176" fontId="21" fillId="6" borderId="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/>
    </xf>
    <xf numFmtId="176" fontId="21" fillId="6" borderId="1" xfId="0" applyNumberFormat="1" applyFont="1" applyFill="1" applyBorder="1" applyAlignment="1">
      <alignment horizontal="center"/>
    </xf>
    <xf numFmtId="4" fontId="21" fillId="6" borderId="1" xfId="0" applyNumberFormat="1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0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5" fillId="7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6" borderId="0" xfId="0" applyFont="1" applyFill="1" applyAlignment="1">
      <alignment vertical="center"/>
    </xf>
    <xf numFmtId="0" fontId="9" fillId="8" borderId="1" xfId="0" applyFont="1" applyFill="1" applyBorder="1" applyAlignment="1">
      <alignment vertical="center"/>
    </xf>
    <xf numFmtId="0" fontId="27" fillId="9" borderId="0" xfId="0" applyFont="1" applyFill="1" applyAlignment="1">
      <alignment vertical="center"/>
    </xf>
    <xf numFmtId="0" fontId="28" fillId="10" borderId="0" xfId="0" applyFont="1" applyFill="1" applyAlignment="1">
      <alignment vertical="center"/>
    </xf>
    <xf numFmtId="0" fontId="29" fillId="11" borderId="0" xfId="0" applyFont="1" applyFill="1" applyAlignment="1">
      <alignment vertical="center"/>
    </xf>
    <xf numFmtId="0" fontId="5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name val="Microsoft YaHei"/>
        <scheme val="none"/>
        <charset val="1"/>
        <family val="0"/>
        <sz val="10"/>
        <color rgb="FFB23A3A"/>
      </font>
      <fill>
        <patternFill patternType="solid">
          <bgColor rgb="FFF7E3E3"/>
        </patternFill>
      </fill>
    </dxf>
    <dxf>
      <fill>
        <patternFill patternType="solid">
          <bgColor rgb="FFFCF3D6"/>
        </patternFill>
      </fill>
    </dxf>
    <dxf>
      <font>
        <name val="Microsoft YaHei"/>
        <scheme val="none"/>
        <charset val="1"/>
        <family val="0"/>
        <sz val="10"/>
        <color rgb="FF2E7D5B"/>
      </font>
      <fill>
        <patternFill patternType="solid">
          <bgColor rgb="FFE4F1E9"/>
        </patternFill>
      </fill>
    </dxf>
    <dxf>
      <font>
        <name val="Microsoft YaHei"/>
        <scheme val="none"/>
        <charset val="1"/>
        <family val="0"/>
        <b val="1"/>
        <sz val="10"/>
        <color rgb="FFB23A3A"/>
      </font>
      <fill>
        <patternFill patternType="solid">
          <bgColor rgb="FFF7E3E3"/>
        </patternFill>
      </fill>
    </dxf>
    <dxf>
      <font>
        <name val="Microsoft YaHei"/>
        <scheme val="none"/>
        <charset val="1"/>
        <family val="0"/>
        <b val="1"/>
        <sz val="10"/>
        <color rgb="FF8A6D1B"/>
      </font>
      <fill>
        <patternFill patternType="solid">
          <bgColor rgb="FFFCF3D6"/>
        </patternFill>
      </fill>
    </dxf>
    <dxf>
      <font>
        <name val="Microsoft YaHei"/>
        <scheme val="none"/>
        <charset val="1"/>
        <family val="0"/>
        <b val="1"/>
        <sz val="10"/>
        <color rgb="FF2E7D5B"/>
      </font>
      <fill>
        <patternFill patternType="solid">
          <bgColor rgb="FFE4F1E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A6D1B"/>
      <rgbColor rgb="00800080"/>
      <rgbColor rgb="00008080"/>
      <rgbColor rgb="00FDF0E2"/>
      <rgbColor rgb="00808080"/>
      <rgbColor rgb="009999FF"/>
      <rgbColor rgb="00B23A3A"/>
      <rgbColor rgb="00FFF6CC"/>
      <rgbColor rgb="00E4F1E9"/>
      <rgbColor rgb="00660066"/>
      <rgbColor rgb="00FF8080"/>
      <rgbColor rgb="000066CC"/>
      <rgbColor rgb="00C9D1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5F8"/>
      <rgbColor rgb="00F5F7F9"/>
      <rgbColor rgb="00FCF3D6"/>
      <rgbColor rgb="0099CCFF"/>
      <rgbColor rgb="00FF99CC"/>
      <rgbColor rgb="00CC99FF"/>
      <rgbColor rgb="00F7E3E3"/>
      <rgbColor rgb="003366FF"/>
      <rgbColor rgb="0033CCCC"/>
      <rgbColor rgb="0099CC00"/>
      <rgbColor rgb="00FFCC00"/>
      <rgbColor rgb="00E8871E"/>
      <rgbColor rgb="00FF6600"/>
      <rgbColor rgb="005B6B7B"/>
      <rgbColor rgb="00969696"/>
      <rgbColor rgb="00102A43"/>
      <rgbColor rgb="002E7D5B"/>
      <rgbColor rgb="00003300"/>
      <rgbColor rgb="00333300"/>
      <rgbColor rgb="00993300"/>
      <rgbColor rgb="00993366"/>
      <rgbColor rgb="00333399"/>
      <rgbColor rgb="001B2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8"/>
  <sheetViews>
    <sheetView showGridLines="0" workbookViewId="0">
      <selection activeCell="B28" sqref="B28"/>
    </sheetView>
  </sheetViews>
  <sheetFormatPr defaultColWidth="8.67619047619048" defaultRowHeight="15" outlineLevelCol="1"/>
  <cols>
    <col min="1" max="1" width="3" customWidth="1"/>
    <col min="2" max="2" width="108" customWidth="1"/>
  </cols>
  <sheetData>
    <row r="2" ht="24.75" spans="2:2">
      <c r="B2" s="53" t="s">
        <v>0</v>
      </c>
    </row>
    <row r="3" ht="16.5" spans="2:2">
      <c r="B3" s="54" t="s">
        <v>1</v>
      </c>
    </row>
    <row r="5" spans="2:2">
      <c r="B5" s="55" t="s">
        <v>2</v>
      </c>
    </row>
    <row r="6" ht="42" customHeight="1" spans="2:2">
      <c r="B6" s="56" t="s">
        <v>3</v>
      </c>
    </row>
    <row r="7" spans="2:2">
      <c r="B7" s="56"/>
    </row>
    <row r="8" spans="2:2">
      <c r="B8" s="55" t="s">
        <v>4</v>
      </c>
    </row>
    <row r="9" ht="16.5" spans="2:2">
      <c r="B9" s="57" t="s">
        <v>5</v>
      </c>
    </row>
    <row r="10" ht="16.5" spans="2:2">
      <c r="B10" s="58" t="s">
        <v>6</v>
      </c>
    </row>
    <row r="11" ht="16.5" spans="2:2">
      <c r="B11" s="59" t="s">
        <v>7</v>
      </c>
    </row>
    <row r="12" ht="16.5" spans="2:2">
      <c r="B12" s="60" t="s">
        <v>8</v>
      </c>
    </row>
    <row r="13" spans="2:2">
      <c r="B13" s="56"/>
    </row>
    <row r="14" ht="18" spans="2:2">
      <c r="B14" s="55" t="s">
        <v>9</v>
      </c>
    </row>
    <row r="15" ht="19.5" customHeight="1" spans="2:2">
      <c r="B15" s="61" t="s">
        <v>10</v>
      </c>
    </row>
    <row r="16" ht="19.5" customHeight="1" spans="2:2">
      <c r="B16" s="61" t="s">
        <v>11</v>
      </c>
    </row>
    <row r="17" ht="57.75" customHeight="1" spans="2:2">
      <c r="B17" s="56" t="s">
        <v>12</v>
      </c>
    </row>
    <row r="18" spans="2:2">
      <c r="B18" s="56"/>
    </row>
    <row r="19" ht="18" spans="2:2">
      <c r="B19" s="55" t="s">
        <v>13</v>
      </c>
    </row>
    <row r="20" ht="16.5" spans="2:2">
      <c r="B20" s="62" t="s">
        <v>14</v>
      </c>
    </row>
    <row r="21" ht="16.5" spans="2:2">
      <c r="B21" s="63" t="s">
        <v>15</v>
      </c>
    </row>
    <row r="22" ht="16.5" spans="2:2">
      <c r="B22" s="64" t="s">
        <v>16</v>
      </c>
    </row>
    <row r="23" spans="2:2">
      <c r="B23" s="56"/>
    </row>
    <row r="24" spans="2:2">
      <c r="B24" s="55" t="s">
        <v>17</v>
      </c>
    </row>
    <row r="25" ht="30" customHeight="1" spans="2:2">
      <c r="B25" s="65" t="s">
        <v>18</v>
      </c>
    </row>
    <row r="26" ht="30" customHeight="1" spans="2:2">
      <c r="B26" s="65" t="s">
        <v>19</v>
      </c>
    </row>
    <row r="27" ht="30" customHeight="1" spans="2:2">
      <c r="B27" s="65" t="s">
        <v>20</v>
      </c>
    </row>
    <row r="28" ht="30" customHeight="1" spans="2:2">
      <c r="B28" s="65" t="s">
        <v>21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"/>
    </sheetView>
  </sheetViews>
  <sheetFormatPr defaultColWidth="8.67619047619048" defaultRowHeight="15" outlineLevelCol="4"/>
  <cols>
    <col min="1" max="2" width="16" customWidth="1"/>
    <col min="3" max="3" width="12" customWidth="1"/>
    <col min="4" max="4" width="18" customWidth="1"/>
    <col min="5" max="5" width="16" customWidth="1"/>
  </cols>
  <sheetData>
    <row r="1" ht="20.25" spans="1:5">
      <c r="A1" s="1" t="s">
        <v>22</v>
      </c>
    </row>
    <row r="2" spans="1:5">
      <c r="A2" s="2" t="s">
        <v>23</v>
      </c>
    </row>
    <row r="3" spans="1:5">
      <c r="A3" s="46" t="s">
        <v>24</v>
      </c>
    </row>
    <row r="4" ht="16.5" spans="1:5">
      <c r="A4" s="47" t="s">
        <v>25</v>
      </c>
      <c r="B4" s="48">
        <v>0.13</v>
      </c>
    </row>
    <row r="5" ht="16.5" spans="1:5">
      <c r="A5" s="47" t="s">
        <v>26</v>
      </c>
      <c r="B5" s="48">
        <v>0.15</v>
      </c>
    </row>
    <row r="6" ht="16.5" spans="1:5">
      <c r="A6" s="47" t="s">
        <v>27</v>
      </c>
      <c r="B6" s="48">
        <v>0.35</v>
      </c>
    </row>
    <row r="7" ht="16.5" spans="1:5">
      <c r="A7" s="47" t="s">
        <v>28</v>
      </c>
      <c r="B7" s="48">
        <v>0.1</v>
      </c>
    </row>
    <row r="8" ht="16.5" spans="1:5">
      <c r="A8" s="47" t="s">
        <v>29</v>
      </c>
      <c r="B8" s="48">
        <v>0.25</v>
      </c>
    </row>
    <row r="10" spans="1:5">
      <c r="A10" s="46" t="s">
        <v>30</v>
      </c>
    </row>
    <row r="11" ht="16.5" spans="1:5">
      <c r="A11" s="3" t="s">
        <v>31</v>
      </c>
      <c r="B11" s="3" t="s">
        <v>32</v>
      </c>
      <c r="C11" s="49" t="s">
        <v>33</v>
      </c>
      <c r="D11" s="3" t="s">
        <v>34</v>
      </c>
      <c r="E11" s="3" t="s">
        <v>35</v>
      </c>
    </row>
    <row r="12" ht="16.5" spans="1:5">
      <c r="A12" s="50" t="s">
        <v>36</v>
      </c>
      <c r="B12" s="50" t="s">
        <v>37</v>
      </c>
      <c r="C12" s="51">
        <v>0.2</v>
      </c>
      <c r="D12" s="52">
        <v>8.95</v>
      </c>
      <c r="E12" s="52">
        <v>9</v>
      </c>
    </row>
    <row r="13" ht="16.5" spans="1:5">
      <c r="A13" s="50" t="s">
        <v>38</v>
      </c>
      <c r="B13" s="50" t="s">
        <v>39</v>
      </c>
      <c r="C13" s="51">
        <v>0.2</v>
      </c>
      <c r="D13" s="52">
        <v>7.75</v>
      </c>
      <c r="E13" s="52">
        <v>8</v>
      </c>
    </row>
    <row r="14" ht="16.5" spans="1:5">
      <c r="A14" s="50" t="s">
        <v>40</v>
      </c>
      <c r="B14" s="50" t="s">
        <v>39</v>
      </c>
      <c r="C14" s="51">
        <v>0.2</v>
      </c>
      <c r="D14" s="52">
        <v>14.25</v>
      </c>
      <c r="E14" s="52">
        <v>8</v>
      </c>
    </row>
    <row r="15" ht="16.5" spans="1:5">
      <c r="A15" s="50" t="s">
        <v>41</v>
      </c>
      <c r="B15" s="50" t="s">
        <v>39</v>
      </c>
      <c r="C15" s="51">
        <v>0.2</v>
      </c>
      <c r="D15" s="52">
        <v>15.25</v>
      </c>
      <c r="E15" s="52">
        <v>8</v>
      </c>
    </row>
    <row r="16" ht="16.5" spans="1:5">
      <c r="A16" s="50" t="s">
        <v>42</v>
      </c>
      <c r="B16" s="50" t="s">
        <v>39</v>
      </c>
      <c r="C16" s="51">
        <v>0.2</v>
      </c>
      <c r="D16" s="52">
        <v>19.25</v>
      </c>
      <c r="E16" s="52">
        <v>8</v>
      </c>
    </row>
    <row r="17" ht="16.5" spans="1:5">
      <c r="A17" s="50" t="s">
        <v>43</v>
      </c>
      <c r="B17" s="50" t="s">
        <v>39</v>
      </c>
      <c r="C17" s="51">
        <v>0.2</v>
      </c>
      <c r="D17" s="52">
        <v>16.75</v>
      </c>
      <c r="E17" s="52">
        <v>8</v>
      </c>
    </row>
    <row r="18" ht="16.5" spans="1:5">
      <c r="A18" s="50" t="s">
        <v>44</v>
      </c>
      <c r="B18" s="50" t="s">
        <v>45</v>
      </c>
      <c r="C18" s="51">
        <v>0.2</v>
      </c>
      <c r="D18" s="52">
        <v>14.05</v>
      </c>
      <c r="E18" s="52">
        <v>2</v>
      </c>
    </row>
    <row r="19" ht="16.5" spans="1:5">
      <c r="A19" s="50" t="s">
        <v>46</v>
      </c>
      <c r="B19" s="50" t="s">
        <v>47</v>
      </c>
      <c r="C19" s="51">
        <v>0.2</v>
      </c>
      <c r="D19" s="52">
        <v>18.25</v>
      </c>
      <c r="E19" s="52">
        <v>0.75</v>
      </c>
    </row>
    <row r="20" ht="16.5" spans="1:5">
      <c r="A20" s="50" t="s">
        <v>48</v>
      </c>
      <c r="B20" s="50" t="s">
        <v>39</v>
      </c>
      <c r="C20" s="51">
        <v>0.2</v>
      </c>
      <c r="D20" s="52">
        <v>14.25</v>
      </c>
      <c r="E20" s="52">
        <v>8</v>
      </c>
    </row>
  </sheetData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showGridLines="0" workbookViewId="0">
      <pane xSplit="4" ySplit="3" topLeftCell="E4" activePane="bottomRight" state="frozen"/>
      <selection/>
      <selection pane="topRight"/>
      <selection pane="bottomLeft"/>
      <selection pane="bottomRight" activeCell="A1" sqref="A1:AD1"/>
    </sheetView>
  </sheetViews>
  <sheetFormatPr defaultColWidth="8.67619047619048" defaultRowHeight="15"/>
  <cols>
    <col min="1" max="1" width="6" customWidth="1"/>
    <col min="2" max="2" width="11" customWidth="1"/>
    <col min="3" max="3" width="12" customWidth="1"/>
    <col min="4" max="4" width="20" customWidth="1"/>
    <col min="5" max="6" width="12" customWidth="1"/>
    <col min="7" max="7" width="9" customWidth="1"/>
    <col min="8" max="8" width="11" customWidth="1"/>
    <col min="9" max="9" width="8" customWidth="1"/>
    <col min="10" max="10" width="7" customWidth="1"/>
    <col min="11" max="11" width="10" customWidth="1"/>
    <col min="12" max="12" width="8" customWidth="1"/>
    <col min="13" max="14" width="7" customWidth="1"/>
    <col min="15" max="15" width="8" customWidth="1"/>
    <col min="16" max="16" width="9" customWidth="1"/>
    <col min="17" max="19" width="10" customWidth="1"/>
    <col min="20" max="21" width="9" customWidth="1"/>
    <col min="22" max="22" width="8" customWidth="1"/>
    <col min="23" max="23" width="10" customWidth="1"/>
    <col min="24" max="24" width="8" customWidth="1"/>
    <col min="25" max="25" width="10" customWidth="1"/>
    <col min="26" max="26" width="8" customWidth="1"/>
    <col min="27" max="27" width="9" customWidth="1"/>
    <col min="28" max="28" width="7" customWidth="1"/>
    <col min="29" max="29" width="8" customWidth="1"/>
    <col min="30" max="30" width="10" customWidth="1"/>
  </cols>
  <sheetData>
    <row r="1" ht="21.75" spans="1:30">
      <c r="A1" s="16" t="s">
        <v>49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>
      <c r="A2" s="17" t="s">
        <v>50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ht="30" customHeight="1" spans="1:30">
      <c r="A3" s="18" t="s">
        <v>31</v>
      </c>
      <c r="B3" s="19" t="s">
        <v>51</v>
      </c>
      <c r="C3" s="19" t="s">
        <v>52</v>
      </c>
      <c r="D3" s="18" t="s">
        <v>53</v>
      </c>
      <c r="E3" s="18" t="s">
        <v>54</v>
      </c>
      <c r="F3" s="18" t="s">
        <v>55</v>
      </c>
      <c r="G3" s="19" t="s">
        <v>56</v>
      </c>
      <c r="H3" s="18" t="s">
        <v>57</v>
      </c>
      <c r="I3" s="18" t="s">
        <v>58</v>
      </c>
      <c r="J3" s="18" t="s">
        <v>59</v>
      </c>
      <c r="K3" s="18" t="s">
        <v>60</v>
      </c>
      <c r="L3" s="18" t="s">
        <v>61</v>
      </c>
      <c r="M3" s="18" t="s">
        <v>62</v>
      </c>
      <c r="N3" s="19" t="s">
        <v>33</v>
      </c>
      <c r="O3" s="18" t="s">
        <v>63</v>
      </c>
      <c r="P3" s="18" t="s">
        <v>64</v>
      </c>
      <c r="Q3" s="19" t="s">
        <v>65</v>
      </c>
      <c r="R3" s="18" t="s">
        <v>66</v>
      </c>
      <c r="S3" s="18" t="s">
        <v>67</v>
      </c>
      <c r="T3" s="18" t="s">
        <v>68</v>
      </c>
      <c r="U3" s="18" t="s">
        <v>69</v>
      </c>
      <c r="V3" s="18" t="s">
        <v>70</v>
      </c>
      <c r="W3" s="18" t="s">
        <v>71</v>
      </c>
      <c r="X3" s="18" t="s">
        <v>72</v>
      </c>
      <c r="Y3" s="18" t="s">
        <v>73</v>
      </c>
      <c r="Z3" s="18" t="s">
        <v>74</v>
      </c>
      <c r="AA3" s="19" t="s">
        <v>75</v>
      </c>
      <c r="AB3" s="18" t="s">
        <v>76</v>
      </c>
      <c r="AC3" s="19" t="s">
        <v>77</v>
      </c>
      <c r="AD3" s="18" t="s">
        <v>78</v>
      </c>
    </row>
    <row r="4" ht="16.5" spans="1:30">
      <c r="A4" s="20" t="s">
        <v>36</v>
      </c>
      <c r="B4" s="20" t="s">
        <v>79</v>
      </c>
      <c r="C4" s="20" t="s">
        <v>80</v>
      </c>
      <c r="D4" s="21" t="s">
        <v>81</v>
      </c>
      <c r="E4" s="22">
        <v>48.3</v>
      </c>
      <c r="F4" s="22">
        <v>69.99</v>
      </c>
      <c r="G4" s="23">
        <v>0</v>
      </c>
      <c r="H4" s="23">
        <v>0.178</v>
      </c>
      <c r="I4" s="22">
        <v>8</v>
      </c>
      <c r="J4" s="23">
        <v>0.01</v>
      </c>
      <c r="K4" s="24">
        <v>138.5</v>
      </c>
      <c r="L4" s="24">
        <v>20</v>
      </c>
      <c r="M4" s="25">
        <v>4</v>
      </c>
      <c r="N4" s="26">
        <f>IFERROR(VLOOKUP($A4,参数与站点费率!$A$12:$E$20,3,0),"")</f>
        <v>0.2</v>
      </c>
      <c r="O4" s="27">
        <f>IFERROR(VLOOKUP($A4,参数与站点费率!$A$12:$E$20,5,0),"")</f>
        <v>9</v>
      </c>
      <c r="P4" s="28">
        <f>IFERROR(VLOOKUP($A4,参数与站点费率!$A$12:$E$20,4,0)/$M4,"")</f>
        <v>2.2375</v>
      </c>
      <c r="Q4" s="29">
        <f t="shared" ref="Q4:Q30" si="0">IF(OR($E4="",$F4=""),"",$F4/(1+$N4))</f>
        <v>58.325</v>
      </c>
      <c r="R4" s="29">
        <f t="shared" ref="R4:R30" si="1">IF(OR($E4="",$F4=""),"",$G4*$F4)</f>
        <v>0</v>
      </c>
      <c r="S4" s="29">
        <f t="shared" ref="S4:S30" si="2">IF(OR($E4="",$F4=""),"",$F4-$R4)</f>
        <v>69.99</v>
      </c>
      <c r="T4" s="29">
        <f t="shared" ref="T4:T30" si="3">IF(OR($E4="",$F4=""),"",$H4*$E4)</f>
        <v>8.5974</v>
      </c>
      <c r="U4" s="30">
        <f>IF($K4="","",$K4/(1+参数与站点费率!$B$4))</f>
        <v>122.566371681416</v>
      </c>
      <c r="V4" s="29">
        <f t="shared" ref="V4:V30" si="4">IF(OR($L4="",$O4=""),"",$L4/$O4)</f>
        <v>2.22222222222222</v>
      </c>
      <c r="W4" s="29">
        <f t="shared" ref="W4:W30" si="5">IF(OR($U4="",$O4=""),"",($U4+$L4)/$O4)</f>
        <v>15.8407079646018</v>
      </c>
      <c r="X4" s="29">
        <f t="shared" ref="X4:X30" si="6">IF(OR($E4="",$F4=""),"",$E4*$J4)</f>
        <v>0.483</v>
      </c>
      <c r="Y4" s="29">
        <f t="shared" ref="Y4:Y30" si="7">IF(OR($E4="",$F4=""),"",$E4-$W4-$T4-$I4-$P4-$R4-$X4)</f>
        <v>13.1413920353982</v>
      </c>
      <c r="Z4" s="31">
        <f t="shared" ref="Z4:Z30" si="8">IF(OR($E4="",$Y4=""),"",$Y4/$E4)</f>
        <v>0.272078510049653</v>
      </c>
      <c r="AA4" s="31">
        <f t="shared" ref="AA4:AA30" si="9">IF(OR($Q4="",$R4=""),"",($Q4-$E4+$T4)/($Q4-$R4))</f>
        <v>0.31928675525075</v>
      </c>
      <c r="AB4" s="32" t="str">
        <f>IF($Z4="","",IF($Z4&gt;参数与站点费率!$B$8,"绿",IF($Z4&gt;参数与站点费率!$B$7,"黄","红")))</f>
        <v>绿</v>
      </c>
      <c r="AC4" s="32" t="str">
        <f>IF($AA4="","",IF($AA4&gt;=参数与站点费率!$B$6,"达标","偏低"))</f>
        <v>偏低</v>
      </c>
      <c r="AD4" s="31">
        <f>IF(OR($Y4="",$F4=""),"",MAX(0,($Y4+$R4-参数与站点费率!$B$5*$E4)/$F4))</f>
        <v>0.0842462071067042</v>
      </c>
    </row>
    <row r="5" ht="16.5" spans="1:30">
      <c r="A5" s="33" t="s">
        <v>36</v>
      </c>
      <c r="B5" s="33" t="s">
        <v>79</v>
      </c>
      <c r="C5" s="33" t="s">
        <v>80</v>
      </c>
      <c r="D5" s="34" t="s">
        <v>82</v>
      </c>
      <c r="E5" s="35">
        <v>48.3</v>
      </c>
      <c r="F5" s="35">
        <v>69.99</v>
      </c>
      <c r="G5" s="36">
        <v>0.05</v>
      </c>
      <c r="H5" s="36">
        <v>0.178</v>
      </c>
      <c r="I5" s="35">
        <v>8</v>
      </c>
      <c r="J5" s="36">
        <v>0.01</v>
      </c>
      <c r="K5" s="37">
        <v>138.5</v>
      </c>
      <c r="L5" s="37">
        <v>20</v>
      </c>
      <c r="M5" s="38">
        <v>4</v>
      </c>
      <c r="N5" s="39">
        <f>IFERROR(VLOOKUP($A5,参数与站点费率!$A$12:$E$20,3,0),"")</f>
        <v>0.2</v>
      </c>
      <c r="O5" s="40">
        <f>IFERROR(VLOOKUP($A5,参数与站点费率!$A$12:$E$20,5,0),"")</f>
        <v>9</v>
      </c>
      <c r="P5" s="41">
        <f>IFERROR(VLOOKUP($A5,参数与站点费率!$A$12:$E$20,4,0)/$M5,"")</f>
        <v>2.2375</v>
      </c>
      <c r="Q5" s="42">
        <f t="shared" si="0"/>
        <v>58.325</v>
      </c>
      <c r="R5" s="42">
        <f t="shared" si="1"/>
        <v>3.4995</v>
      </c>
      <c r="S5" s="42">
        <f t="shared" si="2"/>
        <v>66.4905</v>
      </c>
      <c r="T5" s="42">
        <f t="shared" si="3"/>
        <v>8.5974</v>
      </c>
      <c r="U5" s="43">
        <f>IF($K5="","",$K5/(1+参数与站点费率!$B$4))</f>
        <v>122.566371681416</v>
      </c>
      <c r="V5" s="42">
        <f t="shared" si="4"/>
        <v>2.22222222222222</v>
      </c>
      <c r="W5" s="42">
        <f t="shared" si="5"/>
        <v>15.8407079646018</v>
      </c>
      <c r="X5" s="42">
        <f t="shared" si="6"/>
        <v>0.483</v>
      </c>
      <c r="Y5" s="42">
        <f t="shared" si="7"/>
        <v>9.64189203539823</v>
      </c>
      <c r="Z5" s="44">
        <f t="shared" si="8"/>
        <v>0.199625093900584</v>
      </c>
      <c r="AA5" s="44">
        <f t="shared" si="9"/>
        <v>0.339666760905053</v>
      </c>
      <c r="AB5" s="45" t="str">
        <f>IF($Z5="","",IF($Z5&gt;参数与站点费率!$B$8,"绿",IF($Z5&gt;参数与站点费率!$B$7,"黄","红")))</f>
        <v>黄</v>
      </c>
      <c r="AC5" s="45" t="str">
        <f>IF($AA5="","",IF($AA5&gt;=参数与站点费率!$B$6,"达标","偏低"))</f>
        <v>偏低</v>
      </c>
      <c r="AD5" s="44">
        <f>IF(OR($Y5="",$F5=""),"",MAX(0,($Y5+$R5-参数与站点费率!$B$5*$E5)/$F5))</f>
        <v>0.0842462071067042</v>
      </c>
    </row>
    <row r="6" ht="16.5" spans="1:30">
      <c r="A6" s="20" t="s">
        <v>36</v>
      </c>
      <c r="B6" s="20" t="s">
        <v>79</v>
      </c>
      <c r="C6" s="20" t="s">
        <v>80</v>
      </c>
      <c r="D6" s="21" t="s">
        <v>83</v>
      </c>
      <c r="E6" s="22">
        <v>48.3</v>
      </c>
      <c r="F6" s="22">
        <v>69.99</v>
      </c>
      <c r="G6" s="23">
        <v>0.1</v>
      </c>
      <c r="H6" s="23">
        <v>0.178</v>
      </c>
      <c r="I6" s="22">
        <v>8</v>
      </c>
      <c r="J6" s="23">
        <v>0.01</v>
      </c>
      <c r="K6" s="24">
        <v>138.5</v>
      </c>
      <c r="L6" s="24">
        <v>20</v>
      </c>
      <c r="M6" s="25">
        <v>4</v>
      </c>
      <c r="N6" s="26">
        <f>IFERROR(VLOOKUP($A6,参数与站点费率!$A$12:$E$20,3,0),"")</f>
        <v>0.2</v>
      </c>
      <c r="O6" s="27">
        <f>IFERROR(VLOOKUP($A6,参数与站点费率!$A$12:$E$20,5,0),"")</f>
        <v>9</v>
      </c>
      <c r="P6" s="28">
        <f>IFERROR(VLOOKUP($A6,参数与站点费率!$A$12:$E$20,4,0)/$M6,"")</f>
        <v>2.2375</v>
      </c>
      <c r="Q6" s="29">
        <f t="shared" si="0"/>
        <v>58.325</v>
      </c>
      <c r="R6" s="29">
        <f t="shared" si="1"/>
        <v>6.999</v>
      </c>
      <c r="S6" s="29">
        <f t="shared" si="2"/>
        <v>62.991</v>
      </c>
      <c r="T6" s="29">
        <f t="shared" si="3"/>
        <v>8.5974</v>
      </c>
      <c r="U6" s="30">
        <f>IF($K6="","",$K6/(1+参数与站点费率!$B$4))</f>
        <v>122.566371681416</v>
      </c>
      <c r="V6" s="29">
        <f t="shared" si="4"/>
        <v>2.22222222222222</v>
      </c>
      <c r="W6" s="29">
        <f t="shared" si="5"/>
        <v>15.8407079646018</v>
      </c>
      <c r="X6" s="29">
        <f t="shared" si="6"/>
        <v>0.483</v>
      </c>
      <c r="Y6" s="29">
        <f t="shared" si="7"/>
        <v>6.14239203539823</v>
      </c>
      <c r="Z6" s="31">
        <f t="shared" si="8"/>
        <v>0.127171677751516</v>
      </c>
      <c r="AA6" s="31">
        <f t="shared" si="9"/>
        <v>0.362825858239489</v>
      </c>
      <c r="AB6" s="32" t="str">
        <f>IF($Z6="","",IF($Z6&gt;参数与站点费率!$B$8,"绿",IF($Z6&gt;参数与站点费率!$B$7,"黄","红")))</f>
        <v>黄</v>
      </c>
      <c r="AC6" s="32" t="str">
        <f>IF($AA6="","",IF($AA6&gt;=参数与站点费率!$B$6,"达标","偏低"))</f>
        <v>达标</v>
      </c>
      <c r="AD6" s="31">
        <f>IF(OR($Y6="",$F6=""),"",MAX(0,($Y6+$R6-参数与站点费率!$B$5*$E6)/$F6))</f>
        <v>0.0842462071067042</v>
      </c>
    </row>
    <row r="7" ht="16.5" spans="1:30">
      <c r="A7" s="33" t="s">
        <v>36</v>
      </c>
      <c r="B7" s="33" t="s">
        <v>79</v>
      </c>
      <c r="C7" s="33" t="s">
        <v>80</v>
      </c>
      <c r="D7" s="34" t="s">
        <v>84</v>
      </c>
      <c r="E7" s="35">
        <v>48.3</v>
      </c>
      <c r="F7" s="35">
        <v>69.99</v>
      </c>
      <c r="G7" s="36">
        <v>0.15</v>
      </c>
      <c r="H7" s="36">
        <v>0.178</v>
      </c>
      <c r="I7" s="35">
        <v>8</v>
      </c>
      <c r="J7" s="36">
        <v>0.01</v>
      </c>
      <c r="K7" s="37">
        <v>138.5</v>
      </c>
      <c r="L7" s="37">
        <v>20</v>
      </c>
      <c r="M7" s="38">
        <v>4</v>
      </c>
      <c r="N7" s="39">
        <f>IFERROR(VLOOKUP($A7,参数与站点费率!$A$12:$E$20,3,0),"")</f>
        <v>0.2</v>
      </c>
      <c r="O7" s="40">
        <f>IFERROR(VLOOKUP($A7,参数与站点费率!$A$12:$E$20,5,0),"")</f>
        <v>9</v>
      </c>
      <c r="P7" s="41">
        <f>IFERROR(VLOOKUP($A7,参数与站点费率!$A$12:$E$20,4,0)/$M7,"")</f>
        <v>2.2375</v>
      </c>
      <c r="Q7" s="42">
        <f t="shared" si="0"/>
        <v>58.325</v>
      </c>
      <c r="R7" s="42">
        <f t="shared" si="1"/>
        <v>10.4985</v>
      </c>
      <c r="S7" s="42">
        <f t="shared" si="2"/>
        <v>59.4915</v>
      </c>
      <c r="T7" s="42">
        <f t="shared" si="3"/>
        <v>8.5974</v>
      </c>
      <c r="U7" s="43">
        <f>IF($K7="","",$K7/(1+参数与站点费率!$B$4))</f>
        <v>122.566371681416</v>
      </c>
      <c r="V7" s="42">
        <f t="shared" si="4"/>
        <v>2.22222222222222</v>
      </c>
      <c r="W7" s="42">
        <f t="shared" si="5"/>
        <v>15.8407079646018</v>
      </c>
      <c r="X7" s="42">
        <f t="shared" si="6"/>
        <v>0.483</v>
      </c>
      <c r="Y7" s="42">
        <f t="shared" si="7"/>
        <v>2.64289203539823</v>
      </c>
      <c r="Z7" s="44">
        <f t="shared" si="8"/>
        <v>0.0547182616024478</v>
      </c>
      <c r="AA7" s="44">
        <f t="shared" si="9"/>
        <v>0.389374091769207</v>
      </c>
      <c r="AB7" s="45" t="str">
        <f>IF($Z7="","",IF($Z7&gt;参数与站点费率!$B$8,"绿",IF($Z7&gt;参数与站点费率!$B$7,"黄","红")))</f>
        <v>红</v>
      </c>
      <c r="AC7" s="45" t="str">
        <f>IF($AA7="","",IF($AA7&gt;=参数与站点费率!$B$6,"达标","偏低"))</f>
        <v>达标</v>
      </c>
      <c r="AD7" s="44">
        <f>IF(OR($Y7="",$F7=""),"",MAX(0,($Y7+$R7-参数与站点费率!$B$5*$E7)/$F7))</f>
        <v>0.0842462071067042</v>
      </c>
    </row>
    <row r="8" ht="16.5" spans="1:30">
      <c r="A8" s="20" t="s">
        <v>38</v>
      </c>
      <c r="B8" s="20" t="s">
        <v>85</v>
      </c>
      <c r="C8" s="20" t="s">
        <v>86</v>
      </c>
      <c r="D8" s="21" t="s">
        <v>81</v>
      </c>
      <c r="E8" s="22">
        <v>55.85</v>
      </c>
      <c r="F8" s="22">
        <v>79.99</v>
      </c>
      <c r="G8" s="23">
        <v>0</v>
      </c>
      <c r="H8" s="23">
        <v>0.188</v>
      </c>
      <c r="I8" s="22">
        <v>8</v>
      </c>
      <c r="J8" s="23">
        <v>0.01</v>
      </c>
      <c r="K8" s="24">
        <v>138.5</v>
      </c>
      <c r="L8" s="24">
        <v>20</v>
      </c>
      <c r="M8" s="25">
        <v>4</v>
      </c>
      <c r="N8" s="26">
        <f>IFERROR(VLOOKUP($A8,参数与站点费率!$A$12:$E$20,3,0),"")</f>
        <v>0.2</v>
      </c>
      <c r="O8" s="27">
        <f>IFERROR(VLOOKUP($A8,参数与站点费率!$A$12:$E$20,5,0),"")</f>
        <v>8</v>
      </c>
      <c r="P8" s="28">
        <f>IFERROR(VLOOKUP($A8,参数与站点费率!$A$12:$E$20,4,0)/$M8,"")</f>
        <v>1.9375</v>
      </c>
      <c r="Q8" s="29">
        <f t="shared" si="0"/>
        <v>66.6583333333333</v>
      </c>
      <c r="R8" s="29">
        <f t="shared" si="1"/>
        <v>0</v>
      </c>
      <c r="S8" s="29">
        <f t="shared" si="2"/>
        <v>79.99</v>
      </c>
      <c r="T8" s="29">
        <f t="shared" si="3"/>
        <v>10.4998</v>
      </c>
      <c r="U8" s="30">
        <f>IF($K8="","",$K8/(1+参数与站点费率!$B$4))</f>
        <v>122.566371681416</v>
      </c>
      <c r="V8" s="29">
        <f t="shared" si="4"/>
        <v>2.5</v>
      </c>
      <c r="W8" s="29">
        <f t="shared" si="5"/>
        <v>17.820796460177</v>
      </c>
      <c r="X8" s="29">
        <f t="shared" si="6"/>
        <v>0.5585</v>
      </c>
      <c r="Y8" s="29">
        <f t="shared" si="7"/>
        <v>17.033403539823</v>
      </c>
      <c r="Z8" s="31">
        <f t="shared" si="8"/>
        <v>0.304984844043384</v>
      </c>
      <c r="AA8" s="31">
        <f t="shared" si="9"/>
        <v>0.319661957744718</v>
      </c>
      <c r="AB8" s="32" t="str">
        <f>IF($Z8="","",IF($Z8&gt;参数与站点费率!$B$8,"绿",IF($Z8&gt;参数与站点费率!$B$7,"黄","红")))</f>
        <v>绿</v>
      </c>
      <c r="AC8" s="32" t="str">
        <f>IF($AA8="","",IF($AA8&gt;=参数与站点费率!$B$6,"达标","偏低"))</f>
        <v>偏低</v>
      </c>
      <c r="AD8" s="31">
        <f>IF(OR($Y8="",$F8=""),"",MAX(0,($Y8+$R8-参数与站点费率!$B$5*$E8)/$F8))</f>
        <v>0.108212320787886</v>
      </c>
    </row>
    <row r="9" ht="16.5" spans="1:30">
      <c r="A9" s="33" t="s">
        <v>40</v>
      </c>
      <c r="B9" s="33" t="s">
        <v>85</v>
      </c>
      <c r="C9" s="33" t="s">
        <v>86</v>
      </c>
      <c r="D9" s="34" t="s">
        <v>81</v>
      </c>
      <c r="E9" s="35">
        <v>55.35</v>
      </c>
      <c r="F9" s="35">
        <v>79.99</v>
      </c>
      <c r="G9" s="36">
        <v>0</v>
      </c>
      <c r="H9" s="36">
        <v>0.188</v>
      </c>
      <c r="I9" s="35">
        <v>8</v>
      </c>
      <c r="J9" s="36">
        <v>0.01</v>
      </c>
      <c r="K9" s="37">
        <v>138.5</v>
      </c>
      <c r="L9" s="37">
        <v>20</v>
      </c>
      <c r="M9" s="38">
        <v>4</v>
      </c>
      <c r="N9" s="39">
        <f>IFERROR(VLOOKUP($A9,参数与站点费率!$A$12:$E$20,3,0),"")</f>
        <v>0.2</v>
      </c>
      <c r="O9" s="40">
        <f>IFERROR(VLOOKUP($A9,参数与站点费率!$A$12:$E$20,5,0),"")</f>
        <v>8</v>
      </c>
      <c r="P9" s="41">
        <f>IFERROR(VLOOKUP($A9,参数与站点费率!$A$12:$E$20,4,0)/$M9,"")</f>
        <v>3.5625</v>
      </c>
      <c r="Q9" s="42">
        <f t="shared" si="0"/>
        <v>66.6583333333333</v>
      </c>
      <c r="R9" s="42">
        <f t="shared" si="1"/>
        <v>0</v>
      </c>
      <c r="S9" s="42">
        <f t="shared" si="2"/>
        <v>79.99</v>
      </c>
      <c r="T9" s="42">
        <f t="shared" si="3"/>
        <v>10.4058</v>
      </c>
      <c r="U9" s="43">
        <f>IF($K9="","",$K9/(1+参数与站点费率!$B$4))</f>
        <v>122.566371681416</v>
      </c>
      <c r="V9" s="42">
        <f t="shared" si="4"/>
        <v>2.5</v>
      </c>
      <c r="W9" s="42">
        <f t="shared" si="5"/>
        <v>17.820796460177</v>
      </c>
      <c r="X9" s="42">
        <f t="shared" si="6"/>
        <v>0.5535</v>
      </c>
      <c r="Y9" s="42">
        <f t="shared" si="7"/>
        <v>15.007403539823</v>
      </c>
      <c r="Z9" s="44">
        <f t="shared" si="8"/>
        <v>0.271136468650822</v>
      </c>
      <c r="AA9" s="44">
        <f t="shared" si="9"/>
        <v>0.325752719089886</v>
      </c>
      <c r="AB9" s="45" t="str">
        <f>IF($Z9="","",IF($Z9&gt;参数与站点费率!$B$8,"绿",IF($Z9&gt;参数与站点费率!$B$7,"黄","红")))</f>
        <v>绿</v>
      </c>
      <c r="AC9" s="45" t="str">
        <f>IF($AA9="","",IF($AA9&gt;=参数与站点费率!$B$6,"达标","偏低"))</f>
        <v>偏低</v>
      </c>
      <c r="AD9" s="44">
        <f>IF(OR($Y9="",$F9=""),"",MAX(0,($Y9+$R9-参数与站点费率!$B$5*$E9)/$F9))</f>
        <v>0.0838217719692838</v>
      </c>
    </row>
    <row r="10" ht="16.5" spans="1:30">
      <c r="A10" s="20" t="s">
        <v>41</v>
      </c>
      <c r="B10" s="20" t="s">
        <v>85</v>
      </c>
      <c r="C10" s="20" t="s">
        <v>86</v>
      </c>
      <c r="D10" s="21" t="s">
        <v>81</v>
      </c>
      <c r="E10" s="22">
        <v>55.35</v>
      </c>
      <c r="F10" s="22">
        <v>79.99</v>
      </c>
      <c r="G10" s="23">
        <v>0</v>
      </c>
      <c r="H10" s="23">
        <v>0.188</v>
      </c>
      <c r="I10" s="22">
        <v>8</v>
      </c>
      <c r="J10" s="23">
        <v>0.01</v>
      </c>
      <c r="K10" s="24">
        <v>138.5</v>
      </c>
      <c r="L10" s="24">
        <v>20</v>
      </c>
      <c r="M10" s="25">
        <v>4</v>
      </c>
      <c r="N10" s="26">
        <f>IFERROR(VLOOKUP($A10,参数与站点费率!$A$12:$E$20,3,0),"")</f>
        <v>0.2</v>
      </c>
      <c r="O10" s="27">
        <f>IFERROR(VLOOKUP($A10,参数与站点费率!$A$12:$E$20,5,0),"")</f>
        <v>8</v>
      </c>
      <c r="P10" s="28">
        <f>IFERROR(VLOOKUP($A10,参数与站点费率!$A$12:$E$20,4,0)/$M10,"")</f>
        <v>3.8125</v>
      </c>
      <c r="Q10" s="29">
        <f t="shared" si="0"/>
        <v>66.6583333333333</v>
      </c>
      <c r="R10" s="29">
        <f t="shared" si="1"/>
        <v>0</v>
      </c>
      <c r="S10" s="29">
        <f t="shared" si="2"/>
        <v>79.99</v>
      </c>
      <c r="T10" s="29">
        <f t="shared" si="3"/>
        <v>10.4058</v>
      </c>
      <c r="U10" s="30">
        <f>IF($K10="","",$K10/(1+参数与站点费率!$B$4))</f>
        <v>122.566371681416</v>
      </c>
      <c r="V10" s="29">
        <f t="shared" si="4"/>
        <v>2.5</v>
      </c>
      <c r="W10" s="29">
        <f t="shared" si="5"/>
        <v>17.820796460177</v>
      </c>
      <c r="X10" s="29">
        <f t="shared" si="6"/>
        <v>0.5535</v>
      </c>
      <c r="Y10" s="29">
        <f t="shared" si="7"/>
        <v>14.757403539823</v>
      </c>
      <c r="Z10" s="31">
        <f t="shared" si="8"/>
        <v>0.266619756817037</v>
      </c>
      <c r="AA10" s="31">
        <f t="shared" si="9"/>
        <v>0.325752719089886</v>
      </c>
      <c r="AB10" s="32" t="str">
        <f>IF($Z10="","",IF($Z10&gt;参数与站点费率!$B$8,"绿",IF($Z10&gt;参数与站点费率!$B$7,"黄","红")))</f>
        <v>绿</v>
      </c>
      <c r="AC10" s="32" t="str">
        <f>IF($AA10="","",IF($AA10&gt;=参数与站点费率!$B$6,"达标","偏低"))</f>
        <v>偏低</v>
      </c>
      <c r="AD10" s="31">
        <f>IF(OR($Y10="",$F10=""),"",MAX(0,($Y10+$R10-参数与站点费率!$B$5*$E10)/$F10))</f>
        <v>0.0806963812954496</v>
      </c>
    </row>
    <row r="11" ht="16.5" spans="1:30">
      <c r="A11" s="33" t="s">
        <v>42</v>
      </c>
      <c r="B11" s="33" t="s">
        <v>85</v>
      </c>
      <c r="C11" s="33" t="s">
        <v>86</v>
      </c>
      <c r="D11" s="34" t="s">
        <v>81</v>
      </c>
      <c r="E11" s="35">
        <v>55.35</v>
      </c>
      <c r="F11" s="35">
        <v>79.99</v>
      </c>
      <c r="G11" s="36">
        <v>0</v>
      </c>
      <c r="H11" s="36">
        <v>0.188</v>
      </c>
      <c r="I11" s="35">
        <v>8</v>
      </c>
      <c r="J11" s="36">
        <v>0.01</v>
      </c>
      <c r="K11" s="37">
        <v>138.5</v>
      </c>
      <c r="L11" s="37">
        <v>20</v>
      </c>
      <c r="M11" s="38">
        <v>4</v>
      </c>
      <c r="N11" s="39">
        <f>IFERROR(VLOOKUP($A11,参数与站点费率!$A$12:$E$20,3,0),"")</f>
        <v>0.2</v>
      </c>
      <c r="O11" s="40">
        <f>IFERROR(VLOOKUP($A11,参数与站点费率!$A$12:$E$20,5,0),"")</f>
        <v>8</v>
      </c>
      <c r="P11" s="41">
        <f>IFERROR(VLOOKUP($A11,参数与站点费率!$A$12:$E$20,4,0)/$M11,"")</f>
        <v>4.8125</v>
      </c>
      <c r="Q11" s="42">
        <f t="shared" si="0"/>
        <v>66.6583333333333</v>
      </c>
      <c r="R11" s="42">
        <f t="shared" si="1"/>
        <v>0</v>
      </c>
      <c r="S11" s="42">
        <f t="shared" si="2"/>
        <v>79.99</v>
      </c>
      <c r="T11" s="42">
        <f t="shared" si="3"/>
        <v>10.4058</v>
      </c>
      <c r="U11" s="43">
        <f>IF($K11="","",$K11/(1+参数与站点费率!$B$4))</f>
        <v>122.566371681416</v>
      </c>
      <c r="V11" s="42">
        <f t="shared" si="4"/>
        <v>2.5</v>
      </c>
      <c r="W11" s="42">
        <f t="shared" si="5"/>
        <v>17.820796460177</v>
      </c>
      <c r="X11" s="42">
        <f t="shared" si="6"/>
        <v>0.5535</v>
      </c>
      <c r="Y11" s="42">
        <f t="shared" si="7"/>
        <v>13.757403539823</v>
      </c>
      <c r="Z11" s="44">
        <f t="shared" si="8"/>
        <v>0.248552909481897</v>
      </c>
      <c r="AA11" s="44">
        <f t="shared" si="9"/>
        <v>0.325752719089886</v>
      </c>
      <c r="AB11" s="45" t="str">
        <f>IF($Z11="","",IF($Z11&gt;参数与站点费率!$B$8,"绿",IF($Z11&gt;参数与站点费率!$B$7,"黄","红")))</f>
        <v>黄</v>
      </c>
      <c r="AC11" s="45" t="str">
        <f>IF($AA11="","",IF($AA11&gt;=参数与站点费率!$B$6,"达标","偏低"))</f>
        <v>偏低</v>
      </c>
      <c r="AD11" s="44">
        <f>IF(OR($Y11="",$F11=""),"",MAX(0,($Y11+$R11-参数与站点费率!$B$5*$E11)/$F11))</f>
        <v>0.0681948186001126</v>
      </c>
    </row>
    <row r="12" ht="16.5" spans="1:30">
      <c r="A12" s="20" t="s">
        <v>36</v>
      </c>
      <c r="B12" s="20" t="s">
        <v>87</v>
      </c>
      <c r="C12" s="20" t="s">
        <v>88</v>
      </c>
      <c r="D12" s="21" t="s">
        <v>89</v>
      </c>
      <c r="E12" s="22">
        <v>76</v>
      </c>
      <c r="F12" s="22">
        <v>109.99</v>
      </c>
      <c r="G12" s="23">
        <v>0</v>
      </c>
      <c r="H12" s="23">
        <v>0.178</v>
      </c>
      <c r="I12" s="22">
        <v>12</v>
      </c>
      <c r="J12" s="23">
        <v>0.01</v>
      </c>
      <c r="K12" s="24">
        <v>249</v>
      </c>
      <c r="L12" s="24">
        <v>25</v>
      </c>
      <c r="M12" s="25">
        <v>3</v>
      </c>
      <c r="N12" s="26">
        <f>IFERROR(VLOOKUP($A12,参数与站点费率!$A$12:$E$20,3,0),"")</f>
        <v>0.2</v>
      </c>
      <c r="O12" s="27">
        <f>IFERROR(VLOOKUP($A12,参数与站点费率!$A$12:$E$20,5,0),"")</f>
        <v>9</v>
      </c>
      <c r="P12" s="28">
        <f>IFERROR(VLOOKUP($A12,参数与站点费率!$A$12:$E$20,4,0)/$M12,"")</f>
        <v>2.98333333333333</v>
      </c>
      <c r="Q12" s="29">
        <f t="shared" si="0"/>
        <v>91.6583333333333</v>
      </c>
      <c r="R12" s="29">
        <f t="shared" si="1"/>
        <v>0</v>
      </c>
      <c r="S12" s="29">
        <f t="shared" si="2"/>
        <v>109.99</v>
      </c>
      <c r="T12" s="29">
        <f t="shared" si="3"/>
        <v>13.528</v>
      </c>
      <c r="U12" s="30">
        <f>IF($K12="","",$K12/(1+参数与站点费率!$B$4))</f>
        <v>220.353982300885</v>
      </c>
      <c r="V12" s="29">
        <f t="shared" si="4"/>
        <v>2.77777777777778</v>
      </c>
      <c r="W12" s="29">
        <f t="shared" si="5"/>
        <v>27.2615535889872</v>
      </c>
      <c r="X12" s="29">
        <f t="shared" si="6"/>
        <v>0.76</v>
      </c>
      <c r="Y12" s="29">
        <f t="shared" si="7"/>
        <v>19.4671130776794</v>
      </c>
      <c r="Z12" s="31">
        <f t="shared" si="8"/>
        <v>0.256146224706308</v>
      </c>
      <c r="AA12" s="31">
        <f t="shared" si="9"/>
        <v>0.318425311391945</v>
      </c>
      <c r="AB12" s="32" t="str">
        <f>IF($Z12="","",IF($Z12&gt;参数与站点费率!$B$8,"绿",IF($Z12&gt;参数与站点费率!$B$7,"黄","红")))</f>
        <v>绿</v>
      </c>
      <c r="AC12" s="32" t="str">
        <f>IF($AA12="","",IF($AA12&gt;=参数与站点费率!$B$6,"达标","偏低"))</f>
        <v>偏低</v>
      </c>
      <c r="AD12" s="31">
        <f>IF(OR($Y12="",$F12=""),"",MAX(0,($Y12+$R12-参数与站点费率!$B$5*$E12)/$F12))</f>
        <v>0.0733440592570183</v>
      </c>
    </row>
    <row r="13" ht="16.5" spans="1:30">
      <c r="A13" s="33" t="s">
        <v>38</v>
      </c>
      <c r="B13" s="33" t="s">
        <v>90</v>
      </c>
      <c r="C13" s="33" t="s">
        <v>91</v>
      </c>
      <c r="D13" s="34" t="s">
        <v>89</v>
      </c>
      <c r="E13" s="35">
        <v>86</v>
      </c>
      <c r="F13" s="35">
        <v>124.99</v>
      </c>
      <c r="G13" s="36">
        <v>0</v>
      </c>
      <c r="H13" s="36">
        <v>0.188</v>
      </c>
      <c r="I13" s="35">
        <v>12</v>
      </c>
      <c r="J13" s="36">
        <v>0.01</v>
      </c>
      <c r="K13" s="37">
        <v>249</v>
      </c>
      <c r="L13" s="37">
        <v>30</v>
      </c>
      <c r="M13" s="38">
        <v>3</v>
      </c>
      <c r="N13" s="39">
        <f>IFERROR(VLOOKUP($A13,参数与站点费率!$A$12:$E$20,3,0),"")</f>
        <v>0.2</v>
      </c>
      <c r="O13" s="40">
        <f>IFERROR(VLOOKUP($A13,参数与站点费率!$A$12:$E$20,5,0),"")</f>
        <v>8</v>
      </c>
      <c r="P13" s="41">
        <f>IFERROR(VLOOKUP($A13,参数与站点费率!$A$12:$E$20,4,0)/$M13,"")</f>
        <v>2.58333333333333</v>
      </c>
      <c r="Q13" s="42">
        <f t="shared" si="0"/>
        <v>104.158333333333</v>
      </c>
      <c r="R13" s="42">
        <f t="shared" si="1"/>
        <v>0</v>
      </c>
      <c r="S13" s="42">
        <f t="shared" si="2"/>
        <v>124.99</v>
      </c>
      <c r="T13" s="42">
        <f t="shared" si="3"/>
        <v>16.168</v>
      </c>
      <c r="U13" s="43">
        <f>IF($K13="","",$K13/(1+参数与站点费率!$B$4))</f>
        <v>220.353982300885</v>
      </c>
      <c r="V13" s="42">
        <f t="shared" si="4"/>
        <v>3.75</v>
      </c>
      <c r="W13" s="42">
        <f t="shared" si="5"/>
        <v>31.2942477876106</v>
      </c>
      <c r="X13" s="42">
        <f t="shared" si="6"/>
        <v>0.86</v>
      </c>
      <c r="Y13" s="42">
        <f t="shared" si="7"/>
        <v>23.094418879056</v>
      </c>
      <c r="Z13" s="44">
        <f t="shared" si="8"/>
        <v>0.268539754407628</v>
      </c>
      <c r="AA13" s="44">
        <f t="shared" si="9"/>
        <v>0.329559164733179</v>
      </c>
      <c r="AB13" s="45" t="str">
        <f>IF($Z13="","",IF($Z13&gt;参数与站点费率!$B$8,"绿",IF($Z13&gt;参数与站点费率!$B$7,"黄","红")))</f>
        <v>绿</v>
      </c>
      <c r="AC13" s="45" t="str">
        <f>IF($AA13="","",IF($AA13&gt;=参数与站点费率!$B$6,"达标","偏低"))</f>
        <v>偏低</v>
      </c>
      <c r="AD13" s="44">
        <f>IF(OR($Y13="",$F13=""),"",MAX(0,($Y13+$R13-参数与站点费率!$B$5*$E13)/$F13))</f>
        <v>0.081561875982527</v>
      </c>
    </row>
    <row r="14" ht="16.5" spans="1:30">
      <c r="A14" s="20" t="s">
        <v>40</v>
      </c>
      <c r="B14" s="20" t="s">
        <v>90</v>
      </c>
      <c r="C14" s="20" t="s">
        <v>91</v>
      </c>
      <c r="D14" s="21" t="s">
        <v>89</v>
      </c>
      <c r="E14" s="22">
        <v>90</v>
      </c>
      <c r="F14" s="22">
        <v>129.99</v>
      </c>
      <c r="G14" s="23">
        <v>0</v>
      </c>
      <c r="H14" s="23">
        <v>0.188</v>
      </c>
      <c r="I14" s="22">
        <v>12</v>
      </c>
      <c r="J14" s="23">
        <v>0.01</v>
      </c>
      <c r="K14" s="24">
        <v>249</v>
      </c>
      <c r="L14" s="24">
        <v>30</v>
      </c>
      <c r="M14" s="25">
        <v>3</v>
      </c>
      <c r="N14" s="26">
        <f>IFERROR(VLOOKUP($A14,参数与站点费率!$A$12:$E$20,3,0),"")</f>
        <v>0.2</v>
      </c>
      <c r="O14" s="27">
        <f>IFERROR(VLOOKUP($A14,参数与站点费率!$A$12:$E$20,5,0),"")</f>
        <v>8</v>
      </c>
      <c r="P14" s="28">
        <f>IFERROR(VLOOKUP($A14,参数与站点费率!$A$12:$E$20,4,0)/$M14,"")</f>
        <v>4.75</v>
      </c>
      <c r="Q14" s="29">
        <f t="shared" si="0"/>
        <v>108.325</v>
      </c>
      <c r="R14" s="29">
        <f t="shared" si="1"/>
        <v>0</v>
      </c>
      <c r="S14" s="29">
        <f t="shared" si="2"/>
        <v>129.99</v>
      </c>
      <c r="T14" s="29">
        <f t="shared" si="3"/>
        <v>16.92</v>
      </c>
      <c r="U14" s="30">
        <f>IF($K14="","",$K14/(1+参数与站点费率!$B$4))</f>
        <v>220.353982300885</v>
      </c>
      <c r="V14" s="29">
        <f t="shared" si="4"/>
        <v>3.75</v>
      </c>
      <c r="W14" s="29">
        <f t="shared" si="5"/>
        <v>31.2942477876106</v>
      </c>
      <c r="X14" s="29">
        <f t="shared" si="6"/>
        <v>0.9</v>
      </c>
      <c r="Y14" s="29">
        <f t="shared" si="7"/>
        <v>24.1357522123894</v>
      </c>
      <c r="Z14" s="31">
        <f t="shared" si="8"/>
        <v>0.268175024582104</v>
      </c>
      <c r="AA14" s="31">
        <f t="shared" si="9"/>
        <v>0.325363489499192</v>
      </c>
      <c r="AB14" s="32" t="str">
        <f>IF($Z14="","",IF($Z14&gt;参数与站点费率!$B$8,"绿",IF($Z14&gt;参数与站点费率!$B$7,"黄","红")))</f>
        <v>绿</v>
      </c>
      <c r="AC14" s="32" t="str">
        <f>IF($AA14="","",IF($AA14&gt;=参数与站点费率!$B$6,"达标","偏低"))</f>
        <v>偏低</v>
      </c>
      <c r="AD14" s="31">
        <f>IF(OR($Y14="",$F14=""),"",MAX(0,($Y14+$R14-参数与站点费率!$B$5*$E14)/$F14))</f>
        <v>0.0818197723854864</v>
      </c>
    </row>
    <row r="15" ht="16.5" spans="1:30">
      <c r="A15" s="33" t="s">
        <v>41</v>
      </c>
      <c r="B15" s="33" t="s">
        <v>90</v>
      </c>
      <c r="C15" s="33" t="s">
        <v>91</v>
      </c>
      <c r="D15" s="34" t="s">
        <v>89</v>
      </c>
      <c r="E15" s="35">
        <v>90</v>
      </c>
      <c r="F15" s="35">
        <v>129.99</v>
      </c>
      <c r="G15" s="36">
        <v>0</v>
      </c>
      <c r="H15" s="36">
        <v>0.188</v>
      </c>
      <c r="I15" s="35">
        <v>12</v>
      </c>
      <c r="J15" s="36">
        <v>0.01</v>
      </c>
      <c r="K15" s="37">
        <v>249</v>
      </c>
      <c r="L15" s="37">
        <v>30</v>
      </c>
      <c r="M15" s="38">
        <v>3</v>
      </c>
      <c r="N15" s="39">
        <f>IFERROR(VLOOKUP($A15,参数与站点费率!$A$12:$E$20,3,0),"")</f>
        <v>0.2</v>
      </c>
      <c r="O15" s="40">
        <f>IFERROR(VLOOKUP($A15,参数与站点费率!$A$12:$E$20,5,0),"")</f>
        <v>8</v>
      </c>
      <c r="P15" s="41">
        <f>IFERROR(VLOOKUP($A15,参数与站点费率!$A$12:$E$20,4,0)/$M15,"")</f>
        <v>5.08333333333333</v>
      </c>
      <c r="Q15" s="42">
        <f t="shared" si="0"/>
        <v>108.325</v>
      </c>
      <c r="R15" s="42">
        <f t="shared" si="1"/>
        <v>0</v>
      </c>
      <c r="S15" s="42">
        <f t="shared" si="2"/>
        <v>129.99</v>
      </c>
      <c r="T15" s="42">
        <f t="shared" si="3"/>
        <v>16.92</v>
      </c>
      <c r="U15" s="43">
        <f>IF($K15="","",$K15/(1+参数与站点费率!$B$4))</f>
        <v>220.353982300885</v>
      </c>
      <c r="V15" s="42">
        <f t="shared" si="4"/>
        <v>3.75</v>
      </c>
      <c r="W15" s="42">
        <f t="shared" si="5"/>
        <v>31.2942477876106</v>
      </c>
      <c r="X15" s="42">
        <f t="shared" si="6"/>
        <v>0.9</v>
      </c>
      <c r="Y15" s="42">
        <f t="shared" si="7"/>
        <v>23.802418879056</v>
      </c>
      <c r="Z15" s="44">
        <f t="shared" si="8"/>
        <v>0.264471320878401</v>
      </c>
      <c r="AA15" s="44">
        <f t="shared" si="9"/>
        <v>0.325363489499192</v>
      </c>
      <c r="AB15" s="45" t="str">
        <f>IF($Z15="","",IF($Z15&gt;参数与站点费率!$B$8,"绿",IF($Z15&gt;参数与站点费率!$B$7,"黄","红")))</f>
        <v>绿</v>
      </c>
      <c r="AC15" s="45" t="str">
        <f>IF($AA15="","",IF($AA15&gt;=参数与站点费率!$B$6,"达标","偏低"))</f>
        <v>偏低</v>
      </c>
      <c r="AD15" s="44">
        <f>IF(OR($Y15="",$F15=""),"",MAX(0,($Y15+$R15-参数与站点费率!$B$5*$E15)/$F15))</f>
        <v>0.0792554725675517</v>
      </c>
    </row>
    <row r="16" ht="16.5" spans="1:30">
      <c r="A16" s="20" t="s">
        <v>42</v>
      </c>
      <c r="B16" s="20" t="s">
        <v>90</v>
      </c>
      <c r="C16" s="20" t="s">
        <v>91</v>
      </c>
      <c r="D16" s="21" t="s">
        <v>89</v>
      </c>
      <c r="E16" s="22">
        <v>90</v>
      </c>
      <c r="F16" s="22">
        <v>129.99</v>
      </c>
      <c r="G16" s="23">
        <v>0</v>
      </c>
      <c r="H16" s="23">
        <v>0.188</v>
      </c>
      <c r="I16" s="22">
        <v>12</v>
      </c>
      <c r="J16" s="23">
        <v>0.01</v>
      </c>
      <c r="K16" s="24">
        <v>249</v>
      </c>
      <c r="L16" s="24">
        <v>30</v>
      </c>
      <c r="M16" s="25">
        <v>3</v>
      </c>
      <c r="N16" s="26">
        <f>IFERROR(VLOOKUP($A16,参数与站点费率!$A$12:$E$20,3,0),"")</f>
        <v>0.2</v>
      </c>
      <c r="O16" s="27">
        <f>IFERROR(VLOOKUP($A16,参数与站点费率!$A$12:$E$20,5,0),"")</f>
        <v>8</v>
      </c>
      <c r="P16" s="28">
        <f>IFERROR(VLOOKUP($A16,参数与站点费率!$A$12:$E$20,4,0)/$M16,"")</f>
        <v>6.41666666666667</v>
      </c>
      <c r="Q16" s="29">
        <f t="shared" si="0"/>
        <v>108.325</v>
      </c>
      <c r="R16" s="29">
        <f t="shared" si="1"/>
        <v>0</v>
      </c>
      <c r="S16" s="29">
        <f t="shared" si="2"/>
        <v>129.99</v>
      </c>
      <c r="T16" s="29">
        <f t="shared" si="3"/>
        <v>16.92</v>
      </c>
      <c r="U16" s="30">
        <f>IF($K16="","",$K16/(1+参数与站点费率!$B$4))</f>
        <v>220.353982300885</v>
      </c>
      <c r="V16" s="29">
        <f t="shared" si="4"/>
        <v>3.75</v>
      </c>
      <c r="W16" s="29">
        <f t="shared" si="5"/>
        <v>31.2942477876106</v>
      </c>
      <c r="X16" s="29">
        <f t="shared" si="6"/>
        <v>0.9</v>
      </c>
      <c r="Y16" s="29">
        <f t="shared" si="7"/>
        <v>22.4690855457227</v>
      </c>
      <c r="Z16" s="31">
        <f t="shared" si="8"/>
        <v>0.249656506063586</v>
      </c>
      <c r="AA16" s="31">
        <f t="shared" si="9"/>
        <v>0.325363489499192</v>
      </c>
      <c r="AB16" s="32" t="str">
        <f>IF($Z16="","",IF($Z16&gt;参数与站点费率!$B$8,"绿",IF($Z16&gt;参数与站点费率!$B$7,"黄","红")))</f>
        <v>黄</v>
      </c>
      <c r="AC16" s="32" t="str">
        <f>IF($AA16="","",IF($AA16&gt;=参数与站点费率!$B$6,"达标","偏低"))</f>
        <v>偏低</v>
      </c>
      <c r="AD16" s="31">
        <f>IF(OR($Y16="",$F16=""),"",MAX(0,($Y16+$R16-参数与站点费率!$B$5*$E16)/$F16))</f>
        <v>0.0689982732958128</v>
      </c>
    </row>
    <row r="17" ht="16.5" spans="1:30">
      <c r="A17" s="33" t="s">
        <v>36</v>
      </c>
      <c r="B17" s="33" t="s">
        <v>92</v>
      </c>
      <c r="C17" s="33" t="s">
        <v>93</v>
      </c>
      <c r="D17" s="34" t="s">
        <v>94</v>
      </c>
      <c r="E17" s="35">
        <v>24.5</v>
      </c>
      <c r="F17" s="35">
        <v>34.99</v>
      </c>
      <c r="G17" s="36">
        <v>0</v>
      </c>
      <c r="H17" s="36">
        <v>0.178</v>
      </c>
      <c r="I17" s="35">
        <v>5</v>
      </c>
      <c r="J17" s="36">
        <v>0.01</v>
      </c>
      <c r="K17" s="37">
        <v>94.4</v>
      </c>
      <c r="L17" s="37">
        <v>10</v>
      </c>
      <c r="M17" s="38">
        <v>9</v>
      </c>
      <c r="N17" s="39">
        <f>IFERROR(VLOOKUP($A17,参数与站点费率!$A$12:$E$20,3,0),"")</f>
        <v>0.2</v>
      </c>
      <c r="O17" s="40">
        <f>IFERROR(VLOOKUP($A17,参数与站点费率!$A$12:$E$20,5,0),"")</f>
        <v>9</v>
      </c>
      <c r="P17" s="41">
        <f>IFERROR(VLOOKUP($A17,参数与站点费率!$A$12:$E$20,4,0)/$M17,"")</f>
        <v>0.994444444444444</v>
      </c>
      <c r="Q17" s="42">
        <f t="shared" si="0"/>
        <v>29.1583333333333</v>
      </c>
      <c r="R17" s="42">
        <f t="shared" si="1"/>
        <v>0</v>
      </c>
      <c r="S17" s="42">
        <f t="shared" si="2"/>
        <v>34.99</v>
      </c>
      <c r="T17" s="42">
        <f t="shared" si="3"/>
        <v>4.361</v>
      </c>
      <c r="U17" s="43">
        <f>IF($K17="","",$K17/(1+参数与站点费率!$B$4))</f>
        <v>83.5398230088496</v>
      </c>
      <c r="V17" s="42">
        <f t="shared" si="4"/>
        <v>1.11111111111111</v>
      </c>
      <c r="W17" s="42">
        <f t="shared" si="5"/>
        <v>10.39331366765</v>
      </c>
      <c r="X17" s="42">
        <f t="shared" si="6"/>
        <v>0.245</v>
      </c>
      <c r="Y17" s="42">
        <f t="shared" si="7"/>
        <v>3.5062418879056</v>
      </c>
      <c r="Z17" s="44">
        <f t="shared" si="8"/>
        <v>0.143111913792065</v>
      </c>
      <c r="AA17" s="44">
        <f t="shared" si="9"/>
        <v>0.309322663618177</v>
      </c>
      <c r="AB17" s="45" t="str">
        <f>IF($Z17="","",IF($Z17&gt;参数与站点费率!$B$8,"绿",IF($Z17&gt;参数与站点费率!$B$7,"黄","红")))</f>
        <v>黄</v>
      </c>
      <c r="AC17" s="45" t="str">
        <f>IF($AA17="","",IF($AA17&gt;=参数与站点费率!$B$6,"达标","偏低"))</f>
        <v>偏低</v>
      </c>
      <c r="AD17" s="44">
        <f>IF(OR($Y17="",$F17=""),"",MAX(0,($Y17+$R17-参数与站点费率!$B$5*$E17)/$F17))</f>
        <v>0</v>
      </c>
    </row>
    <row r="18" ht="16.5" spans="1:30">
      <c r="A18" s="20" t="s">
        <v>38</v>
      </c>
      <c r="B18" s="20" t="s">
        <v>95</v>
      </c>
      <c r="C18" s="20" t="s">
        <v>96</v>
      </c>
      <c r="D18" s="21" t="s">
        <v>94</v>
      </c>
      <c r="E18" s="22">
        <v>28</v>
      </c>
      <c r="F18" s="22">
        <v>39.99</v>
      </c>
      <c r="G18" s="23">
        <v>0</v>
      </c>
      <c r="H18" s="23">
        <v>0.188</v>
      </c>
      <c r="I18" s="22">
        <v>5</v>
      </c>
      <c r="J18" s="23">
        <v>0.01</v>
      </c>
      <c r="K18" s="24">
        <v>94.4</v>
      </c>
      <c r="L18" s="24">
        <v>15</v>
      </c>
      <c r="M18" s="25">
        <v>9</v>
      </c>
      <c r="N18" s="26">
        <f>IFERROR(VLOOKUP($A18,参数与站点费率!$A$12:$E$20,3,0),"")</f>
        <v>0.2</v>
      </c>
      <c r="O18" s="27">
        <f>IFERROR(VLOOKUP($A18,参数与站点费率!$A$12:$E$20,5,0),"")</f>
        <v>8</v>
      </c>
      <c r="P18" s="28">
        <f>IFERROR(VLOOKUP($A18,参数与站点费率!$A$12:$E$20,4,0)/$M18,"")</f>
        <v>0.861111111111111</v>
      </c>
      <c r="Q18" s="29">
        <f t="shared" si="0"/>
        <v>33.325</v>
      </c>
      <c r="R18" s="29">
        <f t="shared" si="1"/>
        <v>0</v>
      </c>
      <c r="S18" s="29">
        <f t="shared" si="2"/>
        <v>39.99</v>
      </c>
      <c r="T18" s="29">
        <f t="shared" si="3"/>
        <v>5.264</v>
      </c>
      <c r="U18" s="30">
        <f>IF($K18="","",$K18/(1+参数与站点费率!$B$4))</f>
        <v>83.5398230088496</v>
      </c>
      <c r="V18" s="29">
        <f t="shared" si="4"/>
        <v>1.875</v>
      </c>
      <c r="W18" s="29">
        <f t="shared" si="5"/>
        <v>12.3174778761062</v>
      </c>
      <c r="X18" s="29">
        <f t="shared" si="6"/>
        <v>0.28</v>
      </c>
      <c r="Y18" s="29">
        <f t="shared" si="7"/>
        <v>4.27741101278269</v>
      </c>
      <c r="Z18" s="31">
        <f t="shared" si="8"/>
        <v>0.152764679027953</v>
      </c>
      <c r="AA18" s="31">
        <f t="shared" si="9"/>
        <v>0.31774943735934</v>
      </c>
      <c r="AB18" s="32" t="str">
        <f>IF($Z18="","",IF($Z18&gt;参数与站点费率!$B$8,"绿",IF($Z18&gt;参数与站点费率!$B$7,"黄","红")))</f>
        <v>黄</v>
      </c>
      <c r="AC18" s="32" t="str">
        <f>IF($AA18="","",IF($AA18&gt;=参数与站点费率!$B$6,"达标","偏低"))</f>
        <v>偏低</v>
      </c>
      <c r="AD18" s="31">
        <f>IF(OR($Y18="",$F18=""),"",MAX(0,($Y18+$R18-参数与站点费率!$B$5*$E18)/$F18))</f>
        <v>0.00193575925938219</v>
      </c>
    </row>
    <row r="19" ht="16.5" spans="1:30">
      <c r="A19" s="33" t="s">
        <v>40</v>
      </c>
      <c r="B19" s="33" t="s">
        <v>95</v>
      </c>
      <c r="C19" s="33" t="s">
        <v>96</v>
      </c>
      <c r="D19" s="34" t="s">
        <v>94</v>
      </c>
      <c r="E19" s="35">
        <v>28</v>
      </c>
      <c r="F19" s="35">
        <v>39.99</v>
      </c>
      <c r="G19" s="36">
        <v>0</v>
      </c>
      <c r="H19" s="36">
        <v>0.188</v>
      </c>
      <c r="I19" s="35">
        <v>5</v>
      </c>
      <c r="J19" s="36">
        <v>0.01</v>
      </c>
      <c r="K19" s="37">
        <v>94.4</v>
      </c>
      <c r="L19" s="37">
        <v>15</v>
      </c>
      <c r="M19" s="38">
        <v>9</v>
      </c>
      <c r="N19" s="39">
        <f>IFERROR(VLOOKUP($A19,参数与站点费率!$A$12:$E$20,3,0),"")</f>
        <v>0.2</v>
      </c>
      <c r="O19" s="40">
        <f>IFERROR(VLOOKUP($A19,参数与站点费率!$A$12:$E$20,5,0),"")</f>
        <v>8</v>
      </c>
      <c r="P19" s="41">
        <f>IFERROR(VLOOKUP($A19,参数与站点费率!$A$12:$E$20,4,0)/$M19,"")</f>
        <v>1.58333333333333</v>
      </c>
      <c r="Q19" s="42">
        <f t="shared" si="0"/>
        <v>33.325</v>
      </c>
      <c r="R19" s="42">
        <f t="shared" si="1"/>
        <v>0</v>
      </c>
      <c r="S19" s="42">
        <f t="shared" si="2"/>
        <v>39.99</v>
      </c>
      <c r="T19" s="42">
        <f t="shared" si="3"/>
        <v>5.264</v>
      </c>
      <c r="U19" s="43">
        <f>IF($K19="","",$K19/(1+参数与站点费率!$B$4))</f>
        <v>83.5398230088496</v>
      </c>
      <c r="V19" s="42">
        <f t="shared" si="4"/>
        <v>1.875</v>
      </c>
      <c r="W19" s="42">
        <f t="shared" si="5"/>
        <v>12.3174778761062</v>
      </c>
      <c r="X19" s="42">
        <f t="shared" si="6"/>
        <v>0.28</v>
      </c>
      <c r="Y19" s="42">
        <f t="shared" si="7"/>
        <v>3.55518879056047</v>
      </c>
      <c r="Z19" s="44">
        <f t="shared" si="8"/>
        <v>0.126971028234303</v>
      </c>
      <c r="AA19" s="44">
        <f t="shared" si="9"/>
        <v>0.31774943735934</v>
      </c>
      <c r="AB19" s="45" t="str">
        <f>IF($Z19="","",IF($Z19&gt;参数与站点费率!$B$8,"绿",IF($Z19&gt;参数与站点费率!$B$7,"黄","红")))</f>
        <v>黄</v>
      </c>
      <c r="AC19" s="45" t="str">
        <f>IF($AA19="","",IF($AA19&gt;=参数与站点费率!$B$6,"达标","偏低"))</f>
        <v>偏低</v>
      </c>
      <c r="AD19" s="44">
        <f>IF(OR($Y19="",$F19=""),"",MAX(0,($Y19+$R19-参数与站点费率!$B$5*$E19)/$F19))</f>
        <v>0</v>
      </c>
    </row>
    <row r="20" ht="16.5" spans="1:30">
      <c r="A20" s="20" t="s">
        <v>41</v>
      </c>
      <c r="B20" s="20" t="s">
        <v>95</v>
      </c>
      <c r="C20" s="20" t="s">
        <v>96</v>
      </c>
      <c r="D20" s="21" t="s">
        <v>94</v>
      </c>
      <c r="E20" s="22">
        <v>28</v>
      </c>
      <c r="F20" s="22">
        <v>39.99</v>
      </c>
      <c r="G20" s="23">
        <v>0</v>
      </c>
      <c r="H20" s="23">
        <v>0.188</v>
      </c>
      <c r="I20" s="22">
        <v>5</v>
      </c>
      <c r="J20" s="23">
        <v>0.01</v>
      </c>
      <c r="K20" s="24">
        <v>94.4</v>
      </c>
      <c r="L20" s="24">
        <v>15</v>
      </c>
      <c r="M20" s="25">
        <v>9</v>
      </c>
      <c r="N20" s="26">
        <f>IFERROR(VLOOKUP($A20,参数与站点费率!$A$12:$E$20,3,0),"")</f>
        <v>0.2</v>
      </c>
      <c r="O20" s="27">
        <f>IFERROR(VLOOKUP($A20,参数与站点费率!$A$12:$E$20,5,0),"")</f>
        <v>8</v>
      </c>
      <c r="P20" s="28">
        <f>IFERROR(VLOOKUP($A20,参数与站点费率!$A$12:$E$20,4,0)/$M20,"")</f>
        <v>1.69444444444444</v>
      </c>
      <c r="Q20" s="29">
        <f t="shared" si="0"/>
        <v>33.325</v>
      </c>
      <c r="R20" s="29">
        <f t="shared" si="1"/>
        <v>0</v>
      </c>
      <c r="S20" s="29">
        <f t="shared" si="2"/>
        <v>39.99</v>
      </c>
      <c r="T20" s="29">
        <f t="shared" si="3"/>
        <v>5.264</v>
      </c>
      <c r="U20" s="30">
        <f>IF($K20="","",$K20/(1+参数与站点费率!$B$4))</f>
        <v>83.5398230088496</v>
      </c>
      <c r="V20" s="29">
        <f t="shared" si="4"/>
        <v>1.875</v>
      </c>
      <c r="W20" s="29">
        <f t="shared" si="5"/>
        <v>12.3174778761062</v>
      </c>
      <c r="X20" s="29">
        <f t="shared" si="6"/>
        <v>0.28</v>
      </c>
      <c r="Y20" s="29">
        <f t="shared" si="7"/>
        <v>3.44407767944936</v>
      </c>
      <c r="Z20" s="31">
        <f t="shared" si="8"/>
        <v>0.123002774266049</v>
      </c>
      <c r="AA20" s="31">
        <f t="shared" si="9"/>
        <v>0.31774943735934</v>
      </c>
      <c r="AB20" s="32" t="str">
        <f>IF($Z20="","",IF($Z20&gt;参数与站点费率!$B$8,"绿",IF($Z20&gt;参数与站点费率!$B$7,"黄","红")))</f>
        <v>黄</v>
      </c>
      <c r="AC20" s="32" t="str">
        <f>IF($AA20="","",IF($AA20&gt;=参数与站点费率!$B$6,"达标","偏低"))</f>
        <v>偏低</v>
      </c>
      <c r="AD20" s="31">
        <f>IF(OR($Y20="",$F20=""),"",MAX(0,($Y20+$R20-参数与站点费率!$B$5*$E20)/$F20))</f>
        <v>0</v>
      </c>
    </row>
    <row r="21" ht="16.5" spans="1:30">
      <c r="A21" s="33" t="s">
        <v>42</v>
      </c>
      <c r="B21" s="33" t="s">
        <v>95</v>
      </c>
      <c r="C21" s="33" t="s">
        <v>96</v>
      </c>
      <c r="D21" s="34" t="s">
        <v>94</v>
      </c>
      <c r="E21" s="35">
        <v>28</v>
      </c>
      <c r="F21" s="35">
        <v>39.99</v>
      </c>
      <c r="G21" s="36">
        <v>0</v>
      </c>
      <c r="H21" s="36">
        <v>0.188</v>
      </c>
      <c r="I21" s="35">
        <v>5</v>
      </c>
      <c r="J21" s="36">
        <v>0.01</v>
      </c>
      <c r="K21" s="37">
        <v>94.4</v>
      </c>
      <c r="L21" s="37">
        <v>15</v>
      </c>
      <c r="M21" s="38">
        <v>9</v>
      </c>
      <c r="N21" s="39">
        <f>IFERROR(VLOOKUP($A21,参数与站点费率!$A$12:$E$20,3,0),"")</f>
        <v>0.2</v>
      </c>
      <c r="O21" s="40">
        <f>IFERROR(VLOOKUP($A21,参数与站点费率!$A$12:$E$20,5,0),"")</f>
        <v>8</v>
      </c>
      <c r="P21" s="41">
        <f>IFERROR(VLOOKUP($A21,参数与站点费率!$A$12:$E$20,4,0)/$M21,"")</f>
        <v>2.13888888888889</v>
      </c>
      <c r="Q21" s="42">
        <f t="shared" si="0"/>
        <v>33.325</v>
      </c>
      <c r="R21" s="42">
        <f t="shared" si="1"/>
        <v>0</v>
      </c>
      <c r="S21" s="42">
        <f t="shared" si="2"/>
        <v>39.99</v>
      </c>
      <c r="T21" s="42">
        <f t="shared" si="3"/>
        <v>5.264</v>
      </c>
      <c r="U21" s="43">
        <f>IF($K21="","",$K21/(1+参数与站点费率!$B$4))</f>
        <v>83.5398230088496</v>
      </c>
      <c r="V21" s="42">
        <f t="shared" si="4"/>
        <v>1.875</v>
      </c>
      <c r="W21" s="42">
        <f t="shared" si="5"/>
        <v>12.3174778761062</v>
      </c>
      <c r="X21" s="42">
        <f t="shared" si="6"/>
        <v>0.28</v>
      </c>
      <c r="Y21" s="42">
        <f t="shared" si="7"/>
        <v>2.99963323500492</v>
      </c>
      <c r="Z21" s="44">
        <f t="shared" si="8"/>
        <v>0.107129758393033</v>
      </c>
      <c r="AA21" s="44">
        <f t="shared" si="9"/>
        <v>0.31774943735934</v>
      </c>
      <c r="AB21" s="45" t="str">
        <f>IF($Z21="","",IF($Z21&gt;参数与站点费率!$B$8,"绿",IF($Z21&gt;参数与站点费率!$B$7,"黄","红")))</f>
        <v>黄</v>
      </c>
      <c r="AC21" s="45" t="str">
        <f>IF($AA21="","",IF($AA21&gt;=参数与站点费率!$B$6,"达标","偏低"))</f>
        <v>偏低</v>
      </c>
      <c r="AD21" s="44">
        <f>IF(OR($Y21="",$F21=""),"",MAX(0,($Y21+$R21-参数与站点费率!$B$5*$E21)/$F21))</f>
        <v>0</v>
      </c>
    </row>
    <row r="22" ht="16.5" spans="1:30">
      <c r="A22" s="20" t="s">
        <v>36</v>
      </c>
      <c r="B22" s="20" t="s">
        <v>85</v>
      </c>
      <c r="C22" s="20" t="s">
        <v>97</v>
      </c>
      <c r="D22" s="21" t="s">
        <v>98</v>
      </c>
      <c r="E22" s="22">
        <v>51.5</v>
      </c>
      <c r="F22" s="22">
        <v>74.99</v>
      </c>
      <c r="G22" s="23">
        <v>0</v>
      </c>
      <c r="H22" s="23">
        <v>0.178</v>
      </c>
      <c r="I22" s="22">
        <v>8</v>
      </c>
      <c r="J22" s="23">
        <v>0.01</v>
      </c>
      <c r="K22" s="24">
        <v>208</v>
      </c>
      <c r="L22" s="24">
        <v>18</v>
      </c>
      <c r="M22" s="25">
        <v>12</v>
      </c>
      <c r="N22" s="26">
        <f>IFERROR(VLOOKUP($A22,参数与站点费率!$A$12:$E$20,3,0),"")</f>
        <v>0.2</v>
      </c>
      <c r="O22" s="27">
        <f>IFERROR(VLOOKUP($A22,参数与站点费率!$A$12:$E$20,5,0),"")</f>
        <v>9</v>
      </c>
      <c r="P22" s="28">
        <f>IFERROR(VLOOKUP($A22,参数与站点费率!$A$12:$E$20,4,0)/$M22,"")</f>
        <v>0.745833333333333</v>
      </c>
      <c r="Q22" s="29">
        <f t="shared" si="0"/>
        <v>62.4916666666667</v>
      </c>
      <c r="R22" s="29">
        <f t="shared" si="1"/>
        <v>0</v>
      </c>
      <c r="S22" s="29">
        <f t="shared" si="2"/>
        <v>74.99</v>
      </c>
      <c r="T22" s="29">
        <f t="shared" si="3"/>
        <v>9.167</v>
      </c>
      <c r="U22" s="30">
        <f>IF($K22="","",$K22/(1+参数与站点费率!$B$4))</f>
        <v>184.070796460177</v>
      </c>
      <c r="V22" s="29">
        <f t="shared" si="4"/>
        <v>2</v>
      </c>
      <c r="W22" s="29">
        <f t="shared" si="5"/>
        <v>22.4523107177974</v>
      </c>
      <c r="X22" s="29">
        <f t="shared" si="6"/>
        <v>0.515</v>
      </c>
      <c r="Y22" s="29">
        <f t="shared" si="7"/>
        <v>10.6198559488692</v>
      </c>
      <c r="Z22" s="31">
        <f t="shared" si="8"/>
        <v>0.206210795123674</v>
      </c>
      <c r="AA22" s="31">
        <f t="shared" si="9"/>
        <v>0.322581677557008</v>
      </c>
      <c r="AB22" s="32" t="str">
        <f>IF($Z22="","",IF($Z22&gt;参数与站点费率!$B$8,"绿",IF($Z22&gt;参数与站点费率!$B$7,"黄","红")))</f>
        <v>黄</v>
      </c>
      <c r="AC22" s="32" t="str">
        <f>IF($AA22="","",IF($AA22&gt;=参数与站点费率!$B$6,"达标","偏低"))</f>
        <v>偏低</v>
      </c>
      <c r="AD22" s="31">
        <f>IF(OR($Y22="",$F22=""),"",MAX(0,($Y22+$R22-参数与站点费率!$B$5*$E22)/$F22))</f>
        <v>0.0386032264151116</v>
      </c>
    </row>
    <row r="23" ht="16.5" spans="1:30">
      <c r="A23" s="33"/>
      <c r="B23" s="33"/>
      <c r="C23" s="33"/>
      <c r="D23" s="34"/>
      <c r="E23" s="35"/>
      <c r="F23" s="35"/>
      <c r="G23" s="36"/>
      <c r="H23" s="36"/>
      <c r="I23" s="35"/>
      <c r="J23" s="36"/>
      <c r="K23" s="37"/>
      <c r="L23" s="37"/>
      <c r="M23" s="38"/>
      <c r="N23" s="39" t="str">
        <f>IFERROR(VLOOKUP($A23,参数与站点费率!$A$12:$E$20,3,0),"")</f>
        <v/>
      </c>
      <c r="O23" s="40" t="str">
        <f>IFERROR(VLOOKUP($A23,参数与站点费率!$A$12:$E$20,5,0),"")</f>
        <v/>
      </c>
      <c r="P23" s="41" t="str">
        <f>IFERROR(VLOOKUP($A23,参数与站点费率!$A$12:$E$20,4,0)/$M23,"")</f>
        <v/>
      </c>
      <c r="Q23" s="42" t="str">
        <f t="shared" si="0"/>
        <v/>
      </c>
      <c r="R23" s="42" t="str">
        <f t="shared" si="1"/>
        <v/>
      </c>
      <c r="S23" s="42" t="str">
        <f t="shared" si="2"/>
        <v/>
      </c>
      <c r="T23" s="42" t="str">
        <f t="shared" si="3"/>
        <v/>
      </c>
      <c r="U23" s="43" t="str">
        <f>IF($K23="","",$K23/(1+参数与站点费率!$B$4))</f>
        <v/>
      </c>
      <c r="V23" s="42" t="str">
        <f t="shared" si="4"/>
        <v/>
      </c>
      <c r="W23" s="42" t="str">
        <f t="shared" si="5"/>
        <v/>
      </c>
      <c r="X23" s="42" t="str">
        <f t="shared" si="6"/>
        <v/>
      </c>
      <c r="Y23" s="42" t="str">
        <f t="shared" si="7"/>
        <v/>
      </c>
      <c r="Z23" s="44" t="str">
        <f t="shared" si="8"/>
        <v/>
      </c>
      <c r="AA23" s="44" t="str">
        <f t="shared" si="9"/>
        <v/>
      </c>
      <c r="AB23" s="45" t="str">
        <f>IF($Z23="","",IF($Z23&gt;参数与站点费率!$B$8,"绿",IF($Z23&gt;参数与站点费率!$B$7,"黄","红")))</f>
        <v/>
      </c>
      <c r="AC23" s="45" t="str">
        <f>IF($AA23="","",IF($AA23&gt;=参数与站点费率!$B$6,"达标","偏低"))</f>
        <v/>
      </c>
      <c r="AD23" s="44" t="str">
        <f>IF(OR($Y23="",$F23=""),"",MAX(0,($Y23+$R23-参数与站点费率!$B$5*$E23)/$F23))</f>
        <v/>
      </c>
    </row>
    <row r="24" ht="16.5" spans="1:30">
      <c r="A24" s="20"/>
      <c r="B24" s="20"/>
      <c r="C24" s="20"/>
      <c r="D24" s="21"/>
      <c r="E24" s="22"/>
      <c r="F24" s="22"/>
      <c r="G24" s="23"/>
      <c r="H24" s="23"/>
      <c r="I24" s="22"/>
      <c r="J24" s="23"/>
      <c r="K24" s="24"/>
      <c r="L24" s="24"/>
      <c r="M24" s="25"/>
      <c r="N24" s="26" t="str">
        <f>IFERROR(VLOOKUP($A24,参数与站点费率!$A$12:$E$20,3,0),"")</f>
        <v/>
      </c>
      <c r="O24" s="27" t="str">
        <f>IFERROR(VLOOKUP($A24,参数与站点费率!$A$12:$E$20,5,0),"")</f>
        <v/>
      </c>
      <c r="P24" s="28" t="str">
        <f>IFERROR(VLOOKUP($A24,参数与站点费率!$A$12:$E$20,4,0)/$M24,"")</f>
        <v/>
      </c>
      <c r="Q24" s="29" t="str">
        <f t="shared" si="0"/>
        <v/>
      </c>
      <c r="R24" s="29" t="str">
        <f t="shared" si="1"/>
        <v/>
      </c>
      <c r="S24" s="29" t="str">
        <f t="shared" si="2"/>
        <v/>
      </c>
      <c r="T24" s="29" t="str">
        <f t="shared" si="3"/>
        <v/>
      </c>
      <c r="U24" s="30" t="str">
        <f>IF($K24="","",$K24/(1+参数与站点费率!$B$4))</f>
        <v/>
      </c>
      <c r="V24" s="29" t="str">
        <f t="shared" si="4"/>
        <v/>
      </c>
      <c r="W24" s="29" t="str">
        <f t="shared" si="5"/>
        <v/>
      </c>
      <c r="X24" s="29" t="str">
        <f t="shared" si="6"/>
        <v/>
      </c>
      <c r="Y24" s="29" t="str">
        <f t="shared" si="7"/>
        <v/>
      </c>
      <c r="Z24" s="31" t="str">
        <f t="shared" si="8"/>
        <v/>
      </c>
      <c r="AA24" s="31" t="str">
        <f t="shared" si="9"/>
        <v/>
      </c>
      <c r="AB24" s="32" t="str">
        <f>IF($Z24="","",IF($Z24&gt;参数与站点费率!$B$8,"绿",IF($Z24&gt;参数与站点费率!$B$7,"黄","红")))</f>
        <v/>
      </c>
      <c r="AC24" s="32" t="str">
        <f>IF($AA24="","",IF($AA24&gt;=参数与站点费率!$B$6,"达标","偏低"))</f>
        <v/>
      </c>
      <c r="AD24" s="31" t="str">
        <f>IF(OR($Y24="",$F24=""),"",MAX(0,($Y24+$R24-参数与站点费率!$B$5*$E24)/$F24))</f>
        <v/>
      </c>
    </row>
    <row r="25" ht="16.5" spans="1:30">
      <c r="A25" s="33"/>
      <c r="B25" s="33"/>
      <c r="C25" s="33"/>
      <c r="D25" s="34"/>
      <c r="E25" s="35"/>
      <c r="F25" s="35"/>
      <c r="G25" s="36"/>
      <c r="H25" s="36"/>
      <c r="I25" s="35"/>
      <c r="J25" s="36"/>
      <c r="K25" s="37"/>
      <c r="L25" s="37"/>
      <c r="M25" s="38"/>
      <c r="N25" s="39" t="str">
        <f>IFERROR(VLOOKUP($A25,参数与站点费率!$A$12:$E$20,3,0),"")</f>
        <v/>
      </c>
      <c r="O25" s="40" t="str">
        <f>IFERROR(VLOOKUP($A25,参数与站点费率!$A$12:$E$20,5,0),"")</f>
        <v/>
      </c>
      <c r="P25" s="41" t="str">
        <f>IFERROR(VLOOKUP($A25,参数与站点费率!$A$12:$E$20,4,0)/$M25,"")</f>
        <v/>
      </c>
      <c r="Q25" s="42" t="str">
        <f t="shared" si="0"/>
        <v/>
      </c>
      <c r="R25" s="42" t="str">
        <f t="shared" si="1"/>
        <v/>
      </c>
      <c r="S25" s="42" t="str">
        <f t="shared" si="2"/>
        <v/>
      </c>
      <c r="T25" s="42" t="str">
        <f t="shared" si="3"/>
        <v/>
      </c>
      <c r="U25" s="43" t="str">
        <f>IF($K25="","",$K25/(1+参数与站点费率!$B$4))</f>
        <v/>
      </c>
      <c r="V25" s="42" t="str">
        <f t="shared" si="4"/>
        <v/>
      </c>
      <c r="W25" s="42" t="str">
        <f t="shared" si="5"/>
        <v/>
      </c>
      <c r="X25" s="42" t="str">
        <f t="shared" si="6"/>
        <v/>
      </c>
      <c r="Y25" s="42" t="str">
        <f t="shared" si="7"/>
        <v/>
      </c>
      <c r="Z25" s="44" t="str">
        <f t="shared" si="8"/>
        <v/>
      </c>
      <c r="AA25" s="44" t="str">
        <f t="shared" si="9"/>
        <v/>
      </c>
      <c r="AB25" s="45" t="str">
        <f>IF($Z25="","",IF($Z25&gt;参数与站点费率!$B$8,"绿",IF($Z25&gt;参数与站点费率!$B$7,"黄","红")))</f>
        <v/>
      </c>
      <c r="AC25" s="45" t="str">
        <f>IF($AA25="","",IF($AA25&gt;=参数与站点费率!$B$6,"达标","偏低"))</f>
        <v/>
      </c>
      <c r="AD25" s="44" t="str">
        <f>IF(OR($Y25="",$F25=""),"",MAX(0,($Y25+$R25-参数与站点费率!$B$5*$E25)/$F25))</f>
        <v/>
      </c>
    </row>
    <row r="26" ht="16.5" spans="1:30">
      <c r="A26" s="20"/>
      <c r="B26" s="20"/>
      <c r="C26" s="20"/>
      <c r="D26" s="21"/>
      <c r="E26" s="22"/>
      <c r="F26" s="22"/>
      <c r="G26" s="23"/>
      <c r="H26" s="23"/>
      <c r="I26" s="22"/>
      <c r="J26" s="23"/>
      <c r="K26" s="24"/>
      <c r="L26" s="24"/>
      <c r="M26" s="25"/>
      <c r="N26" s="26" t="str">
        <f>IFERROR(VLOOKUP($A26,参数与站点费率!$A$12:$E$20,3,0),"")</f>
        <v/>
      </c>
      <c r="O26" s="27" t="str">
        <f>IFERROR(VLOOKUP($A26,参数与站点费率!$A$12:$E$20,5,0),"")</f>
        <v/>
      </c>
      <c r="P26" s="28" t="str">
        <f>IFERROR(VLOOKUP($A26,参数与站点费率!$A$12:$E$20,4,0)/$M26,"")</f>
        <v/>
      </c>
      <c r="Q26" s="29" t="str">
        <f t="shared" si="0"/>
        <v/>
      </c>
      <c r="R26" s="29" t="str">
        <f t="shared" si="1"/>
        <v/>
      </c>
      <c r="S26" s="29" t="str">
        <f t="shared" si="2"/>
        <v/>
      </c>
      <c r="T26" s="29" t="str">
        <f t="shared" si="3"/>
        <v/>
      </c>
      <c r="U26" s="30" t="str">
        <f>IF($K26="","",$K26/(1+参数与站点费率!$B$4))</f>
        <v/>
      </c>
      <c r="V26" s="29" t="str">
        <f t="shared" si="4"/>
        <v/>
      </c>
      <c r="W26" s="29" t="str">
        <f t="shared" si="5"/>
        <v/>
      </c>
      <c r="X26" s="29" t="str">
        <f t="shared" si="6"/>
        <v/>
      </c>
      <c r="Y26" s="29" t="str">
        <f t="shared" si="7"/>
        <v/>
      </c>
      <c r="Z26" s="31" t="str">
        <f t="shared" si="8"/>
        <v/>
      </c>
      <c r="AA26" s="31" t="str">
        <f t="shared" si="9"/>
        <v/>
      </c>
      <c r="AB26" s="32" t="str">
        <f>IF($Z26="","",IF($Z26&gt;参数与站点费率!$B$8,"绿",IF($Z26&gt;参数与站点费率!$B$7,"黄","红")))</f>
        <v/>
      </c>
      <c r="AC26" s="32" t="str">
        <f>IF($AA26="","",IF($AA26&gt;=参数与站点费率!$B$6,"达标","偏低"))</f>
        <v/>
      </c>
      <c r="AD26" s="31" t="str">
        <f>IF(OR($Y26="",$F26=""),"",MAX(0,($Y26+$R26-参数与站点费率!$B$5*$E26)/$F26))</f>
        <v/>
      </c>
    </row>
    <row r="27" ht="16.5" spans="1:30">
      <c r="A27" s="33"/>
      <c r="B27" s="33"/>
      <c r="C27" s="33"/>
      <c r="D27" s="34"/>
      <c r="E27" s="35"/>
      <c r="F27" s="35"/>
      <c r="G27" s="36"/>
      <c r="H27" s="36"/>
      <c r="I27" s="35"/>
      <c r="J27" s="36"/>
      <c r="K27" s="37"/>
      <c r="L27" s="37"/>
      <c r="M27" s="38"/>
      <c r="N27" s="39" t="str">
        <f>IFERROR(VLOOKUP($A27,参数与站点费率!$A$12:$E$20,3,0),"")</f>
        <v/>
      </c>
      <c r="O27" s="40" t="str">
        <f>IFERROR(VLOOKUP($A27,参数与站点费率!$A$12:$E$20,5,0),"")</f>
        <v/>
      </c>
      <c r="P27" s="41" t="str">
        <f>IFERROR(VLOOKUP($A27,参数与站点费率!$A$12:$E$20,4,0)/$M27,"")</f>
        <v/>
      </c>
      <c r="Q27" s="42" t="str">
        <f t="shared" si="0"/>
        <v/>
      </c>
      <c r="R27" s="42" t="str">
        <f t="shared" si="1"/>
        <v/>
      </c>
      <c r="S27" s="42" t="str">
        <f t="shared" si="2"/>
        <v/>
      </c>
      <c r="T27" s="42" t="str">
        <f t="shared" si="3"/>
        <v/>
      </c>
      <c r="U27" s="43" t="str">
        <f>IF($K27="","",$K27/(1+参数与站点费率!$B$4))</f>
        <v/>
      </c>
      <c r="V27" s="42" t="str">
        <f t="shared" si="4"/>
        <v/>
      </c>
      <c r="W27" s="42" t="str">
        <f t="shared" si="5"/>
        <v/>
      </c>
      <c r="X27" s="42" t="str">
        <f t="shared" si="6"/>
        <v/>
      </c>
      <c r="Y27" s="42" t="str">
        <f t="shared" si="7"/>
        <v/>
      </c>
      <c r="Z27" s="44" t="str">
        <f t="shared" si="8"/>
        <v/>
      </c>
      <c r="AA27" s="44" t="str">
        <f t="shared" si="9"/>
        <v/>
      </c>
      <c r="AB27" s="45" t="str">
        <f>IF($Z27="","",IF($Z27&gt;参数与站点费率!$B$8,"绿",IF($Z27&gt;参数与站点费率!$B$7,"黄","红")))</f>
        <v/>
      </c>
      <c r="AC27" s="45" t="str">
        <f>IF($AA27="","",IF($AA27&gt;=参数与站点费率!$B$6,"达标","偏低"))</f>
        <v/>
      </c>
      <c r="AD27" s="44" t="str">
        <f>IF(OR($Y27="",$F27=""),"",MAX(0,($Y27+$R27-参数与站点费率!$B$5*$E27)/$F27))</f>
        <v/>
      </c>
    </row>
    <row r="28" ht="16.5" spans="1:30">
      <c r="A28" s="20"/>
      <c r="B28" s="20"/>
      <c r="C28" s="20"/>
      <c r="D28" s="21"/>
      <c r="E28" s="22"/>
      <c r="F28" s="22"/>
      <c r="G28" s="23"/>
      <c r="H28" s="23"/>
      <c r="I28" s="22"/>
      <c r="J28" s="23"/>
      <c r="K28" s="24"/>
      <c r="L28" s="24"/>
      <c r="M28" s="25"/>
      <c r="N28" s="26" t="str">
        <f>IFERROR(VLOOKUP($A28,参数与站点费率!$A$12:$E$20,3,0),"")</f>
        <v/>
      </c>
      <c r="O28" s="27" t="str">
        <f>IFERROR(VLOOKUP($A28,参数与站点费率!$A$12:$E$20,5,0),"")</f>
        <v/>
      </c>
      <c r="P28" s="28" t="str">
        <f>IFERROR(VLOOKUP($A28,参数与站点费率!$A$12:$E$20,4,0)/$M28,"")</f>
        <v/>
      </c>
      <c r="Q28" s="29" t="str">
        <f t="shared" si="0"/>
        <v/>
      </c>
      <c r="R28" s="29" t="str">
        <f t="shared" si="1"/>
        <v/>
      </c>
      <c r="S28" s="29" t="str">
        <f t="shared" si="2"/>
        <v/>
      </c>
      <c r="T28" s="29" t="str">
        <f t="shared" si="3"/>
        <v/>
      </c>
      <c r="U28" s="30" t="str">
        <f>IF($K28="","",$K28/(1+参数与站点费率!$B$4))</f>
        <v/>
      </c>
      <c r="V28" s="29" t="str">
        <f t="shared" si="4"/>
        <v/>
      </c>
      <c r="W28" s="29" t="str">
        <f t="shared" si="5"/>
        <v/>
      </c>
      <c r="X28" s="29" t="str">
        <f t="shared" si="6"/>
        <v/>
      </c>
      <c r="Y28" s="29" t="str">
        <f t="shared" si="7"/>
        <v/>
      </c>
      <c r="Z28" s="31" t="str">
        <f t="shared" si="8"/>
        <v/>
      </c>
      <c r="AA28" s="31" t="str">
        <f t="shared" si="9"/>
        <v/>
      </c>
      <c r="AB28" s="32" t="str">
        <f>IF($Z28="","",IF($Z28&gt;参数与站点费率!$B$8,"绿",IF($Z28&gt;参数与站点费率!$B$7,"黄","红")))</f>
        <v/>
      </c>
      <c r="AC28" s="32" t="str">
        <f>IF($AA28="","",IF($AA28&gt;=参数与站点费率!$B$6,"达标","偏低"))</f>
        <v/>
      </c>
      <c r="AD28" s="31" t="str">
        <f>IF(OR($Y28="",$F28=""),"",MAX(0,($Y28+$R28-参数与站点费率!$B$5*$E28)/$F28))</f>
        <v/>
      </c>
    </row>
    <row r="29" ht="16.5" spans="1:30">
      <c r="A29" s="33"/>
      <c r="B29" s="33"/>
      <c r="C29" s="33"/>
      <c r="D29" s="34"/>
      <c r="E29" s="35"/>
      <c r="F29" s="35"/>
      <c r="G29" s="36"/>
      <c r="H29" s="36"/>
      <c r="I29" s="35"/>
      <c r="J29" s="36"/>
      <c r="K29" s="37"/>
      <c r="L29" s="37"/>
      <c r="M29" s="38"/>
      <c r="N29" s="39" t="str">
        <f>IFERROR(VLOOKUP($A29,参数与站点费率!$A$12:$E$20,3,0),"")</f>
        <v/>
      </c>
      <c r="O29" s="40" t="str">
        <f>IFERROR(VLOOKUP($A29,参数与站点费率!$A$12:$E$20,5,0),"")</f>
        <v/>
      </c>
      <c r="P29" s="41" t="str">
        <f>IFERROR(VLOOKUP($A29,参数与站点费率!$A$12:$E$20,4,0)/$M29,"")</f>
        <v/>
      </c>
      <c r="Q29" s="42" t="str">
        <f t="shared" si="0"/>
        <v/>
      </c>
      <c r="R29" s="42" t="str">
        <f t="shared" si="1"/>
        <v/>
      </c>
      <c r="S29" s="42" t="str">
        <f t="shared" si="2"/>
        <v/>
      </c>
      <c r="T29" s="42" t="str">
        <f t="shared" si="3"/>
        <v/>
      </c>
      <c r="U29" s="43" t="str">
        <f>IF($K29="","",$K29/(1+参数与站点费率!$B$4))</f>
        <v/>
      </c>
      <c r="V29" s="42" t="str">
        <f t="shared" si="4"/>
        <v/>
      </c>
      <c r="W29" s="42" t="str">
        <f t="shared" si="5"/>
        <v/>
      </c>
      <c r="X29" s="42" t="str">
        <f t="shared" si="6"/>
        <v/>
      </c>
      <c r="Y29" s="42" t="str">
        <f t="shared" si="7"/>
        <v/>
      </c>
      <c r="Z29" s="44" t="str">
        <f t="shared" si="8"/>
        <v/>
      </c>
      <c r="AA29" s="44" t="str">
        <f t="shared" si="9"/>
        <v/>
      </c>
      <c r="AB29" s="45" t="str">
        <f>IF($Z29="","",IF($Z29&gt;参数与站点费率!$B$8,"绿",IF($Z29&gt;参数与站点费率!$B$7,"黄","红")))</f>
        <v/>
      </c>
      <c r="AC29" s="45" t="str">
        <f>IF($AA29="","",IF($AA29&gt;=参数与站点费率!$B$6,"达标","偏低"))</f>
        <v/>
      </c>
      <c r="AD29" s="44" t="str">
        <f>IF(OR($Y29="",$F29=""),"",MAX(0,($Y29+$R29-参数与站点费率!$B$5*$E29)/$F29))</f>
        <v/>
      </c>
    </row>
    <row r="30" ht="16.5" spans="1:30">
      <c r="A30" s="20"/>
      <c r="B30" s="20"/>
      <c r="C30" s="20"/>
      <c r="D30" s="21"/>
      <c r="E30" s="22"/>
      <c r="F30" s="22"/>
      <c r="G30" s="23"/>
      <c r="H30" s="23"/>
      <c r="I30" s="22"/>
      <c r="J30" s="23"/>
      <c r="K30" s="24"/>
      <c r="L30" s="24"/>
      <c r="M30" s="25"/>
      <c r="N30" s="26" t="str">
        <f>IFERROR(VLOOKUP($A30,参数与站点费率!$A$12:$E$20,3,0),"")</f>
        <v/>
      </c>
      <c r="O30" s="27" t="str">
        <f>IFERROR(VLOOKUP($A30,参数与站点费率!$A$12:$E$20,5,0),"")</f>
        <v/>
      </c>
      <c r="P30" s="28" t="str">
        <f>IFERROR(VLOOKUP($A30,参数与站点费率!$A$12:$E$20,4,0)/$M30,"")</f>
        <v/>
      </c>
      <c r="Q30" s="29" t="str">
        <f t="shared" si="0"/>
        <v/>
      </c>
      <c r="R30" s="29" t="str">
        <f t="shared" si="1"/>
        <v/>
      </c>
      <c r="S30" s="29" t="str">
        <f t="shared" si="2"/>
        <v/>
      </c>
      <c r="T30" s="29" t="str">
        <f t="shared" si="3"/>
        <v/>
      </c>
      <c r="U30" s="30" t="str">
        <f>IF($K30="","",$K30/(1+参数与站点费率!$B$4))</f>
        <v/>
      </c>
      <c r="V30" s="29" t="str">
        <f t="shared" si="4"/>
        <v/>
      </c>
      <c r="W30" s="29" t="str">
        <f t="shared" si="5"/>
        <v/>
      </c>
      <c r="X30" s="29" t="str">
        <f t="shared" si="6"/>
        <v/>
      </c>
      <c r="Y30" s="29" t="str">
        <f t="shared" si="7"/>
        <v/>
      </c>
      <c r="Z30" s="31" t="str">
        <f t="shared" si="8"/>
        <v/>
      </c>
      <c r="AA30" s="31" t="str">
        <f t="shared" si="9"/>
        <v/>
      </c>
      <c r="AB30" s="32" t="str">
        <f>IF($Z30="","",IF($Z30&gt;参数与站点费率!$B$8,"绿",IF($Z30&gt;参数与站点费率!$B$7,"黄","红")))</f>
        <v/>
      </c>
      <c r="AC30" s="32" t="str">
        <f>IF($AA30="","",IF($AA30&gt;=参数与站点费率!$B$6,"达标","偏低"))</f>
        <v/>
      </c>
      <c r="AD30" s="31" t="str">
        <f>IF(OR($Y30="",$F30=""),"",MAX(0,($Y30+$R30-参数与站点费率!$B$5*$E30)/$F30))</f>
        <v/>
      </c>
    </row>
  </sheetData>
  <mergeCells count="2">
    <mergeCell ref="A1:AD1"/>
    <mergeCell ref="A2:AD2"/>
  </mergeCells>
  <conditionalFormatting sqref="Z4:Z30">
    <cfRule type="cellIs" dxfId="0" priority="2" operator="lessThan">
      <formula>0.1</formula>
    </cfRule>
    <cfRule type="cellIs" dxfId="1" priority="3" operator="between">
      <formula>0.1</formula>
      <formula>0.25</formula>
    </cfRule>
    <cfRule type="cellIs" dxfId="2" priority="4" operator="greaterThan">
      <formula>0.25</formula>
    </cfRule>
  </conditionalFormatting>
  <conditionalFormatting sqref="AB4:AB30">
    <cfRule type="cellIs" dxfId="3" priority="5" operator="equal">
      <formula>"红"</formula>
    </cfRule>
    <cfRule type="cellIs" dxfId="4" priority="6" operator="equal">
      <formula>"黄"</formula>
    </cfRule>
    <cfRule type="cellIs" dxfId="5" priority="7" operator="equal">
      <formula>"绿"</formula>
    </cfRule>
  </conditionalFormatting>
  <dataValidations count="1">
    <dataValidation type="list" allowBlank="1" sqref="A4:A30">
      <formula1>"UK,DE,FR,IT,ES,NL,PL,SE,BE"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showGridLines="0" tabSelected="1" workbookViewId="0">
      <selection activeCell="A1" sqref="A1"/>
    </sheetView>
  </sheetViews>
  <sheetFormatPr defaultColWidth="8.67619047619048" defaultRowHeight="15" outlineLevelCol="6"/>
  <cols>
    <col min="1" max="2" width="10" customWidth="1"/>
    <col min="3" max="4" width="12" customWidth="1"/>
    <col min="5" max="7" width="10" customWidth="1"/>
  </cols>
  <sheetData>
    <row r="1" ht="20.25" spans="1:7">
      <c r="A1" s="1" t="s">
        <v>99</v>
      </c>
    </row>
    <row r="2" spans="1:7">
      <c r="A2" s="2" t="s">
        <v>100</v>
      </c>
    </row>
    <row r="4" ht="33" spans="1:7">
      <c r="A4" s="3" t="s">
        <v>31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  <c r="G4" s="3" t="s">
        <v>106</v>
      </c>
    </row>
    <row r="5" ht="16.5" spans="1:7">
      <c r="A5" s="4" t="s">
        <v>36</v>
      </c>
      <c r="B5" s="5">
        <f>COUNTIF(VC利润测算!$A$4:$A$30,$A5)</f>
        <v>7</v>
      </c>
      <c r="C5" s="6">
        <f>IFERROR(AVERAGEIF(VC利润测算!$A$4:$A$30,$A5,VC利润测算!$Z$4:$Z$30),"")</f>
        <v>0.179866068132321</v>
      </c>
      <c r="D5" s="6">
        <f>IFERROR(AVERAGEIF(VC利润测算!$A$4:$A$30,$A5,VC利润测算!$AA$4:$AA$30),"")</f>
        <v>0.337354731247376</v>
      </c>
      <c r="E5" s="7">
        <f>COUNTIFS(VC利润测算!$A$4:$A$30,$A5,VC利润测算!$AB$4:$AB$30,"红")</f>
        <v>1</v>
      </c>
      <c r="F5" s="8">
        <f>COUNTIFS(VC利润测算!$A$4:$A$30,$A5,VC利润测算!$AB$4:$AB$30,"黄")</f>
        <v>4</v>
      </c>
      <c r="G5" s="9">
        <f>COUNTIFS(VC利润测算!$A$4:$A$30,$A5,VC利润测算!$AB$4:$AB$30,"绿")</f>
        <v>2</v>
      </c>
    </row>
    <row r="6" ht="16.5" spans="1:7">
      <c r="A6" s="4" t="s">
        <v>38</v>
      </c>
      <c r="B6" s="5">
        <f>COUNTIF(VC利润测算!$A$4:$A$30,$A6)</f>
        <v>3</v>
      </c>
      <c r="C6" s="6">
        <f>IFERROR(AVERAGEIF(VC利润测算!$A$4:$A$30,$A6,VC利润测算!$Z$4:$Z$30),"")</f>
        <v>0.242096425826322</v>
      </c>
      <c r="D6" s="6">
        <f>IFERROR(AVERAGEIF(VC利润测算!$A$4:$A$30,$A6,VC利润测算!$AA$4:$AA$30),"")</f>
        <v>0.322323519945746</v>
      </c>
      <c r="E6" s="7">
        <f>COUNTIFS(VC利润测算!$A$4:$A$30,$A6,VC利润测算!$AB$4:$AB$30,"红")</f>
        <v>0</v>
      </c>
      <c r="F6" s="8">
        <f>COUNTIFS(VC利润测算!$A$4:$A$30,$A6,VC利润测算!$AB$4:$AB$30,"黄")</f>
        <v>1</v>
      </c>
      <c r="G6" s="9">
        <f>COUNTIFS(VC利润测算!$A$4:$A$30,$A6,VC利润测算!$AB$4:$AB$30,"绿")</f>
        <v>2</v>
      </c>
    </row>
    <row r="7" ht="16.5" spans="1:7">
      <c r="A7" s="4" t="s">
        <v>40</v>
      </c>
      <c r="B7" s="5">
        <f>COUNTIF(VC利润测算!$A$4:$A$30,$A7)</f>
        <v>3</v>
      </c>
      <c r="C7" s="6">
        <f>IFERROR(AVERAGEIF(VC利润测算!$A$4:$A$30,$A7,VC利润测算!$Z$4:$Z$30),"")</f>
        <v>0.22209417382241</v>
      </c>
      <c r="D7" s="6">
        <f>IFERROR(AVERAGEIF(VC利润测算!$A$4:$A$30,$A7,VC利润测算!$AA$4:$AA$30),"")</f>
        <v>0.322955215316139</v>
      </c>
      <c r="E7" s="7">
        <f>COUNTIFS(VC利润测算!$A$4:$A$30,$A7,VC利润测算!$AB$4:$AB$30,"红")</f>
        <v>0</v>
      </c>
      <c r="F7" s="8">
        <f>COUNTIFS(VC利润测算!$A$4:$A$30,$A7,VC利润测算!$AB$4:$AB$30,"黄")</f>
        <v>1</v>
      </c>
      <c r="G7" s="9">
        <f>COUNTIFS(VC利润测算!$A$4:$A$30,$A7,VC利润测算!$AB$4:$AB$30,"绿")</f>
        <v>2</v>
      </c>
    </row>
    <row r="8" ht="16.5" spans="1:7">
      <c r="A8" s="4" t="s">
        <v>41</v>
      </c>
      <c r="B8" s="5">
        <f>COUNTIF(VC利润测算!$A$4:$A$30,$A8)</f>
        <v>3</v>
      </c>
      <c r="C8" s="6">
        <f>IFERROR(AVERAGEIF(VC利润测算!$A$4:$A$30,$A8,VC利润测算!$Z$4:$Z$30),"")</f>
        <v>0.218031283987162</v>
      </c>
      <c r="D8" s="6">
        <f>IFERROR(AVERAGEIF(VC利润测算!$A$4:$A$30,$A8,VC利润测算!$AA$4:$AA$30),"")</f>
        <v>0.322955215316139</v>
      </c>
      <c r="E8" s="7">
        <f>COUNTIFS(VC利润测算!$A$4:$A$30,$A8,VC利润测算!$AB$4:$AB$30,"红")</f>
        <v>0</v>
      </c>
      <c r="F8" s="8">
        <f>COUNTIFS(VC利润测算!$A$4:$A$30,$A8,VC利润测算!$AB$4:$AB$30,"黄")</f>
        <v>1</v>
      </c>
      <c r="G8" s="9">
        <f>COUNTIFS(VC利润测算!$A$4:$A$30,$A8,VC利润测算!$AB$4:$AB$30,"绿")</f>
        <v>2</v>
      </c>
    </row>
    <row r="9" ht="16.5" spans="1:7">
      <c r="A9" s="4" t="s">
        <v>42</v>
      </c>
      <c r="B9" s="5">
        <f>COUNTIF(VC利润测算!$A$4:$A$30,$A9)</f>
        <v>3</v>
      </c>
      <c r="C9" s="6">
        <f>IFERROR(AVERAGEIF(VC利润测算!$A$4:$A$30,$A9,VC利润测算!$Z$4:$Z$30),"")</f>
        <v>0.201779724646172</v>
      </c>
      <c r="D9" s="6">
        <f>IFERROR(AVERAGEIF(VC利润测算!$A$4:$A$30,$A9,VC利润测算!$AA$4:$AA$30),"")</f>
        <v>0.322955215316139</v>
      </c>
      <c r="E9" s="7">
        <f>COUNTIFS(VC利润测算!$A$4:$A$30,$A9,VC利润测算!$AB$4:$AB$30,"红")</f>
        <v>0</v>
      </c>
      <c r="F9" s="8">
        <f>COUNTIFS(VC利润测算!$A$4:$A$30,$A9,VC利润测算!$AB$4:$AB$30,"黄")</f>
        <v>3</v>
      </c>
      <c r="G9" s="9">
        <f>COUNTIFS(VC利润测算!$A$4:$A$30,$A9,VC利润测算!$AB$4:$AB$30,"绿")</f>
        <v>0</v>
      </c>
    </row>
    <row r="10" ht="16.5" spans="1:7">
      <c r="A10" s="4" t="s">
        <v>43</v>
      </c>
      <c r="B10" s="5">
        <f>COUNTIF(VC利润测算!$A$4:$A$30,$A10)</f>
        <v>0</v>
      </c>
      <c r="C10" s="6" t="str">
        <f>IFERROR(AVERAGEIF(VC利润测算!$A$4:$A$30,$A10,VC利润测算!$Z$4:$Z$30),"")</f>
        <v/>
      </c>
      <c r="D10" s="6" t="str">
        <f>IFERROR(AVERAGEIF(VC利润测算!$A$4:$A$30,$A10,VC利润测算!$AA$4:$AA$30),"")</f>
        <v/>
      </c>
      <c r="E10" s="7">
        <f>COUNTIFS(VC利润测算!$A$4:$A$30,$A10,VC利润测算!$AB$4:$AB$30,"红")</f>
        <v>0</v>
      </c>
      <c r="F10" s="8">
        <f>COUNTIFS(VC利润测算!$A$4:$A$30,$A10,VC利润测算!$AB$4:$AB$30,"黄")</f>
        <v>0</v>
      </c>
      <c r="G10" s="9">
        <f>COUNTIFS(VC利润测算!$A$4:$A$30,$A10,VC利润测算!$AB$4:$AB$30,"绿")</f>
        <v>0</v>
      </c>
    </row>
    <row r="11" ht="16.5" spans="1:7">
      <c r="A11" s="4" t="s">
        <v>44</v>
      </c>
      <c r="B11" s="5">
        <f>COUNTIF(VC利润测算!$A$4:$A$30,$A11)</f>
        <v>0</v>
      </c>
      <c r="C11" s="6" t="str">
        <f>IFERROR(AVERAGEIF(VC利润测算!$A$4:$A$30,$A11,VC利润测算!$Z$4:$Z$30),"")</f>
        <v/>
      </c>
      <c r="D11" s="6" t="str">
        <f>IFERROR(AVERAGEIF(VC利润测算!$A$4:$A$30,$A11,VC利润测算!$AA$4:$AA$30),"")</f>
        <v/>
      </c>
      <c r="E11" s="7">
        <f>COUNTIFS(VC利润测算!$A$4:$A$30,$A11,VC利润测算!$AB$4:$AB$30,"红")</f>
        <v>0</v>
      </c>
      <c r="F11" s="8">
        <f>COUNTIFS(VC利润测算!$A$4:$A$30,$A11,VC利润测算!$AB$4:$AB$30,"黄")</f>
        <v>0</v>
      </c>
      <c r="G11" s="9">
        <f>COUNTIFS(VC利润测算!$A$4:$A$30,$A11,VC利润测算!$AB$4:$AB$30,"绿")</f>
        <v>0</v>
      </c>
    </row>
    <row r="12" ht="16.5" spans="1:7">
      <c r="A12" s="4" t="s">
        <v>46</v>
      </c>
      <c r="B12" s="5">
        <f>COUNTIF(VC利润测算!$A$4:$A$30,$A12)</f>
        <v>0</v>
      </c>
      <c r="C12" s="6" t="str">
        <f>IFERROR(AVERAGEIF(VC利润测算!$A$4:$A$30,$A12,VC利润测算!$Z$4:$Z$30),"")</f>
        <v/>
      </c>
      <c r="D12" s="6" t="str">
        <f>IFERROR(AVERAGEIF(VC利润测算!$A$4:$A$30,$A12,VC利润测算!$AA$4:$AA$30),"")</f>
        <v/>
      </c>
      <c r="E12" s="7">
        <f>COUNTIFS(VC利润测算!$A$4:$A$30,$A12,VC利润测算!$AB$4:$AB$30,"红")</f>
        <v>0</v>
      </c>
      <c r="F12" s="8">
        <f>COUNTIFS(VC利润测算!$A$4:$A$30,$A12,VC利润测算!$AB$4:$AB$30,"黄")</f>
        <v>0</v>
      </c>
      <c r="G12" s="9">
        <f>COUNTIFS(VC利润测算!$A$4:$A$30,$A12,VC利润测算!$AB$4:$AB$30,"绿")</f>
        <v>0</v>
      </c>
    </row>
    <row r="13" ht="16.5" spans="1:7">
      <c r="A13" s="4" t="s">
        <v>48</v>
      </c>
      <c r="B13" s="5">
        <f>COUNTIF(VC利润测算!$A$4:$A$30,$A13)</f>
        <v>0</v>
      </c>
      <c r="C13" s="6" t="str">
        <f>IFERROR(AVERAGEIF(VC利润测算!$A$4:$A$30,$A13,VC利润测算!$Z$4:$Z$30),"")</f>
        <v/>
      </c>
      <c r="D13" s="6" t="str">
        <f>IFERROR(AVERAGEIF(VC利润测算!$A$4:$A$30,$A13,VC利润测算!$AA$4:$AA$30),"")</f>
        <v/>
      </c>
      <c r="E13" s="7">
        <f>COUNTIFS(VC利润测算!$A$4:$A$30,$A13,VC利润测算!$AB$4:$AB$30,"红")</f>
        <v>0</v>
      </c>
      <c r="F13" s="8">
        <f>COUNTIFS(VC利润测算!$A$4:$A$30,$A13,VC利润测算!$AB$4:$AB$30,"黄")</f>
        <v>0</v>
      </c>
      <c r="G13" s="9">
        <f>COUNTIFS(VC利润测算!$A$4:$A$30,$A13,VC利润测算!$AB$4:$AB$30,"绿")</f>
        <v>0</v>
      </c>
    </row>
    <row r="14" ht="16.5" spans="1:7">
      <c r="A14" s="10" t="s">
        <v>107</v>
      </c>
      <c r="B14" s="11">
        <f>SUM(B5:B13)</f>
        <v>19</v>
      </c>
      <c r="C14" s="12">
        <f>IFERROR(AVERAGE(VC利润测算!$Z$4:$Z$30),"")</f>
        <v>0.205845647461708</v>
      </c>
      <c r="D14" s="12">
        <f>IFERROR(AVERAGE(VC利润测算!$AA$4:$AA$30),"")</f>
        <v>0.328160558758638</v>
      </c>
      <c r="E14" s="13">
        <f>SUM(E5:E13)</f>
        <v>1</v>
      </c>
      <c r="F14" s="14">
        <f>SUM(F5:F13)</f>
        <v>10</v>
      </c>
      <c r="G14" s="15">
        <f>SUM(G5:G13)</f>
        <v>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说明与图例</vt:lpstr>
      <vt:lpstr>参数与站点费率</vt:lpstr>
      <vt:lpstr>VC利润测算</vt:lpstr>
      <vt:lpstr>汇总看板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孤独不苦1416034621</cp:lastModifiedBy>
  <cp:revision>0</cp:revision>
  <dcterms:created xsi:type="dcterms:W3CDTF">2026-08-24T01:20:00Z</dcterms:created>
  <dcterms:modified xsi:type="dcterms:W3CDTF">2026-08-24T01:25:24Z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605895B7D08D4B27903048A5EF33881A_12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