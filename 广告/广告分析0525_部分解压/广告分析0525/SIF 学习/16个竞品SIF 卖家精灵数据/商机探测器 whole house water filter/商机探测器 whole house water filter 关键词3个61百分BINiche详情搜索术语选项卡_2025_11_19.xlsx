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商机 Nich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<sst xmlns="http://schemas.openxmlformats.org/spreadsheetml/2006/main" count="166" uniqueCount="79">
  <si>
    <t>细分市场名称: whole house water filter</t>
  </si>
  <si>
    <t>细分市场详情 - “搜索词” 选项卡</t>
  </si>
  <si>
    <t>上次更新日期：2026/1/19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</si>
  <si>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</si>
  <si>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</si>
  <si>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</si>
  <si>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</si>
  <si>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</si>
  <si>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</si>
  <si>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</si>
  <si>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</si>
  <si>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</si>
  <si>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</si>
  <si>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</si>
  <si>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</si>
  <si>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点击</t>
  </si>
  <si>
    <t>订单</t>
  </si>
  <si>
    <t>转化率</t>
  </si>
  <si>
    <t>whole house water filter</t>
  </si>
  <si>
    <t>Waterdrop Whole House Water Filter System with Carbon Filter and Sediment Filter 5-Stage Filtration Highly Reduce Lead Chlorine Odor and Taste 2-Stage 5 Micron WD-WHF21-PG 1 Inlet/Outlet</t>
  </si>
  <si>
    <t>B08XXJSN29</t>
  </si>
  <si>
    <t>Express Water Whole House Water Filter System | ULTIMATE PROTECTION | 3 Stage Home Filtration Top Tier Heavy Metal + Anti-Scale Filter Highly Reduces Scale Chloramine Chlorine PFAs Lead Arsenic</t>
  </si>
  <si>
    <t>B0BBZ8VZH1</t>
  </si>
  <si>
    <t>Culligan WH-HD200-C Whole House Water Filter System 1 Inlet/Outlet Improve Tap Water Taste Remove Sediment Protect Appliances</t>
  </si>
  <si>
    <t>B01JIRLRXY</t>
  </si>
  <si>
    <t>whole house water filter system</t>
  </si>
  <si>
    <t>HQUA WF3-01 3-Stage Whole House Water Filtration System Reduces Heavy Metals (Lead Mercury Copper Nickel Chromium) Chloramine Sediment Odor and VOCs</t>
  </si>
  <si>
    <t>B0D4K1LQ14</t>
  </si>
  <si>
    <t>house water filter</t>
  </si>
  <si>
    <t>Membrane Solutions 5 Micron 10x2.5 String Wound Whole House Water Filter Replacement Cartridge Universal Sediment Filters for Well Water - 6 Pack</t>
  </si>
  <si>
    <t>B082PXRJBZ</t>
  </si>
  <si>
    <t>home water filtration system</t>
  </si>
  <si>
    <t>iSpring RCC7AK NSF Certified 75 GPD Alkaline 6-Stage Reverse Osmosis System pH+ Remineralization RO Water Filter System Under Sink Patented Top-Mounted Faucet Design for Easy Installation</t>
  </si>
  <si>
    <t>B005LJ8EXU</t>
  </si>
  <si>
    <t>sediment filter</t>
  </si>
  <si>
    <t>iSpring WSP-50 Reusable Whole House Spin Down Sediment Water Filter 50 Micron Flushable Prefilter Filtration 1 MNPT + 3/4 FNPT Lead-Free Brass</t>
  </si>
  <si>
    <t>B072YVNRZN</t>
  </si>
  <si>
    <t>Aquaboon 5 Micron 10 x 2.5 Sediment Filter - Whole House Water Filter Replacement Compatible with Well Water Filters - P5 AP110 WHKF-GD05 6 Pack</t>
  </si>
  <si>
    <t>B01M01EDHK</t>
  </si>
  <si>
    <t>MewMore WHC40 Sediment Filter 40 &amp; 100 &amp; 200 Micron Reusable Spin Down Sediment Water Filter Whole House Water Filter for Well Water Home Pre-filtration System 1 MNPT + 3/4 FNPT + 3/4MNPT</t>
  </si>
  <si>
    <t>B0CBV85WHR</t>
  </si>
  <si>
    <t>whole home water filtering system</t>
  </si>
  <si>
    <t>iSpring Whole House Water Filter System Reduces Iron Manganese Chlorine Sediment Taste and Odor 3-Stage Iron Filter Whole House Model: WGB32BM</t>
  </si>
  <si>
    <t>B01FI3BLYM</t>
  </si>
  <si>
    <t>home water filter</t>
  </si>
  <si>
    <t>Culligan WH-S200-C Whole-House Sediment Water Filtration System Clear</t>
  </si>
  <si>
    <t>B01JIRHRBK</t>
  </si>
  <si>
    <t>PUREPLUS 5 Micron 10 x 4.5 Whole House Sediment and Carbon Water Filter Replacement Cartridge for GE FXHTC GXWH40L GXWH35F GNWH38S Culligan RFC-BBSA WRC25HD PP10BB-CC Pentek RFC-BB 2Pack</t>
  </si>
  <si>
    <t>B01N2H2OO6</t>
  </si>
  <si>
    <t>water filters whole house</t>
  </si>
  <si>
    <t>ICEPURE 1 Micron 2.5 x 10 Whole House CTO Carbon Sediment Water Filter Cartridge Compatible with DuPont WFPFC8002 WFPFC9001 SCWH-5 WHCF-WHWC WHCF-WHWC FXWTC CBC-10 RO Unit Pack of 4</t>
  </si>
  <si>
    <t>B084DPJW37</t>
  </si>
  <si>
    <t>whole house water filter cartridge</t>
  </si>
  <si>
    <t>well water filter</t>
  </si>
  <si>
    <t>well water filter system</t>
  </si>
  <si>
    <t>PRO+AQUA Heavy Duty Whole House Well Water Filter System</t>
  </si>
  <si>
    <t>B083YTQ8V8</t>
  </si>
  <si>
    <t>Aquasana Whole House Well Water Filter | 500K Gallons | UV Carbon &amp; KDF | Salt-Free Softener Alternative | Install Kit | Tackles up to 99.99% Chlorine Bacteria Viruses &amp; Scale | EQ-WELL-UV-PRO-AST</t>
  </si>
  <si>
    <t>B00LC1KRKO</t>
  </si>
  <si>
    <t>whole house filter</t>
  </si>
  <si>
    <t>SimPure Whole House Water Big Filter Housing (DB10C) 10 x 4.5 Blue for Whole Home Water Filtration Sediment Water Filter System for Well 1 NPT Brass Port (Clear Housing)</t>
  </si>
  <si>
    <t>B09JG2SWVC</t>
  </si>
  <si>
    <t>house water filter system</t>
  </si>
  <si>
    <t>whole house water filtration system</t>
  </si>
  <si>
    <t>water filter cartridge</t>
  </si>
  <si>
    <t>Lafiucy Sediment Water Filter Cartridge 10x 2.5 5 Micron 6pack 10 x 2.5 Whole House Sediment Water Filter Replacement Cartridge Compatible with 10 inch RO Unit</t>
  </si>
  <si>
    <t>B0BZTWY1MZ</t>
  </si>
  <si>
    <t>Amazon Basics Replacement Water Filters for Water Pitchers BPA-Free WQA &amp; NSF Certified Compatible with Brita Water Pitchers &amp; Drinking Water Filter Systems 6 Month Filter Supply 3-Pack</t>
  </si>
  <si>
    <t>B07YT16TMS</t>
  </si>
  <si>
    <t>carbon water filter</t>
  </si>
  <si>
    <t>Waterdrop 10UA Under Sink Water Filter System Reduces PFAS PFOA/PFOS Lead Chlorine Bad Taste &amp; Odor Under Counter Water Filter Direct Connect to Kitchen Faucet NSF/ANSI 42 Certified 1 Year</t>
  </si>
  <si>
    <t>B083NPW1DN</t>
  </si>
  <si>
    <t>1 Micron 2.5 x 10 Whole House CTO Carbon Water Filter Cartridge Replacement for Under Sink Water Filter System Dupont WFPFC8002 WFPFC9001 FXWTC SCWH-5 WHEF-WHWC WHCF-WHWC AMZN-SCWH-5 4Pack</t>
  </si>
  <si>
    <t>B01N1IJ5V1</t>
  </si>
  <si>
    <t>whole house water filters</t>
  </si>
  <si>
    <t>whole home water filter</t>
  </si>
  <si>
    <t>water filter system for home</t>
  </si>
  <si>
    <t>water filtration system for house</t>
  </si>
  <si>
    <t>预估类目转化率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</si>
</sst>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10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tabSelected="1" zoomScaleSheetLayoutView="60" workbookViewId="0">
      <selection activeCell="O28" sqref="O28"/>
    </sheetView>
  </sheetViews>
  <sheetFormatPr defaultColWidth="10" defaultRowHeight="14.4"/>
  <cols>
    <col min="1" max="1" width="19.1111111111111" customWidth="1"/>
    <col min="2" max="2" width="25.5555555555556" customWidth="1"/>
    <col min="13" max="13" width="13.7777777777778" customWidth="1"/>
    <col min="14" max="14" width="11.7777777777778"/>
    <col min="15" max="15" width="15.2222222222222" style="1" customWidth="1"/>
  </cols>
  <sheetData>
    <row r="1" spans="1:15">
      <c r="A1" s="2" t="s">
        <v>0</v>
      </c>
    </row>
    <row r="2" spans="1:15">
      <c r="A2" t="s">
        <v>1</v>
      </c>
    </row>
    <row r="3" spans="1:15">
      <c r="A3" t="s">
        <v>2</v>
      </c>
    </row>
    <row r="5" spans="1:15">
      <c r="A5" t="s">
        <v>3</v>
      </c>
      <c r="B5" t="s">
        <v>4</v>
      </c>
      <c r="C5" t="s">
        <v>5</v>
      </c>
      <c r="D5" t="s">
        <v>6</v>
      </c>
      <c r="E5" s="1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s="1" t="s">
        <v>17</v>
      </c>
    </row>
    <row r="6" spans="1:15">
      <c r="A6" s="3" t="s">
        <v>18</v>
      </c>
      <c r="B6">
        <v>539366</v>
      </c>
      <c r="C6">
        <v>0.0329</v>
      </c>
      <c r="D6">
        <v>-0.0017</v>
      </c>
      <c r="E6" s="4">
        <v>0.3457</v>
      </c>
      <c r="F6">
        <v>0.0152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>
        <f>445215*E6</f>
        <v>153910.8255</v>
      </c>
      <c r="N6">
        <f>B6*F6</f>
        <v>8198.3632</v>
      </c>
      <c r="O6" s="1">
        <f>N6/M6</f>
        <v>0.053266969190546</v>
      </c>
    </row>
    <row r="7" spans="1:15">
      <c r="A7" s="3" t="s">
        <v>25</v>
      </c>
      <c r="B7">
        <v>355984</v>
      </c>
      <c r="C7">
        <v>-0.0626</v>
      </c>
      <c r="D7">
        <v>-0.0716</v>
      </c>
      <c r="E7" s="4">
        <v>0.2175</v>
      </c>
      <c r="F7">
        <v>0.0053</v>
      </c>
      <c r="G7" t="s">
        <v>21</v>
      </c>
      <c r="H7" t="s">
        <v>22</v>
      </c>
      <c r="I7" t="s">
        <v>19</v>
      </c>
      <c r="J7" t="s">
        <v>20</v>
      </c>
      <c r="K7" t="s">
        <v>26</v>
      </c>
      <c r="L7" t="s">
        <v>27</v>
      </c>
      <c r="M7">
        <f t="shared" ref="M7:M26" si="0">445215*E7</f>
        <v>96834.2625</v>
      </c>
      <c r="N7">
        <f t="shared" ref="N7:N25" si="1">B7*F7</f>
        <v>1886.7152</v>
      </c>
      <c r="O7" s="1">
        <f t="shared" ref="O7:O26" si="2">N7/M7</f>
        <v>0.0194839631272041</v>
      </c>
    </row>
    <row r="8" spans="1:15">
      <c r="A8" s="3" t="s">
        <v>28</v>
      </c>
      <c r="B8">
        <v>79748</v>
      </c>
      <c r="C8">
        <v>0.1682</v>
      </c>
      <c r="D8">
        <v>0.119</v>
      </c>
      <c r="E8" s="4">
        <v>0.0469</v>
      </c>
      <c r="F8">
        <v>0.0217</v>
      </c>
      <c r="G8" t="s">
        <v>19</v>
      </c>
      <c r="H8" t="s">
        <v>20</v>
      </c>
      <c r="I8" t="s">
        <v>23</v>
      </c>
      <c r="J8" t="s">
        <v>24</v>
      </c>
      <c r="K8" t="s">
        <v>29</v>
      </c>
      <c r="L8" t="s">
        <v>30</v>
      </c>
      <c r="M8">
        <f t="shared" si="0"/>
        <v>20880.5835</v>
      </c>
      <c r="N8">
        <f t="shared" si="1"/>
        <v>1730.5316</v>
      </c>
      <c r="O8" s="1">
        <f t="shared" si="2"/>
        <v>0.082877549853911</v>
      </c>
    </row>
    <row r="9" spans="1:15">
      <c r="A9" t="s">
        <v>31</v>
      </c>
      <c r="B9">
        <v>90649</v>
      </c>
      <c r="C9">
        <v>-0.0433</v>
      </c>
      <c r="D9">
        <v>-0.005</v>
      </c>
      <c r="E9" s="1">
        <v>0.0474</v>
      </c>
      <c r="F9">
        <v>0.0029</v>
      </c>
      <c r="G9" t="s">
        <v>21</v>
      </c>
      <c r="H9" t="s">
        <v>22</v>
      </c>
      <c r="I9" t="s">
        <v>26</v>
      </c>
      <c r="J9" t="s">
        <v>27</v>
      </c>
      <c r="K9" t="s">
        <v>32</v>
      </c>
      <c r="L9" t="s">
        <v>33</v>
      </c>
      <c r="M9">
        <f t="shared" si="0"/>
        <v>21103.191</v>
      </c>
      <c r="N9">
        <f t="shared" si="1"/>
        <v>262.8821</v>
      </c>
      <c r="O9" s="1">
        <f t="shared" si="2"/>
        <v>0.0124569834012306</v>
      </c>
    </row>
    <row r="10" spans="1:15">
      <c r="A10" t="s">
        <v>34</v>
      </c>
      <c r="B10">
        <v>80920</v>
      </c>
      <c r="C10">
        <v>-0.0755</v>
      </c>
      <c r="D10">
        <v>-0.0338</v>
      </c>
      <c r="E10" s="1">
        <v>0.0336</v>
      </c>
      <c r="F10">
        <v>0.0157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>
        <f t="shared" si="0"/>
        <v>14959.224</v>
      </c>
      <c r="N10">
        <f t="shared" si="1"/>
        <v>1270.444</v>
      </c>
      <c r="O10" s="1">
        <f t="shared" si="2"/>
        <v>0.0849271325838827</v>
      </c>
    </row>
    <row r="11" spans="1:15">
      <c r="A11" t="s">
        <v>41</v>
      </c>
      <c r="B11">
        <v>80183</v>
      </c>
      <c r="C11">
        <v>-0.2003</v>
      </c>
      <c r="D11">
        <v>-0.1781</v>
      </c>
      <c r="E11" s="1">
        <v>0.0428</v>
      </c>
      <c r="F11">
        <v>0.0041</v>
      </c>
      <c r="G11" t="s">
        <v>42</v>
      </c>
      <c r="H11" t="s">
        <v>43</v>
      </c>
      <c r="I11" t="s">
        <v>21</v>
      </c>
      <c r="J11" t="s">
        <v>22</v>
      </c>
      <c r="K11" t="s">
        <v>26</v>
      </c>
      <c r="L11" t="s">
        <v>27</v>
      </c>
      <c r="M11">
        <f t="shared" si="0"/>
        <v>19055.202</v>
      </c>
      <c r="N11">
        <f t="shared" si="1"/>
        <v>328.7503</v>
      </c>
      <c r="O11" s="1">
        <f t="shared" si="2"/>
        <v>0.0172525224345562</v>
      </c>
    </row>
    <row r="12" spans="1:15">
      <c r="A12" t="s">
        <v>44</v>
      </c>
      <c r="B12">
        <v>59415</v>
      </c>
      <c r="C12">
        <v>0.0551</v>
      </c>
      <c r="D12">
        <v>0.0409</v>
      </c>
      <c r="E12" s="1">
        <v>0.0259</v>
      </c>
      <c r="F12">
        <v>0.0154</v>
      </c>
      <c r="G12" t="s">
        <v>45</v>
      </c>
      <c r="H12" t="s">
        <v>46</v>
      </c>
      <c r="I12" t="s">
        <v>37</v>
      </c>
      <c r="J12" t="s">
        <v>38</v>
      </c>
      <c r="K12" t="s">
        <v>47</v>
      </c>
      <c r="L12" t="s">
        <v>48</v>
      </c>
      <c r="M12">
        <f t="shared" si="0"/>
        <v>11531.0685</v>
      </c>
      <c r="N12">
        <f t="shared" si="1"/>
        <v>914.991</v>
      </c>
      <c r="O12" s="1">
        <f t="shared" si="2"/>
        <v>0.079350061965203</v>
      </c>
    </row>
    <row r="13" spans="1:15">
      <c r="A13" t="s">
        <v>49</v>
      </c>
      <c r="B13">
        <v>46538</v>
      </c>
      <c r="C13">
        <v>0.0015</v>
      </c>
      <c r="D13">
        <v>0.3308</v>
      </c>
      <c r="E13" s="1">
        <v>0.0216</v>
      </c>
      <c r="F13">
        <v>0.0314</v>
      </c>
      <c r="G13" t="s">
        <v>50</v>
      </c>
      <c r="H13" t="s">
        <v>51</v>
      </c>
      <c r="I13" t="s">
        <v>37</v>
      </c>
      <c r="J13" t="s">
        <v>38</v>
      </c>
      <c r="K13" t="s">
        <v>29</v>
      </c>
      <c r="L13" t="s">
        <v>30</v>
      </c>
      <c r="M13">
        <f t="shared" si="0"/>
        <v>9616.644</v>
      </c>
      <c r="N13">
        <f t="shared" si="1"/>
        <v>1461.2932</v>
      </c>
      <c r="O13" s="1">
        <f t="shared" si="2"/>
        <v>0.151954590395568</v>
      </c>
    </row>
    <row r="14" spans="1:15">
      <c r="A14" t="s">
        <v>52</v>
      </c>
      <c r="B14">
        <v>44516</v>
      </c>
      <c r="C14">
        <v>0.2236</v>
      </c>
      <c r="D14">
        <v>0.065</v>
      </c>
      <c r="E14" s="1">
        <v>0.0199</v>
      </c>
      <c r="F14">
        <v>0.0349</v>
      </c>
      <c r="G14" t="s">
        <v>50</v>
      </c>
      <c r="H14" t="s">
        <v>51</v>
      </c>
      <c r="I14" t="s">
        <v>29</v>
      </c>
      <c r="J14" t="s">
        <v>30</v>
      </c>
      <c r="K14" t="s">
        <v>47</v>
      </c>
      <c r="L14" t="s">
        <v>48</v>
      </c>
      <c r="M14">
        <f t="shared" si="0"/>
        <v>8859.7785</v>
      </c>
      <c r="N14">
        <f t="shared" si="1"/>
        <v>1553.6084</v>
      </c>
      <c r="O14" s="1">
        <f t="shared" si="2"/>
        <v>0.175355219094924</v>
      </c>
    </row>
    <row r="15" spans="1:15">
      <c r="A15" t="s">
        <v>53</v>
      </c>
      <c r="B15">
        <v>44289</v>
      </c>
      <c r="C15">
        <v>0.0531</v>
      </c>
      <c r="D15">
        <v>0.2264</v>
      </c>
      <c r="E15" s="1">
        <v>0.0222</v>
      </c>
      <c r="F15">
        <v>0.0113</v>
      </c>
      <c r="G15" t="s">
        <v>19</v>
      </c>
      <c r="H15" t="s">
        <v>20</v>
      </c>
      <c r="I15" t="s">
        <v>37</v>
      </c>
      <c r="J15" t="s">
        <v>38</v>
      </c>
      <c r="K15" t="s">
        <v>29</v>
      </c>
      <c r="L15" t="s">
        <v>30</v>
      </c>
      <c r="M15">
        <f t="shared" si="0"/>
        <v>9883.773</v>
      </c>
      <c r="N15">
        <f t="shared" si="1"/>
        <v>500.4657</v>
      </c>
      <c r="O15" s="1">
        <f t="shared" si="2"/>
        <v>0.0506350864189212</v>
      </c>
    </row>
    <row r="16" spans="1:15">
      <c r="A16" t="s">
        <v>54</v>
      </c>
      <c r="B16">
        <v>53513</v>
      </c>
      <c r="C16">
        <v>-0.2621</v>
      </c>
      <c r="D16">
        <v>-0.0725</v>
      </c>
      <c r="E16" s="1">
        <v>0.0238</v>
      </c>
      <c r="F16">
        <v>0.0041</v>
      </c>
      <c r="G16" t="s">
        <v>26</v>
      </c>
      <c r="H16" t="s">
        <v>27</v>
      </c>
      <c r="I16" t="s">
        <v>55</v>
      </c>
      <c r="J16" t="s">
        <v>56</v>
      </c>
      <c r="K16" t="s">
        <v>57</v>
      </c>
      <c r="L16" t="s">
        <v>58</v>
      </c>
      <c r="M16">
        <f t="shared" si="0"/>
        <v>10596.117</v>
      </c>
      <c r="N16">
        <f t="shared" si="1"/>
        <v>219.4033</v>
      </c>
      <c r="O16" s="1">
        <f t="shared" si="2"/>
        <v>0.0207060095693545</v>
      </c>
    </row>
    <row r="17" spans="1:15">
      <c r="A17" t="s">
        <v>59</v>
      </c>
      <c r="B17">
        <v>44353</v>
      </c>
      <c r="C17">
        <v>0.0083</v>
      </c>
      <c r="D17">
        <v>-0.0381</v>
      </c>
      <c r="E17" s="1">
        <v>0.023</v>
      </c>
      <c r="F17">
        <v>0.0152</v>
      </c>
      <c r="G17" t="s">
        <v>21</v>
      </c>
      <c r="H17" t="s">
        <v>22</v>
      </c>
      <c r="I17" t="s">
        <v>60</v>
      </c>
      <c r="J17" t="s">
        <v>61</v>
      </c>
      <c r="K17" t="s">
        <v>45</v>
      </c>
      <c r="L17" t="s">
        <v>46</v>
      </c>
      <c r="M17">
        <f t="shared" si="0"/>
        <v>10239.945</v>
      </c>
      <c r="N17">
        <f t="shared" si="1"/>
        <v>674.1656</v>
      </c>
      <c r="O17" s="1">
        <f t="shared" si="2"/>
        <v>0.0658368379908291</v>
      </c>
    </row>
    <row r="18" spans="1:15">
      <c r="A18" t="s">
        <v>62</v>
      </c>
      <c r="B18">
        <v>46957</v>
      </c>
      <c r="C18">
        <v>-0.034</v>
      </c>
      <c r="D18">
        <v>-0.1181</v>
      </c>
      <c r="E18" s="1">
        <v>0.0282</v>
      </c>
      <c r="F18">
        <v>0.0051</v>
      </c>
      <c r="G18" t="s">
        <v>21</v>
      </c>
      <c r="H18" t="s">
        <v>22</v>
      </c>
      <c r="I18" t="s">
        <v>19</v>
      </c>
      <c r="J18" t="s">
        <v>20</v>
      </c>
      <c r="K18" t="s">
        <v>26</v>
      </c>
      <c r="L18" t="s">
        <v>27</v>
      </c>
      <c r="M18">
        <f t="shared" si="0"/>
        <v>12555.063</v>
      </c>
      <c r="N18">
        <f t="shared" si="1"/>
        <v>239.4807</v>
      </c>
      <c r="O18" s="1">
        <f t="shared" si="2"/>
        <v>0.019074432362466</v>
      </c>
    </row>
    <row r="19" spans="1:15">
      <c r="A19" t="s">
        <v>63</v>
      </c>
      <c r="B19">
        <v>44641</v>
      </c>
      <c r="C19">
        <v>0.032</v>
      </c>
      <c r="D19">
        <v>-0.0933</v>
      </c>
      <c r="E19" s="1">
        <v>0.0223</v>
      </c>
      <c r="F19">
        <v>0.0043</v>
      </c>
      <c r="G19" t="s">
        <v>42</v>
      </c>
      <c r="H19" t="s">
        <v>43</v>
      </c>
      <c r="I19" t="s">
        <v>21</v>
      </c>
      <c r="J19" t="s">
        <v>22</v>
      </c>
      <c r="K19" t="s">
        <v>26</v>
      </c>
      <c r="L19" t="s">
        <v>27</v>
      </c>
      <c r="M19">
        <f t="shared" si="0"/>
        <v>9928.2945</v>
      </c>
      <c r="N19">
        <f t="shared" si="1"/>
        <v>191.9563</v>
      </c>
      <c r="O19" s="1">
        <f t="shared" si="2"/>
        <v>0.0193342673306075</v>
      </c>
    </row>
    <row r="20" spans="1:15">
      <c r="A20" t="s">
        <v>64</v>
      </c>
      <c r="B20">
        <v>36998</v>
      </c>
      <c r="C20">
        <v>0.0292</v>
      </c>
      <c r="D20">
        <v>0.1255</v>
      </c>
      <c r="E20" s="1">
        <v>0.0097</v>
      </c>
      <c r="F20">
        <v>0.0232</v>
      </c>
      <c r="G20" t="s">
        <v>65</v>
      </c>
      <c r="H20" t="s">
        <v>66</v>
      </c>
      <c r="I20" t="s">
        <v>50</v>
      </c>
      <c r="J20" t="s">
        <v>51</v>
      </c>
      <c r="K20" t="s">
        <v>67</v>
      </c>
      <c r="L20" t="s">
        <v>68</v>
      </c>
      <c r="M20">
        <f t="shared" si="0"/>
        <v>4318.5855</v>
      </c>
      <c r="N20">
        <f t="shared" si="1"/>
        <v>858.3536</v>
      </c>
      <c r="O20" s="1">
        <f t="shared" si="2"/>
        <v>0.198758042419213</v>
      </c>
    </row>
    <row r="21" spans="1:15">
      <c r="A21" t="s">
        <v>69</v>
      </c>
      <c r="B21">
        <v>40841</v>
      </c>
      <c r="C21">
        <v>-0.0499</v>
      </c>
      <c r="D21">
        <v>-0.1011</v>
      </c>
      <c r="E21" s="1">
        <v>0.0096</v>
      </c>
      <c r="F21">
        <v>0.013</v>
      </c>
      <c r="G21" t="s">
        <v>50</v>
      </c>
      <c r="H21" t="s">
        <v>51</v>
      </c>
      <c r="I21" t="s">
        <v>70</v>
      </c>
      <c r="J21" t="s">
        <v>71</v>
      </c>
      <c r="K21" t="s">
        <v>72</v>
      </c>
      <c r="L21" t="s">
        <v>73</v>
      </c>
      <c r="M21">
        <f t="shared" si="0"/>
        <v>4274.064</v>
      </c>
      <c r="N21">
        <f t="shared" si="1"/>
        <v>530.933</v>
      </c>
      <c r="O21" s="1">
        <f t="shared" si="2"/>
        <v>0.124222051892531</v>
      </c>
    </row>
    <row r="22" spans="1:15">
      <c r="A22" t="s">
        <v>74</v>
      </c>
      <c r="B22">
        <v>29244</v>
      </c>
      <c r="C22">
        <v>0.2282</v>
      </c>
      <c r="D22">
        <v>0.1997</v>
      </c>
      <c r="E22" s="1">
        <v>0.0163</v>
      </c>
      <c r="F22">
        <v>0.0194</v>
      </c>
      <c r="G22" t="s">
        <v>19</v>
      </c>
      <c r="H22" t="s">
        <v>20</v>
      </c>
      <c r="I22" t="s">
        <v>37</v>
      </c>
      <c r="J22" t="s">
        <v>38</v>
      </c>
      <c r="K22" t="s">
        <v>29</v>
      </c>
      <c r="L22" t="s">
        <v>30</v>
      </c>
      <c r="M22">
        <f t="shared" si="0"/>
        <v>7257.0045</v>
      </c>
      <c r="N22">
        <f t="shared" si="1"/>
        <v>567.3336</v>
      </c>
      <c r="O22" s="1">
        <f t="shared" si="2"/>
        <v>0.0781773802124554</v>
      </c>
    </row>
    <row r="23" spans="1:15">
      <c r="A23" t="s">
        <v>75</v>
      </c>
      <c r="B23">
        <v>31564</v>
      </c>
      <c r="C23">
        <v>0.1212</v>
      </c>
      <c r="D23">
        <v>-0.0567</v>
      </c>
      <c r="E23" s="1">
        <v>0.0202</v>
      </c>
      <c r="F23">
        <v>0.0112</v>
      </c>
      <c r="G23" t="s">
        <v>19</v>
      </c>
      <c r="H23" t="s">
        <v>20</v>
      </c>
      <c r="I23" t="s">
        <v>21</v>
      </c>
      <c r="J23" t="s">
        <v>22</v>
      </c>
      <c r="K23" t="s">
        <v>45</v>
      </c>
      <c r="L23" t="s">
        <v>46</v>
      </c>
      <c r="M23">
        <f t="shared" si="0"/>
        <v>8993.343</v>
      </c>
      <c r="N23">
        <f t="shared" si="1"/>
        <v>353.5168</v>
      </c>
      <c r="O23" s="1">
        <f t="shared" si="2"/>
        <v>0.0393087197941855</v>
      </c>
    </row>
    <row r="24" spans="1:15">
      <c r="A24" t="s">
        <v>76</v>
      </c>
      <c r="B24">
        <v>36121</v>
      </c>
      <c r="C24">
        <v>-0.0631</v>
      </c>
      <c r="D24">
        <v>-0.152</v>
      </c>
      <c r="E24" s="1">
        <v>0.0112</v>
      </c>
      <c r="F24">
        <v>0.003</v>
      </c>
      <c r="G24" t="s">
        <v>21</v>
      </c>
      <c r="H24" t="s">
        <v>22</v>
      </c>
      <c r="I24" t="s">
        <v>26</v>
      </c>
      <c r="J24" t="s">
        <v>27</v>
      </c>
      <c r="K24" t="s">
        <v>32</v>
      </c>
      <c r="L24" t="s">
        <v>33</v>
      </c>
      <c r="M24">
        <f t="shared" si="0"/>
        <v>4986.408</v>
      </c>
      <c r="N24">
        <f t="shared" si="1"/>
        <v>108.363</v>
      </c>
      <c r="O24" s="1">
        <f t="shared" si="2"/>
        <v>0.0217316753863703</v>
      </c>
    </row>
    <row r="25" spans="1:15">
      <c r="A25" t="s">
        <v>77</v>
      </c>
      <c r="B25">
        <v>41496</v>
      </c>
      <c r="C25">
        <v>-0.3681</v>
      </c>
      <c r="D25">
        <v>-0.2186</v>
      </c>
      <c r="E25" s="1">
        <v>0.0111</v>
      </c>
      <c r="F25">
        <v>0.002</v>
      </c>
      <c r="G25" t="s">
        <v>21</v>
      </c>
      <c r="H25" t="s">
        <v>22</v>
      </c>
      <c r="I25" t="s">
        <v>26</v>
      </c>
      <c r="J25" t="s">
        <v>27</v>
      </c>
      <c r="K25" t="s">
        <v>32</v>
      </c>
      <c r="L25" t="s">
        <v>33</v>
      </c>
      <c r="M25">
        <f t="shared" si="0"/>
        <v>4941.8865</v>
      </c>
      <c r="N25">
        <f t="shared" si="1"/>
        <v>82.992</v>
      </c>
      <c r="O25" s="1">
        <f t="shared" si="2"/>
        <v>0.0167935868215508</v>
      </c>
    </row>
    <row r="26" spans="1:15">
      <c r="A26" t="s">
        <v>77</v>
      </c>
      <c r="B26">
        <v>41496</v>
      </c>
      <c r="C26">
        <v>-0.3681</v>
      </c>
      <c r="D26">
        <v>-0.2186</v>
      </c>
      <c r="E26" s="1">
        <v>0.0012001</v>
      </c>
      <c r="F26">
        <v>0.002</v>
      </c>
      <c r="G26" t="s">
        <v>21</v>
      </c>
      <c r="H26" t="s">
        <v>22</v>
      </c>
      <c r="I26" t="s">
        <v>26</v>
      </c>
      <c r="J26" t="s">
        <v>27</v>
      </c>
      <c r="K26" t="s">
        <v>32</v>
      </c>
      <c r="L26" t="s">
        <v>33</v>
      </c>
      <c r="M26">
        <f t="shared" si="0"/>
        <v>534.3025215</v>
      </c>
      <c r="N26">
        <v>50.0021</v>
      </c>
      <c r="O26" s="1">
        <f t="shared" si="2"/>
        <v>0.0935838742808553</v>
      </c>
    </row>
    <row r="27" spans="1:15">
      <c r="O27" s="1" t="s">
        <v>78</v>
      </c>
    </row>
    <row r="28" spans="1:15">
      <c r="M28">
        <f>SUM(M6:M26)</f>
        <v>445259.5660215</v>
      </c>
      <c r="N28">
        <f>SUM(N6:N26)</f>
        <v>21984.5447</v>
      </c>
      <c r="O28" s="1">
        <f>N28/M28</f>
        <v>0.0493746712652064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商机 Niche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侣桌稍呜</cp:lastModifiedBy>
  <dcterms:created xsi:type="dcterms:W3CDTF">2025-11-19T03:35:00Z</dcterms:created>
  <dcterms:modified xsi:type="dcterms:W3CDTF">2026-01-21T06:55:07Z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EDA29C7A86DD4BD79F3F0ABD16C88E07_13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