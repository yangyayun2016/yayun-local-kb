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工业滤芯外壳类目 整体转化率情况美国" sheetId="3" r:id="rId1"/>
    <sheet name="高压水枪类目 整体转化率情况英国" sheetId="1" r:id="rId2"/>
    <sheet name="高压水枪类目 整体转化率情况美国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<sst xmlns="http://schemas.openxmlformats.org/spreadsheetml/2006/main" count="93" uniqueCount="41">
  <si>
    <t>美国工业滤芯壳整体转化率7.89%</t>
  </si>
  <si>
    <t>工业滤芯外壳类目 整体转化率情况us (美国)</t>
  </si>
  <si>
    <t>工业滤芯外壳类目 整体转化率情况美国us分析</t>
  </si>
  <si>
    <r>
      <rPr>
        <sz val="11"/>
        <color rgb="FF000000"/>
        <rFont val="Calibri"/>
        <charset val="134"/>
      </rPr>
      <t>Industrial Process Filter Housings:</t>
    </r>
    <r>
      <rPr>
        <sz val="11"/>
        <color rgb="FF000000"/>
        <rFont val="宋体"/>
        <charset val="134"/>
      </rPr>
      <t>工业过程滤芯外壳</t>
    </r>
  </si>
  <si>
    <t>美国工业滤芯外壳类目：产品表现</t>
  </si>
  <si>
    <t>美国工业滤芯外壳 选品指南针的转化率 流量 浏览量 订单量</t>
  </si>
  <si>
    <t>维度指标/平均</t>
  </si>
  <si>
    <t>平均转化率</t>
  </si>
  <si>
    <t>销量</t>
  </si>
  <si>
    <t>浏览量</t>
  </si>
  <si>
    <t>销售额</t>
  </si>
  <si>
    <t>转化率</t>
  </si>
  <si>
    <t>美国</t>
  </si>
  <si>
    <t>美国  工业滤芯外壳 选品指南针的转化率 流量 浏览量 订单量</t>
  </si>
  <si>
    <t>月维度</t>
  </si>
  <si>
    <t>平均</t>
  </si>
  <si>
    <t>平均销量：</t>
  </si>
  <si>
    <t>平均浏览量：</t>
  </si>
  <si>
    <t>点击次数</t>
  </si>
  <si>
    <t>平均点击数：</t>
  </si>
  <si>
    <t>搜索量</t>
  </si>
  <si>
    <t>平均搜索量：</t>
  </si>
  <si>
    <t>平均转化率:</t>
  </si>
  <si>
    <t>点击率</t>
  </si>
  <si>
    <t>平均点击率:</t>
  </si>
  <si>
    <t>搜索购买率</t>
  </si>
  <si>
    <t>平均搜索购买率:</t>
  </si>
  <si>
    <t>单价/美金</t>
  </si>
  <si>
    <t>平均单价:</t>
  </si>
  <si>
    <t>英国整体转化率3.29%</t>
  </si>
  <si>
    <t>高压水枪类目 整体转化率情况de (英国)</t>
  </si>
  <si>
    <t>英国英国高压水枪类目：产品表现</t>
  </si>
  <si>
    <t>英国高压水枪 选品指南针的转化率 流量 浏览量 订单量</t>
  </si>
  <si>
    <t>英国</t>
  </si>
  <si>
    <t>单价/欧</t>
  </si>
  <si>
    <t>美国整体转化率2.89%</t>
  </si>
  <si>
    <t>高压水枪类目 整体转化率情况us (美国)</t>
  </si>
  <si>
    <r>
      <rPr>
        <sz val="11"/>
        <color rgb="FFFF0000"/>
        <rFont val="宋体"/>
        <charset val="134"/>
      </rPr>
      <t>高压水枪类目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"/>
        <charset val="134"/>
      </rPr>
      <t>整体转化率情况美国us分析</t>
    </r>
  </si>
  <si>
    <t>美国高压水枪类目：产品表现</t>
  </si>
  <si>
    <t>美国高压水枪 选品指南针的转化率 流量 浏览量 订单量</t>
  </si>
  <si>
    <t>美国  高压水枪 选品指南针的转化率 流量 浏览量 订单量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</si>
</sst>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#,##0.0\ &quot;€&quot;;\-#,##0.0\ &quot;€&quot;"/>
    <numFmt numFmtId="178" formatCode="0.00_ "/>
    <numFmt numFmtId="179" formatCode="\$#,##0.0;\-\$#,##0.0"/>
  </numFmts>
  <fonts count="24"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1"/>
      <color rgb="FFFF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6">
    <xf numFmtId="0" fontId="0" fillId="0" borderId="0" xfId="0"/>
    <xf numFmtId="10" fontId="0" fillId="0" borderId="0" xfId="0" applyNumberFormat="1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57" fontId="0" fillId="0" borderId="0" xfId="0" applyNumberFormat="1" applyAlignment="1">
      <alignment horizontal="right"/>
    </xf>
    <xf numFmtId="57" fontId="0" fillId="0" borderId="0" xfId="0" applyNumberFormat="1" applyFont="1" applyAlignment="1">
      <alignment horizontal="right"/>
    </xf>
    <xf numFmtId="57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0" borderId="0" xfId="0" applyAlignment="1">
      <alignment horizontal="right"/>
    </xf>
    <xf numFmtId="10" fontId="1" fillId="0" borderId="0" xfId="0" applyNumberFormat="1" applyFont="1"/>
    <xf numFmtId="10" fontId="0" fillId="0" borderId="0" xfId="0" applyNumberFormat="1" applyAlignment="1">
      <alignment horizontal="right"/>
    </xf>
    <xf numFmtId="57" fontId="2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left"/>
    </xf>
    <xf numFmtId="176" fontId="0" fillId="2" borderId="0" xfId="0" applyNumberFormat="1" applyFill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right" wrapText="1"/>
    </xf>
    <xf numFmtId="10" fontId="0" fillId="2" borderId="0" xfId="0" applyNumberFormat="1" applyFill="1" applyAlignment="1">
      <alignment horizontal="right"/>
    </xf>
    <xf numFmtId="10" fontId="1" fillId="2" borderId="0" xfId="0" applyNumberFormat="1" applyFont="1" applyFill="1" applyAlignment="1">
      <alignment horizontal="left"/>
    </xf>
    <xf numFmtId="177" fontId="0" fillId="2" borderId="0" xfId="0" applyNumberFormat="1" applyFill="1" applyAlignment="1">
      <alignment horizontal="right"/>
    </xf>
    <xf numFmtId="0" fontId="0" fillId="2" borderId="0" xfId="0" applyFill="1"/>
    <xf numFmtId="0" fontId="0" fillId="0" borderId="0" xfId="0" applyFont="1"/>
    <xf numFmtId="178" fontId="0" fillId="0" borderId="0" xfId="0" applyNumberFormat="1"/>
    <xf numFmtId="179" fontId="0" fillId="2" borderId="0" xfId="0" applyNumberFormat="1" applyFill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3"/>
  <sheetViews>
    <sheetView tabSelected="1" zoomScale="90" zoomScaleNormal="90" workbookViewId="0">
      <pane ySplit="1" topLeftCell="A2" activePane="bottomLeft" state="frozen"/>
      <selection/>
      <selection pane="bottomLeft" activeCell="L30" sqref="L30"/>
    </sheetView>
  </sheetViews>
  <sheetFormatPr defaultColWidth="8.88888888888889" defaultRowHeight="14.4"/>
  <cols>
    <col min="2" max="2" width="14.7777777777778" hidden="1" customWidth="1"/>
    <col min="3" max="15" width="12.8888888888889"/>
    <col min="16" max="16" width="14.5648148148148" customWidth="1"/>
    <col min="17" max="17" width="12.8888888888889"/>
  </cols>
  <sheetData>
    <row r="1" spans="1:17">
      <c r="A1" s="2" t="s">
        <v>0</v>
      </c>
      <c r="D1" s="2" t="s">
        <v>1</v>
      </c>
      <c r="H1" s="3" t="s">
        <v>2</v>
      </c>
      <c r="I1" s="4"/>
      <c r="J1" s="4"/>
      <c r="K1" s="22"/>
      <c r="L1" s="23" t="s">
        <v>3</v>
      </c>
    </row>
    <row r="2" spans="1:17">
      <c r="B2" s="2" t="s">
        <v>4</v>
      </c>
    </row>
    <row r="3" spans="1:17">
      <c r="B3" s="2" t="s">
        <v>5</v>
      </c>
    </row>
    <row r="4" spans="1:17">
      <c r="B4" s="2"/>
    </row>
    <row r="5" spans="1:17">
      <c r="B5" s="5">
        <v>45566</v>
      </c>
      <c r="C5" s="5">
        <v>45598</v>
      </c>
      <c r="D5" s="5">
        <v>45629</v>
      </c>
      <c r="E5" s="5">
        <v>45661</v>
      </c>
      <c r="F5" s="6">
        <v>45689</v>
      </c>
      <c r="G5" s="6">
        <v>45717</v>
      </c>
      <c r="H5" s="6">
        <v>45748</v>
      </c>
      <c r="I5" s="6">
        <v>45778</v>
      </c>
      <c r="J5" s="6">
        <v>45809</v>
      </c>
      <c r="K5" s="6">
        <v>45839</v>
      </c>
      <c r="L5" s="6">
        <v>45870</v>
      </c>
      <c r="M5" s="6">
        <v>45901</v>
      </c>
      <c r="N5" s="5">
        <v>45931</v>
      </c>
      <c r="O5" s="5">
        <v>45972</v>
      </c>
      <c r="P5" s="7" t="s">
        <v>6</v>
      </c>
      <c r="Q5" s="8" t="s">
        <v>7</v>
      </c>
    </row>
    <row r="6" spans="1:17">
      <c r="A6" s="9" t="s">
        <v>8</v>
      </c>
      <c r="B6" s="10">
        <v>3650</v>
      </c>
      <c r="C6" s="10">
        <v>3654</v>
      </c>
      <c r="D6" s="10">
        <v>6226</v>
      </c>
      <c r="E6" s="10">
        <v>7146</v>
      </c>
      <c r="F6" s="10">
        <v>6743</v>
      </c>
      <c r="G6" s="10">
        <v>8413</v>
      </c>
      <c r="H6" s="10">
        <v>7674</v>
      </c>
      <c r="I6" s="10">
        <v>6941</v>
      </c>
      <c r="J6" s="10">
        <v>7591</v>
      </c>
      <c r="K6" s="10">
        <v>7952</v>
      </c>
      <c r="L6" s="10">
        <v>7450</v>
      </c>
      <c r="M6" s="10">
        <v>7272</v>
      </c>
      <c r="N6" s="10">
        <v>7635</v>
      </c>
      <c r="O6" s="10">
        <f>7635+2043</f>
        <v>9678</v>
      </c>
      <c r="P6" s="10"/>
      <c r="Q6" s="10"/>
    </row>
    <row r="7" spans="1:17">
      <c r="A7" s="9" t="s">
        <v>9</v>
      </c>
      <c r="B7" s="10">
        <v>54962</v>
      </c>
      <c r="C7" s="10">
        <v>54964</v>
      </c>
      <c r="D7" s="10">
        <v>83965</v>
      </c>
      <c r="E7" s="10">
        <v>93691</v>
      </c>
      <c r="F7" s="10">
        <v>89949</v>
      </c>
      <c r="G7" s="10">
        <v>107902</v>
      </c>
      <c r="H7" s="10">
        <v>95694</v>
      </c>
      <c r="I7" s="10">
        <v>91077</v>
      </c>
      <c r="J7" s="10">
        <v>90965</v>
      </c>
      <c r="K7" s="10">
        <v>100903</v>
      </c>
      <c r="L7" s="10">
        <v>92680</v>
      </c>
      <c r="M7" s="10">
        <v>86141</v>
      </c>
      <c r="N7" s="10">
        <v>89391</v>
      </c>
      <c r="O7" s="10">
        <f>89391+22131</f>
        <v>111522</v>
      </c>
      <c r="P7" s="10"/>
      <c r="Q7" s="10"/>
    </row>
    <row r="8" spans="1:17">
      <c r="A8" s="9" t="s">
        <v>10</v>
      </c>
      <c r="B8" s="10">
        <v>159149</v>
      </c>
      <c r="C8" s="10">
        <v>159189</v>
      </c>
      <c r="D8" s="10">
        <v>265258</v>
      </c>
      <c r="E8" s="10">
        <v>290595</v>
      </c>
      <c r="F8" s="10">
        <v>287005</v>
      </c>
      <c r="G8" s="10">
        <v>361992</v>
      </c>
      <c r="H8" s="10">
        <v>319125</v>
      </c>
      <c r="I8" s="10">
        <v>310967</v>
      </c>
      <c r="J8" s="10">
        <v>345077</v>
      </c>
      <c r="K8" s="10">
        <v>344893</v>
      </c>
      <c r="L8" s="10">
        <v>332689</v>
      </c>
      <c r="M8" s="10">
        <v>339422</v>
      </c>
      <c r="N8" s="10">
        <v>332940</v>
      </c>
      <c r="O8" s="10">
        <v>418561</v>
      </c>
      <c r="P8" s="10"/>
      <c r="Q8" s="10"/>
    </row>
    <row r="9" spans="1:17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s="1" customFormat="1" spans="1:17">
      <c r="A10" s="11" t="s">
        <v>11</v>
      </c>
      <c r="B10" s="12">
        <f>B6/B7</f>
        <v>0.0664095193042466</v>
      </c>
      <c r="C10" s="12">
        <f t="shared" ref="B10:O10" si="0">C6/C7</f>
        <v>0.0664798777381559</v>
      </c>
      <c r="D10" s="12">
        <f t="shared" si="0"/>
        <v>0.0741499434288096</v>
      </c>
      <c r="E10" s="12">
        <f t="shared" si="0"/>
        <v>0.0762720005123224</v>
      </c>
      <c r="F10" s="12">
        <f t="shared" si="0"/>
        <v>0.074964702220147</v>
      </c>
      <c r="G10" s="12">
        <f t="shared" si="0"/>
        <v>0.0779688977034717</v>
      </c>
      <c r="H10" s="12">
        <f t="shared" si="0"/>
        <v>0.0801931155558342</v>
      </c>
      <c r="I10" s="12">
        <f t="shared" si="0"/>
        <v>0.0762102396872976</v>
      </c>
      <c r="J10" s="12">
        <f t="shared" si="0"/>
        <v>0.0834496784477546</v>
      </c>
      <c r="K10" s="12">
        <f t="shared" si="0"/>
        <v>0.0788083605046431</v>
      </c>
      <c r="L10" s="12">
        <f t="shared" si="0"/>
        <v>0.0803841173931808</v>
      </c>
      <c r="M10" s="12">
        <f t="shared" si="0"/>
        <v>0.0844197304419498</v>
      </c>
      <c r="N10" s="12">
        <f t="shared" si="0"/>
        <v>0.0854112830150686</v>
      </c>
      <c r="O10" s="12">
        <f t="shared" si="0"/>
        <v>0.0867810835530209</v>
      </c>
      <c r="P10" s="12"/>
      <c r="Q10" s="12">
        <f>AVERAGE(C10:O10)</f>
        <v>0.0788840792462813</v>
      </c>
    </row>
    <row r="11" spans="1:17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spans="1:17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spans="1:17">
      <c r="A13" s="2" t="s">
        <v>12</v>
      </c>
      <c r="B13" s="2" t="s">
        <v>13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>
      <c r="B14" s="5">
        <v>45566</v>
      </c>
      <c r="C14" s="5">
        <v>45598</v>
      </c>
      <c r="D14" s="5">
        <v>45629</v>
      </c>
      <c r="E14" s="5">
        <v>45661</v>
      </c>
      <c r="F14" s="6">
        <v>45689</v>
      </c>
      <c r="G14" s="6">
        <v>45717</v>
      </c>
      <c r="H14" s="6">
        <v>45748</v>
      </c>
      <c r="I14" s="6">
        <v>45778</v>
      </c>
      <c r="J14" s="6">
        <v>45809</v>
      </c>
      <c r="K14" s="6">
        <v>45839</v>
      </c>
      <c r="L14" s="6">
        <v>45870</v>
      </c>
      <c r="M14" s="6">
        <v>45901</v>
      </c>
      <c r="N14" s="5">
        <v>45931</v>
      </c>
      <c r="O14" s="5">
        <v>45972</v>
      </c>
      <c r="P14" s="13" t="s">
        <v>14</v>
      </c>
      <c r="Q14" s="14" t="s">
        <v>15</v>
      </c>
    </row>
    <row r="15" spans="1:17">
      <c r="A15" s="2" t="s">
        <v>8</v>
      </c>
      <c r="B15" s="10">
        <f t="shared" ref="B15:O15" si="1">B6</f>
        <v>3650</v>
      </c>
      <c r="C15" s="10">
        <f t="shared" si="1"/>
        <v>3654</v>
      </c>
      <c r="D15" s="10">
        <f t="shared" si="1"/>
        <v>6226</v>
      </c>
      <c r="E15" s="10">
        <f t="shared" si="1"/>
        <v>7146</v>
      </c>
      <c r="F15" s="10">
        <f t="shared" si="1"/>
        <v>6743</v>
      </c>
      <c r="G15" s="10">
        <f t="shared" si="1"/>
        <v>8413</v>
      </c>
      <c r="H15" s="10">
        <f t="shared" si="1"/>
        <v>7674</v>
      </c>
      <c r="I15" s="10">
        <f t="shared" si="1"/>
        <v>6941</v>
      </c>
      <c r="J15" s="10">
        <f t="shared" si="1"/>
        <v>7591</v>
      </c>
      <c r="K15" s="10">
        <f t="shared" si="1"/>
        <v>7952</v>
      </c>
      <c r="L15" s="10">
        <f t="shared" si="1"/>
        <v>7450</v>
      </c>
      <c r="M15" s="10">
        <f t="shared" si="1"/>
        <v>7272</v>
      </c>
      <c r="N15" s="10">
        <f t="shared" si="1"/>
        <v>7635</v>
      </c>
      <c r="O15" s="10">
        <f t="shared" si="1"/>
        <v>9678</v>
      </c>
      <c r="P15" s="15" t="s">
        <v>16</v>
      </c>
      <c r="Q15" s="16">
        <f t="shared" ref="Q15:Q18" si="2">AVERAGE(B15:O15)</f>
        <v>7001.78571428571</v>
      </c>
    </row>
    <row r="16" spans="1:17">
      <c r="A16" s="2" t="s">
        <v>9</v>
      </c>
      <c r="B16" s="10">
        <f t="shared" ref="B16:O16" si="3">B7</f>
        <v>54962</v>
      </c>
      <c r="C16" s="10">
        <f t="shared" si="3"/>
        <v>54964</v>
      </c>
      <c r="D16" s="10">
        <f t="shared" si="3"/>
        <v>83965</v>
      </c>
      <c r="E16" s="10">
        <f t="shared" si="3"/>
        <v>93691</v>
      </c>
      <c r="F16" s="10">
        <f t="shared" si="3"/>
        <v>89949</v>
      </c>
      <c r="G16" s="10">
        <f t="shared" si="3"/>
        <v>107902</v>
      </c>
      <c r="H16" s="10">
        <f t="shared" si="3"/>
        <v>95694</v>
      </c>
      <c r="I16" s="10">
        <f t="shared" si="3"/>
        <v>91077</v>
      </c>
      <c r="J16" s="10">
        <f t="shared" si="3"/>
        <v>90965</v>
      </c>
      <c r="K16" s="10">
        <f t="shared" si="3"/>
        <v>100903</v>
      </c>
      <c r="L16" s="10">
        <f t="shared" si="3"/>
        <v>92680</v>
      </c>
      <c r="M16" s="10">
        <f t="shared" si="3"/>
        <v>86141</v>
      </c>
      <c r="N16" s="10">
        <f t="shared" si="3"/>
        <v>89391</v>
      </c>
      <c r="O16" s="10">
        <f t="shared" si="3"/>
        <v>111522</v>
      </c>
      <c r="P16" s="15" t="s">
        <v>17</v>
      </c>
      <c r="Q16" s="16">
        <f t="shared" si="2"/>
        <v>88843.2857142857</v>
      </c>
    </row>
    <row r="17" spans="1:18">
      <c r="A17" s="9" t="s">
        <v>18</v>
      </c>
      <c r="B17" s="17">
        <v>19980</v>
      </c>
      <c r="C17" s="17">
        <v>19980</v>
      </c>
      <c r="D17" s="17">
        <v>26278</v>
      </c>
      <c r="E17" s="10">
        <v>13350</v>
      </c>
      <c r="F17" s="10">
        <v>12598</v>
      </c>
      <c r="G17" s="10">
        <v>14102</v>
      </c>
      <c r="H17" s="10">
        <v>11832</v>
      </c>
      <c r="I17" s="10">
        <v>9499</v>
      </c>
      <c r="J17" s="10">
        <v>9866</v>
      </c>
      <c r="K17" s="10">
        <v>14111</v>
      </c>
      <c r="L17" s="10">
        <v>12513</v>
      </c>
      <c r="M17" s="10">
        <v>11512</v>
      </c>
      <c r="N17" s="10">
        <v>11596</v>
      </c>
      <c r="O17" s="10">
        <f>11596+3878</f>
        <v>15474</v>
      </c>
      <c r="P17" s="15" t="s">
        <v>19</v>
      </c>
      <c r="Q17" s="16">
        <f t="shared" si="2"/>
        <v>14477.9285714286</v>
      </c>
    </row>
    <row r="18" spans="1:18">
      <c r="A18" s="9" t="s">
        <v>20</v>
      </c>
      <c r="B18" s="17">
        <v>140168</v>
      </c>
      <c r="C18" s="17">
        <v>140168</v>
      </c>
      <c r="D18" s="17">
        <v>171234</v>
      </c>
      <c r="E18" s="17">
        <v>72050</v>
      </c>
      <c r="F18" s="18">
        <v>69726</v>
      </c>
      <c r="G18" s="17">
        <v>69601</v>
      </c>
      <c r="H18" s="17">
        <v>51572</v>
      </c>
      <c r="I18" s="10">
        <v>47004</v>
      </c>
      <c r="J18" s="10">
        <v>47644</v>
      </c>
      <c r="K18" s="17">
        <v>76411</v>
      </c>
      <c r="L18" s="17">
        <v>70515</v>
      </c>
      <c r="M18" s="18">
        <v>54575</v>
      </c>
      <c r="N18" s="17">
        <v>72232</v>
      </c>
      <c r="O18" s="17">
        <f>72232+25870</f>
        <v>98102</v>
      </c>
      <c r="P18" s="15" t="s">
        <v>21</v>
      </c>
      <c r="Q18" s="16">
        <f t="shared" si="2"/>
        <v>84357.2857142857</v>
      </c>
    </row>
    <row r="19" spans="1:18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0"/>
      <c r="P19" s="10"/>
      <c r="Q19" s="10"/>
      <c r="R19" s="10"/>
    </row>
    <row r="20" spans="1:18">
      <c r="A20" s="2" t="s">
        <v>11</v>
      </c>
      <c r="B20" s="12">
        <f t="shared" ref="B20:O20" si="4">B15/B16</f>
        <v>0.0664095193042466</v>
      </c>
      <c r="C20" s="12">
        <f t="shared" si="4"/>
        <v>0.0664798777381559</v>
      </c>
      <c r="D20" s="12">
        <f t="shared" si="4"/>
        <v>0.0741499434288096</v>
      </c>
      <c r="E20" s="12">
        <f t="shared" si="4"/>
        <v>0.0762720005123224</v>
      </c>
      <c r="F20" s="12">
        <f t="shared" si="4"/>
        <v>0.074964702220147</v>
      </c>
      <c r="G20" s="12">
        <f t="shared" si="4"/>
        <v>0.0779688977034717</v>
      </c>
      <c r="H20" s="12">
        <f t="shared" si="4"/>
        <v>0.0801931155558342</v>
      </c>
      <c r="I20" s="12">
        <f t="shared" si="4"/>
        <v>0.0762102396872976</v>
      </c>
      <c r="J20" s="12">
        <f t="shared" si="4"/>
        <v>0.0834496784477546</v>
      </c>
      <c r="K20" s="12">
        <f t="shared" si="4"/>
        <v>0.0788083605046431</v>
      </c>
      <c r="L20" s="12">
        <f t="shared" si="4"/>
        <v>0.0803841173931808</v>
      </c>
      <c r="M20" s="12">
        <f t="shared" si="4"/>
        <v>0.0844197304419498</v>
      </c>
      <c r="N20" s="12">
        <f t="shared" si="4"/>
        <v>0.0854112830150686</v>
      </c>
      <c r="O20" s="12">
        <f t="shared" si="4"/>
        <v>0.0867810835530209</v>
      </c>
      <c r="P20" s="15" t="s">
        <v>22</v>
      </c>
      <c r="Q20" s="19">
        <f>AVERAGE(C20:O20)</f>
        <v>0.0788840792462813</v>
      </c>
    </row>
    <row r="21" spans="1:18">
      <c r="A21" s="2" t="s">
        <v>23</v>
      </c>
      <c r="B21" s="1">
        <f t="shared" ref="B21:O21" si="5">B17/B18</f>
        <v>0.142543233833685</v>
      </c>
      <c r="C21" s="1">
        <f t="shared" si="5"/>
        <v>0.142543233833685</v>
      </c>
      <c r="D21" s="1">
        <f t="shared" si="5"/>
        <v>0.153462513285913</v>
      </c>
      <c r="E21" s="1">
        <f t="shared" si="5"/>
        <v>0.1852879944483</v>
      </c>
      <c r="F21" s="1">
        <f t="shared" si="5"/>
        <v>0.180678656455268</v>
      </c>
      <c r="G21" s="1">
        <f t="shared" si="5"/>
        <v>0.20261203143633</v>
      </c>
      <c r="H21" s="1">
        <f t="shared" si="5"/>
        <v>0.229426820755449</v>
      </c>
      <c r="I21" s="1">
        <f t="shared" si="5"/>
        <v>0.202089183899243</v>
      </c>
      <c r="J21" s="1">
        <f t="shared" si="5"/>
        <v>0.207077491394509</v>
      </c>
      <c r="K21" s="1">
        <f t="shared" si="5"/>
        <v>0.18467236392666</v>
      </c>
      <c r="L21" s="1">
        <f t="shared" si="5"/>
        <v>0.177451606041268</v>
      </c>
      <c r="M21" s="1">
        <f t="shared" si="5"/>
        <v>0.210939074667888</v>
      </c>
      <c r="N21" s="1">
        <f t="shared" si="5"/>
        <v>0.160538265588659</v>
      </c>
      <c r="O21" s="1">
        <f t="shared" si="5"/>
        <v>0.157733787282624</v>
      </c>
      <c r="P21" s="15" t="s">
        <v>24</v>
      </c>
      <c r="Q21" s="19">
        <f t="shared" ref="Q21:Q23" si="6">AVERAGE(B21:O21)</f>
        <v>0.181218304060677</v>
      </c>
    </row>
    <row r="22" spans="1:18">
      <c r="A22" s="2" t="s">
        <v>25</v>
      </c>
      <c r="B22" s="1">
        <f t="shared" ref="B22:O22" si="7">B6/B18</f>
        <v>0.0260401803550026</v>
      </c>
      <c r="C22" s="1">
        <f t="shared" si="7"/>
        <v>0.0260687175389533</v>
      </c>
      <c r="D22" s="1">
        <f t="shared" si="7"/>
        <v>0.0363596014810143</v>
      </c>
      <c r="E22" s="1">
        <f t="shared" si="7"/>
        <v>0.0991811242192922</v>
      </c>
      <c r="F22" s="1">
        <f t="shared" si="7"/>
        <v>0.0967071106904168</v>
      </c>
      <c r="G22" s="1">
        <f t="shared" si="7"/>
        <v>0.120874700076148</v>
      </c>
      <c r="H22" s="1">
        <f t="shared" si="7"/>
        <v>0.148801675327697</v>
      </c>
      <c r="I22" s="1">
        <f t="shared" si="7"/>
        <v>0.147668283550336</v>
      </c>
      <c r="J22" s="1">
        <f t="shared" si="7"/>
        <v>0.159327512383511</v>
      </c>
      <c r="K22" s="1">
        <f t="shared" si="7"/>
        <v>0.104068785907788</v>
      </c>
      <c r="L22" s="1">
        <f t="shared" si="7"/>
        <v>0.105651279869531</v>
      </c>
      <c r="M22" s="1">
        <f t="shared" si="7"/>
        <v>0.133247824095282</v>
      </c>
      <c r="N22" s="1">
        <f t="shared" si="7"/>
        <v>0.105701074316093</v>
      </c>
      <c r="O22" s="1">
        <f t="shared" si="7"/>
        <v>0.0986524229883183</v>
      </c>
      <c r="P22" s="20" t="s">
        <v>26</v>
      </c>
      <c r="Q22" s="19">
        <f t="shared" si="6"/>
        <v>0.10059644948567</v>
      </c>
    </row>
    <row r="23" spans="1:18">
      <c r="A23" s="2" t="s">
        <v>27</v>
      </c>
      <c r="B23" s="24">
        <f t="shared" ref="B23:O23" si="8">B8/B6</f>
        <v>43.6024657534247</v>
      </c>
      <c r="C23" s="24">
        <f t="shared" si="8"/>
        <v>43.5656814449918</v>
      </c>
      <c r="D23" s="24">
        <f t="shared" si="8"/>
        <v>42.6048827497591</v>
      </c>
      <c r="E23" s="24">
        <f t="shared" si="8"/>
        <v>40.6654072208228</v>
      </c>
      <c r="F23" s="24">
        <f t="shared" si="8"/>
        <v>42.563399080528</v>
      </c>
      <c r="G23" s="24">
        <f t="shared" si="8"/>
        <v>43.0276952335671</v>
      </c>
      <c r="H23" s="24">
        <f t="shared" si="8"/>
        <v>41.5852228303362</v>
      </c>
      <c r="I23" s="24">
        <f t="shared" si="8"/>
        <v>44.8014695288863</v>
      </c>
      <c r="J23" s="24">
        <f t="shared" si="8"/>
        <v>45.4587010934001</v>
      </c>
      <c r="K23" s="24">
        <f t="shared" si="8"/>
        <v>43.3718561368209</v>
      </c>
      <c r="L23" s="24">
        <f t="shared" si="8"/>
        <v>44.6562416107383</v>
      </c>
      <c r="M23" s="24">
        <f t="shared" si="8"/>
        <v>46.6751925192519</v>
      </c>
      <c r="N23" s="24">
        <f t="shared" si="8"/>
        <v>43.6070726915521</v>
      </c>
      <c r="O23" s="24">
        <f t="shared" si="8"/>
        <v>43.2487084108287</v>
      </c>
      <c r="P23" s="9" t="s">
        <v>28</v>
      </c>
      <c r="Q23" s="25">
        <f t="shared" si="6"/>
        <v>43.5309997360648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zoomScale="90" zoomScaleNormal="90" workbookViewId="0">
      <selection activeCell="A26" sqref="A26"/>
    </sheetView>
  </sheetViews>
  <sheetFormatPr defaultColWidth="8.88888888888889" defaultRowHeight="14.4"/>
  <cols>
    <col min="2" max="2" width="14.7777777777778" customWidth="1"/>
    <col min="3" max="15" width="12.8888888888889"/>
    <col min="16" max="16" width="14.5648148148148" customWidth="1"/>
    <col min="17" max="17" width="12.8888888888889"/>
  </cols>
  <sheetData>
    <row r="1" spans="1:17">
      <c r="B1" s="2" t="s">
        <v>29</v>
      </c>
      <c r="D1" s="2" t="s">
        <v>30</v>
      </c>
    </row>
    <row r="2" spans="1:17">
      <c r="B2" s="2" t="s">
        <v>31</v>
      </c>
    </row>
    <row r="3" spans="1:17">
      <c r="B3" s="2" t="s">
        <v>32</v>
      </c>
    </row>
    <row r="4" spans="1:17">
      <c r="B4" s="5">
        <v>45566</v>
      </c>
      <c r="C4" s="5">
        <v>45598</v>
      </c>
      <c r="D4" s="5">
        <v>45629</v>
      </c>
      <c r="E4" s="5">
        <v>45661</v>
      </c>
      <c r="F4" s="6">
        <v>45689</v>
      </c>
      <c r="G4" s="6">
        <v>45717</v>
      </c>
      <c r="H4" s="6">
        <v>45748</v>
      </c>
      <c r="I4" s="6">
        <v>45778</v>
      </c>
      <c r="J4" s="6">
        <v>45809</v>
      </c>
      <c r="K4" s="6">
        <v>45839</v>
      </c>
      <c r="L4" s="6">
        <v>45870</v>
      </c>
      <c r="M4" s="6">
        <v>45901</v>
      </c>
      <c r="N4" s="5">
        <v>45931</v>
      </c>
      <c r="O4" s="5">
        <v>45972</v>
      </c>
      <c r="P4" s="7" t="s">
        <v>6</v>
      </c>
      <c r="Q4" s="8" t="s">
        <v>7</v>
      </c>
    </row>
    <row r="5" spans="1:17">
      <c r="A5" s="9" t="s">
        <v>8</v>
      </c>
      <c r="B5" s="10">
        <v>23118</v>
      </c>
      <c r="C5" s="10">
        <v>23118</v>
      </c>
      <c r="D5" s="10">
        <v>31207</v>
      </c>
      <c r="E5" s="10">
        <v>34932</v>
      </c>
      <c r="F5" s="10">
        <v>46382</v>
      </c>
      <c r="G5" s="10">
        <v>96803</v>
      </c>
      <c r="H5" s="10">
        <v>83491</v>
      </c>
      <c r="I5" s="10">
        <v>78064</v>
      </c>
      <c r="J5" s="10">
        <v>56778</v>
      </c>
      <c r="K5" s="10">
        <v>62561</v>
      </c>
      <c r="L5" s="10">
        <v>48232</v>
      </c>
      <c r="M5" s="10">
        <v>30084</v>
      </c>
      <c r="N5" s="10">
        <v>31860</v>
      </c>
      <c r="O5" s="10">
        <f>8732+31860</f>
        <v>40592</v>
      </c>
      <c r="P5" s="10"/>
      <c r="Q5" s="10"/>
    </row>
    <row r="6" spans="1:17">
      <c r="A6" s="9" t="s">
        <v>9</v>
      </c>
      <c r="B6" s="10">
        <v>877486</v>
      </c>
      <c r="C6" s="10">
        <v>877486</v>
      </c>
      <c r="D6" s="10">
        <v>867330</v>
      </c>
      <c r="E6" s="10">
        <v>1101228</v>
      </c>
      <c r="F6" s="10">
        <v>1473256</v>
      </c>
      <c r="G6" s="10">
        <v>3361000</v>
      </c>
      <c r="H6" s="10">
        <v>2681573</v>
      </c>
      <c r="I6" s="10">
        <v>2388852</v>
      </c>
      <c r="J6" s="10">
        <v>1634312</v>
      </c>
      <c r="K6" s="10">
        <v>1791595</v>
      </c>
      <c r="L6" s="10">
        <v>1251109</v>
      </c>
      <c r="M6" s="10">
        <v>789289</v>
      </c>
      <c r="N6" s="10">
        <v>932574</v>
      </c>
      <c r="O6" s="10">
        <f>932574+227947</f>
        <v>1160521</v>
      </c>
      <c r="P6" s="10"/>
      <c r="Q6" s="10"/>
    </row>
    <row r="7" spans="1:17">
      <c r="A7" s="9" t="s">
        <v>10</v>
      </c>
      <c r="B7" s="10">
        <v>1755618</v>
      </c>
      <c r="C7" s="10">
        <v>1755618</v>
      </c>
      <c r="D7" s="10">
        <v>2294321</v>
      </c>
      <c r="E7" s="10">
        <v>2479114</v>
      </c>
      <c r="F7" s="10">
        <v>3289957</v>
      </c>
      <c r="G7" s="10">
        <v>7467107</v>
      </c>
      <c r="H7" s="10">
        <v>5702935</v>
      </c>
      <c r="I7" s="10">
        <v>4972558</v>
      </c>
      <c r="J7" s="10">
        <v>3479643</v>
      </c>
      <c r="K7" s="10">
        <v>3960740</v>
      </c>
      <c r="L7" s="10">
        <v>2698501</v>
      </c>
      <c r="M7" s="10">
        <v>1688642</v>
      </c>
      <c r="N7" s="10">
        <v>1955063</v>
      </c>
      <c r="O7" s="10">
        <f>1955063+520688</f>
        <v>2475751</v>
      </c>
      <c r="P7" s="10"/>
      <c r="Q7" s="10"/>
    </row>
    <row r="8" spans="1:17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 s="1" customFormat="1" spans="1:17">
      <c r="A9" s="11" t="s">
        <v>11</v>
      </c>
      <c r="B9" s="12">
        <f t="shared" ref="B9:O9" si="0">B5/B6</f>
        <v>0.0263457194758663</v>
      </c>
      <c r="C9" s="12">
        <f t="shared" si="0"/>
        <v>0.0263457194758663</v>
      </c>
      <c r="D9" s="12">
        <f t="shared" si="0"/>
        <v>0.0359805379728592</v>
      </c>
      <c r="E9" s="12">
        <f t="shared" si="0"/>
        <v>0.0317209515195763</v>
      </c>
      <c r="F9" s="12">
        <f t="shared" si="0"/>
        <v>0.0314826479579924</v>
      </c>
      <c r="G9" s="12">
        <f t="shared" si="0"/>
        <v>0.0288018446890806</v>
      </c>
      <c r="H9" s="12">
        <f t="shared" si="0"/>
        <v>0.0311350837735911</v>
      </c>
      <c r="I9" s="12">
        <f t="shared" si="0"/>
        <v>0.0326784581045624</v>
      </c>
      <c r="J9" s="12">
        <f t="shared" si="0"/>
        <v>0.0347412244418446</v>
      </c>
      <c r="K9" s="12">
        <f t="shared" si="0"/>
        <v>0.0349191642084288</v>
      </c>
      <c r="L9" s="12">
        <f t="shared" si="0"/>
        <v>0.0385513972004038</v>
      </c>
      <c r="M9" s="12">
        <f t="shared" si="0"/>
        <v>0.0381153164430266</v>
      </c>
      <c r="N9" s="12">
        <f t="shared" si="0"/>
        <v>0.0341635087403252</v>
      </c>
      <c r="O9" s="12">
        <f t="shared" si="0"/>
        <v>0.0349773937740032</v>
      </c>
      <c r="P9" s="12"/>
      <c r="Q9" s="12">
        <f>AVERAGE(B9:O9)</f>
        <v>0.0328542119841019</v>
      </c>
    </row>
    <row r="10" spans="1:17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</row>
    <row r="11" spans="1:17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spans="1:17">
      <c r="A12" s="2" t="s">
        <v>33</v>
      </c>
      <c r="B12" s="2" t="s">
        <v>32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spans="1:17">
      <c r="B13" s="5">
        <v>45566</v>
      </c>
      <c r="C13" s="5">
        <v>45598</v>
      </c>
      <c r="D13" s="5">
        <v>45629</v>
      </c>
      <c r="E13" s="5">
        <v>45661</v>
      </c>
      <c r="F13" s="6">
        <v>45689</v>
      </c>
      <c r="G13" s="6">
        <v>45717</v>
      </c>
      <c r="H13" s="6">
        <v>45748</v>
      </c>
      <c r="I13" s="6">
        <v>45778</v>
      </c>
      <c r="J13" s="6">
        <v>45809</v>
      </c>
      <c r="K13" s="6">
        <v>45839</v>
      </c>
      <c r="L13" s="6">
        <v>45870</v>
      </c>
      <c r="M13" s="6">
        <v>45901</v>
      </c>
      <c r="N13" s="5">
        <v>45931</v>
      </c>
      <c r="O13" s="5">
        <v>45972</v>
      </c>
      <c r="P13" s="13" t="s">
        <v>14</v>
      </c>
      <c r="Q13" s="14" t="s">
        <v>15</v>
      </c>
    </row>
    <row r="14" spans="1:17">
      <c r="A14" s="2" t="s">
        <v>8</v>
      </c>
      <c r="B14" s="10">
        <f>B5</f>
        <v>23118</v>
      </c>
      <c r="C14" s="10">
        <f t="shared" ref="C14:P14" si="1">C5</f>
        <v>23118</v>
      </c>
      <c r="D14" s="10">
        <f t="shared" si="1"/>
        <v>31207</v>
      </c>
      <c r="E14" s="10">
        <f t="shared" si="1"/>
        <v>34932</v>
      </c>
      <c r="F14" s="10">
        <f t="shared" si="1"/>
        <v>46382</v>
      </c>
      <c r="G14" s="10">
        <f t="shared" si="1"/>
        <v>96803</v>
      </c>
      <c r="H14" s="10">
        <f t="shared" si="1"/>
        <v>83491</v>
      </c>
      <c r="I14" s="10">
        <f t="shared" si="1"/>
        <v>78064</v>
      </c>
      <c r="J14" s="10">
        <f t="shared" si="1"/>
        <v>56778</v>
      </c>
      <c r="K14" s="10">
        <f t="shared" si="1"/>
        <v>62561</v>
      </c>
      <c r="L14" s="10">
        <f t="shared" si="1"/>
        <v>48232</v>
      </c>
      <c r="M14" s="10">
        <f t="shared" si="1"/>
        <v>30084</v>
      </c>
      <c r="N14" s="10">
        <f t="shared" si="1"/>
        <v>31860</v>
      </c>
      <c r="O14" s="10">
        <f t="shared" si="1"/>
        <v>40592</v>
      </c>
      <c r="P14" s="15" t="s">
        <v>16</v>
      </c>
      <c r="Q14" s="16">
        <f>AVERAGE(B14:O14)</f>
        <v>49087.2857142857</v>
      </c>
    </row>
    <row r="15" spans="1:17">
      <c r="A15" s="2" t="s">
        <v>9</v>
      </c>
      <c r="B15" s="10">
        <f>B6</f>
        <v>877486</v>
      </c>
      <c r="C15" s="10">
        <f t="shared" ref="C15:P15" si="2">C6</f>
        <v>877486</v>
      </c>
      <c r="D15" s="10">
        <f t="shared" si="2"/>
        <v>867330</v>
      </c>
      <c r="E15" s="10">
        <f t="shared" si="2"/>
        <v>1101228</v>
      </c>
      <c r="F15" s="10">
        <f t="shared" si="2"/>
        <v>1473256</v>
      </c>
      <c r="G15" s="10">
        <f t="shared" si="2"/>
        <v>3361000</v>
      </c>
      <c r="H15" s="10">
        <f t="shared" si="2"/>
        <v>2681573</v>
      </c>
      <c r="I15" s="10">
        <f t="shared" si="2"/>
        <v>2388852</v>
      </c>
      <c r="J15" s="10">
        <f t="shared" si="2"/>
        <v>1634312</v>
      </c>
      <c r="K15" s="10">
        <f t="shared" si="2"/>
        <v>1791595</v>
      </c>
      <c r="L15" s="10">
        <f t="shared" si="2"/>
        <v>1251109</v>
      </c>
      <c r="M15" s="10">
        <f t="shared" si="2"/>
        <v>789289</v>
      </c>
      <c r="N15" s="10">
        <f t="shared" si="2"/>
        <v>932574</v>
      </c>
      <c r="O15" s="10">
        <f t="shared" si="2"/>
        <v>1160521</v>
      </c>
      <c r="P15" s="15" t="s">
        <v>17</v>
      </c>
      <c r="Q15" s="16">
        <f>AVERAGE(B15:O15)</f>
        <v>1513400.78571429</v>
      </c>
    </row>
    <row r="16" spans="1:17">
      <c r="A16" s="9" t="s">
        <v>18</v>
      </c>
      <c r="B16" s="17">
        <v>278309</v>
      </c>
      <c r="C16" s="17">
        <v>278309</v>
      </c>
      <c r="D16" s="17">
        <v>331749</v>
      </c>
      <c r="E16" s="10">
        <v>416400</v>
      </c>
      <c r="F16" s="10">
        <v>514652</v>
      </c>
      <c r="G16" s="10">
        <v>874457</v>
      </c>
      <c r="H16" s="10">
        <v>909324</v>
      </c>
      <c r="I16" s="10">
        <v>841136</v>
      </c>
      <c r="J16" s="10">
        <v>530794</v>
      </c>
      <c r="K16" s="10">
        <v>561833</v>
      </c>
      <c r="L16" s="10">
        <v>535246</v>
      </c>
      <c r="M16" s="10">
        <v>298434</v>
      </c>
      <c r="N16" s="10">
        <v>329498</v>
      </c>
      <c r="O16" s="10">
        <f>85106+329498</f>
        <v>414604</v>
      </c>
      <c r="P16" s="15" t="s">
        <v>19</v>
      </c>
      <c r="Q16" s="16">
        <f>AVERAGE(B16:O16)</f>
        <v>508196.071428571</v>
      </c>
    </row>
    <row r="17" spans="1:18">
      <c r="A17" s="9" t="s">
        <v>20</v>
      </c>
      <c r="B17" s="17">
        <v>6789026</v>
      </c>
      <c r="C17" s="17">
        <v>6789026</v>
      </c>
      <c r="D17" s="17">
        <v>6667782</v>
      </c>
      <c r="E17" s="17">
        <v>8394038</v>
      </c>
      <c r="F17" s="17">
        <v>10754278</v>
      </c>
      <c r="G17" s="10">
        <v>21619633</v>
      </c>
      <c r="H17" s="10">
        <v>22718022</v>
      </c>
      <c r="I17" s="10">
        <v>18695617</v>
      </c>
      <c r="J17" s="10">
        <v>10524730</v>
      </c>
      <c r="K17" s="10">
        <v>13053577</v>
      </c>
      <c r="L17" s="10">
        <v>10163671</v>
      </c>
      <c r="M17" s="10">
        <v>5271361</v>
      </c>
      <c r="N17" s="10">
        <v>6344325</v>
      </c>
      <c r="O17" s="10">
        <f>1525599+6344325</f>
        <v>7869924</v>
      </c>
      <c r="P17" s="15" t="s">
        <v>21</v>
      </c>
      <c r="Q17" s="16">
        <f>AVERAGE(B17:O17)</f>
        <v>11118215</v>
      </c>
    </row>
    <row r="18" spans="1:18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0"/>
      <c r="P18" s="10"/>
      <c r="Q18" s="10"/>
      <c r="R18" s="10"/>
    </row>
    <row r="19" spans="1:18">
      <c r="A19" s="2" t="s">
        <v>11</v>
      </c>
      <c r="B19" s="12">
        <f>B14/B15</f>
        <v>0.0263457194758663</v>
      </c>
      <c r="C19" s="12">
        <f t="shared" ref="B19:O19" si="3">C14/C15</f>
        <v>0.0263457194758663</v>
      </c>
      <c r="D19" s="12">
        <f t="shared" si="3"/>
        <v>0.0359805379728592</v>
      </c>
      <c r="E19" s="12">
        <f t="shared" si="3"/>
        <v>0.0317209515195763</v>
      </c>
      <c r="F19" s="12">
        <f t="shared" si="3"/>
        <v>0.0314826479579924</v>
      </c>
      <c r="G19" s="12">
        <f t="shared" si="3"/>
        <v>0.0288018446890806</v>
      </c>
      <c r="H19" s="12">
        <f t="shared" si="3"/>
        <v>0.0311350837735911</v>
      </c>
      <c r="I19" s="12">
        <f t="shared" si="3"/>
        <v>0.0326784581045624</v>
      </c>
      <c r="J19" s="12">
        <f t="shared" si="3"/>
        <v>0.0347412244418446</v>
      </c>
      <c r="K19" s="12">
        <f t="shared" si="3"/>
        <v>0.0349191642084288</v>
      </c>
      <c r="L19" s="12">
        <f t="shared" si="3"/>
        <v>0.0385513972004038</v>
      </c>
      <c r="M19" s="12">
        <f t="shared" si="3"/>
        <v>0.0381153164430266</v>
      </c>
      <c r="N19" s="12">
        <f t="shared" si="3"/>
        <v>0.0341635087403252</v>
      </c>
      <c r="O19" s="12">
        <f t="shared" si="3"/>
        <v>0.0349773937740032</v>
      </c>
      <c r="P19" s="15" t="s">
        <v>22</v>
      </c>
      <c r="Q19" s="19">
        <f>AVERAGE(B19:O19)</f>
        <v>0.0328542119841019</v>
      </c>
    </row>
    <row r="20" spans="1:18">
      <c r="A20" s="2" t="s">
        <v>23</v>
      </c>
      <c r="B20" s="1">
        <f>B16/B17</f>
        <v>0.0409939511205289</v>
      </c>
      <c r="C20" s="1">
        <f t="shared" ref="B20:O20" si="4">C16/C17</f>
        <v>0.0409939511205289</v>
      </c>
      <c r="D20" s="1">
        <f t="shared" si="4"/>
        <v>0.0497540261514249</v>
      </c>
      <c r="E20" s="1">
        <f t="shared" si="4"/>
        <v>0.0496066374729302</v>
      </c>
      <c r="F20" s="1">
        <f t="shared" si="4"/>
        <v>0.0478555603639779</v>
      </c>
      <c r="G20" s="1">
        <f t="shared" si="4"/>
        <v>0.0404473563450406</v>
      </c>
      <c r="H20" s="1">
        <f t="shared" si="4"/>
        <v>0.0400265480859205</v>
      </c>
      <c r="I20" s="1">
        <f t="shared" si="4"/>
        <v>0.0449910799948458</v>
      </c>
      <c r="J20" s="1">
        <f t="shared" si="4"/>
        <v>0.0504330277356284</v>
      </c>
      <c r="K20" s="1">
        <f t="shared" si="4"/>
        <v>0.0430405397692908</v>
      </c>
      <c r="L20" s="1">
        <f t="shared" si="4"/>
        <v>0.0526626648973584</v>
      </c>
      <c r="M20" s="1">
        <f t="shared" si="4"/>
        <v>0.0566142216402937</v>
      </c>
      <c r="N20" s="1">
        <f t="shared" si="4"/>
        <v>0.0519358639413964</v>
      </c>
      <c r="O20" s="1">
        <f t="shared" si="4"/>
        <v>0.0526820843504969</v>
      </c>
      <c r="P20" s="15" t="s">
        <v>24</v>
      </c>
      <c r="Q20" s="19">
        <f>AVERAGE(B20:O20)</f>
        <v>0.0472883937849759</v>
      </c>
    </row>
    <row r="21" spans="1:18">
      <c r="A21" s="2" t="s">
        <v>25</v>
      </c>
      <c r="B21" s="1">
        <f>B5/B17</f>
        <v>0.00340520127629501</v>
      </c>
      <c r="C21" s="1">
        <f t="shared" ref="B21:P21" si="5">C5/C17</f>
        <v>0.00340520127629501</v>
      </c>
      <c r="D21" s="1">
        <f t="shared" si="5"/>
        <v>0.00468026699133235</v>
      </c>
      <c r="E21" s="1">
        <f t="shared" si="5"/>
        <v>0.00416152512056772</v>
      </c>
      <c r="F21" s="1">
        <f t="shared" si="5"/>
        <v>0.00431288832221001</v>
      </c>
      <c r="G21" s="1">
        <f t="shared" si="5"/>
        <v>0.00447755056711647</v>
      </c>
      <c r="H21" s="1">
        <f t="shared" si="5"/>
        <v>0.00367509988325568</v>
      </c>
      <c r="I21" s="1">
        <f t="shared" si="5"/>
        <v>0.00417552413488145</v>
      </c>
      <c r="J21" s="1">
        <f t="shared" si="5"/>
        <v>0.00539472271497701</v>
      </c>
      <c r="K21" s="1">
        <f t="shared" si="5"/>
        <v>0.00479263270136607</v>
      </c>
      <c r="L21" s="1">
        <f t="shared" si="5"/>
        <v>0.00474552944502041</v>
      </c>
      <c r="M21" s="1">
        <f t="shared" si="5"/>
        <v>0.00570706502552187</v>
      </c>
      <c r="N21" s="1">
        <f t="shared" si="5"/>
        <v>0.00502181083093946</v>
      </c>
      <c r="O21" s="1">
        <f t="shared" si="5"/>
        <v>0.00515786429449636</v>
      </c>
      <c r="P21" s="20" t="s">
        <v>26</v>
      </c>
      <c r="Q21" s="19">
        <f>AVERAGE(B21:O21)</f>
        <v>0.00450806304173392</v>
      </c>
    </row>
    <row r="22" spans="1:18">
      <c r="A22" s="2" t="s">
        <v>34</v>
      </c>
      <c r="B22">
        <f>B7/B5</f>
        <v>75.9416039449779</v>
      </c>
      <c r="C22">
        <f t="shared" ref="C22:O22" si="6">C7/C5</f>
        <v>75.9416039449779</v>
      </c>
      <c r="D22">
        <f t="shared" si="6"/>
        <v>73.5194347422053</v>
      </c>
      <c r="E22">
        <f t="shared" si="6"/>
        <v>70.9697125844498</v>
      </c>
      <c r="F22">
        <f t="shared" si="6"/>
        <v>70.9317623215903</v>
      </c>
      <c r="G22">
        <f t="shared" si="6"/>
        <v>77.1371445099842</v>
      </c>
      <c r="H22">
        <f t="shared" si="6"/>
        <v>68.3059850762358</v>
      </c>
      <c r="I22">
        <f t="shared" si="6"/>
        <v>63.6984781717565</v>
      </c>
      <c r="J22">
        <f t="shared" si="6"/>
        <v>61.2850575927296</v>
      </c>
      <c r="K22">
        <f t="shared" si="6"/>
        <v>63.3100493917936</v>
      </c>
      <c r="L22">
        <f t="shared" si="6"/>
        <v>55.9483537900149</v>
      </c>
      <c r="M22">
        <f t="shared" si="6"/>
        <v>56.1309001462571</v>
      </c>
      <c r="N22">
        <f t="shared" si="6"/>
        <v>61.3641870684244</v>
      </c>
      <c r="O22">
        <f t="shared" si="6"/>
        <v>60.9911066219945</v>
      </c>
      <c r="P22" s="9" t="s">
        <v>28</v>
      </c>
      <c r="Q22" s="21">
        <f>AVERAGE(B22:O22)</f>
        <v>66.8196699933851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3"/>
  <sheetViews>
    <sheetView zoomScale="90" zoomScaleNormal="90" workbookViewId="0">
      <pane ySplit="1" topLeftCell="A2" activePane="bottomLeft" state="frozen"/>
      <selection/>
      <selection pane="bottomLeft" activeCell="Q24" sqref="Q24"/>
    </sheetView>
  </sheetViews>
  <sheetFormatPr defaultColWidth="8.88888888888889" defaultRowHeight="14.4"/>
  <cols>
    <col min="2" max="2" width="14.7777777777778" customWidth="1"/>
    <col min="3" max="15" width="12.8888888888889"/>
    <col min="16" max="16" width="14.5648148148148" customWidth="1"/>
    <col min="17" max="17" width="12.8888888888889"/>
  </cols>
  <sheetData>
    <row r="1" spans="1:17">
      <c r="B1" s="2" t="s">
        <v>35</v>
      </c>
      <c r="D1" s="2" t="s">
        <v>36</v>
      </c>
      <c r="H1" s="3" t="s">
        <v>37</v>
      </c>
      <c r="I1" s="4"/>
      <c r="J1" s="4"/>
    </row>
    <row r="2" spans="1:17">
      <c r="B2" s="2" t="s">
        <v>38</v>
      </c>
    </row>
    <row r="3" spans="1:17">
      <c r="B3" s="2" t="s">
        <v>39</v>
      </c>
    </row>
    <row r="4" spans="1:17">
      <c r="B4" s="2"/>
    </row>
    <row r="5" spans="1:17">
      <c r="B5" s="5">
        <v>45566</v>
      </c>
      <c r="C5" s="5">
        <v>45598</v>
      </c>
      <c r="D5" s="5">
        <v>45629</v>
      </c>
      <c r="E5" s="5">
        <v>45661</v>
      </c>
      <c r="F5" s="6">
        <v>45689</v>
      </c>
      <c r="G5" s="6">
        <v>45717</v>
      </c>
      <c r="H5" s="6">
        <v>45748</v>
      </c>
      <c r="I5" s="6">
        <v>45778</v>
      </c>
      <c r="J5" s="6">
        <v>45809</v>
      </c>
      <c r="K5" s="6">
        <v>45839</v>
      </c>
      <c r="L5" s="6">
        <v>45870</v>
      </c>
      <c r="M5" s="6">
        <v>45901</v>
      </c>
      <c r="N5" s="5">
        <v>45931</v>
      </c>
      <c r="O5" s="5">
        <v>45972</v>
      </c>
      <c r="P5" s="7" t="s">
        <v>6</v>
      </c>
      <c r="Q5" s="8" t="s">
        <v>7</v>
      </c>
    </row>
    <row r="6" spans="1:17">
      <c r="A6" s="9" t="s">
        <v>8</v>
      </c>
      <c r="B6" s="10">
        <v>47014</v>
      </c>
      <c r="C6" s="10">
        <v>47014</v>
      </c>
      <c r="D6" s="10">
        <v>79143</v>
      </c>
      <c r="E6" s="10">
        <v>49233</v>
      </c>
      <c r="F6" s="10">
        <v>63959</v>
      </c>
      <c r="G6" s="10">
        <v>137454</v>
      </c>
      <c r="H6" s="10">
        <v>168785</v>
      </c>
      <c r="I6" s="10">
        <v>187450</v>
      </c>
      <c r="J6" s="10">
        <v>183829</v>
      </c>
      <c r="K6" s="10">
        <v>205332</v>
      </c>
      <c r="L6" s="10">
        <v>132820</v>
      </c>
      <c r="M6" s="10">
        <v>109699</v>
      </c>
      <c r="N6" s="10">
        <v>103040</v>
      </c>
      <c r="O6" s="10">
        <v>125756</v>
      </c>
      <c r="P6" s="10"/>
      <c r="Q6" s="10"/>
    </row>
    <row r="7" spans="1:17">
      <c r="A7" s="9" t="s">
        <v>9</v>
      </c>
      <c r="B7" s="10">
        <v>2106506</v>
      </c>
      <c r="C7" s="10">
        <v>2106506</v>
      </c>
      <c r="D7" s="10">
        <v>2333041</v>
      </c>
      <c r="E7" s="10">
        <v>2195197</v>
      </c>
      <c r="F7" s="10">
        <v>2444876</v>
      </c>
      <c r="G7" s="10">
        <v>4674208</v>
      </c>
      <c r="H7" s="10">
        <v>6115412</v>
      </c>
      <c r="I7" s="10">
        <v>6375539</v>
      </c>
      <c r="J7" s="10">
        <v>5928260</v>
      </c>
      <c r="K7" s="10">
        <v>6985361</v>
      </c>
      <c r="L7" s="10">
        <v>4192134</v>
      </c>
      <c r="M7" s="10">
        <v>3545769</v>
      </c>
      <c r="N7" s="10">
        <v>3401008</v>
      </c>
      <c r="O7" s="10">
        <v>4098367</v>
      </c>
      <c r="P7" s="10"/>
      <c r="Q7" s="10"/>
    </row>
    <row r="8" spans="1:17">
      <c r="A8" s="9" t="s">
        <v>10</v>
      </c>
      <c r="B8" s="10">
        <v>6542847</v>
      </c>
      <c r="C8" s="10">
        <v>6542847</v>
      </c>
      <c r="D8" s="10">
        <v>11229146</v>
      </c>
      <c r="E8" s="10">
        <v>6666611</v>
      </c>
      <c r="F8" s="10">
        <v>9048482</v>
      </c>
      <c r="G8" s="10">
        <v>19417866</v>
      </c>
      <c r="H8" s="10">
        <v>23777721</v>
      </c>
      <c r="I8" s="10">
        <v>26427359</v>
      </c>
      <c r="J8" s="10">
        <v>24658604</v>
      </c>
      <c r="K8" s="10">
        <v>26668141</v>
      </c>
      <c r="L8" s="10">
        <v>16433983</v>
      </c>
      <c r="M8" s="10">
        <v>13888807</v>
      </c>
      <c r="N8" s="10">
        <v>13446067</v>
      </c>
      <c r="O8" s="10">
        <v>16407973</v>
      </c>
      <c r="P8" s="10"/>
      <c r="Q8" s="10"/>
    </row>
    <row r="9" spans="1:17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s="1" customFormat="1" spans="1:17">
      <c r="A10" s="11" t="s">
        <v>11</v>
      </c>
      <c r="B10" s="12">
        <f t="shared" ref="B10:O10" si="0">B6/B7</f>
        <v>0.0223184742887037</v>
      </c>
      <c r="C10" s="12">
        <f t="shared" si="0"/>
        <v>0.0223184742887037</v>
      </c>
      <c r="D10" s="12">
        <f t="shared" si="0"/>
        <v>0.0339226785984473</v>
      </c>
      <c r="E10" s="12">
        <f t="shared" si="0"/>
        <v>0.0224275998919459</v>
      </c>
      <c r="F10" s="12">
        <f t="shared" si="0"/>
        <v>0.0261604269500785</v>
      </c>
      <c r="G10" s="12">
        <f t="shared" si="0"/>
        <v>0.0294069070097009</v>
      </c>
      <c r="H10" s="12">
        <f t="shared" si="0"/>
        <v>0.0275999393009007</v>
      </c>
      <c r="I10" s="12">
        <f t="shared" si="0"/>
        <v>0.0294014357060634</v>
      </c>
      <c r="J10" s="12">
        <f t="shared" si="0"/>
        <v>0.0310089301076538</v>
      </c>
      <c r="K10" s="12">
        <f t="shared" si="0"/>
        <v>0.0293946153963983</v>
      </c>
      <c r="L10" s="12">
        <f t="shared" si="0"/>
        <v>0.0316831475329749</v>
      </c>
      <c r="M10" s="12">
        <f t="shared" si="0"/>
        <v>0.0309379996271613</v>
      </c>
      <c r="N10" s="12">
        <f t="shared" si="0"/>
        <v>0.0302969002131133</v>
      </c>
      <c r="O10" s="12">
        <f t="shared" si="0"/>
        <v>0.0306844165005233</v>
      </c>
      <c r="P10" s="12"/>
      <c r="Q10" s="12">
        <f>AVERAGE(C10:O10)</f>
        <v>0.0288648823941281</v>
      </c>
    </row>
    <row r="11" spans="1:17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spans="1:17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spans="1:17">
      <c r="A13" s="2" t="s">
        <v>12</v>
      </c>
      <c r="B13" s="2" t="s">
        <v>40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>
      <c r="B14" s="5">
        <v>45566</v>
      </c>
      <c r="C14" s="5">
        <v>45598</v>
      </c>
      <c r="D14" s="5">
        <v>45629</v>
      </c>
      <c r="E14" s="5">
        <v>45661</v>
      </c>
      <c r="F14" s="6">
        <v>45689</v>
      </c>
      <c r="G14" s="6">
        <v>45717</v>
      </c>
      <c r="H14" s="6">
        <v>45748</v>
      </c>
      <c r="I14" s="6">
        <v>45778</v>
      </c>
      <c r="J14" s="6">
        <v>45809</v>
      </c>
      <c r="K14" s="6">
        <v>45839</v>
      </c>
      <c r="L14" s="6">
        <v>45870</v>
      </c>
      <c r="M14" s="6">
        <v>45901</v>
      </c>
      <c r="N14" s="5">
        <v>45931</v>
      </c>
      <c r="O14" s="5">
        <v>45972</v>
      </c>
      <c r="P14" s="13" t="s">
        <v>14</v>
      </c>
      <c r="Q14" s="14" t="s">
        <v>15</v>
      </c>
    </row>
    <row r="15" spans="1:17">
      <c r="A15" s="2" t="s">
        <v>8</v>
      </c>
      <c r="B15" s="10">
        <f t="shared" ref="B15:O15" si="1">B6</f>
        <v>47014</v>
      </c>
      <c r="C15" s="10">
        <f t="shared" si="1"/>
        <v>47014</v>
      </c>
      <c r="D15" s="10">
        <f t="shared" si="1"/>
        <v>79143</v>
      </c>
      <c r="E15" s="10">
        <f t="shared" si="1"/>
        <v>49233</v>
      </c>
      <c r="F15" s="10">
        <f t="shared" si="1"/>
        <v>63959</v>
      </c>
      <c r="G15" s="10">
        <f t="shared" si="1"/>
        <v>137454</v>
      </c>
      <c r="H15" s="10">
        <f t="shared" si="1"/>
        <v>168785</v>
      </c>
      <c r="I15" s="10">
        <f t="shared" si="1"/>
        <v>187450</v>
      </c>
      <c r="J15" s="10">
        <f t="shared" si="1"/>
        <v>183829</v>
      </c>
      <c r="K15" s="10">
        <f t="shared" si="1"/>
        <v>205332</v>
      </c>
      <c r="L15" s="10">
        <f t="shared" si="1"/>
        <v>132820</v>
      </c>
      <c r="M15" s="10">
        <f t="shared" si="1"/>
        <v>109699</v>
      </c>
      <c r="N15" s="10">
        <f t="shared" si="1"/>
        <v>103040</v>
      </c>
      <c r="O15" s="10">
        <f t="shared" si="1"/>
        <v>125756</v>
      </c>
      <c r="P15" s="15" t="s">
        <v>16</v>
      </c>
      <c r="Q15" s="16">
        <f t="shared" ref="Q15:Q18" si="2">AVERAGE(B15:O15)</f>
        <v>117180.571428571</v>
      </c>
    </row>
    <row r="16" spans="1:17">
      <c r="A16" s="2" t="s">
        <v>9</v>
      </c>
      <c r="B16" s="10">
        <f t="shared" ref="B16:O16" si="3">B7</f>
        <v>2106506</v>
      </c>
      <c r="C16" s="10">
        <f t="shared" si="3"/>
        <v>2106506</v>
      </c>
      <c r="D16" s="10">
        <f t="shared" si="3"/>
        <v>2333041</v>
      </c>
      <c r="E16" s="10">
        <f t="shared" si="3"/>
        <v>2195197</v>
      </c>
      <c r="F16" s="10">
        <f t="shared" si="3"/>
        <v>2444876</v>
      </c>
      <c r="G16" s="10">
        <f t="shared" si="3"/>
        <v>4674208</v>
      </c>
      <c r="H16" s="10">
        <f t="shared" si="3"/>
        <v>6115412</v>
      </c>
      <c r="I16" s="10">
        <f t="shared" si="3"/>
        <v>6375539</v>
      </c>
      <c r="J16" s="10">
        <f t="shared" si="3"/>
        <v>5928260</v>
      </c>
      <c r="K16" s="10">
        <f t="shared" si="3"/>
        <v>6985361</v>
      </c>
      <c r="L16" s="10">
        <f t="shared" si="3"/>
        <v>4192134</v>
      </c>
      <c r="M16" s="10">
        <f t="shared" si="3"/>
        <v>3545769</v>
      </c>
      <c r="N16" s="10">
        <f t="shared" si="3"/>
        <v>3401008</v>
      </c>
      <c r="O16" s="10">
        <f t="shared" si="3"/>
        <v>4098367</v>
      </c>
      <c r="P16" s="15" t="s">
        <v>17</v>
      </c>
      <c r="Q16" s="16">
        <f t="shared" si="2"/>
        <v>4035870.28571429</v>
      </c>
    </row>
    <row r="17" spans="1:18">
      <c r="A17" s="9" t="s">
        <v>18</v>
      </c>
      <c r="B17" s="17">
        <v>713436</v>
      </c>
      <c r="C17" s="17">
        <v>713436</v>
      </c>
      <c r="D17" s="17">
        <v>714363</v>
      </c>
      <c r="E17" s="10">
        <v>312330</v>
      </c>
      <c r="F17" s="10">
        <v>341325</v>
      </c>
      <c r="G17" s="10">
        <v>599689</v>
      </c>
      <c r="H17" s="10">
        <v>621192</v>
      </c>
      <c r="I17" s="10">
        <v>615667</v>
      </c>
      <c r="J17" s="10">
        <v>559802</v>
      </c>
      <c r="K17" s="10">
        <v>730845</v>
      </c>
      <c r="L17" s="10">
        <v>549109</v>
      </c>
      <c r="M17" s="10">
        <v>413638</v>
      </c>
      <c r="N17" s="10">
        <v>438329</v>
      </c>
      <c r="O17" s="10">
        <v>122603</v>
      </c>
      <c r="P17" s="15" t="s">
        <v>19</v>
      </c>
      <c r="Q17" s="16">
        <f t="shared" si="2"/>
        <v>531840.285714286</v>
      </c>
    </row>
    <row r="18" spans="1:18">
      <c r="A18" s="9" t="s">
        <v>20</v>
      </c>
      <c r="B18" s="17">
        <v>17665779</v>
      </c>
      <c r="C18" s="17">
        <v>17665779</v>
      </c>
      <c r="D18" s="17">
        <v>15543049</v>
      </c>
      <c r="E18" s="17">
        <v>4702298</v>
      </c>
      <c r="F18" s="18">
        <v>5558416</v>
      </c>
      <c r="G18" s="17">
        <v>11365641</v>
      </c>
      <c r="H18" s="17">
        <v>12577674</v>
      </c>
      <c r="I18" s="10">
        <v>12195093</v>
      </c>
      <c r="J18" s="10">
        <v>10403255</v>
      </c>
      <c r="K18" s="17">
        <v>15417849</v>
      </c>
      <c r="L18" s="17">
        <v>9803231</v>
      </c>
      <c r="M18" s="18">
        <v>6834096</v>
      </c>
      <c r="N18" s="17">
        <v>9311070</v>
      </c>
      <c r="O18" s="17">
        <v>2856682</v>
      </c>
      <c r="P18" s="15" t="s">
        <v>21</v>
      </c>
      <c r="Q18" s="16">
        <f t="shared" si="2"/>
        <v>10849993.7142857</v>
      </c>
    </row>
    <row r="19" spans="1:18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0"/>
      <c r="P19" s="10"/>
      <c r="Q19" s="10"/>
      <c r="R19" s="10"/>
    </row>
    <row r="20" spans="1:18">
      <c r="A20" s="2" t="s">
        <v>11</v>
      </c>
      <c r="B20" s="12">
        <f t="shared" ref="B20:O20" si="4">B15/B16</f>
        <v>0.0223184742887037</v>
      </c>
      <c r="C20" s="12">
        <f t="shared" si="4"/>
        <v>0.0223184742887037</v>
      </c>
      <c r="D20" s="12">
        <f t="shared" si="4"/>
        <v>0.0339226785984473</v>
      </c>
      <c r="E20" s="12">
        <f t="shared" si="4"/>
        <v>0.0224275998919459</v>
      </c>
      <c r="F20" s="12">
        <f t="shared" si="4"/>
        <v>0.0261604269500785</v>
      </c>
      <c r="G20" s="12">
        <f t="shared" si="4"/>
        <v>0.0294069070097009</v>
      </c>
      <c r="H20" s="12">
        <f t="shared" si="4"/>
        <v>0.0275999393009007</v>
      </c>
      <c r="I20" s="12">
        <f t="shared" si="4"/>
        <v>0.0294014357060634</v>
      </c>
      <c r="J20" s="12">
        <f t="shared" si="4"/>
        <v>0.0310089301076538</v>
      </c>
      <c r="K20" s="12">
        <f t="shared" si="4"/>
        <v>0.0293946153963983</v>
      </c>
      <c r="L20" s="12">
        <f t="shared" si="4"/>
        <v>0.0316831475329749</v>
      </c>
      <c r="M20" s="12">
        <f t="shared" si="4"/>
        <v>0.0309379996271613</v>
      </c>
      <c r="N20" s="12">
        <f t="shared" si="4"/>
        <v>0.0302969002131133</v>
      </c>
      <c r="O20" s="12">
        <f t="shared" si="4"/>
        <v>0.0306844165005233</v>
      </c>
      <c r="P20" s="15" t="s">
        <v>22</v>
      </c>
      <c r="Q20" s="19">
        <f>AVERAGE(C20:O20)</f>
        <v>0.0288648823941281</v>
      </c>
    </row>
    <row r="21" spans="1:18">
      <c r="A21" s="2" t="s">
        <v>23</v>
      </c>
      <c r="B21" s="1">
        <f t="shared" ref="B21:O21" si="5">B17/B18</f>
        <v>0.0403851989770731</v>
      </c>
      <c r="C21" s="1">
        <f t="shared" si="5"/>
        <v>0.0403851989770731</v>
      </c>
      <c r="D21" s="1">
        <f t="shared" si="5"/>
        <v>0.0459602874571135</v>
      </c>
      <c r="E21" s="1">
        <f t="shared" si="5"/>
        <v>0.0664207159988584</v>
      </c>
      <c r="F21" s="1">
        <f t="shared" si="5"/>
        <v>0.0614068828241715</v>
      </c>
      <c r="G21" s="1">
        <f t="shared" si="5"/>
        <v>0.0527633241275173</v>
      </c>
      <c r="H21" s="1">
        <f t="shared" si="5"/>
        <v>0.0493884640355602</v>
      </c>
      <c r="I21" s="1">
        <f t="shared" si="5"/>
        <v>0.0504848138509481</v>
      </c>
      <c r="J21" s="1">
        <f t="shared" si="5"/>
        <v>0.0538102738037278</v>
      </c>
      <c r="K21" s="1">
        <f t="shared" si="5"/>
        <v>0.0474025267727035</v>
      </c>
      <c r="L21" s="1">
        <f t="shared" si="5"/>
        <v>0.0560130634481632</v>
      </c>
      <c r="M21" s="1">
        <f t="shared" si="5"/>
        <v>0.0605256349925433</v>
      </c>
      <c r="N21" s="1">
        <f t="shared" si="5"/>
        <v>0.0470761147752084</v>
      </c>
      <c r="O21" s="1">
        <f t="shared" si="5"/>
        <v>0.0429179726689915</v>
      </c>
      <c r="P21" s="15" t="s">
        <v>24</v>
      </c>
      <c r="Q21" s="19">
        <f t="shared" ref="Q20:Q23" si="6">AVERAGE(B21:O21)</f>
        <v>0.0510671766221181</v>
      </c>
    </row>
    <row r="22" spans="1:18">
      <c r="A22" s="2" t="s">
        <v>25</v>
      </c>
      <c r="B22" s="1">
        <f t="shared" ref="B22:O22" si="7">B6/B18</f>
        <v>0.00266130352926978</v>
      </c>
      <c r="C22" s="1">
        <f t="shared" si="7"/>
        <v>0.00266130352926978</v>
      </c>
      <c r="D22" s="1">
        <f t="shared" si="7"/>
        <v>0.00509185810325889</v>
      </c>
      <c r="E22" s="1">
        <f t="shared" si="7"/>
        <v>0.0104699872275215</v>
      </c>
      <c r="F22" s="1">
        <f t="shared" si="7"/>
        <v>0.0115066954326556</v>
      </c>
      <c r="G22" s="1">
        <f t="shared" si="7"/>
        <v>0.0120938185536566</v>
      </c>
      <c r="H22" s="1">
        <f t="shared" si="7"/>
        <v>0.0134194128421519</v>
      </c>
      <c r="I22" s="1">
        <f t="shared" si="7"/>
        <v>0.0153709364906032</v>
      </c>
      <c r="J22" s="1">
        <f t="shared" si="7"/>
        <v>0.0176703349096028</v>
      </c>
      <c r="K22" s="1">
        <f t="shared" si="7"/>
        <v>0.0133178110643061</v>
      </c>
      <c r="L22" s="1">
        <f t="shared" si="7"/>
        <v>0.0135485943358878</v>
      </c>
      <c r="M22" s="1">
        <f t="shared" si="7"/>
        <v>0.0160517206664934</v>
      </c>
      <c r="N22" s="1">
        <f t="shared" si="7"/>
        <v>0.0110663973098688</v>
      </c>
      <c r="O22" s="1">
        <f t="shared" si="7"/>
        <v>0.044021700700323</v>
      </c>
      <c r="P22" s="20" t="s">
        <v>26</v>
      </c>
      <c r="Q22" s="19">
        <f t="shared" si="6"/>
        <v>0.0134965624782049</v>
      </c>
    </row>
    <row r="23" spans="1:18">
      <c r="A23" s="2" t="s">
        <v>34</v>
      </c>
      <c r="B23">
        <f t="shared" ref="B23:O23" si="8">B8/B6</f>
        <v>139.168056323648</v>
      </c>
      <c r="C23">
        <f t="shared" si="8"/>
        <v>139.168056323648</v>
      </c>
      <c r="D23">
        <f t="shared" si="8"/>
        <v>141.884260136715</v>
      </c>
      <c r="E23">
        <f t="shared" si="8"/>
        <v>135.409400199053</v>
      </c>
      <c r="F23">
        <f t="shared" si="8"/>
        <v>141.473162494723</v>
      </c>
      <c r="G23">
        <f t="shared" si="8"/>
        <v>141.268104238509</v>
      </c>
      <c r="H23">
        <f t="shared" si="8"/>
        <v>140.875794649999</v>
      </c>
      <c r="I23">
        <f t="shared" si="8"/>
        <v>140.983510269405</v>
      </c>
      <c r="J23">
        <f t="shared" si="8"/>
        <v>134.138813788902</v>
      </c>
      <c r="K23">
        <f t="shared" si="8"/>
        <v>129.878153429568</v>
      </c>
      <c r="L23">
        <f t="shared" si="8"/>
        <v>123.731237765397</v>
      </c>
      <c r="M23">
        <f t="shared" si="8"/>
        <v>126.608328243649</v>
      </c>
      <c r="N23">
        <f t="shared" si="8"/>
        <v>130.49366265528</v>
      </c>
      <c r="O23">
        <f t="shared" si="8"/>
        <v>130.474673176628</v>
      </c>
      <c r="P23" s="9" t="s">
        <v>28</v>
      </c>
      <c r="Q23" s="21">
        <f t="shared" si="6"/>
        <v>135.396800978223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工业滤芯外壳类目 整体转化率情况美国</vt:lpstr>
      <vt:lpstr>高压水枪类目 整体转化率情况英国</vt:lpstr>
      <vt:lpstr>高压水枪类目 整体转化率情况美国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Anywhere</cp:lastModifiedBy>
  <dcterms:created xsi:type="dcterms:W3CDTF">2025-11-14T03:14:00Z</dcterms:created>
  <dcterms:modified xsi:type="dcterms:W3CDTF">2025-11-18T14:02:39Z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F6D68999901E4F75BE1AB413020FA828_13</vt:lpwstr>
  </property>
  <property fmtid="{D5CDD505-2E9C-101B-9397-08002B2CF9AE}" pid="3" name="KSOProductBuildVer">
    <vt:lpwstr>2052-12.1.0.23542</vt:lpwstr>
  </property>
</Properties>
</file>