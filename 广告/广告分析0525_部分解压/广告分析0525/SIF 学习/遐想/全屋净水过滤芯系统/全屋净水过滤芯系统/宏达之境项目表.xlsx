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产品信息" sheetId="1" r:id="rId1"/>
    <sheet name="美国DF上架测算" sheetId="2" r:id="rId2"/>
    <sheet name="美国SC毛利测算" sheetId="3" r:id="rId3"/>
    <sheet name="美国VC毛利测算" sheetId="4" r:id="rId4"/>
    <sheet name="欧洲SC毛利测算" sheetId="5" r:id="rId5"/>
    <sheet name="欧洲VC毛利测算" sheetId="6" r:id="rId6"/>
    <sheet name="活动排期" sheetId="7" r:id="rId7"/>
    <sheet name="美国DI毛利测算" sheetId="8" r:id="rId8"/>
    <sheet name="欧洲DI毛利测算" sheetId="9" r:id="rId9"/>
    <sheet name="日历工作计划表" sheetId="10" r:id="rId10"/>
    <sheet name="2025欧洲listing SOP流程" sheetId="11" r:id="rId11"/>
    <sheet name="发货物流价格" sheetId="12" r:id="rId12"/>
    <sheet name="TK视频链接" sheetId="13" r:id="rId13"/>
    <sheet name="佣金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1763455238387043</author>
  </authors>
  <commentList>
    <comment ref="B2" authorId="0">
      <text>
        <r>
          <rPr>
            <sz val="9"/>
            <color rgb="FF000000"/>
            <rFont val="宋体"/>
            <scheme val="minor"/>
            <charset val="0"/>
          </rPr>
          <t>DU-8OG7-EMPI</t>
        </r>
      </text>
    </comment>
  </commentList>
</comments>
</file>

<file path=xl/comments2.xml><?xml version="1.0" encoding="utf-8"?>
<comments xmlns="http://schemas.openxmlformats.org/spreadsheetml/2006/main">
  <authors>
    <author>1763455238432360</author>
  </authors>
  <commentList>
    <comment ref="I1" authorId="0">
      <text>
        <r>
          <rPr>
            <sz val="12"/>
            <color rgb="FF000000"/>
            <rFont val="宋体"/>
            <scheme val="minor"/>
            <charset val="0"/>
          </rPr>
          <t>PO主供应商代码：ZU7MJ
PO托盘供应商代码：ZU208
DI供应商代码：J671X
DF供应商代码：ZOKK6</t>
        </r>
      </text>
    </comment>
    <comment ref="O1" authorId="0">
      <text>
        <r>
          <rPr>
            <sz val="12"/>
            <color rgb="FF000000"/>
            <rFont val="宋体"/>
            <scheme val="minor"/>
            <charset val="0"/>
          </rPr>
          <t>Net PPM=(不含税销售额-POcost总金额+佣金）/不含税销售额
=(J1-I1+I1*0.12-J1*0.1)/(J1*0.9)
未扣减折扣</t>
        </r>
      </text>
    </comment>
    <comment ref="Q1" authorId="0">
      <text>
        <r>
          <rPr>
            <sz val="12"/>
            <color rgb="FF000000"/>
            <rFont val="宋体"/>
            <scheme val="minor"/>
            <charset val="0"/>
          </rPr>
          <t>人民币：不含税采购成本+头程</t>
        </r>
      </text>
    </comment>
    <comment ref="S1" authorId="0">
      <text>
        <r>
          <rPr>
            <sz val="12"/>
            <color rgb="FF000000"/>
            <rFont val="宋体"/>
            <scheme val="minor"/>
            <charset val="0"/>
          </rPr>
          <t>促销费/cost price
不是前台价的折扣比例！</t>
        </r>
      </text>
    </comment>
  </commentList>
</comments>
</file>

<file path=xl/comments3.xml><?xml version="1.0" encoding="utf-8"?>
<comments xmlns="http://schemas.openxmlformats.org/spreadsheetml/2006/main">
  <authors>
    <author>1763455238492551</author>
  </authors>
  <commentList>
    <comment ref="G1" authorId="0">
      <text>
        <r>
          <rPr>
            <sz val="12"/>
            <color rgb="FF000000"/>
            <rFont val="宋体"/>
            <scheme val="minor"/>
            <charset val="0"/>
          </rPr>
          <t xml:space="preserve">PO主供应商代码：ZU208
PO托盘供应商代码：ZU7MJ
DI供应商代码：J671X
</t>
        </r>
      </text>
    </comment>
    <comment ref="O1" authorId="0">
      <text>
        <r>
          <rPr>
            <sz val="12"/>
            <color rgb="FF000000"/>
            <rFont val="宋体"/>
            <scheme val="minor"/>
            <charset val="0"/>
          </rPr>
          <t>人民币：不含税采购成本+头程</t>
        </r>
      </text>
    </comment>
    <comment ref="R1" authorId="0">
      <text>
        <r>
          <rPr>
            <sz val="12"/>
            <color rgb="FF000000"/>
            <rFont val="宋体"/>
            <scheme val="minor"/>
            <charset val="0"/>
          </rPr>
          <t>外币兑人民币</t>
        </r>
      </text>
    </comment>
    <comment ref="S1" authorId="0">
      <text>
        <r>
          <rPr>
            <sz val="12"/>
            <color rgb="FF000000"/>
            <rFont val="宋体"/>
            <scheme val="minor"/>
            <charset val="0"/>
          </rPr>
          <t>广告费/PO价</t>
        </r>
      </text>
    </comment>
    <comment ref="T1" authorId="0">
      <text>
        <r>
          <rPr>
            <sz val="12"/>
            <color rgb="FF000000"/>
            <rFont val="宋体"/>
            <scheme val="minor"/>
            <charset val="0"/>
          </rPr>
          <t>促销费/PO价
不是前台价的折扣比例！！</t>
        </r>
      </text>
    </comment>
    <comment ref="V1" authorId="0">
      <text>
        <r>
          <rPr>
            <sz val="12"/>
            <color rgb="FF000000"/>
            <rFont val="宋体"/>
            <scheme val="minor"/>
            <charset val="0"/>
          </rPr>
          <t>”不含税采购价+头程“占比</t>
        </r>
      </text>
    </comment>
    <comment ref="X1" authorId="0">
      <text>
        <r>
          <rPr>
            <sz val="12"/>
            <color rgb="FF000000"/>
            <rFont val="宋体"/>
            <scheme val="minor"/>
            <charset val="0"/>
          </rPr>
          <t>DI无佣，普通PO佣金19%+2%</t>
        </r>
      </text>
    </comment>
    <comment ref="AC1" authorId="0">
      <text>
        <r>
          <rPr>
            <sz val="12"/>
            <color rgb="FF000000"/>
            <rFont val="宋体"/>
            <scheme val="minor"/>
            <charset val="0"/>
          </rPr>
          <t>优先匹配财务采购成本&amp;头程；
其次匹配马帮采购成本；
最后匹配原始成本记录信息。</t>
        </r>
      </text>
    </comment>
  </commentList>
</comments>
</file>

<file path=xl/comments4.xml><?xml version="1.0" encoding="utf-8"?>
<comments xmlns="http://schemas.openxmlformats.org/spreadsheetml/2006/main">
  <authors>
    <author>1763455238864606</author>
  </authors>
  <commentList>
    <comment ref="AX1" authorId="0">
      <text>
        <r>
          <rPr>
            <sz val="9"/>
            <color rgb="FF000000"/>
            <rFont val="宋体"/>
            <scheme val="minor"/>
            <charset val="0"/>
          </rPr>
          <t>2026年</t>
        </r>
      </text>
    </comment>
  </commentList>
</comments>
</file>

<file path=xl/comments5.xml><?xml version="1.0" encoding="utf-8"?>
<comments xmlns="http://schemas.openxmlformats.org/spreadsheetml/2006/main">
  <authors>
    <author>1763455238972726</author>
  </authors>
  <commentList>
    <comment ref="E1" authorId="0">
      <text>
        <r>
          <rPr>
            <sz val="9"/>
            <color rgb="FF000000"/>
            <rFont val="宋体"/>
            <scheme val="minor"/>
            <charset val="0"/>
          </rPr>
          <t>战略款 (目标是小类头部,以私模或产品本身有绝对的 优势和体量为主,日销150单以上,利润10%-15%,备货不能断货)
主推款 (小众化/蓝海产品,毛利高,季节性产品,非持续性发展产品,需要快进快出的产品,日销30以上,利润25%以上(空派至少15%以上),高毛利的尽量少断货,季节产品以快进快出为主;)
品牌 
利润款
季节款
主推款
基础款</t>
        </r>
      </text>
    </comment>
    <comment ref="K1" authorId="0">
      <text>
        <r>
          <rPr>
            <sz val="9"/>
            <color rgb="FF000000"/>
            <rFont val="宋体"/>
            <scheme val="minor"/>
            <charset val="0"/>
          </rPr>
          <t>pending待定</t>
        </r>
      </text>
    </comment>
    <comment ref="L1" authorId="0">
      <text>
        <r>
          <rPr>
            <sz val="9"/>
            <color rgb="FF000000"/>
            <rFont val="宋体"/>
            <scheme val="minor"/>
            <charset val="0"/>
          </rPr>
          <t>环节1:种子链接布局：
1.为了链接的冷启动准备，提前一个月  发货给种子链接，（5-10个链接，每个2-3个 vine）可以空派，一定要和主推链接错开，立项之后和开发沟通最优的解决方案；
2.做种子链接的时候考虑是否要做网红视频，和自拍视频，可以一起规划样品。
3.一个产品可以给10-50个产品做种子链接，链接可以是5-25条，具体根据类目评论或者参考竞对的评论布局；
4.为推广前期维护评论做准备；
5.新品评论节奏安排
6.测评</t>
        </r>
      </text>
    </comment>
    <comment ref="M1" authorId="0">
      <text>
        <r>
          <rPr>
            <sz val="9"/>
            <color rgb="FF000000"/>
            <rFont val="宋体"/>
            <scheme val="minor"/>
            <charset val="0"/>
          </rPr>
          <t>竞对信息收集-发货前任务   项目跟进表完整
1. 竞对的评论怎么布局的，时间节奏是什么样的？
2. 站外是否有规划，价格折扣比是多少 效果如何？
3. 秒杀活动效果如何？对应BD效果的显著性如何
4. 广告节奏是怎样的，怎么配合的？
5.广告ROI,竞价 CPC， 单个广告成本CPA ，
ACOS分析 TACOS分析</t>
        </r>
      </text>
    </comment>
    <comment ref="N1" authorId="0">
      <text>
        <r>
          <rPr>
            <sz val="9"/>
            <color rgb="FF000000"/>
            <rFont val="宋体"/>
            <scheme val="minor"/>
            <charset val="0"/>
          </rPr>
          <t xml:space="preserve">
多变体和其他站点布局 情况  -发货前任务:
1.判断产品是否能多变体售卖;
2.北美考虑加拿大站点是否布局;</t>
        </r>
      </text>
    </comment>
    <comment ref="O1" authorId="0">
      <text>
        <r>
          <rPr>
            <sz val="9"/>
            <color rgb="FF000000"/>
            <rFont val="宋体"/>
            <scheme val="minor"/>
            <charset val="0"/>
          </rPr>
          <t xml:space="preserve">建立关键词库- 上架前任务:
1. SIF  卖家精灵：关键词反查/关键词挖掘
2. Helium10:cerebro    H10 keepa PC 西柚找词 积目数据 ABA(自己asin放前面，然后选3-4个类目榜靠前且和自己产品同类型的竞品)下载下来汇总成全流量词表，筛选出评分8-10分相关度高的词
3. 后台ABA 报告：转化高的词
4. 高频词：QA/Review 板块
5. 直接方式：竞品标题及文案词 
6. SIF:竞品广告词 CPC广告架构分析
7. 亚马逊导航栏下拉关键词
8. 其它工具查词(基本大同小异)H10 keepa PC 西柚找词 积目数据
H10 keepa PC 西柚找词 积目数据
新品关键词优化路径： 
①选取10个竞品ASIN  SIF多产品对比，流量布局， 
②选取20个ASIN竞品  在卖家精灵（关键词优化 - 拓展流量词） 流量拓展=关键词优化 - 拓展流量词 按照畅销变体 拓展，下载数据，做关键词词库追踪，需要要AI智能体打标和分类，做关键词词库追踪数据
③ 用核心关键词搜索，去亚马逊前台抓取50-100类目相关竞品做SIF关键词收集 放关键词收集蓝 做相关性筛查，关键词词库+消费者洞察  
④ 要在后台商机探测器 关键词 份额，确定大词有哪些 做大词，   
⑤查看 SIF关键词中竞争格局-- 自然流量份额分布， 在售产品 自然流量分布
⑦ 关键词CPC情况（具体看是 在哪个类目下）
</t>
        </r>
      </text>
    </comment>
    <comment ref="P1" authorId="0">
      <text>
        <r>
          <rPr>
            <sz val="9"/>
            <color rgb="FF000000"/>
            <rFont val="宋体"/>
            <scheme val="minor"/>
            <charset val="0"/>
          </rPr>
          <t xml:space="preserve">
环节1:布局关键词收录布局 埋词技巧-上架前任务
创建链接务必按照以下标准，因为后期无法更改亚马逊的抓取数据
1. 做关键词收录布局，页面关键词出现频次大于3次，属于高频词；
2. 后台创链接发货时，就要注意权威链接和收录问题，写好完整标题，注意用空格-空格百分百收录；
3. 后台关键属性填全，不知道填的就填空格，保证不被跳过；
4. 标题，五点，QA和图片中埋词，使核心关键词成为高频词；
:5  “ - " 空 杠 空  百分百收录，IT思维运营</t>
        </r>
      </text>
    </comment>
    <comment ref="Q1" authorId="0">
      <text>
        <r>
          <rPr>
            <sz val="9"/>
            <color rgb="FF000000"/>
            <rFont val="宋体"/>
            <scheme val="minor"/>
            <charset val="0"/>
          </rPr>
          <t xml:space="preserve">
在线项目跟进表  listing 完成情况  -发货前任务
1.在立项之后；项目跟进表， 
2.表格中的定价表和目标表的更新；</t>
        </r>
      </text>
    </comment>
    <comment ref="T1" authorId="0">
      <text>
        <r>
          <rPr>
            <sz val="9"/>
            <color rgb="FF000000"/>
            <rFont val="宋体"/>
            <scheme val="minor"/>
            <charset val="0"/>
          </rPr>
          <t xml:space="preserve">
透明计划 布局情况  -发货前任务
根据商标TM/R标的状态来看是否需要做透明计划，在备货前就要考虑
透明计划SOP-ASIN注册+代码请求及下载+OPR开启启</t>
        </r>
      </text>
    </comment>
    <comment ref="W1" authorId="0">
      <text>
        <r>
          <rPr>
            <sz val="9"/>
            <color rgb="FF000000"/>
            <rFont val="宋体"/>
            <scheme val="minor"/>
            <charset val="0"/>
          </rPr>
          <t>备货规划  -发货前任务
1.根据项目跟进表以阶段性目标排名来定备货数量;
2.做出阶段性的出货数量和出货时间
备货-发货的流程及标准
XXX-项目跟进表--XXXX人-时间--新品
XXX产品-备货申请--xx人--xx时间.xlsx--老品</t>
        </r>
      </text>
    </comment>
    <comment ref="X1" authorId="0">
      <text>
        <r>
          <rPr>
            <sz val="9"/>
            <color rgb="FF000000"/>
            <rFont val="宋体"/>
            <scheme val="minor"/>
            <charset val="0"/>
          </rPr>
          <t>备货规划  -发货前任务
1.根据项目跟进表以阶段性目标排名来定备货数量;
2.做出阶段性的出货数量和出货时间
备货-发货的流程及标准
XXX-项目跟进表--XXXX人-时间--新品
XXX产品-备货申请--xx人--xx时间.xlsx--老品</t>
        </r>
      </text>
    </comment>
    <comment ref="AA1" authorId="0">
      <text>
        <r>
          <rPr>
            <sz val="9"/>
            <color rgb="FF000000"/>
            <rFont val="宋体"/>
            <scheme val="minor"/>
            <charset val="0"/>
          </rPr>
          <t xml:space="preserve">
时效：
空运15天 卡航30 铁路40 海运45</t>
        </r>
      </text>
    </comment>
    <comment ref="AC1" authorId="0">
      <text>
        <r>
          <rPr>
            <sz val="9"/>
            <color rgb="FF000000"/>
            <rFont val="宋体"/>
            <scheme val="minor"/>
            <charset val="0"/>
          </rPr>
          <t xml:space="preserve">
环节1:开发包材需求表-发货前任务
1. 由开发部门  提供需求表给设计，设计师自己主导设计，运营协助 检查修改确定最终版本
2. 提需求时，考虑产品包装说明书，是否印刷社媒二维码/售后落地页（可邀评）；
3. 同时需要配售后卡；</t>
        </r>
      </text>
    </comment>
    <comment ref="AE1" authorId="0">
      <text>
        <r>
          <rPr>
            <sz val="9"/>
            <color rgb="FF000000"/>
            <rFont val="宋体"/>
            <scheme val="minor"/>
            <charset val="0"/>
          </rPr>
          <t xml:space="preserve">
环节2:布局直评-发货后
每个ASIN可上10条以内，质保7天到30天，提交后7-10天左右显示，提交10条后会提示限制留直评，此时自己和竞对都无法再给这条链接上直评（防止前期被竞对上直评差评）；</t>
        </r>
      </text>
    </comment>
    <comment ref="AF1" authorId="0">
      <text>
        <r>
          <rPr>
            <sz val="9"/>
            <color rgb="FF000000"/>
            <rFont val="宋体"/>
            <scheme val="minor"/>
            <charset val="0"/>
          </rPr>
          <t xml:space="preserve">
环节2:运营产品图片需求表--发货后  模板 ：  xx-图片需求表-时间
1.在新品出货一周后务必完结任务
2.注意给到需要我们需要打标签关键词，方便美工填写图片属性中做埋词
3. 运营根据竞对的信息，把对方做的比较好的点 提供给设计</t>
        </r>
      </text>
    </comment>
    <comment ref="AY1" authorId="0">
      <text>
        <r>
          <rPr>
            <sz val="9"/>
            <color rgb="FF000000"/>
            <rFont val="宋体"/>
            <scheme val="minor"/>
            <charset val="0"/>
          </rPr>
          <t xml:space="preserve">
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AZ1" authorId="0">
      <text>
        <r>
          <rPr>
            <sz val="9"/>
            <color rgb="FF000000"/>
            <rFont val="宋体"/>
            <scheme val="minor"/>
            <charset val="0"/>
          </rPr>
          <t>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BA1" authorId="0">
      <text>
        <r>
          <rPr>
            <sz val="9"/>
            <color rgb="FF000000"/>
            <rFont val="宋体"/>
            <scheme val="minor"/>
            <charset val="0"/>
          </rPr>
          <t xml:space="preserve">
环节2:网红视频-上架前任务
需要提前给到剧本，让网红按剧本进行产品介绍
需要提前给到脚本，让网红按脚本进行产品介绍  
红人合作拍摄视频流程及标准</t>
        </r>
      </text>
    </comment>
    <comment ref="BC1" authorId="0">
      <text>
        <r>
          <rPr>
            <sz val="9"/>
            <color rgb="FF000000"/>
            <rFont val="宋体"/>
            <scheme val="minor"/>
            <charset val="0"/>
          </rPr>
          <t xml:space="preserve">
品牌故事 -上架前任务
一个账号可以两个品牌故事线。
协调好情感故事与专业能力协调，需要有类似十几年专业生产经验、几位专业工程师设计开发等</t>
        </r>
      </text>
    </comment>
    <comment ref="BD1" authorId="0">
      <text>
        <r>
          <rPr>
            <sz val="9"/>
            <color rgb="FF000000"/>
            <rFont val="宋体"/>
            <scheme val="minor"/>
            <charset val="0"/>
          </rPr>
          <t xml:space="preserve">
品牌旗舰店装修 -上架前任务
1.需要有合理夸张的数据图片，奠定客户信任基础
2.展示的产品必须是合理搭配，展示位给到主推款，不能出现停售产品
3.产品 风格 ， 品牌调性</t>
        </r>
      </text>
    </comment>
    <comment ref="BF1" authorId="0">
      <text>
        <r>
          <rPr>
            <sz val="9"/>
            <color rgb="FF000000"/>
            <rFont val="宋体"/>
            <scheme val="minor"/>
            <charset val="0"/>
          </rPr>
          <t>环节3:QA-上架后任务
1.参考竞对的评价和QA，站在买家的角度来提问题；
2.前期安排3-5条，找靠谱的服务商上；
3.QA埋标题五点图片中同样的高频词；
4. 测评与QA对接流程</t>
        </r>
      </text>
    </comment>
    <comment ref="BG1" authorId="0">
      <text>
        <r>
          <rPr>
            <sz val="9"/>
            <color rgb="FF000000"/>
            <rFont val="宋体"/>
            <scheme val="minor"/>
            <charset val="0"/>
          </rPr>
          <t xml:space="preserve">
很重要：SIF  卖家精灵 H10查看收录词 情况
检查asin收录，节点，类目，  -上架前任务
asin收录，节点，类目，是否被标记，敏感词等等；
（开发部门需协助提供相关属性配置数据）开case刷新标题和五点，留存Case ID当证据，防止恶搞
防止竞争对手 恶意差评，标记成人，篡改类目 节点，独立站上架listing，时间戳，投诉，做证据</t>
        </r>
      </text>
    </comment>
    <comment ref="BH1" authorId="0">
      <text>
        <r>
          <rPr>
            <sz val="9"/>
            <color rgb="FF000000"/>
            <rFont val="宋体"/>
            <scheme val="minor"/>
            <charset val="0"/>
          </rPr>
          <t>检查产品属性填写完成度
Listing的属性必须全部填写（防被跟卖篡改信息和成人标记）
很重要：防止竞争对手 恶意差评，标记成人，篡改类目 节点，独立站上架listing，时间戳，投诉，做证据
SIF  卖家精灵 H10查看收录词 情况
检查asin收录，节点，类目，  -上架前任务
asin收录，节点，类目，是否被标记，敏感词等等；
（开发部门需协助提供相关属性配置数据）开case刷新标题和五点，留存Case ID当证据，防止恶搞
防止竞争对手 恶意差评，标记成人，篡改类目 节点，独立站上架listing，时间戳，投诉，做证据</t>
        </r>
      </text>
    </comment>
    <comment ref="BI1" authorId="0">
      <text>
        <r>
          <rPr>
            <sz val="9"/>
            <color rgb="FF000000"/>
            <rFont val="宋体"/>
            <scheme val="minor"/>
            <charset val="0"/>
          </rPr>
          <t>环节3:产品关联-上架后任务
1.   new model（手动添加）老带新需要注意2者价差设定，中文case不行就英语状态下绑定
2.   系统自动强关联（半手动）成本+配件必须关联上，且配件链接重点突出品牌正品概念。
3.   A+页面关联（手动添加）ASIN数据属性对比
4   一起购买 FBT
5.自动 广告  SD展示广告，流量位，防御+攻击策略
6.视频，主图5+视频以上，红人，联盟影响，影响者计划视频，QA  REVIEW视频布局</t>
        </r>
      </text>
    </comment>
    <comment ref="BJ1" authorId="0">
      <text>
        <r>
          <rPr>
            <sz val="9"/>
            <color rgb="FF000000"/>
            <rFont val="宋体"/>
            <scheme val="minor"/>
            <charset val="0"/>
          </rPr>
          <t xml:space="preserve">
环节3:划线价-激活listing思路
设置listing price高价，做高折扣，利用自己的买手号出第一单（不留评）有些类目需要3-5单最近30天内操作，收货之后调回原价，就会出现划线价；买手账号下单， 留评论；
步骤如下：
设置listing price高价，做高折扣，利用自己的买手号出第一单（不留评）有些类目需要3-5单最近30天内操作，收货之后调回原价，就会出现划线价；买手账号下单， 留评论；
设置高价，做高折扣，利用自己的买手号出第一单（不留评），收货之后调回原价，就会出现划线价；；
新品评论节奏安排 HX划线价  明信片 
注意事项 不用留评论</t>
        </r>
      </text>
    </comment>
    <comment ref="BN1" authorId="0">
      <text>
        <r>
          <rPr>
            <sz val="9"/>
            <color rgb="FF000000"/>
            <rFont val="宋体"/>
            <scheme val="minor"/>
            <charset val="0"/>
          </rPr>
          <t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BO1" authorId="0">
      <text>
        <r>
          <rPr>
            <sz val="9"/>
            <color rgb="FF000000"/>
            <rFont val="宋体"/>
            <scheme val="minor"/>
            <charset val="0"/>
          </rPr>
          <t xml:space="preserve">环节3:站外辅助--推广中的配合
1.站外放单之前一定要有评论，保证转化率；
2.站外放单是配合五星评论的逐步完成和关键词上首页的；所以这个里面的时间节奏要把握好；
3.站外有站外的节奏，务必先规划站外计划表：3.站外有站外的节奏,务必先规划站外计划表:
 站外冷启动打收录方式推新品
xxx-项目跟进表-xxxx人-时间 
买手号下单
测评
</t>
        </r>
      </text>
    </comment>
    <comment ref="BP1" authorId="0">
      <text>
        <r>
          <rPr>
            <sz val="9"/>
            <color rgb="FF000000"/>
            <rFont val="宋体"/>
            <scheme val="minor"/>
            <charset val="0"/>
          </rPr>
          <t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BQ1" authorId="0">
      <text>
        <r>
          <rPr>
            <sz val="9"/>
            <color rgb="FF000000"/>
            <rFont val="宋体"/>
            <scheme val="minor"/>
            <charset val="0"/>
          </rPr>
          <t>环节3:五星评论布局-推广前期准备
1. 一开售后--有节奏合理规划5-20个好评，以合并种子为主，实在不行真人测评同时还可以刷关键词排名；评论布局表
2.服务商补单
3. 开售后--万一被别人上差评的备用方案，可以提前准备好种子链接
新品评论节奏安排;
xxx-项目跟进表-xxxx人-时间
环节3:五星评论布局-推广前期准备
1. 一开售后--有节奏合理规划5-20个好评，以合并种子为主，实在不行真人测评同时还可以刷关键词排名；评论布局表
3. 开售后--万一被别人上差评的备用方案，可以提前准备好种子链接
新品评论节奏安排;
xxx-项目跟进表-xxxx人-时间</t>
        </r>
      </text>
    </comment>
    <comment ref="BR1" authorId="0">
      <text>
        <r>
          <rPr>
            <sz val="9"/>
            <color rgb="FF000000"/>
            <rFont val="宋体"/>
            <scheme val="minor"/>
            <charset val="0"/>
          </rPr>
          <t>五星评论完结时间
评论数据根据产品定位来判断，逐步上评，上评率控制在5%以内</t>
        </r>
      </text>
    </comment>
    <comment ref="BT1" authorId="0">
      <text>
        <r>
          <rPr>
            <sz val="9"/>
            <color rgb="FF000000"/>
            <rFont val="宋体"/>
            <scheme val="minor"/>
            <charset val="0"/>
          </rPr>
          <t xml:space="preserve">
A:文案(埋词)用SIF关键词格局  西柚找词，（SIF, H10  卖家精灵也可以）
1. 标题：最重要的关键词放标题，标题要秉承可读性，可搜索性，不重复的原则，忌关键词堆砌； 一般格式：核心词+主参数(主卖点)+核心词+主特色+应用场景(适用范围/适用人群)（一般200字符内，除介词外单词首字母大写(不同国家语言习惯不一样，具体跟对应国家走) 避免主观评价(最畅销，最受欢迎等)）
2. 五点描述：提炼产品的核心卖点和痛点，对应痛点提出解决方案--从买家的角度而非卖家的角度去写--每一点前面都要有总结性的短语--前面3点重要性大于后面2点 最重要：注意埋词
3. 后台ST：一般是250字符以内(可能有的类目更少)--前台描述页面放不下的词 --不要重复使用用过的关键词--可以不使用介词，冠词等连接词 --可以全部用小写字母--用半角空格分隔词语，不要用其他标点符号--勿使用其他品牌名称，asin等--千万不要放与产品不相关的词
4. 商品详情描述 (长描述 )--在 做A+之前会显示在前台页面，做A+之后会显示在买家购买页面（做A+前：参考五行描述，对产品的卖点和痛点做一些阐述；对于功能性产品将五行中没有明确的 参数，细节可以罗列到这里。(简言之把自己当成产品经理来介绍自己的产品)也要注意埋词。
5.做A+后：补充前台文案没有出现或者不能出现的细节，包括本店的品牌优势以及服务保障等，让 客户更放心购买。继续埋词）
6.收录词 分析 特征词 分析 拓展
</t>
        </r>
      </text>
    </comment>
  </commentList>
</comments>
</file>

<file path=xl/comments6.xml><?xml version="1.0" encoding="utf-8"?>
<comments xmlns="http://schemas.openxmlformats.org/spreadsheetml/2006/main">
  <authors>
    <author>1763455239030227</author>
  </authors>
  <commentList>
    <comment ref="G1" authorId="0">
      <text>
        <r>
          <rPr>
            <sz val="9"/>
            <color rgb="FF000000"/>
            <rFont val="宋体"/>
            <scheme val="minor"/>
            <charset val="0"/>
          </rPr>
          <t>+34%  +50%</t>
        </r>
      </text>
    </comment>
  </commentList>
</comments>
</file>

<file path=xl/sharedStrings.xml><?xml version="1.0" encoding="utf-8"?>
<sst xmlns="http://schemas.openxmlformats.org/spreadsheetml/2006/main" count="10309" uniqueCount="782">
  <si>
    <t>SKU</t>
  </si>
  <si>
    <t>ASIN</t>
  </si>
  <si>
    <t>ERP SKU</t>
  </si>
  <si>
    <t>产品名称</t>
  </si>
  <si>
    <t>采购成本（含税）</t>
  </si>
  <si>
    <t>长cm（单）</t>
  </si>
  <si>
    <t>宽cm（单）</t>
  </si>
  <si>
    <t>高cm（单）</t>
  </si>
  <si>
    <t>重量Kg（单）</t>
  </si>
  <si>
    <t>装箱数</t>
  </si>
  <si>
    <t>长cm（箱）</t>
  </si>
  <si>
    <t>宽cm（箱）</t>
  </si>
  <si>
    <t>高cm（箱）</t>
  </si>
  <si>
    <t>重量Kg（箱）</t>
  </si>
  <si>
    <t>体积重</t>
  </si>
  <si>
    <t>体积</t>
  </si>
  <si>
    <t>重量体积</t>
  </si>
  <si>
    <t>首单</t>
  </si>
  <si>
    <t>空运</t>
  </si>
  <si>
    <t>美森/卡航</t>
  </si>
  <si>
    <t>铁路</t>
  </si>
  <si>
    <t>海运</t>
  </si>
  <si>
    <t>R0001US</t>
  </si>
  <si>
    <t>B0-----DN</t>
  </si>
  <si>
    <t>US-MV2501</t>
  </si>
  <si>
    <t>FANTTIKMV2501-除螨仪</t>
  </si>
  <si>
    <t>吸尘器</t>
  </si>
  <si>
    <t>R0001EU</t>
  </si>
  <si>
    <t>EU-MV2501</t>
  </si>
  <si>
    <t>R0001UK</t>
  </si>
  <si>
    <t>UK-MV2501</t>
  </si>
  <si>
    <t>HM0001EU-XLN</t>
  </si>
  <si>
    <t>EU-VC025</t>
  </si>
  <si>
    <t>FANTTIKVC025-手持吸尘器</t>
  </si>
  <si>
    <t>HM0006-EU-XLN</t>
  </si>
  <si>
    <t>EU-T2225</t>
  </si>
  <si>
    <t>FANTTIKT2225-启动电源&amp;充气泵</t>
  </si>
  <si>
    <t>HM0006-UK-XLN</t>
  </si>
  <si>
    <t>R0004EU</t>
  </si>
  <si>
    <t>EU-RS1</t>
  </si>
  <si>
    <t>FANTTIKC-棘轮螺丝刀套装</t>
  </si>
  <si>
    <t>R0004UK</t>
  </si>
  <si>
    <t>UK-RS1</t>
  </si>
  <si>
    <t>FANTTIKRS1-棘轮螺丝刀套装</t>
  </si>
  <si>
    <t>HM0002-EU-XLN</t>
  </si>
  <si>
    <t>EU-HES62</t>
  </si>
  <si>
    <t>FANTTIKHES62-电动精密螺丝刀</t>
  </si>
  <si>
    <t>HM0003-EU-XLN</t>
  </si>
  <si>
    <t>EU-HPS39</t>
  </si>
  <si>
    <t>FANTTIKHPS39-精密螺丝刀套装</t>
  </si>
  <si>
    <t>R0007US-1</t>
  </si>
  <si>
    <t>US-AP100A</t>
  </si>
  <si>
    <t>FANTTIKAP100A-空净</t>
  </si>
  <si>
    <t>空气净化器</t>
  </si>
  <si>
    <t>R0007EU</t>
  </si>
  <si>
    <t>EU-AP100A</t>
  </si>
  <si>
    <t>R0007UK</t>
  </si>
  <si>
    <t>UK-AP100A</t>
  </si>
  <si>
    <t>R0008US</t>
  </si>
  <si>
    <t>EU-F100A</t>
  </si>
  <si>
    <t>FANTTIKF100A-滤芯</t>
  </si>
  <si>
    <t>空气净化器滤芯</t>
  </si>
  <si>
    <t>R0008EU-1</t>
  </si>
  <si>
    <t>R0008UK</t>
  </si>
  <si>
    <t>R0007US-XLN</t>
  </si>
  <si>
    <t>祥乐牛-FANTTIKAP100A-空净</t>
  </si>
  <si>
    <t>R0008US-XLN</t>
  </si>
  <si>
    <t>祥乐牛-FANTTIKF100A-滤芯</t>
  </si>
  <si>
    <t>R0009EU</t>
  </si>
  <si>
    <t>EU-CY201</t>
  </si>
  <si>
    <t>FANTTIKCY201-除螨仪</t>
  </si>
  <si>
    <t>R0009UK</t>
  </si>
  <si>
    <t>UK-CY201</t>
  </si>
  <si>
    <t>R0005EU</t>
  </si>
  <si>
    <t>EU-FC5201</t>
  </si>
  <si>
    <t>FANTTIKFC5201-清洗机</t>
  </si>
  <si>
    <t>R0005UK</t>
  </si>
  <si>
    <t>UK-FC5201</t>
  </si>
  <si>
    <t>EU</t>
  </si>
  <si>
    <t>78-in-1</t>
  </si>
  <si>
    <t>83-in-1手动</t>
  </si>
  <si>
    <t>83-in-1电动</t>
  </si>
  <si>
    <t>36-in-1螺丝批</t>
  </si>
  <si>
    <t>暴力风扇</t>
  </si>
  <si>
    <t>US</t>
  </si>
  <si>
    <t>空净-KJ330</t>
  </si>
  <si>
    <t>UK</t>
  </si>
  <si>
    <t>蒸汽熨斗</t>
  </si>
  <si>
    <t>运输方式</t>
  </si>
  <si>
    <t>美森</t>
  </si>
  <si>
    <t>时效</t>
  </si>
  <si>
    <t>15天</t>
  </si>
  <si>
    <t>25天</t>
  </si>
  <si>
    <t>45天</t>
  </si>
  <si>
    <t>EU/UK</t>
  </si>
  <si>
    <t>卡航</t>
  </si>
  <si>
    <t>30天</t>
  </si>
  <si>
    <t>40天</t>
  </si>
  <si>
    <t>65天</t>
  </si>
  <si>
    <t>渠道</t>
  </si>
  <si>
    <t>渠道SKU</t>
  </si>
  <si>
    <t>供货价</t>
  </si>
  <si>
    <t>出库费</t>
  </si>
  <si>
    <t>品牌</t>
  </si>
  <si>
    <t>供应商代码</t>
  </si>
  <si>
    <t>DF cost price</t>
  </si>
  <si>
    <t>建议售价
亚马逊售价-外币</t>
  </si>
  <si>
    <t>毛利
外币</t>
  </si>
  <si>
    <t>毛利率</t>
  </si>
  <si>
    <t>Profit Margin (%)</t>
  </si>
  <si>
    <t>Net
PPM</t>
  </si>
  <si>
    <t>亚马逊毛利
外币</t>
  </si>
  <si>
    <t>成本</t>
  </si>
  <si>
    <t>广告占比</t>
  </si>
  <si>
    <t>促销占比</t>
  </si>
  <si>
    <t>其他占比</t>
  </si>
  <si>
    <t>成本占比</t>
  </si>
  <si>
    <t>佣金占比</t>
  </si>
  <si>
    <t>广告
外币</t>
  </si>
  <si>
    <t>促销
外币</t>
  </si>
  <si>
    <t>其它
外币</t>
  </si>
  <si>
    <t>佣金
外币</t>
  </si>
  <si>
    <t>海外仓库存</t>
  </si>
  <si>
    <t>VC前台库存</t>
  </si>
  <si>
    <t>大健云仓</t>
  </si>
  <si>
    <t>W2938P336074</t>
  </si>
  <si>
    <t>暂停</t>
  </si>
  <si>
    <t>R2938P336074</t>
  </si>
  <si>
    <t>4头烤炉</t>
  </si>
  <si>
    <t>HYCHIKA</t>
  </si>
  <si>
    <t>ZOKK6</t>
  </si>
  <si>
    <t>W2938P336104</t>
  </si>
  <si>
    <t>R2938P336104</t>
  </si>
  <si>
    <t>3头烤炉</t>
  </si>
  <si>
    <t>W2938P332357</t>
  </si>
  <si>
    <t>R2938P332357</t>
  </si>
  <si>
    <t>6头烤炉+1侧炉</t>
  </si>
  <si>
    <t>W2717P187987</t>
  </si>
  <si>
    <t>类目问题</t>
  </si>
  <si>
    <t>R2717P187987</t>
  </si>
  <si>
    <t>五步黑色</t>
  </si>
  <si>
    <t>W2717P239455</t>
  </si>
  <si>
    <t>R2717P239455</t>
  </si>
  <si>
    <t>五步白色</t>
  </si>
  <si>
    <t>W2717P186130</t>
  </si>
  <si>
    <t>R2717P186130</t>
  </si>
  <si>
    <t>四步黑色</t>
  </si>
  <si>
    <t>W2717P239467</t>
  </si>
  <si>
    <t>R2717P239467</t>
  </si>
  <si>
    <t>四步白色</t>
  </si>
  <si>
    <t>W2660P278755</t>
  </si>
  <si>
    <t>R2660P278755</t>
  </si>
  <si>
    <t>W3267P309443</t>
  </si>
  <si>
    <t>R3267P309443</t>
  </si>
  <si>
    <t>W1239137222</t>
  </si>
  <si>
    <t>R1239137222</t>
  </si>
  <si>
    <t>W1961P290529</t>
  </si>
  <si>
    <t>R1961P290529</t>
  </si>
  <si>
    <t>W46538539</t>
  </si>
  <si>
    <t>R46538539</t>
  </si>
  <si>
    <t>W2885P246380</t>
  </si>
  <si>
    <t>R2885P246380</t>
  </si>
  <si>
    <t>W2660P180063</t>
  </si>
  <si>
    <t>R2660P180063</t>
  </si>
  <si>
    <t>红色七层抽屉可滚动工具储物工具车</t>
  </si>
  <si>
    <t>W2660P217919</t>
  </si>
  <si>
    <t>R2660P217919</t>
  </si>
  <si>
    <t>黑色七层抽屉可滚动工具储物工具车</t>
  </si>
  <si>
    <t>W2660P217926</t>
  </si>
  <si>
    <t>R2660P217926</t>
  </si>
  <si>
    <t>黑色四层抽屉可滚动工具储物工具车</t>
  </si>
  <si>
    <t>W2391P167675</t>
  </si>
  <si>
    <t>R2391P167675</t>
  </si>
  <si>
    <t>100L Laundry Hamper
100升脏衣喽</t>
  </si>
  <si>
    <t>W2391P167690</t>
  </si>
  <si>
    <t>R2391P167690</t>
  </si>
  <si>
    <t>W2391P167699</t>
  </si>
  <si>
    <t>R2391P167699</t>
  </si>
  <si>
    <t>160L Laundry Hamper
160升脏衣喽</t>
  </si>
  <si>
    <t>W2391P167709</t>
  </si>
  <si>
    <t>R2391P167709</t>
  </si>
  <si>
    <t>B0FB3XYNDP</t>
  </si>
  <si>
    <t>FW26600008US</t>
  </si>
  <si>
    <t>16.5FT</t>
  </si>
  <si>
    <t>B0FB3V4NZ8</t>
  </si>
  <si>
    <t>FW26600007US</t>
  </si>
  <si>
    <t>14.5FT</t>
  </si>
  <si>
    <t>B0FB3TTBC2</t>
  </si>
  <si>
    <t>FW26600006US</t>
  </si>
  <si>
    <t>12.5FT</t>
  </si>
  <si>
    <t>B0FB3SWK8Z</t>
  </si>
  <si>
    <t>FW26600004US</t>
  </si>
  <si>
    <t>8.5FT</t>
  </si>
  <si>
    <t>B0FB3SMMT6</t>
  </si>
  <si>
    <t>FW26600005US</t>
  </si>
  <si>
    <t>10.5FT</t>
  </si>
  <si>
    <t>品名</t>
  </si>
  <si>
    <t>售价</t>
  </si>
  <si>
    <t>汇率</t>
  </si>
  <si>
    <t>进价（￥不含税价）</t>
  </si>
  <si>
    <t>进价（$）</t>
  </si>
  <si>
    <t>头程￥</t>
  </si>
  <si>
    <t>头程（$）</t>
  </si>
  <si>
    <t>成本合计</t>
  </si>
  <si>
    <t>抽佣比例</t>
  </si>
  <si>
    <t>佣金</t>
  </si>
  <si>
    <t>配送费</t>
  </si>
  <si>
    <t>毛利</t>
  </si>
  <si>
    <t>仓库调拨费</t>
  </si>
  <si>
    <t>退货</t>
  </si>
  <si>
    <t>送测</t>
  </si>
  <si>
    <t>广告</t>
  </si>
  <si>
    <t>备注</t>
  </si>
  <si>
    <t>采购比</t>
  </si>
  <si>
    <t>头程占比</t>
  </si>
  <si>
    <t>尾程占比</t>
  </si>
  <si>
    <t>除螨仪-灰</t>
  </si>
  <si>
    <t>物流运费总账单金额59259.1，发货数量1000</t>
  </si>
  <si>
    <t>除螨仪-灰(折扣-20%）</t>
  </si>
  <si>
    <t>除螨仪-灰(折扣-25%）</t>
  </si>
  <si>
    <t>除螨仪-灰(折扣-PD）</t>
  </si>
  <si>
    <t>冰箱除味器对装</t>
  </si>
  <si>
    <t>空气净化器330</t>
  </si>
  <si>
    <t>空净100</t>
  </si>
  <si>
    <t>成本底价30美金</t>
  </si>
  <si>
    <t>空净100(划线-20%）</t>
  </si>
  <si>
    <t>空净100(折扣-30%）</t>
  </si>
  <si>
    <t>空净100（滤芯）</t>
  </si>
  <si>
    <t>空净100（滤芯）(划线-20%）</t>
  </si>
  <si>
    <t>空净100（滤芯）(折扣-30%）</t>
  </si>
  <si>
    <t>空气净化器100</t>
  </si>
  <si>
    <t>类型</t>
  </si>
  <si>
    <t>运营</t>
  </si>
  <si>
    <t>cost price
外币</t>
  </si>
  <si>
    <t>NET PPM</t>
  </si>
  <si>
    <t>海外仓
操作费</t>
  </si>
  <si>
    <t>采购成本
 ¥含税</t>
  </si>
  <si>
    <t>采购成本
 ¥不含税</t>
  </si>
  <si>
    <t>头程 
RMB</t>
  </si>
  <si>
    <t>采购占比</t>
  </si>
  <si>
    <t>PO</t>
  </si>
  <si>
    <t>罗会娟</t>
  </si>
  <si>
    <t>HYCHIKA-MV2501-除螨仪</t>
  </si>
  <si>
    <t>ZU7MJ</t>
  </si>
  <si>
    <t>DI</t>
  </si>
  <si>
    <t>J671X</t>
  </si>
  <si>
    <t>Z0001US</t>
  </si>
  <si>
    <t>HYCHIKA-P2-电动牙刷</t>
  </si>
  <si>
    <t>名称</t>
  </si>
  <si>
    <t>国家</t>
  </si>
  <si>
    <t>国家代码</t>
  </si>
  <si>
    <t>有无VAT</t>
  </si>
  <si>
    <t>成本价(0边利)</t>
  </si>
  <si>
    <t>建议价(20%边利)</t>
  </si>
  <si>
    <t>实际定价</t>
  </si>
  <si>
    <t>采购价</t>
  </si>
  <si>
    <t>FBA Fee</t>
  </si>
  <si>
    <t>佣金比例</t>
  </si>
  <si>
    <t>VAT</t>
  </si>
  <si>
    <t>预估退货率</t>
  </si>
  <si>
    <t>广告费率</t>
  </si>
  <si>
    <t>FBA仓储费</t>
  </si>
  <si>
    <t>其他费用</t>
  </si>
  <si>
    <t>广告费用</t>
  </si>
  <si>
    <t>长</t>
  </si>
  <si>
    <t>宽</t>
  </si>
  <si>
    <t>高</t>
  </si>
  <si>
    <t>包装后实重</t>
  </si>
  <si>
    <t>计费重</t>
  </si>
  <si>
    <t>运费单价</t>
  </si>
  <si>
    <t>运费</t>
  </si>
  <si>
    <t>利润/USD</t>
  </si>
  <si>
    <t>利润率/USD</t>
  </si>
  <si>
    <t>各费用占比分析</t>
  </si>
  <si>
    <t>FBA配送费占比</t>
  </si>
  <si>
    <t>采购成本占比</t>
  </si>
  <si>
    <t>头程费用占比</t>
  </si>
  <si>
    <t>其他费用占比</t>
  </si>
  <si>
    <t>除螨仪（划线30%）</t>
  </si>
  <si>
    <t>德国</t>
  </si>
  <si>
    <t>DE</t>
  </si>
  <si>
    <t>有</t>
  </si>
  <si>
    <t>除螨仪（15%）coupon</t>
  </si>
  <si>
    <t>除螨仪（20%）PD</t>
  </si>
  <si>
    <t>法国</t>
  </si>
  <si>
    <t>FR</t>
  </si>
  <si>
    <t>意大利</t>
  </si>
  <si>
    <t>IT</t>
  </si>
  <si>
    <t>除螨仪企业购价85.11（20%）coupon</t>
  </si>
  <si>
    <t>西班牙</t>
  </si>
  <si>
    <t>ES</t>
  </si>
  <si>
    <t>英国</t>
  </si>
  <si>
    <t>VC025吸尘器   定59.99  17%划线价 49.99</t>
  </si>
  <si>
    <t>VC025吸尘器（10%）coupon</t>
  </si>
  <si>
    <t>VC025吸尘器（15%）coupon</t>
  </si>
  <si>
    <t>VC025吸尘器（20%）PD</t>
  </si>
  <si>
    <t>HPS39  定24.99  20%划线价19.99</t>
  </si>
  <si>
    <t>HPS39 （10%）coupon</t>
  </si>
  <si>
    <t>HPS39 （15%）coupon</t>
  </si>
  <si>
    <t>HPS39 （20%）PD</t>
  </si>
  <si>
    <t>HES62  定59.99  25%划线价 44.99</t>
  </si>
  <si>
    <t>HES62 （10%）coupon</t>
  </si>
  <si>
    <t>HES62 （15%）coupon</t>
  </si>
  <si>
    <t>HES62 （20%）PD</t>
  </si>
  <si>
    <t>T2225 气泵  定119.99  20%划线价 94.99</t>
  </si>
  <si>
    <t>T2225 气泵 （10%）coupon</t>
  </si>
  <si>
    <t>T2225 气泵 （15%）coupon</t>
  </si>
  <si>
    <t>T2225 气泵 （20%）PD</t>
  </si>
  <si>
    <t>T2225 气泵  定119.99  25%划线价 89.99</t>
  </si>
  <si>
    <t>RS1棘轮  定39.99  25%划线价 29.99</t>
  </si>
  <si>
    <t>RS1棘轮 （10%）coupon</t>
  </si>
  <si>
    <t>RS1棘轮 （15%）coupon</t>
  </si>
  <si>
    <t>RS1棘轮 （20%）PD</t>
  </si>
  <si>
    <t>杆式- 吸尘器德国日常价走海运</t>
  </si>
  <si>
    <t>杆式-吸尘器英国日常价走海运</t>
  </si>
  <si>
    <t>空净250德国日常价走海运129.99</t>
  </si>
  <si>
    <t>空净250英国日常价走海运119.99</t>
  </si>
  <si>
    <t>空净330德国日常价走海运129.99</t>
  </si>
  <si>
    <t>空净330英国日常价走海运119.99</t>
  </si>
  <si>
    <t>空净100 (划线价59.99）</t>
  </si>
  <si>
    <t>无</t>
  </si>
  <si>
    <t>空净100(coupon-10%）</t>
  </si>
  <si>
    <t>空净100(coupon-20%）</t>
  </si>
  <si>
    <t>空净100 (划线价64.99）</t>
  </si>
  <si>
    <t>滤芯(划线价）</t>
  </si>
  <si>
    <t>滤芯(coupon-10%）</t>
  </si>
  <si>
    <t>滤芯(coupon-20%）</t>
  </si>
  <si>
    <t>测距仪  美国B07QXS15N1</t>
  </si>
  <si>
    <t>美国</t>
  </si>
  <si>
    <t>蒸汽熨斗-（划线30%）</t>
  </si>
  <si>
    <t>蒸汽熨斗-（15%）coupon</t>
  </si>
  <si>
    <t>蒸汽熨斗-（20%）PD</t>
  </si>
  <si>
    <t>蒸汽熨斗-企业购价85.11（20%）coupon</t>
  </si>
  <si>
    <t>清洗机</t>
  </si>
  <si>
    <t>清洗机（15%）coupon</t>
  </si>
  <si>
    <t>78-in-1-（64.99划线）</t>
  </si>
  <si>
    <t>78-in-1-（15%）coupon</t>
  </si>
  <si>
    <t>83-in-1手动-（划线30%）</t>
  </si>
  <si>
    <t>83-in-1手动-（15%）coupon</t>
  </si>
  <si>
    <t>83-in-1电动-（划线30%）</t>
  </si>
  <si>
    <t>83-in-1电动-（15%）coupon</t>
  </si>
  <si>
    <t>36-in-1螺丝批-（划线30%）</t>
  </si>
  <si>
    <t>36-in-1螺丝批-（15%）coupon</t>
  </si>
  <si>
    <t>暴力风扇-（划线30%）</t>
  </si>
  <si>
    <t>暴力风扇-（15%）coupon</t>
  </si>
  <si>
    <t>站点</t>
  </si>
  <si>
    <t>PO售价
外币</t>
  </si>
  <si>
    <t>建议售价(含税)
亚马逊售价-外币</t>
  </si>
  <si>
    <t>成交价
(含税）</t>
  </si>
  <si>
    <t>成交价
(不含税）</t>
  </si>
  <si>
    <t>建议售价
不含税外币</t>
  </si>
  <si>
    <t>二程外币</t>
  </si>
  <si>
    <t>广告
占比</t>
  </si>
  <si>
    <t>前台广告
占比</t>
  </si>
  <si>
    <t>促销
占比</t>
  </si>
  <si>
    <t>其他
占比</t>
  </si>
  <si>
    <t>成本
占比</t>
  </si>
  <si>
    <t>尾程
占比</t>
  </si>
  <si>
    <t>佣金
占比</t>
  </si>
  <si>
    <t>头程
外币</t>
  </si>
  <si>
    <t>2025年
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</si>
  <si>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</si>
  <si>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</si>
  <si>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</si>
  <si>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</si>
  <si>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</si>
  <si>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</si>
  <si>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</si>
  <si>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</si>
  <si>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</si>
  <si>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24年
1月</t>
  </si>
  <si>
    <t>2月</t>
  </si>
  <si>
    <t>3月</t>
  </si>
  <si>
    <t>25年
1月</t>
  </si>
  <si>
    <t>PO价
监控</t>
  </si>
  <si>
    <t>除螨仪（coupon-0%）</t>
  </si>
  <si>
    <t>☆</t>
  </si>
  <si>
    <t>#VALUE!</t>
  </si>
  <si>
    <t>除螨仪（coupon-5%）</t>
  </si>
  <si>
    <t>除螨仪（coupon-10%）</t>
  </si>
  <si>
    <t>除螨仪（coupon-15%）</t>
  </si>
  <si>
    <t>NL</t>
  </si>
  <si>
    <t>除螨仪荷兰</t>
  </si>
  <si>
    <t>PL</t>
  </si>
  <si>
    <t>除螨仪波兰</t>
  </si>
  <si>
    <t>SE</t>
  </si>
  <si>
    <t>除螨仪瑞典</t>
  </si>
  <si>
    <t>BE</t>
  </si>
  <si>
    <t>除螨仪比利时</t>
  </si>
  <si>
    <t>RS1棘轮（coupon-0%）</t>
  </si>
  <si>
    <t>RS1棘轮（coupon-5%）</t>
  </si>
  <si>
    <t>RS1棘轮（coupon-10%）</t>
  </si>
  <si>
    <t>RS1棘轮（coupon-15%）</t>
  </si>
  <si>
    <t>RS1棘轮荷兰</t>
  </si>
  <si>
    <t>RS1棘轮波兰</t>
  </si>
  <si>
    <t>RS1棘轮瑞典</t>
  </si>
  <si>
    <t>RS1棘轮比利时</t>
  </si>
  <si>
    <t>吸尘器（coupon-0%）</t>
  </si>
  <si>
    <t>吸尘器（coupon-10%）</t>
  </si>
  <si>
    <t>吸尘器（coupon-15%）</t>
  </si>
  <si>
    <t>吸尘器荷兰</t>
  </si>
  <si>
    <t>吸尘器波兰</t>
  </si>
  <si>
    <t>吸尘器瑞典</t>
  </si>
  <si>
    <t>吸尘器比利时</t>
  </si>
  <si>
    <t>气泵（coupon-0%）</t>
  </si>
  <si>
    <t>气泵（coupon-10%）</t>
  </si>
  <si>
    <t>气泵（coupon-15%）</t>
  </si>
  <si>
    <t>气泵荷兰</t>
  </si>
  <si>
    <t>气泵波兰</t>
  </si>
  <si>
    <t>气泵瑞典</t>
  </si>
  <si>
    <t>气泵比利时</t>
  </si>
  <si>
    <t>HES62-电（coupon-0%）</t>
  </si>
  <si>
    <t>HES62-电（coupon-10%）</t>
  </si>
  <si>
    <t>HES62-电（coupon-15%）</t>
  </si>
  <si>
    <t>HES62-电荷兰</t>
  </si>
  <si>
    <t>HES62-电波兰</t>
  </si>
  <si>
    <t>HES62-电瑞典</t>
  </si>
  <si>
    <t>HES62-电比利时</t>
  </si>
  <si>
    <t>78-in-1电（coupon-0%）</t>
  </si>
  <si>
    <t>78-in-1电（coupon-10%）</t>
  </si>
  <si>
    <t>78-in-1电（coupon-15%）</t>
  </si>
  <si>
    <t>78-in-1电荷兰</t>
  </si>
  <si>
    <t>78-in-1电波兰</t>
  </si>
  <si>
    <t>78-in-1电瑞典</t>
  </si>
  <si>
    <t>78-in-1电比利时</t>
  </si>
  <si>
    <t>HPS39-手（coupon-0%）</t>
  </si>
  <si>
    <t>HPS39-手（coupon-10%）</t>
  </si>
  <si>
    <t>HPS39-手（coupon-15%）</t>
  </si>
  <si>
    <t>HPS39-手荷兰</t>
  </si>
  <si>
    <t>HPS39-手波兰</t>
  </si>
  <si>
    <t>HPS39-手瑞典</t>
  </si>
  <si>
    <t>HPS39-手比利时</t>
  </si>
  <si>
    <t>杆式吸尘器</t>
  </si>
  <si>
    <t>空净KJ-330</t>
  </si>
  <si>
    <t>空净AP100A（coupon-0%）</t>
  </si>
  <si>
    <t>空净AP100A（coupon-10%）</t>
  </si>
  <si>
    <t>空净AP100A（coupon-15%）</t>
  </si>
  <si>
    <t>空净AP100A</t>
  </si>
  <si>
    <t>清洗机（coupon-0%）</t>
  </si>
  <si>
    <t>清洗机（coupon-5%）</t>
  </si>
  <si>
    <t>清洗机（coupon-10%）</t>
  </si>
  <si>
    <t>清洗机（coupon-15%）</t>
  </si>
  <si>
    <t>清洗机荷兰</t>
  </si>
  <si>
    <t>清洗机波兰</t>
  </si>
  <si>
    <t>清洗机瑞典</t>
  </si>
  <si>
    <t>清洗机比利时</t>
  </si>
  <si>
    <t>活动</t>
  </si>
  <si>
    <t>优惠券</t>
  </si>
  <si>
    <t>Funding 12，广告8，毛利4.82</t>
  </si>
  <si>
    <t>SC BD</t>
  </si>
  <si>
    <t>VC BFCM;Funding 11.04€</t>
  </si>
  <si>
    <t>Funding 12，广告8，毛利2.25</t>
  </si>
  <si>
    <t>SC Price discount</t>
  </si>
  <si>
    <t>VC BFCM;Funding 6.48€</t>
  </si>
  <si>
    <t>Funding 12，广告8，毛利3.73</t>
  </si>
  <si>
    <t>VC BD;Funding 11.41€</t>
  </si>
  <si>
    <t>Funding 12，广告8，毛利4.36</t>
  </si>
  <si>
    <t>VC BD;Funding 11.5€</t>
  </si>
  <si>
    <t>Funding 12，广告8，毛利6.27</t>
  </si>
  <si>
    <t>VC BFCM;Funding 8.75￡</t>
  </si>
  <si>
    <t>Funding 5.5，广告4，毛利1.26</t>
  </si>
  <si>
    <t>Funding 5.5，广告4，毛利0.32</t>
  </si>
  <si>
    <t>Funding 5.5，广告4，毛利0.63</t>
  </si>
  <si>
    <t>Funding 5.5，广告4，毛利1</t>
  </si>
  <si>
    <t>Discount：1.5€</t>
  </si>
  <si>
    <t>Funding 2.55，广告2.5，毛利0.8</t>
  </si>
  <si>
    <t>Funding 2.55，广告2.5，毛利0.43</t>
  </si>
  <si>
    <t>VC BD;Funding 2.5€</t>
  </si>
  <si>
    <t>Funding 2.55，广告2.5，毛利0.59</t>
  </si>
  <si>
    <t>VC BD;Funding 2.69€</t>
  </si>
  <si>
    <t>VC BD;Funding 2.48€</t>
  </si>
  <si>
    <t>Discount：3.5€</t>
  </si>
  <si>
    <t>Discount：5€</t>
  </si>
  <si>
    <t>Funding 5.25，广告2，毛利-0.02</t>
  </si>
  <si>
    <t>Funding 5.25，广告2，毛利-1.03</t>
  </si>
  <si>
    <t>VC Price discount:Funding 4.38€</t>
  </si>
  <si>
    <r>
      <rPr>
        <sz val="9"/>
        <rFont val="等线"/>
        <charset val="134"/>
      </rPr>
      <t>VC BD;Funding 5.62€；</t>
    </r>
    <r>
      <rPr>
        <sz val="10"/>
        <color rgb="FFFF0000"/>
        <rFont val="宋体"/>
        <charset val="134"/>
      </rPr>
      <t>无广告预算</t>
    </r>
  </si>
  <si>
    <t>Funding 5.25，广告2，毛利-0.75</t>
  </si>
  <si>
    <t>VC Price discount:Funding 4.31€</t>
  </si>
  <si>
    <t>VC Price discount:Funding 3€</t>
  </si>
  <si>
    <t>Funding 5.25，广告2，毛利-0.47</t>
  </si>
  <si>
    <t>VC Price discount:Funding 4.34€</t>
  </si>
  <si>
    <r>
      <rPr>
        <sz val="9"/>
        <rFont val="等线"/>
        <charset val="134"/>
      </rPr>
      <t>VC BD;Funding 6.22€；</t>
    </r>
    <r>
      <rPr>
        <sz val="10"/>
        <color rgb="FFFF0000"/>
        <rFont val="宋体"/>
        <charset val="134"/>
      </rPr>
      <t>无广告预算</t>
    </r>
  </si>
  <si>
    <t>Funding 12.3，广告8，毛利0.78</t>
  </si>
  <si>
    <t>BD:11.18-11.19 FUNDING (SC)</t>
  </si>
  <si>
    <t>Funding 12.3，广告8，毛利-1.37</t>
  </si>
  <si>
    <t>黑五活动价格修改</t>
  </si>
  <si>
    <t>Funding 12.3，广告8，毛利-0.7</t>
  </si>
  <si>
    <t>Funding 12.3，广告8，毛利0.1</t>
  </si>
  <si>
    <t>Funding 11.25，广告8，毛利0.4</t>
  </si>
  <si>
    <t>Funding 3，广告2，毛利-0.13</t>
  </si>
  <si>
    <r>
      <rPr>
        <sz val="9"/>
        <rFont val="等线"/>
        <charset val="134"/>
      </rPr>
      <t>VM提报 BFCM;Funding 4.71€；</t>
    </r>
    <r>
      <rPr>
        <sz val="10"/>
        <color rgb="FFFF0000"/>
        <rFont val="宋体"/>
        <charset val="134"/>
      </rPr>
      <t>无广告预算</t>
    </r>
  </si>
  <si>
    <t>Discount：2.5€</t>
  </si>
  <si>
    <t>Funding 3，广告2，毛利-0.65</t>
  </si>
  <si>
    <t>VC Price discount:Funding 3.34€</t>
  </si>
  <si>
    <t>Funding 3，广告2，毛利-0.48</t>
  </si>
  <si>
    <t>VC Price discount:Funding 2.46€</t>
  </si>
  <si>
    <t>Funding 3，广告2，毛利-0.29</t>
  </si>
  <si>
    <t>VC BD;Funding 2.48€；</t>
  </si>
  <si>
    <r>
      <rPr>
        <sz val="9"/>
        <rFont val="等线"/>
        <charset val="134"/>
      </rPr>
      <t>VM提报 BFCM;Funding 4.85€；</t>
    </r>
    <r>
      <rPr>
        <sz val="10"/>
        <color rgb="FFFF0000"/>
        <rFont val="宋体"/>
        <charset val="134"/>
      </rPr>
      <t>无广告预算</t>
    </r>
  </si>
  <si>
    <t>Funding 2.85，广告2，毛利0.28</t>
  </si>
  <si>
    <t>VC BD;Funding 2￡；</t>
  </si>
  <si>
    <t>Brand</t>
  </si>
  <si>
    <t>原PO售价
外币</t>
  </si>
  <si>
    <t>原建议售价(含税)
亚马逊售价-外币</t>
  </si>
  <si>
    <t>后台PO价</t>
  </si>
  <si>
    <t>对比
PO价</t>
  </si>
  <si>
    <t>尾程
外币</t>
  </si>
  <si>
    <t>头程 
*1.5</t>
  </si>
  <si>
    <t>23年
3月</t>
  </si>
  <si>
    <t>Z0002UK</t>
  </si>
  <si>
    <t>Z0002EU</t>
  </si>
  <si>
    <t>日历工作计划表</t>
  </si>
  <si>
    <t>序号</t>
  </si>
  <si>
    <t>项目名称</t>
  </si>
  <si>
    <t>开始日期</t>
  </si>
  <si>
    <t>结束日期</t>
  </si>
  <si>
    <t>已持续天数</t>
  </si>
  <si>
    <t>剩余天数</t>
  </si>
  <si>
    <t>项目负责人</t>
  </si>
  <si>
    <t>重要程度</t>
  </si>
  <si>
    <t>项目1</t>
  </si>
  <si>
    <t>张三</t>
  </si>
  <si>
    <t>重要</t>
  </si>
  <si>
    <t>项目2</t>
  </si>
  <si>
    <t>中等</t>
  </si>
  <si>
    <t>一</t>
  </si>
  <si>
    <t>二</t>
  </si>
  <si>
    <t>三</t>
  </si>
  <si>
    <t>四</t>
  </si>
  <si>
    <t>五</t>
  </si>
  <si>
    <t>六</t>
  </si>
  <si>
    <t>项目3</t>
  </si>
  <si>
    <t>日常</t>
  </si>
  <si>
    <t>项目4</t>
  </si>
  <si>
    <t>项目5</t>
  </si>
  <si>
    <t>项目6</t>
  </si>
  <si>
    <t>项目7</t>
  </si>
  <si>
    <t>项目8</t>
  </si>
  <si>
    <t>项目9</t>
  </si>
  <si>
    <t>项目10</t>
  </si>
  <si>
    <t>本月重要提醒事项</t>
  </si>
  <si>
    <t>项目1招商引资</t>
  </si>
  <si>
    <t>第二季度会议</t>
  </si>
  <si>
    <t>陪同张总去上海出差</t>
  </si>
  <si>
    <t>去虹桥机场接待王总</t>
  </si>
  <si>
    <t>产品分配时间</t>
  </si>
  <si>
    <t>产品定位</t>
  </si>
  <si>
    <t>店铺</t>
  </si>
  <si>
    <t>开发人员</t>
  </si>
  <si>
    <t>部门主管</t>
  </si>
  <si>
    <t>环节1:种子链接布局</t>
  </si>
  <si>
    <t xml:space="preserve">竞对信息收集-发货前任务 </t>
  </si>
  <si>
    <t>多变体和其他站点布局 情况  -发货前任务</t>
  </si>
  <si>
    <t>建立关键词库- 上架前任务</t>
  </si>
  <si>
    <t>环节1:布局关键词收录布局 埋词技巧-上架前任务</t>
  </si>
  <si>
    <t>项目跟进表  完成情况  -发货前任务</t>
  </si>
  <si>
    <t>市场调研</t>
  </si>
  <si>
    <t>新品推广计划，广告</t>
  </si>
  <si>
    <t>透明计划 布局情况  -发货前任务</t>
  </si>
  <si>
    <t>盈利模型分析</t>
  </si>
  <si>
    <t>欧洲除螨仪  VC 选品利润测算表_EU V1.0欧洲五国</t>
  </si>
  <si>
    <t>备货规划  -发货前任务</t>
  </si>
  <si>
    <t xml:space="preserve">ASIN   </t>
  </si>
  <si>
    <t># 出货数量</t>
  </si>
  <si>
    <t>#具体出货时间</t>
  </si>
  <si>
    <t>预计到货时间(FBA)</t>
  </si>
  <si>
    <t>开售时间 手动填写</t>
  </si>
  <si>
    <t>环节1:开发包材需求表-发货前任务</t>
  </si>
  <si>
    <t>开发提交包材需求的具体时间</t>
  </si>
  <si>
    <t>环节2:布局直评-发货后</t>
  </si>
  <si>
    <t xml:space="preserve">环节2:运营产品图片需求表--发货后  </t>
  </si>
  <si>
    <t>运营提交产品图片需求时间</t>
  </si>
  <si>
    <t>运营提交产品视频需求时间</t>
  </si>
  <si>
    <t>Review</t>
  </si>
  <si>
    <t>运营提交产品测评需求时间</t>
  </si>
  <si>
    <t>客服部完成测评时间</t>
  </si>
  <si>
    <t>Q&amp;A</t>
  </si>
  <si>
    <t>运营提交产品问答需求时间</t>
  </si>
  <si>
    <t>客服部完成问答时间</t>
  </si>
  <si>
    <t>主图视频</t>
  </si>
  <si>
    <t>设计部完成视频时间</t>
  </si>
  <si>
    <t>Related Videos</t>
  </si>
  <si>
    <t>运营提交产品相关视频需求时间</t>
  </si>
  <si>
    <t>推广部完成视频时间</t>
  </si>
  <si>
    <t>环节2:开发产品图片需求表--发货后</t>
  </si>
  <si>
    <t>开发提交产品设计需求时间</t>
  </si>
  <si>
    <t>产品图片完结时间</t>
  </si>
  <si>
    <t>环节2:检查图片详情属性-关键词打标</t>
  </si>
  <si>
    <t>环节2:运营提供自拍视频需求表-上架前任务</t>
  </si>
  <si>
    <t>运营提供自拍视频需求表时间</t>
  </si>
  <si>
    <t>环节2:网红视频-上架前任务</t>
  </si>
  <si>
    <t>视频完结时间 -上架前任务</t>
  </si>
  <si>
    <t>品牌故事 -上架前任务</t>
  </si>
  <si>
    <t>品牌旗舰店装修 -上架前任务</t>
  </si>
  <si>
    <t>环节2:上架前任务完结时间</t>
  </si>
  <si>
    <t>环节3:QA-上架后任务</t>
  </si>
  <si>
    <t>检查asin收录，节点，类目，  -上架前任务</t>
  </si>
  <si>
    <t>检查产品属性填写完成度</t>
  </si>
  <si>
    <t>环节3:产品关联-上架后任务</t>
  </si>
  <si>
    <t>环节3:划线价-激活listing</t>
  </si>
  <si>
    <t>环节3:划线价完结时间</t>
  </si>
  <si>
    <t>环节3:listing审核时间</t>
  </si>
  <si>
    <t>环节3:该listing完成度 %</t>
  </si>
  <si>
    <t>环节3:关键词上首页-推广前期准备</t>
  </si>
  <si>
    <t>环节3:站外辅助--推广中的配合</t>
  </si>
  <si>
    <t>关键上首页完结时间</t>
  </si>
  <si>
    <t>环节3:五星评论布局-推广前期准备</t>
  </si>
  <si>
    <t>五星评论完结时间</t>
  </si>
  <si>
    <t>父记录</t>
  </si>
  <si>
    <t>A:文案(埋词)</t>
  </si>
  <si>
    <t>关键词库搭建</t>
  </si>
  <si>
    <t>完成情况</t>
  </si>
  <si>
    <t>项目跟进表</t>
  </si>
  <si>
    <t>备选</t>
  </si>
  <si>
    <t>参考资料</t>
  </si>
  <si>
    <t>Z0001EU</t>
  </si>
  <si>
    <t>SC电动牙刷黑色 德国站</t>
  </si>
  <si>
    <t>主推款</t>
  </si>
  <si>
    <t>祥乐牛 EU+US和tiktok店铺</t>
  </si>
  <si>
    <t>马孝飞</t>
  </si>
  <si>
    <t>X</t>
  </si>
  <si>
    <t>NO</t>
  </si>
  <si>
    <t>-</t>
  </si>
  <si>
    <t>YES 布局多变体 合并国际评论，VINE</t>
  </si>
  <si>
    <t>德国 电动牙刷关键词收集数据-德国标题2关键词库搭建</t>
  </si>
  <si>
    <t>YES</t>
  </si>
  <si>
    <t>德国电动牙刷- 项目跟进表-阳亚运-20250325</t>
  </si>
  <si>
    <t>市调</t>
  </si>
  <si>
    <t>电动牙刷德国ASIN 定投广告</t>
  </si>
  <si>
    <t>电动牙刷VC 选品利润测算表_EU V1.0欧洲五国</t>
  </si>
  <si>
    <t>SC电动牙刷黑色 德国站432空运</t>
  </si>
  <si>
    <t>B0F1F6W85W</t>
  </si>
  <si>
    <t>1+10+10VP+10VINE</t>
  </si>
  <si>
    <t>3组</t>
  </si>
  <si>
    <t xml:space="preserve">3.1关键词库高效搭建策略方法.pdf </t>
  </si>
  <si>
    <t>已完成</t>
  </si>
  <si>
    <t>项目跟进表模板</t>
  </si>
  <si>
    <t>Listing后台全属性填写标准</t>
  </si>
  <si>
    <t>Z0001UK</t>
  </si>
  <si>
    <t>SC电动牙刷黑色 英国站</t>
  </si>
  <si>
    <t>英国 电动牙刷关键词收集数据-德国标题2关键词库搭建</t>
  </si>
  <si>
    <t>英国电动牙刷- 项目跟进表-阳亚运-20250325</t>
  </si>
  <si>
    <t>SC电动牙刷黑色 英国站270空运</t>
  </si>
  <si>
    <t>B0F1F5JSWK</t>
  </si>
  <si>
    <t>项目跟进表--20241016</t>
  </si>
  <si>
    <t>SC电动牙刷白色 德国站</t>
  </si>
  <si>
    <t>SC电动牙刷白色 德国站432空运</t>
  </si>
  <si>
    <t>B0F1TQRVJK</t>
  </si>
  <si>
    <t>SC电动牙刷白色 英国站</t>
  </si>
  <si>
    <t>SC电动牙刷白色 英国站270空运</t>
  </si>
  <si>
    <t>B0F1TWR4BJ</t>
  </si>
  <si>
    <t>SC除螨仪灰色 德国站</t>
  </si>
  <si>
    <t>唐高峰</t>
  </si>
  <si>
    <t>德国除螨仪竞品分析</t>
  </si>
  <si>
    <t>德国除螨仪标题和关键词库搭建</t>
  </si>
  <si>
    <t>德国除螨仪 - 项目跟进表-阳亚运-20250325</t>
  </si>
  <si>
    <t>除螨仪市调</t>
  </si>
  <si>
    <t>德国除螨仪的推广计划——德国除螨仪 欧洲</t>
  </si>
  <si>
    <t>德国除螨仪 -盈利模型分析</t>
  </si>
  <si>
    <t>欧洲除螨仪 VC 选品利润测算表_EU V1.0欧洲五国</t>
  </si>
  <si>
    <t>SC除螨仪灰色 德国站360铁路</t>
  </si>
  <si>
    <t>B0F1F7J8V3</t>
  </si>
  <si>
    <t>1+10+9VP+2VINE</t>
  </si>
  <si>
    <t>SC除螨仪灰色 英国站</t>
  </si>
  <si>
    <t>英国除螨仪标题 关键词库搭建</t>
  </si>
  <si>
    <t>英国除螨仪 - 项目跟进表-阳亚运-20250325</t>
  </si>
  <si>
    <t>欧洲五国VC选品利润测算表EU V10</t>
  </si>
  <si>
    <t>SC除螨仪灰色 英国站160铁路</t>
  </si>
  <si>
    <t>B0F1F535PC</t>
  </si>
  <si>
    <t>VC电动牙刷黑色 德国站</t>
  </si>
  <si>
    <t>VC1_EU</t>
  </si>
  <si>
    <t>关键词词库查看SC</t>
  </si>
  <si>
    <t>项目跟进表查看SC</t>
  </si>
  <si>
    <t>VC电动牙刷黑色 德国站  540卡航1080</t>
  </si>
  <si>
    <t>VC电动牙刷黑色 德国站  540铁路0</t>
  </si>
  <si>
    <t>VC电动牙刷黑色 英国站</t>
  </si>
  <si>
    <t>VC电动牙刷黑色 英国站 540卡航</t>
  </si>
  <si>
    <t>VC电动牙刷白色 德国站</t>
  </si>
  <si>
    <t>VC电动牙刷白色 德国站  540卡航1080</t>
  </si>
  <si>
    <t>VC电动牙刷白色 德国站  540铁路0</t>
  </si>
  <si>
    <t>VC电动牙刷白色 英国站</t>
  </si>
  <si>
    <t>VC电动牙刷白色 英国站 540卡航</t>
  </si>
  <si>
    <t>VC除螨仪灰色 德国站</t>
  </si>
  <si>
    <t>VC除螨仪灰色 德国站 340卡航</t>
  </si>
  <si>
    <t>VC除螨仪灰色 德国站 1140海运</t>
  </si>
  <si>
    <t>VC除螨仪灰色 英国站</t>
  </si>
  <si>
    <t>VC除螨仪灰色 英国站 340海运</t>
  </si>
  <si>
    <t>SC牙套超声波清洗机 德国站</t>
  </si>
  <si>
    <t>德国超声波清洗机竞争程度分析</t>
  </si>
  <si>
    <t>德国牙套超声波清洗机标题和关键词库搭建</t>
  </si>
  <si>
    <t>超声波清洗机市调</t>
  </si>
  <si>
    <t>SC牙套超声波清洗机 英国站</t>
  </si>
  <si>
    <t>SC杆式吸尘器 德国站</t>
  </si>
  <si>
    <t>杆式吸尘器竞品分析-84ASIN</t>
  </si>
  <si>
    <t>杆式吸尘器市调</t>
  </si>
  <si>
    <t>SC杆式吸尘器 英国站</t>
  </si>
  <si>
    <t>SC空气净化器德国站</t>
  </si>
  <si>
    <t>空气净化器 竞品分析</t>
  </si>
  <si>
    <t>德国空气净化器标题和关键词库搭建</t>
  </si>
  <si>
    <t>德国空气净化器 - 项目跟进表-阳亚运-20250611</t>
  </si>
  <si>
    <t>空气净化器市调</t>
  </si>
  <si>
    <t>SC空气净化器英国站</t>
  </si>
  <si>
    <t>英国空气净化器 - 项目跟进表-阳亚运-20250611</t>
  </si>
  <si>
    <t>VC空气净化器  德国站</t>
  </si>
  <si>
    <t>VC空气净化器  英国站</t>
  </si>
  <si>
    <t>牙齿美白德国</t>
  </si>
  <si>
    <t>牙齿美白英国</t>
  </si>
  <si>
    <t>面部按摩器德国</t>
  </si>
  <si>
    <t>面部按摩器英国</t>
  </si>
  <si>
    <t>雾化器德国</t>
  </si>
  <si>
    <t>雾化器英国</t>
  </si>
  <si>
    <t>智能电子口喷美国</t>
  </si>
  <si>
    <t>US 口喷市调 SIF所有数据oral spray</t>
  </si>
  <si>
    <t>US口喷市调 Tik Tok所有数据ALL</t>
  </si>
  <si>
    <t>智能电子口喷德国</t>
  </si>
  <si>
    <t>DE 口腔喷雾剂Mundsprays(卖家精灵)</t>
  </si>
  <si>
    <t>智能电子口喷英国</t>
  </si>
  <si>
    <t>UK(口腔喷雾剂)Sprays</t>
  </si>
  <si>
    <t>RS1棘轮螺丝刀套装英国，</t>
  </si>
  <si>
    <t>新款</t>
  </si>
  <si>
    <t>RS1棘轮螺丝刀套装，欧洲</t>
  </si>
  <si>
    <t>T2225启动电源&amp;充气泵，</t>
  </si>
  <si>
    <t>HPS39精密螺丝刀套装，</t>
  </si>
  <si>
    <t>HES62电动精密螺丝刀，</t>
  </si>
  <si>
    <t>HM0007EU-XLN</t>
  </si>
  <si>
    <t>EGSl11电烙铁套装，</t>
  </si>
  <si>
    <t>HM0008EU-XLN</t>
  </si>
  <si>
    <t>ESG11电动精密螺丝批套件，</t>
  </si>
  <si>
    <t>/</t>
  </si>
  <si>
    <t>VC025手持吸尘器</t>
  </si>
  <si>
    <t>空净</t>
  </si>
  <si>
    <t>UV杀菌牙刷架</t>
  </si>
  <si>
    <t>HM0001UK-XLN</t>
  </si>
  <si>
    <t>VC025手持吸尘器英国</t>
  </si>
  <si>
    <t>VC025手持吸尘器欧洲</t>
  </si>
  <si>
    <t>批次</t>
  </si>
  <si>
    <t>数量</t>
  </si>
  <si>
    <t>单价</t>
  </si>
  <si>
    <t>报关+清关</t>
  </si>
  <si>
    <t>关税</t>
  </si>
  <si>
    <t>总费用</t>
  </si>
  <si>
    <t>均价</t>
  </si>
  <si>
    <t>货代</t>
  </si>
  <si>
    <t>付款</t>
  </si>
  <si>
    <t>No-2025021101</t>
  </si>
  <si>
    <t>佳景</t>
  </si>
  <si>
    <t>已付</t>
  </si>
  <si>
    <t>普船</t>
  </si>
  <si>
    <t>降关税</t>
  </si>
  <si>
    <t>天运</t>
  </si>
  <si>
    <t>整柜</t>
  </si>
  <si>
    <t>4PX</t>
  </si>
  <si>
    <t>飞高</t>
  </si>
  <si>
    <t>空运-C1</t>
  </si>
  <si>
    <t>美易</t>
  </si>
  <si>
    <t>铁路-UPS</t>
  </si>
  <si>
    <t>空运-A0</t>
  </si>
  <si>
    <t>铁路-DPD</t>
  </si>
  <si>
    <t>No-2025062702</t>
  </si>
  <si>
    <t>嘀嗒嘀</t>
  </si>
  <si>
    <t>No-2025062701</t>
  </si>
  <si>
    <t>欧铁</t>
  </si>
  <si>
    <t>No-2025063001</t>
  </si>
  <si>
    <t>散货</t>
  </si>
  <si>
    <t>保英达</t>
  </si>
  <si>
    <t>No-2025090201</t>
  </si>
  <si>
    <t>No-2025080801</t>
  </si>
  <si>
    <t>视频链接</t>
  </si>
  <si>
    <t>https://www.tiktok.com/@/video/7507733538158972191?shop_region=US</t>
  </si>
  <si>
    <t>https://www.tiktok.com/@/video/7505007970158185771?shop_region=US</t>
  </si>
  <si>
    <t>https://www.tiktok.com/@/video/7510315444860063022?shop_region=US</t>
  </si>
  <si>
    <t>https://www.tiktok.com/@/video/7509468659413372206?shop_region=US</t>
  </si>
  <si>
    <t>https://www.tiktok.com/@/video/7507463120143600939?shop_region=US</t>
  </si>
  <si>
    <t>https://www.tiktok.com/@/video/7509602854680710443?shop_region=US</t>
  </si>
  <si>
    <t>https://www.tiktok.com/@/video/7512260049553607966?shop_region=US</t>
  </si>
  <si>
    <t>https://www.tiktok.com/@/video/7510281518846135582?shop_region=US</t>
  </si>
  <si>
    <t>https://www.tiktok.com/@/video/7512121539337194782?shop_region=US</t>
  </si>
  <si>
    <t>https://www.tiktok.com/@/video/7512217482250177838?shop_region=US</t>
  </si>
  <si>
    <t>https://www.tiktok.com/@/video/7510822530660289823?shop_region=US</t>
  </si>
  <si>
    <t>https://www.tiktok.com/@/video/7513258934547860779?shop_region=US</t>
  </si>
  <si>
    <t>2025年10月1日生效（减2.5%）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</si>
</sst>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_);[Red]\(#,##0.0\)"/>
    <numFmt numFmtId="177" formatCode="0.0"/>
    <numFmt numFmtId="178" formatCode="yyyy/m/d;@"/>
    <numFmt numFmtId="179" formatCode="d"/>
    <numFmt numFmtId="180" formatCode="0.00_ ;[Red]\-0.00\ "/>
    <numFmt numFmtId="181" formatCode="0.00_);[Red]\(0.00\)"/>
    <numFmt numFmtId="182" formatCode="0.0%"/>
    <numFmt numFmtId="183" formatCode="0.0_ ;[Red]\-0.0\ "/>
    <numFmt numFmtId="184" formatCode="0_ "/>
    <numFmt numFmtId="185" formatCode="0_);[Red]\(0\)"/>
    <numFmt numFmtId="186" formatCode="m/d;@"/>
    <numFmt numFmtId="187" formatCode="m&quot;月&quot;d&quot;日&quot;;@"/>
    <numFmt numFmtId="188" formatCode="\¥#,##0.00_);[Red]\(\¥#,##0.00\)"/>
    <numFmt numFmtId="189" formatCode="&quot;$&quot;#,##0.00;[Red]\-&quot;$&quot;#,##0.00"/>
    <numFmt numFmtId="190" formatCode="&quot;$&quot;#,##0.00_);[Red]\(&quot;$&quot;#,##0.00\)"/>
    <numFmt numFmtId="191" formatCode="&quot;$&quot;#,##0.0_);[Red]\(&quot;$&quot;#,##0.0\)"/>
    <numFmt numFmtId="192" formatCode="\¥#,##0.0_);[Red]\(\¥#,##0.0\)"/>
    <numFmt numFmtId="193" formatCode="&quot;$&quot;#,##0.0;[Red]\-&quot;$&quot;#,##0.0"/>
  </numFmts>
  <fonts count="62">
    <font>
      <sz val="9"/>
      <name val="等线"/>
      <charset val="64"/>
    </font>
    <font>
      <sz val="9"/>
      <name val="等线"/>
      <charset val="134"/>
    </font>
    <font>
      <sz val="12"/>
      <name val="BlinkMacSystemFont"/>
      <charset val="134"/>
    </font>
    <font>
      <u/>
      <sz val="12"/>
      <color rgb="FF3861AF"/>
      <name val="BlinkMacSystemFont"/>
      <charset val="134"/>
    </font>
    <font>
      <u/>
      <sz val="12"/>
      <color rgb="FF0066CC"/>
      <name val="BlinkMacSystemFont"/>
      <charset val="134"/>
    </font>
    <font>
      <sz val="14"/>
      <name val="BlinkMacSystemFont"/>
      <charset val="134"/>
    </font>
    <font>
      <sz val="9"/>
      <name val="BlinkMacSystemFont"/>
      <charset val="134"/>
    </font>
    <font>
      <b/>
      <sz val="9"/>
      <name val="等线"/>
      <charset val="134"/>
    </font>
    <font>
      <b/>
      <sz val="9"/>
      <name val="BlinkMacSystemFont"/>
      <charset val="134"/>
    </font>
    <font>
      <u/>
      <sz val="9"/>
      <color rgb="FF0066CC"/>
      <name val="BlinkMacSystemFont"/>
      <charset val="134"/>
    </font>
    <font>
      <sz val="9"/>
      <color rgb="FF000000"/>
      <name val="等线"/>
      <charset val="134"/>
    </font>
    <font>
      <sz val="8"/>
      <color rgb="FF000000"/>
      <name val="BlinkMacSystemFont"/>
      <charset val="134"/>
    </font>
    <font>
      <u/>
      <sz val="9"/>
      <color rgb="FF3861AF"/>
      <name val="等线"/>
      <charset val="134"/>
    </font>
    <font>
      <u/>
      <sz val="9"/>
      <color rgb="FF3861AF"/>
      <name val="BlinkMacSystemFont"/>
      <charset val="134"/>
    </font>
    <font>
      <sz val="9"/>
      <color rgb="FF000000"/>
      <name val="BlinkMacSystemFont"/>
      <charset val="134"/>
    </font>
    <font>
      <u/>
      <sz val="9"/>
      <color rgb="FF0066CC"/>
      <name val="等线"/>
      <charset val="134"/>
    </font>
    <font>
      <sz val="11"/>
      <name val="等线"/>
      <charset val="134"/>
    </font>
    <font>
      <b/>
      <sz val="18"/>
      <color rgb="FFEE7976"/>
      <name val="等线"/>
      <charset val="134"/>
    </font>
    <font>
      <b/>
      <sz val="10"/>
      <name val="等线"/>
      <charset val="134"/>
    </font>
    <font>
      <sz val="10"/>
      <name val="等线"/>
      <charset val="134"/>
    </font>
    <font>
      <b/>
      <sz val="14"/>
      <name val="等线"/>
      <charset val="134"/>
    </font>
    <font>
      <sz val="14"/>
      <name val="等线"/>
      <charset val="134"/>
    </font>
    <font>
      <b/>
      <sz val="12"/>
      <color rgb="FFFFFFFF"/>
      <name val="等线"/>
      <charset val="134"/>
    </font>
    <font>
      <b/>
      <sz val="11"/>
      <name val="等线"/>
      <charset val="134"/>
    </font>
    <font>
      <sz val="12"/>
      <name val="等线"/>
      <charset val="134"/>
    </font>
    <font>
      <b/>
      <sz val="12"/>
      <name val="等线"/>
      <charset val="134"/>
    </font>
    <font>
      <sz val="11"/>
      <color rgb="FFEE7976"/>
      <name val="等线"/>
      <charset val="134"/>
    </font>
    <font>
      <sz val="11"/>
      <color rgb="FFFFFFFF"/>
      <name val="等线"/>
      <charset val="134"/>
    </font>
    <font>
      <b/>
      <sz val="10"/>
      <color rgb="FF0D0015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rgb="FF0D0015"/>
      <name val="微软雅黑"/>
      <charset val="134"/>
    </font>
    <font>
      <b/>
      <sz val="9"/>
      <name val="微软雅黑"/>
      <charset val="134"/>
    </font>
    <font>
      <b/>
      <sz val="9"/>
      <color rgb="FF0D0015"/>
      <name val="微软雅黑"/>
      <charset val="134"/>
    </font>
    <font>
      <sz val="9"/>
      <name val="微软雅黑"/>
      <charset val="134"/>
    </font>
    <font>
      <sz val="9"/>
      <color rgb="FF0D0015"/>
      <name val="微软雅黑"/>
      <charset val="134"/>
    </font>
    <font>
      <sz val="8"/>
      <name val="微软雅黑"/>
      <charset val="64"/>
    </font>
    <font>
      <b/>
      <sz val="8"/>
      <name val="微软雅黑"/>
      <charset val="134"/>
    </font>
    <font>
      <b/>
      <sz val="8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</font>
    <font>
      <sz val="9"/>
      <color rgb="FF000000"/>
      <name val="宋体"/>
      <charset val="0"/>
      <scheme val="minor"/>
    </font>
    <font>
      <sz val="12"/>
      <color rgb="FF000000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FFD900"/>
        <bgColor indexed="64"/>
      </patternFill>
    </fill>
    <fill>
      <patternFill patternType="solid">
        <fgColor rgb="FFFF78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F0"/>
        <bgColor indexed="64"/>
      </patternFill>
    </fill>
    <fill>
      <patternFill patternType="solid">
        <fgColor rgb="FFFBD4D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8C091"/>
        <bgColor indexed="64"/>
      </patternFill>
    </fill>
    <fill>
      <patternFill patternType="solid">
        <fgColor rgb="FFEE7976"/>
        <bgColor indexed="64"/>
      </patternFill>
    </fill>
    <fill>
      <patternFill patternType="solid">
        <fgColor rgb="FF4DA8EE"/>
        <bgColor indexed="64"/>
      </patternFill>
    </fill>
    <fill>
      <patternFill patternType="solid">
        <fgColor rgb="FFD7D8D9"/>
        <bgColor indexed="64"/>
      </patternFill>
    </fill>
    <fill>
      <patternFill patternType="solid">
        <fgColor rgb="FF956FE7"/>
        <bgColor indexed="64"/>
      </patternFill>
    </fill>
    <fill>
      <patternFill patternType="solid">
        <fgColor rgb="FF9C8EC1"/>
        <bgColor indexed="64"/>
      </patternFill>
    </fill>
    <fill>
      <patternFill patternType="solid">
        <fgColor rgb="FFA3E043"/>
        <bgColor indexed="64"/>
      </patternFill>
    </fill>
    <fill>
      <patternFill patternType="solid">
        <fgColor rgb="FF37D9F0"/>
        <bgColor indexed="64"/>
      </patternFill>
    </fill>
    <fill>
      <patternFill patternType="solid">
        <fgColor rgb="FF98FA1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FBD4D0"/>
      </left>
      <right style="thin">
        <color rgb="FFFBD4D0"/>
      </right>
      <top style="thin">
        <color rgb="FFFBD4D0"/>
      </top>
      <bottom style="thin">
        <color rgb="FFFBD4D0"/>
      </bottom>
      <diagonal/>
    </border>
    <border>
      <left style="thin">
        <color rgb="FFFBD4D0"/>
      </left>
      <right/>
      <top style="thin">
        <color rgb="FFFBD4D0"/>
      </top>
      <bottom/>
      <diagonal/>
    </border>
    <border>
      <left/>
      <right/>
      <top style="thin">
        <color rgb="FFFBD4D0"/>
      </top>
      <bottom/>
      <diagonal/>
    </border>
    <border>
      <left/>
      <right style="thin">
        <color rgb="FFFBD4D0"/>
      </right>
      <top style="thin">
        <color rgb="FFFBD4D0"/>
      </top>
      <bottom/>
      <diagonal/>
    </border>
    <border>
      <left style="thin">
        <color rgb="FFFBD4D0"/>
      </left>
      <right/>
      <top/>
      <bottom/>
      <diagonal/>
    </border>
    <border>
      <left/>
      <right style="thin">
        <color rgb="FFFBD4D0"/>
      </right>
      <top/>
      <bottom/>
      <diagonal/>
    </border>
    <border>
      <left style="thin">
        <color rgb="FFFBD4D0"/>
      </left>
      <right/>
      <top/>
      <bottom style="thin">
        <color rgb="FFFBD4D0"/>
      </bottom>
      <diagonal/>
    </border>
    <border>
      <left/>
      <right/>
      <top/>
      <bottom style="thin">
        <color rgb="FFFBD4D0"/>
      </bottom>
      <diagonal/>
    </border>
    <border>
      <left/>
      <right style="thin">
        <color rgb="FFFBD4D0"/>
      </right>
      <top/>
      <bottom style="thin">
        <color rgb="FFFBD4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9" fillId="0" borderId="0" applyFont="0" applyFill="0" applyBorder="0" applyAlignment="0" applyProtection="0">
      <alignment vertical="center"/>
    </xf>
    <xf numFmtId="44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2" fontId="39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9" fillId="19" borderId="19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0" borderId="22" applyNumberFormat="0" applyAlignment="0" applyProtection="0">
      <alignment vertical="center"/>
    </xf>
    <xf numFmtId="0" fontId="49" fillId="7" borderId="23" applyNumberFormat="0" applyAlignment="0" applyProtection="0">
      <alignment vertical="center"/>
    </xf>
    <xf numFmtId="0" fontId="50" fillId="7" borderId="22" applyNumberFormat="0" applyAlignment="0" applyProtection="0">
      <alignment vertical="center"/>
    </xf>
    <xf numFmtId="0" fontId="51" fillId="21" borderId="24" applyNumberFormat="0" applyAlignment="0" applyProtection="0">
      <alignment vertical="center"/>
    </xf>
    <xf numFmtId="0" fontId="52" fillId="0" borderId="25" applyNumberFormat="0" applyFill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8" fillId="46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</cellStyleXfs>
  <cellXfs count="295">
    <xf numFmtId="0" fontId="0" fillId="0" borderId="0" xfId="0" applyFont="1">
      <alignment vertical="center"/>
    </xf>
    <xf numFmtId="0" fontId="1" fillId="0" borderId="0" xfId="0" applyFont="1">
      <alignment vertical="center"/>
    </xf>
    <xf numFmtId="10" fontId="1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0" fontId="2" fillId="2" borderId="0" xfId="0" applyNumberFormat="1" applyFont="1" applyFill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4" fillId="0" borderId="0" xfId="0" applyNumberFormat="1" applyFont="1" applyAlignment="1"/>
    <xf numFmtId="0" fontId="5" fillId="0" borderId="0" xfId="0" applyNumberFormat="1" applyFont="1" applyAlignment="1">
      <alignment horizontal="center" vertical="center"/>
    </xf>
    <xf numFmtId="0" fontId="6" fillId="0" borderId="0" xfId="0" applyNumberFormat="1" applyFont="1" applyAlignment="1"/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40" fontId="7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40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NumberFormat="1" applyFont="1">
      <alignment vertical="center"/>
    </xf>
    <xf numFmtId="177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0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11" fillId="0" borderId="0" xfId="0" applyNumberFormat="1" applyFont="1">
      <alignment vertical="center"/>
    </xf>
    <xf numFmtId="9" fontId="6" fillId="0" borderId="0" xfId="0" applyNumberFormat="1" applyFont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12" fillId="0" borderId="0" xfId="0" applyNumberFormat="1" applyFont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  <xf numFmtId="0" fontId="15" fillId="0" borderId="0" xfId="0" applyNumberFormat="1" applyFont="1">
      <alignment vertical="center"/>
    </xf>
    <xf numFmtId="0" fontId="12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178" fontId="16" fillId="0" borderId="0" xfId="0" applyNumberFormat="1" applyFont="1" applyAlignment="1">
      <alignment horizontal="center" vertical="center"/>
    </xf>
    <xf numFmtId="0" fontId="16" fillId="0" borderId="0" xfId="0" applyFont="1">
      <alignment vertical="center"/>
    </xf>
    <xf numFmtId="0" fontId="17" fillId="5" borderId="0" xfId="0" applyFont="1" applyFill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178" fontId="18" fillId="6" borderId="1" xfId="0" applyNumberFormat="1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3" xfId="0" applyFont="1" applyFill="1" applyBorder="1">
      <alignment vertical="center"/>
    </xf>
    <xf numFmtId="0" fontId="16" fillId="6" borderId="4" xfId="0" applyFont="1" applyFill="1" applyBorder="1">
      <alignment vertical="center"/>
    </xf>
    <xf numFmtId="0" fontId="19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0" fillId="6" borderId="0" xfId="0" applyFont="1" applyFill="1" applyAlignment="1"/>
    <xf numFmtId="0" fontId="20" fillId="6" borderId="0" xfId="0" applyFont="1" applyFill="1">
      <alignment vertical="center"/>
    </xf>
    <xf numFmtId="0" fontId="21" fillId="6" borderId="0" xfId="0" applyFont="1" applyFill="1">
      <alignment vertical="center"/>
    </xf>
    <xf numFmtId="0" fontId="21" fillId="6" borderId="6" xfId="0" applyFont="1" applyFill="1" applyBorder="1">
      <alignment vertical="center"/>
    </xf>
    <xf numFmtId="0" fontId="19" fillId="7" borderId="1" xfId="0" applyFont="1" applyFill="1" applyBorder="1" applyAlignment="1">
      <alignment horizontal="center" vertical="center"/>
    </xf>
    <xf numFmtId="14" fontId="19" fillId="7" borderId="1" xfId="0" applyNumberFormat="1" applyFont="1" applyFill="1" applyBorder="1" applyAlignment="1">
      <alignment horizontal="center" vertical="center"/>
    </xf>
    <xf numFmtId="179" fontId="19" fillId="5" borderId="5" xfId="0" applyNumberFormat="1" applyFont="1" applyFill="1" applyBorder="1" applyAlignment="1">
      <alignment horizontal="center" vertical="center"/>
    </xf>
    <xf numFmtId="179" fontId="19" fillId="5" borderId="0" xfId="0" applyNumberFormat="1" applyFont="1" applyFill="1" applyAlignment="1">
      <alignment horizontal="center" vertical="center"/>
    </xf>
    <xf numFmtId="179" fontId="19" fillId="5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179" fontId="19" fillId="0" borderId="5" xfId="0" applyNumberFormat="1" applyFont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179" fontId="19" fillId="0" borderId="6" xfId="0" applyNumberFormat="1" applyFont="1" applyBorder="1" applyAlignment="1">
      <alignment horizontal="center" vertical="center"/>
    </xf>
    <xf numFmtId="179" fontId="23" fillId="0" borderId="0" xfId="0" applyNumberFormat="1" applyFont="1" applyAlignment="1">
      <alignment horizontal="center" vertical="center"/>
    </xf>
    <xf numFmtId="179" fontId="24" fillId="5" borderId="7" xfId="0" applyNumberFormat="1" applyFont="1" applyFill="1" applyBorder="1" applyAlignment="1">
      <alignment horizontal="center" vertical="center"/>
    </xf>
    <xf numFmtId="179" fontId="24" fillId="5" borderId="8" xfId="0" applyNumberFormat="1" applyFont="1" applyFill="1" applyBorder="1">
      <alignment vertical="center"/>
    </xf>
    <xf numFmtId="179" fontId="24" fillId="5" borderId="9" xfId="0" applyNumberFormat="1" applyFont="1" applyFill="1" applyBorder="1">
      <alignment vertical="center"/>
    </xf>
    <xf numFmtId="179" fontId="16" fillId="0" borderId="0" xfId="0" applyNumberFormat="1" applyFont="1">
      <alignment vertical="center"/>
    </xf>
    <xf numFmtId="0" fontId="25" fillId="6" borderId="10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26" fillId="0" borderId="13" xfId="0" applyFont="1" applyBorder="1" applyAlignment="1"/>
    <xf numFmtId="0" fontId="16" fillId="0" borderId="11" xfId="0" applyFont="1" applyBorder="1">
      <alignment vertical="center"/>
    </xf>
    <xf numFmtId="0" fontId="16" fillId="0" borderId="12" xfId="0" applyFont="1" applyBorder="1">
      <alignment vertical="center"/>
    </xf>
    <xf numFmtId="0" fontId="26" fillId="0" borderId="13" xfId="0" applyFont="1" applyBorder="1">
      <alignment vertical="center"/>
    </xf>
    <xf numFmtId="0" fontId="2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0" fontId="28" fillId="0" borderId="14" xfId="0" applyNumberFormat="1" applyFont="1" applyBorder="1" applyAlignment="1">
      <alignment horizontal="center" vertical="center" wrapText="1"/>
    </xf>
    <xf numFmtId="0" fontId="28" fillId="0" borderId="14" xfId="0" applyNumberFormat="1" applyFont="1" applyBorder="1" applyAlignment="1">
      <alignment horizontal="center" vertical="center"/>
    </xf>
    <xf numFmtId="180" fontId="29" fillId="8" borderId="14" xfId="0" applyNumberFormat="1" applyFont="1" applyFill="1" applyBorder="1" applyAlignment="1">
      <alignment horizontal="center" vertical="center" wrapText="1"/>
    </xf>
    <xf numFmtId="181" fontId="29" fillId="8" borderId="14" xfId="0" applyNumberFormat="1" applyFont="1" applyFill="1" applyBorder="1" applyAlignment="1">
      <alignment horizontal="center" vertical="center" wrapText="1"/>
    </xf>
    <xf numFmtId="180" fontId="29" fillId="9" borderId="14" xfId="0" applyNumberFormat="1" applyFont="1" applyFill="1" applyBorder="1" applyAlignment="1">
      <alignment horizontal="center" vertical="center" wrapText="1"/>
    </xf>
    <xf numFmtId="180" fontId="29" fillId="10" borderId="14" xfId="0" applyNumberFormat="1" applyFont="1" applyFill="1" applyBorder="1" applyAlignment="1">
      <alignment horizontal="center" vertical="center" wrapText="1"/>
    </xf>
    <xf numFmtId="181" fontId="29" fillId="10" borderId="14" xfId="0" applyNumberFormat="1" applyFont="1" applyFill="1" applyBorder="1" applyAlignment="1">
      <alignment horizontal="center" vertical="center" wrapText="1"/>
    </xf>
    <xf numFmtId="180" fontId="28" fillId="10" borderId="14" xfId="0" applyNumberFormat="1" applyFont="1" applyFill="1" applyBorder="1" applyAlignment="1">
      <alignment horizontal="center" vertical="center" wrapText="1"/>
    </xf>
    <xf numFmtId="182" fontId="28" fillId="10" borderId="14" xfId="0" applyNumberFormat="1" applyFont="1" applyFill="1" applyBorder="1" applyAlignment="1">
      <alignment horizontal="center" vertical="center" wrapText="1"/>
    </xf>
    <xf numFmtId="181" fontId="28" fillId="0" borderId="14" xfId="0" applyNumberFormat="1" applyFont="1" applyBorder="1" applyAlignment="1">
      <alignment horizontal="center" vertical="center" wrapText="1"/>
    </xf>
    <xf numFmtId="10" fontId="28" fillId="10" borderId="14" xfId="0" applyNumberFormat="1" applyFont="1" applyFill="1" applyBorder="1" applyAlignment="1">
      <alignment horizontal="center" vertical="center" wrapText="1"/>
    </xf>
    <xf numFmtId="0" fontId="28" fillId="11" borderId="14" xfId="0" applyNumberFormat="1" applyFont="1" applyFill="1" applyBorder="1" applyAlignment="1">
      <alignment horizontal="center" vertical="center" wrapText="1"/>
    </xf>
    <xf numFmtId="183" fontId="28" fillId="10" borderId="14" xfId="0" applyNumberFormat="1" applyFont="1" applyFill="1" applyBorder="1" applyAlignment="1">
      <alignment horizontal="center" vertical="center" wrapText="1"/>
    </xf>
    <xf numFmtId="181" fontId="29" fillId="9" borderId="14" xfId="0" applyNumberFormat="1" applyFont="1" applyFill="1" applyBorder="1" applyAlignment="1">
      <alignment horizontal="left" vertical="center" wrapText="1"/>
    </xf>
    <xf numFmtId="10" fontId="29" fillId="10" borderId="14" xfId="0" applyNumberFormat="1" applyFont="1" applyFill="1" applyBorder="1" applyAlignment="1">
      <alignment horizontal="center" vertical="center" wrapText="1"/>
    </xf>
    <xf numFmtId="9" fontId="29" fillId="10" borderId="14" xfId="0" applyNumberFormat="1" applyFont="1" applyFill="1" applyBorder="1" applyAlignment="1">
      <alignment horizontal="center" vertical="center" wrapText="1"/>
    </xf>
    <xf numFmtId="10" fontId="29" fillId="0" borderId="14" xfId="0" applyNumberFormat="1" applyFont="1" applyBorder="1" applyAlignment="1">
      <alignment horizontal="center" vertical="center" wrapText="1"/>
    </xf>
    <xf numFmtId="181" fontId="28" fillId="12" borderId="14" xfId="0" applyNumberFormat="1" applyFont="1" applyFill="1" applyBorder="1" applyAlignment="1">
      <alignment horizontal="left" vertical="center" wrapText="1"/>
    </xf>
    <xf numFmtId="0" fontId="28" fillId="12" borderId="14" xfId="0" applyNumberFormat="1" applyFont="1" applyFill="1" applyBorder="1" applyAlignment="1">
      <alignment horizontal="left" vertical="center" wrapText="1"/>
    </xf>
    <xf numFmtId="9" fontId="29" fillId="13" borderId="14" xfId="0" applyNumberFormat="1" applyFont="1" applyFill="1" applyBorder="1" applyAlignment="1">
      <alignment horizontal="center" vertical="center" wrapText="1"/>
    </xf>
    <xf numFmtId="181" fontId="28" fillId="12" borderId="14" xfId="0" applyNumberFormat="1" applyFont="1" applyFill="1" applyBorder="1" applyAlignment="1">
      <alignment horizontal="center" vertical="center" wrapText="1"/>
    </xf>
    <xf numFmtId="9" fontId="29" fillId="0" borderId="14" xfId="0" applyNumberFormat="1" applyFont="1" applyBorder="1" applyAlignment="1">
      <alignment horizontal="center" vertical="center" wrapText="1"/>
    </xf>
    <xf numFmtId="0" fontId="29" fillId="14" borderId="14" xfId="0" applyNumberFormat="1" applyFont="1" applyFill="1" applyBorder="1" applyAlignment="1">
      <alignment horizontal="center" vertical="center" wrapText="1"/>
    </xf>
    <xf numFmtId="9" fontId="29" fillId="14" borderId="14" xfId="0" applyNumberFormat="1" applyFont="1" applyFill="1" applyBorder="1" applyAlignment="1">
      <alignment horizontal="center" vertical="center" wrapText="1"/>
    </xf>
    <xf numFmtId="0" fontId="29" fillId="13" borderId="14" xfId="0" applyNumberFormat="1" applyFont="1" applyFill="1" applyBorder="1" applyAlignment="1">
      <alignment horizontal="center" vertical="center" wrapText="1"/>
    </xf>
    <xf numFmtId="0" fontId="29" fillId="0" borderId="14" xfId="0" applyNumberFormat="1" applyFont="1" applyBorder="1" applyAlignment="1">
      <alignment horizontal="center" vertical="center" wrapText="1"/>
    </xf>
    <xf numFmtId="0" fontId="30" fillId="0" borderId="14" xfId="0" applyNumberFormat="1" applyFont="1" applyBorder="1" applyAlignment="1">
      <alignment horizontal="center" vertical="center"/>
    </xf>
    <xf numFmtId="0" fontId="30" fillId="0" borderId="14" xfId="0" applyNumberFormat="1" applyFont="1" applyBorder="1" applyAlignment="1">
      <alignment horizontal="left" wrapText="1"/>
    </xf>
    <xf numFmtId="184" fontId="30" fillId="0" borderId="14" xfId="0" applyNumberFormat="1" applyFont="1" applyBorder="1" applyAlignment="1">
      <alignment horizontal="center" vertical="center" wrapText="1"/>
    </xf>
    <xf numFmtId="0" fontId="30" fillId="0" borderId="15" xfId="0" applyNumberFormat="1" applyFont="1" applyBorder="1" applyAlignment="1">
      <alignment horizontal="center"/>
    </xf>
    <xf numFmtId="181" fontId="30" fillId="0" borderId="14" xfId="0" applyNumberFormat="1" applyFont="1" applyBorder="1" applyAlignment="1">
      <alignment horizontal="center" vertical="center"/>
    </xf>
    <xf numFmtId="2" fontId="30" fillId="0" borderId="15" xfId="0" applyNumberFormat="1" applyFont="1" applyBorder="1" applyAlignment="1">
      <alignment horizontal="center"/>
    </xf>
    <xf numFmtId="180" fontId="30" fillId="0" borderId="14" xfId="0" applyNumberFormat="1" applyFont="1" applyBorder="1" applyAlignment="1">
      <alignment horizontal="center" vertical="center"/>
    </xf>
    <xf numFmtId="182" fontId="30" fillId="0" borderId="14" xfId="0" applyNumberFormat="1" applyFont="1" applyBorder="1" applyAlignment="1">
      <alignment horizontal="center" vertical="center"/>
    </xf>
    <xf numFmtId="10" fontId="30" fillId="0" borderId="14" xfId="0" applyNumberFormat="1" applyFont="1" applyBorder="1" applyAlignment="1">
      <alignment horizontal="center" vertical="center"/>
    </xf>
    <xf numFmtId="177" fontId="30" fillId="0" borderId="14" xfId="0" applyNumberFormat="1" applyFont="1" applyBorder="1" applyAlignment="1">
      <alignment horizontal="center" vertical="center"/>
    </xf>
    <xf numFmtId="9" fontId="30" fillId="0" borderId="14" xfId="0" applyNumberFormat="1" applyFont="1" applyBorder="1" applyAlignment="1">
      <alignment horizontal="center" vertical="center"/>
    </xf>
    <xf numFmtId="40" fontId="31" fillId="0" borderId="14" xfId="0" applyNumberFormat="1" applyFont="1" applyBorder="1" applyAlignment="1">
      <alignment horizontal="center" vertical="center" wrapText="1"/>
    </xf>
    <xf numFmtId="2" fontId="30" fillId="0" borderId="14" xfId="0" applyNumberFormat="1" applyFont="1" applyBorder="1" applyAlignment="1">
      <alignment horizontal="center" vertical="center"/>
    </xf>
    <xf numFmtId="0" fontId="29" fillId="0" borderId="14" xfId="0" applyNumberFormat="1" applyFont="1" applyBorder="1" applyAlignment="1">
      <alignment horizontal="center" vertical="center"/>
    </xf>
    <xf numFmtId="0" fontId="30" fillId="0" borderId="14" xfId="0" applyNumberFormat="1" applyFont="1" applyBorder="1" applyAlignment="1"/>
    <xf numFmtId="0" fontId="30" fillId="0" borderId="14" xfId="0" applyFont="1" applyBorder="1" applyAlignment="1">
      <alignment horizontal="center" vertical="center"/>
    </xf>
    <xf numFmtId="181" fontId="30" fillId="0" borderId="14" xfId="0" applyNumberFormat="1" applyFont="1" applyBorder="1" applyAlignment="1">
      <alignment horizontal="center" vertical="center" wrapText="1"/>
    </xf>
    <xf numFmtId="185" fontId="30" fillId="0" borderId="14" xfId="0" applyNumberFormat="1" applyFont="1" applyBorder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186" fontId="18" fillId="2" borderId="0" xfId="0" applyNumberFormat="1" applyFont="1" applyFill="1" applyAlignment="1">
      <alignment horizontal="center" vertical="center"/>
    </xf>
    <xf numFmtId="187" fontId="18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7" fillId="0" borderId="0" xfId="0" applyNumberFormat="1" applyFont="1">
      <alignment vertical="center"/>
    </xf>
    <xf numFmtId="9" fontId="1" fillId="0" borderId="0" xfId="0" applyNumberFormat="1" applyFont="1" applyAlignment="1">
      <alignment horizontal="left" vertical="center"/>
    </xf>
    <xf numFmtId="0" fontId="1" fillId="15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5" borderId="0" xfId="0" applyNumberFormat="1" applyFont="1" applyFill="1" applyAlignment="1">
      <alignment horizontal="center" vertical="center"/>
    </xf>
    <xf numFmtId="0" fontId="1" fillId="16" borderId="0" xfId="0" applyNumberFormat="1" applyFont="1" applyFill="1" applyAlignment="1">
      <alignment horizontal="center" vertical="center"/>
    </xf>
    <xf numFmtId="0" fontId="1" fillId="15" borderId="0" xfId="0" applyFont="1" applyFill="1" applyAlignment="1">
      <alignment horizontal="left" vertical="center"/>
    </xf>
    <xf numFmtId="0" fontId="28" fillId="14" borderId="14" xfId="0" applyNumberFormat="1" applyFont="1" applyFill="1" applyBorder="1" applyAlignment="1">
      <alignment horizontal="center" vertical="center" wrapText="1"/>
    </xf>
    <xf numFmtId="0" fontId="28" fillId="14" borderId="14" xfId="0" applyNumberFormat="1" applyFont="1" applyFill="1" applyBorder="1" applyAlignment="1">
      <alignment horizontal="center" vertical="center"/>
    </xf>
    <xf numFmtId="180" fontId="29" fillId="14" borderId="14" xfId="0" applyNumberFormat="1" applyFont="1" applyFill="1" applyBorder="1" applyAlignment="1">
      <alignment horizontal="center" vertical="center" wrapText="1"/>
    </xf>
    <xf numFmtId="181" fontId="29" fillId="17" borderId="14" xfId="0" applyNumberFormat="1" applyFont="1" applyFill="1" applyBorder="1" applyAlignment="1">
      <alignment horizontal="center" vertical="center" wrapText="1"/>
    </xf>
    <xf numFmtId="180" fontId="28" fillId="14" borderId="14" xfId="0" applyNumberFormat="1" applyFont="1" applyFill="1" applyBorder="1" applyAlignment="1">
      <alignment horizontal="center" vertical="center" wrapText="1"/>
    </xf>
    <xf numFmtId="182" fontId="28" fillId="14" borderId="14" xfId="0" applyNumberFormat="1" applyFont="1" applyFill="1" applyBorder="1" applyAlignment="1">
      <alignment horizontal="center" vertical="center" wrapText="1"/>
    </xf>
    <xf numFmtId="181" fontId="28" fillId="14" borderId="14" xfId="0" applyNumberFormat="1" applyFont="1" applyFill="1" applyBorder="1" applyAlignment="1">
      <alignment horizontal="center" vertical="center" wrapText="1"/>
    </xf>
    <xf numFmtId="10" fontId="28" fillId="14" borderId="14" xfId="0" applyNumberFormat="1" applyFont="1" applyFill="1" applyBorder="1" applyAlignment="1">
      <alignment horizontal="center" vertical="center" wrapText="1"/>
    </xf>
    <xf numFmtId="183" fontId="28" fillId="17" borderId="14" xfId="0" applyNumberFormat="1" applyFont="1" applyFill="1" applyBorder="1" applyAlignment="1">
      <alignment horizontal="center" vertical="center" wrapText="1"/>
    </xf>
    <xf numFmtId="180" fontId="28" fillId="17" borderId="14" xfId="0" applyNumberFormat="1" applyFont="1" applyFill="1" applyBorder="1" applyAlignment="1">
      <alignment horizontal="center" vertical="center" wrapText="1"/>
    </xf>
    <xf numFmtId="0" fontId="28" fillId="17" borderId="14" xfId="0" applyNumberFormat="1" applyFont="1" applyFill="1" applyBorder="1" applyAlignment="1">
      <alignment horizontal="center" vertical="center" wrapText="1"/>
    </xf>
    <xf numFmtId="10" fontId="29" fillId="17" borderId="14" xfId="0" applyNumberFormat="1" applyFont="1" applyFill="1" applyBorder="1" applyAlignment="1">
      <alignment horizontal="center" vertical="center" wrapText="1"/>
    </xf>
    <xf numFmtId="10" fontId="29" fillId="14" borderId="14" xfId="0" applyNumberFormat="1" applyFont="1" applyFill="1" applyBorder="1" applyAlignment="1">
      <alignment horizontal="center" vertical="center" wrapText="1"/>
    </xf>
    <xf numFmtId="181" fontId="28" fillId="17" borderId="14" xfId="0" applyNumberFormat="1" applyFont="1" applyFill="1" applyBorder="1" applyAlignment="1">
      <alignment horizontal="center" vertical="center" wrapText="1"/>
    </xf>
    <xf numFmtId="0" fontId="28" fillId="14" borderId="14" xfId="0" applyNumberFormat="1" applyFont="1" applyFill="1" applyBorder="1" applyAlignment="1">
      <alignment horizontal="left" vertical="center" wrapText="1"/>
    </xf>
    <xf numFmtId="0" fontId="30" fillId="14" borderId="14" xfId="0" applyNumberFormat="1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left" wrapText="1"/>
    </xf>
    <xf numFmtId="0" fontId="30" fillId="0" borderId="15" xfId="0" applyFont="1" applyBorder="1" applyAlignment="1">
      <alignment horizontal="center"/>
    </xf>
    <xf numFmtId="10" fontId="30" fillId="17" borderId="14" xfId="0" applyNumberFormat="1" applyFont="1" applyFill="1" applyBorder="1" applyAlignment="1">
      <alignment horizontal="center" vertical="center"/>
    </xf>
    <xf numFmtId="0" fontId="30" fillId="0" borderId="14" xfId="0" applyNumberFormat="1" applyFont="1" applyBorder="1">
      <alignment vertical="center"/>
    </xf>
    <xf numFmtId="180" fontId="30" fillId="15" borderId="14" xfId="0" applyNumberFormat="1" applyFont="1" applyFill="1" applyBorder="1" applyAlignment="1">
      <alignment horizontal="center" vertical="center"/>
    </xf>
    <xf numFmtId="0" fontId="30" fillId="3" borderId="14" xfId="0" applyNumberFormat="1" applyFont="1" applyFill="1" applyBorder="1" applyAlignment="1">
      <alignment horizontal="left" wrapText="1"/>
    </xf>
    <xf numFmtId="0" fontId="30" fillId="0" borderId="14" xfId="0" applyFont="1" applyBorder="1" applyAlignment="1">
      <alignment horizontal="left" wrapText="1"/>
    </xf>
    <xf numFmtId="180" fontId="30" fillId="2" borderId="14" xfId="0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2" fontId="30" fillId="2" borderId="16" xfId="0" applyNumberFormat="1" applyFont="1" applyFill="1" applyBorder="1" applyAlignment="1">
      <alignment horizontal="center"/>
    </xf>
    <xf numFmtId="0" fontId="30" fillId="2" borderId="15" xfId="0" applyFont="1" applyFill="1" applyBorder="1" applyAlignment="1">
      <alignment horizontal="center"/>
    </xf>
    <xf numFmtId="0" fontId="30" fillId="2" borderId="15" xfId="0" applyNumberFormat="1" applyFont="1" applyFill="1" applyBorder="1" applyAlignment="1">
      <alignment horizontal="center"/>
    </xf>
    <xf numFmtId="2" fontId="30" fillId="0" borderId="16" xfId="0" applyNumberFormat="1" applyFont="1" applyBorder="1" applyAlignment="1">
      <alignment horizontal="center"/>
    </xf>
    <xf numFmtId="0" fontId="1" fillId="0" borderId="14" xfId="0" applyFont="1" applyBorder="1">
      <alignment vertical="center"/>
    </xf>
    <xf numFmtId="0" fontId="1" fillId="0" borderId="14" xfId="0" applyNumberFormat="1" applyFont="1" applyBorder="1" applyAlignment="1">
      <alignment horizontal="center" vertical="center"/>
    </xf>
    <xf numFmtId="0" fontId="1" fillId="0" borderId="14" xfId="0" applyNumberFormat="1" applyFont="1" applyBorder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81" fontId="18" fillId="0" borderId="0" xfId="0" applyNumberFormat="1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185" fontId="18" fillId="0" borderId="0" xfId="0" applyNumberFormat="1" applyFont="1" applyAlignment="1">
      <alignment horizontal="center" vertical="center"/>
    </xf>
    <xf numFmtId="181" fontId="18" fillId="2" borderId="0" xfId="0" applyNumberFormat="1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182" fontId="18" fillId="0" borderId="0" xfId="0" applyNumberFormat="1" applyFont="1" applyAlignment="1">
      <alignment horizontal="center" vertical="center"/>
    </xf>
    <xf numFmtId="0" fontId="1" fillId="16" borderId="0" xfId="0" applyFont="1" applyFill="1">
      <alignment vertical="center"/>
    </xf>
    <xf numFmtId="181" fontId="1" fillId="0" borderId="0" xfId="0" applyNumberFormat="1" applyFont="1" applyAlignment="1">
      <alignment horizontal="center" vertical="center"/>
    </xf>
    <xf numFmtId="2" fontId="1" fillId="4" borderId="0" xfId="0" applyNumberFormat="1" applyFont="1" applyFill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85" fontId="1" fillId="0" borderId="0" xfId="0" applyNumberFormat="1" applyFont="1" applyAlignment="1">
      <alignment horizontal="center" vertical="center"/>
    </xf>
    <xf numFmtId="181" fontId="1" fillId="2" borderId="0" xfId="0" applyNumberFormat="1" applyFont="1" applyFill="1" applyAlignment="1">
      <alignment horizontal="center" vertical="center"/>
    </xf>
    <xf numFmtId="18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16" borderId="0" xfId="0" applyNumberFormat="1" applyFont="1" applyFill="1">
      <alignment vertical="center"/>
    </xf>
    <xf numFmtId="0" fontId="1" fillId="2" borderId="0" xfId="0" applyFont="1" applyFill="1">
      <alignment vertical="center"/>
    </xf>
    <xf numFmtId="2" fontId="1" fillId="16" borderId="0" xfId="0" applyNumberFormat="1" applyFont="1" applyFill="1" applyAlignment="1">
      <alignment horizontal="center" vertical="center"/>
    </xf>
    <xf numFmtId="0" fontId="1" fillId="2" borderId="0" xfId="0" applyNumberFormat="1" applyFont="1" applyFill="1">
      <alignment vertical="center"/>
    </xf>
    <xf numFmtId="9" fontId="1" fillId="4" borderId="0" xfId="0" applyNumberFormat="1" applyFont="1" applyFill="1" applyAlignment="1">
      <alignment horizontal="center" vertical="center"/>
    </xf>
    <xf numFmtId="181" fontId="1" fillId="0" borderId="0" xfId="0" applyNumberFormat="1" applyFont="1">
      <alignment vertical="center"/>
    </xf>
    <xf numFmtId="185" fontId="1" fillId="0" borderId="0" xfId="0" applyNumberFormat="1" applyFont="1">
      <alignment vertical="center"/>
    </xf>
    <xf numFmtId="182" fontId="1" fillId="0" borderId="0" xfId="0" applyNumberFormat="1" applyFont="1">
      <alignment vertical="center"/>
    </xf>
    <xf numFmtId="0" fontId="1" fillId="3" borderId="0" xfId="0" applyFont="1" applyFill="1">
      <alignment vertical="center"/>
    </xf>
    <xf numFmtId="0" fontId="1" fillId="3" borderId="0" xfId="0" applyNumberFormat="1" applyFont="1" applyFill="1">
      <alignment vertical="center"/>
    </xf>
    <xf numFmtId="188" fontId="32" fillId="0" borderId="14" xfId="0" applyNumberFormat="1" applyFont="1" applyBorder="1" applyAlignment="1">
      <alignment horizontal="center" vertical="center" wrapText="1"/>
    </xf>
    <xf numFmtId="181" fontId="32" fillId="0" borderId="14" xfId="0" applyNumberFormat="1" applyFont="1" applyBorder="1" applyAlignment="1">
      <alignment horizontal="center" vertical="center" wrapText="1"/>
    </xf>
    <xf numFmtId="189" fontId="32" fillId="0" borderId="14" xfId="0" applyNumberFormat="1" applyFont="1" applyBorder="1" applyAlignment="1">
      <alignment horizontal="center" vertical="center" wrapText="1"/>
    </xf>
    <xf numFmtId="190" fontId="32" fillId="0" borderId="14" xfId="0" applyNumberFormat="1" applyFont="1" applyBorder="1" applyAlignment="1">
      <alignment horizontal="center" vertical="center" wrapText="1"/>
    </xf>
    <xf numFmtId="189" fontId="33" fillId="0" borderId="14" xfId="0" applyNumberFormat="1" applyFont="1" applyBorder="1" applyAlignment="1">
      <alignment horizontal="center" vertical="center" wrapText="1"/>
    </xf>
    <xf numFmtId="182" fontId="33" fillId="0" borderId="14" xfId="0" applyNumberFormat="1" applyFont="1" applyBorder="1" applyAlignment="1">
      <alignment horizontal="center" vertical="center" wrapText="1"/>
    </xf>
    <xf numFmtId="10" fontId="33" fillId="16" borderId="14" xfId="0" applyNumberFormat="1" applyFont="1" applyFill="1" applyBorder="1" applyAlignment="1">
      <alignment horizontal="center" vertical="center" wrapText="1"/>
    </xf>
    <xf numFmtId="180" fontId="33" fillId="0" borderId="14" xfId="0" applyNumberFormat="1" applyFont="1" applyBorder="1" applyAlignment="1">
      <alignment horizontal="center" vertical="center" wrapText="1"/>
    </xf>
    <xf numFmtId="0" fontId="33" fillId="0" borderId="14" xfId="0" applyNumberFormat="1" applyFont="1" applyBorder="1" applyAlignment="1">
      <alignment horizontal="center" vertical="center" wrapText="1"/>
    </xf>
    <xf numFmtId="10" fontId="32" fillId="0" borderId="14" xfId="0" applyNumberFormat="1" applyFont="1" applyBorder="1" applyAlignment="1">
      <alignment horizontal="center" vertical="center" wrapText="1"/>
    </xf>
    <xf numFmtId="9" fontId="32" fillId="0" borderId="14" xfId="0" applyNumberFormat="1" applyFont="1" applyBorder="1" applyAlignment="1">
      <alignment horizontal="center" vertical="center" wrapText="1"/>
    </xf>
    <xf numFmtId="9" fontId="32" fillId="17" borderId="14" xfId="0" applyNumberFormat="1" applyFont="1" applyFill="1" applyBorder="1" applyAlignment="1">
      <alignment horizontal="center" vertical="center" wrapText="1"/>
    </xf>
    <xf numFmtId="181" fontId="33" fillId="17" borderId="14" xfId="0" applyNumberFormat="1" applyFont="1" applyFill="1" applyBorder="1" applyAlignment="1">
      <alignment horizontal="center" vertical="center" wrapText="1"/>
    </xf>
    <xf numFmtId="0" fontId="33" fillId="17" borderId="14" xfId="0" applyNumberFormat="1" applyFont="1" applyFill="1" applyBorder="1" applyAlignment="1">
      <alignment horizontal="center" vertical="center" wrapText="1"/>
    </xf>
    <xf numFmtId="0" fontId="34" fillId="14" borderId="14" xfId="0" applyFont="1" applyFill="1" applyBorder="1" applyAlignment="1">
      <alignment horizontal="center" vertical="center"/>
    </xf>
    <xf numFmtId="0" fontId="34" fillId="14" borderId="14" xfId="0" applyNumberFormat="1" applyFont="1" applyFill="1" applyBorder="1" applyAlignment="1">
      <alignment horizontal="center" vertical="center"/>
    </xf>
    <xf numFmtId="0" fontId="34" fillId="0" borderId="14" xfId="0" applyNumberFormat="1" applyFont="1" applyBorder="1" applyAlignment="1">
      <alignment horizontal="center" vertical="center"/>
    </xf>
    <xf numFmtId="0" fontId="6" fillId="0" borderId="14" xfId="0" applyNumberFormat="1" applyFont="1" applyBorder="1" applyAlignment="1">
      <alignment horizontal="left" vertical="center"/>
    </xf>
    <xf numFmtId="190" fontId="34" fillId="0" borderId="14" xfId="0" applyNumberFormat="1" applyFont="1" applyBorder="1" applyAlignment="1">
      <alignment horizontal="center" vertical="center"/>
    </xf>
    <xf numFmtId="189" fontId="34" fillId="0" borderId="14" xfId="0" applyNumberFormat="1" applyFont="1" applyBorder="1" applyAlignment="1">
      <alignment horizontal="center" vertical="center"/>
    </xf>
    <xf numFmtId="182" fontId="34" fillId="0" borderId="14" xfId="0" applyNumberFormat="1" applyFont="1" applyBorder="1" applyAlignment="1">
      <alignment horizontal="center" vertical="center"/>
    </xf>
    <xf numFmtId="10" fontId="34" fillId="0" borderId="14" xfId="0" applyNumberFormat="1" applyFont="1" applyBorder="1" applyAlignment="1">
      <alignment horizontal="center" vertical="center"/>
    </xf>
    <xf numFmtId="188" fontId="34" fillId="0" borderId="14" xfId="0" applyNumberFormat="1" applyFont="1" applyBorder="1" applyAlignment="1">
      <alignment horizontal="center" vertical="center"/>
    </xf>
    <xf numFmtId="9" fontId="34" fillId="0" borderId="14" xfId="0" applyNumberFormat="1" applyFont="1" applyBorder="1" applyAlignment="1">
      <alignment horizontal="center" vertical="center"/>
    </xf>
    <xf numFmtId="191" fontId="35" fillId="0" borderId="14" xfId="0" applyNumberFormat="1" applyFont="1" applyBorder="1" applyAlignment="1">
      <alignment horizontal="center" vertical="center" wrapText="1"/>
    </xf>
    <xf numFmtId="191" fontId="34" fillId="0" borderId="14" xfId="0" applyNumberFormat="1" applyFont="1" applyBorder="1" applyAlignment="1">
      <alignment horizontal="center" vertical="center"/>
    </xf>
    <xf numFmtId="192" fontId="34" fillId="0" borderId="14" xfId="0" applyNumberFormat="1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182" fontId="34" fillId="2" borderId="14" xfId="0" applyNumberFormat="1" applyFont="1" applyFill="1" applyBorder="1" applyAlignment="1">
      <alignment horizontal="center" vertical="center"/>
    </xf>
    <xf numFmtId="191" fontId="35" fillId="2" borderId="14" xfId="0" applyNumberFormat="1" applyFont="1" applyFill="1" applyBorder="1" applyAlignment="1">
      <alignment horizontal="center" vertical="center" wrapText="1"/>
    </xf>
    <xf numFmtId="0" fontId="36" fillId="0" borderId="0" xfId="0" applyFont="1">
      <alignment vertical="center"/>
    </xf>
    <xf numFmtId="10" fontId="0" fillId="0" borderId="0" xfId="0" applyNumberFormat="1" applyFont="1">
      <alignment vertical="center"/>
    </xf>
    <xf numFmtId="0" fontId="37" fillId="18" borderId="15" xfId="0" applyNumberFormat="1" applyFont="1" applyFill="1" applyBorder="1" applyAlignment="1">
      <alignment horizontal="center" vertical="center"/>
    </xf>
    <xf numFmtId="181" fontId="37" fillId="18" borderId="15" xfId="0" applyNumberFormat="1" applyFont="1" applyFill="1" applyBorder="1" applyAlignment="1">
      <alignment horizontal="center" vertical="center"/>
    </xf>
    <xf numFmtId="0" fontId="37" fillId="16" borderId="15" xfId="0" applyNumberFormat="1" applyFont="1" applyFill="1" applyBorder="1" applyAlignment="1">
      <alignment horizontal="center" vertical="center"/>
    </xf>
    <xf numFmtId="0" fontId="37" fillId="18" borderId="15" xfId="0" applyFont="1" applyFill="1" applyBorder="1" applyAlignment="1">
      <alignment horizontal="center" vertical="center"/>
    </xf>
    <xf numFmtId="10" fontId="37" fillId="18" borderId="15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9" fontId="37" fillId="18" borderId="15" xfId="0" applyNumberFormat="1" applyFont="1" applyFill="1" applyBorder="1" applyAlignment="1">
      <alignment horizontal="center" vertical="center"/>
    </xf>
    <xf numFmtId="0" fontId="37" fillId="0" borderId="0" xfId="0" applyFont="1">
      <alignment vertical="center"/>
    </xf>
    <xf numFmtId="0" fontId="38" fillId="17" borderId="17" xfId="0" applyNumberFormat="1" applyFont="1" applyFill="1" applyBorder="1" applyAlignment="1">
      <alignment horizontal="center" vertical="center"/>
    </xf>
    <xf numFmtId="0" fontId="37" fillId="16" borderId="15" xfId="0" applyFont="1" applyFill="1" applyBorder="1" applyAlignment="1">
      <alignment horizontal="center" vertical="center"/>
    </xf>
    <xf numFmtId="190" fontId="37" fillId="7" borderId="15" xfId="0" applyNumberFormat="1" applyFont="1" applyFill="1" applyBorder="1" applyAlignment="1">
      <alignment horizontal="center" vertical="center"/>
    </xf>
    <xf numFmtId="181" fontId="37" fillId="7" borderId="17" xfId="0" applyNumberFormat="1" applyFont="1" applyFill="1" applyBorder="1" applyAlignment="1">
      <alignment horizontal="center" vertical="center"/>
    </xf>
    <xf numFmtId="190" fontId="37" fillId="7" borderId="17" xfId="0" applyNumberFormat="1" applyFont="1" applyFill="1" applyBorder="1" applyAlignment="1">
      <alignment horizontal="center" vertical="center"/>
    </xf>
    <xf numFmtId="181" fontId="37" fillId="7" borderId="15" xfId="0" applyNumberFormat="1" applyFont="1" applyFill="1" applyBorder="1" applyAlignment="1">
      <alignment horizontal="center" vertical="center"/>
    </xf>
    <xf numFmtId="10" fontId="37" fillId="7" borderId="17" xfId="0" applyNumberFormat="1" applyFont="1" applyFill="1" applyBorder="1" applyAlignment="1">
      <alignment horizontal="center" vertical="center"/>
    </xf>
    <xf numFmtId="0" fontId="37" fillId="7" borderId="17" xfId="0" applyNumberFormat="1" applyFont="1" applyFill="1" applyBorder="1" applyAlignment="1">
      <alignment horizontal="center" vertical="center"/>
    </xf>
    <xf numFmtId="9" fontId="37" fillId="7" borderId="17" xfId="0" applyNumberFormat="1" applyFont="1" applyFill="1" applyBorder="1" applyAlignment="1">
      <alignment horizontal="center" vertical="center"/>
    </xf>
    <xf numFmtId="0" fontId="37" fillId="7" borderId="15" xfId="0" applyFont="1" applyFill="1" applyBorder="1" applyAlignment="1">
      <alignment horizontal="center" vertical="center"/>
    </xf>
    <xf numFmtId="9" fontId="37" fillId="0" borderId="0" xfId="0" applyNumberFormat="1" applyFont="1" applyAlignment="1">
      <alignment horizontal="center" vertical="center"/>
    </xf>
    <xf numFmtId="9" fontId="37" fillId="0" borderId="0" xfId="0" applyNumberFormat="1" applyFont="1">
      <alignment vertical="center"/>
    </xf>
    <xf numFmtId="0" fontId="37" fillId="7" borderId="15" xfId="0" applyNumberFormat="1" applyFont="1" applyFill="1" applyBorder="1" applyAlignment="1">
      <alignment horizontal="center" vertical="center"/>
    </xf>
    <xf numFmtId="2" fontId="37" fillId="7" borderId="15" xfId="0" applyNumberFormat="1" applyFont="1" applyFill="1" applyBorder="1" applyAlignment="1">
      <alignment horizontal="center" vertical="center"/>
    </xf>
    <xf numFmtId="0" fontId="37" fillId="7" borderId="17" xfId="0" applyFont="1" applyFill="1" applyBorder="1" applyAlignment="1">
      <alignment horizontal="center" vertical="center"/>
    </xf>
    <xf numFmtId="0" fontId="23" fillId="0" borderId="0" xfId="0" applyFont="1">
      <alignment vertical="center"/>
    </xf>
    <xf numFmtId="181" fontId="23" fillId="0" borderId="0" xfId="0" applyNumberFormat="1" applyFont="1">
      <alignment vertical="center"/>
    </xf>
    <xf numFmtId="10" fontId="23" fillId="0" borderId="0" xfId="0" applyNumberFormat="1" applyFont="1">
      <alignment vertical="center"/>
    </xf>
    <xf numFmtId="9" fontId="23" fillId="0" borderId="0" xfId="0" applyNumberFormat="1" applyFont="1" applyAlignment="1">
      <alignment horizontal="center" vertical="center"/>
    </xf>
    <xf numFmtId="0" fontId="23" fillId="0" borderId="0" xfId="0" applyNumberFormat="1" applyFont="1">
      <alignment vertical="center"/>
    </xf>
    <xf numFmtId="188" fontId="32" fillId="14" borderId="14" xfId="0" applyNumberFormat="1" applyFont="1" applyFill="1" applyBorder="1" applyAlignment="1">
      <alignment horizontal="center" vertical="center" wrapText="1"/>
    </xf>
    <xf numFmtId="181" fontId="32" fillId="10" borderId="14" xfId="0" applyNumberFormat="1" applyFont="1" applyFill="1" applyBorder="1" applyAlignment="1">
      <alignment horizontal="center" vertical="center" wrapText="1"/>
    </xf>
    <xf numFmtId="189" fontId="32" fillId="10" borderId="14" xfId="0" applyNumberFormat="1" applyFont="1" applyFill="1" applyBorder="1" applyAlignment="1">
      <alignment horizontal="center" vertical="center" wrapText="1"/>
    </xf>
    <xf numFmtId="180" fontId="33" fillId="10" borderId="14" xfId="0" applyNumberFormat="1" applyFont="1" applyFill="1" applyBorder="1" applyAlignment="1">
      <alignment horizontal="center" vertical="center" wrapText="1"/>
    </xf>
    <xf numFmtId="182" fontId="33" fillId="10" borderId="14" xfId="0" applyNumberFormat="1" applyFont="1" applyFill="1" applyBorder="1" applyAlignment="1">
      <alignment horizontal="center" vertical="center" wrapText="1"/>
    </xf>
    <xf numFmtId="10" fontId="33" fillId="0" borderId="14" xfId="0" applyNumberFormat="1" applyFont="1" applyBorder="1" applyAlignment="1">
      <alignment horizontal="center" vertical="center" wrapText="1"/>
    </xf>
    <xf numFmtId="10" fontId="33" fillId="2" borderId="14" xfId="0" applyNumberFormat="1" applyFont="1" applyFill="1" applyBorder="1" applyAlignment="1">
      <alignment horizontal="center" vertical="center" wrapText="1"/>
    </xf>
    <xf numFmtId="193" fontId="33" fillId="10" borderId="18" xfId="0" applyNumberFormat="1" applyFont="1" applyFill="1" applyBorder="1" applyAlignment="1">
      <alignment horizontal="center" vertical="center" wrapText="1"/>
    </xf>
    <xf numFmtId="183" fontId="33" fillId="0" borderId="14" xfId="0" applyNumberFormat="1" applyFont="1" applyBorder="1" applyAlignment="1">
      <alignment horizontal="center" vertical="center" wrapText="1"/>
    </xf>
    <xf numFmtId="10" fontId="32" fillId="10" borderId="14" xfId="0" applyNumberFormat="1" applyFont="1" applyFill="1" applyBorder="1" applyAlignment="1">
      <alignment horizontal="center" vertical="center" wrapText="1"/>
    </xf>
    <xf numFmtId="9" fontId="32" fillId="10" borderId="14" xfId="0" applyNumberFormat="1" applyFont="1" applyFill="1" applyBorder="1" applyAlignment="1">
      <alignment horizontal="center" vertical="center" wrapText="1"/>
    </xf>
    <xf numFmtId="0" fontId="32" fillId="0" borderId="0" xfId="0" applyNumberFormat="1" applyFont="1" applyAlignment="1">
      <alignment horizontal="center" vertical="center" wrapText="1"/>
    </xf>
    <xf numFmtId="183" fontId="1" fillId="0" borderId="0" xfId="0" applyNumberFormat="1" applyFont="1" applyAlignment="1">
      <alignment horizontal="center" vertical="center"/>
    </xf>
    <xf numFmtId="0" fontId="1" fillId="4" borderId="0" xfId="0" applyFont="1" applyFill="1">
      <alignment vertical="center"/>
    </xf>
    <xf numFmtId="193" fontId="1" fillId="0" borderId="0" xfId="0" applyNumberFormat="1" applyFont="1">
      <alignment vertical="center"/>
    </xf>
    <xf numFmtId="183" fontId="1" fillId="0" borderId="0" xfId="0" applyNumberFormat="1" applyFont="1">
      <alignment vertical="center"/>
    </xf>
    <xf numFmtId="190" fontId="1" fillId="0" borderId="0" xfId="0" applyNumberFormat="1" applyFont="1">
      <alignment vertical="center"/>
    </xf>
    <xf numFmtId="0" fontId="7" fillId="14" borderId="0" xfId="0" applyFont="1" applyFill="1" applyAlignment="1">
      <alignment horizontal="center" vertical="center"/>
    </xf>
    <xf numFmtId="0" fontId="7" fillId="17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ont>
        <b val="0"/>
        <i val="0"/>
        <strike val="0"/>
        <u val="none"/>
        <color rgb="FF2C3033"/>
      </font>
      <fill>
        <patternFill patternType="solid">
          <bgColor rgb="FFFBD4D0"/>
        </patternFill>
      </fill>
    </dxf>
    <dxf>
      <font>
        <b val="0"/>
        <i val="0"/>
        <strike val="0"/>
        <u val="none"/>
        <color rgb="FFFF0000"/>
      </font>
      <fill>
        <patternFill patternType="solid"/>
      </fill>
    </dxf>
    <dxf>
      <font>
        <b val="0"/>
        <i val="0"/>
        <strike val="0"/>
        <u val="none"/>
        <color rgb="FFFE2C23"/>
      </font>
      <fill>
        <patternFill patternType="solid">
          <bgColor rgb="FFFFFFFF"/>
        </patternFill>
      </fill>
    </dxf>
    <dxf>
      <font>
        <b val="0"/>
        <i val="0"/>
        <strike val="0"/>
        <u val="none"/>
        <color rgb="FFF2F2F2"/>
      </font>
      <fill>
        <patternFill patternType="solid"/>
      </fill>
    </dxf>
    <dxf>
      <font>
        <b val="0"/>
        <i val="0"/>
        <strike val="0"/>
        <u val="none"/>
        <color rgb="FF000000"/>
      </font>
      <fill>
        <patternFill patternType="solid">
          <bgColor rgb="FFCCE0F1"/>
        </patternFill>
      </fill>
    </dxf>
    <dxf>
      <font>
        <b val="0"/>
        <i val="0"/>
        <strike val="0"/>
        <u val="none"/>
        <color rgb="FFFFFFFF"/>
      </font>
      <fill>
        <patternFill patternType="solid">
          <bgColor rgb="FFEE7976"/>
        </patternFill>
      </fill>
    </dxf>
    <dxf>
      <font>
        <b val="0"/>
        <i val="0"/>
        <strike val="0"/>
        <u val="none"/>
        <color rgb="FF000000"/>
      </font>
      <fill>
        <patternFill patternType="solid">
          <bgColor rgb="FFD4E9D6"/>
        </patternFill>
      </fill>
    </dxf>
    <dxf>
      <font>
        <b val="0"/>
        <i val="0"/>
        <strike val="1"/>
        <u val="none"/>
        <color rgb="FFBFBFBF"/>
      </font>
      <fill>
        <patternFill patternType="solid"/>
      </fill>
    </dxf>
    <dxf>
      <font>
        <b val="0"/>
        <i val="0"/>
        <strike val="0"/>
        <u val="none"/>
        <color rgb="FFFFFFFF"/>
      </font>
      <fill>
        <patternFill patternType="solid">
          <bgColor rgb="FFEE797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0</xdr:colOff>
      <xdr:row>0</xdr:row>
      <xdr:rowOff>44450</xdr:rowOff>
    </xdr:from>
    <xdr:to>
      <xdr:col>23</xdr:col>
      <xdr:colOff>-1</xdr:colOff>
      <xdr:row>0</xdr:row>
      <xdr:rowOff>311150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363555" y="44450"/>
          <a:ext cx="1010920" cy="222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9</xdr:row>
      <xdr:rowOff>0</xdr:rowOff>
    </xdr:from>
    <xdr:to>
      <xdr:col>5</xdr:col>
      <xdr:colOff>0</xdr:colOff>
      <xdr:row>10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99080" y="1790700"/>
          <a:ext cx="1607820" cy="26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9" Type="http://schemas.openxmlformats.org/officeDocument/2006/relationships/hyperlink" Target="https://sanjdqeje0.feishu.cn/file/YT4Ob07PyogqKgxeXFrclrmZnfc" TargetMode="External"/><Relationship Id="rId8" Type="http://schemas.openxmlformats.org/officeDocument/2006/relationships/hyperlink" Target="https://shimo.im/sheets/5bqndwNRpvUWYNAy/hctQE" TargetMode="External"/><Relationship Id="rId7" Type="http://schemas.openxmlformats.org/officeDocument/2006/relationships/hyperlink" Target="https://shimo.im/file/5rk9KXwYjmtmpo3x" TargetMode="External"/><Relationship Id="rId6" Type="http://schemas.openxmlformats.org/officeDocument/2006/relationships/hyperlink" Target="https://shimo.im/docx/m8AZMGg5pWs8Kekb" TargetMode="External"/><Relationship Id="rId5" Type="http://schemas.openxmlformats.org/officeDocument/2006/relationships/hyperlink" Target="https://shimo.im/sheets/gO3odwvxdEcW7OqD/cusv7" TargetMode="External"/><Relationship Id="rId4" Type="http://schemas.openxmlformats.org/officeDocument/2006/relationships/hyperlink" Target="https://shimo.im/sheets/zdkyd5GBB8syL0q6/GTpiM" TargetMode="External"/><Relationship Id="rId39" Type="http://schemas.openxmlformats.org/officeDocument/2006/relationships/hyperlink" Target="https://shimo.im/file/NJkbn7vwLQCRpkRp" TargetMode="External"/><Relationship Id="rId38" Type="http://schemas.openxmlformats.org/officeDocument/2006/relationships/hyperlink" Target="https://shimo.im/file/vVAXMG2zLju25d3m" TargetMode="External"/><Relationship Id="rId37" Type="http://schemas.openxmlformats.org/officeDocument/2006/relationships/hyperlink" Target="https://shimo.im/docx/1lq7rnX8jNSe903e" TargetMode="External"/><Relationship Id="rId36" Type="http://schemas.openxmlformats.org/officeDocument/2006/relationships/hyperlink" Target="https://shimo.im/sheets/e1Azdp2E7ph1lzqW/NICpS" TargetMode="External"/><Relationship Id="rId35" Type="http://schemas.openxmlformats.org/officeDocument/2006/relationships/hyperlink" Target="https://shimo.im/docx/Wr3DpbnyN9tEMP3J" TargetMode="External"/><Relationship Id="rId34" Type="http://schemas.openxmlformats.org/officeDocument/2006/relationships/hyperlink" Target="https://shimo.im/docx/2wAldwarwyia7gAP" TargetMode="External"/><Relationship Id="rId33" Type="http://schemas.openxmlformats.org/officeDocument/2006/relationships/hyperlink" Target="https://shimo.im/file/913JMZXYlJf5z4AE" TargetMode="External"/><Relationship Id="rId32" Type="http://schemas.openxmlformats.org/officeDocument/2006/relationships/hyperlink" Target="https://shimo.im/file/KrkElQ9QYdS84XqJ" TargetMode="External"/><Relationship Id="rId31" Type="http://schemas.openxmlformats.org/officeDocument/2006/relationships/hyperlink" Target="https://shimo.im/file/25q5XbZLowS7PR3D" TargetMode="External"/><Relationship Id="rId30" Type="http://schemas.openxmlformats.org/officeDocument/2006/relationships/hyperlink" Target="https://shimo.im/sheets/16q8x2ywXVFK9mq7/hdwA2" TargetMode="External"/><Relationship Id="rId3" Type="http://schemas.openxmlformats.org/officeDocument/2006/relationships/hyperlink" Target="https://sanjdqeje0.feishu.cn/file/TJihbfhluoFrtdxwf86c6yUxndx?office_edit=1" TargetMode="External"/><Relationship Id="rId29" Type="http://schemas.openxmlformats.org/officeDocument/2006/relationships/hyperlink" Target="https://shimo.im/sheets/R13jdwQw60uWm6k5/UV2uf" TargetMode="External"/><Relationship Id="rId28" Type="http://schemas.openxmlformats.org/officeDocument/2006/relationships/hyperlink" Target="https://shimo.im/docx/8Nk6emELG8TwWxqL" TargetMode="External"/><Relationship Id="rId27" Type="http://schemas.openxmlformats.org/officeDocument/2006/relationships/hyperlink" Target="https://shimo.im/sheets/Wr3Dp1B0mnh8Zm3J/ZfbUi" TargetMode="External"/><Relationship Id="rId26" Type="http://schemas.openxmlformats.org/officeDocument/2006/relationships/hyperlink" Target="https://shimo.im/docx/N2A1gPjYr4h47GqD" TargetMode="External"/><Relationship Id="rId25" Type="http://schemas.openxmlformats.org/officeDocument/2006/relationships/hyperlink" Target="https://shimo.im/sheets/m5kvdwonvnSRwD3X/Zz48c" TargetMode="External"/><Relationship Id="rId24" Type="http://schemas.openxmlformats.org/officeDocument/2006/relationships/hyperlink" Target="https://shimo.im/sheets/gO3odw62KrFQVpqD/0j0dU" TargetMode="External"/><Relationship Id="rId23" Type="http://schemas.openxmlformats.org/officeDocument/2006/relationships/hyperlink" Target="https://shimo.im/docx/RKAWMDjJgeUJvXq8" TargetMode="External"/><Relationship Id="rId22" Type="http://schemas.openxmlformats.org/officeDocument/2006/relationships/hyperlink" Target="https://shimo.im/sheets/aBAYMYKEOah2rJAj/aj3k0" TargetMode="External"/><Relationship Id="rId21" Type="http://schemas.openxmlformats.org/officeDocument/2006/relationships/hyperlink" Target="https://shimo.im/sheets/1d3aMwgMnPse2Y3g/RmTDc" TargetMode="External"/><Relationship Id="rId20" Type="http://schemas.openxmlformats.org/officeDocument/2006/relationships/hyperlink" Target="https://shimo.im/sheets/ZzkLMZ0LzGC28eAQ/i7L3Q" TargetMode="External"/><Relationship Id="rId2" Type="http://schemas.openxmlformats.org/officeDocument/2006/relationships/vmlDrawing" Target="../drawings/vmlDrawing5.vml"/><Relationship Id="rId19" Type="http://schemas.openxmlformats.org/officeDocument/2006/relationships/hyperlink" Target="https://shimo.im/sheets/Wr3Dp1XYQwhaeM3J/TkhgB" TargetMode="External"/><Relationship Id="rId18" Type="http://schemas.openxmlformats.org/officeDocument/2006/relationships/hyperlink" Target="https://shimo.im/sheets/KrkElQwjEzFWEqJp/xXMQQ" TargetMode="External"/><Relationship Id="rId17" Type="http://schemas.openxmlformats.org/officeDocument/2006/relationships/hyperlink" Target="https://shimo.im/docx/25q5Xg6ddNcJ8Z3D" TargetMode="External"/><Relationship Id="rId16" Type="http://schemas.openxmlformats.org/officeDocument/2006/relationships/hyperlink" Target="https://shimo.im/sheets/913JMP2Z91cJPrAE/ZBXMH" TargetMode="External"/><Relationship Id="rId15" Type="http://schemas.openxmlformats.org/officeDocument/2006/relationships/hyperlink" Target="https://shimo.im/sheets/5rk9KXRngOSw6J3x/Uh9jY" TargetMode="External"/><Relationship Id="rId14" Type="http://schemas.openxmlformats.org/officeDocument/2006/relationships/hyperlink" Target="https://sanjdqeje0.feishu.cn/sheets/KU8Gs3PQfhloEbtWoX8cHAqjnyS?from=from_copylink" TargetMode="External"/><Relationship Id="rId13" Type="http://schemas.openxmlformats.org/officeDocument/2006/relationships/hyperlink" Target="https://shimo.im/sheets/16q8x20zMRfQ8Gq7/Va8UM" TargetMode="External"/><Relationship Id="rId12" Type="http://schemas.openxmlformats.org/officeDocument/2006/relationships/hyperlink" Target="https://shimo.im/sheets/m5kvdw4dOmFDDZ3X/G1jVx" TargetMode="External"/><Relationship Id="rId11" Type="http://schemas.openxmlformats.org/officeDocument/2006/relationships/hyperlink" Target="https://shimo.im/docx/5rk9KXGjdKsxEZ3x" TargetMode="External"/><Relationship Id="rId10" Type="http://schemas.openxmlformats.org/officeDocument/2006/relationships/hyperlink" Target="https://sanjdqeje0.feishu.cn/sheets/O2MTszxKDh9uVNtRbLRcD9xBnYb?from=from_copylink" TargetMode="External"/><Relationship Id="rId1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iktok.com/@/video/7512121539337194782?shop_region=US" TargetMode="External"/><Relationship Id="rId8" Type="http://schemas.openxmlformats.org/officeDocument/2006/relationships/hyperlink" Target="https://www.tiktok.com/@/video/7510281518846135582?shop_region=US" TargetMode="External"/><Relationship Id="rId7" Type="http://schemas.openxmlformats.org/officeDocument/2006/relationships/hyperlink" Target="https://www.tiktok.com/@/video/7512260049553607966?shop_region=US" TargetMode="External"/><Relationship Id="rId6" Type="http://schemas.openxmlformats.org/officeDocument/2006/relationships/hyperlink" Target="https://www.tiktok.com/@/video/7509602854680710443?shop_region=US" TargetMode="External"/><Relationship Id="rId5" Type="http://schemas.openxmlformats.org/officeDocument/2006/relationships/hyperlink" Target="https://www.tiktok.com/@/video/7507463120143600939?shop_region=US" TargetMode="External"/><Relationship Id="rId4" Type="http://schemas.openxmlformats.org/officeDocument/2006/relationships/hyperlink" Target="https://www.tiktok.com/@/video/7509468659413372206?shop_region=US" TargetMode="External"/><Relationship Id="rId3" Type="http://schemas.openxmlformats.org/officeDocument/2006/relationships/hyperlink" Target="https://www.tiktok.com/@/video/7510315444860063022?shop_region=US" TargetMode="External"/><Relationship Id="rId2" Type="http://schemas.openxmlformats.org/officeDocument/2006/relationships/hyperlink" Target="https://www.tiktok.com/@/video/7505007970158185771?shop_region=US" TargetMode="External"/><Relationship Id="rId12" Type="http://schemas.openxmlformats.org/officeDocument/2006/relationships/hyperlink" Target="https://www.tiktok.com/@/video/7513258934547860779?shop_region=US" TargetMode="External"/><Relationship Id="rId11" Type="http://schemas.openxmlformats.org/officeDocument/2006/relationships/hyperlink" Target="https://www.tiktok.com/@/video/7510822530660289823?shop_region=US" TargetMode="External"/><Relationship Id="rId10" Type="http://schemas.openxmlformats.org/officeDocument/2006/relationships/hyperlink" Target="https://www.tiktok.com/@/video/7512217482250177838?shop_region=US" TargetMode="External"/><Relationship Id="rId1" Type="http://schemas.openxmlformats.org/officeDocument/2006/relationships/hyperlink" Target="https://www.tiktok.com/@/video/7507733538158972191?shop_region=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29"/>
  <sheetViews>
    <sheetView tabSelected="1" workbookViewId="0">
      <pane xSplit="5" ySplit="1" topLeftCell="F2" activePane="bottomRight" state="frozen"/>
      <selection/>
      <selection pane="topRight"/>
      <selection pane="bottomLeft"/>
      <selection pane="bottomRight" activeCell="D1" sqref="A$1:V$1048576"/>
    </sheetView>
  </sheetViews>
  <sheetFormatPr defaultColWidth="17" defaultRowHeight="16.5" customHeight="1"/>
  <cols>
    <col min="1" max="2" width="26.625" customWidth="1"/>
    <col min="3" max="3" width="24.4375" customWidth="1"/>
    <col min="4" max="4" width="34.3958333333333" customWidth="1"/>
    <col min="5" max="5" width="16.7604166666667" customWidth="1"/>
    <col min="6" max="9" width="14.6666666666667" customWidth="1"/>
    <col min="10" max="10" width="12.9166666666667" customWidth="1"/>
    <col min="11" max="14" width="14.6666666666667" customWidth="1"/>
    <col min="15" max="15" width="13.4375" customWidth="1"/>
    <col min="16" max="16" width="13.625" customWidth="1"/>
    <col min="17" max="17" width="14.1354166666667" customWidth="1"/>
    <col min="18" max="25" width="16.59375" customWidth="1"/>
  </cols>
  <sheetData>
    <row r="1" ht="21" customHeight="1" spans="1:25">
      <c r="A1" s="293" t="s">
        <v>0</v>
      </c>
      <c r="B1" s="293" t="s">
        <v>1</v>
      </c>
      <c r="C1" s="293" t="s">
        <v>2</v>
      </c>
      <c r="D1" s="293" t="s">
        <v>3</v>
      </c>
      <c r="E1" s="293" t="s">
        <v>4</v>
      </c>
      <c r="F1" s="293" t="s">
        <v>5</v>
      </c>
      <c r="G1" s="293" t="s">
        <v>6</v>
      </c>
      <c r="H1" s="293" t="s">
        <v>7</v>
      </c>
      <c r="I1" s="293" t="s">
        <v>8</v>
      </c>
      <c r="J1" s="293" t="s">
        <v>9</v>
      </c>
      <c r="K1" s="293" t="s">
        <v>10</v>
      </c>
      <c r="L1" s="293" t="s">
        <v>11</v>
      </c>
      <c r="M1" s="293" t="s">
        <v>12</v>
      </c>
      <c r="N1" s="293" t="s">
        <v>13</v>
      </c>
      <c r="O1" s="293" t="s">
        <v>14</v>
      </c>
      <c r="P1" s="293" t="s">
        <v>15</v>
      </c>
      <c r="Q1" s="293" t="s">
        <v>16</v>
      </c>
      <c r="R1" s="294" t="s">
        <v>17</v>
      </c>
      <c r="S1" s="294" t="s">
        <v>18</v>
      </c>
      <c r="T1" s="294" t="s">
        <v>19</v>
      </c>
      <c r="U1" s="294" t="s">
        <v>20</v>
      </c>
      <c r="V1" s="294" t="s">
        <v>21</v>
      </c>
      <c r="W1" s="10"/>
      <c r="X1" s="10"/>
      <c r="Y1" s="10"/>
    </row>
    <row r="2" ht="24" customHeight="1" spans="1:25">
      <c r="A2" s="14" t="s">
        <v>22</v>
      </c>
      <c r="B2" s="14" t="s">
        <v>23</v>
      </c>
      <c r="C2" s="14" t="s">
        <v>24</v>
      </c>
      <c r="D2" s="14" t="s">
        <v>25</v>
      </c>
      <c r="E2" s="14">
        <v>135.5</v>
      </c>
      <c r="F2" s="14">
        <v>33.5</v>
      </c>
      <c r="G2" s="14">
        <v>26.5</v>
      </c>
      <c r="H2" s="14">
        <v>25</v>
      </c>
      <c r="I2" s="14">
        <v>2.3</v>
      </c>
      <c r="J2" s="14">
        <v>4</v>
      </c>
      <c r="K2" s="15">
        <v>56</v>
      </c>
      <c r="L2" s="15">
        <v>36.5</v>
      </c>
      <c r="M2" s="14">
        <v>53</v>
      </c>
      <c r="N2" s="14">
        <v>10</v>
      </c>
      <c r="O2" s="205">
        <f t="shared" ref="O2:O34" si="0">K2*L2*M2/6000</f>
        <v>18.0553333333333</v>
      </c>
      <c r="P2" s="205">
        <f t="shared" ref="P2:P34" si="1">K2*L2*M2/1000000</f>
        <v>0.108332</v>
      </c>
      <c r="Q2" s="205">
        <f t="shared" ref="Q2:Q34" si="2">N2/365</f>
        <v>0.0273972602739726</v>
      </c>
      <c r="R2" s="20">
        <v>1000</v>
      </c>
      <c r="S2" s="20">
        <f>49*O2/J2</f>
        <v>221.177833333333</v>
      </c>
      <c r="T2" s="20">
        <f>14*O2/J2</f>
        <v>63.1936666666667</v>
      </c>
      <c r="U2" s="20"/>
      <c r="V2" s="20">
        <f>780*P2/J2+18</f>
        <v>39.12474</v>
      </c>
      <c r="W2" s="14"/>
      <c r="X2" s="14">
        <v>8508110000</v>
      </c>
      <c r="Y2" s="14" t="s">
        <v>26</v>
      </c>
    </row>
    <row r="3" ht="24" customHeight="1" spans="1:25">
      <c r="A3" s="14" t="s">
        <v>27</v>
      </c>
      <c r="B3" s="14" t="s">
        <v>23</v>
      </c>
      <c r="C3" s="14" t="s">
        <v>28</v>
      </c>
      <c r="D3" s="14" t="s">
        <v>25</v>
      </c>
      <c r="E3" s="14">
        <v>137.5</v>
      </c>
      <c r="F3" s="15">
        <v>33.5</v>
      </c>
      <c r="G3" s="15">
        <v>26.5</v>
      </c>
      <c r="H3" s="15">
        <v>25</v>
      </c>
      <c r="I3" s="15">
        <v>2.3</v>
      </c>
      <c r="J3" s="15">
        <v>4</v>
      </c>
      <c r="K3" s="15">
        <v>56</v>
      </c>
      <c r="L3" s="15">
        <v>36.5</v>
      </c>
      <c r="M3" s="15">
        <v>53</v>
      </c>
      <c r="N3" s="15">
        <v>10</v>
      </c>
      <c r="O3" s="205">
        <f t="shared" si="0"/>
        <v>18.0553333333333</v>
      </c>
      <c r="P3" s="205">
        <f t="shared" si="1"/>
        <v>0.108332</v>
      </c>
      <c r="Q3" s="205">
        <f t="shared" si="2"/>
        <v>0.0273972602739726</v>
      </c>
      <c r="R3" s="20">
        <v>1500</v>
      </c>
      <c r="S3" s="20">
        <f>O3*35/J3</f>
        <v>157.984166666667</v>
      </c>
      <c r="T3" s="20">
        <f>15*O3/J3</f>
        <v>67.7075</v>
      </c>
      <c r="U3" s="20">
        <f>8.5*O3/J3+80*7.8*0.3*0.027</f>
        <v>43.4219833333333</v>
      </c>
      <c r="V3" s="20">
        <f>700*P3/J3+80*7.8*0.3*0.027</f>
        <v>24.0125</v>
      </c>
      <c r="W3" s="14"/>
      <c r="X3" s="15">
        <v>8508110000</v>
      </c>
      <c r="Y3" s="14" t="s">
        <v>26</v>
      </c>
    </row>
    <row r="4" ht="24" customHeight="1" spans="1:25">
      <c r="A4" s="14" t="s">
        <v>29</v>
      </c>
      <c r="B4" s="14" t="s">
        <v>23</v>
      </c>
      <c r="C4" s="14" t="s">
        <v>30</v>
      </c>
      <c r="D4" s="14" t="s">
        <v>25</v>
      </c>
      <c r="E4" s="15">
        <v>137.5</v>
      </c>
      <c r="F4" s="15">
        <v>33.5</v>
      </c>
      <c r="G4" s="15">
        <v>26.5</v>
      </c>
      <c r="H4" s="15">
        <v>25</v>
      </c>
      <c r="I4" s="15">
        <v>2.3</v>
      </c>
      <c r="J4" s="15">
        <v>4</v>
      </c>
      <c r="K4" s="14">
        <v>56</v>
      </c>
      <c r="L4" s="14">
        <v>36.5</v>
      </c>
      <c r="M4" s="15">
        <v>53</v>
      </c>
      <c r="N4" s="15">
        <v>10</v>
      </c>
      <c r="O4" s="205">
        <f t="shared" si="0"/>
        <v>18.0553333333333</v>
      </c>
      <c r="P4" s="205">
        <f t="shared" si="1"/>
        <v>0.108332</v>
      </c>
      <c r="Q4" s="205">
        <f t="shared" si="2"/>
        <v>0.0273972602739726</v>
      </c>
      <c r="R4" s="20">
        <v>500</v>
      </c>
      <c r="S4" s="20">
        <f>O4*35/J4</f>
        <v>157.984166666667</v>
      </c>
      <c r="T4" s="20">
        <f>15*O4/J4</f>
        <v>67.7075</v>
      </c>
      <c r="U4" s="20">
        <f>10.5*O4/J4+80*7.8*0.3*0.027</f>
        <v>52.44965</v>
      </c>
      <c r="V4" s="20">
        <f>700*P4/J4+80*7.8*0.3*0.027</f>
        <v>24.0125</v>
      </c>
      <c r="W4" s="14"/>
      <c r="X4" s="15">
        <v>8508110000</v>
      </c>
      <c r="Y4" s="14" t="s">
        <v>26</v>
      </c>
    </row>
    <row r="5" ht="24" customHeight="1" spans="1:25">
      <c r="A5" s="14" t="s">
        <v>31</v>
      </c>
      <c r="B5" s="14" t="s">
        <v>23</v>
      </c>
      <c r="C5" s="14" t="s">
        <v>32</v>
      </c>
      <c r="D5" s="14" t="s">
        <v>33</v>
      </c>
      <c r="E5" s="14">
        <v>100.1</v>
      </c>
      <c r="F5" s="14">
        <v>21.5</v>
      </c>
      <c r="G5" s="14">
        <v>20.5</v>
      </c>
      <c r="H5" s="14">
        <v>7.5</v>
      </c>
      <c r="I5" s="14">
        <v>0.7</v>
      </c>
      <c r="J5" s="14">
        <v>20</v>
      </c>
      <c r="K5" s="14">
        <v>45</v>
      </c>
      <c r="L5" s="14">
        <v>42.5</v>
      </c>
      <c r="M5" s="14">
        <v>40</v>
      </c>
      <c r="N5" s="14">
        <v>15</v>
      </c>
      <c r="O5" s="205">
        <f t="shared" si="0"/>
        <v>12.75</v>
      </c>
      <c r="P5" s="205">
        <f t="shared" si="1"/>
        <v>0.0765</v>
      </c>
      <c r="Q5" s="205">
        <f t="shared" si="2"/>
        <v>0.0410958904109589</v>
      </c>
      <c r="R5" s="14"/>
      <c r="S5" s="20"/>
      <c r="T5" s="20">
        <f>15*MAX(N5:O5)/J5</f>
        <v>11.25</v>
      </c>
      <c r="U5" s="20"/>
      <c r="V5" s="20">
        <f>1200*P5/J5+40*7.8*0.3*0.027</f>
        <v>7.1172</v>
      </c>
      <c r="W5" s="14"/>
      <c r="X5" s="14"/>
      <c r="Y5" s="14"/>
    </row>
    <row r="6" ht="24" customHeight="1" spans="1:25">
      <c r="A6" s="14" t="s">
        <v>34</v>
      </c>
      <c r="B6" s="14" t="s">
        <v>23</v>
      </c>
      <c r="C6" s="14" t="s">
        <v>35</v>
      </c>
      <c r="D6" s="14" t="s">
        <v>36</v>
      </c>
      <c r="E6" s="14">
        <v>208</v>
      </c>
      <c r="F6" s="14">
        <v>14</v>
      </c>
      <c r="G6" s="14">
        <v>10</v>
      </c>
      <c r="H6" s="14">
        <v>19</v>
      </c>
      <c r="I6" s="14">
        <v>1.2</v>
      </c>
      <c r="J6" s="14">
        <v>12</v>
      </c>
      <c r="K6" s="14">
        <v>32</v>
      </c>
      <c r="L6" s="14">
        <v>29</v>
      </c>
      <c r="M6" s="14">
        <v>40</v>
      </c>
      <c r="N6" s="14">
        <v>15</v>
      </c>
      <c r="O6" s="205">
        <f t="shared" si="0"/>
        <v>6.18666666666667</v>
      </c>
      <c r="P6" s="205">
        <f t="shared" si="1"/>
        <v>0.03712</v>
      </c>
      <c r="Q6" s="205">
        <f t="shared" si="2"/>
        <v>0.0410958904109589</v>
      </c>
      <c r="R6" s="14"/>
      <c r="S6" s="20"/>
      <c r="T6" s="20">
        <f>15*MAX(N6:O6)/J6</f>
        <v>18.75</v>
      </c>
      <c r="U6" s="20"/>
      <c r="V6" s="20">
        <f>1200*P6/J6+80*7.8*0.3*0.027</f>
        <v>8.7664</v>
      </c>
      <c r="W6" s="14"/>
      <c r="X6" s="14"/>
      <c r="Y6" s="14"/>
    </row>
    <row r="7" ht="24" customHeight="1" spans="1:25">
      <c r="A7" s="14" t="s">
        <v>37</v>
      </c>
      <c r="B7" s="14" t="s">
        <v>23</v>
      </c>
      <c r="C7" s="14" t="s">
        <v>35</v>
      </c>
      <c r="D7" s="14" t="s">
        <v>36</v>
      </c>
      <c r="E7" s="14">
        <v>208</v>
      </c>
      <c r="F7" s="14">
        <v>14</v>
      </c>
      <c r="G7" s="14">
        <v>10</v>
      </c>
      <c r="H7" s="14">
        <v>19</v>
      </c>
      <c r="I7" s="14">
        <v>1.2</v>
      </c>
      <c r="J7" s="14">
        <v>12</v>
      </c>
      <c r="K7" s="14">
        <v>32</v>
      </c>
      <c r="L7" s="14">
        <v>29</v>
      </c>
      <c r="M7" s="14">
        <v>40</v>
      </c>
      <c r="N7" s="14">
        <v>15</v>
      </c>
      <c r="O7" s="205">
        <f t="shared" si="0"/>
        <v>6.18666666666667</v>
      </c>
      <c r="P7" s="205">
        <f t="shared" si="1"/>
        <v>0.03712</v>
      </c>
      <c r="Q7" s="205">
        <f t="shared" si="2"/>
        <v>0.0410958904109589</v>
      </c>
      <c r="R7" s="14"/>
      <c r="S7" s="20"/>
      <c r="T7" s="20">
        <f>15*MAX(N7:O7)/J7</f>
        <v>18.75</v>
      </c>
      <c r="U7" s="20"/>
      <c r="V7" s="20">
        <f>1200*P7/J7+80*7.8*0.3*0.027</f>
        <v>8.7664</v>
      </c>
      <c r="W7" s="14"/>
      <c r="X7" s="14"/>
      <c r="Y7" s="14"/>
    </row>
    <row r="8" ht="24" customHeight="1" spans="1:25">
      <c r="A8" s="14" t="s">
        <v>38</v>
      </c>
      <c r="B8" s="14" t="s">
        <v>23</v>
      </c>
      <c r="C8" s="14" t="s">
        <v>39</v>
      </c>
      <c r="D8" s="14" t="s">
        <v>40</v>
      </c>
      <c r="E8" s="14">
        <v>49</v>
      </c>
      <c r="F8" s="14">
        <v>17.2</v>
      </c>
      <c r="G8" s="14">
        <v>9.8</v>
      </c>
      <c r="H8" s="14">
        <v>4.4</v>
      </c>
      <c r="I8" s="14">
        <v>0.5</v>
      </c>
      <c r="J8" s="14">
        <v>50</v>
      </c>
      <c r="K8" s="14">
        <v>51.5</v>
      </c>
      <c r="L8" s="14">
        <v>42</v>
      </c>
      <c r="M8" s="14">
        <v>20</v>
      </c>
      <c r="N8" s="14">
        <v>19.75</v>
      </c>
      <c r="O8" s="205">
        <f t="shared" si="0"/>
        <v>7.21</v>
      </c>
      <c r="P8" s="205">
        <f t="shared" si="1"/>
        <v>0.04326</v>
      </c>
      <c r="Q8" s="205">
        <f t="shared" si="2"/>
        <v>0.0541095890410959</v>
      </c>
      <c r="R8" s="14"/>
      <c r="S8" s="20"/>
      <c r="T8" s="20"/>
      <c r="U8" s="20"/>
      <c r="V8" s="20">
        <f>1200*P8/J8+80*7.8*0.3*0.027</f>
        <v>6.09264</v>
      </c>
      <c r="W8" s="14"/>
      <c r="X8" s="14"/>
      <c r="Y8" s="14"/>
    </row>
    <row r="9" ht="24" customHeight="1" spans="1:25">
      <c r="A9" s="14" t="s">
        <v>41</v>
      </c>
      <c r="B9" s="14" t="s">
        <v>23</v>
      </c>
      <c r="C9" s="14" t="s">
        <v>42</v>
      </c>
      <c r="D9" s="15" t="s">
        <v>43</v>
      </c>
      <c r="E9" s="14">
        <v>49</v>
      </c>
      <c r="F9" s="14">
        <v>17.2</v>
      </c>
      <c r="G9" s="14">
        <v>9.8</v>
      </c>
      <c r="H9" s="14">
        <v>4.4</v>
      </c>
      <c r="I9" s="14">
        <v>0.5</v>
      </c>
      <c r="J9" s="14">
        <v>50</v>
      </c>
      <c r="K9" s="14">
        <v>51.5</v>
      </c>
      <c r="L9" s="14">
        <v>42</v>
      </c>
      <c r="M9" s="14">
        <v>20</v>
      </c>
      <c r="N9" s="14">
        <v>19.75</v>
      </c>
      <c r="O9" s="205">
        <f t="shared" si="0"/>
        <v>7.21</v>
      </c>
      <c r="P9" s="205">
        <f t="shared" si="1"/>
        <v>0.04326</v>
      </c>
      <c r="Q9" s="205">
        <f t="shared" si="2"/>
        <v>0.0541095890410959</v>
      </c>
      <c r="R9" s="14"/>
      <c r="S9" s="20"/>
      <c r="T9" s="20"/>
      <c r="U9" s="20"/>
      <c r="V9" s="20">
        <f>1200*P9/J9+80*7.8*0.3*0.027</f>
        <v>6.09264</v>
      </c>
      <c r="W9" s="14"/>
      <c r="X9" s="14"/>
      <c r="Y9" s="14"/>
    </row>
    <row r="10" ht="24" customHeight="1" spans="1:25">
      <c r="A10" s="14" t="s">
        <v>44</v>
      </c>
      <c r="B10" s="14" t="s">
        <v>23</v>
      </c>
      <c r="C10" s="14" t="s">
        <v>45</v>
      </c>
      <c r="D10" s="14" t="s">
        <v>46</v>
      </c>
      <c r="E10" s="14">
        <v>80.4</v>
      </c>
      <c r="F10" s="14">
        <v>26.5</v>
      </c>
      <c r="G10" s="14">
        <v>13.5</v>
      </c>
      <c r="H10" s="14">
        <v>3.5</v>
      </c>
      <c r="I10" s="14">
        <v>1.1</v>
      </c>
      <c r="J10" s="14">
        <v>30</v>
      </c>
      <c r="K10" s="14">
        <v>42.5</v>
      </c>
      <c r="L10" s="14">
        <v>27</v>
      </c>
      <c r="M10" s="14">
        <v>38</v>
      </c>
      <c r="N10" s="14">
        <v>18.05</v>
      </c>
      <c r="O10" s="205">
        <f t="shared" si="0"/>
        <v>7.2675</v>
      </c>
      <c r="P10" s="205">
        <f t="shared" si="1"/>
        <v>0.043605</v>
      </c>
      <c r="Q10" s="205">
        <f t="shared" si="2"/>
        <v>0.0494520547945205</v>
      </c>
      <c r="R10" s="14"/>
      <c r="S10" s="20"/>
      <c r="T10" s="20"/>
      <c r="U10" s="20"/>
      <c r="V10" s="20"/>
      <c r="W10" s="14"/>
      <c r="X10" s="14"/>
      <c r="Y10" s="14"/>
    </row>
    <row r="11" ht="24" customHeight="1" spans="1:25">
      <c r="A11" s="14" t="s">
        <v>47</v>
      </c>
      <c r="B11" s="14" t="s">
        <v>23</v>
      </c>
      <c r="C11" s="15" t="s">
        <v>48</v>
      </c>
      <c r="D11" s="14" t="s">
        <v>49</v>
      </c>
      <c r="E11" s="14">
        <v>29.38</v>
      </c>
      <c r="F11" s="14">
        <v>16</v>
      </c>
      <c r="G11" s="14">
        <v>2</v>
      </c>
      <c r="H11" s="14">
        <v>2</v>
      </c>
      <c r="I11" s="14">
        <v>0.1</v>
      </c>
      <c r="J11" s="14">
        <v>200</v>
      </c>
      <c r="K11" s="14">
        <v>36</v>
      </c>
      <c r="L11" s="14">
        <v>36</v>
      </c>
      <c r="M11" s="14">
        <v>24</v>
      </c>
      <c r="N11" s="14">
        <v>19.5</v>
      </c>
      <c r="O11" s="205">
        <f t="shared" si="0"/>
        <v>5.184</v>
      </c>
      <c r="P11" s="205">
        <f t="shared" si="1"/>
        <v>0.031104</v>
      </c>
      <c r="Q11" s="205">
        <f t="shared" si="2"/>
        <v>0.0534246575342466</v>
      </c>
      <c r="R11" s="14"/>
      <c r="S11" s="20"/>
      <c r="T11" s="20"/>
      <c r="U11" s="20"/>
      <c r="V11" s="20"/>
      <c r="W11" s="14"/>
      <c r="X11" s="14"/>
      <c r="Y11" s="14"/>
    </row>
    <row r="12" ht="24" customHeight="1" spans="1:25">
      <c r="A12" s="14" t="s">
        <v>50</v>
      </c>
      <c r="B12" s="14" t="s">
        <v>23</v>
      </c>
      <c r="C12" s="14" t="s">
        <v>51</v>
      </c>
      <c r="D12" s="152" t="s">
        <v>52</v>
      </c>
      <c r="E12" s="14">
        <v>94.4</v>
      </c>
      <c r="F12" s="14">
        <v>32</v>
      </c>
      <c r="G12" s="14">
        <v>18.5</v>
      </c>
      <c r="H12" s="15">
        <v>18.5</v>
      </c>
      <c r="I12" s="14">
        <v>1.6</v>
      </c>
      <c r="J12" s="14">
        <v>9</v>
      </c>
      <c r="K12" s="14">
        <v>55</v>
      </c>
      <c r="L12" s="14">
        <v>55</v>
      </c>
      <c r="M12" s="14">
        <v>35</v>
      </c>
      <c r="N12" s="14">
        <v>14</v>
      </c>
      <c r="O12" s="205">
        <f t="shared" si="0"/>
        <v>17.6458333333333</v>
      </c>
      <c r="P12" s="205">
        <f t="shared" si="1"/>
        <v>0.105875</v>
      </c>
      <c r="Q12" s="205">
        <f t="shared" si="2"/>
        <v>0.0383561643835616</v>
      </c>
      <c r="R12" s="14"/>
      <c r="S12" s="20"/>
      <c r="T12" s="20">
        <f>10*MAX(N12:O12)/J12</f>
        <v>19.6064814814815</v>
      </c>
      <c r="U12" s="20"/>
      <c r="V12" s="20">
        <f>6.5*MAX(N12:O12)/J12</f>
        <v>12.744212962963</v>
      </c>
      <c r="W12" s="14"/>
      <c r="X12" s="15">
        <v>8421391000</v>
      </c>
      <c r="Y12" s="15" t="s">
        <v>53</v>
      </c>
    </row>
    <row r="13" ht="24" customHeight="1" spans="1:25">
      <c r="A13" s="14" t="s">
        <v>54</v>
      </c>
      <c r="B13" s="14" t="s">
        <v>23</v>
      </c>
      <c r="C13" s="14" t="s">
        <v>55</v>
      </c>
      <c r="D13" s="154" t="s">
        <v>52</v>
      </c>
      <c r="E13" s="15">
        <v>94.4</v>
      </c>
      <c r="F13" s="14">
        <v>32</v>
      </c>
      <c r="G13" s="15">
        <v>18.5</v>
      </c>
      <c r="H13" s="15">
        <v>18.5</v>
      </c>
      <c r="I13" s="14">
        <v>1.6</v>
      </c>
      <c r="J13" s="14">
        <v>9</v>
      </c>
      <c r="K13" s="15">
        <v>55</v>
      </c>
      <c r="L13" s="15">
        <v>55</v>
      </c>
      <c r="M13" s="14">
        <v>35</v>
      </c>
      <c r="N13" s="14">
        <v>14</v>
      </c>
      <c r="O13" s="205">
        <f t="shared" si="0"/>
        <v>17.6458333333333</v>
      </c>
      <c r="P13" s="205">
        <f t="shared" si="1"/>
        <v>0.105875</v>
      </c>
      <c r="Q13" s="205">
        <f t="shared" si="2"/>
        <v>0.0383561643835616</v>
      </c>
      <c r="R13" s="14"/>
      <c r="S13" s="20"/>
      <c r="T13" s="20">
        <f>15*MAX(N13:O13)/J13</f>
        <v>29.4097222222222</v>
      </c>
      <c r="U13" s="20">
        <f>11*MAX(N13:O13)/J13</f>
        <v>21.5671296296296</v>
      </c>
      <c r="V13" s="20">
        <f>700*P13/J13+50*7.8*0.3*0.027</f>
        <v>11.3937222222222</v>
      </c>
      <c r="W13" s="14"/>
      <c r="X13" s="14">
        <v>8421391000</v>
      </c>
      <c r="Y13" s="15" t="s">
        <v>53</v>
      </c>
    </row>
    <row r="14" ht="24" customHeight="1" spans="1:25">
      <c r="A14" s="14" t="s">
        <v>56</v>
      </c>
      <c r="B14" s="14" t="s">
        <v>23</v>
      </c>
      <c r="C14" s="14" t="s">
        <v>57</v>
      </c>
      <c r="D14" s="154" t="s">
        <v>52</v>
      </c>
      <c r="E14" s="15">
        <v>94.4</v>
      </c>
      <c r="F14" s="14">
        <v>32</v>
      </c>
      <c r="G14" s="15">
        <v>18.5</v>
      </c>
      <c r="H14" s="15">
        <v>18.5</v>
      </c>
      <c r="I14" s="14">
        <v>1.6</v>
      </c>
      <c r="J14" s="14">
        <v>9</v>
      </c>
      <c r="K14" s="15">
        <v>55</v>
      </c>
      <c r="L14" s="15">
        <v>55</v>
      </c>
      <c r="M14" s="14">
        <v>35</v>
      </c>
      <c r="N14" s="14">
        <v>14</v>
      </c>
      <c r="O14" s="205">
        <f t="shared" si="0"/>
        <v>17.6458333333333</v>
      </c>
      <c r="P14" s="205">
        <f t="shared" si="1"/>
        <v>0.105875</v>
      </c>
      <c r="Q14" s="205">
        <f t="shared" si="2"/>
        <v>0.0383561643835616</v>
      </c>
      <c r="R14" s="14"/>
      <c r="S14" s="20"/>
      <c r="T14" s="20">
        <f>15*MAX(N14:O14)/J14</f>
        <v>29.4097222222222</v>
      </c>
      <c r="U14" s="20">
        <f>11*MAX(N14:O14)/J14</f>
        <v>21.5671296296296</v>
      </c>
      <c r="V14" s="20">
        <f>900*P14/J14+50*7.8*0.3*0.027</f>
        <v>13.7465</v>
      </c>
      <c r="W14" s="14"/>
      <c r="X14" s="15">
        <v>8421391000</v>
      </c>
      <c r="Y14" s="15" t="s">
        <v>53</v>
      </c>
    </row>
    <row r="15" ht="24" customHeight="1" spans="1:25">
      <c r="A15" s="14" t="s">
        <v>58</v>
      </c>
      <c r="B15" s="14" t="s">
        <v>23</v>
      </c>
      <c r="C15" s="14" t="s">
        <v>59</v>
      </c>
      <c r="D15" s="21" t="s">
        <v>60</v>
      </c>
      <c r="E15" s="14">
        <v>16.9</v>
      </c>
      <c r="F15" s="14">
        <v>16</v>
      </c>
      <c r="G15" s="15">
        <v>16</v>
      </c>
      <c r="H15" s="15">
        <v>16</v>
      </c>
      <c r="I15" s="14">
        <v>0.3</v>
      </c>
      <c r="J15" s="14">
        <v>27</v>
      </c>
      <c r="K15" s="14">
        <v>50</v>
      </c>
      <c r="L15" s="14">
        <v>50</v>
      </c>
      <c r="M15" s="14">
        <v>50</v>
      </c>
      <c r="N15" s="14">
        <v>7.5</v>
      </c>
      <c r="O15" s="205">
        <f t="shared" si="0"/>
        <v>20.8333333333333</v>
      </c>
      <c r="P15" s="205">
        <f t="shared" si="1"/>
        <v>0.125</v>
      </c>
      <c r="Q15" s="205">
        <f t="shared" si="2"/>
        <v>0.0205479452054795</v>
      </c>
      <c r="R15" s="14"/>
      <c r="S15" s="20"/>
      <c r="T15" s="20">
        <f>10*MAX(N15:O15)/J15</f>
        <v>7.71604938271605</v>
      </c>
      <c r="U15" s="20"/>
      <c r="V15" s="20">
        <f>780*P15/J15+E15*0.1*0.5</f>
        <v>4.45611111111111</v>
      </c>
      <c r="W15" s="14"/>
      <c r="X15" s="14">
        <v>8421991000</v>
      </c>
      <c r="Y15" s="14" t="s">
        <v>61</v>
      </c>
    </row>
    <row r="16" ht="24" customHeight="1" spans="1:25">
      <c r="A16" s="14" t="s">
        <v>62</v>
      </c>
      <c r="B16" s="14" t="s">
        <v>23</v>
      </c>
      <c r="C16" s="14" t="s">
        <v>59</v>
      </c>
      <c r="D16" s="16" t="s">
        <v>60</v>
      </c>
      <c r="E16" s="15">
        <v>16.9</v>
      </c>
      <c r="F16" s="15">
        <v>16</v>
      </c>
      <c r="G16" s="15">
        <v>16</v>
      </c>
      <c r="H16" s="15">
        <v>16</v>
      </c>
      <c r="I16" s="14">
        <v>0.3</v>
      </c>
      <c r="J16" s="14">
        <v>27</v>
      </c>
      <c r="K16" s="14">
        <v>50</v>
      </c>
      <c r="L16" s="15">
        <v>50</v>
      </c>
      <c r="M16" s="15">
        <v>50</v>
      </c>
      <c r="N16" s="15">
        <v>7.5</v>
      </c>
      <c r="O16" s="205">
        <f t="shared" si="0"/>
        <v>20.8333333333333</v>
      </c>
      <c r="P16" s="205">
        <f t="shared" si="1"/>
        <v>0.125</v>
      </c>
      <c r="Q16" s="205">
        <f t="shared" si="2"/>
        <v>0.0205479452054795</v>
      </c>
      <c r="R16" s="14"/>
      <c r="S16" s="20"/>
      <c r="T16" s="20">
        <f>15*MAX(N16:O16)/J16</f>
        <v>11.5740740740741</v>
      </c>
      <c r="U16" s="20">
        <f>11*MAX(N16:O16)/J16</f>
        <v>8.48765432098765</v>
      </c>
      <c r="V16" s="20">
        <f>700*P16/J16+50*7.8*0.3*0.027</f>
        <v>6.39974074074074</v>
      </c>
      <c r="W16" s="14"/>
      <c r="X16" s="15">
        <v>8421991000</v>
      </c>
      <c r="Y16" s="15" t="s">
        <v>61</v>
      </c>
    </row>
    <row r="17" ht="24" customHeight="1" spans="1:25">
      <c r="A17" s="14" t="s">
        <v>63</v>
      </c>
      <c r="B17" s="14" t="s">
        <v>23</v>
      </c>
      <c r="C17" s="14" t="s">
        <v>59</v>
      </c>
      <c r="D17" s="16" t="s">
        <v>60</v>
      </c>
      <c r="E17" s="15">
        <v>16.9</v>
      </c>
      <c r="F17" s="15">
        <v>16</v>
      </c>
      <c r="G17" s="15">
        <v>16</v>
      </c>
      <c r="H17" s="15">
        <v>16</v>
      </c>
      <c r="I17" s="14">
        <v>0.3</v>
      </c>
      <c r="J17" s="14">
        <v>27</v>
      </c>
      <c r="K17" s="14">
        <v>50</v>
      </c>
      <c r="L17" s="15">
        <v>50</v>
      </c>
      <c r="M17" s="15">
        <v>50</v>
      </c>
      <c r="N17" s="15">
        <v>7.5</v>
      </c>
      <c r="O17" s="205">
        <f t="shared" si="0"/>
        <v>20.8333333333333</v>
      </c>
      <c r="P17" s="205">
        <f t="shared" si="1"/>
        <v>0.125</v>
      </c>
      <c r="Q17" s="205">
        <f t="shared" si="2"/>
        <v>0.0205479452054795</v>
      </c>
      <c r="R17" s="14"/>
      <c r="S17" s="20"/>
      <c r="T17" s="20">
        <f>15*MAX(N17:O17)/J17</f>
        <v>11.5740740740741</v>
      </c>
      <c r="U17" s="20">
        <f>11*MAX(N17:O17)/J17</f>
        <v>8.48765432098765</v>
      </c>
      <c r="V17" s="20">
        <f>600*P17/J17+50*7.8*0.3*0.027</f>
        <v>5.93677777777778</v>
      </c>
      <c r="W17" s="14"/>
      <c r="X17" s="15">
        <v>8421991000</v>
      </c>
      <c r="Y17" s="15" t="s">
        <v>61</v>
      </c>
    </row>
    <row r="18" ht="24" customHeight="1" spans="1:25">
      <c r="A18" s="14" t="s">
        <v>64</v>
      </c>
      <c r="B18" s="14" t="s">
        <v>23</v>
      </c>
      <c r="C18" s="14"/>
      <c r="D18" s="152" t="s">
        <v>65</v>
      </c>
      <c r="E18" s="14">
        <v>94.4</v>
      </c>
      <c r="F18" s="14">
        <v>32</v>
      </c>
      <c r="G18" s="14">
        <v>18.5</v>
      </c>
      <c r="H18" s="15">
        <v>18.5</v>
      </c>
      <c r="I18" s="14">
        <v>1.6</v>
      </c>
      <c r="J18" s="14">
        <v>9</v>
      </c>
      <c r="K18" s="14">
        <v>58</v>
      </c>
      <c r="L18" s="14">
        <v>58</v>
      </c>
      <c r="M18" s="14">
        <v>35</v>
      </c>
      <c r="N18" s="14">
        <v>16</v>
      </c>
      <c r="O18" s="205">
        <f t="shared" si="0"/>
        <v>19.6233333333333</v>
      </c>
      <c r="P18" s="205">
        <f t="shared" si="1"/>
        <v>0.11774</v>
      </c>
      <c r="Q18" s="205">
        <f t="shared" si="2"/>
        <v>0.0438356164383562</v>
      </c>
      <c r="R18" s="14"/>
      <c r="S18" s="20"/>
      <c r="T18" s="20">
        <f>10*MAX(N18:O18)/J18</f>
        <v>21.8037037037037</v>
      </c>
      <c r="U18" s="20"/>
      <c r="V18" s="20">
        <f>6.5*MAX(N18:O18)/J18</f>
        <v>14.1724074074074</v>
      </c>
      <c r="W18" s="14"/>
      <c r="X18" s="14"/>
      <c r="Y18" s="14"/>
    </row>
    <row r="19" ht="24" customHeight="1" spans="1:25">
      <c r="A19" s="14" t="s">
        <v>66</v>
      </c>
      <c r="B19" s="14" t="s">
        <v>23</v>
      </c>
      <c r="C19" s="14"/>
      <c r="D19" s="21" t="s">
        <v>67</v>
      </c>
      <c r="E19" s="14">
        <v>16.9</v>
      </c>
      <c r="F19" s="14">
        <v>16</v>
      </c>
      <c r="G19" s="15">
        <v>16</v>
      </c>
      <c r="H19" s="15">
        <v>16</v>
      </c>
      <c r="I19" s="14">
        <v>0.3</v>
      </c>
      <c r="J19" s="14">
        <v>27</v>
      </c>
      <c r="K19" s="14">
        <v>50.5</v>
      </c>
      <c r="L19" s="14">
        <v>50</v>
      </c>
      <c r="M19" s="14">
        <v>50</v>
      </c>
      <c r="N19" s="14">
        <v>6.5</v>
      </c>
      <c r="O19" s="205">
        <f t="shared" si="0"/>
        <v>21.0416666666667</v>
      </c>
      <c r="P19" s="205">
        <f t="shared" si="1"/>
        <v>0.12625</v>
      </c>
      <c r="Q19" s="205">
        <f t="shared" si="2"/>
        <v>0.0178082191780822</v>
      </c>
      <c r="R19" s="14"/>
      <c r="S19" s="20"/>
      <c r="T19" s="20">
        <f>10*MAX(N19:O19)/J19</f>
        <v>7.79320987654321</v>
      </c>
      <c r="U19" s="20"/>
      <c r="V19" s="20">
        <f>780*P19/J19+E19*0.1*0.5</f>
        <v>4.49222222222222</v>
      </c>
      <c r="W19" s="14"/>
      <c r="X19" s="14"/>
      <c r="Y19" s="14"/>
    </row>
    <row r="20" ht="24" customHeight="1" spans="1:25">
      <c r="A20" s="14" t="s">
        <v>68</v>
      </c>
      <c r="B20" s="14" t="s">
        <v>23</v>
      </c>
      <c r="C20" s="14" t="s">
        <v>69</v>
      </c>
      <c r="D20" s="14" t="s">
        <v>70</v>
      </c>
      <c r="E20" s="14">
        <v>155</v>
      </c>
      <c r="F20" s="14">
        <v>33</v>
      </c>
      <c r="G20" s="14">
        <v>22</v>
      </c>
      <c r="H20" s="14">
        <v>18</v>
      </c>
      <c r="I20" s="15">
        <v>1.8</v>
      </c>
      <c r="J20" s="14">
        <v>8</v>
      </c>
      <c r="K20" s="14">
        <v>61</v>
      </c>
      <c r="L20" s="14">
        <v>47</v>
      </c>
      <c r="M20" s="14">
        <v>37</v>
      </c>
      <c r="N20" s="14">
        <v>16</v>
      </c>
      <c r="O20" s="205">
        <f t="shared" si="0"/>
        <v>17.6798333333333</v>
      </c>
      <c r="P20" s="205">
        <f t="shared" si="1"/>
        <v>0.106079</v>
      </c>
      <c r="Q20" s="205">
        <f t="shared" si="2"/>
        <v>0.0438356164383562</v>
      </c>
      <c r="R20" s="20"/>
      <c r="S20" s="20"/>
      <c r="T20" s="20">
        <f>15*O20/J20</f>
        <v>33.1496875</v>
      </c>
      <c r="U20" s="20">
        <f>8.5*O20/J20+80*7.8*0.3*0.027</f>
        <v>23.8392229166667</v>
      </c>
      <c r="V20" s="20">
        <f>700*P20/J20+80*7.8*0.3*0.027</f>
        <v>14.3363125</v>
      </c>
      <c r="W20" s="14"/>
      <c r="X20" s="15">
        <v>8508110000</v>
      </c>
      <c r="Y20" s="14" t="s">
        <v>26</v>
      </c>
    </row>
    <row r="21" ht="24" customHeight="1" spans="1:25">
      <c r="A21" s="14" t="s">
        <v>71</v>
      </c>
      <c r="B21" s="14" t="s">
        <v>23</v>
      </c>
      <c r="C21" s="14" t="s">
        <v>72</v>
      </c>
      <c r="D21" s="14" t="s">
        <v>70</v>
      </c>
      <c r="E21" s="15">
        <v>155</v>
      </c>
      <c r="F21" s="14">
        <v>33</v>
      </c>
      <c r="G21" s="15">
        <v>22</v>
      </c>
      <c r="H21" s="14">
        <v>18</v>
      </c>
      <c r="I21" s="15">
        <v>1.8</v>
      </c>
      <c r="J21" s="14">
        <v>8</v>
      </c>
      <c r="K21" s="14">
        <v>61</v>
      </c>
      <c r="L21" s="14">
        <v>47</v>
      </c>
      <c r="M21" s="14">
        <v>37</v>
      </c>
      <c r="N21" s="14">
        <v>16</v>
      </c>
      <c r="O21" s="205">
        <f t="shared" si="0"/>
        <v>17.6798333333333</v>
      </c>
      <c r="P21" s="205">
        <f t="shared" si="1"/>
        <v>0.106079</v>
      </c>
      <c r="Q21" s="205">
        <f t="shared" si="2"/>
        <v>0.0438356164383562</v>
      </c>
      <c r="R21" s="20"/>
      <c r="S21" s="20"/>
      <c r="T21" s="20">
        <f>15*O21/J21</f>
        <v>33.1496875</v>
      </c>
      <c r="U21" s="20">
        <f>10.5*O21/J21+80*7.8*0.3*0.027</f>
        <v>28.25918125</v>
      </c>
      <c r="V21" s="20">
        <f>700*P21/J21+80*7.8*0.3*0.027</f>
        <v>14.3363125</v>
      </c>
      <c r="W21" s="14"/>
      <c r="X21" s="15">
        <v>8508110000</v>
      </c>
      <c r="Y21" s="14" t="s">
        <v>26</v>
      </c>
    </row>
    <row r="22" ht="24" customHeight="1" spans="1:25">
      <c r="A22" s="14" t="s">
        <v>73</v>
      </c>
      <c r="B22" s="14" t="s">
        <v>23</v>
      </c>
      <c r="C22" s="14" t="s">
        <v>74</v>
      </c>
      <c r="D22" s="14" t="s">
        <v>75</v>
      </c>
      <c r="E22" s="14">
        <v>180</v>
      </c>
      <c r="F22" s="14">
        <v>32</v>
      </c>
      <c r="G22" s="14">
        <v>32</v>
      </c>
      <c r="H22" s="14">
        <v>17</v>
      </c>
      <c r="I22" s="14">
        <v>2.6</v>
      </c>
      <c r="J22" s="14">
        <v>1</v>
      </c>
      <c r="K22" s="15">
        <v>32</v>
      </c>
      <c r="L22" s="15">
        <v>32</v>
      </c>
      <c r="M22" s="15">
        <v>17</v>
      </c>
      <c r="N22" s="14">
        <v>2.6</v>
      </c>
      <c r="O22" s="205">
        <f t="shared" si="0"/>
        <v>2.90133333333333</v>
      </c>
      <c r="P22" s="205">
        <f t="shared" si="1"/>
        <v>0.017408</v>
      </c>
      <c r="Q22" s="205">
        <f t="shared" si="2"/>
        <v>0.00712328767123288</v>
      </c>
      <c r="R22" s="20"/>
      <c r="S22" s="20"/>
      <c r="T22" s="20">
        <f>15*O22/J22</f>
        <v>43.52</v>
      </c>
      <c r="U22" s="20">
        <f>8.5*O22/J22+80*7.8*0.3*0.027</f>
        <v>29.7157333333333</v>
      </c>
      <c r="V22" s="20">
        <f>700*P22/J22+80*7.8*0.3*0.027</f>
        <v>17.24</v>
      </c>
      <c r="W22" s="14"/>
      <c r="X22" s="15"/>
      <c r="Y22" s="14"/>
    </row>
    <row r="23" ht="24" customHeight="1" spans="1:25">
      <c r="A23" s="14" t="s">
        <v>76</v>
      </c>
      <c r="B23" s="14" t="s">
        <v>23</v>
      </c>
      <c r="C23" s="14" t="s">
        <v>77</v>
      </c>
      <c r="D23" s="15" t="s">
        <v>75</v>
      </c>
      <c r="E23" s="14">
        <v>180</v>
      </c>
      <c r="F23" s="15">
        <v>32</v>
      </c>
      <c r="G23" s="15">
        <v>32</v>
      </c>
      <c r="H23" s="15">
        <v>17</v>
      </c>
      <c r="I23" s="15">
        <v>2.6</v>
      </c>
      <c r="J23" s="14">
        <v>1</v>
      </c>
      <c r="K23" s="15">
        <v>32</v>
      </c>
      <c r="L23" s="15">
        <v>32</v>
      </c>
      <c r="M23" s="15">
        <v>17</v>
      </c>
      <c r="N23" s="15">
        <v>2.6</v>
      </c>
      <c r="O23" s="205">
        <f t="shared" si="0"/>
        <v>2.90133333333333</v>
      </c>
      <c r="P23" s="205">
        <f t="shared" si="1"/>
        <v>0.017408</v>
      </c>
      <c r="Q23" s="205">
        <f t="shared" si="2"/>
        <v>0.00712328767123288</v>
      </c>
      <c r="R23" s="20"/>
      <c r="S23" s="20"/>
      <c r="T23" s="20">
        <f>15*O23/J23</f>
        <v>43.52</v>
      </c>
      <c r="U23" s="20">
        <f>10.5*O23/J23+80*7.8*0.3*0.027</f>
        <v>35.5184</v>
      </c>
      <c r="V23" s="20">
        <f>600*P23/J23+80*7.8*0.3*0.027</f>
        <v>15.4992</v>
      </c>
      <c r="W23" s="14"/>
      <c r="X23" s="15"/>
      <c r="Y23" s="14"/>
    </row>
    <row r="24" ht="24" customHeight="1" spans="1:25">
      <c r="A24" s="14" t="s">
        <v>78</v>
      </c>
      <c r="B24" s="14" t="s">
        <v>23</v>
      </c>
      <c r="C24" s="14">
        <v>233333</v>
      </c>
      <c r="D24" s="14" t="s">
        <v>79</v>
      </c>
      <c r="E24" s="14">
        <f>115*1.13</f>
        <v>129.95</v>
      </c>
      <c r="F24" s="14">
        <v>22</v>
      </c>
      <c r="G24" s="14">
        <v>6</v>
      </c>
      <c r="H24" s="14">
        <v>6</v>
      </c>
      <c r="I24" s="14">
        <v>0.7</v>
      </c>
      <c r="J24" s="14">
        <v>24</v>
      </c>
      <c r="K24" s="14">
        <v>36</v>
      </c>
      <c r="L24" s="14">
        <v>22</v>
      </c>
      <c r="M24" s="14">
        <v>24</v>
      </c>
      <c r="N24" s="14">
        <v>17</v>
      </c>
      <c r="O24" s="205">
        <f t="shared" si="0"/>
        <v>3.168</v>
      </c>
      <c r="P24" s="205">
        <f t="shared" si="1"/>
        <v>0.019008</v>
      </c>
      <c r="Q24" s="205">
        <f t="shared" si="2"/>
        <v>0.0465753424657534</v>
      </c>
      <c r="R24" s="14"/>
      <c r="S24" s="20"/>
      <c r="T24" s="20">
        <f t="shared" ref="T24:T31" si="3">15*MAX(N24:O24)/J24</f>
        <v>10.625</v>
      </c>
      <c r="U24" s="20">
        <f t="shared" ref="U24:U29" si="4">11*MAX(N24:O24)/J24</f>
        <v>7.79166666666667</v>
      </c>
      <c r="V24" s="20">
        <f>1000*MAX(P24,Q24)/J24+E24*2.7%</f>
        <v>5.44928926940639</v>
      </c>
      <c r="W24" s="14"/>
      <c r="X24" s="14"/>
      <c r="Y24" s="14"/>
    </row>
    <row r="25" ht="24" customHeight="1" spans="1:25">
      <c r="A25" s="14" t="s">
        <v>78</v>
      </c>
      <c r="B25" s="14" t="s">
        <v>23</v>
      </c>
      <c r="C25" s="14">
        <v>233333</v>
      </c>
      <c r="D25" s="14" t="s">
        <v>80</v>
      </c>
      <c r="E25" s="14">
        <f>67*1.13</f>
        <v>75.71</v>
      </c>
      <c r="F25" s="14">
        <v>19</v>
      </c>
      <c r="G25" s="14">
        <v>9</v>
      </c>
      <c r="H25" s="14">
        <v>6.5</v>
      </c>
      <c r="I25" s="14">
        <v>0.8</v>
      </c>
      <c r="J25" s="15">
        <v>24</v>
      </c>
      <c r="K25" s="15">
        <v>43</v>
      </c>
      <c r="L25" s="15">
        <v>33</v>
      </c>
      <c r="M25" s="15">
        <v>28</v>
      </c>
      <c r="N25" s="15">
        <v>20</v>
      </c>
      <c r="O25" s="205">
        <f t="shared" si="0"/>
        <v>6.622</v>
      </c>
      <c r="P25" s="205">
        <f t="shared" si="1"/>
        <v>0.039732</v>
      </c>
      <c r="Q25" s="205">
        <f t="shared" si="2"/>
        <v>0.0547945205479452</v>
      </c>
      <c r="R25" s="14"/>
      <c r="S25" s="20"/>
      <c r="T25" s="20">
        <f t="shared" si="3"/>
        <v>12.5</v>
      </c>
      <c r="U25" s="20">
        <f t="shared" si="4"/>
        <v>9.16666666666667</v>
      </c>
      <c r="V25" s="20">
        <f>1000*MAX(P25,Q25)/J25+E25*2.7%</f>
        <v>4.32727502283105</v>
      </c>
      <c r="W25" s="14"/>
      <c r="X25" s="14"/>
      <c r="Y25" s="14"/>
    </row>
    <row r="26" ht="24" customHeight="1" spans="1:25">
      <c r="A26" s="14" t="s">
        <v>78</v>
      </c>
      <c r="B26" s="14" t="s">
        <v>23</v>
      </c>
      <c r="C26" s="14">
        <v>233333</v>
      </c>
      <c r="D26" s="14" t="s">
        <v>81</v>
      </c>
      <c r="E26" s="14">
        <f>130*1.13</f>
        <v>146.9</v>
      </c>
      <c r="F26" s="15">
        <v>19</v>
      </c>
      <c r="G26" s="15">
        <v>9</v>
      </c>
      <c r="H26" s="15">
        <v>6.5</v>
      </c>
      <c r="I26" s="15">
        <v>0.8</v>
      </c>
      <c r="J26" s="14">
        <v>24</v>
      </c>
      <c r="K26" s="14">
        <v>43</v>
      </c>
      <c r="L26" s="14">
        <v>33</v>
      </c>
      <c r="M26" s="14">
        <v>28</v>
      </c>
      <c r="N26" s="14">
        <v>20</v>
      </c>
      <c r="O26" s="205">
        <f t="shared" si="0"/>
        <v>6.622</v>
      </c>
      <c r="P26" s="205">
        <f t="shared" si="1"/>
        <v>0.039732</v>
      </c>
      <c r="Q26" s="205">
        <f t="shared" si="2"/>
        <v>0.0547945205479452</v>
      </c>
      <c r="R26" s="14"/>
      <c r="S26" s="20"/>
      <c r="T26" s="20">
        <f t="shared" si="3"/>
        <v>12.5</v>
      </c>
      <c r="U26" s="20">
        <f t="shared" si="4"/>
        <v>9.16666666666667</v>
      </c>
      <c r="V26" s="20">
        <f>1000*MAX(P26,Q26)/J26+E26*2.7%</f>
        <v>6.24940502283105</v>
      </c>
      <c r="W26" s="14"/>
      <c r="X26" s="14"/>
      <c r="Y26" s="14"/>
    </row>
    <row r="27" ht="24" customHeight="1" spans="1:25">
      <c r="A27" s="14" t="s">
        <v>78</v>
      </c>
      <c r="B27" s="14" t="s">
        <v>23</v>
      </c>
      <c r="C27" s="14">
        <v>233333</v>
      </c>
      <c r="D27" s="14" t="s">
        <v>82</v>
      </c>
      <c r="E27" s="14">
        <v>108</v>
      </c>
      <c r="F27" s="14">
        <v>18</v>
      </c>
      <c r="G27" s="14">
        <v>17</v>
      </c>
      <c r="H27" s="14">
        <v>7</v>
      </c>
      <c r="I27" s="14">
        <v>0.8</v>
      </c>
      <c r="J27" s="14">
        <v>20</v>
      </c>
      <c r="K27" s="14">
        <v>38</v>
      </c>
      <c r="L27" s="14">
        <v>35</v>
      </c>
      <c r="M27" s="14">
        <v>35</v>
      </c>
      <c r="N27" s="14">
        <v>16.5</v>
      </c>
      <c r="O27" s="205">
        <f t="shared" si="0"/>
        <v>7.75833333333333</v>
      </c>
      <c r="P27" s="205">
        <f t="shared" si="1"/>
        <v>0.04655</v>
      </c>
      <c r="Q27" s="205">
        <f t="shared" si="2"/>
        <v>0.0452054794520548</v>
      </c>
      <c r="R27" s="14"/>
      <c r="S27" s="20"/>
      <c r="T27" s="20">
        <f t="shared" si="3"/>
        <v>12.375</v>
      </c>
      <c r="U27" s="20">
        <f t="shared" si="4"/>
        <v>9.075</v>
      </c>
      <c r="V27" s="20">
        <f>1000*MAX(P27,Q27)/J27+E27*2.7%</f>
        <v>5.2435</v>
      </c>
      <c r="W27" s="14"/>
      <c r="X27" s="14"/>
      <c r="Y27" s="14"/>
    </row>
    <row r="28" ht="24" customHeight="1" spans="1:25">
      <c r="A28" s="14" t="s">
        <v>78</v>
      </c>
      <c r="B28" s="14" t="s">
        <v>23</v>
      </c>
      <c r="C28" s="14">
        <v>233333</v>
      </c>
      <c r="D28" s="14" t="s">
        <v>83</v>
      </c>
      <c r="E28" s="14">
        <v>61.6</v>
      </c>
      <c r="F28" s="14">
        <v>18</v>
      </c>
      <c r="G28" s="14">
        <v>13</v>
      </c>
      <c r="H28" s="14">
        <v>5</v>
      </c>
      <c r="I28" s="14">
        <v>0.35</v>
      </c>
      <c r="J28" s="14">
        <v>24</v>
      </c>
      <c r="K28" s="14">
        <v>40</v>
      </c>
      <c r="L28" s="14">
        <v>38</v>
      </c>
      <c r="M28" s="14">
        <v>20</v>
      </c>
      <c r="N28" s="14">
        <v>8.5</v>
      </c>
      <c r="O28" s="205">
        <f t="shared" si="0"/>
        <v>5.06666666666667</v>
      </c>
      <c r="P28" s="205">
        <f t="shared" si="1"/>
        <v>0.0304</v>
      </c>
      <c r="Q28" s="205">
        <f t="shared" si="2"/>
        <v>0.0232876712328767</v>
      </c>
      <c r="R28" s="14"/>
      <c r="S28" s="20"/>
      <c r="T28" s="20">
        <f t="shared" si="3"/>
        <v>5.3125</v>
      </c>
      <c r="U28" s="20">
        <f t="shared" si="4"/>
        <v>3.89583333333333</v>
      </c>
      <c r="V28" s="20">
        <f>1000*MAX(P28,Q28)/J28+E28*2.7%</f>
        <v>2.92986666666667</v>
      </c>
      <c r="W28" s="14"/>
      <c r="X28" s="14"/>
      <c r="Y28" s="14"/>
    </row>
    <row r="29" ht="24" customHeight="1" spans="1:25">
      <c r="A29" s="14" t="s">
        <v>84</v>
      </c>
      <c r="B29" s="14" t="s">
        <v>23</v>
      </c>
      <c r="C29" s="14">
        <v>233333</v>
      </c>
      <c r="D29" s="14" t="s">
        <v>85</v>
      </c>
      <c r="E29" s="14">
        <v>270</v>
      </c>
      <c r="F29" s="14">
        <v>43.5</v>
      </c>
      <c r="G29" s="14">
        <v>32.3</v>
      </c>
      <c r="H29" s="14">
        <v>19</v>
      </c>
      <c r="I29" s="14">
        <v>3.05</v>
      </c>
      <c r="J29" s="14">
        <v>1</v>
      </c>
      <c r="K29" s="14">
        <v>43.5</v>
      </c>
      <c r="L29" s="14">
        <v>32.5</v>
      </c>
      <c r="M29" s="14">
        <v>19</v>
      </c>
      <c r="N29" s="14">
        <v>3.05</v>
      </c>
      <c r="O29" s="205">
        <f t="shared" si="0"/>
        <v>4.476875</v>
      </c>
      <c r="P29" s="205">
        <f t="shared" si="1"/>
        <v>0.02686125</v>
      </c>
      <c r="Q29" s="205">
        <f t="shared" si="2"/>
        <v>0.00835616438356164</v>
      </c>
      <c r="R29" s="14"/>
      <c r="S29" s="20"/>
      <c r="T29" s="20">
        <f t="shared" si="3"/>
        <v>67.153125</v>
      </c>
      <c r="U29" s="20">
        <f t="shared" si="4"/>
        <v>49.245625</v>
      </c>
      <c r="V29" s="20">
        <f>780*P29/J29+E29*0.1*0.5</f>
        <v>34.451775</v>
      </c>
      <c r="W29" s="14"/>
      <c r="X29" s="14"/>
      <c r="Y29" s="14"/>
    </row>
    <row r="30" ht="24" customHeight="1" spans="1:25">
      <c r="A30" s="14" t="s">
        <v>78</v>
      </c>
      <c r="B30" s="14" t="s">
        <v>23</v>
      </c>
      <c r="C30" s="14">
        <v>233333</v>
      </c>
      <c r="D30" s="14" t="s">
        <v>85</v>
      </c>
      <c r="E30" s="14">
        <v>270</v>
      </c>
      <c r="F30" s="14">
        <v>43.5</v>
      </c>
      <c r="G30" s="14">
        <v>32.3</v>
      </c>
      <c r="H30" s="14">
        <v>19</v>
      </c>
      <c r="I30" s="14">
        <v>3.05</v>
      </c>
      <c r="J30" s="14">
        <v>1</v>
      </c>
      <c r="K30" s="14">
        <v>43.5</v>
      </c>
      <c r="L30" s="14">
        <v>32.5</v>
      </c>
      <c r="M30" s="14">
        <v>19</v>
      </c>
      <c r="N30" s="14">
        <v>3.05</v>
      </c>
      <c r="O30" s="205">
        <f t="shared" si="0"/>
        <v>4.476875</v>
      </c>
      <c r="P30" s="205">
        <f t="shared" si="1"/>
        <v>0.02686125</v>
      </c>
      <c r="Q30" s="205">
        <f t="shared" si="2"/>
        <v>0.00835616438356164</v>
      </c>
      <c r="R30" s="14"/>
      <c r="S30" s="20"/>
      <c r="T30" s="20">
        <f t="shared" si="3"/>
        <v>67.153125</v>
      </c>
      <c r="U30" s="20">
        <f>8.5*O30/J30+80*7.8*0.3*0.027</f>
        <v>43.1078375</v>
      </c>
      <c r="V30" s="20">
        <f>700*P30/J30+130*7.8*0.3*0.027</f>
        <v>27.016275</v>
      </c>
      <c r="W30" s="14"/>
      <c r="X30" s="14"/>
      <c r="Y30" s="14"/>
    </row>
    <row r="31" ht="24" customHeight="1" spans="1:25">
      <c r="A31" s="14" t="s">
        <v>86</v>
      </c>
      <c r="B31" s="14" t="s">
        <v>23</v>
      </c>
      <c r="C31" s="14">
        <v>233333</v>
      </c>
      <c r="D31" s="14" t="s">
        <v>85</v>
      </c>
      <c r="E31" s="14">
        <v>270</v>
      </c>
      <c r="F31" s="14">
        <v>43.5</v>
      </c>
      <c r="G31" s="14">
        <v>32.3</v>
      </c>
      <c r="H31" s="14">
        <v>19</v>
      </c>
      <c r="I31" s="14">
        <v>3.05</v>
      </c>
      <c r="J31" s="14">
        <v>1</v>
      </c>
      <c r="K31" s="14">
        <v>43.5</v>
      </c>
      <c r="L31" s="14">
        <v>32.5</v>
      </c>
      <c r="M31" s="14">
        <v>19</v>
      </c>
      <c r="N31" s="14">
        <v>3.05</v>
      </c>
      <c r="O31" s="205">
        <f t="shared" si="0"/>
        <v>4.476875</v>
      </c>
      <c r="P31" s="205">
        <f t="shared" si="1"/>
        <v>0.02686125</v>
      </c>
      <c r="Q31" s="205">
        <f t="shared" si="2"/>
        <v>0.00835616438356164</v>
      </c>
      <c r="R31" s="14"/>
      <c r="S31" s="20"/>
      <c r="T31" s="20">
        <f t="shared" si="3"/>
        <v>67.153125</v>
      </c>
      <c r="U31" s="20">
        <f>10.5*O31/J31+80*7.8*0.3*0.027</f>
        <v>52.0615875</v>
      </c>
      <c r="V31" s="20">
        <f>700*P31/J31+130*7.8*0.3*0.027</f>
        <v>27.016275</v>
      </c>
      <c r="W31" s="14"/>
      <c r="X31" s="14"/>
      <c r="Y31" s="14"/>
    </row>
    <row r="32" ht="24" customHeight="1" spans="1:25">
      <c r="A32" s="14" t="s">
        <v>84</v>
      </c>
      <c r="B32" s="14" t="s">
        <v>23</v>
      </c>
      <c r="C32" s="14">
        <v>233333</v>
      </c>
      <c r="D32" s="14" t="s">
        <v>87</v>
      </c>
      <c r="E32" s="14">
        <v>80</v>
      </c>
      <c r="F32" s="15">
        <f>12*2.5</f>
        <v>30</v>
      </c>
      <c r="G32" s="15">
        <f>7*2.5</f>
        <v>17.5</v>
      </c>
      <c r="H32" s="15">
        <f>5*2.5</f>
        <v>12.5</v>
      </c>
      <c r="I32" s="15">
        <v>1.2</v>
      </c>
      <c r="J32" s="14">
        <v>1</v>
      </c>
      <c r="K32" s="15">
        <f>12*2.5</f>
        <v>30</v>
      </c>
      <c r="L32" s="15">
        <f>7*2.5</f>
        <v>17.5</v>
      </c>
      <c r="M32" s="15">
        <f>5*2.5</f>
        <v>12.5</v>
      </c>
      <c r="N32" s="15">
        <v>1.2</v>
      </c>
      <c r="O32" s="205">
        <f t="shared" si="0"/>
        <v>1.09375</v>
      </c>
      <c r="P32" s="205">
        <f t="shared" si="1"/>
        <v>0.0065625</v>
      </c>
      <c r="Q32" s="205">
        <f t="shared" si="2"/>
        <v>0.00328767123287671</v>
      </c>
      <c r="R32" s="14"/>
      <c r="S32" s="20"/>
      <c r="T32" s="20">
        <f>15*MAX(N32,O32)/J32</f>
        <v>18</v>
      </c>
      <c r="U32" s="20"/>
      <c r="V32" s="20">
        <f>780*P32/J32+E32*0.1*0.5</f>
        <v>9.11875</v>
      </c>
      <c r="W32" s="14"/>
      <c r="X32" s="14"/>
      <c r="Y32" s="14"/>
    </row>
    <row r="33" ht="24" customHeight="1" spans="1:25">
      <c r="A33" s="14" t="s">
        <v>78</v>
      </c>
      <c r="B33" s="14" t="s">
        <v>23</v>
      </c>
      <c r="C33" s="14">
        <v>233333</v>
      </c>
      <c r="D33" s="15" t="s">
        <v>87</v>
      </c>
      <c r="E33" s="14">
        <v>80</v>
      </c>
      <c r="F33" s="15">
        <f>12*2.5</f>
        <v>30</v>
      </c>
      <c r="G33" s="15">
        <f>7*2.5</f>
        <v>17.5</v>
      </c>
      <c r="H33" s="15">
        <f>5*2.5</f>
        <v>12.5</v>
      </c>
      <c r="I33" s="15">
        <v>1.2</v>
      </c>
      <c r="J33" s="14">
        <v>1</v>
      </c>
      <c r="K33" s="15">
        <f>12*2.5</f>
        <v>30</v>
      </c>
      <c r="L33" s="15">
        <f>7*2.5</f>
        <v>17.5</v>
      </c>
      <c r="M33" s="15">
        <f>5*2.5</f>
        <v>12.5</v>
      </c>
      <c r="N33" s="15">
        <v>1.2</v>
      </c>
      <c r="O33" s="205">
        <f t="shared" si="0"/>
        <v>1.09375</v>
      </c>
      <c r="P33" s="205">
        <f t="shared" si="1"/>
        <v>0.0065625</v>
      </c>
      <c r="Q33" s="205">
        <f t="shared" si="2"/>
        <v>0.00328767123287671</v>
      </c>
      <c r="R33" s="14"/>
      <c r="S33" s="20"/>
      <c r="T33" s="20">
        <f>15*MAX(N33,O33)/J33</f>
        <v>18</v>
      </c>
      <c r="U33" s="20">
        <f>8.5*MAX(O33,N33)/J33+80*7.8*0.3*0.027</f>
        <v>15.2544</v>
      </c>
      <c r="V33" s="20">
        <f>700*P33/J33+30*7.8*0.3*0.027</f>
        <v>6.48915</v>
      </c>
      <c r="W33" s="14"/>
      <c r="X33" s="14"/>
      <c r="Y33" s="14"/>
    </row>
    <row r="34" ht="24" customHeight="1" spans="1:25">
      <c r="A34" s="14" t="s">
        <v>86</v>
      </c>
      <c r="B34" s="14" t="s">
        <v>23</v>
      </c>
      <c r="C34" s="14">
        <v>233333</v>
      </c>
      <c r="D34" s="15" t="s">
        <v>87</v>
      </c>
      <c r="E34" s="15">
        <v>80</v>
      </c>
      <c r="F34" s="15">
        <f>12*2.5</f>
        <v>30</v>
      </c>
      <c r="G34" s="15">
        <f>7*2.5</f>
        <v>17.5</v>
      </c>
      <c r="H34" s="15">
        <f>5*2.5</f>
        <v>12.5</v>
      </c>
      <c r="I34" s="15">
        <v>1.2</v>
      </c>
      <c r="J34" s="14">
        <v>1</v>
      </c>
      <c r="K34" s="15">
        <f>12*2.5</f>
        <v>30</v>
      </c>
      <c r="L34" s="15">
        <f>7*2.5</f>
        <v>17.5</v>
      </c>
      <c r="M34" s="15">
        <f>5*2.5</f>
        <v>12.5</v>
      </c>
      <c r="N34" s="15">
        <v>1.2</v>
      </c>
      <c r="O34" s="205">
        <f t="shared" si="0"/>
        <v>1.09375</v>
      </c>
      <c r="P34" s="205">
        <f t="shared" si="1"/>
        <v>0.0065625</v>
      </c>
      <c r="Q34" s="205">
        <f t="shared" si="2"/>
        <v>0.00328767123287671</v>
      </c>
      <c r="R34" s="14"/>
      <c r="S34" s="20"/>
      <c r="T34" s="20">
        <f>15*MAX(N34,O34)/J34</f>
        <v>18</v>
      </c>
      <c r="U34" s="20">
        <f>8.5*MAX(O34,N34)/J34+80*7.8*0.3*0.027</f>
        <v>15.2544</v>
      </c>
      <c r="V34" s="20">
        <f>700*P34/J34+30*7.8*0.3*0.027</f>
        <v>6.48915</v>
      </c>
      <c r="W34" s="14"/>
      <c r="X34" s="14"/>
      <c r="Y34" s="14"/>
    </row>
    <row r="35" spans="1:25">
      <c r="A35" s="14"/>
      <c r="B35" s="15"/>
      <c r="C35" s="15"/>
      <c r="D35" s="15"/>
      <c r="E35" s="15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ht="11.4" spans="1:25">
      <c r="A36" s="14"/>
      <c r="B36" s="15"/>
      <c r="C36" s="15"/>
      <c r="D36" s="15"/>
      <c r="E36" s="15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ht="11.4" spans="1:25">
      <c r="A37" s="14"/>
      <c r="B37" s="15"/>
      <c r="C37" s="15"/>
      <c r="D37" s="15"/>
      <c r="E37" s="15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ht="11.4" spans="1:25">
      <c r="A38" s="14" t="s">
        <v>84</v>
      </c>
      <c r="B38" s="15" t="s">
        <v>88</v>
      </c>
      <c r="C38" s="15" t="s">
        <v>18</v>
      </c>
      <c r="D38" s="15" t="s">
        <v>89</v>
      </c>
      <c r="E38" s="15" t="s">
        <v>21</v>
      </c>
      <c r="F38" s="15" t="s">
        <v>21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ht="11.4" spans="1:25">
      <c r="A39" s="15"/>
      <c r="B39" s="15" t="s">
        <v>90</v>
      </c>
      <c r="C39" s="15" t="s">
        <v>91</v>
      </c>
      <c r="D39" s="15" t="s">
        <v>92</v>
      </c>
      <c r="E39" s="15" t="s">
        <v>93</v>
      </c>
      <c r="F39" s="15" t="s">
        <v>93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ht="17.25" customHeight="1" spans="1:25">
      <c r="A40" s="14" t="s">
        <v>94</v>
      </c>
      <c r="B40" s="15" t="s">
        <v>88</v>
      </c>
      <c r="C40" s="15" t="s">
        <v>18</v>
      </c>
      <c r="D40" s="14" t="s">
        <v>95</v>
      </c>
      <c r="E40" s="14" t="s">
        <v>20</v>
      </c>
      <c r="F40" s="15" t="s">
        <v>21</v>
      </c>
      <c r="G40" s="14"/>
      <c r="H40" s="14"/>
      <c r="I40" s="14"/>
      <c r="J40" s="14"/>
      <c r="K40" s="14"/>
      <c r="L40" s="14"/>
      <c r="M40" s="14"/>
      <c r="N40" s="14"/>
      <c r="O40" s="15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ht="11.4" spans="1:25">
      <c r="A41" s="15"/>
      <c r="B41" s="15" t="s">
        <v>90</v>
      </c>
      <c r="C41" s="15" t="s">
        <v>91</v>
      </c>
      <c r="D41" s="14" t="s">
        <v>96</v>
      </c>
      <c r="E41" s="14" t="s">
        <v>97</v>
      </c>
      <c r="F41" s="14" t="s">
        <v>98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ht="11.4" spans="1:25">
      <c r="A42" s="15"/>
      <c r="B42" s="15"/>
      <c r="C42" s="15"/>
      <c r="D42" s="15"/>
      <c r="E42" s="15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ht="11.4" spans="1:25">
      <c r="A43" s="15"/>
      <c r="B43" s="15"/>
      <c r="C43" s="15"/>
      <c r="D43" s="15"/>
      <c r="E43" s="15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ht="11.4" spans="1: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ht="11.4" spans="1: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ht="11.4" spans="1: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ht="11.4" spans="1: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ht="11.4" spans="1: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ht="11.4" spans="1: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ht="11.4" spans="1: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ht="11.4" spans="1: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ht="11.4" spans="1: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ht="11.4" spans="1: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ht="11.4" spans="1: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ht="11.4" spans="1: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ht="11.4" spans="1: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ht="11.4" spans="1: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ht="11.4" spans="1: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ht="11.4" spans="1: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ht="11.4" spans="1: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ht="11.4" spans="1: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ht="11.4" spans="1: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ht="11.4" spans="1: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ht="11.4" spans="1: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ht="11.4" spans="1: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ht="11.4" spans="1: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ht="11.4" spans="1: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ht="11.4" spans="1: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ht="11.4" spans="1: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ht="11.4" spans="1: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ht="11.4" spans="1: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ht="11.4" spans="1: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ht="11.4" spans="1: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ht="11.4" spans="1: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ht="11.4" spans="1: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ht="11.4" spans="1: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ht="11.4" spans="1: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ht="11.4" spans="1: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ht="11.4" spans="1: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ht="11.4" spans="1: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ht="11.4" spans="1: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ht="11.4" spans="1: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ht="11.4" spans="1: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ht="11.4" spans="1: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ht="11.4" spans="1: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ht="11.4" spans="1: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ht="11.4" spans="1: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ht="11.4" spans="1: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ht="11.4" spans="1: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ht="11.4" spans="1: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ht="11.4" spans="1: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ht="11.4" spans="1: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ht="11.4" spans="1: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ht="11.4" spans="1: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ht="11.4" spans="1: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ht="11.4" spans="1: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ht="11.4" spans="1: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ht="11.4" spans="1: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ht="11.4" spans="1: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ht="11.4" spans="1: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ht="11.4" spans="1: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ht="11.4" spans="1: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ht="11.4" spans="1: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ht="11.4" spans="1: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ht="11.4" spans="1: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ht="11.4" spans="1: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ht="11.4" spans="1: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ht="11.4" spans="1: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ht="11.4" spans="1: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ht="11.4" spans="1: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ht="11.4" spans="1: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ht="11.4" spans="1: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ht="11.4" spans="1: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ht="11.4" spans="1: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ht="11.4" spans="1: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ht="11.4" spans="1: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ht="11.4" spans="1: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ht="11.4" spans="1: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ht="11.4" spans="1: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ht="11.4" spans="1: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ht="11.4" spans="1: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ht="11.4" spans="1: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ht="11.4" spans="1: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ht="11.4" spans="1: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ht="11.4" spans="1: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ht="11.4" spans="1: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ht="11.4" spans="1: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ht="11.4" spans="1: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ht="11.4" spans="1: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ht="11.4" spans="1: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ht="11.4" spans="1: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ht="11.4" spans="1: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ht="11.4" spans="1: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ht="11.4" spans="1: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ht="11.4" spans="1: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ht="11.4" spans="1: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ht="11.4" spans="1: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ht="11.4" spans="1: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ht="11.4" spans="1: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ht="11.4" spans="1: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ht="11.4" spans="1: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ht="11.4" spans="1: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ht="11.4" spans="1: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ht="11.4" spans="1: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ht="11.4" spans="1: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ht="11.4" spans="1: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ht="11.4" spans="1: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ht="11.4" spans="1: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ht="11.4" spans="1: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ht="11.4" spans="1: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ht="11.4" spans="1: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ht="11.4" spans="1: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ht="11.4" spans="1: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ht="11.4" spans="1: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ht="11.4" spans="1: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ht="11.4" spans="1: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ht="11.4" spans="1: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ht="11.4" spans="1: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ht="11.4" spans="1: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ht="11.4" spans="1: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ht="11.4" spans="1: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ht="11.4" spans="1: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ht="11.4" spans="1: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ht="11.4" spans="1: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ht="11.4" spans="1: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ht="11.4" spans="1: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ht="11.4" spans="1: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ht="11.4" spans="1: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ht="11.4" spans="1: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ht="11.4" spans="1: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ht="11.4" spans="1: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ht="11.4" spans="1: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ht="11.4" spans="1: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ht="11.4" spans="1: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ht="11.4" spans="1: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ht="11.4" spans="1: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ht="11.4" spans="1: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ht="11.4" spans="1: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ht="11.4" spans="1: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ht="11.4" spans="1: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ht="11.4" spans="1: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ht="11.4" spans="1: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ht="11.4" spans="1: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ht="11.4" spans="1: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ht="11.4" spans="1: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ht="11.4" spans="1: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ht="11.4" spans="1: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ht="11.4" spans="1: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ht="11.4" spans="1: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ht="11.4" spans="1: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ht="11.4" spans="1: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ht="11.4" spans="1: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ht="11.4" spans="1: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ht="11.4" spans="1: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ht="11.4" spans="1: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ht="11.4" spans="1: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ht="11.4" spans="1: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ht="11.4" spans="1: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ht="11.4" spans="1: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ht="11.4" spans="1: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ht="11.4" spans="1: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ht="11.4" spans="1: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ht="11.4" spans="1: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ht="11.4" spans="1: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ht="11.4" spans="1: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ht="11.4" spans="1: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ht="11.4" spans="1: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ht="11.4" spans="1: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ht="11.4" spans="1: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ht="11.4" spans="1: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ht="11.4" spans="1: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ht="11.4" spans="1: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ht="11.4" spans="1: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ht="11.4" spans="1: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ht="11.4" spans="1: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ht="11.4" spans="1: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ht="11.4" spans="1: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ht="11.4" spans="1: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ht="11.4" spans="1: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ht="11.4" spans="1: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ht="11.4" spans="1: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ht="11.4" spans="1: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ht="11.4" spans="1: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ht="11.4" spans="1: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ht="11.4" spans="1: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ht="11.4" spans="1: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ht="11.4" spans="1: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ht="11.4" spans="1: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ht="11.4" spans="1: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</sheetData>
  <mergeCells count="3">
    <mergeCell ref="A38:A39"/>
    <mergeCell ref="A40:A41"/>
    <mergeCell ref="A42:A43"/>
  </mergeCells>
  <pageMargins left="0.7" right="0.7" top="0.75" bottom="0.75" header="0.3" footer="0.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5"/>
  <sheetViews>
    <sheetView topLeftCell="A13" workbookViewId="0">
      <selection activeCell="H24" sqref="H24"/>
    </sheetView>
  </sheetViews>
  <sheetFormatPr defaultColWidth="17" defaultRowHeight="16.5" customHeight="1"/>
  <cols>
    <col min="1" max="1" width="10.3020833333333" customWidth="1"/>
    <col min="2" max="2" width="16.9375" customWidth="1"/>
    <col min="3" max="3" width="12.21875" customWidth="1"/>
    <col min="4" max="4" width="12.3958333333333" customWidth="1"/>
    <col min="5" max="8" width="16.59375" customWidth="1"/>
    <col min="9" max="9" width="12.5729166666667" customWidth="1"/>
    <col min="10" max="17" width="16.59375" customWidth="1"/>
    <col min="18" max="18" width="12.0520833333333" customWidth="1"/>
    <col min="19" max="21" width="11.5208333333333" customWidth="1"/>
    <col min="22" max="22" width="11.3541666666667" customWidth="1"/>
    <col min="23" max="26" width="12.0520833333333" customWidth="1"/>
    <col min="27" max="28" width="16.59375" customWidth="1"/>
  </cols>
  <sheetData>
    <row r="1" customHeight="1" spans="1:28">
      <c r="A1" s="276" t="s">
        <v>99</v>
      </c>
      <c r="B1" s="276" t="s">
        <v>100</v>
      </c>
      <c r="C1" s="276" t="s">
        <v>101</v>
      </c>
      <c r="D1" s="276" t="s">
        <v>102</v>
      </c>
      <c r="E1" s="276" t="s">
        <v>1</v>
      </c>
      <c r="F1" s="276" t="s">
        <v>0</v>
      </c>
      <c r="G1" s="276" t="s">
        <v>3</v>
      </c>
      <c r="H1" s="276" t="s">
        <v>103</v>
      </c>
      <c r="I1" s="277" t="s">
        <v>104</v>
      </c>
      <c r="J1" s="278" t="s">
        <v>105</v>
      </c>
      <c r="K1" s="277" t="s">
        <v>106</v>
      </c>
      <c r="L1" s="279" t="s">
        <v>107</v>
      </c>
      <c r="M1" s="280" t="s">
        <v>108</v>
      </c>
      <c r="N1" s="281" t="s">
        <v>109</v>
      </c>
      <c r="O1" s="282" t="s">
        <v>110</v>
      </c>
      <c r="P1" s="283" t="s">
        <v>111</v>
      </c>
      <c r="Q1" s="284" t="s">
        <v>112</v>
      </c>
      <c r="R1" s="285" t="s">
        <v>113</v>
      </c>
      <c r="S1" s="285" t="s">
        <v>114</v>
      </c>
      <c r="T1" s="285" t="s">
        <v>115</v>
      </c>
      <c r="U1" s="286" t="s">
        <v>116</v>
      </c>
      <c r="V1" s="286" t="s">
        <v>117</v>
      </c>
      <c r="W1" s="226" t="s">
        <v>118</v>
      </c>
      <c r="X1" s="226" t="s">
        <v>119</v>
      </c>
      <c r="Y1" s="226" t="s">
        <v>120</v>
      </c>
      <c r="Z1" s="226" t="s">
        <v>121</v>
      </c>
      <c r="AA1" s="287" t="s">
        <v>122</v>
      </c>
      <c r="AB1" s="287" t="s">
        <v>123</v>
      </c>
    </row>
    <row r="2" customHeight="1" spans="1:28">
      <c r="A2" s="14" t="s">
        <v>124</v>
      </c>
      <c r="B2" s="1" t="s">
        <v>125</v>
      </c>
      <c r="C2" s="14">
        <v>180</v>
      </c>
      <c r="D2" s="14">
        <v>7.94</v>
      </c>
      <c r="E2" s="1" t="s">
        <v>126</v>
      </c>
      <c r="F2" s="1" t="s">
        <v>127</v>
      </c>
      <c r="G2" s="1" t="s">
        <v>128</v>
      </c>
      <c r="H2" s="1" t="s">
        <v>129</v>
      </c>
      <c r="I2" s="14" t="s">
        <v>130</v>
      </c>
      <c r="J2" s="14">
        <v>290</v>
      </c>
      <c r="K2" s="14">
        <v>399</v>
      </c>
      <c r="L2" s="14">
        <f t="shared" ref="L2:L9" si="0">J2-Q2-W2-X2-Y2-Z2</f>
        <v>-10.34</v>
      </c>
      <c r="M2" s="204">
        <f t="shared" ref="M2:M9" si="1">L2/J2</f>
        <v>-0.0356551724137931</v>
      </c>
      <c r="N2" s="204">
        <f t="shared" ref="N2:N9" si="2">(K2-J2)/K2</f>
        <v>0.273182957393484</v>
      </c>
      <c r="O2" s="204">
        <f t="shared" ref="O2:O9" si="3">(K2-J2+Z2)/K2</f>
        <v>0.374937343358396</v>
      </c>
      <c r="P2" s="288">
        <f t="shared" ref="P2:P9" si="4">K2-J2</f>
        <v>109</v>
      </c>
      <c r="Q2" s="288">
        <f t="shared" ref="Q2:Q9" si="5">C2+D2</f>
        <v>187.94</v>
      </c>
      <c r="R2" s="200">
        <v>0.1</v>
      </c>
      <c r="S2" s="200">
        <v>0.1</v>
      </c>
      <c r="T2" s="200">
        <v>0.01</v>
      </c>
      <c r="U2" s="200">
        <f t="shared" ref="U2:U9" si="6">Q2/J2</f>
        <v>0.648068965517241</v>
      </c>
      <c r="V2" s="200">
        <v>0.14</v>
      </c>
      <c r="W2" s="20">
        <f t="shared" ref="W2:W9" si="7">J2*R2</f>
        <v>29</v>
      </c>
      <c r="X2" s="20">
        <f t="shared" ref="X2:X9" si="8">K2*S2</f>
        <v>39.9</v>
      </c>
      <c r="Y2" s="20">
        <f t="shared" ref="Y2:Y9" si="9">J2*T2</f>
        <v>2.9</v>
      </c>
      <c r="Z2" s="20">
        <f t="shared" ref="Z2:Z9" si="10">J2*V2</f>
        <v>40.6</v>
      </c>
    </row>
    <row r="3" customHeight="1" spans="1:28">
      <c r="A3" s="15" t="s">
        <v>124</v>
      </c>
      <c r="B3" s="1" t="s">
        <v>131</v>
      </c>
      <c r="C3" s="14">
        <v>100</v>
      </c>
      <c r="D3" s="14">
        <v>4.19</v>
      </c>
      <c r="E3" s="19" t="s">
        <v>126</v>
      </c>
      <c r="F3" s="1" t="s">
        <v>132</v>
      </c>
      <c r="G3" s="1" t="s">
        <v>133</v>
      </c>
      <c r="H3" s="1" t="s">
        <v>129</v>
      </c>
      <c r="I3" s="15" t="s">
        <v>130</v>
      </c>
      <c r="J3" s="14">
        <v>170</v>
      </c>
      <c r="K3" s="14">
        <v>239</v>
      </c>
      <c r="L3" s="14">
        <f t="shared" si="0"/>
        <v>-0.59</v>
      </c>
      <c r="M3" s="204">
        <f t="shared" si="1"/>
        <v>-0.00347058823529412</v>
      </c>
      <c r="N3" s="204">
        <f t="shared" si="2"/>
        <v>0.288702928870293</v>
      </c>
      <c r="O3" s="204">
        <f t="shared" si="3"/>
        <v>0.388284518828452</v>
      </c>
      <c r="P3" s="288">
        <f t="shared" si="4"/>
        <v>69</v>
      </c>
      <c r="Q3" s="288">
        <f t="shared" si="5"/>
        <v>104.19</v>
      </c>
      <c r="R3" s="200">
        <v>0.1</v>
      </c>
      <c r="S3" s="200">
        <v>0.1</v>
      </c>
      <c r="T3" s="200">
        <v>0.01</v>
      </c>
      <c r="U3" s="200">
        <f t="shared" si="6"/>
        <v>0.612882352941176</v>
      </c>
      <c r="V3" s="200">
        <v>0.14</v>
      </c>
      <c r="W3" s="20">
        <f t="shared" si="7"/>
        <v>17</v>
      </c>
      <c r="X3" s="20">
        <f t="shared" si="8"/>
        <v>23.9</v>
      </c>
      <c r="Y3" s="20">
        <f t="shared" si="9"/>
        <v>1.7</v>
      </c>
      <c r="Z3" s="20">
        <f t="shared" si="10"/>
        <v>23.8</v>
      </c>
    </row>
    <row r="4" customHeight="1" spans="1:28">
      <c r="A4" s="15" t="s">
        <v>124</v>
      </c>
      <c r="B4" s="19" t="s">
        <v>134</v>
      </c>
      <c r="C4" s="14">
        <v>251.12</v>
      </c>
      <c r="D4" s="14">
        <v>7.57</v>
      </c>
      <c r="E4" s="19" t="s">
        <v>126</v>
      </c>
      <c r="F4" s="1" t="s">
        <v>135</v>
      </c>
      <c r="G4" s="1" t="s">
        <v>136</v>
      </c>
      <c r="H4" s="1" t="s">
        <v>129</v>
      </c>
      <c r="I4" s="15" t="s">
        <v>130</v>
      </c>
      <c r="J4" s="14">
        <v>420</v>
      </c>
      <c r="K4" s="14">
        <v>579.99</v>
      </c>
      <c r="L4" s="14">
        <f t="shared" si="0"/>
        <v>-1.68900000000001</v>
      </c>
      <c r="M4" s="204">
        <f t="shared" si="1"/>
        <v>-0.00402142857142859</v>
      </c>
      <c r="N4" s="204">
        <f t="shared" si="2"/>
        <v>0.275849583613511</v>
      </c>
      <c r="O4" s="204">
        <f t="shared" si="3"/>
        <v>0.377230641907619</v>
      </c>
      <c r="P4" s="288">
        <f t="shared" si="4"/>
        <v>159.99</v>
      </c>
      <c r="Q4" s="288">
        <f t="shared" si="5"/>
        <v>258.69</v>
      </c>
      <c r="R4" s="200">
        <v>0.1</v>
      </c>
      <c r="S4" s="200">
        <v>0.1</v>
      </c>
      <c r="T4" s="200">
        <v>0.01</v>
      </c>
      <c r="U4" s="200">
        <f t="shared" si="6"/>
        <v>0.615928571428571</v>
      </c>
      <c r="V4" s="200">
        <v>0.14</v>
      </c>
      <c r="W4" s="20">
        <f t="shared" si="7"/>
        <v>42</v>
      </c>
      <c r="X4" s="20">
        <f t="shared" si="8"/>
        <v>57.999</v>
      </c>
      <c r="Y4" s="20">
        <f t="shared" si="9"/>
        <v>4.2</v>
      </c>
      <c r="Z4" s="20">
        <f t="shared" si="10"/>
        <v>58.8</v>
      </c>
    </row>
    <row r="5" customHeight="1" spans="1:28">
      <c r="A5" s="15" t="s">
        <v>124</v>
      </c>
      <c r="B5" s="19" t="s">
        <v>134</v>
      </c>
      <c r="C5" s="14">
        <v>153.04</v>
      </c>
      <c r="D5" s="14">
        <v>5.69</v>
      </c>
      <c r="E5" s="19" t="s">
        <v>126</v>
      </c>
      <c r="F5" s="1" t="s">
        <v>135</v>
      </c>
      <c r="G5" s="1" t="s">
        <v>136</v>
      </c>
      <c r="H5" s="1" t="s">
        <v>129</v>
      </c>
      <c r="I5" s="15" t="s">
        <v>130</v>
      </c>
      <c r="J5" s="14">
        <v>245</v>
      </c>
      <c r="K5" s="14">
        <v>339</v>
      </c>
      <c r="L5" s="14">
        <f t="shared" si="0"/>
        <v>-8.87999999999999</v>
      </c>
      <c r="M5" s="204">
        <f t="shared" si="1"/>
        <v>-0.0362448979591836</v>
      </c>
      <c r="N5" s="204">
        <f t="shared" si="2"/>
        <v>0.277286135693215</v>
      </c>
      <c r="O5" s="204">
        <f t="shared" si="3"/>
        <v>0.378466076696165</v>
      </c>
      <c r="P5" s="288">
        <f t="shared" si="4"/>
        <v>94</v>
      </c>
      <c r="Q5" s="288">
        <f t="shared" si="5"/>
        <v>158.73</v>
      </c>
      <c r="R5" s="200">
        <v>0.1</v>
      </c>
      <c r="S5" s="200">
        <v>0.1</v>
      </c>
      <c r="T5" s="200">
        <v>0.01</v>
      </c>
      <c r="U5" s="200">
        <f t="shared" si="6"/>
        <v>0.647877551020408</v>
      </c>
      <c r="V5" s="200">
        <v>0.14</v>
      </c>
      <c r="W5" s="20">
        <f t="shared" si="7"/>
        <v>24.5</v>
      </c>
      <c r="X5" s="20">
        <f t="shared" si="8"/>
        <v>33.9</v>
      </c>
      <c r="Y5" s="20">
        <f t="shared" si="9"/>
        <v>2.45</v>
      </c>
      <c r="Z5" s="20">
        <f t="shared" si="10"/>
        <v>34.3</v>
      </c>
    </row>
    <row r="6" customHeight="1" spans="1:28">
      <c r="A6" s="15" t="s">
        <v>124</v>
      </c>
      <c r="B6" s="1" t="s">
        <v>137</v>
      </c>
      <c r="C6" s="14">
        <v>52.38</v>
      </c>
      <c r="D6" s="14">
        <v>2.48</v>
      </c>
      <c r="E6" s="1" t="s">
        <v>138</v>
      </c>
      <c r="F6" s="1" t="s">
        <v>139</v>
      </c>
      <c r="G6" s="1" t="s">
        <v>140</v>
      </c>
      <c r="H6" s="1"/>
      <c r="I6" s="15" t="s">
        <v>130</v>
      </c>
      <c r="J6" s="14">
        <v>93.5</v>
      </c>
      <c r="K6" s="14">
        <v>129.99</v>
      </c>
      <c r="L6" s="14">
        <f t="shared" si="0"/>
        <v>2.26599999999999</v>
      </c>
      <c r="M6" s="204">
        <f t="shared" si="1"/>
        <v>0.024235294117647</v>
      </c>
      <c r="N6" s="204">
        <f t="shared" si="2"/>
        <v>0.280713901069313</v>
      </c>
      <c r="O6" s="204">
        <f t="shared" si="3"/>
        <v>0.381413954919609</v>
      </c>
      <c r="P6" s="288">
        <f t="shared" si="4"/>
        <v>36.49</v>
      </c>
      <c r="Q6" s="288">
        <f t="shared" si="5"/>
        <v>54.86</v>
      </c>
      <c r="R6" s="200">
        <v>0.1</v>
      </c>
      <c r="S6" s="200">
        <v>0.1</v>
      </c>
      <c r="T6" s="200">
        <v>0.01</v>
      </c>
      <c r="U6" s="200">
        <f t="shared" si="6"/>
        <v>0.586737967914439</v>
      </c>
      <c r="V6" s="200">
        <v>0.14</v>
      </c>
      <c r="W6" s="20">
        <f t="shared" si="7"/>
        <v>9.35</v>
      </c>
      <c r="X6" s="20">
        <f t="shared" si="8"/>
        <v>12.999</v>
      </c>
      <c r="Y6" s="20">
        <f t="shared" si="9"/>
        <v>0.935</v>
      </c>
      <c r="Z6" s="20">
        <f t="shared" si="10"/>
        <v>13.09</v>
      </c>
      <c r="AA6" s="1"/>
      <c r="AB6" s="1"/>
    </row>
    <row r="7" customHeight="1" spans="1:28">
      <c r="A7" s="15" t="s">
        <v>124</v>
      </c>
      <c r="B7" s="1" t="s">
        <v>141</v>
      </c>
      <c r="C7" s="15">
        <v>52.38</v>
      </c>
      <c r="D7" s="14">
        <v>2.18</v>
      </c>
      <c r="E7" s="19" t="s">
        <v>138</v>
      </c>
      <c r="F7" s="1" t="s">
        <v>142</v>
      </c>
      <c r="G7" s="1" t="s">
        <v>143</v>
      </c>
      <c r="H7" s="1"/>
      <c r="I7" s="15" t="s">
        <v>130</v>
      </c>
      <c r="J7" s="15">
        <v>93.5</v>
      </c>
      <c r="K7" s="15">
        <v>129.99</v>
      </c>
      <c r="L7" s="14">
        <f t="shared" si="0"/>
        <v>2.56599999999999</v>
      </c>
      <c r="M7" s="204">
        <f t="shared" si="1"/>
        <v>0.0274438502673796</v>
      </c>
      <c r="N7" s="204">
        <f t="shared" si="2"/>
        <v>0.280713901069313</v>
      </c>
      <c r="O7" s="204">
        <f t="shared" si="3"/>
        <v>0.381413954919609</v>
      </c>
      <c r="P7" s="288">
        <f t="shared" si="4"/>
        <v>36.49</v>
      </c>
      <c r="Q7" s="288">
        <f t="shared" si="5"/>
        <v>54.56</v>
      </c>
      <c r="R7" s="200">
        <v>0.1</v>
      </c>
      <c r="S7" s="200">
        <v>0.1</v>
      </c>
      <c r="T7" s="200">
        <v>0.01</v>
      </c>
      <c r="U7" s="200">
        <f t="shared" si="6"/>
        <v>0.583529411764706</v>
      </c>
      <c r="V7" s="200">
        <v>0.14</v>
      </c>
      <c r="W7" s="20">
        <f t="shared" si="7"/>
        <v>9.35</v>
      </c>
      <c r="X7" s="20">
        <f t="shared" si="8"/>
        <v>12.999</v>
      </c>
      <c r="Y7" s="20">
        <f t="shared" si="9"/>
        <v>0.935</v>
      </c>
      <c r="Z7" s="20">
        <f t="shared" si="10"/>
        <v>13.09</v>
      </c>
      <c r="AA7" s="1"/>
      <c r="AB7" s="1"/>
    </row>
    <row r="8" customHeight="1" spans="1:28">
      <c r="A8" s="15" t="s">
        <v>124</v>
      </c>
      <c r="B8" s="1" t="s">
        <v>144</v>
      </c>
      <c r="C8" s="14">
        <v>43.65</v>
      </c>
      <c r="D8" s="14">
        <v>1.8</v>
      </c>
      <c r="E8" s="19" t="s">
        <v>138</v>
      </c>
      <c r="F8" s="1" t="s">
        <v>145</v>
      </c>
      <c r="G8" s="1" t="s">
        <v>146</v>
      </c>
      <c r="I8" s="15" t="s">
        <v>130</v>
      </c>
      <c r="J8" s="14">
        <v>86.5</v>
      </c>
      <c r="K8" s="14">
        <v>119.99</v>
      </c>
      <c r="L8" s="14">
        <f t="shared" si="0"/>
        <v>7.426</v>
      </c>
      <c r="M8" s="204">
        <f t="shared" si="1"/>
        <v>0.085849710982659</v>
      </c>
      <c r="N8" s="204">
        <f t="shared" si="2"/>
        <v>0.279106592216018</v>
      </c>
      <c r="O8" s="204">
        <f t="shared" si="3"/>
        <v>0.380031669305775</v>
      </c>
      <c r="P8" s="288">
        <f t="shared" si="4"/>
        <v>33.49</v>
      </c>
      <c r="Q8" s="288">
        <f t="shared" si="5"/>
        <v>45.45</v>
      </c>
      <c r="R8" s="200">
        <v>0.1</v>
      </c>
      <c r="S8" s="200">
        <v>0.1</v>
      </c>
      <c r="T8" s="200">
        <v>0.01</v>
      </c>
      <c r="U8" s="200">
        <f t="shared" si="6"/>
        <v>0.525433526011561</v>
      </c>
      <c r="V8" s="200">
        <v>0.14</v>
      </c>
      <c r="W8" s="20">
        <f t="shared" si="7"/>
        <v>8.65</v>
      </c>
      <c r="X8" s="20">
        <f t="shared" si="8"/>
        <v>11.999</v>
      </c>
      <c r="Y8" s="20">
        <f t="shared" si="9"/>
        <v>0.865</v>
      </c>
      <c r="Z8" s="20">
        <f t="shared" si="10"/>
        <v>12.11</v>
      </c>
    </row>
    <row r="9" customHeight="1" spans="1:28">
      <c r="A9" s="15" t="s">
        <v>124</v>
      </c>
      <c r="B9" s="1" t="s">
        <v>147</v>
      </c>
      <c r="C9" s="15">
        <v>43.65</v>
      </c>
      <c r="D9" s="14">
        <v>1.95</v>
      </c>
      <c r="E9" s="19" t="s">
        <v>138</v>
      </c>
      <c r="F9" s="1" t="s">
        <v>148</v>
      </c>
      <c r="G9" s="1" t="s">
        <v>149</v>
      </c>
      <c r="I9" s="15" t="s">
        <v>130</v>
      </c>
      <c r="J9" s="15">
        <v>86.5</v>
      </c>
      <c r="K9" s="15">
        <v>119.99</v>
      </c>
      <c r="L9" s="14">
        <f t="shared" si="0"/>
        <v>7.276</v>
      </c>
      <c r="M9" s="204">
        <f t="shared" si="1"/>
        <v>0.0841156069364162</v>
      </c>
      <c r="N9" s="204">
        <f t="shared" si="2"/>
        <v>0.279106592216018</v>
      </c>
      <c r="O9" s="204">
        <f t="shared" si="3"/>
        <v>0.380031669305775</v>
      </c>
      <c r="P9" s="288">
        <f t="shared" si="4"/>
        <v>33.49</v>
      </c>
      <c r="Q9" s="288">
        <f t="shared" si="5"/>
        <v>45.6</v>
      </c>
      <c r="R9" s="200">
        <v>0.1</v>
      </c>
      <c r="S9" s="200">
        <v>0.1</v>
      </c>
      <c r="T9" s="200">
        <v>0.01</v>
      </c>
      <c r="U9" s="200">
        <f t="shared" si="6"/>
        <v>0.527167630057804</v>
      </c>
      <c r="V9" s="200">
        <v>0.14</v>
      </c>
      <c r="W9" s="20">
        <f t="shared" si="7"/>
        <v>8.65</v>
      </c>
      <c r="X9" s="20">
        <f t="shared" si="8"/>
        <v>11.999</v>
      </c>
      <c r="Y9" s="20">
        <f t="shared" si="9"/>
        <v>0.865</v>
      </c>
      <c r="Z9" s="20">
        <f t="shared" si="10"/>
        <v>12.11</v>
      </c>
    </row>
    <row r="10" customHeight="1" spans="1:28">
      <c r="A10" s="15" t="s">
        <v>124</v>
      </c>
      <c r="B10" s="1" t="s">
        <v>147</v>
      </c>
      <c r="C10" s="15">
        <v>43.65</v>
      </c>
      <c r="D10" s="14">
        <v>1.95</v>
      </c>
      <c r="E10" s="19" t="s">
        <v>138</v>
      </c>
      <c r="F10" s="1" t="s">
        <v>148</v>
      </c>
      <c r="G10" s="1" t="s">
        <v>149</v>
      </c>
      <c r="H10" s="1"/>
      <c r="I10" s="15"/>
      <c r="J10" s="14"/>
      <c r="K10" s="14"/>
      <c r="L10" s="14"/>
      <c r="M10" s="204"/>
      <c r="N10" s="204"/>
      <c r="O10" s="204"/>
      <c r="P10" s="288"/>
      <c r="Q10" s="288"/>
      <c r="R10" s="200"/>
      <c r="S10" s="200"/>
      <c r="T10" s="200"/>
      <c r="U10" s="200"/>
      <c r="V10" s="200"/>
      <c r="W10" s="20"/>
      <c r="X10" s="20"/>
      <c r="Y10" s="20"/>
      <c r="Z10" s="20"/>
      <c r="AA10" s="1"/>
      <c r="AB10" s="1"/>
    </row>
    <row r="11" customHeight="1" spans="1:28">
      <c r="A11" s="15" t="s">
        <v>124</v>
      </c>
      <c r="B11" s="197" t="s">
        <v>150</v>
      </c>
      <c r="C11" s="14">
        <v>78</v>
      </c>
      <c r="D11" s="14">
        <v>2.25</v>
      </c>
      <c r="F11" s="1" t="s">
        <v>151</v>
      </c>
      <c r="I11" s="15" t="s">
        <v>130</v>
      </c>
      <c r="J11" s="14">
        <v>137</v>
      </c>
      <c r="K11" s="14">
        <v>189.99</v>
      </c>
      <c r="L11" s="14">
        <f t="shared" ref="L11:L16" si="11">J11-Q11-W11-X11-Y11-Z11</f>
        <v>3.50099999999999</v>
      </c>
      <c r="M11" s="204">
        <f t="shared" ref="M11:M16" si="12">L11/J11</f>
        <v>0.0255547445255474</v>
      </c>
      <c r="N11" s="204">
        <f t="shared" ref="N11:N16" si="13">(K11-J11)/K11</f>
        <v>0.278909416285068</v>
      </c>
      <c r="O11" s="204">
        <f t="shared" ref="O11:O16" si="14">(K11-J11+Z11)/K11</f>
        <v>0.379862098005158</v>
      </c>
      <c r="P11" s="288">
        <f t="shared" ref="P11:P16" si="15">K11-J11</f>
        <v>52.99</v>
      </c>
      <c r="Q11" s="288">
        <f t="shared" ref="Q11:Q16" si="16">C11+D11</f>
        <v>80.25</v>
      </c>
      <c r="R11" s="200">
        <v>0.1</v>
      </c>
      <c r="S11" s="200">
        <v>0.1</v>
      </c>
      <c r="T11" s="200">
        <v>0.01</v>
      </c>
      <c r="U11" s="200">
        <f t="shared" ref="U11:U16" si="17">Q11/J11</f>
        <v>0.585766423357664</v>
      </c>
      <c r="V11" s="200">
        <v>0.14</v>
      </c>
      <c r="W11" s="20">
        <f t="shared" ref="W11:W16" si="18">J11*R11</f>
        <v>13.7</v>
      </c>
      <c r="X11" s="20">
        <f t="shared" ref="X11:X16" si="19">K11*S11</f>
        <v>18.999</v>
      </c>
      <c r="Y11" s="20">
        <f t="shared" ref="Y11:Y16" si="20">J11*T11</f>
        <v>1.37</v>
      </c>
      <c r="Z11" s="20">
        <f t="shared" ref="Z11:Z16" si="21">J11*V11</f>
        <v>19.18</v>
      </c>
    </row>
    <row r="12" customHeight="1" spans="1:28">
      <c r="A12" s="15" t="s">
        <v>124</v>
      </c>
      <c r="B12" s="197" t="s">
        <v>152</v>
      </c>
      <c r="C12" s="14">
        <v>95</v>
      </c>
      <c r="D12" s="14">
        <v>4.64</v>
      </c>
      <c r="F12" s="1" t="s">
        <v>153</v>
      </c>
      <c r="I12" s="15" t="s">
        <v>130</v>
      </c>
      <c r="J12" s="14">
        <v>159</v>
      </c>
      <c r="K12" s="14">
        <v>219.99</v>
      </c>
      <c r="L12" s="14">
        <f t="shared" si="11"/>
        <v>-2.389</v>
      </c>
      <c r="M12" s="204">
        <f t="shared" si="12"/>
        <v>-0.0150251572327044</v>
      </c>
      <c r="N12" s="204">
        <f t="shared" si="13"/>
        <v>0.277239874539752</v>
      </c>
      <c r="O12" s="204">
        <f t="shared" si="14"/>
        <v>0.378426292104187</v>
      </c>
      <c r="P12" s="288">
        <f t="shared" si="15"/>
        <v>60.99</v>
      </c>
      <c r="Q12" s="288">
        <f t="shared" si="16"/>
        <v>99.64</v>
      </c>
      <c r="R12" s="200">
        <v>0.1</v>
      </c>
      <c r="S12" s="200">
        <v>0.1</v>
      </c>
      <c r="T12" s="200">
        <v>0.01</v>
      </c>
      <c r="U12" s="200">
        <f t="shared" si="17"/>
        <v>0.626666666666667</v>
      </c>
      <c r="V12" s="200">
        <v>0.14</v>
      </c>
      <c r="W12" s="20">
        <f t="shared" si="18"/>
        <v>15.9</v>
      </c>
      <c r="X12" s="20">
        <f t="shared" si="19"/>
        <v>21.999</v>
      </c>
      <c r="Y12" s="20">
        <f t="shared" si="20"/>
        <v>1.59</v>
      </c>
      <c r="Z12" s="20">
        <f t="shared" si="21"/>
        <v>22.26</v>
      </c>
    </row>
    <row r="13" customHeight="1" spans="1:28">
      <c r="A13" s="15" t="s">
        <v>124</v>
      </c>
      <c r="B13" s="197" t="s">
        <v>154</v>
      </c>
      <c r="C13" s="14">
        <v>145</v>
      </c>
      <c r="D13" s="14">
        <v>4.94</v>
      </c>
      <c r="F13" s="1" t="s">
        <v>155</v>
      </c>
      <c r="I13" s="15" t="s">
        <v>130</v>
      </c>
      <c r="J13" s="14">
        <v>245</v>
      </c>
      <c r="K13" s="14">
        <v>339</v>
      </c>
      <c r="L13" s="14">
        <f t="shared" si="11"/>
        <v>-0.0900000000000034</v>
      </c>
      <c r="M13" s="204">
        <f t="shared" si="12"/>
        <v>-0.000367346938775524</v>
      </c>
      <c r="N13" s="204">
        <f t="shared" si="13"/>
        <v>0.277286135693215</v>
      </c>
      <c r="O13" s="204">
        <f t="shared" si="14"/>
        <v>0.378466076696165</v>
      </c>
      <c r="P13" s="288">
        <f t="shared" si="15"/>
        <v>94</v>
      </c>
      <c r="Q13" s="288">
        <f t="shared" si="16"/>
        <v>149.94</v>
      </c>
      <c r="R13" s="200">
        <v>0.1</v>
      </c>
      <c r="S13" s="200">
        <v>0.1</v>
      </c>
      <c r="T13" s="200">
        <v>0.01</v>
      </c>
      <c r="U13" s="200">
        <f t="shared" si="17"/>
        <v>0.612</v>
      </c>
      <c r="V13" s="200">
        <v>0.14</v>
      </c>
      <c r="W13" s="20">
        <f t="shared" si="18"/>
        <v>24.5</v>
      </c>
      <c r="X13" s="20">
        <f t="shared" si="19"/>
        <v>33.9</v>
      </c>
      <c r="Y13" s="20">
        <f t="shared" si="20"/>
        <v>2.45</v>
      </c>
      <c r="Z13" s="20">
        <f t="shared" si="21"/>
        <v>34.3</v>
      </c>
    </row>
    <row r="14" customHeight="1" spans="1:28">
      <c r="A14" s="15" t="s">
        <v>124</v>
      </c>
      <c r="B14" s="289" t="s">
        <v>156</v>
      </c>
      <c r="C14" s="14">
        <v>43</v>
      </c>
      <c r="D14" s="14">
        <v>2.1</v>
      </c>
      <c r="E14" s="19" t="s">
        <v>138</v>
      </c>
      <c r="F14" s="1" t="s">
        <v>157</v>
      </c>
      <c r="I14" s="15" t="s">
        <v>130</v>
      </c>
      <c r="J14" s="14">
        <v>79</v>
      </c>
      <c r="K14" s="14">
        <v>109</v>
      </c>
      <c r="L14" s="14">
        <f t="shared" si="11"/>
        <v>3.25</v>
      </c>
      <c r="M14" s="204">
        <f t="shared" si="12"/>
        <v>0.0411392405063291</v>
      </c>
      <c r="N14" s="204">
        <f t="shared" si="13"/>
        <v>0.275229357798165</v>
      </c>
      <c r="O14" s="204">
        <f t="shared" si="14"/>
        <v>0.376697247706422</v>
      </c>
      <c r="P14" s="288">
        <f t="shared" si="15"/>
        <v>30</v>
      </c>
      <c r="Q14" s="288">
        <f t="shared" si="16"/>
        <v>45.1</v>
      </c>
      <c r="R14" s="200">
        <v>0.1</v>
      </c>
      <c r="S14" s="200">
        <v>0.1</v>
      </c>
      <c r="T14" s="200">
        <v>0.01</v>
      </c>
      <c r="U14" s="200">
        <f t="shared" si="17"/>
        <v>0.570886075949367</v>
      </c>
      <c r="V14" s="200">
        <v>0.14</v>
      </c>
      <c r="W14" s="20">
        <f t="shared" si="18"/>
        <v>7.9</v>
      </c>
      <c r="X14" s="20">
        <f t="shared" si="19"/>
        <v>10.9</v>
      </c>
      <c r="Y14" s="20">
        <f t="shared" si="20"/>
        <v>0.79</v>
      </c>
      <c r="Z14" s="20">
        <f t="shared" si="21"/>
        <v>11.06</v>
      </c>
    </row>
    <row r="15" customHeight="1" spans="1:28">
      <c r="A15" s="15" t="s">
        <v>124</v>
      </c>
      <c r="B15" s="197" t="s">
        <v>158</v>
      </c>
      <c r="C15" s="14">
        <v>66</v>
      </c>
      <c r="D15" s="14">
        <v>2.7</v>
      </c>
      <c r="F15" s="1" t="s">
        <v>159</v>
      </c>
      <c r="I15" s="15" t="s">
        <v>130</v>
      </c>
      <c r="J15" s="14">
        <v>110</v>
      </c>
      <c r="K15" s="14">
        <v>149.99</v>
      </c>
      <c r="L15" s="14">
        <f t="shared" si="11"/>
        <v>-1.19900000000001</v>
      </c>
      <c r="M15" s="204">
        <f t="shared" si="12"/>
        <v>-0.0109000000000001</v>
      </c>
      <c r="N15" s="204">
        <f t="shared" si="13"/>
        <v>0.266617774518301</v>
      </c>
      <c r="O15" s="204">
        <f t="shared" si="14"/>
        <v>0.369291286085739</v>
      </c>
      <c r="P15" s="288">
        <f t="shared" si="15"/>
        <v>39.99</v>
      </c>
      <c r="Q15" s="288">
        <f t="shared" si="16"/>
        <v>68.7</v>
      </c>
      <c r="R15" s="200">
        <v>0.1</v>
      </c>
      <c r="S15" s="200">
        <v>0.1</v>
      </c>
      <c r="T15" s="200">
        <v>0.01</v>
      </c>
      <c r="U15" s="200">
        <f t="shared" si="17"/>
        <v>0.624545454545455</v>
      </c>
      <c r="V15" s="200">
        <v>0.14</v>
      </c>
      <c r="W15" s="20">
        <f t="shared" si="18"/>
        <v>11</v>
      </c>
      <c r="X15" s="20">
        <f t="shared" si="19"/>
        <v>14.999</v>
      </c>
      <c r="Y15" s="20">
        <f t="shared" si="20"/>
        <v>1.1</v>
      </c>
      <c r="Z15" s="20">
        <f t="shared" si="21"/>
        <v>15.4</v>
      </c>
    </row>
    <row r="16" customHeight="1" spans="1:28">
      <c r="A16" s="15" t="s">
        <v>124</v>
      </c>
      <c r="B16" s="197" t="s">
        <v>160</v>
      </c>
      <c r="C16" s="14">
        <v>65</v>
      </c>
      <c r="D16" s="14">
        <v>6.07</v>
      </c>
      <c r="F16" s="1" t="s">
        <v>161</v>
      </c>
      <c r="I16" s="15" t="s">
        <v>130</v>
      </c>
      <c r="J16" s="15">
        <v>110</v>
      </c>
      <c r="K16" s="15">
        <v>149.99</v>
      </c>
      <c r="L16" s="14">
        <f t="shared" si="11"/>
        <v>-3.569</v>
      </c>
      <c r="M16" s="204">
        <f t="shared" si="12"/>
        <v>-0.0324454545454545</v>
      </c>
      <c r="N16" s="204">
        <f t="shared" si="13"/>
        <v>0.266617774518301</v>
      </c>
      <c r="O16" s="204">
        <f t="shared" si="14"/>
        <v>0.369291286085739</v>
      </c>
      <c r="P16" s="288">
        <f t="shared" si="15"/>
        <v>39.99</v>
      </c>
      <c r="Q16" s="288">
        <f t="shared" si="16"/>
        <v>71.07</v>
      </c>
      <c r="R16" s="200">
        <v>0.1</v>
      </c>
      <c r="S16" s="200">
        <v>0.1</v>
      </c>
      <c r="T16" s="200">
        <v>0.01</v>
      </c>
      <c r="U16" s="200">
        <f t="shared" si="17"/>
        <v>0.646090909090909</v>
      </c>
      <c r="V16" s="200">
        <v>0.14</v>
      </c>
      <c r="W16" s="20">
        <f t="shared" si="18"/>
        <v>11</v>
      </c>
      <c r="X16" s="20">
        <f t="shared" si="19"/>
        <v>14.999</v>
      </c>
      <c r="Y16" s="20">
        <f t="shared" si="20"/>
        <v>1.1</v>
      </c>
      <c r="Z16" s="20">
        <f t="shared" si="21"/>
        <v>15.4</v>
      </c>
    </row>
    <row r="17" customHeight="1" spans="1:28">
      <c r="A17" s="15" t="s">
        <v>124</v>
      </c>
      <c r="B17" s="197" t="s">
        <v>160</v>
      </c>
      <c r="C17" s="14">
        <v>65</v>
      </c>
      <c r="D17" s="14">
        <v>6.07</v>
      </c>
      <c r="F17" s="1" t="s">
        <v>161</v>
      </c>
      <c r="I17" s="15"/>
      <c r="J17" s="15"/>
      <c r="K17" s="15"/>
      <c r="L17" s="14"/>
      <c r="M17" s="204"/>
      <c r="N17" s="204"/>
      <c r="O17" s="204"/>
      <c r="P17" s="288"/>
      <c r="Q17" s="288"/>
      <c r="R17" s="200"/>
      <c r="S17" s="200"/>
      <c r="T17" s="200"/>
      <c r="U17" s="200"/>
      <c r="V17" s="200"/>
      <c r="W17" s="20"/>
      <c r="X17" s="20"/>
      <c r="Y17" s="20"/>
      <c r="Z17" s="20"/>
      <c r="AA17" s="1"/>
      <c r="AB17" s="1"/>
    </row>
    <row r="18" customHeight="1" spans="1:28">
      <c r="A18" s="15" t="s">
        <v>124</v>
      </c>
      <c r="B18" s="1" t="s">
        <v>162</v>
      </c>
      <c r="C18" s="14">
        <v>92</v>
      </c>
      <c r="D18" s="14">
        <v>4.64</v>
      </c>
      <c r="F18" s="1" t="s">
        <v>163</v>
      </c>
      <c r="G18" s="1" t="s">
        <v>164</v>
      </c>
      <c r="I18" s="15" t="s">
        <v>130</v>
      </c>
      <c r="J18" s="14">
        <v>164.3</v>
      </c>
      <c r="K18" s="14">
        <v>229</v>
      </c>
      <c r="L18" s="14">
        <f t="shared" ref="L18:L24" si="22">J18-Q18-W18-X18-Y18-Z18</f>
        <v>3.685</v>
      </c>
      <c r="M18" s="204">
        <f t="shared" ref="M18:M24" si="23">L18/J18</f>
        <v>0.0224284844796105</v>
      </c>
      <c r="N18" s="204">
        <f t="shared" ref="N18:N24" si="24">(K18-J18)/K18</f>
        <v>0.282532751091703</v>
      </c>
      <c r="O18" s="204">
        <f t="shared" ref="O18:O24" si="25">(K18-J18+Z18)/K18</f>
        <v>0.382978165938865</v>
      </c>
      <c r="P18" s="288">
        <f t="shared" ref="P18:P24" si="26">K18-J18</f>
        <v>64.7</v>
      </c>
      <c r="Q18" s="288">
        <f t="shared" ref="Q18:Q24" si="27">C18+D18</f>
        <v>96.64</v>
      </c>
      <c r="R18" s="200">
        <v>0.1</v>
      </c>
      <c r="S18" s="200">
        <v>0.1</v>
      </c>
      <c r="T18" s="200">
        <v>0.01</v>
      </c>
      <c r="U18" s="200">
        <f t="shared" ref="U18:U24" si="28">Q18/J18</f>
        <v>0.588192331101643</v>
      </c>
      <c r="V18" s="200">
        <v>0.14</v>
      </c>
      <c r="W18" s="20">
        <f t="shared" ref="W18:W24" si="29">J18*R18</f>
        <v>16.43</v>
      </c>
      <c r="X18" s="20">
        <f t="shared" ref="X18:X24" si="30">K18*S18</f>
        <v>22.9</v>
      </c>
      <c r="Y18" s="20">
        <f t="shared" ref="Y18:Y24" si="31">J18*T18</f>
        <v>1.643</v>
      </c>
      <c r="Z18" s="20">
        <f t="shared" ref="Z18:Z24" si="32">J18*V18</f>
        <v>23.002</v>
      </c>
      <c r="AA18" s="1"/>
      <c r="AB18" s="1"/>
    </row>
    <row r="19" customHeight="1" spans="1:28">
      <c r="A19" s="15" t="s">
        <v>124</v>
      </c>
      <c r="B19" s="1" t="s">
        <v>165</v>
      </c>
      <c r="C19" s="14">
        <v>106</v>
      </c>
      <c r="D19" s="14">
        <v>4.64</v>
      </c>
      <c r="F19" s="1" t="s">
        <v>166</v>
      </c>
      <c r="G19" s="1" t="s">
        <v>167</v>
      </c>
      <c r="I19" s="15" t="s">
        <v>130</v>
      </c>
      <c r="J19" s="15">
        <v>164.3</v>
      </c>
      <c r="K19" s="15">
        <v>229</v>
      </c>
      <c r="L19" s="14">
        <f t="shared" si="22"/>
        <v>-10.315</v>
      </c>
      <c r="M19" s="204">
        <f t="shared" si="23"/>
        <v>-0.0627814972611077</v>
      </c>
      <c r="N19" s="204">
        <f t="shared" si="24"/>
        <v>0.282532751091703</v>
      </c>
      <c r="O19" s="204">
        <f t="shared" si="25"/>
        <v>0.382978165938865</v>
      </c>
      <c r="P19" s="288">
        <f t="shared" si="26"/>
        <v>64.7</v>
      </c>
      <c r="Q19" s="288">
        <f t="shared" si="27"/>
        <v>110.64</v>
      </c>
      <c r="R19" s="200">
        <v>0.1</v>
      </c>
      <c r="S19" s="200">
        <v>0.1</v>
      </c>
      <c r="T19" s="200">
        <v>0.01</v>
      </c>
      <c r="U19" s="200">
        <f t="shared" si="28"/>
        <v>0.673402312842362</v>
      </c>
      <c r="V19" s="200">
        <v>0.14</v>
      </c>
      <c r="W19" s="20">
        <f t="shared" si="29"/>
        <v>16.43</v>
      </c>
      <c r="X19" s="20">
        <f t="shared" si="30"/>
        <v>22.9</v>
      </c>
      <c r="Y19" s="20">
        <f t="shared" si="31"/>
        <v>1.643</v>
      </c>
      <c r="Z19" s="20">
        <f t="shared" si="32"/>
        <v>23.002</v>
      </c>
      <c r="AA19" s="1"/>
      <c r="AB19" s="1"/>
    </row>
    <row r="20" customHeight="1" spans="1:28">
      <c r="A20" s="15" t="s">
        <v>124</v>
      </c>
      <c r="B20" s="1" t="s">
        <v>168</v>
      </c>
      <c r="C20" s="14">
        <v>84</v>
      </c>
      <c r="D20" s="14">
        <v>4</v>
      </c>
      <c r="F20" s="1" t="s">
        <v>169</v>
      </c>
      <c r="G20" s="1" t="s">
        <v>170</v>
      </c>
      <c r="I20" s="15" t="s">
        <v>130</v>
      </c>
      <c r="J20" s="15">
        <v>142.8</v>
      </c>
      <c r="K20" s="15">
        <v>199</v>
      </c>
      <c r="L20" s="14">
        <f t="shared" si="22"/>
        <v>-0.799999999999997</v>
      </c>
      <c r="M20" s="204">
        <f t="shared" si="23"/>
        <v>-0.00560224089635852</v>
      </c>
      <c r="N20" s="204">
        <f t="shared" si="24"/>
        <v>0.282412060301508</v>
      </c>
      <c r="O20" s="204">
        <f t="shared" si="25"/>
        <v>0.382874371859296</v>
      </c>
      <c r="P20" s="288">
        <f t="shared" si="26"/>
        <v>56.2</v>
      </c>
      <c r="Q20" s="288">
        <f t="shared" si="27"/>
        <v>88</v>
      </c>
      <c r="R20" s="200">
        <v>0.1</v>
      </c>
      <c r="S20" s="200">
        <v>0.1</v>
      </c>
      <c r="T20" s="200">
        <v>0.01</v>
      </c>
      <c r="U20" s="200">
        <f t="shared" si="28"/>
        <v>0.61624649859944</v>
      </c>
      <c r="V20" s="200">
        <v>0.14</v>
      </c>
      <c r="W20" s="20">
        <f t="shared" si="29"/>
        <v>14.28</v>
      </c>
      <c r="X20" s="20">
        <f t="shared" si="30"/>
        <v>19.9</v>
      </c>
      <c r="Y20" s="20">
        <f t="shared" si="31"/>
        <v>1.428</v>
      </c>
      <c r="Z20" s="20">
        <f t="shared" si="32"/>
        <v>19.992</v>
      </c>
      <c r="AA20" s="1"/>
      <c r="AB20" s="1"/>
    </row>
    <row r="21" customHeight="1" spans="1:28">
      <c r="A21" s="15" t="s">
        <v>124</v>
      </c>
      <c r="B21" s="1" t="s">
        <v>171</v>
      </c>
      <c r="C21" s="14">
        <v>18</v>
      </c>
      <c r="D21" s="14">
        <v>3.53</v>
      </c>
      <c r="F21" s="1" t="s">
        <v>172</v>
      </c>
      <c r="G21" s="1" t="s">
        <v>173</v>
      </c>
      <c r="I21" s="15" t="s">
        <v>130</v>
      </c>
      <c r="J21" s="15">
        <v>28.44</v>
      </c>
      <c r="K21" s="15">
        <v>39.51</v>
      </c>
      <c r="L21" s="14">
        <f t="shared" si="22"/>
        <v>-4.151</v>
      </c>
      <c r="M21" s="204">
        <f t="shared" si="23"/>
        <v>-0.145956399437412</v>
      </c>
      <c r="N21" s="204">
        <f t="shared" si="24"/>
        <v>0.280182232346241</v>
      </c>
      <c r="O21" s="204">
        <f t="shared" si="25"/>
        <v>0.380956719817768</v>
      </c>
      <c r="P21" s="288">
        <f t="shared" si="26"/>
        <v>11.07</v>
      </c>
      <c r="Q21" s="288">
        <f t="shared" si="27"/>
        <v>21.53</v>
      </c>
      <c r="R21" s="200">
        <v>0.1</v>
      </c>
      <c r="S21" s="200">
        <v>0.1</v>
      </c>
      <c r="T21" s="200">
        <v>0.01</v>
      </c>
      <c r="U21" s="200">
        <f t="shared" si="28"/>
        <v>0.757032348804501</v>
      </c>
      <c r="V21" s="200">
        <v>0.14</v>
      </c>
      <c r="W21" s="20">
        <f t="shared" si="29"/>
        <v>2.844</v>
      </c>
      <c r="X21" s="20">
        <f t="shared" si="30"/>
        <v>3.951</v>
      </c>
      <c r="Y21" s="20">
        <f t="shared" si="31"/>
        <v>0.2844</v>
      </c>
      <c r="Z21" s="20">
        <f t="shared" si="32"/>
        <v>3.9816</v>
      </c>
    </row>
    <row r="22" customHeight="1" spans="1:28">
      <c r="A22" s="15" t="s">
        <v>124</v>
      </c>
      <c r="B22" s="1" t="s">
        <v>174</v>
      </c>
      <c r="C22" s="14">
        <v>18</v>
      </c>
      <c r="D22" s="14">
        <v>3.53</v>
      </c>
      <c r="F22" s="1" t="s">
        <v>175</v>
      </c>
      <c r="G22" s="1" t="s">
        <v>173</v>
      </c>
      <c r="I22" s="15" t="s">
        <v>130</v>
      </c>
      <c r="J22" s="15">
        <v>28.44</v>
      </c>
      <c r="K22" s="15">
        <v>39.51</v>
      </c>
      <c r="L22" s="14">
        <f t="shared" si="22"/>
        <v>-4.151</v>
      </c>
      <c r="M22" s="204">
        <f t="shared" si="23"/>
        <v>-0.145956399437412</v>
      </c>
      <c r="N22" s="204">
        <f t="shared" si="24"/>
        <v>0.280182232346241</v>
      </c>
      <c r="O22" s="204">
        <f t="shared" si="25"/>
        <v>0.380956719817768</v>
      </c>
      <c r="P22" s="288">
        <f t="shared" si="26"/>
        <v>11.07</v>
      </c>
      <c r="Q22" s="288">
        <f t="shared" si="27"/>
        <v>21.53</v>
      </c>
      <c r="R22" s="200">
        <v>0.1</v>
      </c>
      <c r="S22" s="200">
        <v>0.1</v>
      </c>
      <c r="T22" s="200">
        <v>0.01</v>
      </c>
      <c r="U22" s="200">
        <f t="shared" si="28"/>
        <v>0.757032348804501</v>
      </c>
      <c r="V22" s="200">
        <v>0.14</v>
      </c>
      <c r="W22" s="20">
        <f t="shared" si="29"/>
        <v>2.844</v>
      </c>
      <c r="X22" s="20">
        <f t="shared" si="30"/>
        <v>3.951</v>
      </c>
      <c r="Y22" s="20">
        <f t="shared" si="31"/>
        <v>0.2844</v>
      </c>
      <c r="Z22" s="20">
        <f t="shared" si="32"/>
        <v>3.9816</v>
      </c>
    </row>
    <row r="23" customHeight="1" spans="1:28">
      <c r="A23" s="15" t="s">
        <v>124</v>
      </c>
      <c r="B23" s="1" t="s">
        <v>176</v>
      </c>
      <c r="C23" s="14">
        <v>28</v>
      </c>
      <c r="D23" s="14">
        <v>3.57</v>
      </c>
      <c r="F23" s="1" t="s">
        <v>177</v>
      </c>
      <c r="G23" s="1" t="s">
        <v>178</v>
      </c>
      <c r="I23" s="15" t="s">
        <v>130</v>
      </c>
      <c r="J23" s="15">
        <v>51.8</v>
      </c>
      <c r="K23" s="15">
        <v>72.99</v>
      </c>
      <c r="L23" s="14">
        <f t="shared" si="22"/>
        <v>-0.0190000000000028</v>
      </c>
      <c r="M23" s="204">
        <f t="shared" si="23"/>
        <v>-0.000366795366795421</v>
      </c>
      <c r="N23" s="204">
        <f t="shared" si="24"/>
        <v>0.290313741608439</v>
      </c>
      <c r="O23" s="204">
        <f t="shared" si="25"/>
        <v>0.389669817783258</v>
      </c>
      <c r="P23" s="288">
        <f t="shared" si="26"/>
        <v>21.19</v>
      </c>
      <c r="Q23" s="288">
        <f t="shared" si="27"/>
        <v>31.57</v>
      </c>
      <c r="R23" s="200">
        <v>0.1</v>
      </c>
      <c r="S23" s="200">
        <v>0.1</v>
      </c>
      <c r="T23" s="200">
        <v>0.01</v>
      </c>
      <c r="U23" s="200">
        <f t="shared" si="28"/>
        <v>0.609459459459459</v>
      </c>
      <c r="V23" s="200">
        <v>0.14</v>
      </c>
      <c r="W23" s="20">
        <f t="shared" si="29"/>
        <v>5.18</v>
      </c>
      <c r="X23" s="20">
        <f t="shared" si="30"/>
        <v>7.299</v>
      </c>
      <c r="Y23" s="20">
        <f t="shared" si="31"/>
        <v>0.518</v>
      </c>
      <c r="Z23" s="20">
        <f t="shared" si="32"/>
        <v>7.252</v>
      </c>
    </row>
    <row r="24" customHeight="1" spans="1:28">
      <c r="A24" s="15" t="s">
        <v>124</v>
      </c>
      <c r="B24" s="1" t="s">
        <v>179</v>
      </c>
      <c r="C24" s="14">
        <v>28</v>
      </c>
      <c r="D24" s="14">
        <v>3.57</v>
      </c>
      <c r="F24" s="1" t="s">
        <v>180</v>
      </c>
      <c r="G24" s="1" t="s">
        <v>178</v>
      </c>
      <c r="I24" s="15" t="s">
        <v>130</v>
      </c>
      <c r="J24" s="15">
        <v>51.8</v>
      </c>
      <c r="K24" s="15">
        <v>72.99</v>
      </c>
      <c r="L24" s="14">
        <f t="shared" si="22"/>
        <v>-0.0190000000000028</v>
      </c>
      <c r="M24" s="204">
        <f t="shared" si="23"/>
        <v>-0.000366795366795421</v>
      </c>
      <c r="N24" s="204">
        <f t="shared" si="24"/>
        <v>0.290313741608439</v>
      </c>
      <c r="O24" s="204">
        <f t="shared" si="25"/>
        <v>0.389669817783258</v>
      </c>
      <c r="P24" s="288">
        <f t="shared" si="26"/>
        <v>21.19</v>
      </c>
      <c r="Q24" s="288">
        <f t="shared" si="27"/>
        <v>31.57</v>
      </c>
      <c r="R24" s="200">
        <v>0.1</v>
      </c>
      <c r="S24" s="200">
        <v>0.1</v>
      </c>
      <c r="T24" s="200">
        <v>0.01</v>
      </c>
      <c r="U24" s="200">
        <f t="shared" si="28"/>
        <v>0.609459459459459</v>
      </c>
      <c r="V24" s="200">
        <v>0.14</v>
      </c>
      <c r="W24" s="20">
        <f t="shared" si="29"/>
        <v>5.18</v>
      </c>
      <c r="X24" s="20">
        <f t="shared" si="30"/>
        <v>7.299</v>
      </c>
      <c r="Y24" s="20">
        <f t="shared" si="31"/>
        <v>0.518</v>
      </c>
      <c r="Z24" s="20">
        <f t="shared" si="32"/>
        <v>7.252</v>
      </c>
    </row>
    <row r="25" customHeight="1" spans="1:28">
      <c r="A25" s="15" t="s">
        <v>124</v>
      </c>
      <c r="B25" s="1" t="s">
        <v>179</v>
      </c>
      <c r="C25" s="14">
        <v>28</v>
      </c>
      <c r="D25" s="14">
        <v>3.57</v>
      </c>
      <c r="I25" s="14"/>
      <c r="P25" s="290"/>
      <c r="Q25" s="291"/>
      <c r="R25" s="14"/>
      <c r="U25" s="200"/>
      <c r="V25" s="14"/>
    </row>
    <row r="26" customHeight="1" spans="1:28">
      <c r="A26" s="15" t="s">
        <v>124</v>
      </c>
      <c r="B26" s="1" t="s">
        <v>181</v>
      </c>
      <c r="C26" s="14">
        <v>28</v>
      </c>
      <c r="D26" s="14">
        <v>3.57</v>
      </c>
      <c r="E26" s="1" t="s">
        <v>181</v>
      </c>
      <c r="F26" s="1" t="s">
        <v>182</v>
      </c>
      <c r="G26" s="1" t="s">
        <v>183</v>
      </c>
      <c r="I26" s="15" t="s">
        <v>130</v>
      </c>
      <c r="J26" s="292">
        <v>109.79</v>
      </c>
      <c r="P26" s="290"/>
      <c r="Q26" s="291"/>
      <c r="R26" s="14"/>
      <c r="U26" s="200"/>
      <c r="V26" s="14"/>
    </row>
    <row r="27" customHeight="1" spans="1:28">
      <c r="A27" s="15" t="s">
        <v>124</v>
      </c>
      <c r="B27" s="1" t="s">
        <v>184</v>
      </c>
      <c r="C27" s="14">
        <v>28</v>
      </c>
      <c r="D27" s="14">
        <v>3.57</v>
      </c>
      <c r="E27" s="1" t="s">
        <v>184</v>
      </c>
      <c r="F27" s="1" t="s">
        <v>185</v>
      </c>
      <c r="G27" s="1" t="s">
        <v>186</v>
      </c>
      <c r="I27" s="15" t="s">
        <v>130</v>
      </c>
      <c r="J27" s="292">
        <v>100.64</v>
      </c>
      <c r="P27" s="290"/>
      <c r="Q27" s="291"/>
      <c r="R27" s="14"/>
      <c r="U27" s="200"/>
      <c r="V27" s="14"/>
    </row>
    <row r="28" customHeight="1" spans="1:28">
      <c r="A28" s="15" t="s">
        <v>124</v>
      </c>
      <c r="B28" s="1" t="s">
        <v>187</v>
      </c>
      <c r="C28" s="14">
        <v>28</v>
      </c>
      <c r="D28" s="14">
        <v>3.57</v>
      </c>
      <c r="E28" s="1" t="s">
        <v>187</v>
      </c>
      <c r="F28" s="1" t="s">
        <v>188</v>
      </c>
      <c r="G28" s="1" t="s">
        <v>189</v>
      </c>
      <c r="I28" s="15" t="s">
        <v>130</v>
      </c>
      <c r="J28" s="292">
        <v>88.8</v>
      </c>
      <c r="P28" s="290"/>
      <c r="Q28" s="291"/>
      <c r="R28" s="14"/>
      <c r="U28" s="200"/>
      <c r="V28" s="14"/>
    </row>
    <row r="29" customHeight="1" spans="1:28">
      <c r="A29" s="15" t="s">
        <v>124</v>
      </c>
      <c r="B29" s="1" t="s">
        <v>190</v>
      </c>
      <c r="C29" s="14">
        <v>28</v>
      </c>
      <c r="D29" s="14">
        <v>3.57</v>
      </c>
      <c r="E29" s="1" t="s">
        <v>190</v>
      </c>
      <c r="F29" s="1" t="s">
        <v>191</v>
      </c>
      <c r="G29" s="1" t="s">
        <v>192</v>
      </c>
      <c r="I29" s="15" t="s">
        <v>130</v>
      </c>
      <c r="J29" s="292">
        <v>63.84</v>
      </c>
      <c r="P29" s="290"/>
      <c r="Q29" s="291"/>
      <c r="R29" s="14"/>
      <c r="U29" s="200"/>
      <c r="V29" s="14"/>
    </row>
    <row r="30" customHeight="1" spans="1:28">
      <c r="A30" s="15" t="s">
        <v>124</v>
      </c>
      <c r="B30" s="1" t="s">
        <v>193</v>
      </c>
      <c r="C30" s="14">
        <v>28</v>
      </c>
      <c r="D30" s="14">
        <v>3.57</v>
      </c>
      <c r="E30" s="1" t="s">
        <v>193</v>
      </c>
      <c r="F30" s="1" t="s">
        <v>194</v>
      </c>
      <c r="G30" s="1" t="s">
        <v>195</v>
      </c>
      <c r="I30" s="15" t="s">
        <v>130</v>
      </c>
      <c r="J30" s="292">
        <v>71.04</v>
      </c>
      <c r="P30" s="290"/>
      <c r="Q30" s="291"/>
      <c r="R30" s="14"/>
      <c r="U30" s="200"/>
      <c r="V30" s="14"/>
    </row>
    <row r="31" customHeight="1" spans="1:28">
      <c r="A31" s="15" t="s">
        <v>124</v>
      </c>
      <c r="B31" s="1" t="s">
        <v>193</v>
      </c>
      <c r="C31" s="14">
        <v>28</v>
      </c>
      <c r="D31" s="14">
        <v>3.57</v>
      </c>
      <c r="E31" s="1" t="s">
        <v>193</v>
      </c>
      <c r="F31" s="1" t="s">
        <v>194</v>
      </c>
      <c r="G31" s="1" t="s">
        <v>195</v>
      </c>
      <c r="I31" s="15" t="s">
        <v>130</v>
      </c>
      <c r="J31" s="292">
        <v>71.04</v>
      </c>
      <c r="P31" s="290"/>
      <c r="Q31" s="291"/>
      <c r="R31" s="14"/>
      <c r="U31" s="200"/>
      <c r="V31" s="14"/>
    </row>
    <row r="32" customHeight="1" spans="1:28">
      <c r="A32" s="14"/>
      <c r="B32" s="1"/>
      <c r="C32" s="14"/>
      <c r="D32" s="14"/>
      <c r="I32" s="14"/>
      <c r="P32" s="290"/>
      <c r="Q32" s="291"/>
      <c r="R32" s="14"/>
      <c r="U32" s="200"/>
      <c r="V32" s="14"/>
    </row>
    <row r="33" customHeight="1" spans="1:22">
      <c r="A33" s="14"/>
      <c r="B33" s="1"/>
      <c r="C33" s="14"/>
      <c r="D33" s="14"/>
      <c r="I33" s="14"/>
      <c r="P33" s="290"/>
      <c r="Q33" s="291"/>
      <c r="R33" s="14"/>
      <c r="U33" s="200"/>
      <c r="V33" s="14"/>
    </row>
    <row r="34" customHeight="1" spans="1:22">
      <c r="A34" s="14"/>
      <c r="B34" s="1"/>
      <c r="C34" s="14"/>
      <c r="D34" s="14"/>
      <c r="I34" s="14"/>
      <c r="P34" s="290"/>
      <c r="Q34" s="291"/>
      <c r="R34" s="14"/>
      <c r="U34" s="200"/>
      <c r="V34" s="14"/>
    </row>
    <row r="35" customHeight="1" spans="1:22">
      <c r="A35" s="14"/>
      <c r="B35" s="1"/>
      <c r="C35" s="14"/>
      <c r="D35" s="14"/>
      <c r="I35" s="14"/>
      <c r="P35" s="290"/>
      <c r="Q35" s="291"/>
      <c r="R35" s="14"/>
      <c r="U35" s="200"/>
      <c r="V35" s="14"/>
    </row>
    <row r="36" customHeight="1" spans="1:22">
      <c r="A36" s="14"/>
      <c r="B36" s="1"/>
      <c r="C36" s="14"/>
      <c r="D36" s="14"/>
      <c r="I36" s="14"/>
      <c r="P36" s="290"/>
      <c r="Q36" s="291"/>
      <c r="R36" s="14"/>
      <c r="U36" s="200"/>
      <c r="V36" s="14"/>
    </row>
    <row r="37" customHeight="1" spans="1:22">
      <c r="A37" s="14"/>
      <c r="B37" s="1"/>
      <c r="C37" s="14"/>
      <c r="D37" s="14"/>
      <c r="I37" s="14"/>
      <c r="P37" s="290"/>
      <c r="Q37" s="291"/>
      <c r="R37" s="14"/>
      <c r="U37" s="200"/>
      <c r="V37" s="14"/>
    </row>
    <row r="38" customHeight="1" spans="1:22">
      <c r="A38" s="14"/>
      <c r="B38" s="1"/>
      <c r="C38" s="14"/>
      <c r="D38" s="14"/>
      <c r="I38" s="14"/>
      <c r="P38" s="290"/>
      <c r="Q38" s="291"/>
      <c r="R38" s="14"/>
      <c r="U38" s="200"/>
      <c r="V38" s="14"/>
    </row>
    <row r="39" customHeight="1" spans="1:22">
      <c r="A39" s="14"/>
      <c r="B39" s="1"/>
      <c r="C39" s="14"/>
      <c r="D39" s="14"/>
      <c r="I39" s="14"/>
      <c r="P39" s="290"/>
      <c r="Q39" s="291"/>
      <c r="R39" s="14"/>
      <c r="U39" s="200"/>
      <c r="V39" s="14"/>
    </row>
    <row r="40" customHeight="1" spans="1:22">
      <c r="A40" s="14"/>
      <c r="B40" s="1"/>
      <c r="C40" s="14"/>
      <c r="D40" s="14"/>
      <c r="I40" s="14"/>
      <c r="P40" s="290"/>
      <c r="Q40" s="291"/>
      <c r="R40" s="14"/>
      <c r="U40" s="200"/>
      <c r="V40" s="14"/>
    </row>
    <row r="41" customHeight="1" spans="1:22">
      <c r="A41" s="14"/>
      <c r="B41" s="1"/>
      <c r="C41" s="14"/>
      <c r="D41" s="14"/>
      <c r="I41" s="14"/>
      <c r="P41" s="290"/>
      <c r="Q41" s="291"/>
      <c r="R41" s="14"/>
      <c r="U41" s="200"/>
      <c r="V41" s="14"/>
    </row>
    <row r="42" customHeight="1" spans="1:22">
      <c r="A42" s="14"/>
      <c r="B42" s="1"/>
      <c r="C42" s="14"/>
      <c r="D42" s="14"/>
      <c r="I42" s="14"/>
      <c r="P42" s="290"/>
      <c r="Q42" s="291"/>
      <c r="R42" s="14"/>
      <c r="U42" s="200"/>
      <c r="V42" s="14"/>
    </row>
    <row r="43" customHeight="1" spans="1:22">
      <c r="A43" s="14"/>
      <c r="B43" s="1"/>
      <c r="C43" s="14"/>
      <c r="D43" s="14"/>
      <c r="I43" s="14"/>
      <c r="P43" s="290"/>
      <c r="Q43" s="291"/>
      <c r="R43" s="14"/>
      <c r="U43" s="200"/>
      <c r="V43" s="14"/>
    </row>
    <row r="44" customHeight="1" spans="1:22">
      <c r="A44" s="14"/>
      <c r="B44" s="1"/>
      <c r="C44" s="14"/>
      <c r="D44" s="14"/>
      <c r="I44" s="14"/>
      <c r="P44" s="290"/>
      <c r="Q44" s="291"/>
      <c r="R44" s="14"/>
      <c r="U44" s="200"/>
      <c r="V44" s="14"/>
    </row>
    <row r="45" customHeight="1" spans="1:22">
      <c r="A45" s="14"/>
      <c r="B45" s="1"/>
      <c r="C45" s="14"/>
      <c r="D45" s="14"/>
      <c r="I45" s="14"/>
      <c r="P45" s="290"/>
      <c r="Q45" s="291"/>
      <c r="R45" s="14"/>
      <c r="U45" s="200"/>
      <c r="V45" s="14"/>
    </row>
    <row r="46" customHeight="1" spans="1:22">
      <c r="A46" s="14"/>
      <c r="B46" s="1"/>
      <c r="C46" s="14"/>
      <c r="D46" s="14"/>
      <c r="I46" s="14"/>
      <c r="P46" s="290"/>
      <c r="Q46" s="291"/>
      <c r="R46" s="14"/>
      <c r="U46" s="200"/>
      <c r="V46" s="14"/>
    </row>
    <row r="47" customHeight="1" spans="1:22">
      <c r="A47" s="14"/>
      <c r="B47" s="1"/>
      <c r="C47" s="14"/>
      <c r="D47" s="14"/>
      <c r="I47" s="14"/>
      <c r="P47" s="290"/>
      <c r="Q47" s="291"/>
      <c r="R47" s="14"/>
      <c r="U47" s="200"/>
      <c r="V47" s="14"/>
    </row>
    <row r="48" customHeight="1" spans="1:22">
      <c r="A48" s="14"/>
      <c r="B48" s="1"/>
      <c r="C48" s="14"/>
      <c r="D48" s="14"/>
      <c r="I48" s="14"/>
      <c r="P48" s="290"/>
      <c r="Q48" s="291"/>
      <c r="R48" s="14"/>
      <c r="U48" s="200"/>
      <c r="V48" s="14"/>
    </row>
    <row r="49" customHeight="1" spans="1:22">
      <c r="A49" s="14"/>
      <c r="B49" s="1"/>
      <c r="C49" s="14"/>
      <c r="D49" s="14"/>
      <c r="I49" s="14"/>
      <c r="P49" s="290"/>
      <c r="Q49" s="291"/>
      <c r="R49" s="14"/>
      <c r="U49" s="200"/>
      <c r="V49" s="14"/>
    </row>
    <row r="50" customHeight="1" spans="1:22">
      <c r="A50" s="14"/>
      <c r="B50" s="1"/>
      <c r="C50" s="14"/>
      <c r="D50" s="14"/>
      <c r="I50" s="14"/>
      <c r="P50" s="290"/>
      <c r="Q50" s="291"/>
      <c r="R50" s="14"/>
      <c r="U50" s="200"/>
      <c r="V50" s="14"/>
    </row>
    <row r="51" customHeight="1" spans="1:22">
      <c r="A51" s="14"/>
      <c r="B51" s="1"/>
      <c r="C51" s="14"/>
      <c r="D51" s="14"/>
      <c r="I51" s="14"/>
      <c r="P51" s="290"/>
      <c r="Q51" s="291"/>
      <c r="R51" s="14"/>
      <c r="U51" s="200"/>
      <c r="V51" s="14"/>
    </row>
    <row r="52" customHeight="1" spans="1:22">
      <c r="A52" s="14"/>
      <c r="B52" s="1"/>
      <c r="C52" s="14"/>
      <c r="D52" s="14"/>
      <c r="I52" s="14"/>
      <c r="P52" s="290"/>
      <c r="Q52" s="291"/>
      <c r="R52" s="14"/>
      <c r="U52" s="200"/>
      <c r="V52" s="14"/>
    </row>
    <row r="53" customHeight="1" spans="1:22">
      <c r="A53" s="14"/>
      <c r="B53" s="1"/>
      <c r="C53" s="14"/>
      <c r="D53" s="14"/>
      <c r="I53" s="14"/>
      <c r="P53" s="290"/>
      <c r="Q53" s="291"/>
      <c r="R53" s="14"/>
      <c r="U53" s="200"/>
      <c r="V53" s="14"/>
    </row>
    <row r="54" customHeight="1" spans="1:22">
      <c r="A54" s="14"/>
      <c r="B54" s="1"/>
      <c r="C54" s="14"/>
      <c r="D54" s="14"/>
      <c r="I54" s="14"/>
      <c r="P54" s="290"/>
      <c r="Q54" s="291"/>
      <c r="R54" s="14"/>
      <c r="U54" s="200"/>
      <c r="V54" s="14"/>
    </row>
    <row r="55" customHeight="1" spans="1:22">
      <c r="A55" s="14"/>
      <c r="B55" s="1"/>
      <c r="C55" s="14"/>
      <c r="D55" s="14"/>
      <c r="I55" s="14"/>
      <c r="P55" s="290"/>
      <c r="Q55" s="291"/>
      <c r="R55" s="14"/>
      <c r="U55" s="200"/>
      <c r="V55" s="14"/>
    </row>
    <row r="56" customHeight="1" spans="1:22">
      <c r="A56" s="14"/>
      <c r="B56" s="1"/>
      <c r="C56" s="14"/>
      <c r="D56" s="14"/>
      <c r="I56" s="14"/>
      <c r="P56" s="290"/>
      <c r="Q56" s="291"/>
      <c r="R56" s="14"/>
      <c r="U56" s="200"/>
      <c r="V56" s="14"/>
    </row>
    <row r="57" customHeight="1" spans="1:22">
      <c r="A57" s="14"/>
      <c r="B57" s="1"/>
      <c r="C57" s="14"/>
      <c r="D57" s="14"/>
      <c r="I57" s="14"/>
      <c r="P57" s="290"/>
      <c r="Q57" s="291"/>
      <c r="R57" s="14"/>
      <c r="U57" s="200"/>
      <c r="V57" s="14"/>
    </row>
    <row r="58" customHeight="1" spans="1:22">
      <c r="A58" s="14"/>
      <c r="B58" s="1"/>
      <c r="C58" s="14"/>
      <c r="D58" s="14"/>
      <c r="I58" s="14"/>
      <c r="P58" s="290"/>
      <c r="Q58" s="291"/>
      <c r="R58" s="14"/>
      <c r="U58" s="200"/>
      <c r="V58" s="14"/>
    </row>
    <row r="59" customHeight="1" spans="1:22">
      <c r="A59" s="14"/>
      <c r="B59" s="1"/>
      <c r="C59" s="14"/>
      <c r="D59" s="14"/>
      <c r="I59" s="14"/>
      <c r="P59" s="290"/>
      <c r="Q59" s="291"/>
      <c r="R59" s="14"/>
      <c r="U59" s="200"/>
      <c r="V59" s="14"/>
    </row>
    <row r="60" customHeight="1" spans="1:22">
      <c r="A60" s="14"/>
      <c r="B60" s="1"/>
      <c r="C60" s="14"/>
      <c r="D60" s="14"/>
      <c r="I60" s="14"/>
      <c r="P60" s="290"/>
      <c r="Q60" s="291"/>
      <c r="R60" s="14"/>
      <c r="U60" s="200"/>
      <c r="V60" s="14"/>
    </row>
    <row r="61" customHeight="1" spans="1:22">
      <c r="A61" s="14"/>
      <c r="B61" s="1"/>
      <c r="C61" s="14"/>
      <c r="D61" s="14"/>
      <c r="I61" s="14"/>
      <c r="P61" s="290"/>
      <c r="Q61" s="291"/>
      <c r="R61" s="14"/>
      <c r="U61" s="200"/>
      <c r="V61" s="14"/>
    </row>
    <row r="62" customHeight="1" spans="1:22">
      <c r="A62" s="14"/>
      <c r="B62" s="1"/>
      <c r="C62" s="14"/>
      <c r="D62" s="14"/>
      <c r="I62" s="14"/>
      <c r="P62" s="290"/>
      <c r="Q62" s="291"/>
      <c r="R62" s="14"/>
      <c r="U62" s="200"/>
      <c r="V62" s="14"/>
    </row>
    <row r="63" customHeight="1" spans="1:22">
      <c r="A63" s="14"/>
      <c r="B63" s="1"/>
      <c r="C63" s="14"/>
      <c r="D63" s="14"/>
      <c r="I63" s="14"/>
      <c r="P63" s="290"/>
      <c r="Q63" s="291"/>
      <c r="R63" s="14"/>
      <c r="U63" s="200"/>
      <c r="V63" s="14"/>
    </row>
    <row r="64" customHeight="1" spans="1:22">
      <c r="A64" s="14"/>
      <c r="B64" s="1"/>
      <c r="C64" s="14"/>
      <c r="D64" s="14"/>
      <c r="I64" s="14"/>
      <c r="P64" s="290"/>
      <c r="Q64" s="291"/>
      <c r="R64" s="14"/>
      <c r="U64" s="200"/>
      <c r="V64" s="14"/>
    </row>
    <row r="65" customHeight="1" spans="1:22">
      <c r="A65" s="14"/>
      <c r="B65" s="1"/>
      <c r="C65" s="14"/>
      <c r="D65" s="14"/>
      <c r="I65" s="14"/>
      <c r="P65" s="290"/>
      <c r="Q65" s="291"/>
      <c r="R65" s="14"/>
      <c r="U65" s="200"/>
      <c r="V65" s="14"/>
    </row>
    <row r="66" customHeight="1" spans="1:22">
      <c r="A66" s="14"/>
      <c r="B66" s="1"/>
      <c r="C66" s="14"/>
      <c r="D66" s="14"/>
      <c r="I66" s="14"/>
      <c r="P66" s="290"/>
      <c r="Q66" s="291"/>
      <c r="R66" s="14"/>
      <c r="U66" s="200"/>
      <c r="V66" s="14"/>
    </row>
    <row r="67" customHeight="1" spans="1:22">
      <c r="A67" s="14"/>
      <c r="B67" s="1"/>
      <c r="C67" s="14"/>
      <c r="D67" s="14"/>
      <c r="I67" s="14"/>
      <c r="P67" s="290"/>
      <c r="Q67" s="291"/>
      <c r="R67" s="14"/>
      <c r="U67" s="200"/>
      <c r="V67" s="14"/>
    </row>
    <row r="68" customHeight="1" spans="1:22">
      <c r="A68" s="14"/>
      <c r="B68" s="1"/>
      <c r="C68" s="14"/>
      <c r="D68" s="14"/>
      <c r="I68" s="14"/>
      <c r="P68" s="290"/>
      <c r="Q68" s="291"/>
      <c r="R68" s="14"/>
      <c r="U68" s="200"/>
      <c r="V68" s="14"/>
    </row>
    <row r="69" customHeight="1" spans="1:22">
      <c r="A69" s="14"/>
      <c r="B69" s="1"/>
      <c r="C69" s="14"/>
      <c r="D69" s="14"/>
      <c r="I69" s="14"/>
      <c r="P69" s="290"/>
      <c r="Q69" s="291"/>
      <c r="R69" s="14"/>
      <c r="U69" s="200"/>
      <c r="V69" s="14"/>
    </row>
    <row r="70" customHeight="1" spans="1:22">
      <c r="A70" s="14"/>
      <c r="B70" s="1"/>
      <c r="C70" s="14"/>
      <c r="D70" s="14"/>
      <c r="I70" s="14"/>
      <c r="P70" s="290"/>
      <c r="Q70" s="291"/>
      <c r="R70" s="14"/>
      <c r="U70" s="200"/>
      <c r="V70" s="14"/>
    </row>
    <row r="71" customHeight="1" spans="1:22">
      <c r="A71" s="14"/>
      <c r="B71" s="1"/>
      <c r="C71" s="14"/>
      <c r="D71" s="14"/>
      <c r="I71" s="14"/>
      <c r="P71" s="290"/>
      <c r="Q71" s="291"/>
      <c r="R71" s="14"/>
      <c r="U71" s="200"/>
      <c r="V71" s="14"/>
    </row>
    <row r="72" customHeight="1" spans="1:22">
      <c r="A72" s="14"/>
      <c r="B72" s="1"/>
      <c r="C72" s="14"/>
      <c r="D72" s="14"/>
      <c r="I72" s="14"/>
      <c r="P72" s="290"/>
      <c r="Q72" s="291"/>
      <c r="R72" s="14"/>
      <c r="U72" s="200"/>
      <c r="V72" s="14"/>
    </row>
    <row r="73" customHeight="1" spans="1:22">
      <c r="A73" s="14"/>
      <c r="B73" s="1"/>
      <c r="C73" s="14"/>
      <c r="D73" s="14"/>
      <c r="I73" s="14"/>
      <c r="P73" s="290"/>
      <c r="Q73" s="291"/>
      <c r="R73" s="14"/>
      <c r="U73" s="200"/>
      <c r="V73" s="14"/>
    </row>
    <row r="74" customHeight="1" spans="1:22">
      <c r="A74" s="14"/>
      <c r="B74" s="1"/>
      <c r="C74" s="14"/>
      <c r="D74" s="14"/>
      <c r="I74" s="14"/>
      <c r="P74" s="290"/>
      <c r="Q74" s="291"/>
      <c r="R74" s="14"/>
      <c r="U74" s="200"/>
      <c r="V74" s="14"/>
    </row>
    <row r="75" customHeight="1" spans="1:22">
      <c r="A75" s="14"/>
      <c r="B75" s="1"/>
      <c r="C75" s="14"/>
      <c r="D75" s="14"/>
      <c r="I75" s="14"/>
      <c r="P75" s="290"/>
      <c r="Q75" s="291"/>
      <c r="R75" s="14"/>
      <c r="U75" s="200"/>
      <c r="V75" s="14"/>
    </row>
    <row r="76" customHeight="1" spans="1:22">
      <c r="A76" s="14"/>
      <c r="B76" s="1"/>
      <c r="C76" s="14"/>
      <c r="D76" s="14"/>
      <c r="I76" s="14"/>
      <c r="P76" s="290"/>
      <c r="Q76" s="291"/>
      <c r="R76" s="14"/>
      <c r="U76" s="200"/>
      <c r="V76" s="14"/>
    </row>
    <row r="77" customHeight="1" spans="1:22">
      <c r="A77" s="14"/>
      <c r="B77" s="1"/>
      <c r="C77" s="14"/>
      <c r="D77" s="14"/>
      <c r="I77" s="14"/>
      <c r="P77" s="290"/>
      <c r="Q77" s="291"/>
      <c r="R77" s="14"/>
      <c r="U77" s="200"/>
      <c r="V77" s="14"/>
    </row>
    <row r="78" customHeight="1" spans="1:22">
      <c r="A78" s="14"/>
      <c r="B78" s="1"/>
      <c r="C78" s="14"/>
      <c r="D78" s="14"/>
      <c r="I78" s="14"/>
      <c r="P78" s="290"/>
      <c r="Q78" s="291"/>
      <c r="R78" s="14"/>
      <c r="U78" s="200"/>
      <c r="V78" s="14"/>
    </row>
    <row r="79" customHeight="1" spans="1:22">
      <c r="A79" s="14"/>
      <c r="B79" s="1"/>
      <c r="C79" s="14"/>
      <c r="D79" s="14"/>
      <c r="I79" s="14"/>
      <c r="P79" s="290"/>
      <c r="Q79" s="291"/>
      <c r="R79" s="14"/>
      <c r="U79" s="200"/>
      <c r="V79" s="14"/>
    </row>
    <row r="80" customHeight="1" spans="1:22">
      <c r="A80" s="14"/>
      <c r="B80" s="1"/>
      <c r="C80" s="14"/>
      <c r="D80" s="14"/>
      <c r="I80" s="14"/>
      <c r="P80" s="290"/>
      <c r="Q80" s="291"/>
      <c r="R80" s="14"/>
      <c r="U80" s="200"/>
      <c r="V80" s="14"/>
    </row>
    <row r="81" customHeight="1" spans="1:22">
      <c r="A81" s="14"/>
      <c r="B81" s="1"/>
      <c r="C81" s="14"/>
      <c r="D81" s="14"/>
      <c r="I81" s="14"/>
      <c r="P81" s="290"/>
      <c r="Q81" s="291"/>
      <c r="R81" s="14"/>
      <c r="U81" s="200"/>
      <c r="V81" s="14"/>
    </row>
    <row r="82" customHeight="1" spans="1:22">
      <c r="A82" s="14"/>
      <c r="B82" s="1"/>
      <c r="C82" s="14"/>
      <c r="D82" s="14"/>
      <c r="I82" s="14"/>
      <c r="P82" s="290"/>
      <c r="Q82" s="291"/>
      <c r="R82" s="14"/>
      <c r="U82" s="200"/>
      <c r="V82" s="14"/>
    </row>
    <row r="83" customHeight="1" spans="1:22">
      <c r="A83" s="14"/>
      <c r="B83" s="1"/>
      <c r="C83" s="14"/>
      <c r="D83" s="14"/>
      <c r="I83" s="14"/>
      <c r="P83" s="290"/>
      <c r="Q83" s="291"/>
      <c r="R83" s="14"/>
      <c r="U83" s="200"/>
      <c r="V83" s="14"/>
    </row>
    <row r="84" customHeight="1" spans="1:22">
      <c r="A84" s="14"/>
      <c r="B84" s="1"/>
      <c r="C84" s="14"/>
      <c r="D84" s="14"/>
      <c r="I84" s="14"/>
      <c r="P84" s="290"/>
      <c r="Q84" s="291"/>
      <c r="R84" s="14"/>
      <c r="U84" s="200"/>
      <c r="V84" s="14"/>
    </row>
    <row r="85" customHeight="1" spans="1:22">
      <c r="A85" s="14"/>
      <c r="B85" s="1"/>
      <c r="C85" s="14"/>
      <c r="D85" s="14"/>
      <c r="I85" s="14"/>
      <c r="P85" s="290"/>
      <c r="Q85" s="291"/>
      <c r="R85" s="14"/>
      <c r="U85" s="200"/>
      <c r="V85" s="14"/>
    </row>
    <row r="86" customHeight="1" spans="1:22">
      <c r="A86" s="14"/>
      <c r="B86" s="1"/>
      <c r="C86" s="14"/>
      <c r="D86" s="14"/>
      <c r="I86" s="14"/>
      <c r="P86" s="290"/>
      <c r="Q86" s="291"/>
      <c r="R86" s="14"/>
      <c r="U86" s="200"/>
      <c r="V86" s="14"/>
    </row>
    <row r="87" customHeight="1" spans="1:22">
      <c r="A87" s="14"/>
      <c r="B87" s="1"/>
      <c r="C87" s="14"/>
      <c r="D87" s="14"/>
      <c r="I87" s="14"/>
      <c r="P87" s="290"/>
      <c r="Q87" s="291"/>
      <c r="R87" s="14"/>
      <c r="U87" s="200"/>
      <c r="V87" s="14"/>
    </row>
    <row r="88" customHeight="1" spans="1:22">
      <c r="A88" s="14"/>
      <c r="B88" s="1"/>
      <c r="C88" s="14"/>
      <c r="D88" s="14"/>
      <c r="I88" s="14"/>
      <c r="P88" s="290"/>
      <c r="Q88" s="291"/>
      <c r="R88" s="14"/>
      <c r="U88" s="200"/>
      <c r="V88" s="14"/>
    </row>
    <row r="89" customHeight="1" spans="1:22">
      <c r="A89" s="14"/>
      <c r="B89" s="1"/>
      <c r="C89" s="14"/>
      <c r="D89" s="14"/>
      <c r="I89" s="14"/>
      <c r="P89" s="290"/>
      <c r="Q89" s="291"/>
      <c r="R89" s="14"/>
      <c r="U89" s="200"/>
      <c r="V89" s="14"/>
    </row>
    <row r="90" customHeight="1" spans="1:22">
      <c r="A90" s="14"/>
      <c r="B90" s="1"/>
      <c r="C90" s="14"/>
      <c r="D90" s="14"/>
      <c r="I90" s="14"/>
      <c r="P90" s="290"/>
      <c r="Q90" s="291"/>
      <c r="R90" s="14"/>
      <c r="U90" s="200"/>
      <c r="V90" s="14"/>
    </row>
    <row r="91" customHeight="1" spans="1:22">
      <c r="A91" s="14"/>
      <c r="B91" s="1"/>
      <c r="C91" s="14"/>
      <c r="D91" s="14"/>
      <c r="I91" s="14"/>
      <c r="P91" s="290"/>
      <c r="Q91" s="291"/>
      <c r="R91" s="14"/>
      <c r="U91" s="200"/>
      <c r="V91" s="14"/>
    </row>
    <row r="92" customHeight="1" spans="1:22">
      <c r="A92" s="14"/>
      <c r="B92" s="1"/>
      <c r="C92" s="14"/>
      <c r="D92" s="14"/>
      <c r="I92" s="14"/>
      <c r="P92" s="290"/>
      <c r="Q92" s="291"/>
      <c r="R92" s="14"/>
      <c r="U92" s="200"/>
      <c r="V92" s="14"/>
    </row>
    <row r="93" customHeight="1" spans="1:22">
      <c r="A93" s="14"/>
      <c r="B93" s="1"/>
      <c r="C93" s="14"/>
      <c r="D93" s="14"/>
      <c r="I93" s="14"/>
      <c r="P93" s="290"/>
      <c r="Q93" s="291"/>
      <c r="R93" s="14"/>
      <c r="U93" s="200"/>
      <c r="V93" s="14"/>
    </row>
    <row r="94" customHeight="1" spans="1:22">
      <c r="A94" s="14"/>
      <c r="B94" s="1"/>
      <c r="C94" s="14"/>
      <c r="D94" s="14"/>
      <c r="I94" s="14"/>
      <c r="P94" s="290"/>
      <c r="Q94" s="291"/>
      <c r="R94" s="14"/>
      <c r="U94" s="200"/>
      <c r="V94" s="14"/>
    </row>
    <row r="95" customHeight="1" spans="1:22">
      <c r="A95" s="14"/>
      <c r="B95" s="1"/>
      <c r="C95" s="14"/>
      <c r="D95" s="14"/>
      <c r="I95" s="14"/>
      <c r="P95" s="290"/>
      <c r="Q95" s="291"/>
      <c r="R95" s="14"/>
      <c r="U95" s="200"/>
      <c r="V95" s="14"/>
    </row>
    <row r="96" customHeight="1" spans="1:22">
      <c r="A96" s="14"/>
      <c r="B96" s="1"/>
      <c r="C96" s="14"/>
      <c r="D96" s="14"/>
      <c r="I96" s="14"/>
      <c r="P96" s="290"/>
      <c r="Q96" s="291"/>
      <c r="R96" s="14"/>
      <c r="U96" s="200"/>
      <c r="V96" s="14"/>
    </row>
    <row r="97" customHeight="1" spans="1:22">
      <c r="A97" s="14"/>
      <c r="B97" s="1"/>
      <c r="C97" s="14"/>
      <c r="D97" s="14"/>
      <c r="I97" s="14"/>
      <c r="P97" s="290"/>
      <c r="Q97" s="291"/>
      <c r="R97" s="14"/>
      <c r="U97" s="200"/>
      <c r="V97" s="14"/>
    </row>
    <row r="98" customHeight="1" spans="1:22">
      <c r="A98" s="14"/>
      <c r="B98" s="1"/>
      <c r="C98" s="14"/>
      <c r="D98" s="14"/>
      <c r="I98" s="14"/>
      <c r="P98" s="290"/>
      <c r="Q98" s="291"/>
      <c r="R98" s="14"/>
      <c r="U98" s="200"/>
      <c r="V98" s="14"/>
    </row>
    <row r="99" customHeight="1" spans="1:22">
      <c r="A99" s="14"/>
      <c r="B99" s="1"/>
      <c r="C99" s="14"/>
      <c r="D99" s="14"/>
      <c r="I99" s="14"/>
      <c r="P99" s="290"/>
      <c r="Q99" s="291"/>
      <c r="R99" s="14"/>
      <c r="U99" s="200"/>
      <c r="V99" s="14"/>
    </row>
    <row r="100" customHeight="1" spans="1:22">
      <c r="A100" s="14"/>
      <c r="B100" s="1"/>
      <c r="C100" s="14"/>
      <c r="D100" s="14"/>
      <c r="I100" s="14"/>
      <c r="P100" s="290"/>
      <c r="Q100" s="291"/>
      <c r="R100" s="14"/>
      <c r="U100" s="200"/>
      <c r="V100" s="14"/>
    </row>
    <row r="101" customHeight="1" spans="1:22">
      <c r="A101" s="14"/>
      <c r="B101" s="1"/>
      <c r="C101" s="14"/>
      <c r="D101" s="14"/>
      <c r="I101" s="14"/>
      <c r="P101" s="290"/>
      <c r="Q101" s="291"/>
      <c r="R101" s="14"/>
      <c r="U101" s="200"/>
      <c r="V101" s="14"/>
    </row>
    <row r="102" customHeight="1" spans="1:22">
      <c r="A102" s="14"/>
      <c r="B102" s="1"/>
      <c r="C102" s="14"/>
      <c r="D102" s="14"/>
      <c r="I102" s="14"/>
      <c r="P102" s="290"/>
      <c r="Q102" s="291"/>
      <c r="R102" s="14"/>
      <c r="U102" s="200"/>
      <c r="V102" s="14"/>
    </row>
    <row r="103" customHeight="1" spans="1:22">
      <c r="A103" s="14"/>
      <c r="B103" s="1"/>
      <c r="C103" s="14"/>
      <c r="D103" s="14"/>
      <c r="I103" s="14"/>
      <c r="P103" s="290"/>
      <c r="Q103" s="291"/>
      <c r="R103" s="14"/>
      <c r="U103" s="200"/>
      <c r="V103" s="14"/>
    </row>
    <row r="104" customHeight="1" spans="1:22">
      <c r="A104" s="14"/>
      <c r="B104" s="1"/>
      <c r="C104" s="14"/>
      <c r="D104" s="14"/>
      <c r="I104" s="14"/>
      <c r="P104" s="290"/>
      <c r="Q104" s="291"/>
      <c r="R104" s="14"/>
      <c r="U104" s="200"/>
      <c r="V104" s="14"/>
    </row>
    <row r="105" customHeight="1" spans="1:22">
      <c r="A105" s="14"/>
      <c r="B105" s="1"/>
      <c r="C105" s="14"/>
      <c r="D105" s="14"/>
      <c r="I105" s="14"/>
      <c r="P105" s="290"/>
      <c r="Q105" s="291"/>
      <c r="R105" s="14"/>
      <c r="U105" s="200"/>
      <c r="V105" s="14"/>
    </row>
    <row r="106" customHeight="1" spans="1:22">
      <c r="A106" s="14"/>
      <c r="B106" s="1"/>
      <c r="C106" s="14"/>
      <c r="D106" s="14"/>
      <c r="I106" s="14"/>
      <c r="P106" s="290"/>
      <c r="Q106" s="291"/>
      <c r="R106" s="14"/>
      <c r="U106" s="200"/>
      <c r="V106" s="14"/>
    </row>
    <row r="107" customHeight="1" spans="1:22">
      <c r="A107" s="14"/>
      <c r="B107" s="1"/>
      <c r="C107" s="14"/>
      <c r="D107" s="14"/>
      <c r="I107" s="14"/>
      <c r="P107" s="290"/>
      <c r="Q107" s="291"/>
      <c r="R107" s="14"/>
      <c r="U107" s="200"/>
      <c r="V107" s="14"/>
    </row>
    <row r="108" customHeight="1" spans="1:22">
      <c r="A108" s="14"/>
      <c r="B108" s="1"/>
      <c r="C108" s="14"/>
      <c r="D108" s="14"/>
      <c r="I108" s="14"/>
      <c r="P108" s="290"/>
      <c r="Q108" s="291"/>
      <c r="R108" s="14"/>
      <c r="U108" s="200"/>
      <c r="V108" s="14"/>
    </row>
    <row r="109" customHeight="1" spans="1:22">
      <c r="A109" s="14"/>
      <c r="B109" s="1"/>
      <c r="C109" s="14"/>
      <c r="D109" s="14"/>
      <c r="I109" s="14"/>
      <c r="P109" s="290"/>
      <c r="Q109" s="291"/>
      <c r="R109" s="14"/>
      <c r="U109" s="200"/>
      <c r="V109" s="14"/>
    </row>
    <row r="110" customHeight="1" spans="1:22">
      <c r="A110" s="14"/>
      <c r="B110" s="1"/>
      <c r="C110" s="14"/>
      <c r="D110" s="14"/>
      <c r="I110" s="14"/>
      <c r="P110" s="290"/>
      <c r="Q110" s="291"/>
      <c r="R110" s="14"/>
      <c r="U110" s="200"/>
      <c r="V110" s="14"/>
    </row>
    <row r="111" customHeight="1" spans="1:22">
      <c r="A111" s="14"/>
      <c r="B111" s="1"/>
      <c r="C111" s="14"/>
      <c r="D111" s="14"/>
      <c r="I111" s="14"/>
      <c r="P111" s="290"/>
      <c r="Q111" s="291"/>
      <c r="R111" s="14"/>
      <c r="U111" s="200"/>
      <c r="V111" s="14"/>
    </row>
    <row r="112" customHeight="1" spans="1:22">
      <c r="A112" s="14"/>
      <c r="B112" s="1"/>
      <c r="C112" s="14"/>
      <c r="D112" s="14"/>
      <c r="I112" s="14"/>
      <c r="P112" s="290"/>
      <c r="Q112" s="291"/>
      <c r="R112" s="14"/>
      <c r="U112" s="200"/>
      <c r="V112" s="14"/>
    </row>
    <row r="113" customHeight="1" spans="1:22">
      <c r="A113" s="14"/>
      <c r="B113" s="1"/>
      <c r="C113" s="14"/>
      <c r="D113" s="14"/>
      <c r="I113" s="14"/>
      <c r="P113" s="290"/>
      <c r="Q113" s="291"/>
      <c r="R113" s="14"/>
      <c r="U113" s="200"/>
      <c r="V113" s="14"/>
    </row>
    <row r="114" customHeight="1" spans="1:22">
      <c r="A114" s="14"/>
      <c r="B114" s="1"/>
      <c r="C114" s="14"/>
      <c r="D114" s="14"/>
      <c r="I114" s="14"/>
      <c r="P114" s="290"/>
      <c r="Q114" s="291"/>
      <c r="R114" s="14"/>
      <c r="U114" s="200"/>
      <c r="V114" s="14"/>
    </row>
    <row r="115" customHeight="1" spans="1:22">
      <c r="A115" s="14"/>
      <c r="B115" s="1"/>
      <c r="C115" s="14"/>
      <c r="D115" s="14"/>
      <c r="I115" s="14"/>
      <c r="P115" s="290"/>
      <c r="Q115" s="291"/>
      <c r="R115" s="14"/>
      <c r="U115" s="200"/>
      <c r="V115" s="14"/>
    </row>
    <row r="116" customHeight="1" spans="1:22">
      <c r="A116" s="14"/>
      <c r="B116" s="1"/>
      <c r="C116" s="14"/>
      <c r="D116" s="14"/>
      <c r="I116" s="14"/>
      <c r="P116" s="290"/>
      <c r="Q116" s="291"/>
      <c r="R116" s="14"/>
      <c r="U116" s="200"/>
      <c r="V116" s="14"/>
    </row>
    <row r="117" customHeight="1" spans="1:22">
      <c r="A117" s="14"/>
      <c r="B117" s="1"/>
      <c r="C117" s="14"/>
      <c r="D117" s="14"/>
      <c r="I117" s="14"/>
      <c r="P117" s="290"/>
      <c r="Q117" s="291"/>
      <c r="R117" s="14"/>
      <c r="U117" s="200"/>
      <c r="V117" s="14"/>
    </row>
    <row r="118" customHeight="1" spans="1:22">
      <c r="A118" s="14"/>
      <c r="B118" s="1"/>
      <c r="C118" s="14"/>
      <c r="D118" s="14"/>
      <c r="I118" s="14"/>
      <c r="P118" s="290"/>
      <c r="Q118" s="291"/>
      <c r="R118" s="14"/>
      <c r="U118" s="200"/>
      <c r="V118" s="14"/>
    </row>
    <row r="119" customHeight="1" spans="1:22">
      <c r="A119" s="14"/>
      <c r="B119" s="1"/>
      <c r="C119" s="14"/>
      <c r="D119" s="14"/>
      <c r="I119" s="14"/>
      <c r="P119" s="290"/>
      <c r="Q119" s="291"/>
      <c r="R119" s="14"/>
      <c r="U119" s="200"/>
      <c r="V119" s="14"/>
    </row>
    <row r="120" customHeight="1" spans="1:22">
      <c r="A120" s="14"/>
      <c r="B120" s="1"/>
      <c r="C120" s="14"/>
      <c r="D120" s="14"/>
      <c r="I120" s="14"/>
      <c r="P120" s="290"/>
      <c r="Q120" s="291"/>
      <c r="R120" s="14"/>
      <c r="U120" s="200"/>
      <c r="V120" s="14"/>
    </row>
    <row r="121" customHeight="1" spans="1:22">
      <c r="A121" s="14"/>
      <c r="B121" s="1"/>
      <c r="C121" s="14"/>
      <c r="D121" s="14"/>
      <c r="I121" s="14"/>
      <c r="P121" s="290"/>
      <c r="Q121" s="291"/>
      <c r="R121" s="14"/>
      <c r="U121" s="200"/>
      <c r="V121" s="14"/>
    </row>
    <row r="122" customHeight="1" spans="1:22">
      <c r="A122" s="14"/>
      <c r="B122" s="1"/>
      <c r="C122" s="14"/>
      <c r="D122" s="14"/>
      <c r="I122" s="14"/>
      <c r="P122" s="290"/>
      <c r="Q122" s="291"/>
      <c r="R122" s="14"/>
      <c r="U122" s="200"/>
      <c r="V122" s="14"/>
    </row>
    <row r="123" customHeight="1" spans="1:22">
      <c r="A123" s="14"/>
      <c r="B123" s="1"/>
      <c r="C123" s="14"/>
      <c r="D123" s="14"/>
      <c r="I123" s="14"/>
      <c r="P123" s="290"/>
      <c r="Q123" s="291"/>
      <c r="R123" s="14"/>
      <c r="U123" s="200"/>
      <c r="V123" s="14"/>
    </row>
    <row r="124" customHeight="1" spans="1:22">
      <c r="A124" s="14"/>
      <c r="B124" s="1"/>
      <c r="C124" s="14"/>
      <c r="D124" s="14"/>
      <c r="I124" s="14"/>
      <c r="P124" s="290"/>
      <c r="Q124" s="291"/>
      <c r="R124" s="14"/>
      <c r="U124" s="200"/>
      <c r="V124" s="14"/>
    </row>
    <row r="125" customHeight="1" spans="1:22">
      <c r="A125" s="14"/>
      <c r="B125" s="1"/>
      <c r="C125" s="14"/>
      <c r="D125" s="14"/>
      <c r="I125" s="14"/>
      <c r="P125" s="290"/>
      <c r="Q125" s="291"/>
      <c r="R125" s="14"/>
      <c r="U125" s="200"/>
      <c r="V125" s="14"/>
    </row>
    <row r="126" customHeight="1" spans="1:22">
      <c r="A126" s="14"/>
      <c r="B126" s="1"/>
      <c r="C126" s="14"/>
      <c r="D126" s="14"/>
      <c r="I126" s="14"/>
      <c r="P126" s="290"/>
      <c r="Q126" s="291"/>
      <c r="R126" s="14"/>
      <c r="U126" s="200"/>
      <c r="V126" s="14"/>
    </row>
    <row r="127" customHeight="1" spans="1:22">
      <c r="A127" s="14"/>
      <c r="B127" s="1"/>
      <c r="C127" s="14"/>
      <c r="D127" s="14"/>
      <c r="I127" s="14"/>
      <c r="P127" s="290"/>
      <c r="Q127" s="291"/>
      <c r="R127" s="14"/>
      <c r="U127" s="200"/>
      <c r="V127" s="14"/>
    </row>
    <row r="128" customHeight="1" spans="1:22">
      <c r="A128" s="14"/>
      <c r="B128" s="1"/>
      <c r="C128" s="14"/>
      <c r="D128" s="14"/>
      <c r="I128" s="14"/>
      <c r="P128" s="290"/>
      <c r="Q128" s="291"/>
      <c r="R128" s="14"/>
      <c r="U128" s="200"/>
      <c r="V128" s="14"/>
    </row>
    <row r="129" customHeight="1" spans="1:22">
      <c r="A129" s="14"/>
      <c r="B129" s="1"/>
      <c r="C129" s="14"/>
      <c r="D129" s="14"/>
      <c r="I129" s="14"/>
      <c r="P129" s="290"/>
      <c r="Q129" s="291"/>
      <c r="R129" s="14"/>
      <c r="U129" s="200"/>
      <c r="V129" s="14"/>
    </row>
    <row r="130" customHeight="1" spans="1:22">
      <c r="A130" s="14"/>
      <c r="B130" s="1"/>
      <c r="C130" s="14"/>
      <c r="D130" s="14"/>
      <c r="I130" s="14"/>
      <c r="P130" s="290"/>
      <c r="Q130" s="291"/>
      <c r="R130" s="14"/>
      <c r="U130" s="200"/>
      <c r="V130" s="14"/>
    </row>
    <row r="131" customHeight="1" spans="1:22">
      <c r="A131" s="14"/>
      <c r="B131" s="1"/>
      <c r="C131" s="14"/>
      <c r="D131" s="14"/>
      <c r="I131" s="14"/>
      <c r="P131" s="290"/>
      <c r="Q131" s="291"/>
      <c r="R131" s="14"/>
      <c r="U131" s="200"/>
      <c r="V131" s="14"/>
    </row>
    <row r="132" customHeight="1" spans="1:22">
      <c r="A132" s="14"/>
      <c r="B132" s="1"/>
      <c r="C132" s="14"/>
      <c r="D132" s="14"/>
      <c r="I132" s="14"/>
      <c r="P132" s="290"/>
      <c r="Q132" s="291"/>
      <c r="R132" s="14"/>
      <c r="U132" s="200"/>
      <c r="V132" s="14"/>
    </row>
    <row r="133" customHeight="1" spans="1:22">
      <c r="A133" s="14"/>
      <c r="B133" s="1"/>
      <c r="C133" s="14"/>
      <c r="D133" s="14"/>
      <c r="I133" s="14"/>
      <c r="P133" s="290"/>
      <c r="Q133" s="291"/>
      <c r="R133" s="14"/>
      <c r="U133" s="200"/>
      <c r="V133" s="14"/>
    </row>
    <row r="134" customHeight="1" spans="1:22">
      <c r="A134" s="14"/>
      <c r="B134" s="1"/>
      <c r="C134" s="14"/>
      <c r="D134" s="14"/>
      <c r="I134" s="14"/>
      <c r="P134" s="290"/>
      <c r="Q134" s="291"/>
      <c r="R134" s="14"/>
      <c r="U134" s="200"/>
      <c r="V134" s="14"/>
    </row>
    <row r="135" customHeight="1" spans="1:22">
      <c r="A135" s="14"/>
      <c r="B135" s="1"/>
      <c r="C135" s="14"/>
      <c r="D135" s="14"/>
      <c r="I135" s="14"/>
      <c r="P135" s="290"/>
      <c r="Q135" s="291"/>
      <c r="R135" s="14"/>
      <c r="U135" s="200"/>
      <c r="V135" s="14"/>
    </row>
    <row r="136" customHeight="1" spans="1:22">
      <c r="A136" s="14"/>
      <c r="B136" s="1"/>
      <c r="C136" s="14"/>
      <c r="D136" s="14"/>
      <c r="I136" s="14"/>
      <c r="P136" s="290"/>
      <c r="Q136" s="291"/>
      <c r="R136" s="14"/>
      <c r="U136" s="200"/>
      <c r="V136" s="14"/>
    </row>
    <row r="137" customHeight="1" spans="1:22">
      <c r="A137" s="14"/>
      <c r="B137" s="1"/>
      <c r="C137" s="14"/>
      <c r="D137" s="14"/>
      <c r="I137" s="14"/>
      <c r="P137" s="290"/>
      <c r="Q137" s="291"/>
      <c r="R137" s="14"/>
      <c r="U137" s="200"/>
      <c r="V137" s="14"/>
    </row>
    <row r="138" customHeight="1" spans="1:22">
      <c r="A138" s="14"/>
      <c r="B138" s="1"/>
      <c r="C138" s="14"/>
      <c r="D138" s="14"/>
      <c r="I138" s="14"/>
      <c r="P138" s="290"/>
      <c r="Q138" s="291"/>
      <c r="R138" s="14"/>
      <c r="U138" s="200"/>
      <c r="V138" s="14"/>
    </row>
    <row r="139" customHeight="1" spans="1:22">
      <c r="A139" s="14"/>
      <c r="B139" s="1"/>
      <c r="C139" s="14"/>
      <c r="D139" s="14"/>
      <c r="I139" s="14"/>
      <c r="P139" s="290"/>
      <c r="Q139" s="291"/>
      <c r="R139" s="14"/>
      <c r="U139" s="200"/>
      <c r="V139" s="14"/>
    </row>
    <row r="140" customHeight="1" spans="1:22">
      <c r="A140" s="14"/>
      <c r="B140" s="1"/>
      <c r="C140" s="14"/>
      <c r="D140" s="14"/>
      <c r="I140" s="14"/>
      <c r="P140" s="290"/>
      <c r="Q140" s="291"/>
      <c r="R140" s="14"/>
      <c r="U140" s="200"/>
      <c r="V140" s="14"/>
    </row>
    <row r="141" customHeight="1" spans="1:22">
      <c r="A141" s="14"/>
      <c r="B141" s="1"/>
      <c r="C141" s="14"/>
      <c r="D141" s="14"/>
      <c r="I141" s="14"/>
      <c r="P141" s="290"/>
      <c r="Q141" s="291"/>
      <c r="R141" s="14"/>
      <c r="U141" s="200"/>
      <c r="V141" s="14"/>
    </row>
    <row r="142" customHeight="1" spans="1:22">
      <c r="A142" s="14"/>
      <c r="B142" s="1"/>
      <c r="C142" s="14"/>
      <c r="D142" s="14"/>
      <c r="I142" s="14"/>
      <c r="P142" s="290"/>
      <c r="Q142" s="291"/>
      <c r="R142" s="14"/>
      <c r="U142" s="200"/>
      <c r="V142" s="14"/>
    </row>
    <row r="143" customHeight="1" spans="1:22">
      <c r="A143" s="14"/>
      <c r="B143" s="1"/>
      <c r="C143" s="14"/>
      <c r="D143" s="14"/>
      <c r="I143" s="14"/>
      <c r="P143" s="290"/>
      <c r="Q143" s="291"/>
      <c r="R143" s="14"/>
      <c r="U143" s="200"/>
      <c r="V143" s="14"/>
    </row>
    <row r="144" customHeight="1" spans="1:22">
      <c r="A144" s="14"/>
      <c r="B144" s="1"/>
      <c r="C144" s="14"/>
      <c r="D144" s="14"/>
      <c r="I144" s="14"/>
      <c r="P144" s="290"/>
      <c r="Q144" s="291"/>
      <c r="R144" s="14"/>
      <c r="U144" s="200"/>
      <c r="V144" s="14"/>
    </row>
    <row r="145" customHeight="1" spans="1:22">
      <c r="A145" s="14"/>
      <c r="B145" s="1"/>
      <c r="C145" s="14"/>
      <c r="D145" s="14"/>
      <c r="I145" s="14"/>
      <c r="P145" s="290"/>
      <c r="Q145" s="291"/>
      <c r="R145" s="14"/>
      <c r="U145" s="200"/>
      <c r="V145" s="14"/>
    </row>
    <row r="146" customHeight="1" spans="1:22">
      <c r="A146" s="14"/>
      <c r="B146" s="1"/>
      <c r="C146" s="14"/>
      <c r="D146" s="14"/>
      <c r="I146" s="14"/>
      <c r="P146" s="290"/>
      <c r="Q146" s="291"/>
      <c r="R146" s="14"/>
      <c r="U146" s="200"/>
      <c r="V146" s="14"/>
    </row>
    <row r="147" customHeight="1" spans="1:22">
      <c r="A147" s="14"/>
      <c r="B147" s="1"/>
      <c r="C147" s="14"/>
      <c r="D147" s="14"/>
      <c r="I147" s="14"/>
      <c r="P147" s="290"/>
      <c r="Q147" s="291"/>
      <c r="R147" s="14"/>
      <c r="U147" s="200"/>
      <c r="V147" s="14"/>
    </row>
    <row r="148" customHeight="1" spans="1:22">
      <c r="A148" s="14"/>
      <c r="B148" s="1"/>
      <c r="C148" s="14"/>
      <c r="D148" s="14"/>
      <c r="I148" s="14"/>
      <c r="P148" s="290"/>
      <c r="Q148" s="291"/>
      <c r="R148" s="14"/>
      <c r="U148" s="200"/>
      <c r="V148" s="14"/>
    </row>
    <row r="149" customHeight="1" spans="1:22">
      <c r="A149" s="14"/>
      <c r="B149" s="1"/>
      <c r="C149" s="14"/>
      <c r="D149" s="14"/>
      <c r="I149" s="14"/>
      <c r="P149" s="290"/>
      <c r="Q149" s="291"/>
      <c r="R149" s="14"/>
      <c r="U149" s="200"/>
      <c r="V149" s="14"/>
    </row>
    <row r="150" customHeight="1" spans="1:22">
      <c r="A150" s="14"/>
      <c r="B150" s="1"/>
      <c r="C150" s="14"/>
      <c r="D150" s="14"/>
      <c r="I150" s="14"/>
      <c r="P150" s="290"/>
      <c r="Q150" s="291"/>
      <c r="R150" s="14"/>
      <c r="U150" s="200"/>
      <c r="V150" s="14"/>
    </row>
    <row r="151" customHeight="1" spans="1:22">
      <c r="A151" s="14"/>
      <c r="B151" s="1"/>
      <c r="C151" s="14"/>
      <c r="D151" s="14"/>
      <c r="I151" s="14"/>
      <c r="P151" s="290"/>
      <c r="Q151" s="291"/>
      <c r="R151" s="14"/>
      <c r="U151" s="200"/>
      <c r="V151" s="14"/>
    </row>
    <row r="152" customHeight="1" spans="1:22">
      <c r="A152" s="14"/>
      <c r="B152" s="1"/>
      <c r="C152" s="14"/>
      <c r="D152" s="14"/>
      <c r="I152" s="14"/>
      <c r="P152" s="290"/>
      <c r="Q152" s="291"/>
      <c r="R152" s="14"/>
      <c r="U152" s="200"/>
      <c r="V152" s="14"/>
    </row>
    <row r="153" customHeight="1" spans="1:22">
      <c r="A153" s="14"/>
      <c r="B153" s="1"/>
      <c r="C153" s="14"/>
      <c r="D153" s="14"/>
      <c r="I153" s="14"/>
      <c r="P153" s="290"/>
      <c r="Q153" s="291"/>
      <c r="R153" s="14"/>
      <c r="U153" s="200"/>
      <c r="V153" s="14"/>
    </row>
    <row r="154" customHeight="1" spans="1:22">
      <c r="A154" s="14"/>
      <c r="B154" s="1"/>
      <c r="C154" s="14"/>
      <c r="D154" s="14"/>
      <c r="I154" s="14"/>
      <c r="P154" s="290"/>
      <c r="Q154" s="291"/>
      <c r="R154" s="14"/>
      <c r="U154" s="200"/>
      <c r="V154" s="14"/>
    </row>
    <row r="155" customHeight="1" spans="1:22">
      <c r="A155" s="14"/>
      <c r="B155" s="1"/>
      <c r="C155" s="14"/>
      <c r="D155" s="14"/>
      <c r="I155" s="14"/>
      <c r="P155" s="290"/>
      <c r="Q155" s="291"/>
      <c r="R155" s="14"/>
      <c r="U155" s="200"/>
      <c r="V155" s="14"/>
    </row>
    <row r="156" customHeight="1" spans="1:22">
      <c r="A156" s="14"/>
      <c r="B156" s="1"/>
      <c r="C156" s="14"/>
      <c r="D156" s="14"/>
      <c r="I156" s="14"/>
      <c r="P156" s="290"/>
      <c r="Q156" s="291"/>
      <c r="R156" s="14"/>
      <c r="U156" s="200"/>
      <c r="V156" s="14"/>
    </row>
    <row r="157" customHeight="1" spans="1:22">
      <c r="A157" s="14"/>
      <c r="B157" s="1"/>
      <c r="C157" s="14"/>
      <c r="D157" s="14"/>
      <c r="I157" s="14"/>
      <c r="P157" s="290"/>
      <c r="Q157" s="291"/>
      <c r="R157" s="14"/>
      <c r="U157" s="200"/>
      <c r="V157" s="14"/>
    </row>
    <row r="158" customHeight="1" spans="1:22">
      <c r="A158" s="14"/>
      <c r="B158" s="1"/>
      <c r="C158" s="14"/>
      <c r="D158" s="14"/>
      <c r="I158" s="14"/>
      <c r="P158" s="290"/>
      <c r="Q158" s="291"/>
      <c r="R158" s="14"/>
      <c r="U158" s="200"/>
      <c r="V158" s="14"/>
    </row>
    <row r="159" customHeight="1" spans="1:22">
      <c r="A159" s="14"/>
      <c r="B159" s="1"/>
      <c r="C159" s="14"/>
      <c r="D159" s="14"/>
      <c r="I159" s="14"/>
      <c r="P159" s="290"/>
      <c r="Q159" s="291"/>
      <c r="R159" s="14"/>
      <c r="U159" s="200"/>
      <c r="V159" s="14"/>
    </row>
    <row r="160" customHeight="1" spans="1:22">
      <c r="A160" s="14"/>
      <c r="B160" s="1"/>
      <c r="C160" s="14"/>
      <c r="D160" s="14"/>
      <c r="I160" s="14"/>
      <c r="P160" s="290"/>
      <c r="Q160" s="291"/>
      <c r="R160" s="14"/>
      <c r="U160" s="200"/>
      <c r="V160" s="14"/>
    </row>
    <row r="161" customHeight="1" spans="1:22">
      <c r="A161" s="14"/>
      <c r="B161" s="1"/>
      <c r="C161" s="14"/>
      <c r="D161" s="14"/>
      <c r="I161" s="14"/>
      <c r="P161" s="290"/>
      <c r="Q161" s="291"/>
      <c r="R161" s="14"/>
      <c r="U161" s="200"/>
      <c r="V161" s="14"/>
    </row>
    <row r="162" customHeight="1" spans="1:22">
      <c r="A162" s="14"/>
      <c r="B162" s="1"/>
      <c r="C162" s="14"/>
      <c r="D162" s="14"/>
      <c r="I162" s="14"/>
      <c r="P162" s="290"/>
      <c r="Q162" s="291"/>
      <c r="R162" s="14"/>
      <c r="U162" s="200"/>
      <c r="V162" s="14"/>
    </row>
    <row r="163" customHeight="1" spans="1:22">
      <c r="A163" s="14"/>
      <c r="B163" s="1"/>
      <c r="C163" s="14"/>
      <c r="D163" s="14"/>
      <c r="I163" s="14"/>
      <c r="P163" s="290"/>
      <c r="Q163" s="291"/>
      <c r="R163" s="14"/>
      <c r="U163" s="200"/>
      <c r="V163" s="14"/>
    </row>
    <row r="164" customHeight="1" spans="1:22">
      <c r="A164" s="14"/>
      <c r="B164" s="1"/>
      <c r="C164" s="14"/>
      <c r="D164" s="14"/>
      <c r="I164" s="14"/>
      <c r="P164" s="290"/>
      <c r="Q164" s="291"/>
      <c r="R164" s="14"/>
      <c r="U164" s="200"/>
      <c r="V164" s="14"/>
    </row>
    <row r="165" customHeight="1" spans="1:22">
      <c r="A165" s="14"/>
      <c r="B165" s="1"/>
      <c r="C165" s="14"/>
      <c r="D165" s="14"/>
      <c r="I165" s="14"/>
      <c r="P165" s="290"/>
      <c r="Q165" s="291"/>
      <c r="R165" s="14"/>
      <c r="U165" s="200"/>
      <c r="V165" s="14"/>
    </row>
    <row r="166" customHeight="1" spans="1:22">
      <c r="A166" s="14"/>
      <c r="B166" s="1"/>
      <c r="C166" s="14"/>
      <c r="D166" s="14"/>
      <c r="I166" s="14"/>
      <c r="P166" s="290"/>
      <c r="Q166" s="291"/>
      <c r="R166" s="14"/>
      <c r="U166" s="200"/>
      <c r="V166" s="14"/>
    </row>
    <row r="167" customHeight="1" spans="1:22">
      <c r="A167" s="14"/>
      <c r="B167" s="1"/>
      <c r="C167" s="14"/>
      <c r="D167" s="14"/>
      <c r="I167" s="14"/>
      <c r="P167" s="290"/>
      <c r="Q167" s="291"/>
      <c r="R167" s="14"/>
      <c r="U167" s="200"/>
      <c r="V167" s="14"/>
    </row>
    <row r="168" customHeight="1" spans="1:22">
      <c r="A168" s="14"/>
      <c r="B168" s="1"/>
      <c r="C168" s="14"/>
      <c r="D168" s="14"/>
      <c r="I168" s="14"/>
      <c r="P168" s="290"/>
      <c r="Q168" s="291"/>
      <c r="R168" s="14"/>
      <c r="U168" s="200"/>
      <c r="V168" s="14"/>
    </row>
    <row r="169" customHeight="1" spans="1:22">
      <c r="A169" s="14"/>
      <c r="B169" s="1"/>
      <c r="C169" s="14"/>
      <c r="D169" s="14"/>
      <c r="I169" s="14"/>
      <c r="P169" s="290"/>
      <c r="Q169" s="291"/>
      <c r="R169" s="14"/>
      <c r="U169" s="200"/>
      <c r="V169" s="14"/>
    </row>
    <row r="170" customHeight="1" spans="1:22">
      <c r="A170" s="14"/>
      <c r="B170" s="1"/>
      <c r="C170" s="14"/>
      <c r="D170" s="14"/>
      <c r="I170" s="14"/>
      <c r="P170" s="290"/>
      <c r="Q170" s="291"/>
      <c r="R170" s="14"/>
      <c r="U170" s="200"/>
      <c r="V170" s="14"/>
    </row>
    <row r="171" customHeight="1" spans="1:22">
      <c r="A171" s="14"/>
      <c r="B171" s="1"/>
      <c r="C171" s="14"/>
      <c r="D171" s="14"/>
      <c r="I171" s="14"/>
      <c r="P171" s="290"/>
      <c r="Q171" s="291"/>
      <c r="R171" s="14"/>
      <c r="U171" s="200"/>
      <c r="V171" s="14"/>
    </row>
    <row r="172" customHeight="1" spans="1:22">
      <c r="A172" s="14"/>
      <c r="B172" s="1"/>
      <c r="C172" s="14"/>
      <c r="D172" s="14"/>
      <c r="I172" s="14"/>
      <c r="P172" s="290"/>
      <c r="Q172" s="291"/>
      <c r="R172" s="14"/>
      <c r="U172" s="200"/>
      <c r="V172" s="14"/>
    </row>
    <row r="173" customHeight="1" spans="1:22">
      <c r="A173" s="14"/>
      <c r="B173" s="1"/>
      <c r="C173" s="14"/>
      <c r="D173" s="14"/>
      <c r="I173" s="14"/>
      <c r="P173" s="290"/>
      <c r="Q173" s="291"/>
      <c r="R173" s="14"/>
      <c r="U173" s="200"/>
      <c r="V173" s="14"/>
    </row>
    <row r="174" customHeight="1" spans="1:22">
      <c r="A174" s="14"/>
      <c r="B174" s="1"/>
      <c r="C174" s="14"/>
      <c r="D174" s="14"/>
      <c r="I174" s="14"/>
      <c r="P174" s="290"/>
      <c r="Q174" s="291"/>
      <c r="R174" s="14"/>
      <c r="U174" s="200"/>
      <c r="V174" s="14"/>
    </row>
    <row r="175" customHeight="1" spans="1:22">
      <c r="A175" s="14"/>
      <c r="B175" s="1"/>
      <c r="C175" s="14"/>
      <c r="D175" s="14"/>
      <c r="I175" s="14"/>
      <c r="P175" s="290"/>
      <c r="Q175" s="291"/>
      <c r="R175" s="14"/>
      <c r="U175" s="200"/>
      <c r="V175" s="14"/>
    </row>
    <row r="176" customHeight="1" spans="1:22">
      <c r="A176" s="14"/>
      <c r="B176" s="1"/>
      <c r="C176" s="14"/>
      <c r="D176" s="14"/>
      <c r="I176" s="14"/>
      <c r="P176" s="290"/>
      <c r="Q176" s="291"/>
      <c r="R176" s="14"/>
      <c r="U176" s="200"/>
      <c r="V176" s="14"/>
    </row>
    <row r="177" customHeight="1" spans="1:22">
      <c r="A177" s="14"/>
      <c r="B177" s="1"/>
      <c r="C177" s="14"/>
      <c r="D177" s="14"/>
      <c r="I177" s="14"/>
      <c r="P177" s="290"/>
      <c r="Q177" s="291"/>
      <c r="R177" s="14"/>
      <c r="U177" s="200"/>
      <c r="V177" s="14"/>
    </row>
    <row r="178" customHeight="1" spans="1:22">
      <c r="A178" s="14"/>
      <c r="B178" s="1"/>
      <c r="C178" s="14"/>
      <c r="D178" s="14"/>
      <c r="I178" s="14"/>
      <c r="P178" s="290"/>
      <c r="Q178" s="291"/>
      <c r="R178" s="14"/>
      <c r="U178" s="200"/>
      <c r="V178" s="14"/>
    </row>
    <row r="179" customHeight="1" spans="1:22">
      <c r="A179" s="14"/>
      <c r="B179" s="1"/>
      <c r="C179" s="14"/>
      <c r="D179" s="14"/>
      <c r="I179" s="14"/>
      <c r="P179" s="290"/>
      <c r="Q179" s="291"/>
      <c r="R179" s="14"/>
      <c r="U179" s="200"/>
      <c r="V179" s="14"/>
    </row>
    <row r="180" customHeight="1" spans="1:22">
      <c r="A180" s="14"/>
      <c r="B180" s="1"/>
      <c r="C180" s="14"/>
      <c r="D180" s="14"/>
      <c r="I180" s="14"/>
      <c r="P180" s="290"/>
      <c r="Q180" s="291"/>
      <c r="R180" s="14"/>
      <c r="U180" s="200"/>
      <c r="V180" s="14"/>
    </row>
    <row r="181" customHeight="1" spans="1:22">
      <c r="A181" s="14"/>
      <c r="B181" s="1"/>
      <c r="C181" s="14"/>
      <c r="D181" s="14"/>
      <c r="I181" s="14"/>
      <c r="P181" s="290"/>
      <c r="Q181" s="291"/>
      <c r="R181" s="14"/>
      <c r="U181" s="200"/>
      <c r="V181" s="14"/>
    </row>
    <row r="182" customHeight="1" spans="1:22">
      <c r="A182" s="14"/>
      <c r="B182" s="1"/>
      <c r="C182" s="14"/>
      <c r="D182" s="14"/>
      <c r="I182" s="14"/>
      <c r="P182" s="290"/>
      <c r="Q182" s="291"/>
      <c r="R182" s="14"/>
      <c r="U182" s="200"/>
      <c r="V182" s="14"/>
    </row>
    <row r="183" customHeight="1" spans="1:22">
      <c r="A183" s="14"/>
      <c r="B183" s="1"/>
      <c r="C183" s="14"/>
      <c r="D183" s="14"/>
      <c r="I183" s="14"/>
      <c r="P183" s="290"/>
      <c r="Q183" s="291"/>
      <c r="R183" s="14"/>
      <c r="U183" s="200"/>
      <c r="V183" s="14"/>
    </row>
    <row r="184" customHeight="1" spans="1:22">
      <c r="A184" s="14"/>
      <c r="B184" s="1"/>
      <c r="C184" s="14"/>
      <c r="D184" s="14"/>
      <c r="I184" s="14"/>
      <c r="P184" s="290"/>
      <c r="Q184" s="291"/>
      <c r="R184" s="14"/>
      <c r="U184" s="200"/>
      <c r="V184" s="14"/>
    </row>
    <row r="185" customHeight="1" spans="1:22">
      <c r="A185" s="14"/>
      <c r="B185" s="1"/>
      <c r="C185" s="14"/>
      <c r="D185" s="14"/>
      <c r="I185" s="14"/>
      <c r="P185" s="290"/>
      <c r="Q185" s="291"/>
      <c r="R185" s="14"/>
      <c r="U185" s="200"/>
      <c r="V185" s="14"/>
    </row>
    <row r="186" customHeight="1" spans="1:22">
      <c r="A186" s="14"/>
      <c r="B186" s="1"/>
      <c r="C186" s="14"/>
      <c r="D186" s="14"/>
      <c r="I186" s="14"/>
      <c r="P186" s="290"/>
      <c r="Q186" s="291"/>
      <c r="R186" s="14"/>
      <c r="U186" s="200"/>
      <c r="V186" s="14"/>
    </row>
    <row r="187" customHeight="1" spans="1:22">
      <c r="A187" s="14"/>
      <c r="B187" s="1"/>
      <c r="C187" s="14"/>
      <c r="D187" s="14"/>
      <c r="I187" s="14"/>
      <c r="P187" s="290"/>
      <c r="Q187" s="291"/>
      <c r="R187" s="14"/>
      <c r="U187" s="200"/>
      <c r="V187" s="14"/>
    </row>
    <row r="188" customHeight="1" spans="1:22">
      <c r="A188" s="14"/>
      <c r="B188" s="1"/>
      <c r="C188" s="14"/>
      <c r="D188" s="14"/>
      <c r="I188" s="14"/>
      <c r="P188" s="290"/>
      <c r="Q188" s="291"/>
      <c r="R188" s="14"/>
      <c r="U188" s="200"/>
      <c r="V188" s="14"/>
    </row>
    <row r="189" customHeight="1" spans="1:22">
      <c r="A189" s="14"/>
      <c r="B189" s="1"/>
      <c r="C189" s="14"/>
      <c r="D189" s="14"/>
      <c r="I189" s="14"/>
      <c r="P189" s="290"/>
      <c r="Q189" s="291"/>
      <c r="R189" s="14"/>
      <c r="U189" s="200"/>
      <c r="V189" s="14"/>
    </row>
    <row r="190" customHeight="1" spans="1:22">
      <c r="A190" s="14"/>
      <c r="B190" s="1"/>
      <c r="C190" s="14"/>
      <c r="D190" s="14"/>
      <c r="I190" s="14"/>
      <c r="P190" s="290"/>
      <c r="Q190" s="291"/>
      <c r="R190" s="14"/>
      <c r="U190" s="200"/>
      <c r="V190" s="14"/>
    </row>
    <row r="191" customHeight="1" spans="1:22">
      <c r="A191" s="14"/>
      <c r="B191" s="1"/>
      <c r="C191" s="14"/>
      <c r="D191" s="14"/>
      <c r="I191" s="14"/>
      <c r="P191" s="290"/>
      <c r="Q191" s="291"/>
      <c r="R191" s="14"/>
      <c r="U191" s="200"/>
      <c r="V191" s="14"/>
    </row>
    <row r="192" customHeight="1" spans="1:22">
      <c r="A192" s="14"/>
      <c r="B192" s="1"/>
      <c r="C192" s="14"/>
      <c r="D192" s="14"/>
      <c r="I192" s="14"/>
      <c r="P192" s="290"/>
      <c r="Q192" s="291"/>
      <c r="R192" s="14"/>
      <c r="U192" s="200"/>
      <c r="V192" s="14"/>
    </row>
    <row r="193" customHeight="1" spans="1:22">
      <c r="A193" s="14"/>
      <c r="B193" s="1"/>
      <c r="C193" s="14"/>
      <c r="D193" s="14"/>
      <c r="I193" s="14"/>
      <c r="P193" s="290"/>
      <c r="Q193" s="291"/>
      <c r="R193" s="14"/>
      <c r="U193" s="200"/>
      <c r="V193" s="14"/>
    </row>
    <row r="194" customHeight="1" spans="1:22">
      <c r="A194" s="14"/>
      <c r="B194" s="1"/>
      <c r="C194" s="14"/>
      <c r="D194" s="14"/>
      <c r="I194" s="14"/>
      <c r="P194" s="290"/>
      <c r="Q194" s="291"/>
      <c r="R194" s="14"/>
      <c r="U194" s="200"/>
      <c r="V194" s="14"/>
    </row>
    <row r="195" customHeight="1" spans="1:22">
      <c r="A195" s="14"/>
      <c r="B195" s="1"/>
      <c r="C195" s="14"/>
      <c r="D195" s="14"/>
      <c r="I195" s="14"/>
      <c r="P195" s="290"/>
      <c r="Q195" s="291"/>
      <c r="R195" s="14"/>
      <c r="U195" s="200"/>
      <c r="V195" s="14"/>
    </row>
    <row r="196" customHeight="1" spans="1:22">
      <c r="A196" s="14"/>
      <c r="B196" s="1"/>
      <c r="C196" s="14"/>
      <c r="D196" s="14"/>
      <c r="I196" s="14"/>
      <c r="P196" s="290"/>
      <c r="Q196" s="291"/>
      <c r="R196" s="14"/>
      <c r="U196" s="200"/>
      <c r="V196" s="14"/>
    </row>
    <row r="197" customHeight="1" spans="1:22">
      <c r="A197" s="14"/>
      <c r="B197" s="1"/>
      <c r="C197" s="14"/>
      <c r="D197" s="14"/>
      <c r="I197" s="14"/>
      <c r="P197" s="290"/>
      <c r="Q197" s="291"/>
      <c r="R197" s="14"/>
      <c r="U197" s="200"/>
      <c r="V197" s="14"/>
    </row>
    <row r="198" customHeight="1" spans="1:22">
      <c r="A198" s="14"/>
      <c r="B198" s="1"/>
      <c r="C198" s="14"/>
      <c r="D198" s="14"/>
      <c r="I198" s="14"/>
      <c r="P198" s="290"/>
      <c r="Q198" s="291"/>
      <c r="R198" s="14"/>
      <c r="U198" s="200"/>
      <c r="V198" s="14"/>
    </row>
    <row r="199" customHeight="1" spans="1:22">
      <c r="A199" s="14"/>
      <c r="B199" s="1"/>
      <c r="C199" s="14"/>
      <c r="D199" s="14"/>
      <c r="I199" s="14"/>
      <c r="P199" s="290"/>
      <c r="Q199" s="291"/>
      <c r="R199" s="14"/>
      <c r="U199" s="200"/>
      <c r="V199" s="14"/>
    </row>
    <row r="200" customHeight="1" spans="1:22">
      <c r="A200" s="14"/>
      <c r="B200" s="1"/>
      <c r="C200" s="14"/>
      <c r="D200" s="14"/>
      <c r="I200" s="14"/>
      <c r="P200" s="290"/>
      <c r="Q200" s="291"/>
      <c r="R200" s="14"/>
      <c r="U200" s="200"/>
      <c r="V200" s="14"/>
    </row>
    <row r="201" customHeight="1" spans="1:22">
      <c r="A201" s="14"/>
      <c r="B201" s="1"/>
      <c r="C201" s="14"/>
      <c r="D201" s="14"/>
      <c r="I201" s="14"/>
      <c r="P201" s="290"/>
      <c r="Q201" s="291"/>
      <c r="R201" s="14"/>
      <c r="U201" s="200"/>
      <c r="V201" s="14"/>
    </row>
    <row r="202" customHeight="1" spans="1:22">
      <c r="A202" s="14"/>
      <c r="B202" s="1"/>
      <c r="C202" s="14"/>
      <c r="D202" s="14"/>
      <c r="I202" s="14"/>
      <c r="P202" s="290"/>
      <c r="Q202" s="291"/>
      <c r="R202" s="14"/>
      <c r="U202" s="200"/>
      <c r="V202" s="14"/>
    </row>
    <row r="203" customHeight="1" spans="1:22">
      <c r="A203" s="14"/>
      <c r="B203" s="1"/>
      <c r="C203" s="14"/>
      <c r="D203" s="14"/>
      <c r="I203" s="14"/>
      <c r="P203" s="290"/>
      <c r="Q203" s="291"/>
      <c r="R203" s="14"/>
      <c r="U203" s="200"/>
      <c r="V203" s="14"/>
    </row>
    <row r="204" customHeight="1" spans="1:22">
      <c r="A204" s="14"/>
      <c r="B204" s="1"/>
      <c r="C204" s="14"/>
      <c r="D204" s="14"/>
      <c r="I204" s="14"/>
      <c r="P204" s="290"/>
      <c r="Q204" s="291"/>
      <c r="R204" s="14"/>
      <c r="U204" s="200"/>
      <c r="V204" s="14"/>
    </row>
    <row r="205" customHeight="1" spans="1:22">
      <c r="A205" s="14"/>
      <c r="B205" s="1"/>
      <c r="C205" s="14"/>
      <c r="D205" s="14"/>
      <c r="I205" s="14"/>
      <c r="P205" s="290"/>
      <c r="Q205" s="291"/>
      <c r="R205" s="14"/>
      <c r="U205" s="200"/>
      <c r="V205" s="14"/>
    </row>
  </sheetData>
  <conditionalFormatting sqref="F1">
    <cfRule type="duplicateValues" dxfId="0" priority="2"/>
  </conditionalFormatting>
  <conditionalFormatting sqref="M1">
    <cfRule type="cellIs" dxfId="1" priority="1" operator="lessThan">
      <formula>0</formula>
    </cfRule>
  </conditionalFormatting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194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Q20" sqref="Q20"/>
    </sheetView>
  </sheetViews>
  <sheetFormatPr defaultColWidth="17" defaultRowHeight="16.5" customHeight="1"/>
  <cols>
    <col min="1" max="1" width="10.6458333333333" customWidth="1"/>
    <col min="2" max="2" width="40.3333333333333" customWidth="1"/>
    <col min="3" max="3" width="13.4375" customWidth="1"/>
    <col min="4" max="4" width="10.125" customWidth="1"/>
    <col min="5" max="5" width="23.5729166666667" customWidth="1"/>
    <col min="6" max="8" width="13.2708333333333" customWidth="1"/>
    <col min="9" max="10" width="12.9166666666667" customWidth="1"/>
    <col min="11" max="11" width="12.5729166666667" customWidth="1"/>
    <col min="12" max="12" width="15.0208333333333" customWidth="1"/>
    <col min="13" max="15" width="16.59375" customWidth="1"/>
    <col min="16" max="18" width="7.51041666666667" customWidth="1"/>
    <col min="19" max="19" width="12.3958333333333" customWidth="1"/>
    <col min="20" max="20" width="22" customWidth="1"/>
    <col min="21" max="21" width="12.375" style="247" customWidth="1"/>
    <col min="22" max="22" width="57.625" customWidth="1"/>
    <col min="23" max="78" width="16.59375" customWidth="1"/>
  </cols>
  <sheetData>
    <row r="1" s="246" customFormat="1" ht="18" customHeight="1" spans="1:78">
      <c r="A1" s="248"/>
      <c r="B1" s="248" t="s">
        <v>196</v>
      </c>
      <c r="C1" s="248" t="s">
        <v>197</v>
      </c>
      <c r="D1" s="249" t="s">
        <v>198</v>
      </c>
      <c r="E1" s="249" t="s">
        <v>199</v>
      </c>
      <c r="F1" s="248" t="s">
        <v>200</v>
      </c>
      <c r="G1" s="249" t="s">
        <v>201</v>
      </c>
      <c r="H1" s="248" t="s">
        <v>202</v>
      </c>
      <c r="I1" s="248" t="s">
        <v>203</v>
      </c>
      <c r="J1" s="249" t="s">
        <v>204</v>
      </c>
      <c r="K1" s="248" t="s">
        <v>205</v>
      </c>
      <c r="L1" s="248" t="s">
        <v>206</v>
      </c>
      <c r="M1" s="250" t="s">
        <v>207</v>
      </c>
      <c r="N1" s="250" t="s">
        <v>108</v>
      </c>
      <c r="O1" s="248" t="s">
        <v>208</v>
      </c>
      <c r="P1" s="251" t="s">
        <v>209</v>
      </c>
      <c r="Q1" s="251" t="s">
        <v>210</v>
      </c>
      <c r="R1" s="251" t="s">
        <v>211</v>
      </c>
      <c r="S1" s="251" t="s">
        <v>207</v>
      </c>
      <c r="T1" s="251" t="s">
        <v>108</v>
      </c>
      <c r="U1" s="252" t="s">
        <v>108</v>
      </c>
      <c r="V1" s="248" t="s">
        <v>212</v>
      </c>
      <c r="W1" s="253" t="s">
        <v>213</v>
      </c>
      <c r="X1" s="254" t="s">
        <v>214</v>
      </c>
      <c r="Y1" s="254" t="s">
        <v>215</v>
      </c>
      <c r="Z1" s="254" t="s">
        <v>113</v>
      </c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5"/>
      <c r="AT1" s="255"/>
      <c r="AU1" s="255"/>
      <c r="AV1" s="255"/>
      <c r="AW1" s="255"/>
      <c r="AX1" s="255"/>
      <c r="AY1" s="255"/>
      <c r="AZ1" s="255"/>
      <c r="BA1" s="255"/>
      <c r="BB1" s="255"/>
      <c r="BC1" s="255"/>
      <c r="BD1" s="255"/>
      <c r="BE1" s="255"/>
      <c r="BF1" s="255"/>
      <c r="BG1" s="255"/>
      <c r="BH1" s="255"/>
      <c r="BI1" s="255"/>
      <c r="BJ1" s="255"/>
      <c r="BK1" s="255"/>
      <c r="BL1" s="255"/>
      <c r="BM1" s="255"/>
      <c r="BN1" s="255"/>
      <c r="BO1" s="255"/>
      <c r="BP1" s="255"/>
      <c r="BQ1" s="255"/>
      <c r="BR1" s="255"/>
      <c r="BS1" s="255"/>
      <c r="BT1" s="255"/>
      <c r="BU1" s="255"/>
      <c r="BV1" s="255"/>
      <c r="BW1" s="255"/>
      <c r="BX1" s="255"/>
      <c r="BY1" s="255"/>
      <c r="BZ1" s="255"/>
    </row>
    <row r="2" s="246" customFormat="1" ht="19.5" customHeight="1" spans="1:78">
      <c r="A2" s="256" t="s">
        <v>21</v>
      </c>
      <c r="B2" s="257" t="s">
        <v>216</v>
      </c>
      <c r="C2" s="258">
        <v>99.99</v>
      </c>
      <c r="D2" s="259">
        <v>7.1</v>
      </c>
      <c r="E2" s="259">
        <v>120.8</v>
      </c>
      <c r="F2" s="260">
        <f t="shared" ref="F2:F19" si="0">E2/D2</f>
        <v>17.0140845070423</v>
      </c>
      <c r="G2" s="261">
        <v>55</v>
      </c>
      <c r="H2" s="260">
        <f t="shared" ref="H2:H19" si="1">G2/D2</f>
        <v>7.74647887323944</v>
      </c>
      <c r="I2" s="260">
        <f t="shared" ref="I2:I19" si="2">F2+H2</f>
        <v>24.7605633802817</v>
      </c>
      <c r="J2" s="259">
        <v>0.15</v>
      </c>
      <c r="K2" s="260">
        <f t="shared" ref="K2:K19" si="3">C2*J2</f>
        <v>14.9985</v>
      </c>
      <c r="L2" s="260">
        <v>13.41</v>
      </c>
      <c r="M2" s="260">
        <f t="shared" ref="M2:M19" si="4">C2-I2-K2-L2</f>
        <v>46.8209366197183</v>
      </c>
      <c r="N2" s="262">
        <f t="shared" ref="N2:N19" si="5">M2/C2</f>
        <v>0.468256191816365</v>
      </c>
      <c r="O2" s="263">
        <v>0</v>
      </c>
      <c r="P2" s="264">
        <v>0.07</v>
      </c>
      <c r="Q2" s="260">
        <v>0</v>
      </c>
      <c r="R2" s="260">
        <f>C2*Z2</f>
        <v>9.999</v>
      </c>
      <c r="S2" s="263">
        <f>C2-I2-K2-L2-Q2-R2</f>
        <v>36.8219366197183</v>
      </c>
      <c r="T2" s="262">
        <f>S2/C2</f>
        <v>0.368256191816365</v>
      </c>
      <c r="U2" s="262">
        <f>S2/C2</f>
        <v>0.368256191816365</v>
      </c>
      <c r="V2" s="265" t="s">
        <v>217</v>
      </c>
      <c r="W2" s="266">
        <f>E2/D2/C2</f>
        <v>0.170157860856508</v>
      </c>
      <c r="X2" s="266">
        <f>H2/C2</f>
        <v>0.077472535985993</v>
      </c>
      <c r="Y2" s="266">
        <f>L2/C2</f>
        <v>0.134113411341134</v>
      </c>
      <c r="Z2" s="267">
        <v>0.1</v>
      </c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5"/>
      <c r="AX2" s="255"/>
      <c r="AY2" s="255"/>
      <c r="AZ2" s="255"/>
      <c r="BA2" s="255"/>
      <c r="BB2" s="255"/>
      <c r="BC2" s="255"/>
      <c r="BD2" s="255"/>
      <c r="BE2" s="255"/>
      <c r="BF2" s="255"/>
      <c r="BG2" s="255"/>
      <c r="BH2" s="255"/>
      <c r="BI2" s="255"/>
      <c r="BJ2" s="255"/>
      <c r="BK2" s="255"/>
      <c r="BL2" s="255"/>
      <c r="BM2" s="255"/>
      <c r="BN2" s="255"/>
      <c r="BO2" s="255"/>
      <c r="BP2" s="255"/>
      <c r="BQ2" s="255"/>
      <c r="BR2" s="255"/>
      <c r="BS2" s="255"/>
      <c r="BT2" s="255"/>
      <c r="BU2" s="255"/>
      <c r="BV2" s="255"/>
      <c r="BW2" s="255"/>
      <c r="BX2" s="255"/>
      <c r="BY2" s="255"/>
      <c r="BZ2" s="255"/>
    </row>
    <row r="3" s="246" customFormat="1" ht="19.5" customHeight="1" spans="1:78">
      <c r="A3" s="256" t="s">
        <v>21</v>
      </c>
      <c r="B3" s="257" t="s">
        <v>218</v>
      </c>
      <c r="C3" s="258">
        <v>64.99</v>
      </c>
      <c r="D3" s="259">
        <v>7.1</v>
      </c>
      <c r="E3" s="259">
        <v>120.8</v>
      </c>
      <c r="F3" s="260">
        <f t="shared" si="0"/>
        <v>17.0140845070423</v>
      </c>
      <c r="G3" s="261">
        <v>55</v>
      </c>
      <c r="H3" s="260">
        <f t="shared" si="1"/>
        <v>7.74647887323944</v>
      </c>
      <c r="I3" s="260">
        <f t="shared" si="2"/>
        <v>24.7605633802817</v>
      </c>
      <c r="J3" s="259">
        <v>0.15</v>
      </c>
      <c r="K3" s="260">
        <f t="shared" si="3"/>
        <v>9.7485</v>
      </c>
      <c r="L3" s="260">
        <v>13.41</v>
      </c>
      <c r="M3" s="260">
        <f t="shared" si="4"/>
        <v>17.0709366197183</v>
      </c>
      <c r="N3" s="262">
        <f t="shared" si="5"/>
        <v>0.262670204950274</v>
      </c>
      <c r="O3" s="263">
        <v>0</v>
      </c>
      <c r="P3" s="264">
        <v>0.07</v>
      </c>
      <c r="Q3" s="260">
        <v>0</v>
      </c>
      <c r="R3" s="260">
        <f t="shared" ref="R3:R19" si="6">C3*Z3</f>
        <v>6.499</v>
      </c>
      <c r="S3" s="263">
        <f t="shared" ref="S3:S19" si="7">C3-I3-K3-L3-Q3-R3</f>
        <v>10.5719366197183</v>
      </c>
      <c r="T3" s="262">
        <f t="shared" ref="T3:T19" si="8">S3/C3</f>
        <v>0.162670204950274</v>
      </c>
      <c r="U3" s="262">
        <f t="shared" ref="U3:U19" si="9">S3/C3</f>
        <v>0.162670204950274</v>
      </c>
      <c r="V3" s="265" t="s">
        <v>217</v>
      </c>
      <c r="W3" s="266">
        <f t="shared" ref="W3:W19" si="10">E3/D3/C3</f>
        <v>0.261795422481032</v>
      </c>
      <c r="X3" s="266">
        <f t="shared" ref="X3:X19" si="11">H3/C3</f>
        <v>0.119194935732258</v>
      </c>
      <c r="Y3" s="266">
        <f t="shared" ref="Y3:Y19" si="12">L3/C3</f>
        <v>0.206339436836436</v>
      </c>
      <c r="Z3" s="267">
        <v>0.1</v>
      </c>
      <c r="AA3" s="255"/>
      <c r="AB3" s="255"/>
      <c r="AC3" s="255"/>
      <c r="AD3" s="255"/>
      <c r="AE3" s="255"/>
      <c r="AF3" s="255"/>
      <c r="AG3" s="255"/>
      <c r="AH3" s="255"/>
      <c r="AI3" s="255"/>
      <c r="AJ3" s="255"/>
      <c r="AK3" s="255"/>
      <c r="AL3" s="255"/>
      <c r="AM3" s="255"/>
      <c r="AN3" s="255"/>
      <c r="AO3" s="255"/>
      <c r="AP3" s="255"/>
      <c r="AQ3" s="255"/>
      <c r="AR3" s="255"/>
      <c r="AS3" s="255"/>
      <c r="AT3" s="255"/>
      <c r="AU3" s="255"/>
      <c r="AV3" s="255"/>
      <c r="AW3" s="255"/>
      <c r="AX3" s="255"/>
      <c r="AY3" s="255"/>
      <c r="AZ3" s="255"/>
      <c r="BA3" s="255"/>
      <c r="BB3" s="255"/>
      <c r="BC3" s="255"/>
      <c r="BD3" s="255"/>
      <c r="BE3" s="255"/>
      <c r="BF3" s="255"/>
      <c r="BG3" s="255"/>
      <c r="BH3" s="255"/>
      <c r="BI3" s="255"/>
      <c r="BJ3" s="255"/>
      <c r="BK3" s="255"/>
      <c r="BL3" s="255"/>
      <c r="BM3" s="255"/>
      <c r="BN3" s="255"/>
      <c r="BO3" s="255"/>
      <c r="BP3" s="255"/>
      <c r="BQ3" s="255"/>
      <c r="BR3" s="255"/>
      <c r="BS3" s="255"/>
      <c r="BT3" s="255"/>
      <c r="BU3" s="255"/>
      <c r="BV3" s="255"/>
      <c r="BW3" s="255"/>
      <c r="BX3" s="255"/>
      <c r="BY3" s="255"/>
      <c r="BZ3" s="255"/>
    </row>
    <row r="4" s="246" customFormat="1" ht="19.5" customHeight="1" spans="1:78">
      <c r="A4" s="256" t="s">
        <v>21</v>
      </c>
      <c r="B4" s="257" t="s">
        <v>219</v>
      </c>
      <c r="C4" s="258">
        <v>59.99</v>
      </c>
      <c r="D4" s="259">
        <v>7.1</v>
      </c>
      <c r="E4" s="259">
        <v>120.8</v>
      </c>
      <c r="F4" s="260">
        <f t="shared" si="0"/>
        <v>17.0140845070423</v>
      </c>
      <c r="G4" s="261">
        <v>55</v>
      </c>
      <c r="H4" s="260">
        <f t="shared" si="1"/>
        <v>7.74647887323944</v>
      </c>
      <c r="I4" s="260">
        <f t="shared" si="2"/>
        <v>24.7605633802817</v>
      </c>
      <c r="J4" s="259">
        <v>0.15</v>
      </c>
      <c r="K4" s="260">
        <f t="shared" si="3"/>
        <v>8.9985</v>
      </c>
      <c r="L4" s="260">
        <v>13.41</v>
      </c>
      <c r="M4" s="260">
        <f t="shared" si="4"/>
        <v>12.8209366197183</v>
      </c>
      <c r="N4" s="262">
        <f t="shared" si="5"/>
        <v>0.213717896644746</v>
      </c>
      <c r="O4" s="263">
        <v>0</v>
      </c>
      <c r="P4" s="264">
        <v>0.07</v>
      </c>
      <c r="Q4" s="260">
        <v>0</v>
      </c>
      <c r="R4" s="260">
        <f t="shared" si="6"/>
        <v>5.999</v>
      </c>
      <c r="S4" s="263">
        <f t="shared" si="7"/>
        <v>6.82193661971831</v>
      </c>
      <c r="T4" s="262">
        <f t="shared" si="8"/>
        <v>0.113717896644746</v>
      </c>
      <c r="U4" s="262">
        <f t="shared" si="9"/>
        <v>0.113717896644746</v>
      </c>
      <c r="V4" s="265" t="s">
        <v>217</v>
      </c>
      <c r="W4" s="266">
        <f t="shared" si="10"/>
        <v>0.283615344341428</v>
      </c>
      <c r="X4" s="266">
        <f t="shared" si="11"/>
        <v>0.129129502804458</v>
      </c>
      <c r="Y4" s="266">
        <f t="shared" si="12"/>
        <v>0.223537256209368</v>
      </c>
      <c r="Z4" s="267">
        <v>0.1</v>
      </c>
      <c r="AA4" s="255"/>
      <c r="AB4" s="255"/>
      <c r="AC4" s="255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5"/>
      <c r="BG4" s="255"/>
      <c r="BH4" s="255"/>
      <c r="BI4" s="255"/>
      <c r="BJ4" s="255"/>
      <c r="BK4" s="255"/>
      <c r="BL4" s="255"/>
      <c r="BM4" s="255"/>
      <c r="BN4" s="255"/>
      <c r="BO4" s="255"/>
      <c r="BP4" s="255"/>
      <c r="BQ4" s="255"/>
      <c r="BR4" s="255"/>
      <c r="BS4" s="255"/>
      <c r="BT4" s="255"/>
      <c r="BU4" s="255"/>
      <c r="BV4" s="255"/>
      <c r="BW4" s="255"/>
      <c r="BX4" s="255"/>
      <c r="BY4" s="255"/>
      <c r="BZ4" s="255"/>
    </row>
    <row r="5" s="246" customFormat="1" ht="19.5" customHeight="1" spans="1:78">
      <c r="A5" s="256" t="s">
        <v>21</v>
      </c>
      <c r="B5" s="257" t="s">
        <v>220</v>
      </c>
      <c r="C5" s="258">
        <v>45</v>
      </c>
      <c r="D5" s="259">
        <v>7.1</v>
      </c>
      <c r="E5" s="259">
        <v>120.8</v>
      </c>
      <c r="F5" s="260">
        <f t="shared" si="0"/>
        <v>17.0140845070423</v>
      </c>
      <c r="G5" s="261">
        <v>55</v>
      </c>
      <c r="H5" s="260">
        <f t="shared" si="1"/>
        <v>7.74647887323944</v>
      </c>
      <c r="I5" s="260">
        <f t="shared" si="2"/>
        <v>24.7605633802817</v>
      </c>
      <c r="J5" s="259">
        <v>0.15</v>
      </c>
      <c r="K5" s="260">
        <f t="shared" si="3"/>
        <v>6.75</v>
      </c>
      <c r="L5" s="260">
        <v>13.41</v>
      </c>
      <c r="M5" s="260">
        <f t="shared" si="4"/>
        <v>0.0794366197183081</v>
      </c>
      <c r="N5" s="262">
        <f t="shared" si="5"/>
        <v>0.0017652582159624</v>
      </c>
      <c r="O5" s="263">
        <v>0</v>
      </c>
      <c r="P5" s="264">
        <v>0.07</v>
      </c>
      <c r="Q5" s="260">
        <v>0</v>
      </c>
      <c r="R5" s="260">
        <f t="shared" si="6"/>
        <v>4.5</v>
      </c>
      <c r="S5" s="263">
        <f t="shared" si="7"/>
        <v>-4.42056338028169</v>
      </c>
      <c r="T5" s="262">
        <f t="shared" si="8"/>
        <v>-0.0982347417840376</v>
      </c>
      <c r="U5" s="262">
        <f t="shared" si="9"/>
        <v>-0.0982347417840376</v>
      </c>
      <c r="V5" s="265" t="s">
        <v>217</v>
      </c>
      <c r="W5" s="266">
        <f t="shared" si="10"/>
        <v>0.378090766823161</v>
      </c>
      <c r="X5" s="266">
        <f t="shared" si="11"/>
        <v>0.172143974960876</v>
      </c>
      <c r="Y5" s="266">
        <f t="shared" si="12"/>
        <v>0.298</v>
      </c>
      <c r="Z5" s="267">
        <v>0.1</v>
      </c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  <c r="AS5" s="255"/>
      <c r="AT5" s="255"/>
      <c r="AU5" s="255"/>
      <c r="AV5" s="255"/>
      <c r="AW5" s="255"/>
      <c r="AX5" s="255"/>
      <c r="AY5" s="255"/>
      <c r="AZ5" s="255"/>
      <c r="BA5" s="255"/>
      <c r="BB5" s="255"/>
      <c r="BC5" s="255"/>
      <c r="BD5" s="255"/>
      <c r="BE5" s="255"/>
      <c r="BF5" s="255"/>
      <c r="BG5" s="255"/>
      <c r="BH5" s="255"/>
      <c r="BI5" s="255"/>
      <c r="BJ5" s="255"/>
      <c r="BK5" s="255"/>
      <c r="BL5" s="255"/>
      <c r="BM5" s="255"/>
      <c r="BN5" s="255"/>
      <c r="BO5" s="255"/>
      <c r="BP5" s="255"/>
      <c r="BQ5" s="255"/>
      <c r="BR5" s="255"/>
      <c r="BS5" s="255"/>
      <c r="BT5" s="255"/>
      <c r="BU5" s="255"/>
      <c r="BV5" s="255"/>
      <c r="BW5" s="255"/>
      <c r="BX5" s="255"/>
      <c r="BY5" s="255"/>
      <c r="BZ5" s="255"/>
    </row>
    <row r="6" s="246" customFormat="1" ht="19.5" customHeight="1" spans="1:78">
      <c r="A6" s="256" t="s">
        <v>21</v>
      </c>
      <c r="B6" s="268" t="s">
        <v>221</v>
      </c>
      <c r="C6" s="269">
        <v>19.99</v>
      </c>
      <c r="D6" s="259">
        <v>7.1</v>
      </c>
      <c r="E6" s="259">
        <v>40</v>
      </c>
      <c r="F6" s="260">
        <f t="shared" si="0"/>
        <v>5.63380281690141</v>
      </c>
      <c r="G6" s="261">
        <v>55</v>
      </c>
      <c r="H6" s="260">
        <f t="shared" si="1"/>
        <v>7.74647887323944</v>
      </c>
      <c r="I6" s="260">
        <f t="shared" si="2"/>
        <v>13.3802816901408</v>
      </c>
      <c r="J6" s="259">
        <v>0.15</v>
      </c>
      <c r="K6" s="260">
        <f t="shared" si="3"/>
        <v>2.9985</v>
      </c>
      <c r="L6" s="260">
        <v>3.99</v>
      </c>
      <c r="M6" s="260">
        <f t="shared" si="4"/>
        <v>-0.378781690140847</v>
      </c>
      <c r="N6" s="262">
        <f t="shared" si="5"/>
        <v>-0.0189485587864356</v>
      </c>
      <c r="O6" s="263">
        <v>0</v>
      </c>
      <c r="P6" s="264">
        <v>0.07</v>
      </c>
      <c r="Q6" s="260">
        <v>0</v>
      </c>
      <c r="R6" s="260">
        <f t="shared" si="6"/>
        <v>1.999</v>
      </c>
      <c r="S6" s="263">
        <f t="shared" si="7"/>
        <v>-2.37778169014085</v>
      </c>
      <c r="T6" s="262">
        <f t="shared" si="8"/>
        <v>-0.118948558786436</v>
      </c>
      <c r="U6" s="262">
        <f t="shared" si="9"/>
        <v>-0.118948558786436</v>
      </c>
      <c r="V6" s="268"/>
      <c r="W6" s="266">
        <f t="shared" si="10"/>
        <v>0.281831056373257</v>
      </c>
      <c r="X6" s="266">
        <f t="shared" si="11"/>
        <v>0.387517702513228</v>
      </c>
      <c r="Y6" s="266">
        <f t="shared" si="12"/>
        <v>0.19959979989995</v>
      </c>
      <c r="Z6" s="267">
        <v>0.1</v>
      </c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/>
      <c r="AN6" s="255"/>
      <c r="AO6" s="255"/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  <c r="BJ6" s="255"/>
      <c r="BK6" s="255"/>
      <c r="BL6" s="255"/>
      <c r="BM6" s="255"/>
      <c r="BN6" s="255"/>
      <c r="BO6" s="255"/>
      <c r="BP6" s="255"/>
      <c r="BQ6" s="255"/>
      <c r="BR6" s="255"/>
      <c r="BS6" s="255"/>
      <c r="BT6" s="255"/>
      <c r="BU6" s="255"/>
      <c r="BV6" s="255"/>
      <c r="BW6" s="255"/>
      <c r="BX6" s="255"/>
      <c r="BY6" s="255"/>
      <c r="BZ6" s="255"/>
    </row>
    <row r="7" s="246" customFormat="1" ht="19.5" customHeight="1" spans="1:78">
      <c r="A7" s="256" t="s">
        <v>21</v>
      </c>
      <c r="B7" s="265" t="s">
        <v>222</v>
      </c>
      <c r="C7" s="269">
        <v>119.99</v>
      </c>
      <c r="D7" s="259">
        <v>7.1</v>
      </c>
      <c r="E7" s="259">
        <f>270/1.13</f>
        <v>238.938053097345</v>
      </c>
      <c r="F7" s="260">
        <f t="shared" si="0"/>
        <v>33.653246915119</v>
      </c>
      <c r="G7" s="261">
        <v>40</v>
      </c>
      <c r="H7" s="260">
        <f t="shared" si="1"/>
        <v>5.63380281690141</v>
      </c>
      <c r="I7" s="260">
        <f t="shared" si="2"/>
        <v>39.2870497320204</v>
      </c>
      <c r="J7" s="259">
        <v>0.15</v>
      </c>
      <c r="K7" s="260">
        <f t="shared" si="3"/>
        <v>17.9985</v>
      </c>
      <c r="L7" s="270">
        <v>9.81</v>
      </c>
      <c r="M7" s="260">
        <f t="shared" si="4"/>
        <v>52.8944502679796</v>
      </c>
      <c r="N7" s="262">
        <f t="shared" si="5"/>
        <v>0.440823820884903</v>
      </c>
      <c r="O7" s="263">
        <v>0</v>
      </c>
      <c r="P7" s="264">
        <v>0.07</v>
      </c>
      <c r="Q7" s="260">
        <v>0</v>
      </c>
      <c r="R7" s="260">
        <f t="shared" si="6"/>
        <v>11.999</v>
      </c>
      <c r="S7" s="263">
        <f t="shared" si="7"/>
        <v>40.8954502679796</v>
      </c>
      <c r="T7" s="262">
        <f t="shared" si="8"/>
        <v>0.340823820884903</v>
      </c>
      <c r="U7" s="262">
        <f t="shared" si="9"/>
        <v>0.340823820884903</v>
      </c>
      <c r="V7" s="268"/>
      <c r="W7" s="266">
        <f t="shared" si="10"/>
        <v>0.280467096550705</v>
      </c>
      <c r="X7" s="266">
        <f t="shared" si="11"/>
        <v>0.0469522694966365</v>
      </c>
      <c r="Y7" s="266">
        <f t="shared" si="12"/>
        <v>0.0817568130677557</v>
      </c>
      <c r="Z7" s="267">
        <v>0.1</v>
      </c>
      <c r="AA7" s="255"/>
      <c r="AB7" s="255"/>
      <c r="AC7" s="255"/>
      <c r="AD7" s="255"/>
      <c r="AE7" s="255"/>
      <c r="AF7" s="255"/>
      <c r="AG7" s="255"/>
      <c r="AH7" s="255"/>
      <c r="AI7" s="255"/>
      <c r="AJ7" s="255"/>
      <c r="AK7" s="255"/>
      <c r="AL7" s="255"/>
      <c r="AM7" s="255"/>
      <c r="AN7" s="255"/>
      <c r="AO7" s="255"/>
      <c r="AP7" s="255"/>
      <c r="AQ7" s="255"/>
      <c r="AR7" s="255"/>
      <c r="AS7" s="255"/>
      <c r="AT7" s="255"/>
      <c r="AU7" s="255"/>
      <c r="AV7" s="255"/>
      <c r="AW7" s="255"/>
      <c r="AX7" s="255"/>
      <c r="AY7" s="255"/>
      <c r="AZ7" s="255"/>
      <c r="BA7" s="255"/>
      <c r="BB7" s="255"/>
      <c r="BC7" s="255"/>
      <c r="BD7" s="255"/>
      <c r="BE7" s="255"/>
      <c r="BF7" s="255"/>
      <c r="BG7" s="255"/>
      <c r="BH7" s="255"/>
      <c r="BI7" s="255"/>
      <c r="BJ7" s="255"/>
      <c r="BK7" s="255"/>
      <c r="BL7" s="255"/>
      <c r="BM7" s="255"/>
      <c r="BN7" s="255"/>
      <c r="BO7" s="255"/>
      <c r="BP7" s="255"/>
      <c r="BQ7" s="255"/>
      <c r="BR7" s="255"/>
      <c r="BS7" s="255"/>
      <c r="BT7" s="255"/>
      <c r="BU7" s="255"/>
      <c r="BV7" s="255"/>
      <c r="BW7" s="255"/>
      <c r="BX7" s="255"/>
      <c r="BY7" s="255"/>
      <c r="BZ7" s="255"/>
    </row>
    <row r="8" s="246" customFormat="1" ht="19.5" customHeight="1" spans="1:78">
      <c r="A8" s="256" t="s">
        <v>21</v>
      </c>
      <c r="B8" s="265" t="s">
        <v>222</v>
      </c>
      <c r="C8" s="269">
        <f>C7*0.7</f>
        <v>83.993</v>
      </c>
      <c r="D8" s="259">
        <v>7.1</v>
      </c>
      <c r="E8" s="259">
        <f>230/1.13</f>
        <v>203.53982300885</v>
      </c>
      <c r="F8" s="260">
        <f t="shared" si="0"/>
        <v>28.6675807054718</v>
      </c>
      <c r="G8" s="261">
        <v>40</v>
      </c>
      <c r="H8" s="260">
        <f t="shared" si="1"/>
        <v>5.63380281690141</v>
      </c>
      <c r="I8" s="260">
        <f t="shared" si="2"/>
        <v>34.3013835223732</v>
      </c>
      <c r="J8" s="259">
        <v>0.15</v>
      </c>
      <c r="K8" s="260">
        <f t="shared" si="3"/>
        <v>12.59895</v>
      </c>
      <c r="L8" s="270">
        <v>9.81</v>
      </c>
      <c r="M8" s="260">
        <f t="shared" si="4"/>
        <v>27.2826664776268</v>
      </c>
      <c r="N8" s="262">
        <f t="shared" si="5"/>
        <v>0.324820716936254</v>
      </c>
      <c r="O8" s="263">
        <v>0</v>
      </c>
      <c r="P8" s="264">
        <v>0.07</v>
      </c>
      <c r="Q8" s="260">
        <v>0</v>
      </c>
      <c r="R8" s="260">
        <f t="shared" si="6"/>
        <v>8.3993</v>
      </c>
      <c r="S8" s="263">
        <f t="shared" si="7"/>
        <v>18.8833664776268</v>
      </c>
      <c r="T8" s="262">
        <f t="shared" si="8"/>
        <v>0.224820716936254</v>
      </c>
      <c r="U8" s="262">
        <f t="shared" si="9"/>
        <v>0.224820716936254</v>
      </c>
      <c r="V8" s="268"/>
      <c r="W8" s="266">
        <f t="shared" si="10"/>
        <v>0.341309165114614</v>
      </c>
      <c r="X8" s="266">
        <f t="shared" si="11"/>
        <v>0.0670746707094807</v>
      </c>
      <c r="Y8" s="266">
        <f t="shared" si="12"/>
        <v>0.116795447239651</v>
      </c>
      <c r="Z8" s="267">
        <v>0.1</v>
      </c>
      <c r="AA8" s="255"/>
      <c r="AB8" s="255"/>
      <c r="AC8" s="255"/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255"/>
      <c r="AY8" s="255"/>
      <c r="AZ8" s="255"/>
      <c r="BA8" s="255"/>
      <c r="BB8" s="255"/>
      <c r="BC8" s="255"/>
      <c r="BD8" s="255"/>
      <c r="BE8" s="255"/>
      <c r="BF8" s="255"/>
      <c r="BG8" s="255"/>
      <c r="BH8" s="255"/>
      <c r="BI8" s="255"/>
      <c r="BJ8" s="255"/>
      <c r="BK8" s="255"/>
      <c r="BL8" s="255"/>
      <c r="BM8" s="255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55"/>
      <c r="BY8" s="255"/>
      <c r="BZ8" s="255"/>
    </row>
    <row r="9" s="246" customFormat="1" ht="19.5" customHeight="1" spans="1:78">
      <c r="A9" s="256" t="s">
        <v>21</v>
      </c>
      <c r="B9" s="265" t="s">
        <v>222</v>
      </c>
      <c r="C9" s="269">
        <f>C8*0.8</f>
        <v>67.1944</v>
      </c>
      <c r="D9" s="259">
        <v>7.1</v>
      </c>
      <c r="E9" s="259">
        <f>230/1.13</f>
        <v>203.53982300885</v>
      </c>
      <c r="F9" s="260">
        <f t="shared" si="0"/>
        <v>28.6675807054718</v>
      </c>
      <c r="G9" s="261">
        <v>40</v>
      </c>
      <c r="H9" s="260">
        <f t="shared" si="1"/>
        <v>5.63380281690141</v>
      </c>
      <c r="I9" s="260">
        <f t="shared" si="2"/>
        <v>34.3013835223732</v>
      </c>
      <c r="J9" s="259">
        <v>0.15</v>
      </c>
      <c r="K9" s="260">
        <f t="shared" si="3"/>
        <v>10.07916</v>
      </c>
      <c r="L9" s="270">
        <v>9.81</v>
      </c>
      <c r="M9" s="260">
        <f t="shared" si="4"/>
        <v>13.0038564776268</v>
      </c>
      <c r="N9" s="262">
        <f t="shared" si="5"/>
        <v>0.193525896170318</v>
      </c>
      <c r="O9" s="263">
        <v>0</v>
      </c>
      <c r="P9" s="264">
        <v>0.07</v>
      </c>
      <c r="Q9" s="260">
        <v>0</v>
      </c>
      <c r="R9" s="260">
        <f t="shared" si="6"/>
        <v>6.71944</v>
      </c>
      <c r="S9" s="263">
        <f t="shared" si="7"/>
        <v>6.28441647762682</v>
      </c>
      <c r="T9" s="262">
        <f t="shared" si="8"/>
        <v>0.0935258961703181</v>
      </c>
      <c r="U9" s="262">
        <f t="shared" si="9"/>
        <v>0.0935258961703181</v>
      </c>
      <c r="V9" s="268"/>
      <c r="W9" s="266">
        <f t="shared" si="10"/>
        <v>0.426636456393267</v>
      </c>
      <c r="X9" s="266">
        <f t="shared" si="11"/>
        <v>0.0838433383868508</v>
      </c>
      <c r="Y9" s="266">
        <f t="shared" si="12"/>
        <v>0.145994309049564</v>
      </c>
      <c r="Z9" s="267">
        <v>0.1</v>
      </c>
      <c r="AA9" s="255"/>
      <c r="AB9" s="255"/>
      <c r="AC9" s="255"/>
      <c r="AD9" s="255"/>
      <c r="AE9" s="255"/>
      <c r="AF9" s="255"/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  <c r="AX9" s="255"/>
      <c r="AY9" s="255"/>
      <c r="AZ9" s="255"/>
      <c r="BA9" s="255"/>
      <c r="BB9" s="255"/>
      <c r="BC9" s="255"/>
      <c r="BD9" s="255"/>
      <c r="BE9" s="255"/>
      <c r="BF9" s="255"/>
      <c r="BG9" s="255"/>
      <c r="BH9" s="255"/>
      <c r="BI9" s="255"/>
      <c r="BJ9" s="255"/>
      <c r="BK9" s="255"/>
      <c r="BL9" s="255"/>
      <c r="BM9" s="255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55"/>
      <c r="BY9" s="255"/>
      <c r="BZ9" s="255"/>
    </row>
    <row r="10" s="246" customFormat="1" ht="19.5" customHeight="1" spans="1:78">
      <c r="A10" s="256" t="s">
        <v>21</v>
      </c>
      <c r="B10" s="265" t="s">
        <v>222</v>
      </c>
      <c r="C10" s="269">
        <v>89.99</v>
      </c>
      <c r="D10" s="259">
        <v>7.1</v>
      </c>
      <c r="E10" s="259">
        <f>270/1.13</f>
        <v>238.938053097345</v>
      </c>
      <c r="F10" s="260">
        <f t="shared" si="0"/>
        <v>33.653246915119</v>
      </c>
      <c r="G10" s="261">
        <v>40</v>
      </c>
      <c r="H10" s="260">
        <f t="shared" si="1"/>
        <v>5.63380281690141</v>
      </c>
      <c r="I10" s="260">
        <f t="shared" si="2"/>
        <v>39.2870497320204</v>
      </c>
      <c r="J10" s="259">
        <v>0.15</v>
      </c>
      <c r="K10" s="260">
        <f t="shared" si="3"/>
        <v>13.4985</v>
      </c>
      <c r="L10" s="270">
        <v>9.81</v>
      </c>
      <c r="M10" s="260">
        <f t="shared" si="4"/>
        <v>27.3944502679796</v>
      </c>
      <c r="N10" s="262">
        <f t="shared" si="5"/>
        <v>0.304416604822531</v>
      </c>
      <c r="O10" s="263">
        <v>0</v>
      </c>
      <c r="P10" s="264">
        <v>0.07</v>
      </c>
      <c r="Q10" s="260">
        <v>0</v>
      </c>
      <c r="R10" s="260">
        <f t="shared" si="6"/>
        <v>8.999</v>
      </c>
      <c r="S10" s="263">
        <f t="shared" si="7"/>
        <v>18.3954502679795</v>
      </c>
      <c r="T10" s="262">
        <f t="shared" si="8"/>
        <v>0.204416604822531</v>
      </c>
      <c r="U10" s="262">
        <f t="shared" si="9"/>
        <v>0.204416604822531</v>
      </c>
      <c r="V10" s="268"/>
      <c r="W10" s="266">
        <f t="shared" si="10"/>
        <v>0.373966517558829</v>
      </c>
      <c r="X10" s="266">
        <f t="shared" si="11"/>
        <v>0.0626047651617003</v>
      </c>
      <c r="Y10" s="266">
        <f t="shared" si="12"/>
        <v>0.10901211245694</v>
      </c>
      <c r="Z10" s="267">
        <v>0.1</v>
      </c>
      <c r="AA10" s="255"/>
      <c r="AB10" s="255"/>
      <c r="AC10" s="255"/>
      <c r="AD10" s="255"/>
      <c r="AE10" s="255"/>
      <c r="AF10" s="255"/>
      <c r="AG10" s="255"/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255"/>
      <c r="AT10" s="255"/>
      <c r="AU10" s="255"/>
      <c r="AV10" s="255"/>
      <c r="AW10" s="255"/>
      <c r="AX10" s="255"/>
      <c r="AY10" s="255"/>
      <c r="AZ10" s="255"/>
      <c r="BA10" s="255"/>
      <c r="BB10" s="255"/>
      <c r="BC10" s="255"/>
      <c r="BD10" s="255"/>
      <c r="BE10" s="255"/>
      <c r="BF10" s="255"/>
      <c r="BG10" s="255"/>
      <c r="BH10" s="255"/>
      <c r="BI10" s="255"/>
      <c r="BJ10" s="255"/>
      <c r="BK10" s="255"/>
      <c r="BL10" s="255"/>
      <c r="BM10" s="255"/>
      <c r="BN10" s="255"/>
      <c r="BO10" s="255"/>
      <c r="BP10" s="255"/>
      <c r="BQ10" s="255"/>
      <c r="BR10" s="255"/>
      <c r="BS10" s="255"/>
      <c r="BT10" s="255"/>
      <c r="BU10" s="255"/>
      <c r="BV10" s="255"/>
      <c r="BW10" s="255"/>
      <c r="BX10" s="255"/>
      <c r="BY10" s="255"/>
      <c r="BZ10" s="255"/>
    </row>
    <row r="11" s="246" customFormat="1" ht="19.5" customHeight="1" spans="1:78">
      <c r="A11" s="256" t="s">
        <v>21</v>
      </c>
      <c r="B11" s="257" t="s">
        <v>223</v>
      </c>
      <c r="C11" s="269">
        <v>44.99</v>
      </c>
      <c r="D11" s="259">
        <v>7.1</v>
      </c>
      <c r="E11" s="259">
        <f>94.4/1.13</f>
        <v>83.5398230088496</v>
      </c>
      <c r="F11" s="260">
        <f t="shared" si="0"/>
        <v>11.7661722547675</v>
      </c>
      <c r="G11" s="261">
        <v>20</v>
      </c>
      <c r="H11" s="260">
        <f t="shared" si="1"/>
        <v>2.8169014084507</v>
      </c>
      <c r="I11" s="260">
        <f t="shared" si="2"/>
        <v>14.5830736632182</v>
      </c>
      <c r="J11" s="259">
        <v>0.15</v>
      </c>
      <c r="K11" s="260">
        <f t="shared" si="3"/>
        <v>6.7485</v>
      </c>
      <c r="L11" s="265">
        <v>7.32</v>
      </c>
      <c r="M11" s="260">
        <f t="shared" si="4"/>
        <v>16.3384263367818</v>
      </c>
      <c r="N11" s="262">
        <f t="shared" si="5"/>
        <v>0.363156842337892</v>
      </c>
      <c r="O11" s="263">
        <v>0</v>
      </c>
      <c r="P11" s="264">
        <v>0.07</v>
      </c>
      <c r="Q11" s="260">
        <v>0</v>
      </c>
      <c r="R11" s="260">
        <f t="shared" si="6"/>
        <v>4.499</v>
      </c>
      <c r="S11" s="263">
        <f t="shared" si="7"/>
        <v>11.8394263367818</v>
      </c>
      <c r="T11" s="262">
        <f t="shared" si="8"/>
        <v>0.263156842337892</v>
      </c>
      <c r="U11" s="262">
        <f t="shared" si="9"/>
        <v>0.263156842337892</v>
      </c>
      <c r="V11" s="265" t="s">
        <v>224</v>
      </c>
      <c r="W11" s="266">
        <f t="shared" si="10"/>
        <v>0.261528612019728</v>
      </c>
      <c r="X11" s="266">
        <f t="shared" si="11"/>
        <v>0.0626117227928585</v>
      </c>
      <c r="Y11" s="266">
        <f t="shared" si="12"/>
        <v>0.162702822849522</v>
      </c>
      <c r="Z11" s="267">
        <v>0.1</v>
      </c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  <c r="AX11" s="255"/>
      <c r="AY11" s="255"/>
      <c r="AZ11" s="255"/>
      <c r="BA11" s="255"/>
      <c r="BB11" s="255"/>
      <c r="BC11" s="255"/>
      <c r="BD11" s="255"/>
      <c r="BE11" s="255"/>
      <c r="BF11" s="255"/>
      <c r="BG11" s="255"/>
      <c r="BH11" s="255"/>
      <c r="BI11" s="255"/>
      <c r="BJ11" s="255"/>
      <c r="BK11" s="255"/>
      <c r="BL11" s="255"/>
      <c r="BM11" s="255"/>
      <c r="BN11" s="255"/>
      <c r="BO11" s="255"/>
      <c r="BP11" s="255"/>
      <c r="BQ11" s="255"/>
      <c r="BR11" s="255"/>
      <c r="BS11" s="255"/>
      <c r="BT11" s="255"/>
      <c r="BU11" s="255"/>
      <c r="BV11" s="255"/>
      <c r="BW11" s="255"/>
      <c r="BX11" s="255"/>
      <c r="BY11" s="255"/>
      <c r="BZ11" s="255"/>
    </row>
    <row r="12" s="246" customFormat="1" ht="19.5" customHeight="1" spans="1:78">
      <c r="A12" s="256" t="s">
        <v>21</v>
      </c>
      <c r="B12" s="257" t="s">
        <v>225</v>
      </c>
      <c r="C12" s="269">
        <f>C11*0.8</f>
        <v>35.992</v>
      </c>
      <c r="D12" s="259">
        <v>7.1</v>
      </c>
      <c r="E12" s="259">
        <f>94.4/1.13</f>
        <v>83.5398230088496</v>
      </c>
      <c r="F12" s="260">
        <f t="shared" si="0"/>
        <v>11.7661722547675</v>
      </c>
      <c r="G12" s="261">
        <v>20</v>
      </c>
      <c r="H12" s="260">
        <f t="shared" si="1"/>
        <v>2.8169014084507</v>
      </c>
      <c r="I12" s="260">
        <f t="shared" si="2"/>
        <v>14.5830736632182</v>
      </c>
      <c r="J12" s="259">
        <v>0.15</v>
      </c>
      <c r="K12" s="260">
        <f t="shared" si="3"/>
        <v>5.3988</v>
      </c>
      <c r="L12" s="268">
        <v>7.32</v>
      </c>
      <c r="M12" s="260">
        <f t="shared" si="4"/>
        <v>8.69012633678175</v>
      </c>
      <c r="N12" s="262">
        <f t="shared" si="5"/>
        <v>0.241446052922365</v>
      </c>
      <c r="O12" s="263">
        <v>0</v>
      </c>
      <c r="P12" s="264">
        <v>0.07</v>
      </c>
      <c r="Q12" s="260">
        <v>0</v>
      </c>
      <c r="R12" s="260">
        <f t="shared" si="6"/>
        <v>3.5992</v>
      </c>
      <c r="S12" s="263">
        <f t="shared" si="7"/>
        <v>5.09092633678175</v>
      </c>
      <c r="T12" s="262">
        <f t="shared" si="8"/>
        <v>0.141446052922365</v>
      </c>
      <c r="U12" s="262">
        <f t="shared" si="9"/>
        <v>0.141446052922365</v>
      </c>
      <c r="V12" s="268" t="s">
        <v>224</v>
      </c>
      <c r="W12" s="266">
        <f t="shared" si="10"/>
        <v>0.326910765024659</v>
      </c>
      <c r="X12" s="266">
        <f t="shared" si="11"/>
        <v>0.0782646534910731</v>
      </c>
      <c r="Y12" s="266">
        <f t="shared" si="12"/>
        <v>0.203378528561903</v>
      </c>
      <c r="Z12" s="267">
        <v>0.1</v>
      </c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255"/>
      <c r="AZ12" s="255"/>
      <c r="BA12" s="255"/>
      <c r="BB12" s="255"/>
      <c r="BC12" s="255"/>
      <c r="BD12" s="255"/>
      <c r="BE12" s="255"/>
      <c r="BF12" s="255"/>
      <c r="BG12" s="255"/>
      <c r="BH12" s="255"/>
      <c r="BI12" s="255"/>
      <c r="BJ12" s="255"/>
      <c r="BK12" s="255"/>
      <c r="BL12" s="255"/>
      <c r="BM12" s="255"/>
      <c r="BN12" s="255"/>
      <c r="BO12" s="255"/>
      <c r="BP12" s="255"/>
      <c r="BQ12" s="255"/>
      <c r="BR12" s="255"/>
      <c r="BS12" s="255"/>
      <c r="BT12" s="255"/>
      <c r="BU12" s="255"/>
      <c r="BV12" s="255"/>
      <c r="BW12" s="255"/>
      <c r="BX12" s="255"/>
      <c r="BY12" s="255"/>
      <c r="BZ12" s="255"/>
    </row>
    <row r="13" s="246" customFormat="1" ht="19.5" customHeight="1" spans="1:78">
      <c r="A13" s="256" t="s">
        <v>21</v>
      </c>
      <c r="B13" s="257" t="s">
        <v>226</v>
      </c>
      <c r="C13" s="269">
        <f>C11*0.7</f>
        <v>31.493</v>
      </c>
      <c r="D13" s="259">
        <v>7.1</v>
      </c>
      <c r="E13" s="259">
        <f>94.4/1.13</f>
        <v>83.5398230088496</v>
      </c>
      <c r="F13" s="260">
        <f t="shared" si="0"/>
        <v>11.7661722547675</v>
      </c>
      <c r="G13" s="261">
        <v>20</v>
      </c>
      <c r="H13" s="260">
        <f t="shared" si="1"/>
        <v>2.8169014084507</v>
      </c>
      <c r="I13" s="260">
        <f t="shared" si="2"/>
        <v>14.5830736632182</v>
      </c>
      <c r="J13" s="259">
        <v>0.15</v>
      </c>
      <c r="K13" s="260">
        <f t="shared" si="3"/>
        <v>4.72395</v>
      </c>
      <c r="L13" s="268">
        <v>7.32</v>
      </c>
      <c r="M13" s="260">
        <f t="shared" si="4"/>
        <v>4.86597633678175</v>
      </c>
      <c r="N13" s="262">
        <f t="shared" si="5"/>
        <v>0.154509774768417</v>
      </c>
      <c r="O13" s="263">
        <v>0</v>
      </c>
      <c r="P13" s="264">
        <v>0.07</v>
      </c>
      <c r="Q13" s="260">
        <v>0</v>
      </c>
      <c r="R13" s="260">
        <f t="shared" si="6"/>
        <v>3.1493</v>
      </c>
      <c r="S13" s="263">
        <f t="shared" si="7"/>
        <v>1.71667633678175</v>
      </c>
      <c r="T13" s="262">
        <f t="shared" si="8"/>
        <v>0.0545097747684169</v>
      </c>
      <c r="U13" s="262">
        <f t="shared" si="9"/>
        <v>0.0545097747684169</v>
      </c>
      <c r="V13" s="268" t="s">
        <v>224</v>
      </c>
      <c r="W13" s="266">
        <f t="shared" si="10"/>
        <v>0.373612302885325</v>
      </c>
      <c r="X13" s="266">
        <f t="shared" si="11"/>
        <v>0.0894453182755122</v>
      </c>
      <c r="Y13" s="266">
        <f t="shared" si="12"/>
        <v>0.232432604070746</v>
      </c>
      <c r="Z13" s="267">
        <v>0.1</v>
      </c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  <c r="BE13" s="255"/>
      <c r="BF13" s="255"/>
      <c r="BG13" s="255"/>
      <c r="BH13" s="255"/>
      <c r="BI13" s="255"/>
      <c r="BJ13" s="255"/>
      <c r="BK13" s="255"/>
      <c r="BL13" s="255"/>
      <c r="BM13" s="255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55"/>
      <c r="BY13" s="255"/>
      <c r="BZ13" s="255"/>
    </row>
    <row r="14" s="246" customFormat="1" ht="19.5" customHeight="1" spans="1:78">
      <c r="A14" s="256" t="s">
        <v>21</v>
      </c>
      <c r="B14" s="257" t="s">
        <v>227</v>
      </c>
      <c r="C14" s="269">
        <v>18.99</v>
      </c>
      <c r="D14" s="259">
        <v>7.1</v>
      </c>
      <c r="E14" s="259">
        <f>15.5/1.13</f>
        <v>13.716814159292</v>
      </c>
      <c r="F14" s="260">
        <f t="shared" si="0"/>
        <v>1.93194565623832</v>
      </c>
      <c r="G14" s="261">
        <v>6</v>
      </c>
      <c r="H14" s="260">
        <f t="shared" si="1"/>
        <v>0.845070422535211</v>
      </c>
      <c r="I14" s="260">
        <f t="shared" si="2"/>
        <v>2.77701607877353</v>
      </c>
      <c r="J14" s="259">
        <v>0.15</v>
      </c>
      <c r="K14" s="260">
        <f t="shared" si="3"/>
        <v>2.8485</v>
      </c>
      <c r="L14" s="265">
        <v>5.37</v>
      </c>
      <c r="M14" s="260">
        <f t="shared" si="4"/>
        <v>7.99448392122647</v>
      </c>
      <c r="N14" s="262">
        <f t="shared" si="5"/>
        <v>0.420983882107766</v>
      </c>
      <c r="O14" s="263">
        <v>0</v>
      </c>
      <c r="P14" s="264">
        <v>0.07</v>
      </c>
      <c r="Q14" s="260">
        <v>0</v>
      </c>
      <c r="R14" s="260">
        <f t="shared" si="6"/>
        <v>1.899</v>
      </c>
      <c r="S14" s="263">
        <f t="shared" si="7"/>
        <v>6.09548392122647</v>
      </c>
      <c r="T14" s="262">
        <f t="shared" si="8"/>
        <v>0.320983882107766</v>
      </c>
      <c r="U14" s="262">
        <f t="shared" si="9"/>
        <v>0.320983882107766</v>
      </c>
      <c r="V14" s="265" t="s">
        <v>224</v>
      </c>
      <c r="W14" s="266">
        <f t="shared" si="10"/>
        <v>0.101734895009917</v>
      </c>
      <c r="X14" s="266">
        <f t="shared" si="11"/>
        <v>0.0445008121398216</v>
      </c>
      <c r="Y14" s="266">
        <f t="shared" si="12"/>
        <v>0.282780410742496</v>
      </c>
      <c r="Z14" s="267">
        <v>0.1</v>
      </c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255"/>
      <c r="AZ14" s="255"/>
      <c r="BA14" s="255"/>
      <c r="BB14" s="255"/>
      <c r="BC14" s="255"/>
      <c r="BD14" s="255"/>
      <c r="BE14" s="255"/>
      <c r="BF14" s="255"/>
      <c r="BG14" s="255"/>
      <c r="BH14" s="255"/>
      <c r="BI14" s="255"/>
      <c r="BJ14" s="255"/>
      <c r="BK14" s="255"/>
      <c r="BL14" s="255"/>
      <c r="BM14" s="255"/>
      <c r="BN14" s="255"/>
      <c r="BO14" s="255"/>
      <c r="BP14" s="255"/>
      <c r="BQ14" s="255"/>
      <c r="BR14" s="255"/>
      <c r="BS14" s="255"/>
      <c r="BT14" s="255"/>
      <c r="BU14" s="255"/>
      <c r="BV14" s="255"/>
      <c r="BW14" s="255"/>
      <c r="BX14" s="255"/>
      <c r="BY14" s="255"/>
      <c r="BZ14" s="255"/>
    </row>
    <row r="15" s="246" customFormat="1" ht="19.5" customHeight="1" spans="1:78">
      <c r="A15" s="256" t="s">
        <v>21</v>
      </c>
      <c r="B15" s="257" t="s">
        <v>228</v>
      </c>
      <c r="C15" s="269">
        <f>C14*0.8</f>
        <v>15.192</v>
      </c>
      <c r="D15" s="259">
        <v>7.1</v>
      </c>
      <c r="E15" s="259">
        <f>15.5/1.13</f>
        <v>13.716814159292</v>
      </c>
      <c r="F15" s="260">
        <f t="shared" si="0"/>
        <v>1.93194565623832</v>
      </c>
      <c r="G15" s="261">
        <v>6</v>
      </c>
      <c r="H15" s="260">
        <f t="shared" si="1"/>
        <v>0.845070422535211</v>
      </c>
      <c r="I15" s="260">
        <f t="shared" si="2"/>
        <v>2.77701607877353</v>
      </c>
      <c r="J15" s="259">
        <v>0.15</v>
      </c>
      <c r="K15" s="260">
        <f t="shared" si="3"/>
        <v>2.2788</v>
      </c>
      <c r="L15" s="268">
        <v>5.37</v>
      </c>
      <c r="M15" s="260">
        <f t="shared" si="4"/>
        <v>4.76618392122647</v>
      </c>
      <c r="N15" s="262">
        <f t="shared" si="5"/>
        <v>0.313729852634707</v>
      </c>
      <c r="O15" s="263">
        <v>0</v>
      </c>
      <c r="P15" s="264">
        <v>0.07</v>
      </c>
      <c r="Q15" s="260">
        <v>0</v>
      </c>
      <c r="R15" s="260">
        <f t="shared" si="6"/>
        <v>1.5192</v>
      </c>
      <c r="S15" s="263">
        <f t="shared" si="7"/>
        <v>3.24698392122647</v>
      </c>
      <c r="T15" s="262">
        <f t="shared" si="8"/>
        <v>0.213729852634707</v>
      </c>
      <c r="U15" s="262">
        <f t="shared" si="9"/>
        <v>0.213729852634707</v>
      </c>
      <c r="V15" s="268" t="s">
        <v>224</v>
      </c>
      <c r="W15" s="266">
        <f t="shared" si="10"/>
        <v>0.127168618762396</v>
      </c>
      <c r="X15" s="266">
        <f t="shared" si="11"/>
        <v>0.0556260151747769</v>
      </c>
      <c r="Y15" s="266">
        <f t="shared" si="12"/>
        <v>0.35347551342812</v>
      </c>
      <c r="Z15" s="267">
        <v>0.1</v>
      </c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255"/>
      <c r="AZ15" s="255"/>
      <c r="BA15" s="255"/>
      <c r="BB15" s="255"/>
      <c r="BC15" s="255"/>
      <c r="BD15" s="255"/>
      <c r="BE15" s="255"/>
      <c r="BF15" s="255"/>
      <c r="BG15" s="255"/>
      <c r="BH15" s="255"/>
      <c r="BI15" s="255"/>
      <c r="BJ15" s="255"/>
      <c r="BK15" s="255"/>
      <c r="BL15" s="255"/>
      <c r="BM15" s="255"/>
      <c r="BN15" s="255"/>
      <c r="BO15" s="255"/>
      <c r="BP15" s="255"/>
      <c r="BQ15" s="255"/>
      <c r="BR15" s="255"/>
      <c r="BS15" s="255"/>
      <c r="BT15" s="255"/>
      <c r="BU15" s="255"/>
      <c r="BV15" s="255"/>
      <c r="BW15" s="255"/>
      <c r="BX15" s="255"/>
      <c r="BY15" s="255"/>
      <c r="BZ15" s="255"/>
    </row>
    <row r="16" s="246" customFormat="1" ht="19.5" customHeight="1" spans="1:78">
      <c r="A16" s="256" t="s">
        <v>21</v>
      </c>
      <c r="B16" s="257" t="s">
        <v>229</v>
      </c>
      <c r="C16" s="269">
        <f>C14*0.7</f>
        <v>13.293</v>
      </c>
      <c r="D16" s="259">
        <v>7.1</v>
      </c>
      <c r="E16" s="259">
        <f>15.5/1.13</f>
        <v>13.716814159292</v>
      </c>
      <c r="F16" s="260">
        <f t="shared" si="0"/>
        <v>1.93194565623832</v>
      </c>
      <c r="G16" s="261">
        <v>6</v>
      </c>
      <c r="H16" s="260">
        <f t="shared" si="1"/>
        <v>0.845070422535211</v>
      </c>
      <c r="I16" s="260">
        <f t="shared" si="2"/>
        <v>2.77701607877353</v>
      </c>
      <c r="J16" s="259">
        <v>0.15</v>
      </c>
      <c r="K16" s="260">
        <f t="shared" si="3"/>
        <v>1.99395</v>
      </c>
      <c r="L16" s="268">
        <v>5.37</v>
      </c>
      <c r="M16" s="260">
        <f t="shared" si="4"/>
        <v>3.15203392122647</v>
      </c>
      <c r="N16" s="262">
        <f t="shared" si="5"/>
        <v>0.237119831582523</v>
      </c>
      <c r="O16" s="263">
        <v>0</v>
      </c>
      <c r="P16" s="264">
        <v>0.07</v>
      </c>
      <c r="Q16" s="260">
        <v>0</v>
      </c>
      <c r="R16" s="260">
        <f t="shared" si="6"/>
        <v>1.3293</v>
      </c>
      <c r="S16" s="263">
        <f t="shared" si="7"/>
        <v>1.82273392122647</v>
      </c>
      <c r="T16" s="262">
        <f t="shared" si="8"/>
        <v>0.137119831582523</v>
      </c>
      <c r="U16" s="262">
        <f t="shared" si="9"/>
        <v>0.137119831582523</v>
      </c>
      <c r="V16" s="268" t="s">
        <v>224</v>
      </c>
      <c r="W16" s="266">
        <f t="shared" si="10"/>
        <v>0.145335564299881</v>
      </c>
      <c r="X16" s="266">
        <f t="shared" si="11"/>
        <v>0.0635725887711737</v>
      </c>
      <c r="Y16" s="266">
        <f t="shared" si="12"/>
        <v>0.403972015346423</v>
      </c>
      <c r="Z16" s="267">
        <v>0.1</v>
      </c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255"/>
      <c r="AZ16" s="255"/>
      <c r="BA16" s="255"/>
      <c r="BB16" s="255"/>
      <c r="BC16" s="255"/>
      <c r="BD16" s="255"/>
      <c r="BE16" s="255"/>
      <c r="BF16" s="255"/>
      <c r="BG16" s="255"/>
      <c r="BH16" s="255"/>
      <c r="BI16" s="255"/>
      <c r="BJ16" s="255"/>
      <c r="BK16" s="255"/>
      <c r="BL16" s="255"/>
      <c r="BM16" s="255"/>
      <c r="BN16" s="255"/>
      <c r="BO16" s="255"/>
      <c r="BP16" s="255"/>
      <c r="BQ16" s="255"/>
      <c r="BR16" s="255"/>
      <c r="BS16" s="255"/>
      <c r="BT16" s="255"/>
      <c r="BU16" s="255"/>
      <c r="BV16" s="255"/>
      <c r="BW16" s="255"/>
      <c r="BX16" s="255"/>
      <c r="BY16" s="255"/>
      <c r="BZ16" s="255"/>
    </row>
    <row r="17" s="246" customFormat="1" ht="19.5" customHeight="1" spans="1:78">
      <c r="A17" s="256" t="s">
        <v>21</v>
      </c>
      <c r="B17" s="265" t="s">
        <v>230</v>
      </c>
      <c r="C17" s="265">
        <v>49.99</v>
      </c>
      <c r="D17" s="259">
        <v>7.1</v>
      </c>
      <c r="E17" s="259">
        <f>147/1.13</f>
        <v>130.088495575221</v>
      </c>
      <c r="F17" s="260">
        <f t="shared" si="0"/>
        <v>18.3223233204537</v>
      </c>
      <c r="G17" s="261">
        <v>10</v>
      </c>
      <c r="H17" s="260">
        <f t="shared" si="1"/>
        <v>1.40845070422535</v>
      </c>
      <c r="I17" s="260">
        <f t="shared" si="2"/>
        <v>19.7307740246791</v>
      </c>
      <c r="J17" s="259">
        <v>0.15</v>
      </c>
      <c r="K17" s="260">
        <f t="shared" si="3"/>
        <v>7.4985</v>
      </c>
      <c r="L17" s="265">
        <v>5.29</v>
      </c>
      <c r="M17" s="260">
        <f t="shared" si="4"/>
        <v>17.470725975321</v>
      </c>
      <c r="N17" s="262">
        <f t="shared" si="5"/>
        <v>0.349484416389697</v>
      </c>
      <c r="O17" s="263">
        <v>0</v>
      </c>
      <c r="P17" s="264">
        <v>0.07</v>
      </c>
      <c r="Q17" s="260">
        <v>0</v>
      </c>
      <c r="R17" s="260">
        <f t="shared" si="6"/>
        <v>4.999</v>
      </c>
      <c r="S17" s="263">
        <f t="shared" si="7"/>
        <v>12.471725975321</v>
      </c>
      <c r="T17" s="262">
        <f t="shared" si="8"/>
        <v>0.249484416389697</v>
      </c>
      <c r="U17" s="262">
        <f t="shared" si="9"/>
        <v>0.249484416389697</v>
      </c>
      <c r="V17" s="268"/>
      <c r="W17" s="266">
        <f t="shared" si="10"/>
        <v>0.366519770363147</v>
      </c>
      <c r="X17" s="266">
        <f t="shared" si="11"/>
        <v>0.0281746490143099</v>
      </c>
      <c r="Y17" s="266">
        <f t="shared" si="12"/>
        <v>0.105821164232847</v>
      </c>
      <c r="Z17" s="267">
        <v>0.1</v>
      </c>
      <c r="AA17" s="255"/>
      <c r="AB17" s="255"/>
      <c r="AC17" s="255"/>
      <c r="AD17" s="255"/>
      <c r="AE17" s="255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255"/>
      <c r="AZ17" s="255"/>
      <c r="BA17" s="255"/>
      <c r="BB17" s="255"/>
      <c r="BC17" s="255"/>
      <c r="BD17" s="255"/>
      <c r="BE17" s="255"/>
      <c r="BF17" s="255"/>
      <c r="BG17" s="255"/>
      <c r="BH17" s="255"/>
      <c r="BI17" s="255"/>
      <c r="BJ17" s="255"/>
      <c r="BK17" s="255"/>
      <c r="BL17" s="255"/>
      <c r="BM17" s="255"/>
      <c r="BN17" s="255"/>
      <c r="BO17" s="255"/>
      <c r="BP17" s="255"/>
      <c r="BQ17" s="255"/>
      <c r="BR17" s="255"/>
      <c r="BS17" s="255"/>
      <c r="BT17" s="255"/>
      <c r="BU17" s="255"/>
      <c r="BV17" s="255"/>
      <c r="BW17" s="255"/>
      <c r="BX17" s="255"/>
      <c r="BY17" s="255"/>
      <c r="BZ17" s="255"/>
    </row>
    <row r="18" s="246" customFormat="1" ht="19.5" customHeight="1" spans="1:78">
      <c r="A18" s="256" t="s">
        <v>21</v>
      </c>
      <c r="B18" s="265" t="s">
        <v>230</v>
      </c>
      <c r="C18" s="258">
        <v>39.99</v>
      </c>
      <c r="D18" s="259">
        <v>7.1</v>
      </c>
      <c r="E18" s="259">
        <v>71</v>
      </c>
      <c r="F18" s="260">
        <f t="shared" si="0"/>
        <v>10</v>
      </c>
      <c r="G18" s="261">
        <v>18</v>
      </c>
      <c r="H18" s="260">
        <f t="shared" si="1"/>
        <v>2.53521126760563</v>
      </c>
      <c r="I18" s="260">
        <f t="shared" si="2"/>
        <v>12.5352112676056</v>
      </c>
      <c r="J18" s="259">
        <v>0.15</v>
      </c>
      <c r="K18" s="260">
        <f t="shared" si="3"/>
        <v>5.9985</v>
      </c>
      <c r="L18" s="260">
        <v>6</v>
      </c>
      <c r="M18" s="260">
        <f t="shared" si="4"/>
        <v>15.4562887323944</v>
      </c>
      <c r="N18" s="262">
        <f t="shared" si="5"/>
        <v>0.386503844270927</v>
      </c>
      <c r="O18" s="263">
        <v>0</v>
      </c>
      <c r="P18" s="264">
        <v>0.07</v>
      </c>
      <c r="Q18" s="260">
        <v>0</v>
      </c>
      <c r="R18" s="260">
        <f t="shared" si="6"/>
        <v>3.999</v>
      </c>
      <c r="S18" s="263">
        <f t="shared" si="7"/>
        <v>11.4572887323944</v>
      </c>
      <c r="T18" s="262">
        <f t="shared" si="8"/>
        <v>0.286503844270927</v>
      </c>
      <c r="U18" s="262">
        <f t="shared" si="9"/>
        <v>0.286503844270927</v>
      </c>
      <c r="V18" s="268"/>
      <c r="W18" s="266">
        <f t="shared" si="10"/>
        <v>0.250062515628907</v>
      </c>
      <c r="X18" s="266">
        <f t="shared" si="11"/>
        <v>0.0633961307228215</v>
      </c>
      <c r="Y18" s="266">
        <f t="shared" si="12"/>
        <v>0.150037509377344</v>
      </c>
      <c r="Z18" s="267">
        <v>0.1</v>
      </c>
      <c r="AA18" s="255"/>
      <c r="AB18" s="255"/>
      <c r="AC18" s="255"/>
      <c r="AD18" s="255"/>
      <c r="AE18" s="25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255"/>
      <c r="AZ18" s="255"/>
      <c r="BA18" s="255"/>
      <c r="BB18" s="255"/>
      <c r="BC18" s="255"/>
      <c r="BD18" s="255"/>
      <c r="BE18" s="255"/>
      <c r="BF18" s="255"/>
      <c r="BG18" s="255"/>
      <c r="BH18" s="255"/>
      <c r="BI18" s="255"/>
      <c r="BJ18" s="255"/>
      <c r="BK18" s="255"/>
      <c r="BL18" s="255"/>
      <c r="BM18" s="255"/>
      <c r="BN18" s="255"/>
      <c r="BO18" s="255"/>
      <c r="BP18" s="255"/>
      <c r="BQ18" s="255"/>
      <c r="BR18" s="255"/>
      <c r="BS18" s="255"/>
      <c r="BT18" s="255"/>
      <c r="BU18" s="255"/>
      <c r="BV18" s="255"/>
      <c r="BW18" s="255"/>
      <c r="BX18" s="255"/>
      <c r="BY18" s="255"/>
      <c r="BZ18" s="255"/>
    </row>
    <row r="19" s="246" customFormat="1" ht="19.5" customHeight="1" spans="1:78">
      <c r="A19" s="256" t="s">
        <v>21</v>
      </c>
      <c r="B19" s="265" t="s">
        <v>230</v>
      </c>
      <c r="C19" s="258">
        <v>39.99</v>
      </c>
      <c r="D19" s="259">
        <v>7.1</v>
      </c>
      <c r="E19" s="259">
        <v>71</v>
      </c>
      <c r="F19" s="260">
        <f t="shared" si="0"/>
        <v>10</v>
      </c>
      <c r="G19" s="261">
        <v>18</v>
      </c>
      <c r="H19" s="260">
        <f t="shared" si="1"/>
        <v>2.53521126760563</v>
      </c>
      <c r="I19" s="260">
        <f t="shared" si="2"/>
        <v>12.5352112676056</v>
      </c>
      <c r="J19" s="259">
        <v>0.15</v>
      </c>
      <c r="K19" s="260">
        <f t="shared" si="3"/>
        <v>5.9985</v>
      </c>
      <c r="L19" s="260">
        <v>6</v>
      </c>
      <c r="M19" s="260">
        <f t="shared" si="4"/>
        <v>15.4562887323944</v>
      </c>
      <c r="N19" s="262">
        <f t="shared" si="5"/>
        <v>0.386503844270927</v>
      </c>
      <c r="O19" s="263">
        <v>0</v>
      </c>
      <c r="P19" s="264">
        <v>0.07</v>
      </c>
      <c r="Q19" s="260">
        <v>0</v>
      </c>
      <c r="R19" s="260">
        <f t="shared" si="6"/>
        <v>3.999</v>
      </c>
      <c r="S19" s="263">
        <f t="shared" si="7"/>
        <v>11.4572887323944</v>
      </c>
      <c r="T19" s="262">
        <f t="shared" si="8"/>
        <v>0.286503844270927</v>
      </c>
      <c r="U19" s="262">
        <f t="shared" si="9"/>
        <v>0.286503844270927</v>
      </c>
      <c r="V19" s="268"/>
      <c r="W19" s="266">
        <f t="shared" si="10"/>
        <v>0.250062515628907</v>
      </c>
      <c r="X19" s="266">
        <f t="shared" si="11"/>
        <v>0.0633961307228215</v>
      </c>
      <c r="Y19" s="266">
        <f t="shared" si="12"/>
        <v>0.150037509377344</v>
      </c>
      <c r="Z19" s="267">
        <v>0.1</v>
      </c>
      <c r="AA19" s="255"/>
      <c r="AB19" s="255"/>
      <c r="AC19" s="255"/>
      <c r="AD19" s="255"/>
      <c r="AE19" s="255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255"/>
      <c r="AZ19" s="255"/>
      <c r="BA19" s="255"/>
      <c r="BB19" s="255"/>
      <c r="BC19" s="255"/>
      <c r="BD19" s="255"/>
      <c r="BE19" s="255"/>
      <c r="BF19" s="255"/>
      <c r="BG19" s="255"/>
      <c r="BH19" s="255"/>
      <c r="BI19" s="255"/>
      <c r="BJ19" s="255"/>
      <c r="BK19" s="255"/>
      <c r="BL19" s="255"/>
      <c r="BM19" s="255"/>
      <c r="BN19" s="255"/>
      <c r="BO19" s="255"/>
      <c r="BP19" s="255"/>
      <c r="BQ19" s="255"/>
      <c r="BR19" s="255"/>
      <c r="BS19" s="255"/>
      <c r="BT19" s="255"/>
      <c r="BU19" s="255"/>
      <c r="BV19" s="255"/>
      <c r="BW19" s="255"/>
      <c r="BX19" s="255"/>
      <c r="BY19" s="255"/>
      <c r="BZ19" s="255"/>
    </row>
    <row r="20" ht="13.8" spans="1:78">
      <c r="A20" s="271"/>
      <c r="B20" s="271"/>
      <c r="C20" s="62"/>
      <c r="D20" s="272"/>
      <c r="E20" s="1"/>
      <c r="F20" s="271"/>
      <c r="G20" s="272"/>
      <c r="H20" s="271"/>
      <c r="I20" s="271"/>
      <c r="J20" s="272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3"/>
      <c r="V20" s="271"/>
      <c r="W20" s="271"/>
      <c r="X20" s="274"/>
      <c r="Y20" s="274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L20" s="271"/>
      <c r="AM20" s="271"/>
      <c r="AN20" s="271"/>
      <c r="AO20" s="271"/>
      <c r="AP20" s="271"/>
      <c r="AQ20" s="271"/>
      <c r="AR20" s="271"/>
      <c r="AS20" s="271"/>
      <c r="AT20" s="271"/>
      <c r="AU20" s="271"/>
      <c r="AV20" s="271"/>
      <c r="AW20" s="271"/>
      <c r="AX20" s="271"/>
      <c r="AY20" s="271"/>
      <c r="AZ20" s="271"/>
      <c r="BA20" s="271"/>
      <c r="BB20" s="271"/>
      <c r="BC20" s="271"/>
      <c r="BD20" s="271"/>
      <c r="BE20" s="271"/>
      <c r="BF20" s="271"/>
      <c r="BG20" s="271"/>
      <c r="BH20" s="271"/>
      <c r="BI20" s="271"/>
      <c r="BJ20" s="271"/>
      <c r="BK20" s="271"/>
      <c r="BL20" s="271"/>
      <c r="BM20" s="271"/>
      <c r="BN20" s="271"/>
      <c r="BO20" s="271"/>
      <c r="BP20" s="271"/>
      <c r="BQ20" s="271"/>
      <c r="BR20" s="271"/>
      <c r="BS20" s="271"/>
      <c r="BT20" s="271"/>
      <c r="BU20" s="271"/>
      <c r="BV20" s="271"/>
      <c r="BW20" s="271"/>
      <c r="BX20" s="271"/>
      <c r="BY20" s="271"/>
      <c r="BZ20" s="271"/>
    </row>
    <row r="21" ht="13.8" spans="1:78">
      <c r="A21" s="271"/>
      <c r="B21" s="271"/>
      <c r="C21" s="271"/>
      <c r="D21" s="272"/>
      <c r="E21" s="272"/>
      <c r="F21" s="271"/>
      <c r="G21" s="272"/>
      <c r="H21" s="271"/>
      <c r="I21" s="271"/>
      <c r="J21" s="272"/>
      <c r="K21" s="271"/>
      <c r="L21" s="271"/>
      <c r="M21" s="271"/>
      <c r="N21" s="271"/>
      <c r="O21" s="271"/>
      <c r="P21" s="271"/>
      <c r="Q21" s="271"/>
      <c r="R21" s="271"/>
      <c r="S21" s="271"/>
      <c r="T21" s="271"/>
      <c r="U21" s="273"/>
      <c r="V21" s="271"/>
      <c r="W21" s="271"/>
      <c r="X21" s="274"/>
      <c r="Y21" s="274"/>
      <c r="Z21" s="271"/>
      <c r="AA21" s="271"/>
      <c r="AB21" s="271"/>
      <c r="AC21" s="271"/>
      <c r="AD21" s="271"/>
      <c r="AE21" s="271"/>
      <c r="AF21" s="271"/>
      <c r="AG21" s="271"/>
      <c r="AH21" s="271"/>
      <c r="AI21" s="271"/>
      <c r="AJ21" s="271"/>
      <c r="AK21" s="271"/>
      <c r="AL21" s="271"/>
      <c r="AM21" s="271"/>
      <c r="AN21" s="271"/>
      <c r="AO21" s="271"/>
      <c r="AP21" s="271"/>
      <c r="AQ21" s="271"/>
      <c r="AR21" s="271"/>
      <c r="AS21" s="271"/>
      <c r="AT21" s="271"/>
      <c r="AU21" s="271"/>
      <c r="AV21" s="271"/>
      <c r="AW21" s="271"/>
      <c r="AX21" s="271"/>
      <c r="AY21" s="271"/>
      <c r="AZ21" s="271"/>
      <c r="BA21" s="271"/>
      <c r="BB21" s="271"/>
      <c r="BC21" s="271"/>
      <c r="BD21" s="271"/>
      <c r="BE21" s="271"/>
      <c r="BF21" s="271"/>
      <c r="BG21" s="271"/>
      <c r="BH21" s="271"/>
      <c r="BI21" s="271"/>
      <c r="BJ21" s="271"/>
      <c r="BK21" s="271"/>
      <c r="BL21" s="271"/>
      <c r="BM21" s="271"/>
      <c r="BN21" s="271"/>
      <c r="BO21" s="271"/>
      <c r="BP21" s="271"/>
      <c r="BQ21" s="271"/>
      <c r="BR21" s="271"/>
      <c r="BS21" s="271"/>
      <c r="BT21" s="271"/>
      <c r="BU21" s="271"/>
      <c r="BV21" s="271"/>
      <c r="BW21" s="271"/>
      <c r="BX21" s="271"/>
      <c r="BY21" s="271"/>
      <c r="BZ21" s="271"/>
    </row>
    <row r="22" ht="13.8" spans="1:78">
      <c r="A22" s="271"/>
      <c r="B22" s="271"/>
      <c r="C22" s="271"/>
      <c r="D22" s="272"/>
      <c r="E22" s="272"/>
      <c r="F22" s="271"/>
      <c r="G22" s="272"/>
      <c r="H22" s="271"/>
      <c r="I22" s="271"/>
      <c r="J22" s="272"/>
      <c r="K22" s="271"/>
      <c r="L22" s="271"/>
      <c r="M22" s="271"/>
      <c r="N22" s="271"/>
      <c r="O22" s="271"/>
      <c r="P22" s="271"/>
      <c r="Q22" s="271"/>
      <c r="R22" s="271"/>
      <c r="S22" s="271"/>
      <c r="T22" s="271"/>
      <c r="U22" s="273"/>
      <c r="V22" s="271"/>
      <c r="W22" s="271"/>
      <c r="X22" s="274"/>
      <c r="Y22" s="274"/>
      <c r="Z22" s="271"/>
      <c r="AA22" s="271"/>
      <c r="AB22" s="271"/>
      <c r="AC22" s="271"/>
      <c r="AD22" s="271"/>
      <c r="AE22" s="271"/>
      <c r="AF22" s="271"/>
      <c r="AG22" s="271"/>
      <c r="AH22" s="271"/>
      <c r="AI22" s="271"/>
      <c r="AJ22" s="271"/>
      <c r="AK22" s="271"/>
      <c r="AL22" s="271"/>
      <c r="AM22" s="271"/>
      <c r="AN22" s="271"/>
      <c r="AO22" s="271"/>
      <c r="AP22" s="271"/>
      <c r="AQ22" s="271"/>
      <c r="AR22" s="271"/>
      <c r="AS22" s="271"/>
      <c r="AT22" s="271"/>
      <c r="AU22" s="271"/>
      <c r="AV22" s="271"/>
      <c r="AW22" s="271"/>
      <c r="AX22" s="271"/>
      <c r="AY22" s="271"/>
      <c r="AZ22" s="271"/>
      <c r="BA22" s="271"/>
      <c r="BB22" s="271"/>
      <c r="BC22" s="271"/>
      <c r="BD22" s="271"/>
      <c r="BE22" s="271"/>
      <c r="BF22" s="271"/>
      <c r="BG22" s="271"/>
      <c r="BH22" s="271"/>
      <c r="BI22" s="271"/>
      <c r="BJ22" s="271"/>
      <c r="BK22" s="271"/>
      <c r="BL22" s="271"/>
      <c r="BM22" s="271"/>
      <c r="BN22" s="271"/>
      <c r="BO22" s="271"/>
      <c r="BP22" s="271"/>
      <c r="BQ22" s="271"/>
      <c r="BR22" s="271"/>
      <c r="BS22" s="271"/>
      <c r="BT22" s="271"/>
      <c r="BU22" s="271"/>
      <c r="BV22" s="271"/>
      <c r="BW22" s="271"/>
      <c r="BX22" s="271"/>
      <c r="BY22" s="271"/>
      <c r="BZ22" s="271"/>
    </row>
    <row r="23" ht="13.8" spans="1:78">
      <c r="A23" s="271"/>
      <c r="B23" s="271"/>
      <c r="C23" s="271"/>
      <c r="D23" s="272"/>
      <c r="E23" s="272"/>
      <c r="F23" s="271"/>
      <c r="G23" s="272"/>
      <c r="H23" s="271"/>
      <c r="I23" s="271"/>
      <c r="J23" s="272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3"/>
      <c r="V23" s="271"/>
      <c r="W23" s="271"/>
      <c r="X23" s="274"/>
      <c r="Y23" s="274"/>
      <c r="Z23" s="271"/>
      <c r="AA23" s="271"/>
      <c r="AB23" s="271"/>
      <c r="AC23" s="271"/>
      <c r="AD23" s="271"/>
      <c r="AE23" s="271"/>
      <c r="AF23" s="271"/>
      <c r="AG23" s="271"/>
      <c r="AH23" s="271"/>
      <c r="AI23" s="271"/>
      <c r="AJ23" s="271"/>
      <c r="AK23" s="271"/>
      <c r="AL23" s="271"/>
      <c r="AM23" s="271"/>
      <c r="AN23" s="271"/>
      <c r="AO23" s="271"/>
      <c r="AP23" s="271"/>
      <c r="AQ23" s="271"/>
      <c r="AR23" s="271"/>
      <c r="AS23" s="271"/>
      <c r="AT23" s="271"/>
      <c r="AU23" s="271"/>
      <c r="AV23" s="271"/>
      <c r="AW23" s="271"/>
      <c r="AX23" s="271"/>
      <c r="AY23" s="271"/>
      <c r="AZ23" s="271"/>
      <c r="BA23" s="271"/>
      <c r="BB23" s="271"/>
      <c r="BC23" s="271"/>
      <c r="BD23" s="271"/>
      <c r="BE23" s="271"/>
      <c r="BF23" s="271"/>
      <c r="BG23" s="271"/>
      <c r="BH23" s="271"/>
      <c r="BI23" s="271"/>
      <c r="BJ23" s="271"/>
      <c r="BK23" s="271"/>
      <c r="BL23" s="271"/>
      <c r="BM23" s="271"/>
      <c r="BN23" s="271"/>
      <c r="BO23" s="271"/>
      <c r="BP23" s="271"/>
      <c r="BQ23" s="271"/>
      <c r="BR23" s="271"/>
      <c r="BS23" s="271"/>
      <c r="BT23" s="271"/>
      <c r="BU23" s="271"/>
      <c r="BV23" s="271"/>
      <c r="BW23" s="271"/>
      <c r="BX23" s="271"/>
      <c r="BY23" s="271"/>
      <c r="BZ23" s="271"/>
    </row>
    <row r="24" ht="13.8" spans="1:78">
      <c r="A24" s="271"/>
      <c r="B24" s="271"/>
      <c r="C24" s="271"/>
      <c r="D24" s="272"/>
      <c r="E24" s="272"/>
      <c r="F24" s="271"/>
      <c r="G24" s="62"/>
      <c r="H24" s="271"/>
      <c r="I24" s="271"/>
      <c r="J24" s="272"/>
      <c r="K24" s="271"/>
      <c r="L24" s="271"/>
      <c r="M24" s="271"/>
      <c r="N24" s="271"/>
      <c r="O24" s="271"/>
      <c r="P24" s="275"/>
      <c r="Q24" s="271"/>
      <c r="R24" s="271"/>
      <c r="S24" s="271"/>
      <c r="T24" s="271"/>
      <c r="U24" s="273"/>
      <c r="V24" s="271"/>
      <c r="W24" s="271"/>
      <c r="X24" s="274"/>
      <c r="Y24" s="274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71"/>
      <c r="AN24" s="271"/>
      <c r="AO24" s="271"/>
      <c r="AP24" s="271"/>
      <c r="AQ24" s="271"/>
      <c r="AR24" s="271"/>
      <c r="AS24" s="271"/>
      <c r="AT24" s="271"/>
      <c r="AU24" s="271"/>
      <c r="AV24" s="271"/>
      <c r="AW24" s="271"/>
      <c r="AX24" s="271"/>
      <c r="AY24" s="271"/>
      <c r="AZ24" s="271"/>
      <c r="BA24" s="271"/>
      <c r="BB24" s="271"/>
      <c r="BC24" s="271"/>
      <c r="BD24" s="271"/>
      <c r="BE24" s="271"/>
      <c r="BF24" s="271"/>
      <c r="BG24" s="271"/>
      <c r="BH24" s="271"/>
      <c r="BI24" s="271"/>
      <c r="BJ24" s="271"/>
      <c r="BK24" s="271"/>
      <c r="BL24" s="271"/>
      <c r="BM24" s="271"/>
      <c r="BN24" s="271"/>
      <c r="BO24" s="271"/>
      <c r="BP24" s="271"/>
      <c r="BQ24" s="271"/>
      <c r="BR24" s="271"/>
      <c r="BS24" s="271"/>
      <c r="BT24" s="271"/>
      <c r="BU24" s="271"/>
      <c r="BV24" s="271"/>
      <c r="BW24" s="271"/>
      <c r="BX24" s="271"/>
      <c r="BY24" s="271"/>
      <c r="BZ24" s="271"/>
    </row>
    <row r="25" ht="13.8" spans="1:78">
      <c r="A25" s="271"/>
      <c r="B25" s="271"/>
      <c r="C25" s="271"/>
      <c r="D25" s="272"/>
      <c r="E25" s="272"/>
      <c r="F25" s="271"/>
      <c r="G25" s="272"/>
      <c r="H25" s="271"/>
      <c r="I25" s="271"/>
      <c r="J25" s="272"/>
      <c r="K25" s="271"/>
      <c r="L25" s="271"/>
      <c r="M25" s="271"/>
      <c r="N25" s="271"/>
      <c r="O25" s="271"/>
      <c r="P25" s="275"/>
      <c r="Q25" s="271"/>
      <c r="R25" s="271"/>
      <c r="S25" s="271"/>
      <c r="T25" s="271"/>
      <c r="U25" s="273"/>
      <c r="V25" s="271"/>
      <c r="W25" s="271"/>
      <c r="X25" s="274"/>
      <c r="Y25" s="274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71"/>
      <c r="AN25" s="271"/>
      <c r="AO25" s="271"/>
      <c r="AP25" s="271"/>
      <c r="AQ25" s="271"/>
      <c r="AR25" s="271"/>
      <c r="AS25" s="271"/>
      <c r="AT25" s="271"/>
      <c r="AU25" s="271"/>
      <c r="AV25" s="271"/>
      <c r="AW25" s="271"/>
      <c r="AX25" s="271"/>
      <c r="AY25" s="271"/>
      <c r="AZ25" s="271"/>
      <c r="BA25" s="271"/>
      <c r="BB25" s="271"/>
      <c r="BC25" s="271"/>
      <c r="BD25" s="271"/>
      <c r="BE25" s="271"/>
      <c r="BF25" s="271"/>
      <c r="BG25" s="271"/>
      <c r="BH25" s="271"/>
      <c r="BI25" s="271"/>
      <c r="BJ25" s="271"/>
      <c r="BK25" s="271"/>
      <c r="BL25" s="271"/>
      <c r="BM25" s="271"/>
      <c r="BN25" s="271"/>
      <c r="BO25" s="271"/>
      <c r="BP25" s="271"/>
      <c r="BQ25" s="271"/>
      <c r="BR25" s="271"/>
      <c r="BS25" s="271"/>
      <c r="BT25" s="271"/>
      <c r="BU25" s="271"/>
      <c r="BV25" s="271"/>
      <c r="BW25" s="271"/>
      <c r="BX25" s="271"/>
      <c r="BY25" s="271"/>
      <c r="BZ25" s="271"/>
    </row>
    <row r="26" ht="13.8" spans="1:78">
      <c r="A26" s="271"/>
      <c r="B26" s="271"/>
      <c r="C26" s="271"/>
      <c r="D26" s="272"/>
      <c r="E26" s="272"/>
      <c r="F26" s="271"/>
      <c r="G26" s="1"/>
      <c r="H26" s="271"/>
      <c r="I26" s="271"/>
      <c r="J26" s="272"/>
      <c r="K26" s="271"/>
      <c r="L26" s="271"/>
      <c r="M26" s="271"/>
      <c r="N26" s="271"/>
      <c r="O26" s="271"/>
      <c r="P26" s="275"/>
      <c r="Q26" s="271"/>
      <c r="R26" s="271"/>
      <c r="S26" s="271"/>
      <c r="T26" s="271"/>
      <c r="U26" s="273"/>
      <c r="V26" s="271"/>
      <c r="W26" s="271"/>
      <c r="X26" s="274"/>
      <c r="Y26" s="274"/>
      <c r="Z26" s="271"/>
      <c r="AA26" s="271"/>
      <c r="AB26" s="271"/>
      <c r="AC26" s="271"/>
      <c r="AD26" s="271"/>
      <c r="AE26" s="271"/>
      <c r="AF26" s="271"/>
      <c r="AG26" s="271"/>
      <c r="AH26" s="271"/>
      <c r="AI26" s="271"/>
      <c r="AJ26" s="271"/>
      <c r="AK26" s="271"/>
      <c r="AL26" s="271"/>
      <c r="AM26" s="271"/>
      <c r="AN26" s="271"/>
      <c r="AO26" s="271"/>
      <c r="AP26" s="271"/>
      <c r="AQ26" s="271"/>
      <c r="AR26" s="271"/>
      <c r="AS26" s="271"/>
      <c r="AT26" s="271"/>
      <c r="AU26" s="271"/>
      <c r="AV26" s="271"/>
      <c r="AW26" s="271"/>
      <c r="AX26" s="271"/>
      <c r="AY26" s="271"/>
      <c r="AZ26" s="271"/>
      <c r="BA26" s="271"/>
      <c r="BB26" s="271"/>
      <c r="BC26" s="271"/>
      <c r="BD26" s="271"/>
      <c r="BE26" s="271"/>
      <c r="BF26" s="271"/>
      <c r="BG26" s="271"/>
      <c r="BH26" s="271"/>
      <c r="BI26" s="271"/>
      <c r="BJ26" s="271"/>
      <c r="BK26" s="271"/>
      <c r="BL26" s="271"/>
      <c r="BM26" s="271"/>
      <c r="BN26" s="271"/>
      <c r="BO26" s="271"/>
      <c r="BP26" s="271"/>
      <c r="BQ26" s="271"/>
      <c r="BR26" s="271"/>
      <c r="BS26" s="271"/>
      <c r="BT26" s="271"/>
      <c r="BU26" s="271"/>
      <c r="BV26" s="271"/>
      <c r="BW26" s="271"/>
      <c r="BX26" s="271"/>
      <c r="BY26" s="271"/>
      <c r="BZ26" s="271"/>
    </row>
    <row r="27" ht="13.8" spans="1:78">
      <c r="A27" s="271"/>
      <c r="B27" s="271"/>
      <c r="C27" s="271"/>
      <c r="D27" s="272"/>
      <c r="E27" s="272"/>
      <c r="F27" s="271"/>
      <c r="G27" s="272"/>
      <c r="H27" s="271"/>
      <c r="I27" s="271"/>
      <c r="J27" s="272"/>
      <c r="K27" s="271"/>
      <c r="L27" s="271"/>
      <c r="M27" s="271"/>
      <c r="N27" s="271"/>
      <c r="O27" s="271"/>
      <c r="P27" s="271"/>
      <c r="Q27" s="271"/>
      <c r="R27" s="271"/>
      <c r="S27" s="271"/>
      <c r="T27" s="271"/>
      <c r="U27" s="273"/>
      <c r="V27" s="271"/>
      <c r="W27" s="271"/>
      <c r="X27" s="274"/>
      <c r="Y27" s="274"/>
      <c r="Z27" s="271"/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/>
      <c r="AO27" s="271"/>
      <c r="AP27" s="271"/>
      <c r="AQ27" s="271"/>
      <c r="AR27" s="271"/>
      <c r="AS27" s="271"/>
      <c r="AT27" s="271"/>
      <c r="AU27" s="271"/>
      <c r="AV27" s="271"/>
      <c r="AW27" s="271"/>
      <c r="AX27" s="271"/>
      <c r="AY27" s="271"/>
      <c r="AZ27" s="271"/>
      <c r="BA27" s="271"/>
      <c r="BB27" s="271"/>
      <c r="BC27" s="271"/>
      <c r="BD27" s="271"/>
      <c r="BE27" s="271"/>
      <c r="BF27" s="271"/>
      <c r="BG27" s="271"/>
      <c r="BH27" s="271"/>
      <c r="BI27" s="271"/>
      <c r="BJ27" s="271"/>
      <c r="BK27" s="271"/>
      <c r="BL27" s="271"/>
      <c r="BM27" s="271"/>
      <c r="BN27" s="271"/>
      <c r="BO27" s="271"/>
      <c r="BP27" s="271"/>
      <c r="BQ27" s="271"/>
      <c r="BR27" s="271"/>
      <c r="BS27" s="271"/>
      <c r="BT27" s="271"/>
      <c r="BU27" s="271"/>
      <c r="BV27" s="271"/>
      <c r="BW27" s="271"/>
      <c r="BX27" s="271"/>
      <c r="BY27" s="271"/>
      <c r="BZ27" s="271"/>
    </row>
    <row r="28" ht="13.8" spans="1:78">
      <c r="A28" s="271"/>
      <c r="B28" s="271"/>
      <c r="C28" s="271"/>
      <c r="D28" s="272"/>
      <c r="E28" s="272"/>
      <c r="F28" s="271"/>
      <c r="G28" s="272"/>
      <c r="H28" s="271"/>
      <c r="I28" s="271"/>
      <c r="J28" s="272"/>
      <c r="K28" s="271"/>
      <c r="L28" s="271"/>
      <c r="M28" s="271"/>
      <c r="N28" s="271"/>
      <c r="O28" s="271"/>
      <c r="P28" s="275"/>
      <c r="Q28" s="271"/>
      <c r="R28" s="271"/>
      <c r="S28" s="271"/>
      <c r="T28" s="271"/>
      <c r="U28" s="273"/>
      <c r="V28" s="271"/>
      <c r="W28" s="271"/>
      <c r="X28" s="274"/>
      <c r="Y28" s="274"/>
      <c r="Z28" s="271"/>
      <c r="AA28" s="271"/>
      <c r="AB28" s="271"/>
      <c r="AC28" s="271"/>
      <c r="AD28" s="271"/>
      <c r="AE28" s="271"/>
      <c r="AF28" s="271"/>
      <c r="AG28" s="271"/>
      <c r="AH28" s="271"/>
      <c r="AI28" s="271"/>
      <c r="AJ28" s="271"/>
      <c r="AK28" s="271"/>
      <c r="AL28" s="271"/>
      <c r="AM28" s="271"/>
      <c r="AN28" s="271"/>
      <c r="AO28" s="271"/>
      <c r="AP28" s="271"/>
      <c r="AQ28" s="271"/>
      <c r="AR28" s="271"/>
      <c r="AS28" s="271"/>
      <c r="AT28" s="271"/>
      <c r="AU28" s="271"/>
      <c r="AV28" s="271"/>
      <c r="AW28" s="271"/>
      <c r="AX28" s="271"/>
      <c r="AY28" s="271"/>
      <c r="AZ28" s="271"/>
      <c r="BA28" s="271"/>
      <c r="BB28" s="271"/>
      <c r="BC28" s="271"/>
      <c r="BD28" s="271"/>
      <c r="BE28" s="271"/>
      <c r="BF28" s="271"/>
      <c r="BG28" s="271"/>
      <c r="BH28" s="271"/>
      <c r="BI28" s="271"/>
      <c r="BJ28" s="271"/>
      <c r="BK28" s="271"/>
      <c r="BL28" s="271"/>
      <c r="BM28" s="271"/>
      <c r="BN28" s="271"/>
      <c r="BO28" s="271"/>
      <c r="BP28" s="271"/>
      <c r="BQ28" s="271"/>
      <c r="BR28" s="271"/>
      <c r="BS28" s="271"/>
      <c r="BT28" s="271"/>
      <c r="BU28" s="271"/>
      <c r="BV28" s="271"/>
      <c r="BW28" s="271"/>
      <c r="BX28" s="271"/>
      <c r="BY28" s="271"/>
      <c r="BZ28" s="271"/>
    </row>
    <row r="29" ht="13.8" spans="1:78">
      <c r="A29" s="271"/>
      <c r="B29" s="271"/>
      <c r="C29" s="271"/>
      <c r="D29" s="272"/>
      <c r="E29" s="272"/>
      <c r="F29" s="271"/>
      <c r="G29" s="272"/>
      <c r="H29" s="271"/>
      <c r="I29" s="271"/>
      <c r="J29" s="272"/>
      <c r="K29" s="271"/>
      <c r="L29" s="271"/>
      <c r="M29" s="271"/>
      <c r="N29" s="271"/>
      <c r="O29" s="271"/>
      <c r="P29" s="275"/>
      <c r="Q29" s="271"/>
      <c r="R29" s="271"/>
      <c r="S29" s="271"/>
      <c r="T29" s="271"/>
      <c r="U29" s="273"/>
      <c r="V29" s="271"/>
      <c r="W29" s="271"/>
      <c r="X29" s="274"/>
      <c r="Y29" s="274"/>
      <c r="Z29" s="271"/>
      <c r="AA29" s="271"/>
      <c r="AB29" s="271"/>
      <c r="AC29" s="271"/>
      <c r="AD29" s="271"/>
      <c r="AE29" s="271"/>
      <c r="AF29" s="271"/>
      <c r="AG29" s="271"/>
      <c r="AH29" s="271"/>
      <c r="AI29" s="271"/>
      <c r="AJ29" s="271"/>
      <c r="AK29" s="271"/>
      <c r="AL29" s="271"/>
      <c r="AM29" s="271"/>
      <c r="AN29" s="271"/>
      <c r="AO29" s="271"/>
      <c r="AP29" s="271"/>
      <c r="AQ29" s="271"/>
      <c r="AR29" s="271"/>
      <c r="AS29" s="271"/>
      <c r="AT29" s="271"/>
      <c r="AU29" s="271"/>
      <c r="AV29" s="271"/>
      <c r="AW29" s="271"/>
      <c r="AX29" s="271"/>
      <c r="AY29" s="271"/>
      <c r="AZ29" s="271"/>
      <c r="BA29" s="271"/>
      <c r="BB29" s="271"/>
      <c r="BC29" s="271"/>
      <c r="BD29" s="271"/>
      <c r="BE29" s="271"/>
      <c r="BF29" s="271"/>
      <c r="BG29" s="271"/>
      <c r="BH29" s="271"/>
      <c r="BI29" s="271"/>
      <c r="BJ29" s="271"/>
      <c r="BK29" s="271"/>
      <c r="BL29" s="271"/>
      <c r="BM29" s="271"/>
      <c r="BN29" s="271"/>
      <c r="BO29" s="271"/>
      <c r="BP29" s="271"/>
      <c r="BQ29" s="271"/>
      <c r="BR29" s="271"/>
      <c r="BS29" s="271"/>
      <c r="BT29" s="271"/>
      <c r="BU29" s="271"/>
      <c r="BV29" s="271"/>
      <c r="BW29" s="271"/>
      <c r="BX29" s="271"/>
      <c r="BY29" s="271"/>
      <c r="BZ29" s="271"/>
    </row>
    <row r="30" ht="13.8" spans="1:78">
      <c r="A30" s="271"/>
      <c r="B30" s="271"/>
      <c r="C30" s="271"/>
      <c r="D30" s="272"/>
      <c r="E30" s="272"/>
      <c r="F30" s="271"/>
      <c r="G30" s="272"/>
      <c r="H30" s="271"/>
      <c r="I30" s="271"/>
      <c r="J30" s="272"/>
      <c r="K30" s="271"/>
      <c r="L30" s="271"/>
      <c r="M30" s="271"/>
      <c r="N30" s="271"/>
      <c r="O30" s="271"/>
      <c r="P30" s="271"/>
      <c r="Q30" s="271"/>
      <c r="R30" s="271"/>
      <c r="S30" s="271"/>
      <c r="T30" s="271"/>
      <c r="U30" s="273"/>
      <c r="V30" s="271"/>
      <c r="W30" s="271"/>
      <c r="X30" s="274"/>
      <c r="Y30" s="274"/>
      <c r="Z30" s="271"/>
      <c r="AA30" s="271"/>
      <c r="AB30" s="271"/>
      <c r="AC30" s="271"/>
      <c r="AD30" s="271"/>
      <c r="AE30" s="271"/>
      <c r="AF30" s="271"/>
      <c r="AG30" s="271"/>
      <c r="AH30" s="271"/>
      <c r="AI30" s="271"/>
      <c r="AJ30" s="271"/>
      <c r="AK30" s="271"/>
      <c r="AL30" s="271"/>
      <c r="AM30" s="271"/>
      <c r="AN30" s="271"/>
      <c r="AO30" s="271"/>
      <c r="AP30" s="271"/>
      <c r="AQ30" s="271"/>
      <c r="AR30" s="271"/>
      <c r="AS30" s="271"/>
      <c r="AT30" s="271"/>
      <c r="AU30" s="271"/>
      <c r="AV30" s="271"/>
      <c r="AW30" s="271"/>
      <c r="AX30" s="271"/>
      <c r="AY30" s="271"/>
      <c r="AZ30" s="271"/>
      <c r="BA30" s="271"/>
      <c r="BB30" s="271"/>
      <c r="BC30" s="271"/>
      <c r="BD30" s="271"/>
      <c r="BE30" s="271"/>
      <c r="BF30" s="271"/>
      <c r="BG30" s="271"/>
      <c r="BH30" s="271"/>
      <c r="BI30" s="271"/>
      <c r="BJ30" s="271"/>
      <c r="BK30" s="271"/>
      <c r="BL30" s="271"/>
      <c r="BM30" s="271"/>
      <c r="BN30" s="271"/>
      <c r="BO30" s="271"/>
      <c r="BP30" s="271"/>
      <c r="BQ30" s="271"/>
      <c r="BR30" s="271"/>
      <c r="BS30" s="271"/>
      <c r="BT30" s="271"/>
      <c r="BU30" s="271"/>
      <c r="BV30" s="271"/>
      <c r="BW30" s="271"/>
      <c r="BX30" s="271"/>
      <c r="BY30" s="271"/>
      <c r="BZ30" s="271"/>
    </row>
    <row r="31" ht="13.8" spans="1:78">
      <c r="A31" s="271"/>
      <c r="B31" s="271"/>
      <c r="C31" s="271"/>
      <c r="D31" s="272"/>
      <c r="E31" s="272"/>
      <c r="F31" s="271"/>
      <c r="G31" s="272"/>
      <c r="H31" s="271"/>
      <c r="I31" s="271"/>
      <c r="J31" s="272"/>
      <c r="K31" s="271"/>
      <c r="L31" s="271"/>
      <c r="M31" s="271"/>
      <c r="N31" s="271"/>
      <c r="O31" s="271"/>
      <c r="P31" s="271"/>
      <c r="Q31" s="271"/>
      <c r="R31" s="271"/>
      <c r="S31" s="271"/>
      <c r="T31" s="271"/>
      <c r="U31" s="273"/>
      <c r="V31" s="271"/>
      <c r="W31" s="271"/>
      <c r="X31" s="274"/>
      <c r="Y31" s="274"/>
      <c r="Z31" s="271"/>
      <c r="AA31" s="271"/>
      <c r="AB31" s="271"/>
      <c r="AC31" s="271"/>
      <c r="AD31" s="271"/>
      <c r="AE31" s="271"/>
      <c r="AF31" s="271"/>
      <c r="AG31" s="271"/>
      <c r="AH31" s="271"/>
      <c r="AI31" s="271"/>
      <c r="AJ31" s="271"/>
      <c r="AK31" s="271"/>
      <c r="AL31" s="271"/>
      <c r="AM31" s="271"/>
      <c r="AN31" s="271"/>
      <c r="AO31" s="271"/>
      <c r="AP31" s="271"/>
      <c r="AQ31" s="271"/>
      <c r="AR31" s="271"/>
      <c r="AS31" s="271"/>
      <c r="AT31" s="271"/>
      <c r="AU31" s="271"/>
      <c r="AV31" s="271"/>
      <c r="AW31" s="271"/>
      <c r="AX31" s="271"/>
      <c r="AY31" s="271"/>
      <c r="AZ31" s="271"/>
      <c r="BA31" s="271"/>
      <c r="BB31" s="271"/>
      <c r="BC31" s="271"/>
      <c r="BD31" s="271"/>
      <c r="BE31" s="271"/>
      <c r="BF31" s="271"/>
      <c r="BG31" s="271"/>
      <c r="BH31" s="271"/>
      <c r="BI31" s="271"/>
      <c r="BJ31" s="271"/>
      <c r="BK31" s="271"/>
      <c r="BL31" s="271"/>
      <c r="BM31" s="271"/>
      <c r="BN31" s="271"/>
      <c r="BO31" s="271"/>
      <c r="BP31" s="271"/>
      <c r="BQ31" s="271"/>
      <c r="BR31" s="271"/>
      <c r="BS31" s="271"/>
      <c r="BT31" s="271"/>
      <c r="BU31" s="271"/>
      <c r="BV31" s="271"/>
      <c r="BW31" s="271"/>
      <c r="BX31" s="271"/>
      <c r="BY31" s="271"/>
      <c r="BZ31" s="271"/>
    </row>
    <row r="32" ht="13.8" spans="1:78">
      <c r="A32" s="271"/>
      <c r="B32" s="271"/>
      <c r="C32" s="271"/>
      <c r="D32" s="272"/>
      <c r="E32" s="272"/>
      <c r="F32" s="271"/>
      <c r="G32" s="272"/>
      <c r="H32" s="271"/>
      <c r="I32" s="271"/>
      <c r="J32" s="272"/>
      <c r="K32" s="271"/>
      <c r="L32" s="271"/>
      <c r="M32" s="271"/>
      <c r="N32" s="271"/>
      <c r="O32" s="271"/>
      <c r="P32" s="271"/>
      <c r="Q32" s="271"/>
      <c r="R32" s="271"/>
      <c r="S32" s="271"/>
      <c r="T32" s="271"/>
      <c r="U32" s="273"/>
      <c r="V32" s="271"/>
      <c r="W32" s="271"/>
      <c r="X32" s="274"/>
      <c r="Y32" s="274"/>
      <c r="Z32" s="271"/>
      <c r="AA32" s="271"/>
      <c r="AB32" s="271"/>
      <c r="AC32" s="271"/>
      <c r="AD32" s="271"/>
      <c r="AE32" s="271"/>
      <c r="AF32" s="271"/>
      <c r="AG32" s="271"/>
      <c r="AH32" s="271"/>
      <c r="AI32" s="271"/>
      <c r="AJ32" s="271"/>
      <c r="AK32" s="271"/>
      <c r="AL32" s="271"/>
      <c r="AM32" s="271"/>
      <c r="AN32" s="271"/>
      <c r="AO32" s="271"/>
      <c r="AP32" s="271"/>
      <c r="AQ32" s="271"/>
      <c r="AR32" s="271"/>
      <c r="AS32" s="271"/>
      <c r="AT32" s="271"/>
      <c r="AU32" s="271"/>
      <c r="AV32" s="271"/>
      <c r="AW32" s="271"/>
      <c r="AX32" s="271"/>
      <c r="AY32" s="271"/>
      <c r="AZ32" s="271"/>
      <c r="BA32" s="271"/>
      <c r="BB32" s="271"/>
      <c r="BC32" s="271"/>
      <c r="BD32" s="271"/>
      <c r="BE32" s="271"/>
      <c r="BF32" s="271"/>
      <c r="BG32" s="271"/>
      <c r="BH32" s="271"/>
      <c r="BI32" s="271"/>
      <c r="BJ32" s="271"/>
      <c r="BK32" s="271"/>
      <c r="BL32" s="271"/>
      <c r="BM32" s="271"/>
      <c r="BN32" s="271"/>
      <c r="BO32" s="271"/>
      <c r="BP32" s="271"/>
      <c r="BQ32" s="271"/>
      <c r="BR32" s="271"/>
      <c r="BS32" s="271"/>
      <c r="BT32" s="271"/>
      <c r="BU32" s="271"/>
      <c r="BV32" s="271"/>
      <c r="BW32" s="271"/>
      <c r="BX32" s="271"/>
      <c r="BY32" s="271"/>
      <c r="BZ32" s="271"/>
    </row>
    <row r="33" ht="13.8" spans="1:78">
      <c r="A33" s="271"/>
      <c r="B33" s="271"/>
      <c r="C33" s="271"/>
      <c r="D33" s="272"/>
      <c r="E33" s="272"/>
      <c r="F33" s="271"/>
      <c r="G33" s="272"/>
      <c r="H33" s="271"/>
      <c r="I33" s="271"/>
      <c r="J33" s="272"/>
      <c r="K33" s="271"/>
      <c r="L33" s="271"/>
      <c r="M33" s="271"/>
      <c r="N33" s="271"/>
      <c r="O33" s="271"/>
      <c r="P33" s="271"/>
      <c r="Q33" s="271"/>
      <c r="R33" s="271"/>
      <c r="S33" s="271"/>
      <c r="T33" s="271"/>
      <c r="U33" s="273"/>
      <c r="V33" s="271"/>
      <c r="W33" s="271"/>
      <c r="X33" s="274"/>
      <c r="Y33" s="274"/>
      <c r="Z33" s="271"/>
      <c r="AA33" s="271"/>
      <c r="AB33" s="271"/>
      <c r="AC33" s="271"/>
      <c r="AD33" s="271"/>
      <c r="AE33" s="271"/>
      <c r="AF33" s="271"/>
      <c r="AG33" s="271"/>
      <c r="AH33" s="271"/>
      <c r="AI33" s="271"/>
      <c r="AJ33" s="271"/>
      <c r="AK33" s="271"/>
      <c r="AL33" s="271"/>
      <c r="AM33" s="271"/>
      <c r="AN33" s="271"/>
      <c r="AO33" s="271"/>
      <c r="AP33" s="271"/>
      <c r="AQ33" s="271"/>
      <c r="AR33" s="271"/>
      <c r="AS33" s="271"/>
      <c r="AT33" s="271"/>
      <c r="AU33" s="271"/>
      <c r="AV33" s="271"/>
      <c r="AW33" s="271"/>
      <c r="AX33" s="271"/>
      <c r="AY33" s="271"/>
      <c r="AZ33" s="271"/>
      <c r="BA33" s="271"/>
      <c r="BB33" s="271"/>
      <c r="BC33" s="271"/>
      <c r="BD33" s="271"/>
      <c r="BE33" s="271"/>
      <c r="BF33" s="271"/>
      <c r="BG33" s="271"/>
      <c r="BH33" s="271"/>
      <c r="BI33" s="271"/>
      <c r="BJ33" s="271"/>
      <c r="BK33" s="271"/>
      <c r="BL33" s="271"/>
      <c r="BM33" s="271"/>
      <c r="BN33" s="271"/>
      <c r="BO33" s="271"/>
      <c r="BP33" s="271"/>
      <c r="BQ33" s="271"/>
      <c r="BR33" s="271"/>
      <c r="BS33" s="271"/>
      <c r="BT33" s="271"/>
      <c r="BU33" s="271"/>
      <c r="BV33" s="271"/>
      <c r="BW33" s="271"/>
      <c r="BX33" s="271"/>
      <c r="BY33" s="271"/>
      <c r="BZ33" s="271"/>
    </row>
    <row r="34" ht="13.8" spans="1:78">
      <c r="A34" s="271"/>
      <c r="B34" s="271"/>
      <c r="C34" s="271"/>
      <c r="D34" s="272"/>
      <c r="E34" s="272"/>
      <c r="F34" s="271"/>
      <c r="G34" s="272"/>
      <c r="H34" s="271"/>
      <c r="I34" s="271"/>
      <c r="J34" s="272"/>
      <c r="K34" s="271"/>
      <c r="L34" s="271"/>
      <c r="M34" s="271"/>
      <c r="N34" s="271"/>
      <c r="O34" s="271"/>
      <c r="P34" s="271"/>
      <c r="Q34" s="271"/>
      <c r="R34" s="271"/>
      <c r="S34" s="271"/>
      <c r="T34" s="271"/>
      <c r="U34" s="273"/>
      <c r="V34" s="271"/>
      <c r="W34" s="271"/>
      <c r="X34" s="274"/>
      <c r="Y34" s="274"/>
      <c r="Z34" s="271"/>
      <c r="AA34" s="271"/>
      <c r="AB34" s="271"/>
      <c r="AC34" s="271"/>
      <c r="AD34" s="271"/>
      <c r="AE34" s="271"/>
      <c r="AF34" s="271"/>
      <c r="AG34" s="271"/>
      <c r="AH34" s="271"/>
      <c r="AI34" s="271"/>
      <c r="AJ34" s="271"/>
      <c r="AK34" s="271"/>
      <c r="AL34" s="271"/>
      <c r="AM34" s="271"/>
      <c r="AN34" s="271"/>
      <c r="AO34" s="271"/>
      <c r="AP34" s="271"/>
      <c r="AQ34" s="271"/>
      <c r="AR34" s="271"/>
      <c r="AS34" s="271"/>
      <c r="AT34" s="271"/>
      <c r="AU34" s="271"/>
      <c r="AV34" s="271"/>
      <c r="AW34" s="271"/>
      <c r="AX34" s="271"/>
      <c r="AY34" s="271"/>
      <c r="AZ34" s="271"/>
      <c r="BA34" s="271"/>
      <c r="BB34" s="271"/>
      <c r="BC34" s="271"/>
      <c r="BD34" s="271"/>
      <c r="BE34" s="271"/>
      <c r="BF34" s="271"/>
      <c r="BG34" s="271"/>
      <c r="BH34" s="271"/>
      <c r="BI34" s="271"/>
      <c r="BJ34" s="271"/>
      <c r="BK34" s="271"/>
      <c r="BL34" s="271"/>
      <c r="BM34" s="271"/>
      <c r="BN34" s="271"/>
      <c r="BO34" s="271"/>
      <c r="BP34" s="271"/>
      <c r="BQ34" s="271"/>
      <c r="BR34" s="271"/>
      <c r="BS34" s="271"/>
      <c r="BT34" s="271"/>
      <c r="BU34" s="271"/>
      <c r="BV34" s="271"/>
      <c r="BW34" s="271"/>
      <c r="BX34" s="271"/>
      <c r="BY34" s="271"/>
      <c r="BZ34" s="271"/>
    </row>
    <row r="35" ht="13.8" spans="1:78">
      <c r="A35" s="271"/>
      <c r="B35" s="271"/>
      <c r="C35" s="271"/>
      <c r="D35" s="272"/>
      <c r="E35" s="272"/>
      <c r="F35" s="271"/>
      <c r="G35" s="272"/>
      <c r="H35" s="271"/>
      <c r="I35" s="271"/>
      <c r="J35" s="272"/>
      <c r="K35" s="271"/>
      <c r="L35" s="271"/>
      <c r="M35" s="271"/>
      <c r="N35" s="271"/>
      <c r="O35" s="271"/>
      <c r="P35" s="271"/>
      <c r="Q35" s="271"/>
      <c r="R35" s="271"/>
      <c r="S35" s="271"/>
      <c r="T35" s="271"/>
      <c r="U35" s="273"/>
      <c r="V35" s="271"/>
      <c r="W35" s="271"/>
      <c r="X35" s="274"/>
      <c r="Y35" s="274"/>
      <c r="Z35" s="271"/>
      <c r="AA35" s="271"/>
      <c r="AB35" s="271"/>
      <c r="AC35" s="271"/>
      <c r="AD35" s="271"/>
      <c r="AE35" s="271"/>
      <c r="AF35" s="271"/>
      <c r="AG35" s="271"/>
      <c r="AH35" s="271"/>
      <c r="AI35" s="271"/>
      <c r="AJ35" s="271"/>
      <c r="AK35" s="271"/>
      <c r="AL35" s="271"/>
      <c r="AM35" s="271"/>
      <c r="AN35" s="271"/>
      <c r="AO35" s="271"/>
      <c r="AP35" s="271"/>
      <c r="AQ35" s="271"/>
      <c r="AR35" s="271"/>
      <c r="AS35" s="271"/>
      <c r="AT35" s="271"/>
      <c r="AU35" s="271"/>
      <c r="AV35" s="271"/>
      <c r="AW35" s="271"/>
      <c r="AX35" s="271"/>
      <c r="AY35" s="271"/>
      <c r="AZ35" s="271"/>
      <c r="BA35" s="271"/>
      <c r="BB35" s="271"/>
      <c r="BC35" s="271"/>
      <c r="BD35" s="271"/>
      <c r="BE35" s="271"/>
      <c r="BF35" s="271"/>
      <c r="BG35" s="271"/>
      <c r="BH35" s="271"/>
      <c r="BI35" s="271"/>
      <c r="BJ35" s="271"/>
      <c r="BK35" s="271"/>
      <c r="BL35" s="271"/>
      <c r="BM35" s="271"/>
      <c r="BN35" s="271"/>
      <c r="BO35" s="271"/>
      <c r="BP35" s="271"/>
      <c r="BQ35" s="271"/>
      <c r="BR35" s="271"/>
      <c r="BS35" s="271"/>
      <c r="BT35" s="271"/>
      <c r="BU35" s="271"/>
      <c r="BV35" s="271"/>
      <c r="BW35" s="271"/>
      <c r="BX35" s="271"/>
      <c r="BY35" s="271"/>
      <c r="BZ35" s="271"/>
    </row>
    <row r="36" ht="13.8" spans="1:78">
      <c r="A36" s="271"/>
      <c r="B36" s="271"/>
      <c r="C36" s="271"/>
      <c r="D36" s="272"/>
      <c r="E36" s="272"/>
      <c r="F36" s="271"/>
      <c r="G36" s="272"/>
      <c r="H36" s="271"/>
      <c r="I36" s="271"/>
      <c r="J36" s="272"/>
      <c r="K36" s="271"/>
      <c r="L36" s="271"/>
      <c r="M36" s="271"/>
      <c r="N36" s="271"/>
      <c r="O36" s="271"/>
      <c r="P36" s="271"/>
      <c r="Q36" s="271"/>
      <c r="R36" s="271"/>
      <c r="S36" s="271"/>
      <c r="T36" s="271"/>
      <c r="U36" s="273"/>
      <c r="V36" s="271"/>
      <c r="W36" s="271"/>
      <c r="X36" s="274"/>
      <c r="Y36" s="274"/>
      <c r="Z36" s="271"/>
      <c r="AA36" s="271"/>
      <c r="AB36" s="271"/>
      <c r="AC36" s="271"/>
      <c r="AD36" s="271"/>
      <c r="AE36" s="271"/>
      <c r="AF36" s="271"/>
      <c r="AG36" s="271"/>
      <c r="AH36" s="271"/>
      <c r="AI36" s="271"/>
      <c r="AJ36" s="271"/>
      <c r="AK36" s="271"/>
      <c r="AL36" s="271"/>
      <c r="AM36" s="271"/>
      <c r="AN36" s="271"/>
      <c r="AO36" s="271"/>
      <c r="AP36" s="271"/>
      <c r="AQ36" s="271"/>
      <c r="AR36" s="271"/>
      <c r="AS36" s="271"/>
      <c r="AT36" s="271"/>
      <c r="AU36" s="271"/>
      <c r="AV36" s="271"/>
      <c r="AW36" s="271"/>
      <c r="AX36" s="271"/>
      <c r="AY36" s="271"/>
      <c r="AZ36" s="271"/>
      <c r="BA36" s="271"/>
      <c r="BB36" s="271"/>
      <c r="BC36" s="271"/>
      <c r="BD36" s="271"/>
      <c r="BE36" s="271"/>
      <c r="BF36" s="271"/>
      <c r="BG36" s="271"/>
      <c r="BH36" s="271"/>
      <c r="BI36" s="271"/>
      <c r="BJ36" s="271"/>
      <c r="BK36" s="271"/>
      <c r="BL36" s="271"/>
      <c r="BM36" s="271"/>
      <c r="BN36" s="271"/>
      <c r="BO36" s="271"/>
      <c r="BP36" s="271"/>
      <c r="BQ36" s="271"/>
      <c r="BR36" s="271"/>
      <c r="BS36" s="271"/>
      <c r="BT36" s="271"/>
      <c r="BU36" s="271"/>
      <c r="BV36" s="271"/>
      <c r="BW36" s="271"/>
      <c r="BX36" s="271"/>
      <c r="BY36" s="271"/>
      <c r="BZ36" s="271"/>
    </row>
    <row r="37" ht="13.8" spans="1:78">
      <c r="A37" s="271"/>
      <c r="B37" s="271"/>
      <c r="C37" s="271"/>
      <c r="D37" s="272"/>
      <c r="E37" s="272"/>
      <c r="F37" s="271"/>
      <c r="G37" s="272"/>
      <c r="H37" s="271"/>
      <c r="I37" s="271"/>
      <c r="J37" s="272"/>
      <c r="K37" s="271"/>
      <c r="L37" s="271"/>
      <c r="M37" s="271"/>
      <c r="N37" s="271"/>
      <c r="O37" s="271"/>
      <c r="P37" s="271"/>
      <c r="Q37" s="271"/>
      <c r="R37" s="271"/>
      <c r="S37" s="271"/>
      <c r="T37" s="271"/>
      <c r="U37" s="273"/>
      <c r="V37" s="271"/>
      <c r="W37" s="271"/>
      <c r="X37" s="274"/>
      <c r="Y37" s="274"/>
      <c r="Z37" s="271"/>
      <c r="AA37" s="271"/>
      <c r="AB37" s="271"/>
      <c r="AC37" s="271"/>
      <c r="AD37" s="271"/>
      <c r="AE37" s="271"/>
      <c r="AF37" s="271"/>
      <c r="AG37" s="271"/>
      <c r="AH37" s="271"/>
      <c r="AI37" s="271"/>
      <c r="AJ37" s="271"/>
      <c r="AK37" s="271"/>
      <c r="AL37" s="271"/>
      <c r="AM37" s="271"/>
      <c r="AN37" s="271"/>
      <c r="AO37" s="271"/>
      <c r="AP37" s="271"/>
      <c r="AQ37" s="271"/>
      <c r="AR37" s="271"/>
      <c r="AS37" s="271"/>
      <c r="AT37" s="271"/>
      <c r="AU37" s="271"/>
      <c r="AV37" s="271"/>
      <c r="AW37" s="271"/>
      <c r="AX37" s="271"/>
      <c r="AY37" s="271"/>
      <c r="AZ37" s="271"/>
      <c r="BA37" s="271"/>
      <c r="BB37" s="271"/>
      <c r="BC37" s="271"/>
      <c r="BD37" s="271"/>
      <c r="BE37" s="271"/>
      <c r="BF37" s="271"/>
      <c r="BG37" s="271"/>
      <c r="BH37" s="271"/>
      <c r="BI37" s="271"/>
      <c r="BJ37" s="271"/>
      <c r="BK37" s="271"/>
      <c r="BL37" s="271"/>
      <c r="BM37" s="271"/>
      <c r="BN37" s="271"/>
      <c r="BO37" s="271"/>
      <c r="BP37" s="271"/>
      <c r="BQ37" s="271"/>
      <c r="BR37" s="271"/>
      <c r="BS37" s="271"/>
      <c r="BT37" s="271"/>
      <c r="BU37" s="271"/>
      <c r="BV37" s="271"/>
      <c r="BW37" s="271"/>
      <c r="BX37" s="271"/>
      <c r="BY37" s="271"/>
      <c r="BZ37" s="271"/>
    </row>
    <row r="38" ht="13.8" spans="1:78">
      <c r="A38" s="271"/>
      <c r="B38" s="271"/>
      <c r="C38" s="271"/>
      <c r="D38" s="272"/>
      <c r="E38" s="272"/>
      <c r="F38" s="271"/>
      <c r="G38" s="272"/>
      <c r="H38" s="271"/>
      <c r="I38" s="271"/>
      <c r="J38" s="272"/>
      <c r="K38" s="271"/>
      <c r="L38" s="271"/>
      <c r="M38" s="271"/>
      <c r="N38" s="271"/>
      <c r="O38" s="271"/>
      <c r="P38" s="271"/>
      <c r="Q38" s="271"/>
      <c r="R38" s="271"/>
      <c r="S38" s="271"/>
      <c r="T38" s="271"/>
      <c r="U38" s="273"/>
      <c r="V38" s="271"/>
      <c r="W38" s="271"/>
      <c r="X38" s="274"/>
      <c r="Y38" s="274"/>
      <c r="Z38" s="271"/>
      <c r="AA38" s="271"/>
      <c r="AB38" s="271"/>
      <c r="AC38" s="271"/>
      <c r="AD38" s="271"/>
      <c r="AE38" s="271"/>
      <c r="AF38" s="271"/>
      <c r="AG38" s="271"/>
      <c r="AH38" s="271"/>
      <c r="AI38" s="271"/>
      <c r="AJ38" s="271"/>
      <c r="AK38" s="271"/>
      <c r="AL38" s="271"/>
      <c r="AM38" s="271"/>
      <c r="AN38" s="271"/>
      <c r="AO38" s="271"/>
      <c r="AP38" s="271"/>
      <c r="AQ38" s="271"/>
      <c r="AR38" s="271"/>
      <c r="AS38" s="271"/>
      <c r="AT38" s="271"/>
      <c r="AU38" s="271"/>
      <c r="AV38" s="271"/>
      <c r="AW38" s="271"/>
      <c r="AX38" s="271"/>
      <c r="AY38" s="271"/>
      <c r="AZ38" s="271"/>
      <c r="BA38" s="271"/>
      <c r="BB38" s="271"/>
      <c r="BC38" s="271"/>
      <c r="BD38" s="271"/>
      <c r="BE38" s="271"/>
      <c r="BF38" s="271"/>
      <c r="BG38" s="271"/>
      <c r="BH38" s="271"/>
      <c r="BI38" s="271"/>
      <c r="BJ38" s="271"/>
      <c r="BK38" s="271"/>
      <c r="BL38" s="271"/>
      <c r="BM38" s="271"/>
      <c r="BN38" s="271"/>
      <c r="BO38" s="271"/>
      <c r="BP38" s="271"/>
      <c r="BQ38" s="271"/>
      <c r="BR38" s="271"/>
      <c r="BS38" s="271"/>
      <c r="BT38" s="271"/>
      <c r="BU38" s="271"/>
      <c r="BV38" s="271"/>
      <c r="BW38" s="271"/>
      <c r="BX38" s="271"/>
      <c r="BY38" s="271"/>
      <c r="BZ38" s="271"/>
    </row>
    <row r="39" ht="13.8" spans="1:78">
      <c r="A39" s="271"/>
      <c r="B39" s="271"/>
      <c r="C39" s="271"/>
      <c r="D39" s="272"/>
      <c r="E39" s="272"/>
      <c r="F39" s="271"/>
      <c r="G39" s="272"/>
      <c r="H39" s="271"/>
      <c r="I39" s="271"/>
      <c r="J39" s="272"/>
      <c r="K39" s="271"/>
      <c r="L39" s="271"/>
      <c r="M39" s="271"/>
      <c r="N39" s="271"/>
      <c r="O39" s="271"/>
      <c r="P39" s="271"/>
      <c r="Q39" s="271"/>
      <c r="R39" s="271"/>
      <c r="S39" s="271"/>
      <c r="T39" s="271"/>
      <c r="U39" s="273"/>
      <c r="V39" s="271"/>
      <c r="W39" s="271"/>
      <c r="X39" s="274"/>
      <c r="Y39" s="274"/>
      <c r="Z39" s="271"/>
      <c r="AA39" s="271"/>
      <c r="AB39" s="271"/>
      <c r="AC39" s="271"/>
      <c r="AD39" s="271"/>
      <c r="AE39" s="271"/>
      <c r="AF39" s="271"/>
      <c r="AG39" s="271"/>
      <c r="AH39" s="271"/>
      <c r="AI39" s="271"/>
      <c r="AJ39" s="271"/>
      <c r="AK39" s="271"/>
      <c r="AL39" s="271"/>
      <c r="AM39" s="271"/>
      <c r="AN39" s="271"/>
      <c r="AO39" s="271"/>
      <c r="AP39" s="271"/>
      <c r="AQ39" s="271"/>
      <c r="AR39" s="271"/>
      <c r="AS39" s="271"/>
      <c r="AT39" s="271"/>
      <c r="AU39" s="271"/>
      <c r="AV39" s="271"/>
      <c r="AW39" s="271"/>
      <c r="AX39" s="271"/>
      <c r="AY39" s="271"/>
      <c r="AZ39" s="271"/>
      <c r="BA39" s="271"/>
      <c r="BB39" s="271"/>
      <c r="BC39" s="271"/>
      <c r="BD39" s="271"/>
      <c r="BE39" s="271"/>
      <c r="BF39" s="271"/>
      <c r="BG39" s="271"/>
      <c r="BH39" s="271"/>
      <c r="BI39" s="271"/>
      <c r="BJ39" s="271"/>
      <c r="BK39" s="271"/>
      <c r="BL39" s="271"/>
      <c r="BM39" s="271"/>
      <c r="BN39" s="271"/>
      <c r="BO39" s="271"/>
      <c r="BP39" s="271"/>
      <c r="BQ39" s="271"/>
      <c r="BR39" s="271"/>
      <c r="BS39" s="271"/>
      <c r="BT39" s="271"/>
      <c r="BU39" s="271"/>
      <c r="BV39" s="271"/>
      <c r="BW39" s="271"/>
      <c r="BX39" s="271"/>
      <c r="BY39" s="271"/>
      <c r="BZ39" s="271"/>
    </row>
    <row r="40" ht="13.8" spans="1:78">
      <c r="A40" s="271"/>
      <c r="B40" s="271"/>
      <c r="C40" s="271"/>
      <c r="D40" s="272"/>
      <c r="E40" s="272"/>
      <c r="F40" s="271"/>
      <c r="G40" s="272"/>
      <c r="H40" s="271"/>
      <c r="I40" s="271"/>
      <c r="J40" s="272"/>
      <c r="K40" s="271"/>
      <c r="L40" s="271"/>
      <c r="M40" s="271"/>
      <c r="N40" s="271"/>
      <c r="O40" s="271"/>
      <c r="P40" s="271"/>
      <c r="Q40" s="271"/>
      <c r="R40" s="271"/>
      <c r="S40" s="271"/>
      <c r="T40" s="271"/>
      <c r="U40" s="273"/>
      <c r="V40" s="271"/>
      <c r="W40" s="271"/>
      <c r="X40" s="274"/>
      <c r="Y40" s="274"/>
      <c r="Z40" s="271"/>
      <c r="AA40" s="271"/>
      <c r="AB40" s="271"/>
      <c r="AC40" s="271"/>
      <c r="AD40" s="271"/>
      <c r="AE40" s="271"/>
      <c r="AF40" s="271"/>
      <c r="AG40" s="271"/>
      <c r="AH40" s="271"/>
      <c r="AI40" s="271"/>
      <c r="AJ40" s="271"/>
      <c r="AK40" s="271"/>
      <c r="AL40" s="271"/>
      <c r="AM40" s="271"/>
      <c r="AN40" s="271"/>
      <c r="AO40" s="271"/>
      <c r="AP40" s="271"/>
      <c r="AQ40" s="271"/>
      <c r="AR40" s="271"/>
      <c r="AS40" s="271"/>
      <c r="AT40" s="271"/>
      <c r="AU40" s="271"/>
      <c r="AV40" s="271"/>
      <c r="AW40" s="271"/>
      <c r="AX40" s="271"/>
      <c r="AY40" s="271"/>
      <c r="AZ40" s="271"/>
      <c r="BA40" s="271"/>
      <c r="BB40" s="271"/>
      <c r="BC40" s="271"/>
      <c r="BD40" s="271"/>
      <c r="BE40" s="271"/>
      <c r="BF40" s="271"/>
      <c r="BG40" s="271"/>
      <c r="BH40" s="271"/>
      <c r="BI40" s="271"/>
      <c r="BJ40" s="271"/>
      <c r="BK40" s="271"/>
      <c r="BL40" s="271"/>
      <c r="BM40" s="271"/>
      <c r="BN40" s="271"/>
      <c r="BO40" s="271"/>
      <c r="BP40" s="271"/>
      <c r="BQ40" s="271"/>
      <c r="BR40" s="271"/>
      <c r="BS40" s="271"/>
      <c r="BT40" s="271"/>
      <c r="BU40" s="271"/>
      <c r="BV40" s="271"/>
      <c r="BW40" s="271"/>
      <c r="BX40" s="271"/>
      <c r="BY40" s="271"/>
      <c r="BZ40" s="271"/>
    </row>
    <row r="41" ht="13.8" spans="1:78">
      <c r="A41" s="271"/>
      <c r="B41" s="271"/>
      <c r="C41" s="271"/>
      <c r="D41" s="272"/>
      <c r="E41" s="272"/>
      <c r="F41" s="271"/>
      <c r="G41" s="272"/>
      <c r="H41" s="271"/>
      <c r="I41" s="271"/>
      <c r="J41" s="272"/>
      <c r="K41" s="271"/>
      <c r="L41" s="271"/>
      <c r="M41" s="271"/>
      <c r="N41" s="271"/>
      <c r="O41" s="271"/>
      <c r="P41" s="271"/>
      <c r="Q41" s="271"/>
      <c r="R41" s="271"/>
      <c r="S41" s="271"/>
      <c r="T41" s="271"/>
      <c r="U41" s="273"/>
      <c r="V41" s="271"/>
      <c r="W41" s="271"/>
      <c r="X41" s="274"/>
      <c r="Y41" s="274"/>
      <c r="Z41" s="271"/>
      <c r="AA41" s="271"/>
      <c r="AB41" s="271"/>
      <c r="AC41" s="271"/>
      <c r="AD41" s="271"/>
      <c r="AE41" s="271"/>
      <c r="AF41" s="271"/>
      <c r="AG41" s="271"/>
      <c r="AH41" s="271"/>
      <c r="AI41" s="271"/>
      <c r="AJ41" s="271"/>
      <c r="AK41" s="271"/>
      <c r="AL41" s="271"/>
      <c r="AM41" s="271"/>
      <c r="AN41" s="271"/>
      <c r="AO41" s="271"/>
      <c r="AP41" s="271"/>
      <c r="AQ41" s="271"/>
      <c r="AR41" s="271"/>
      <c r="AS41" s="271"/>
      <c r="AT41" s="271"/>
      <c r="AU41" s="271"/>
      <c r="AV41" s="271"/>
      <c r="AW41" s="271"/>
      <c r="AX41" s="271"/>
      <c r="AY41" s="271"/>
      <c r="AZ41" s="271"/>
      <c r="BA41" s="271"/>
      <c r="BB41" s="271"/>
      <c r="BC41" s="271"/>
      <c r="BD41" s="271"/>
      <c r="BE41" s="271"/>
      <c r="BF41" s="271"/>
      <c r="BG41" s="271"/>
      <c r="BH41" s="271"/>
      <c r="BI41" s="271"/>
      <c r="BJ41" s="271"/>
      <c r="BK41" s="271"/>
      <c r="BL41" s="271"/>
      <c r="BM41" s="271"/>
      <c r="BN41" s="271"/>
      <c r="BO41" s="271"/>
      <c r="BP41" s="271"/>
      <c r="BQ41" s="271"/>
      <c r="BR41" s="271"/>
      <c r="BS41" s="271"/>
      <c r="BT41" s="271"/>
      <c r="BU41" s="271"/>
      <c r="BV41" s="271"/>
      <c r="BW41" s="271"/>
      <c r="BX41" s="271"/>
      <c r="BY41" s="271"/>
      <c r="BZ41" s="271"/>
    </row>
    <row r="42" ht="13.8" spans="1:78">
      <c r="A42" s="271"/>
      <c r="B42" s="271"/>
      <c r="C42" s="271"/>
      <c r="D42" s="272"/>
      <c r="E42" s="272"/>
      <c r="F42" s="271"/>
      <c r="G42" s="272"/>
      <c r="H42" s="271"/>
      <c r="I42" s="271"/>
      <c r="J42" s="272"/>
      <c r="K42" s="271"/>
      <c r="L42" s="271"/>
      <c r="M42" s="271"/>
      <c r="N42" s="271"/>
      <c r="O42" s="271"/>
      <c r="P42" s="271"/>
      <c r="Q42" s="271"/>
      <c r="R42" s="271"/>
      <c r="S42" s="271"/>
      <c r="T42" s="271"/>
      <c r="U42" s="273"/>
      <c r="V42" s="271"/>
      <c r="W42" s="271"/>
      <c r="X42" s="274"/>
      <c r="Y42" s="274"/>
      <c r="Z42" s="271"/>
      <c r="AA42" s="271"/>
      <c r="AB42" s="271"/>
      <c r="AC42" s="271"/>
      <c r="AD42" s="271"/>
      <c r="AE42" s="271"/>
      <c r="AF42" s="271"/>
      <c r="AG42" s="271"/>
      <c r="AH42" s="271"/>
      <c r="AI42" s="271"/>
      <c r="AJ42" s="271"/>
      <c r="AK42" s="271"/>
      <c r="AL42" s="271"/>
      <c r="AM42" s="271"/>
      <c r="AN42" s="271"/>
      <c r="AO42" s="271"/>
      <c r="AP42" s="271"/>
      <c r="AQ42" s="271"/>
      <c r="AR42" s="271"/>
      <c r="AS42" s="271"/>
      <c r="AT42" s="271"/>
      <c r="AU42" s="271"/>
      <c r="AV42" s="271"/>
      <c r="AW42" s="271"/>
      <c r="AX42" s="271"/>
      <c r="AY42" s="271"/>
      <c r="AZ42" s="271"/>
      <c r="BA42" s="271"/>
      <c r="BB42" s="271"/>
      <c r="BC42" s="271"/>
      <c r="BD42" s="271"/>
      <c r="BE42" s="271"/>
      <c r="BF42" s="271"/>
      <c r="BG42" s="271"/>
      <c r="BH42" s="271"/>
      <c r="BI42" s="271"/>
      <c r="BJ42" s="271"/>
      <c r="BK42" s="271"/>
      <c r="BL42" s="271"/>
      <c r="BM42" s="271"/>
      <c r="BN42" s="271"/>
      <c r="BO42" s="271"/>
      <c r="BP42" s="271"/>
      <c r="BQ42" s="271"/>
      <c r="BR42" s="271"/>
      <c r="BS42" s="271"/>
      <c r="BT42" s="271"/>
      <c r="BU42" s="271"/>
      <c r="BV42" s="271"/>
      <c r="BW42" s="271"/>
      <c r="BX42" s="271"/>
      <c r="BY42" s="271"/>
      <c r="BZ42" s="271"/>
    </row>
    <row r="43" ht="13.8" spans="1:78">
      <c r="A43" s="271"/>
      <c r="B43" s="271"/>
      <c r="C43" s="271"/>
      <c r="D43" s="272"/>
      <c r="E43" s="272"/>
      <c r="F43" s="271"/>
      <c r="G43" s="272"/>
      <c r="H43" s="271"/>
      <c r="I43" s="271"/>
      <c r="J43" s="272"/>
      <c r="K43" s="271"/>
      <c r="L43" s="271"/>
      <c r="M43" s="271"/>
      <c r="N43" s="271"/>
      <c r="O43" s="271"/>
      <c r="P43" s="271"/>
      <c r="Q43" s="271"/>
      <c r="R43" s="271"/>
      <c r="S43" s="271"/>
      <c r="T43" s="271"/>
      <c r="U43" s="273"/>
      <c r="V43" s="271"/>
      <c r="W43" s="271"/>
      <c r="X43" s="274"/>
      <c r="Y43" s="274"/>
      <c r="Z43" s="271"/>
      <c r="AA43" s="271"/>
      <c r="AB43" s="271"/>
      <c r="AC43" s="271"/>
      <c r="AD43" s="271"/>
      <c r="AE43" s="271"/>
      <c r="AF43" s="271"/>
      <c r="AG43" s="271"/>
      <c r="AH43" s="271"/>
      <c r="AI43" s="271"/>
      <c r="AJ43" s="271"/>
      <c r="AK43" s="271"/>
      <c r="AL43" s="271"/>
      <c r="AM43" s="271"/>
      <c r="AN43" s="271"/>
      <c r="AO43" s="271"/>
      <c r="AP43" s="271"/>
      <c r="AQ43" s="271"/>
      <c r="AR43" s="271"/>
      <c r="AS43" s="271"/>
      <c r="AT43" s="271"/>
      <c r="AU43" s="271"/>
      <c r="AV43" s="271"/>
      <c r="AW43" s="271"/>
      <c r="AX43" s="271"/>
      <c r="AY43" s="271"/>
      <c r="AZ43" s="271"/>
      <c r="BA43" s="271"/>
      <c r="BB43" s="271"/>
      <c r="BC43" s="271"/>
      <c r="BD43" s="271"/>
      <c r="BE43" s="271"/>
      <c r="BF43" s="271"/>
      <c r="BG43" s="271"/>
      <c r="BH43" s="271"/>
      <c r="BI43" s="271"/>
      <c r="BJ43" s="271"/>
      <c r="BK43" s="271"/>
      <c r="BL43" s="271"/>
      <c r="BM43" s="271"/>
      <c r="BN43" s="271"/>
      <c r="BO43" s="271"/>
      <c r="BP43" s="271"/>
      <c r="BQ43" s="271"/>
      <c r="BR43" s="271"/>
      <c r="BS43" s="271"/>
      <c r="BT43" s="271"/>
      <c r="BU43" s="271"/>
      <c r="BV43" s="271"/>
      <c r="BW43" s="271"/>
      <c r="BX43" s="271"/>
      <c r="BY43" s="271"/>
      <c r="BZ43" s="271"/>
    </row>
    <row r="44" ht="13.8" spans="1:78">
      <c r="A44" s="271"/>
      <c r="B44" s="271"/>
      <c r="C44" s="271"/>
      <c r="D44" s="272"/>
      <c r="E44" s="272"/>
      <c r="F44" s="271"/>
      <c r="G44" s="272"/>
      <c r="H44" s="271"/>
      <c r="I44" s="271"/>
      <c r="J44" s="272"/>
      <c r="K44" s="271"/>
      <c r="L44" s="271"/>
      <c r="M44" s="271"/>
      <c r="N44" s="271"/>
      <c r="O44" s="271"/>
      <c r="P44" s="271"/>
      <c r="Q44" s="271"/>
      <c r="R44" s="271"/>
      <c r="S44" s="271"/>
      <c r="T44" s="271"/>
      <c r="U44" s="273"/>
      <c r="V44" s="271"/>
      <c r="W44" s="271"/>
      <c r="X44" s="274"/>
      <c r="Y44" s="274"/>
      <c r="Z44" s="271"/>
      <c r="AA44" s="271"/>
      <c r="AB44" s="271"/>
      <c r="AC44" s="271"/>
      <c r="AD44" s="271"/>
      <c r="AE44" s="271"/>
      <c r="AF44" s="271"/>
      <c r="AG44" s="271"/>
      <c r="AH44" s="271"/>
      <c r="AI44" s="271"/>
      <c r="AJ44" s="271"/>
      <c r="AK44" s="271"/>
      <c r="AL44" s="271"/>
      <c r="AM44" s="271"/>
      <c r="AN44" s="271"/>
      <c r="AO44" s="271"/>
      <c r="AP44" s="271"/>
      <c r="AQ44" s="271"/>
      <c r="AR44" s="271"/>
      <c r="AS44" s="271"/>
      <c r="AT44" s="271"/>
      <c r="AU44" s="271"/>
      <c r="AV44" s="271"/>
      <c r="AW44" s="271"/>
      <c r="AX44" s="271"/>
      <c r="AY44" s="271"/>
      <c r="AZ44" s="271"/>
      <c r="BA44" s="271"/>
      <c r="BB44" s="271"/>
      <c r="BC44" s="271"/>
      <c r="BD44" s="271"/>
      <c r="BE44" s="271"/>
      <c r="BF44" s="271"/>
      <c r="BG44" s="271"/>
      <c r="BH44" s="271"/>
      <c r="BI44" s="271"/>
      <c r="BJ44" s="271"/>
      <c r="BK44" s="271"/>
      <c r="BL44" s="271"/>
      <c r="BM44" s="271"/>
      <c r="BN44" s="271"/>
      <c r="BO44" s="271"/>
      <c r="BP44" s="271"/>
      <c r="BQ44" s="271"/>
      <c r="BR44" s="271"/>
      <c r="BS44" s="271"/>
      <c r="BT44" s="271"/>
      <c r="BU44" s="271"/>
      <c r="BV44" s="271"/>
      <c r="BW44" s="271"/>
      <c r="BX44" s="271"/>
      <c r="BY44" s="271"/>
      <c r="BZ44" s="271"/>
    </row>
    <row r="45" ht="13.8" spans="1:78">
      <c r="A45" s="271"/>
      <c r="B45" s="271"/>
      <c r="C45" s="271"/>
      <c r="D45" s="272"/>
      <c r="E45" s="272"/>
      <c r="F45" s="271"/>
      <c r="G45" s="272"/>
      <c r="H45" s="271"/>
      <c r="I45" s="271"/>
      <c r="J45" s="272"/>
      <c r="K45" s="271"/>
      <c r="L45" s="271"/>
      <c r="M45" s="271"/>
      <c r="N45" s="271"/>
      <c r="O45" s="271"/>
      <c r="P45" s="271"/>
      <c r="Q45" s="271"/>
      <c r="R45" s="271"/>
      <c r="S45" s="271"/>
      <c r="T45" s="271"/>
      <c r="U45" s="273"/>
      <c r="V45" s="271"/>
      <c r="W45" s="271"/>
      <c r="X45" s="274"/>
      <c r="Y45" s="274"/>
      <c r="Z45" s="271"/>
      <c r="AA45" s="271"/>
      <c r="AB45" s="271"/>
      <c r="AC45" s="271"/>
      <c r="AD45" s="271"/>
      <c r="AE45" s="271"/>
      <c r="AF45" s="271"/>
      <c r="AG45" s="271"/>
      <c r="AH45" s="271"/>
      <c r="AI45" s="271"/>
      <c r="AJ45" s="271"/>
      <c r="AK45" s="271"/>
      <c r="AL45" s="271"/>
      <c r="AM45" s="271"/>
      <c r="AN45" s="271"/>
      <c r="AO45" s="271"/>
      <c r="AP45" s="271"/>
      <c r="AQ45" s="271"/>
      <c r="AR45" s="271"/>
      <c r="AS45" s="271"/>
      <c r="AT45" s="271"/>
      <c r="AU45" s="271"/>
      <c r="AV45" s="271"/>
      <c r="AW45" s="271"/>
      <c r="AX45" s="271"/>
      <c r="AY45" s="271"/>
      <c r="AZ45" s="271"/>
      <c r="BA45" s="271"/>
      <c r="BB45" s="271"/>
      <c r="BC45" s="271"/>
      <c r="BD45" s="271"/>
      <c r="BE45" s="271"/>
      <c r="BF45" s="271"/>
      <c r="BG45" s="271"/>
      <c r="BH45" s="271"/>
      <c r="BI45" s="271"/>
      <c r="BJ45" s="271"/>
      <c r="BK45" s="271"/>
      <c r="BL45" s="271"/>
      <c r="BM45" s="271"/>
      <c r="BN45" s="271"/>
      <c r="BO45" s="271"/>
      <c r="BP45" s="271"/>
      <c r="BQ45" s="271"/>
      <c r="BR45" s="271"/>
      <c r="BS45" s="271"/>
      <c r="BT45" s="271"/>
      <c r="BU45" s="271"/>
      <c r="BV45" s="271"/>
      <c r="BW45" s="271"/>
      <c r="BX45" s="271"/>
      <c r="BY45" s="271"/>
      <c r="BZ45" s="271"/>
    </row>
    <row r="46" ht="13.8" spans="1:78">
      <c r="A46" s="271"/>
      <c r="B46" s="271"/>
      <c r="C46" s="271"/>
      <c r="D46" s="272"/>
      <c r="E46" s="272"/>
      <c r="F46" s="271"/>
      <c r="G46" s="272"/>
      <c r="H46" s="271"/>
      <c r="I46" s="271"/>
      <c r="J46" s="272"/>
      <c r="K46" s="271"/>
      <c r="L46" s="271"/>
      <c r="M46" s="271"/>
      <c r="N46" s="271"/>
      <c r="O46" s="271"/>
      <c r="P46" s="271"/>
      <c r="Q46" s="271"/>
      <c r="R46" s="271"/>
      <c r="S46" s="271"/>
      <c r="T46" s="271"/>
      <c r="U46" s="273"/>
      <c r="V46" s="271"/>
      <c r="W46" s="271"/>
      <c r="X46" s="274"/>
      <c r="Y46" s="274"/>
      <c r="Z46" s="271"/>
      <c r="AA46" s="271"/>
      <c r="AB46" s="271"/>
      <c r="AC46" s="271"/>
      <c r="AD46" s="271"/>
      <c r="AE46" s="271"/>
      <c r="AF46" s="271"/>
      <c r="AG46" s="271"/>
      <c r="AH46" s="271"/>
      <c r="AI46" s="271"/>
      <c r="AJ46" s="271"/>
      <c r="AK46" s="271"/>
      <c r="AL46" s="271"/>
      <c r="AM46" s="271"/>
      <c r="AN46" s="271"/>
      <c r="AO46" s="271"/>
      <c r="AP46" s="271"/>
      <c r="AQ46" s="271"/>
      <c r="AR46" s="271"/>
      <c r="AS46" s="271"/>
      <c r="AT46" s="271"/>
      <c r="AU46" s="271"/>
      <c r="AV46" s="271"/>
      <c r="AW46" s="271"/>
      <c r="AX46" s="271"/>
      <c r="AY46" s="271"/>
      <c r="AZ46" s="271"/>
      <c r="BA46" s="271"/>
      <c r="BB46" s="271"/>
      <c r="BC46" s="271"/>
      <c r="BD46" s="271"/>
      <c r="BE46" s="271"/>
      <c r="BF46" s="271"/>
      <c r="BG46" s="271"/>
      <c r="BH46" s="271"/>
      <c r="BI46" s="271"/>
      <c r="BJ46" s="271"/>
      <c r="BK46" s="271"/>
      <c r="BL46" s="271"/>
      <c r="BM46" s="271"/>
      <c r="BN46" s="271"/>
      <c r="BO46" s="271"/>
      <c r="BP46" s="271"/>
      <c r="BQ46" s="271"/>
      <c r="BR46" s="271"/>
      <c r="BS46" s="271"/>
      <c r="BT46" s="271"/>
      <c r="BU46" s="271"/>
      <c r="BV46" s="271"/>
      <c r="BW46" s="271"/>
      <c r="BX46" s="271"/>
      <c r="BY46" s="271"/>
      <c r="BZ46" s="271"/>
    </row>
    <row r="47" ht="13.8" spans="1:78">
      <c r="A47" s="271"/>
      <c r="B47" s="271"/>
      <c r="C47" s="271"/>
      <c r="D47" s="272"/>
      <c r="E47" s="272"/>
      <c r="F47" s="271"/>
      <c r="G47" s="272"/>
      <c r="H47" s="271"/>
      <c r="I47" s="271"/>
      <c r="J47" s="272"/>
      <c r="K47" s="271"/>
      <c r="L47" s="271"/>
      <c r="M47" s="271"/>
      <c r="N47" s="271"/>
      <c r="O47" s="271"/>
      <c r="P47" s="271"/>
      <c r="Q47" s="271"/>
      <c r="R47" s="271"/>
      <c r="S47" s="271"/>
      <c r="T47" s="271"/>
      <c r="U47" s="273"/>
      <c r="V47" s="271"/>
      <c r="W47" s="271"/>
      <c r="X47" s="274"/>
      <c r="Y47" s="274"/>
      <c r="Z47" s="271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1"/>
      <c r="AO47" s="271"/>
      <c r="AP47" s="271"/>
      <c r="AQ47" s="271"/>
      <c r="AR47" s="271"/>
      <c r="AS47" s="271"/>
      <c r="AT47" s="271"/>
      <c r="AU47" s="271"/>
      <c r="AV47" s="271"/>
      <c r="AW47" s="271"/>
      <c r="AX47" s="271"/>
      <c r="AY47" s="271"/>
      <c r="AZ47" s="271"/>
      <c r="BA47" s="271"/>
      <c r="BB47" s="271"/>
      <c r="BC47" s="271"/>
      <c r="BD47" s="271"/>
      <c r="BE47" s="271"/>
      <c r="BF47" s="271"/>
      <c r="BG47" s="271"/>
      <c r="BH47" s="271"/>
      <c r="BI47" s="271"/>
      <c r="BJ47" s="271"/>
      <c r="BK47" s="271"/>
      <c r="BL47" s="271"/>
      <c r="BM47" s="271"/>
      <c r="BN47" s="271"/>
      <c r="BO47" s="271"/>
      <c r="BP47" s="271"/>
      <c r="BQ47" s="271"/>
      <c r="BR47" s="271"/>
      <c r="BS47" s="271"/>
      <c r="BT47" s="271"/>
      <c r="BU47" s="271"/>
      <c r="BV47" s="271"/>
      <c r="BW47" s="271"/>
      <c r="BX47" s="271"/>
      <c r="BY47" s="271"/>
      <c r="BZ47" s="271"/>
    </row>
    <row r="48" ht="13.8" spans="1:78">
      <c r="A48" s="271"/>
      <c r="B48" s="271"/>
      <c r="C48" s="271"/>
      <c r="D48" s="272"/>
      <c r="E48" s="272"/>
      <c r="F48" s="271"/>
      <c r="G48" s="272"/>
      <c r="H48" s="271"/>
      <c r="I48" s="271"/>
      <c r="J48" s="272"/>
      <c r="K48" s="271"/>
      <c r="L48" s="271"/>
      <c r="M48" s="271"/>
      <c r="N48" s="271"/>
      <c r="O48" s="271"/>
      <c r="P48" s="271"/>
      <c r="Q48" s="271"/>
      <c r="R48" s="271"/>
      <c r="S48" s="271"/>
      <c r="T48" s="271"/>
      <c r="U48" s="273"/>
      <c r="V48" s="271"/>
      <c r="W48" s="271"/>
      <c r="X48" s="274"/>
      <c r="Y48" s="274"/>
      <c r="Z48" s="271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271"/>
      <c r="AL48" s="271"/>
      <c r="AM48" s="271"/>
      <c r="AN48" s="271"/>
      <c r="AO48" s="271"/>
      <c r="AP48" s="271"/>
      <c r="AQ48" s="271"/>
      <c r="AR48" s="271"/>
      <c r="AS48" s="271"/>
      <c r="AT48" s="271"/>
      <c r="AU48" s="271"/>
      <c r="AV48" s="271"/>
      <c r="AW48" s="271"/>
      <c r="AX48" s="271"/>
      <c r="AY48" s="271"/>
      <c r="AZ48" s="271"/>
      <c r="BA48" s="271"/>
      <c r="BB48" s="271"/>
      <c r="BC48" s="271"/>
      <c r="BD48" s="271"/>
      <c r="BE48" s="271"/>
      <c r="BF48" s="271"/>
      <c r="BG48" s="271"/>
      <c r="BH48" s="271"/>
      <c r="BI48" s="271"/>
      <c r="BJ48" s="271"/>
      <c r="BK48" s="271"/>
      <c r="BL48" s="271"/>
      <c r="BM48" s="271"/>
      <c r="BN48" s="271"/>
      <c r="BO48" s="271"/>
      <c r="BP48" s="271"/>
      <c r="BQ48" s="271"/>
      <c r="BR48" s="271"/>
      <c r="BS48" s="271"/>
      <c r="BT48" s="271"/>
      <c r="BU48" s="271"/>
      <c r="BV48" s="271"/>
      <c r="BW48" s="271"/>
      <c r="BX48" s="271"/>
      <c r="BY48" s="271"/>
      <c r="BZ48" s="271"/>
    </row>
    <row r="49" ht="13.8" spans="1:78">
      <c r="A49" s="271"/>
      <c r="B49" s="271"/>
      <c r="C49" s="271"/>
      <c r="D49" s="272"/>
      <c r="E49" s="272"/>
      <c r="F49" s="271"/>
      <c r="G49" s="272"/>
      <c r="H49" s="271"/>
      <c r="I49" s="271"/>
      <c r="J49" s="272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3"/>
      <c r="V49" s="271"/>
      <c r="W49" s="271"/>
      <c r="X49" s="274"/>
      <c r="Y49" s="274"/>
      <c r="Z49" s="271"/>
      <c r="AA49" s="271"/>
      <c r="AB49" s="271"/>
      <c r="AC49" s="271"/>
      <c r="AD49" s="271"/>
      <c r="AE49" s="271"/>
      <c r="AF49" s="271"/>
      <c r="AG49" s="271"/>
      <c r="AH49" s="271"/>
      <c r="AI49" s="271"/>
      <c r="AJ49" s="271"/>
      <c r="AK49" s="271"/>
      <c r="AL49" s="271"/>
      <c r="AM49" s="271"/>
      <c r="AN49" s="271"/>
      <c r="AO49" s="271"/>
      <c r="AP49" s="271"/>
      <c r="AQ49" s="271"/>
      <c r="AR49" s="271"/>
      <c r="AS49" s="271"/>
      <c r="AT49" s="271"/>
      <c r="AU49" s="271"/>
      <c r="AV49" s="271"/>
      <c r="AW49" s="271"/>
      <c r="AX49" s="271"/>
      <c r="AY49" s="271"/>
      <c r="AZ49" s="271"/>
      <c r="BA49" s="271"/>
      <c r="BB49" s="271"/>
      <c r="BC49" s="271"/>
      <c r="BD49" s="271"/>
      <c r="BE49" s="271"/>
      <c r="BF49" s="271"/>
      <c r="BG49" s="271"/>
      <c r="BH49" s="271"/>
      <c r="BI49" s="271"/>
      <c r="BJ49" s="271"/>
      <c r="BK49" s="271"/>
      <c r="BL49" s="271"/>
      <c r="BM49" s="271"/>
      <c r="BN49" s="271"/>
      <c r="BO49" s="271"/>
      <c r="BP49" s="271"/>
      <c r="BQ49" s="271"/>
      <c r="BR49" s="271"/>
      <c r="BS49" s="271"/>
      <c r="BT49" s="271"/>
      <c r="BU49" s="271"/>
      <c r="BV49" s="271"/>
      <c r="BW49" s="271"/>
      <c r="BX49" s="271"/>
      <c r="BY49" s="271"/>
      <c r="BZ49" s="271"/>
    </row>
    <row r="50" ht="13.8" spans="1:78">
      <c r="A50" s="271"/>
      <c r="B50" s="271"/>
      <c r="C50" s="271"/>
      <c r="D50" s="272"/>
      <c r="E50" s="272"/>
      <c r="F50" s="271"/>
      <c r="G50" s="272"/>
      <c r="H50" s="271"/>
      <c r="I50" s="271"/>
      <c r="J50" s="272"/>
      <c r="K50" s="271"/>
      <c r="L50" s="271"/>
      <c r="M50" s="271"/>
      <c r="N50" s="271"/>
      <c r="O50" s="271"/>
      <c r="P50" s="271"/>
      <c r="Q50" s="271"/>
      <c r="R50" s="271"/>
      <c r="S50" s="271"/>
      <c r="T50" s="271"/>
      <c r="U50" s="273"/>
      <c r="V50" s="271"/>
      <c r="W50" s="271"/>
      <c r="X50" s="274"/>
      <c r="Y50" s="274"/>
      <c r="Z50" s="271"/>
      <c r="AA50" s="271"/>
      <c r="AB50" s="271"/>
      <c r="AC50" s="271"/>
      <c r="AD50" s="271"/>
      <c r="AE50" s="271"/>
      <c r="AF50" s="271"/>
      <c r="AG50" s="271"/>
      <c r="AH50" s="271"/>
      <c r="AI50" s="271"/>
      <c r="AJ50" s="271"/>
      <c r="AK50" s="271"/>
      <c r="AL50" s="271"/>
      <c r="AM50" s="271"/>
      <c r="AN50" s="271"/>
      <c r="AO50" s="271"/>
      <c r="AP50" s="271"/>
      <c r="AQ50" s="271"/>
      <c r="AR50" s="271"/>
      <c r="AS50" s="271"/>
      <c r="AT50" s="271"/>
      <c r="AU50" s="271"/>
      <c r="AV50" s="271"/>
      <c r="AW50" s="271"/>
      <c r="AX50" s="271"/>
      <c r="AY50" s="271"/>
      <c r="AZ50" s="271"/>
      <c r="BA50" s="271"/>
      <c r="BB50" s="271"/>
      <c r="BC50" s="271"/>
      <c r="BD50" s="271"/>
      <c r="BE50" s="271"/>
      <c r="BF50" s="271"/>
      <c r="BG50" s="271"/>
      <c r="BH50" s="271"/>
      <c r="BI50" s="271"/>
      <c r="BJ50" s="271"/>
      <c r="BK50" s="271"/>
      <c r="BL50" s="271"/>
      <c r="BM50" s="271"/>
      <c r="BN50" s="271"/>
      <c r="BO50" s="271"/>
      <c r="BP50" s="271"/>
      <c r="BQ50" s="271"/>
      <c r="BR50" s="271"/>
      <c r="BS50" s="271"/>
      <c r="BT50" s="271"/>
      <c r="BU50" s="271"/>
      <c r="BV50" s="271"/>
      <c r="BW50" s="271"/>
      <c r="BX50" s="271"/>
      <c r="BY50" s="271"/>
      <c r="BZ50" s="271"/>
    </row>
    <row r="51" ht="13.8" spans="1:78">
      <c r="A51" s="271"/>
      <c r="B51" s="271"/>
      <c r="C51" s="271"/>
      <c r="D51" s="272"/>
      <c r="E51" s="272"/>
      <c r="F51" s="271"/>
      <c r="G51" s="272"/>
      <c r="H51" s="271"/>
      <c r="I51" s="271"/>
      <c r="J51" s="272"/>
      <c r="K51" s="271"/>
      <c r="L51" s="271"/>
      <c r="M51" s="271"/>
      <c r="N51" s="271"/>
      <c r="O51" s="271"/>
      <c r="P51" s="271"/>
      <c r="Q51" s="271"/>
      <c r="R51" s="271"/>
      <c r="S51" s="271"/>
      <c r="T51" s="271"/>
      <c r="U51" s="273"/>
      <c r="V51" s="271"/>
      <c r="W51" s="271"/>
      <c r="X51" s="274"/>
      <c r="Y51" s="274"/>
      <c r="Z51" s="271"/>
      <c r="AA51" s="271"/>
      <c r="AB51" s="271"/>
      <c r="AC51" s="271"/>
      <c r="AD51" s="271"/>
      <c r="AE51" s="271"/>
      <c r="AF51" s="271"/>
      <c r="AG51" s="271"/>
      <c r="AH51" s="271"/>
      <c r="AI51" s="271"/>
      <c r="AJ51" s="271"/>
      <c r="AK51" s="271"/>
      <c r="AL51" s="271"/>
      <c r="AM51" s="271"/>
      <c r="AN51" s="271"/>
      <c r="AO51" s="271"/>
      <c r="AP51" s="271"/>
      <c r="AQ51" s="271"/>
      <c r="AR51" s="271"/>
      <c r="AS51" s="271"/>
      <c r="AT51" s="271"/>
      <c r="AU51" s="271"/>
      <c r="AV51" s="271"/>
      <c r="AW51" s="271"/>
      <c r="AX51" s="271"/>
      <c r="AY51" s="271"/>
      <c r="AZ51" s="271"/>
      <c r="BA51" s="271"/>
      <c r="BB51" s="271"/>
      <c r="BC51" s="271"/>
      <c r="BD51" s="271"/>
      <c r="BE51" s="271"/>
      <c r="BF51" s="271"/>
      <c r="BG51" s="271"/>
      <c r="BH51" s="271"/>
      <c r="BI51" s="271"/>
      <c r="BJ51" s="271"/>
      <c r="BK51" s="271"/>
      <c r="BL51" s="271"/>
      <c r="BM51" s="271"/>
      <c r="BN51" s="271"/>
      <c r="BO51" s="271"/>
      <c r="BP51" s="271"/>
      <c r="BQ51" s="271"/>
      <c r="BR51" s="271"/>
      <c r="BS51" s="271"/>
      <c r="BT51" s="271"/>
      <c r="BU51" s="271"/>
      <c r="BV51" s="271"/>
      <c r="BW51" s="271"/>
      <c r="BX51" s="271"/>
      <c r="BY51" s="271"/>
      <c r="BZ51" s="271"/>
    </row>
    <row r="52" ht="13.8" spans="1:78">
      <c r="A52" s="271"/>
      <c r="B52" s="271"/>
      <c r="C52" s="271"/>
      <c r="D52" s="272"/>
      <c r="E52" s="272"/>
      <c r="F52" s="271"/>
      <c r="G52" s="272"/>
      <c r="H52" s="271"/>
      <c r="I52" s="271"/>
      <c r="J52" s="272"/>
      <c r="K52" s="271"/>
      <c r="L52" s="271"/>
      <c r="M52" s="271"/>
      <c r="N52" s="271"/>
      <c r="O52" s="271"/>
      <c r="P52" s="271"/>
      <c r="Q52" s="271"/>
      <c r="R52" s="271"/>
      <c r="S52" s="271"/>
      <c r="T52" s="271"/>
      <c r="U52" s="273"/>
      <c r="V52" s="271"/>
      <c r="W52" s="271"/>
      <c r="X52" s="274"/>
      <c r="Y52" s="274"/>
      <c r="Z52" s="271"/>
      <c r="AA52" s="271"/>
      <c r="AB52" s="271"/>
      <c r="AC52" s="271"/>
      <c r="AD52" s="271"/>
      <c r="AE52" s="271"/>
      <c r="AF52" s="271"/>
      <c r="AG52" s="271"/>
      <c r="AH52" s="271"/>
      <c r="AI52" s="271"/>
      <c r="AJ52" s="271"/>
      <c r="AK52" s="271"/>
      <c r="AL52" s="271"/>
      <c r="AM52" s="271"/>
      <c r="AN52" s="271"/>
      <c r="AO52" s="271"/>
      <c r="AP52" s="271"/>
      <c r="AQ52" s="271"/>
      <c r="AR52" s="271"/>
      <c r="AS52" s="271"/>
      <c r="AT52" s="271"/>
      <c r="AU52" s="271"/>
      <c r="AV52" s="271"/>
      <c r="AW52" s="271"/>
      <c r="AX52" s="271"/>
      <c r="AY52" s="271"/>
      <c r="AZ52" s="271"/>
      <c r="BA52" s="271"/>
      <c r="BB52" s="271"/>
      <c r="BC52" s="271"/>
      <c r="BD52" s="271"/>
      <c r="BE52" s="271"/>
      <c r="BF52" s="271"/>
      <c r="BG52" s="271"/>
      <c r="BH52" s="271"/>
      <c r="BI52" s="271"/>
      <c r="BJ52" s="271"/>
      <c r="BK52" s="271"/>
      <c r="BL52" s="271"/>
      <c r="BM52" s="271"/>
      <c r="BN52" s="271"/>
      <c r="BO52" s="271"/>
      <c r="BP52" s="271"/>
      <c r="BQ52" s="271"/>
      <c r="BR52" s="271"/>
      <c r="BS52" s="271"/>
      <c r="BT52" s="271"/>
      <c r="BU52" s="271"/>
      <c r="BV52" s="271"/>
      <c r="BW52" s="271"/>
      <c r="BX52" s="271"/>
      <c r="BY52" s="271"/>
      <c r="BZ52" s="271"/>
    </row>
    <row r="53" ht="13.8" spans="1:78">
      <c r="A53" s="271"/>
      <c r="B53" s="271"/>
      <c r="C53" s="271"/>
      <c r="D53" s="272"/>
      <c r="E53" s="272"/>
      <c r="F53" s="271"/>
      <c r="G53" s="272"/>
      <c r="H53" s="271"/>
      <c r="I53" s="271"/>
      <c r="J53" s="272"/>
      <c r="K53" s="271"/>
      <c r="L53" s="271"/>
      <c r="M53" s="271"/>
      <c r="N53" s="271"/>
      <c r="O53" s="271"/>
      <c r="P53" s="271"/>
      <c r="Q53" s="271"/>
      <c r="R53" s="271"/>
      <c r="S53" s="271"/>
      <c r="T53" s="271"/>
      <c r="U53" s="273"/>
      <c r="V53" s="271"/>
      <c r="W53" s="271"/>
      <c r="X53" s="274"/>
      <c r="Y53" s="274"/>
      <c r="Z53" s="271"/>
      <c r="AA53" s="271"/>
      <c r="AB53" s="271"/>
      <c r="AC53" s="271"/>
      <c r="AD53" s="271"/>
      <c r="AE53" s="271"/>
      <c r="AF53" s="271"/>
      <c r="AG53" s="271"/>
      <c r="AH53" s="271"/>
      <c r="AI53" s="271"/>
      <c r="AJ53" s="271"/>
      <c r="AK53" s="271"/>
      <c r="AL53" s="271"/>
      <c r="AM53" s="271"/>
      <c r="AN53" s="271"/>
      <c r="AO53" s="271"/>
      <c r="AP53" s="271"/>
      <c r="AQ53" s="271"/>
      <c r="AR53" s="271"/>
      <c r="AS53" s="271"/>
      <c r="AT53" s="271"/>
      <c r="AU53" s="271"/>
      <c r="AV53" s="271"/>
      <c r="AW53" s="271"/>
      <c r="AX53" s="271"/>
      <c r="AY53" s="271"/>
      <c r="AZ53" s="271"/>
      <c r="BA53" s="271"/>
      <c r="BB53" s="271"/>
      <c r="BC53" s="271"/>
      <c r="BD53" s="271"/>
      <c r="BE53" s="271"/>
      <c r="BF53" s="271"/>
      <c r="BG53" s="271"/>
      <c r="BH53" s="271"/>
      <c r="BI53" s="271"/>
      <c r="BJ53" s="271"/>
      <c r="BK53" s="271"/>
      <c r="BL53" s="271"/>
      <c r="BM53" s="271"/>
      <c r="BN53" s="271"/>
      <c r="BO53" s="271"/>
      <c r="BP53" s="271"/>
      <c r="BQ53" s="271"/>
      <c r="BR53" s="271"/>
      <c r="BS53" s="271"/>
      <c r="BT53" s="271"/>
      <c r="BU53" s="271"/>
      <c r="BV53" s="271"/>
      <c r="BW53" s="271"/>
      <c r="BX53" s="271"/>
      <c r="BY53" s="271"/>
      <c r="BZ53" s="271"/>
    </row>
    <row r="54" ht="13.8" spans="1:78">
      <c r="A54" s="271"/>
      <c r="B54" s="271"/>
      <c r="C54" s="271"/>
      <c r="D54" s="272"/>
      <c r="E54" s="272"/>
      <c r="F54" s="271"/>
      <c r="G54" s="272"/>
      <c r="H54" s="271"/>
      <c r="I54" s="271"/>
      <c r="J54" s="272"/>
      <c r="K54" s="271"/>
      <c r="L54" s="271"/>
      <c r="M54" s="271"/>
      <c r="N54" s="271"/>
      <c r="O54" s="271"/>
      <c r="P54" s="271"/>
      <c r="Q54" s="271"/>
      <c r="R54" s="271"/>
      <c r="S54" s="271"/>
      <c r="T54" s="271"/>
      <c r="U54" s="273"/>
      <c r="V54" s="271"/>
      <c r="W54" s="271"/>
      <c r="X54" s="274"/>
      <c r="Y54" s="274"/>
      <c r="Z54" s="271"/>
      <c r="AA54" s="271"/>
      <c r="AB54" s="271"/>
      <c r="AC54" s="271"/>
      <c r="AD54" s="271"/>
      <c r="AE54" s="271"/>
      <c r="AF54" s="271"/>
      <c r="AG54" s="271"/>
      <c r="AH54" s="271"/>
      <c r="AI54" s="271"/>
      <c r="AJ54" s="271"/>
      <c r="AK54" s="271"/>
      <c r="AL54" s="271"/>
      <c r="AM54" s="271"/>
      <c r="AN54" s="271"/>
      <c r="AO54" s="271"/>
      <c r="AP54" s="271"/>
      <c r="AQ54" s="271"/>
      <c r="AR54" s="271"/>
      <c r="AS54" s="271"/>
      <c r="AT54" s="271"/>
      <c r="AU54" s="271"/>
      <c r="AV54" s="271"/>
      <c r="AW54" s="271"/>
      <c r="AX54" s="271"/>
      <c r="AY54" s="271"/>
      <c r="AZ54" s="271"/>
      <c r="BA54" s="271"/>
      <c r="BB54" s="271"/>
      <c r="BC54" s="271"/>
      <c r="BD54" s="271"/>
      <c r="BE54" s="271"/>
      <c r="BF54" s="271"/>
      <c r="BG54" s="271"/>
      <c r="BH54" s="271"/>
      <c r="BI54" s="271"/>
      <c r="BJ54" s="271"/>
      <c r="BK54" s="271"/>
      <c r="BL54" s="271"/>
      <c r="BM54" s="271"/>
      <c r="BN54" s="271"/>
      <c r="BO54" s="271"/>
      <c r="BP54" s="271"/>
      <c r="BQ54" s="271"/>
      <c r="BR54" s="271"/>
      <c r="BS54" s="271"/>
      <c r="BT54" s="271"/>
      <c r="BU54" s="271"/>
      <c r="BV54" s="271"/>
      <c r="BW54" s="271"/>
      <c r="BX54" s="271"/>
      <c r="BY54" s="271"/>
      <c r="BZ54" s="271"/>
    </row>
    <row r="55" ht="13.8" spans="1:78">
      <c r="A55" s="271"/>
      <c r="B55" s="271"/>
      <c r="C55" s="271"/>
      <c r="D55" s="272"/>
      <c r="E55" s="272"/>
      <c r="F55" s="271"/>
      <c r="G55" s="272"/>
      <c r="H55" s="271"/>
      <c r="I55" s="271"/>
      <c r="J55" s="272"/>
      <c r="K55" s="271"/>
      <c r="L55" s="271"/>
      <c r="M55" s="271"/>
      <c r="N55" s="271"/>
      <c r="O55" s="271"/>
      <c r="P55" s="271"/>
      <c r="Q55" s="271"/>
      <c r="R55" s="271"/>
      <c r="S55" s="271"/>
      <c r="T55" s="271"/>
      <c r="U55" s="273"/>
      <c r="V55" s="271"/>
      <c r="W55" s="271"/>
      <c r="X55" s="274"/>
      <c r="Y55" s="274"/>
      <c r="Z55" s="271"/>
      <c r="AA55" s="271"/>
      <c r="AB55" s="271"/>
      <c r="AC55" s="271"/>
      <c r="AD55" s="271"/>
      <c r="AE55" s="271"/>
      <c r="AF55" s="271"/>
      <c r="AG55" s="271"/>
      <c r="AH55" s="271"/>
      <c r="AI55" s="271"/>
      <c r="AJ55" s="271"/>
      <c r="AK55" s="271"/>
      <c r="AL55" s="271"/>
      <c r="AM55" s="271"/>
      <c r="AN55" s="271"/>
      <c r="AO55" s="271"/>
      <c r="AP55" s="271"/>
      <c r="AQ55" s="271"/>
      <c r="AR55" s="271"/>
      <c r="AS55" s="271"/>
      <c r="AT55" s="271"/>
      <c r="AU55" s="271"/>
      <c r="AV55" s="271"/>
      <c r="AW55" s="271"/>
      <c r="AX55" s="271"/>
      <c r="AY55" s="271"/>
      <c r="AZ55" s="271"/>
      <c r="BA55" s="271"/>
      <c r="BB55" s="271"/>
      <c r="BC55" s="271"/>
      <c r="BD55" s="271"/>
      <c r="BE55" s="271"/>
      <c r="BF55" s="271"/>
      <c r="BG55" s="271"/>
      <c r="BH55" s="271"/>
      <c r="BI55" s="271"/>
      <c r="BJ55" s="271"/>
      <c r="BK55" s="271"/>
      <c r="BL55" s="271"/>
      <c r="BM55" s="271"/>
      <c r="BN55" s="271"/>
      <c r="BO55" s="271"/>
      <c r="BP55" s="271"/>
      <c r="BQ55" s="271"/>
      <c r="BR55" s="271"/>
      <c r="BS55" s="271"/>
      <c r="BT55" s="271"/>
      <c r="BU55" s="271"/>
      <c r="BV55" s="271"/>
      <c r="BW55" s="271"/>
      <c r="BX55" s="271"/>
      <c r="BY55" s="271"/>
      <c r="BZ55" s="271"/>
    </row>
    <row r="56" ht="13.8" spans="1:78">
      <c r="A56" s="271"/>
      <c r="B56" s="271"/>
      <c r="C56" s="271"/>
      <c r="D56" s="272"/>
      <c r="E56" s="272"/>
      <c r="F56" s="271"/>
      <c r="G56" s="272"/>
      <c r="H56" s="271"/>
      <c r="I56" s="271"/>
      <c r="J56" s="272"/>
      <c r="K56" s="271"/>
      <c r="L56" s="271"/>
      <c r="M56" s="271"/>
      <c r="N56" s="271"/>
      <c r="O56" s="271"/>
      <c r="P56" s="271"/>
      <c r="Q56" s="271"/>
      <c r="R56" s="271"/>
      <c r="S56" s="271"/>
      <c r="T56" s="271"/>
      <c r="U56" s="273"/>
      <c r="V56" s="271"/>
      <c r="W56" s="271"/>
      <c r="X56" s="274"/>
      <c r="Y56" s="274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  <c r="AJ56" s="271"/>
      <c r="AK56" s="271"/>
      <c r="AL56" s="271"/>
      <c r="AM56" s="271"/>
      <c r="AN56" s="271"/>
      <c r="AO56" s="271"/>
      <c r="AP56" s="271"/>
      <c r="AQ56" s="271"/>
      <c r="AR56" s="271"/>
      <c r="AS56" s="271"/>
      <c r="AT56" s="271"/>
      <c r="AU56" s="271"/>
      <c r="AV56" s="271"/>
      <c r="AW56" s="271"/>
      <c r="AX56" s="271"/>
      <c r="AY56" s="271"/>
      <c r="AZ56" s="271"/>
      <c r="BA56" s="271"/>
      <c r="BB56" s="271"/>
      <c r="BC56" s="271"/>
      <c r="BD56" s="271"/>
      <c r="BE56" s="271"/>
      <c r="BF56" s="271"/>
      <c r="BG56" s="271"/>
      <c r="BH56" s="271"/>
      <c r="BI56" s="271"/>
      <c r="BJ56" s="271"/>
      <c r="BK56" s="271"/>
      <c r="BL56" s="271"/>
      <c r="BM56" s="271"/>
      <c r="BN56" s="271"/>
      <c r="BO56" s="271"/>
      <c r="BP56" s="271"/>
      <c r="BQ56" s="271"/>
      <c r="BR56" s="271"/>
      <c r="BS56" s="271"/>
      <c r="BT56" s="271"/>
      <c r="BU56" s="271"/>
      <c r="BV56" s="271"/>
      <c r="BW56" s="271"/>
      <c r="BX56" s="271"/>
      <c r="BY56" s="271"/>
      <c r="BZ56" s="271"/>
    </row>
    <row r="57" ht="13.8" spans="1:78">
      <c r="A57" s="271"/>
      <c r="B57" s="271"/>
      <c r="C57" s="271"/>
      <c r="D57" s="272"/>
      <c r="E57" s="272"/>
      <c r="F57" s="271"/>
      <c r="G57" s="272"/>
      <c r="H57" s="271"/>
      <c r="I57" s="271"/>
      <c r="J57" s="272"/>
      <c r="K57" s="271"/>
      <c r="L57" s="271"/>
      <c r="M57" s="271"/>
      <c r="N57" s="271"/>
      <c r="O57" s="271"/>
      <c r="P57" s="271"/>
      <c r="Q57" s="271"/>
      <c r="R57" s="271"/>
      <c r="S57" s="271"/>
      <c r="T57" s="271"/>
      <c r="U57" s="273"/>
      <c r="V57" s="271"/>
      <c r="W57" s="271"/>
      <c r="X57" s="274"/>
      <c r="Y57" s="274"/>
      <c r="Z57" s="271"/>
      <c r="AA57" s="271"/>
      <c r="AB57" s="271"/>
      <c r="AC57" s="271"/>
      <c r="AD57" s="271"/>
      <c r="AE57" s="271"/>
      <c r="AF57" s="271"/>
      <c r="AG57" s="271"/>
      <c r="AH57" s="271"/>
      <c r="AI57" s="271"/>
      <c r="AJ57" s="271"/>
      <c r="AK57" s="271"/>
      <c r="AL57" s="271"/>
      <c r="AM57" s="271"/>
      <c r="AN57" s="271"/>
      <c r="AO57" s="271"/>
      <c r="AP57" s="271"/>
      <c r="AQ57" s="271"/>
      <c r="AR57" s="271"/>
      <c r="AS57" s="271"/>
      <c r="AT57" s="271"/>
      <c r="AU57" s="271"/>
      <c r="AV57" s="271"/>
      <c r="AW57" s="271"/>
      <c r="AX57" s="271"/>
      <c r="AY57" s="271"/>
      <c r="AZ57" s="271"/>
      <c r="BA57" s="271"/>
      <c r="BB57" s="271"/>
      <c r="BC57" s="271"/>
      <c r="BD57" s="271"/>
      <c r="BE57" s="271"/>
      <c r="BF57" s="271"/>
      <c r="BG57" s="271"/>
      <c r="BH57" s="271"/>
      <c r="BI57" s="271"/>
      <c r="BJ57" s="271"/>
      <c r="BK57" s="271"/>
      <c r="BL57" s="271"/>
      <c r="BM57" s="271"/>
      <c r="BN57" s="271"/>
      <c r="BO57" s="271"/>
      <c r="BP57" s="271"/>
      <c r="BQ57" s="271"/>
      <c r="BR57" s="271"/>
      <c r="BS57" s="271"/>
      <c r="BT57" s="271"/>
      <c r="BU57" s="271"/>
      <c r="BV57" s="271"/>
      <c r="BW57" s="271"/>
      <c r="BX57" s="271"/>
      <c r="BY57" s="271"/>
      <c r="BZ57" s="271"/>
    </row>
    <row r="58" ht="13.8" spans="1:78">
      <c r="A58" s="271"/>
      <c r="B58" s="271"/>
      <c r="C58" s="271"/>
      <c r="D58" s="272"/>
      <c r="E58" s="272"/>
      <c r="F58" s="271"/>
      <c r="G58" s="272"/>
      <c r="H58" s="271"/>
      <c r="I58" s="271"/>
      <c r="J58" s="272"/>
      <c r="K58" s="271"/>
      <c r="L58" s="271"/>
      <c r="M58" s="271"/>
      <c r="N58" s="271"/>
      <c r="O58" s="271"/>
      <c r="P58" s="271"/>
      <c r="Q58" s="271"/>
      <c r="R58" s="271"/>
      <c r="S58" s="271"/>
      <c r="T58" s="271"/>
      <c r="U58" s="273"/>
      <c r="V58" s="271"/>
      <c r="W58" s="271"/>
      <c r="X58" s="274"/>
      <c r="Y58" s="274"/>
      <c r="Z58" s="271"/>
      <c r="AA58" s="271"/>
      <c r="AB58" s="271"/>
      <c r="AC58" s="271"/>
      <c r="AD58" s="271"/>
      <c r="AE58" s="271"/>
      <c r="AF58" s="271"/>
      <c r="AG58" s="271"/>
      <c r="AH58" s="271"/>
      <c r="AI58" s="271"/>
      <c r="AJ58" s="271"/>
      <c r="AK58" s="271"/>
      <c r="AL58" s="271"/>
      <c r="AM58" s="271"/>
      <c r="AN58" s="271"/>
      <c r="AO58" s="271"/>
      <c r="AP58" s="271"/>
      <c r="AQ58" s="271"/>
      <c r="AR58" s="271"/>
      <c r="AS58" s="271"/>
      <c r="AT58" s="271"/>
      <c r="AU58" s="271"/>
      <c r="AV58" s="271"/>
      <c r="AW58" s="271"/>
      <c r="AX58" s="271"/>
      <c r="AY58" s="271"/>
      <c r="AZ58" s="271"/>
      <c r="BA58" s="271"/>
      <c r="BB58" s="271"/>
      <c r="BC58" s="271"/>
      <c r="BD58" s="271"/>
      <c r="BE58" s="271"/>
      <c r="BF58" s="271"/>
      <c r="BG58" s="271"/>
      <c r="BH58" s="271"/>
      <c r="BI58" s="271"/>
      <c r="BJ58" s="271"/>
      <c r="BK58" s="271"/>
      <c r="BL58" s="271"/>
      <c r="BM58" s="271"/>
      <c r="BN58" s="271"/>
      <c r="BO58" s="271"/>
      <c r="BP58" s="271"/>
      <c r="BQ58" s="271"/>
      <c r="BR58" s="271"/>
      <c r="BS58" s="271"/>
      <c r="BT58" s="271"/>
      <c r="BU58" s="271"/>
      <c r="BV58" s="271"/>
      <c r="BW58" s="271"/>
      <c r="BX58" s="271"/>
      <c r="BY58" s="271"/>
      <c r="BZ58" s="271"/>
    </row>
    <row r="59" ht="13.8" spans="1:78">
      <c r="A59" s="271"/>
      <c r="B59" s="271"/>
      <c r="C59" s="271"/>
      <c r="D59" s="272"/>
      <c r="E59" s="272"/>
      <c r="F59" s="271"/>
      <c r="G59" s="272"/>
      <c r="H59" s="271"/>
      <c r="I59" s="271"/>
      <c r="J59" s="272"/>
      <c r="K59" s="271"/>
      <c r="L59" s="271"/>
      <c r="M59" s="271"/>
      <c r="N59" s="271"/>
      <c r="O59" s="271"/>
      <c r="P59" s="271"/>
      <c r="Q59" s="271"/>
      <c r="R59" s="271"/>
      <c r="S59" s="271"/>
      <c r="T59" s="271"/>
      <c r="U59" s="273"/>
      <c r="V59" s="271"/>
      <c r="W59" s="271"/>
      <c r="X59" s="274"/>
      <c r="Y59" s="274"/>
      <c r="Z59" s="271"/>
      <c r="AA59" s="271"/>
      <c r="AB59" s="271"/>
      <c r="AC59" s="271"/>
      <c r="AD59" s="271"/>
      <c r="AE59" s="271"/>
      <c r="AF59" s="271"/>
      <c r="AG59" s="271"/>
      <c r="AH59" s="271"/>
      <c r="AI59" s="271"/>
      <c r="AJ59" s="271"/>
      <c r="AK59" s="271"/>
      <c r="AL59" s="271"/>
      <c r="AM59" s="271"/>
      <c r="AN59" s="271"/>
      <c r="AO59" s="271"/>
      <c r="AP59" s="271"/>
      <c r="AQ59" s="271"/>
      <c r="AR59" s="271"/>
      <c r="AS59" s="271"/>
      <c r="AT59" s="271"/>
      <c r="AU59" s="271"/>
      <c r="AV59" s="271"/>
      <c r="AW59" s="271"/>
      <c r="AX59" s="271"/>
      <c r="AY59" s="271"/>
      <c r="AZ59" s="271"/>
      <c r="BA59" s="271"/>
      <c r="BB59" s="271"/>
      <c r="BC59" s="271"/>
      <c r="BD59" s="271"/>
      <c r="BE59" s="271"/>
      <c r="BF59" s="271"/>
      <c r="BG59" s="271"/>
      <c r="BH59" s="271"/>
      <c r="BI59" s="271"/>
      <c r="BJ59" s="271"/>
      <c r="BK59" s="271"/>
      <c r="BL59" s="271"/>
      <c r="BM59" s="271"/>
      <c r="BN59" s="271"/>
      <c r="BO59" s="271"/>
      <c r="BP59" s="271"/>
      <c r="BQ59" s="271"/>
      <c r="BR59" s="271"/>
      <c r="BS59" s="271"/>
      <c r="BT59" s="271"/>
      <c r="BU59" s="271"/>
      <c r="BV59" s="271"/>
      <c r="BW59" s="271"/>
      <c r="BX59" s="271"/>
      <c r="BY59" s="271"/>
      <c r="BZ59" s="271"/>
    </row>
    <row r="60" ht="13.8" spans="1:78">
      <c r="A60" s="271"/>
      <c r="B60" s="271"/>
      <c r="C60" s="271"/>
      <c r="D60" s="272"/>
      <c r="E60" s="272"/>
      <c r="F60" s="271"/>
      <c r="G60" s="272"/>
      <c r="H60" s="271"/>
      <c r="I60" s="271"/>
      <c r="J60" s="272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73"/>
      <c r="V60" s="271"/>
      <c r="W60" s="271"/>
      <c r="X60" s="274"/>
      <c r="Y60" s="274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271"/>
      <c r="AN60" s="271"/>
      <c r="AO60" s="271"/>
      <c r="AP60" s="271"/>
      <c r="AQ60" s="271"/>
      <c r="AR60" s="271"/>
      <c r="AS60" s="271"/>
      <c r="AT60" s="271"/>
      <c r="AU60" s="271"/>
      <c r="AV60" s="271"/>
      <c r="AW60" s="271"/>
      <c r="AX60" s="271"/>
      <c r="AY60" s="271"/>
      <c r="AZ60" s="271"/>
      <c r="BA60" s="271"/>
      <c r="BB60" s="271"/>
      <c r="BC60" s="271"/>
      <c r="BD60" s="271"/>
      <c r="BE60" s="271"/>
      <c r="BF60" s="271"/>
      <c r="BG60" s="271"/>
      <c r="BH60" s="271"/>
      <c r="BI60" s="271"/>
      <c r="BJ60" s="271"/>
      <c r="BK60" s="271"/>
      <c r="BL60" s="271"/>
      <c r="BM60" s="271"/>
      <c r="BN60" s="271"/>
      <c r="BO60" s="271"/>
      <c r="BP60" s="271"/>
      <c r="BQ60" s="271"/>
      <c r="BR60" s="271"/>
      <c r="BS60" s="271"/>
      <c r="BT60" s="271"/>
      <c r="BU60" s="271"/>
      <c r="BV60" s="271"/>
      <c r="BW60" s="271"/>
      <c r="BX60" s="271"/>
      <c r="BY60" s="271"/>
      <c r="BZ60" s="271"/>
    </row>
    <row r="61" ht="13.8" spans="1:78">
      <c r="A61" s="271"/>
      <c r="B61" s="271"/>
      <c r="C61" s="271"/>
      <c r="D61" s="272"/>
      <c r="E61" s="272"/>
      <c r="F61" s="271"/>
      <c r="G61" s="272"/>
      <c r="H61" s="271"/>
      <c r="I61" s="271"/>
      <c r="J61" s="272"/>
      <c r="K61" s="271"/>
      <c r="L61" s="271"/>
      <c r="M61" s="271"/>
      <c r="N61" s="271"/>
      <c r="O61" s="271"/>
      <c r="P61" s="271"/>
      <c r="Q61" s="271"/>
      <c r="R61" s="271"/>
      <c r="S61" s="271"/>
      <c r="T61" s="271"/>
      <c r="U61" s="273"/>
      <c r="V61" s="271"/>
      <c r="W61" s="271"/>
      <c r="X61" s="274"/>
      <c r="Y61" s="274"/>
      <c r="Z61" s="271"/>
      <c r="AA61" s="271"/>
      <c r="AB61" s="271"/>
      <c r="AC61" s="271"/>
      <c r="AD61" s="271"/>
      <c r="AE61" s="271"/>
      <c r="AF61" s="271"/>
      <c r="AG61" s="271"/>
      <c r="AH61" s="271"/>
      <c r="AI61" s="271"/>
      <c r="AJ61" s="271"/>
      <c r="AK61" s="271"/>
      <c r="AL61" s="271"/>
      <c r="AM61" s="271"/>
      <c r="AN61" s="271"/>
      <c r="AO61" s="271"/>
      <c r="AP61" s="271"/>
      <c r="AQ61" s="271"/>
      <c r="AR61" s="271"/>
      <c r="AS61" s="271"/>
      <c r="AT61" s="271"/>
      <c r="AU61" s="271"/>
      <c r="AV61" s="271"/>
      <c r="AW61" s="271"/>
      <c r="AX61" s="271"/>
      <c r="AY61" s="271"/>
      <c r="AZ61" s="271"/>
      <c r="BA61" s="271"/>
      <c r="BB61" s="271"/>
      <c r="BC61" s="271"/>
      <c r="BD61" s="271"/>
      <c r="BE61" s="271"/>
      <c r="BF61" s="271"/>
      <c r="BG61" s="271"/>
      <c r="BH61" s="271"/>
      <c r="BI61" s="271"/>
      <c r="BJ61" s="271"/>
      <c r="BK61" s="271"/>
      <c r="BL61" s="271"/>
      <c r="BM61" s="271"/>
      <c r="BN61" s="271"/>
      <c r="BO61" s="271"/>
      <c r="BP61" s="271"/>
      <c r="BQ61" s="271"/>
      <c r="BR61" s="271"/>
      <c r="BS61" s="271"/>
      <c r="BT61" s="271"/>
      <c r="BU61" s="271"/>
      <c r="BV61" s="271"/>
      <c r="BW61" s="271"/>
      <c r="BX61" s="271"/>
      <c r="BY61" s="271"/>
      <c r="BZ61" s="271"/>
    </row>
    <row r="62" ht="13.8" spans="1:78">
      <c r="A62" s="271"/>
      <c r="B62" s="271"/>
      <c r="C62" s="271"/>
      <c r="D62" s="272"/>
      <c r="E62" s="272"/>
      <c r="F62" s="271"/>
      <c r="G62" s="272"/>
      <c r="H62" s="271"/>
      <c r="I62" s="271"/>
      <c r="J62" s="272"/>
      <c r="K62" s="271"/>
      <c r="L62" s="271"/>
      <c r="M62" s="271"/>
      <c r="N62" s="271"/>
      <c r="O62" s="271"/>
      <c r="P62" s="271"/>
      <c r="Q62" s="271"/>
      <c r="R62" s="271"/>
      <c r="S62" s="271"/>
      <c r="T62" s="271"/>
      <c r="U62" s="273"/>
      <c r="V62" s="271"/>
      <c r="W62" s="271"/>
      <c r="X62" s="274"/>
      <c r="Y62" s="274"/>
      <c r="Z62" s="271"/>
      <c r="AA62" s="271"/>
      <c r="AB62" s="271"/>
      <c r="AC62" s="271"/>
      <c r="AD62" s="271"/>
      <c r="AE62" s="271"/>
      <c r="AF62" s="271"/>
      <c r="AG62" s="271"/>
      <c r="AH62" s="271"/>
      <c r="AI62" s="271"/>
      <c r="AJ62" s="271"/>
      <c r="AK62" s="271"/>
      <c r="AL62" s="271"/>
      <c r="AM62" s="271"/>
      <c r="AN62" s="271"/>
      <c r="AO62" s="271"/>
      <c r="AP62" s="271"/>
      <c r="AQ62" s="271"/>
      <c r="AR62" s="271"/>
      <c r="AS62" s="271"/>
      <c r="AT62" s="271"/>
      <c r="AU62" s="271"/>
      <c r="AV62" s="271"/>
      <c r="AW62" s="271"/>
      <c r="AX62" s="271"/>
      <c r="AY62" s="271"/>
      <c r="AZ62" s="271"/>
      <c r="BA62" s="271"/>
      <c r="BB62" s="271"/>
      <c r="BC62" s="271"/>
      <c r="BD62" s="271"/>
      <c r="BE62" s="271"/>
      <c r="BF62" s="271"/>
      <c r="BG62" s="271"/>
      <c r="BH62" s="271"/>
      <c r="BI62" s="271"/>
      <c r="BJ62" s="271"/>
      <c r="BK62" s="271"/>
      <c r="BL62" s="271"/>
      <c r="BM62" s="271"/>
      <c r="BN62" s="271"/>
      <c r="BO62" s="271"/>
      <c r="BP62" s="271"/>
      <c r="BQ62" s="271"/>
      <c r="BR62" s="271"/>
      <c r="BS62" s="271"/>
      <c r="BT62" s="271"/>
      <c r="BU62" s="271"/>
      <c r="BV62" s="271"/>
      <c r="BW62" s="271"/>
      <c r="BX62" s="271"/>
      <c r="BY62" s="271"/>
      <c r="BZ62" s="271"/>
    </row>
    <row r="63" ht="13.8" spans="1:78">
      <c r="A63" s="271"/>
      <c r="B63" s="271"/>
      <c r="C63" s="271"/>
      <c r="D63" s="272"/>
      <c r="E63" s="272"/>
      <c r="F63" s="271"/>
      <c r="G63" s="272"/>
      <c r="H63" s="271"/>
      <c r="I63" s="271"/>
      <c r="J63" s="272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73"/>
      <c r="V63" s="271"/>
      <c r="W63" s="271"/>
      <c r="X63" s="274"/>
      <c r="Y63" s="274"/>
      <c r="Z63" s="271"/>
      <c r="AA63" s="271"/>
      <c r="AB63" s="271"/>
      <c r="AC63" s="271"/>
      <c r="AD63" s="271"/>
      <c r="AE63" s="271"/>
      <c r="AF63" s="271"/>
      <c r="AG63" s="271"/>
      <c r="AH63" s="271"/>
      <c r="AI63" s="271"/>
      <c r="AJ63" s="271"/>
      <c r="AK63" s="271"/>
      <c r="AL63" s="271"/>
      <c r="AM63" s="271"/>
      <c r="AN63" s="271"/>
      <c r="AO63" s="271"/>
      <c r="AP63" s="271"/>
      <c r="AQ63" s="271"/>
      <c r="AR63" s="271"/>
      <c r="AS63" s="271"/>
      <c r="AT63" s="271"/>
      <c r="AU63" s="271"/>
      <c r="AV63" s="271"/>
      <c r="AW63" s="271"/>
      <c r="AX63" s="271"/>
      <c r="AY63" s="271"/>
      <c r="AZ63" s="271"/>
      <c r="BA63" s="271"/>
      <c r="BB63" s="271"/>
      <c r="BC63" s="271"/>
      <c r="BD63" s="271"/>
      <c r="BE63" s="271"/>
      <c r="BF63" s="271"/>
      <c r="BG63" s="271"/>
      <c r="BH63" s="271"/>
      <c r="BI63" s="271"/>
      <c r="BJ63" s="271"/>
      <c r="BK63" s="271"/>
      <c r="BL63" s="271"/>
      <c r="BM63" s="271"/>
      <c r="BN63" s="271"/>
      <c r="BO63" s="271"/>
      <c r="BP63" s="271"/>
      <c r="BQ63" s="271"/>
      <c r="BR63" s="271"/>
      <c r="BS63" s="271"/>
      <c r="BT63" s="271"/>
      <c r="BU63" s="271"/>
      <c r="BV63" s="271"/>
      <c r="BW63" s="271"/>
      <c r="BX63" s="271"/>
      <c r="BY63" s="271"/>
      <c r="BZ63" s="271"/>
    </row>
    <row r="64" ht="13.8" spans="1:78">
      <c r="A64" s="271"/>
      <c r="B64" s="271"/>
      <c r="C64" s="271"/>
      <c r="D64" s="272"/>
      <c r="E64" s="272"/>
      <c r="F64" s="271"/>
      <c r="G64" s="272"/>
      <c r="H64" s="271"/>
      <c r="I64" s="271"/>
      <c r="J64" s="272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3"/>
      <c r="V64" s="271"/>
      <c r="W64" s="271"/>
      <c r="X64" s="274"/>
      <c r="Y64" s="274"/>
      <c r="Z64" s="271"/>
      <c r="AA64" s="271"/>
      <c r="AB64" s="271"/>
      <c r="AC64" s="271"/>
      <c r="AD64" s="271"/>
      <c r="AE64" s="271"/>
      <c r="AF64" s="271"/>
      <c r="AG64" s="271"/>
      <c r="AH64" s="271"/>
      <c r="AI64" s="271"/>
      <c r="AJ64" s="271"/>
      <c r="AK64" s="271"/>
      <c r="AL64" s="271"/>
      <c r="AM64" s="271"/>
      <c r="AN64" s="271"/>
      <c r="AO64" s="271"/>
      <c r="AP64" s="271"/>
      <c r="AQ64" s="271"/>
      <c r="AR64" s="271"/>
      <c r="AS64" s="271"/>
      <c r="AT64" s="271"/>
      <c r="AU64" s="271"/>
      <c r="AV64" s="271"/>
      <c r="AW64" s="271"/>
      <c r="AX64" s="271"/>
      <c r="AY64" s="271"/>
      <c r="AZ64" s="271"/>
      <c r="BA64" s="271"/>
      <c r="BB64" s="271"/>
      <c r="BC64" s="271"/>
      <c r="BD64" s="271"/>
      <c r="BE64" s="271"/>
      <c r="BF64" s="271"/>
      <c r="BG64" s="271"/>
      <c r="BH64" s="271"/>
      <c r="BI64" s="271"/>
      <c r="BJ64" s="271"/>
      <c r="BK64" s="271"/>
      <c r="BL64" s="271"/>
      <c r="BM64" s="271"/>
      <c r="BN64" s="271"/>
      <c r="BO64" s="271"/>
      <c r="BP64" s="271"/>
      <c r="BQ64" s="271"/>
      <c r="BR64" s="271"/>
      <c r="BS64" s="271"/>
      <c r="BT64" s="271"/>
      <c r="BU64" s="271"/>
      <c r="BV64" s="271"/>
      <c r="BW64" s="271"/>
      <c r="BX64" s="271"/>
      <c r="BY64" s="271"/>
      <c r="BZ64" s="271"/>
    </row>
    <row r="65" ht="13.8" spans="1:78">
      <c r="A65" s="271"/>
      <c r="B65" s="271"/>
      <c r="C65" s="271"/>
      <c r="D65" s="272"/>
      <c r="E65" s="272"/>
      <c r="F65" s="271"/>
      <c r="G65" s="272"/>
      <c r="H65" s="271"/>
      <c r="I65" s="271"/>
      <c r="J65" s="272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3"/>
      <c r="V65" s="271"/>
      <c r="W65" s="271"/>
      <c r="X65" s="274"/>
      <c r="Y65" s="274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71"/>
      <c r="AM65" s="271"/>
      <c r="AN65" s="271"/>
      <c r="AO65" s="271"/>
      <c r="AP65" s="271"/>
      <c r="AQ65" s="271"/>
      <c r="AR65" s="271"/>
      <c r="AS65" s="271"/>
      <c r="AT65" s="271"/>
      <c r="AU65" s="271"/>
      <c r="AV65" s="271"/>
      <c r="AW65" s="271"/>
      <c r="AX65" s="271"/>
      <c r="AY65" s="271"/>
      <c r="AZ65" s="271"/>
      <c r="BA65" s="271"/>
      <c r="BB65" s="271"/>
      <c r="BC65" s="271"/>
      <c r="BD65" s="271"/>
      <c r="BE65" s="271"/>
      <c r="BF65" s="271"/>
      <c r="BG65" s="271"/>
      <c r="BH65" s="271"/>
      <c r="BI65" s="271"/>
      <c r="BJ65" s="271"/>
      <c r="BK65" s="271"/>
      <c r="BL65" s="271"/>
      <c r="BM65" s="271"/>
      <c r="BN65" s="271"/>
      <c r="BO65" s="271"/>
      <c r="BP65" s="271"/>
      <c r="BQ65" s="271"/>
      <c r="BR65" s="271"/>
      <c r="BS65" s="271"/>
      <c r="BT65" s="271"/>
      <c r="BU65" s="271"/>
      <c r="BV65" s="271"/>
      <c r="BW65" s="271"/>
      <c r="BX65" s="271"/>
      <c r="BY65" s="271"/>
      <c r="BZ65" s="271"/>
    </row>
    <row r="66" ht="13.8" spans="1:78">
      <c r="A66" s="271"/>
      <c r="B66" s="271"/>
      <c r="C66" s="271"/>
      <c r="D66" s="272"/>
      <c r="E66" s="272"/>
      <c r="F66" s="271"/>
      <c r="G66" s="272"/>
      <c r="H66" s="271"/>
      <c r="I66" s="271"/>
      <c r="J66" s="272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3"/>
      <c r="V66" s="271"/>
      <c r="W66" s="271"/>
      <c r="X66" s="274"/>
      <c r="Y66" s="274"/>
      <c r="Z66" s="271"/>
      <c r="AA66" s="271"/>
      <c r="AB66" s="271"/>
      <c r="AC66" s="271"/>
      <c r="AD66" s="271"/>
      <c r="AE66" s="271"/>
      <c r="AF66" s="271"/>
      <c r="AG66" s="271"/>
      <c r="AH66" s="271"/>
      <c r="AI66" s="271"/>
      <c r="AJ66" s="271"/>
      <c r="AK66" s="271"/>
      <c r="AL66" s="271"/>
      <c r="AM66" s="271"/>
      <c r="AN66" s="271"/>
      <c r="AO66" s="271"/>
      <c r="AP66" s="271"/>
      <c r="AQ66" s="271"/>
      <c r="AR66" s="271"/>
      <c r="AS66" s="271"/>
      <c r="AT66" s="271"/>
      <c r="AU66" s="271"/>
      <c r="AV66" s="271"/>
      <c r="AW66" s="271"/>
      <c r="AX66" s="271"/>
      <c r="AY66" s="271"/>
      <c r="AZ66" s="271"/>
      <c r="BA66" s="271"/>
      <c r="BB66" s="271"/>
      <c r="BC66" s="271"/>
      <c r="BD66" s="271"/>
      <c r="BE66" s="271"/>
      <c r="BF66" s="271"/>
      <c r="BG66" s="271"/>
      <c r="BH66" s="271"/>
      <c r="BI66" s="271"/>
      <c r="BJ66" s="271"/>
      <c r="BK66" s="271"/>
      <c r="BL66" s="271"/>
      <c r="BM66" s="271"/>
      <c r="BN66" s="271"/>
      <c r="BO66" s="271"/>
      <c r="BP66" s="271"/>
      <c r="BQ66" s="271"/>
      <c r="BR66" s="271"/>
      <c r="BS66" s="271"/>
      <c r="BT66" s="271"/>
      <c r="BU66" s="271"/>
      <c r="BV66" s="271"/>
      <c r="BW66" s="271"/>
      <c r="BX66" s="271"/>
      <c r="BY66" s="271"/>
      <c r="BZ66" s="271"/>
    </row>
    <row r="67" ht="13.8" spans="1:78">
      <c r="A67" s="271"/>
      <c r="B67" s="271"/>
      <c r="C67" s="271"/>
      <c r="D67" s="272"/>
      <c r="E67" s="272"/>
      <c r="F67" s="271"/>
      <c r="G67" s="272"/>
      <c r="H67" s="271"/>
      <c r="I67" s="271"/>
      <c r="J67" s="272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3"/>
      <c r="V67" s="271"/>
      <c r="W67" s="271"/>
      <c r="X67" s="274"/>
      <c r="Y67" s="274"/>
      <c r="Z67" s="271"/>
      <c r="AA67" s="271"/>
      <c r="AB67" s="271"/>
      <c r="AC67" s="271"/>
      <c r="AD67" s="271"/>
      <c r="AE67" s="271"/>
      <c r="AF67" s="271"/>
      <c r="AG67" s="271"/>
      <c r="AH67" s="271"/>
      <c r="AI67" s="271"/>
      <c r="AJ67" s="271"/>
      <c r="AK67" s="271"/>
      <c r="AL67" s="271"/>
      <c r="AM67" s="271"/>
      <c r="AN67" s="271"/>
      <c r="AO67" s="271"/>
      <c r="AP67" s="271"/>
      <c r="AQ67" s="271"/>
      <c r="AR67" s="271"/>
      <c r="AS67" s="271"/>
      <c r="AT67" s="271"/>
      <c r="AU67" s="271"/>
      <c r="AV67" s="271"/>
      <c r="AW67" s="271"/>
      <c r="AX67" s="271"/>
      <c r="AY67" s="271"/>
      <c r="AZ67" s="271"/>
      <c r="BA67" s="271"/>
      <c r="BB67" s="271"/>
      <c r="BC67" s="271"/>
      <c r="BD67" s="271"/>
      <c r="BE67" s="271"/>
      <c r="BF67" s="271"/>
      <c r="BG67" s="271"/>
      <c r="BH67" s="271"/>
      <c r="BI67" s="271"/>
      <c r="BJ67" s="271"/>
      <c r="BK67" s="271"/>
      <c r="BL67" s="271"/>
      <c r="BM67" s="271"/>
      <c r="BN67" s="271"/>
      <c r="BO67" s="271"/>
      <c r="BP67" s="271"/>
      <c r="BQ67" s="271"/>
      <c r="BR67" s="271"/>
      <c r="BS67" s="271"/>
      <c r="BT67" s="271"/>
      <c r="BU67" s="271"/>
      <c r="BV67" s="271"/>
      <c r="BW67" s="271"/>
      <c r="BX67" s="271"/>
      <c r="BY67" s="271"/>
      <c r="BZ67" s="271"/>
    </row>
    <row r="68" ht="13.8" spans="1:78">
      <c r="A68" s="271"/>
      <c r="B68" s="271"/>
      <c r="C68" s="271"/>
      <c r="D68" s="272"/>
      <c r="E68" s="272"/>
      <c r="F68" s="271"/>
      <c r="G68" s="272"/>
      <c r="H68" s="271"/>
      <c r="I68" s="271"/>
      <c r="J68" s="272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3"/>
      <c r="V68" s="271"/>
      <c r="W68" s="271"/>
      <c r="X68" s="274"/>
      <c r="Y68" s="274"/>
      <c r="Z68" s="271"/>
      <c r="AA68" s="271"/>
      <c r="AB68" s="271"/>
      <c r="AC68" s="271"/>
      <c r="AD68" s="271"/>
      <c r="AE68" s="271"/>
      <c r="AF68" s="271"/>
      <c r="AG68" s="271"/>
      <c r="AH68" s="271"/>
      <c r="AI68" s="271"/>
      <c r="AJ68" s="271"/>
      <c r="AK68" s="271"/>
      <c r="AL68" s="271"/>
      <c r="AM68" s="271"/>
      <c r="AN68" s="271"/>
      <c r="AO68" s="271"/>
      <c r="AP68" s="271"/>
      <c r="AQ68" s="271"/>
      <c r="AR68" s="271"/>
      <c r="AS68" s="271"/>
      <c r="AT68" s="271"/>
      <c r="AU68" s="271"/>
      <c r="AV68" s="271"/>
      <c r="AW68" s="271"/>
      <c r="AX68" s="271"/>
      <c r="AY68" s="271"/>
      <c r="AZ68" s="271"/>
      <c r="BA68" s="271"/>
      <c r="BB68" s="271"/>
      <c r="BC68" s="271"/>
      <c r="BD68" s="271"/>
      <c r="BE68" s="271"/>
      <c r="BF68" s="271"/>
      <c r="BG68" s="271"/>
      <c r="BH68" s="271"/>
      <c r="BI68" s="271"/>
      <c r="BJ68" s="271"/>
      <c r="BK68" s="271"/>
      <c r="BL68" s="271"/>
      <c r="BM68" s="271"/>
      <c r="BN68" s="271"/>
      <c r="BO68" s="271"/>
      <c r="BP68" s="271"/>
      <c r="BQ68" s="271"/>
      <c r="BR68" s="271"/>
      <c r="BS68" s="271"/>
      <c r="BT68" s="271"/>
      <c r="BU68" s="271"/>
      <c r="BV68" s="271"/>
      <c r="BW68" s="271"/>
      <c r="BX68" s="271"/>
      <c r="BY68" s="271"/>
      <c r="BZ68" s="271"/>
    </row>
    <row r="69" ht="13.8" spans="1:78">
      <c r="A69" s="271"/>
      <c r="B69" s="271"/>
      <c r="C69" s="271"/>
      <c r="D69" s="272"/>
      <c r="E69" s="272"/>
      <c r="F69" s="271"/>
      <c r="G69" s="272"/>
      <c r="H69" s="271"/>
      <c r="I69" s="271"/>
      <c r="J69" s="272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3"/>
      <c r="V69" s="271"/>
      <c r="W69" s="271"/>
      <c r="X69" s="274"/>
      <c r="Y69" s="274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71"/>
      <c r="AM69" s="271"/>
      <c r="AN69" s="271"/>
      <c r="AO69" s="271"/>
      <c r="AP69" s="271"/>
      <c r="AQ69" s="271"/>
      <c r="AR69" s="271"/>
      <c r="AS69" s="271"/>
      <c r="AT69" s="271"/>
      <c r="AU69" s="271"/>
      <c r="AV69" s="271"/>
      <c r="AW69" s="271"/>
      <c r="AX69" s="271"/>
      <c r="AY69" s="271"/>
      <c r="AZ69" s="271"/>
      <c r="BA69" s="271"/>
      <c r="BB69" s="271"/>
      <c r="BC69" s="271"/>
      <c r="BD69" s="271"/>
      <c r="BE69" s="271"/>
      <c r="BF69" s="271"/>
      <c r="BG69" s="271"/>
      <c r="BH69" s="271"/>
      <c r="BI69" s="271"/>
      <c r="BJ69" s="271"/>
      <c r="BK69" s="271"/>
      <c r="BL69" s="271"/>
      <c r="BM69" s="271"/>
      <c r="BN69" s="271"/>
      <c r="BO69" s="271"/>
      <c r="BP69" s="271"/>
      <c r="BQ69" s="271"/>
      <c r="BR69" s="271"/>
      <c r="BS69" s="271"/>
      <c r="BT69" s="271"/>
      <c r="BU69" s="271"/>
      <c r="BV69" s="271"/>
      <c r="BW69" s="271"/>
      <c r="BX69" s="271"/>
      <c r="BY69" s="271"/>
      <c r="BZ69" s="271"/>
    </row>
    <row r="70" ht="13.8" spans="1:78">
      <c r="A70" s="271"/>
      <c r="B70" s="271"/>
      <c r="C70" s="271"/>
      <c r="D70" s="272"/>
      <c r="E70" s="272"/>
      <c r="F70" s="271"/>
      <c r="G70" s="272"/>
      <c r="H70" s="271"/>
      <c r="I70" s="271"/>
      <c r="J70" s="272"/>
      <c r="K70" s="271"/>
      <c r="L70" s="271"/>
      <c r="M70" s="271"/>
      <c r="N70" s="271"/>
      <c r="O70" s="271"/>
      <c r="P70" s="271"/>
      <c r="Q70" s="271"/>
      <c r="R70" s="271"/>
      <c r="S70" s="271"/>
      <c r="T70" s="271"/>
      <c r="U70" s="273"/>
      <c r="V70" s="271"/>
      <c r="W70" s="271"/>
      <c r="X70" s="274"/>
      <c r="Y70" s="274"/>
      <c r="Z70" s="271"/>
      <c r="AA70" s="271"/>
      <c r="AB70" s="271"/>
      <c r="AC70" s="271"/>
      <c r="AD70" s="271"/>
      <c r="AE70" s="271"/>
      <c r="AF70" s="271"/>
      <c r="AG70" s="271"/>
      <c r="AH70" s="271"/>
      <c r="AI70" s="271"/>
      <c r="AJ70" s="271"/>
      <c r="AK70" s="271"/>
      <c r="AL70" s="271"/>
      <c r="AM70" s="271"/>
      <c r="AN70" s="271"/>
      <c r="AO70" s="271"/>
      <c r="AP70" s="271"/>
      <c r="AQ70" s="271"/>
      <c r="AR70" s="271"/>
      <c r="AS70" s="271"/>
      <c r="AT70" s="271"/>
      <c r="AU70" s="271"/>
      <c r="AV70" s="271"/>
      <c r="AW70" s="271"/>
      <c r="AX70" s="271"/>
      <c r="AY70" s="271"/>
      <c r="AZ70" s="271"/>
      <c r="BA70" s="271"/>
      <c r="BB70" s="271"/>
      <c r="BC70" s="271"/>
      <c r="BD70" s="271"/>
      <c r="BE70" s="271"/>
      <c r="BF70" s="271"/>
      <c r="BG70" s="271"/>
      <c r="BH70" s="271"/>
      <c r="BI70" s="271"/>
      <c r="BJ70" s="271"/>
      <c r="BK70" s="271"/>
      <c r="BL70" s="271"/>
      <c r="BM70" s="271"/>
      <c r="BN70" s="271"/>
      <c r="BO70" s="271"/>
      <c r="BP70" s="271"/>
      <c r="BQ70" s="271"/>
      <c r="BR70" s="271"/>
      <c r="BS70" s="271"/>
      <c r="BT70" s="271"/>
      <c r="BU70" s="271"/>
      <c r="BV70" s="271"/>
      <c r="BW70" s="271"/>
      <c r="BX70" s="271"/>
      <c r="BY70" s="271"/>
      <c r="BZ70" s="271"/>
    </row>
    <row r="71" ht="13.8" spans="1:78">
      <c r="A71" s="271"/>
      <c r="B71" s="271"/>
      <c r="C71" s="271"/>
      <c r="D71" s="272"/>
      <c r="E71" s="272"/>
      <c r="F71" s="271"/>
      <c r="G71" s="272"/>
      <c r="H71" s="271"/>
      <c r="I71" s="271"/>
      <c r="J71" s="272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3"/>
      <c r="V71" s="271"/>
      <c r="W71" s="271"/>
      <c r="X71" s="274"/>
      <c r="Y71" s="274"/>
      <c r="Z71" s="271"/>
      <c r="AA71" s="271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  <c r="AM71" s="271"/>
      <c r="AN71" s="271"/>
      <c r="AO71" s="271"/>
      <c r="AP71" s="271"/>
      <c r="AQ71" s="271"/>
      <c r="AR71" s="271"/>
      <c r="AS71" s="271"/>
      <c r="AT71" s="271"/>
      <c r="AU71" s="271"/>
      <c r="AV71" s="271"/>
      <c r="AW71" s="271"/>
      <c r="AX71" s="271"/>
      <c r="AY71" s="271"/>
      <c r="AZ71" s="271"/>
      <c r="BA71" s="271"/>
      <c r="BB71" s="271"/>
      <c r="BC71" s="271"/>
      <c r="BD71" s="271"/>
      <c r="BE71" s="271"/>
      <c r="BF71" s="271"/>
      <c r="BG71" s="271"/>
      <c r="BH71" s="271"/>
      <c r="BI71" s="271"/>
      <c r="BJ71" s="271"/>
      <c r="BK71" s="271"/>
      <c r="BL71" s="271"/>
      <c r="BM71" s="271"/>
      <c r="BN71" s="271"/>
      <c r="BO71" s="271"/>
      <c r="BP71" s="271"/>
      <c r="BQ71" s="271"/>
      <c r="BR71" s="271"/>
      <c r="BS71" s="271"/>
      <c r="BT71" s="271"/>
      <c r="BU71" s="271"/>
      <c r="BV71" s="271"/>
      <c r="BW71" s="271"/>
      <c r="BX71" s="271"/>
      <c r="BY71" s="271"/>
      <c r="BZ71" s="271"/>
    </row>
    <row r="72" ht="13.8" spans="1:78">
      <c r="A72" s="271"/>
      <c r="B72" s="271"/>
      <c r="C72" s="271"/>
      <c r="D72" s="272"/>
      <c r="E72" s="272"/>
      <c r="F72" s="271"/>
      <c r="G72" s="272"/>
      <c r="H72" s="271"/>
      <c r="I72" s="271"/>
      <c r="J72" s="272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3"/>
      <c r="V72" s="271"/>
      <c r="W72" s="271"/>
      <c r="X72" s="274"/>
      <c r="Y72" s="274"/>
      <c r="Z72" s="271"/>
      <c r="AA72" s="271"/>
      <c r="AB72" s="271"/>
      <c r="AC72" s="271"/>
      <c r="AD72" s="271"/>
      <c r="AE72" s="271"/>
      <c r="AF72" s="271"/>
      <c r="AG72" s="271"/>
      <c r="AH72" s="271"/>
      <c r="AI72" s="271"/>
      <c r="AJ72" s="271"/>
      <c r="AK72" s="271"/>
      <c r="AL72" s="271"/>
      <c r="AM72" s="271"/>
      <c r="AN72" s="271"/>
      <c r="AO72" s="271"/>
      <c r="AP72" s="271"/>
      <c r="AQ72" s="271"/>
      <c r="AR72" s="271"/>
      <c r="AS72" s="271"/>
      <c r="AT72" s="271"/>
      <c r="AU72" s="271"/>
      <c r="AV72" s="271"/>
      <c r="AW72" s="271"/>
      <c r="AX72" s="271"/>
      <c r="AY72" s="271"/>
      <c r="AZ72" s="271"/>
      <c r="BA72" s="271"/>
      <c r="BB72" s="271"/>
      <c r="BC72" s="271"/>
      <c r="BD72" s="271"/>
      <c r="BE72" s="271"/>
      <c r="BF72" s="271"/>
      <c r="BG72" s="271"/>
      <c r="BH72" s="271"/>
      <c r="BI72" s="271"/>
      <c r="BJ72" s="271"/>
      <c r="BK72" s="271"/>
      <c r="BL72" s="271"/>
      <c r="BM72" s="271"/>
      <c r="BN72" s="271"/>
      <c r="BO72" s="271"/>
      <c r="BP72" s="271"/>
      <c r="BQ72" s="271"/>
      <c r="BR72" s="271"/>
      <c r="BS72" s="271"/>
      <c r="BT72" s="271"/>
      <c r="BU72" s="271"/>
      <c r="BV72" s="271"/>
      <c r="BW72" s="271"/>
      <c r="BX72" s="271"/>
      <c r="BY72" s="271"/>
      <c r="BZ72" s="271"/>
    </row>
    <row r="73" ht="13.8" spans="1:78">
      <c r="A73" s="271"/>
      <c r="B73" s="271"/>
      <c r="C73" s="271"/>
      <c r="D73" s="272"/>
      <c r="E73" s="272"/>
      <c r="F73" s="271"/>
      <c r="G73" s="272"/>
      <c r="H73" s="271"/>
      <c r="I73" s="271"/>
      <c r="J73" s="272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3"/>
      <c r="V73" s="271"/>
      <c r="W73" s="271"/>
      <c r="X73" s="274"/>
      <c r="Y73" s="274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71"/>
      <c r="AM73" s="271"/>
      <c r="AN73" s="271"/>
      <c r="AO73" s="271"/>
      <c r="AP73" s="271"/>
      <c r="AQ73" s="271"/>
      <c r="AR73" s="271"/>
      <c r="AS73" s="271"/>
      <c r="AT73" s="271"/>
      <c r="AU73" s="271"/>
      <c r="AV73" s="271"/>
      <c r="AW73" s="271"/>
      <c r="AX73" s="271"/>
      <c r="AY73" s="271"/>
      <c r="AZ73" s="271"/>
      <c r="BA73" s="271"/>
      <c r="BB73" s="271"/>
      <c r="BC73" s="271"/>
      <c r="BD73" s="271"/>
      <c r="BE73" s="271"/>
      <c r="BF73" s="271"/>
      <c r="BG73" s="271"/>
      <c r="BH73" s="271"/>
      <c r="BI73" s="271"/>
      <c r="BJ73" s="271"/>
      <c r="BK73" s="271"/>
      <c r="BL73" s="271"/>
      <c r="BM73" s="271"/>
      <c r="BN73" s="271"/>
      <c r="BO73" s="271"/>
      <c r="BP73" s="271"/>
      <c r="BQ73" s="271"/>
      <c r="BR73" s="271"/>
      <c r="BS73" s="271"/>
      <c r="BT73" s="271"/>
      <c r="BU73" s="271"/>
      <c r="BV73" s="271"/>
      <c r="BW73" s="271"/>
      <c r="BX73" s="271"/>
      <c r="BY73" s="271"/>
      <c r="BZ73" s="271"/>
    </row>
    <row r="74" ht="13.8" spans="1:78">
      <c r="A74" s="271"/>
      <c r="B74" s="271"/>
      <c r="C74" s="271"/>
      <c r="D74" s="272"/>
      <c r="E74" s="272"/>
      <c r="F74" s="271"/>
      <c r="G74" s="272"/>
      <c r="H74" s="271"/>
      <c r="I74" s="271"/>
      <c r="J74" s="272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3"/>
      <c r="V74" s="271"/>
      <c r="W74" s="271"/>
      <c r="X74" s="274"/>
      <c r="Y74" s="274"/>
      <c r="Z74" s="271"/>
      <c r="AA74" s="271"/>
      <c r="AB74" s="271"/>
      <c r="AC74" s="271"/>
      <c r="AD74" s="271"/>
      <c r="AE74" s="271"/>
      <c r="AF74" s="271"/>
      <c r="AG74" s="271"/>
      <c r="AH74" s="271"/>
      <c r="AI74" s="271"/>
      <c r="AJ74" s="271"/>
      <c r="AK74" s="271"/>
      <c r="AL74" s="271"/>
      <c r="AM74" s="271"/>
      <c r="AN74" s="271"/>
      <c r="AO74" s="271"/>
      <c r="AP74" s="271"/>
      <c r="AQ74" s="271"/>
      <c r="AR74" s="271"/>
      <c r="AS74" s="271"/>
      <c r="AT74" s="271"/>
      <c r="AU74" s="271"/>
      <c r="AV74" s="271"/>
      <c r="AW74" s="271"/>
      <c r="AX74" s="271"/>
      <c r="AY74" s="271"/>
      <c r="AZ74" s="271"/>
      <c r="BA74" s="271"/>
      <c r="BB74" s="271"/>
      <c r="BC74" s="271"/>
      <c r="BD74" s="271"/>
      <c r="BE74" s="271"/>
      <c r="BF74" s="271"/>
      <c r="BG74" s="271"/>
      <c r="BH74" s="271"/>
      <c r="BI74" s="271"/>
      <c r="BJ74" s="271"/>
      <c r="BK74" s="271"/>
      <c r="BL74" s="271"/>
      <c r="BM74" s="271"/>
      <c r="BN74" s="271"/>
      <c r="BO74" s="271"/>
      <c r="BP74" s="271"/>
      <c r="BQ74" s="271"/>
      <c r="BR74" s="271"/>
      <c r="BS74" s="271"/>
      <c r="BT74" s="271"/>
      <c r="BU74" s="271"/>
      <c r="BV74" s="271"/>
      <c r="BW74" s="271"/>
      <c r="BX74" s="271"/>
      <c r="BY74" s="271"/>
      <c r="BZ74" s="271"/>
    </row>
    <row r="75" ht="13.8" spans="1:78">
      <c r="A75" s="271"/>
      <c r="B75" s="271"/>
      <c r="C75" s="271"/>
      <c r="D75" s="272"/>
      <c r="E75" s="272"/>
      <c r="F75" s="271"/>
      <c r="G75" s="272"/>
      <c r="H75" s="271"/>
      <c r="I75" s="271"/>
      <c r="J75" s="272"/>
      <c r="K75" s="271"/>
      <c r="L75" s="271"/>
      <c r="M75" s="271"/>
      <c r="N75" s="271"/>
      <c r="O75" s="271"/>
      <c r="P75" s="271"/>
      <c r="Q75" s="271"/>
      <c r="R75" s="271"/>
      <c r="S75" s="271"/>
      <c r="T75" s="271"/>
      <c r="U75" s="273"/>
      <c r="V75" s="271"/>
      <c r="W75" s="271"/>
      <c r="X75" s="274"/>
      <c r="Y75" s="274"/>
      <c r="Z75" s="271"/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L75" s="271"/>
      <c r="AM75" s="271"/>
      <c r="AN75" s="271"/>
      <c r="AO75" s="271"/>
      <c r="AP75" s="271"/>
      <c r="AQ75" s="271"/>
      <c r="AR75" s="271"/>
      <c r="AS75" s="271"/>
      <c r="AT75" s="271"/>
      <c r="AU75" s="271"/>
      <c r="AV75" s="271"/>
      <c r="AW75" s="271"/>
      <c r="AX75" s="271"/>
      <c r="AY75" s="271"/>
      <c r="AZ75" s="271"/>
      <c r="BA75" s="271"/>
      <c r="BB75" s="271"/>
      <c r="BC75" s="271"/>
      <c r="BD75" s="271"/>
      <c r="BE75" s="271"/>
      <c r="BF75" s="271"/>
      <c r="BG75" s="271"/>
      <c r="BH75" s="271"/>
      <c r="BI75" s="271"/>
      <c r="BJ75" s="271"/>
      <c r="BK75" s="271"/>
      <c r="BL75" s="271"/>
      <c r="BM75" s="271"/>
      <c r="BN75" s="271"/>
      <c r="BO75" s="271"/>
      <c r="BP75" s="271"/>
      <c r="BQ75" s="271"/>
      <c r="BR75" s="271"/>
      <c r="BS75" s="271"/>
      <c r="BT75" s="271"/>
      <c r="BU75" s="271"/>
      <c r="BV75" s="271"/>
      <c r="BW75" s="271"/>
      <c r="BX75" s="271"/>
      <c r="BY75" s="271"/>
      <c r="BZ75" s="271"/>
    </row>
    <row r="76" ht="13.8" spans="1:78">
      <c r="A76" s="271"/>
      <c r="B76" s="271"/>
      <c r="C76" s="271"/>
      <c r="D76" s="272"/>
      <c r="E76" s="272"/>
      <c r="F76" s="271"/>
      <c r="G76" s="272"/>
      <c r="H76" s="271"/>
      <c r="I76" s="271"/>
      <c r="J76" s="272"/>
      <c r="K76" s="271"/>
      <c r="L76" s="271"/>
      <c r="M76" s="271"/>
      <c r="N76" s="271"/>
      <c r="O76" s="271"/>
      <c r="P76" s="271"/>
      <c r="Q76" s="271"/>
      <c r="R76" s="271"/>
      <c r="S76" s="271"/>
      <c r="T76" s="271"/>
      <c r="U76" s="273"/>
      <c r="V76" s="271"/>
      <c r="W76" s="271"/>
      <c r="X76" s="274"/>
      <c r="Y76" s="274"/>
      <c r="Z76" s="271"/>
      <c r="AA76" s="271"/>
      <c r="AB76" s="271"/>
      <c r="AC76" s="271"/>
      <c r="AD76" s="271"/>
      <c r="AE76" s="271"/>
      <c r="AF76" s="271"/>
      <c r="AG76" s="271"/>
      <c r="AH76" s="271"/>
      <c r="AI76" s="271"/>
      <c r="AJ76" s="271"/>
      <c r="AK76" s="271"/>
      <c r="AL76" s="271"/>
      <c r="AM76" s="271"/>
      <c r="AN76" s="271"/>
      <c r="AO76" s="271"/>
      <c r="AP76" s="271"/>
      <c r="AQ76" s="271"/>
      <c r="AR76" s="271"/>
      <c r="AS76" s="271"/>
      <c r="AT76" s="271"/>
      <c r="AU76" s="271"/>
      <c r="AV76" s="271"/>
      <c r="AW76" s="271"/>
      <c r="AX76" s="271"/>
      <c r="AY76" s="271"/>
      <c r="AZ76" s="271"/>
      <c r="BA76" s="271"/>
      <c r="BB76" s="271"/>
      <c r="BC76" s="271"/>
      <c r="BD76" s="271"/>
      <c r="BE76" s="271"/>
      <c r="BF76" s="271"/>
      <c r="BG76" s="271"/>
      <c r="BH76" s="271"/>
      <c r="BI76" s="271"/>
      <c r="BJ76" s="271"/>
      <c r="BK76" s="271"/>
      <c r="BL76" s="271"/>
      <c r="BM76" s="271"/>
      <c r="BN76" s="271"/>
      <c r="BO76" s="271"/>
      <c r="BP76" s="271"/>
      <c r="BQ76" s="271"/>
      <c r="BR76" s="271"/>
      <c r="BS76" s="271"/>
      <c r="BT76" s="271"/>
      <c r="BU76" s="271"/>
      <c r="BV76" s="271"/>
      <c r="BW76" s="271"/>
      <c r="BX76" s="271"/>
      <c r="BY76" s="271"/>
      <c r="BZ76" s="271"/>
    </row>
    <row r="77" ht="13.8" spans="1:78">
      <c r="A77" s="271"/>
      <c r="B77" s="271"/>
      <c r="C77" s="271"/>
      <c r="D77" s="272"/>
      <c r="E77" s="272"/>
      <c r="F77" s="271"/>
      <c r="G77" s="272"/>
      <c r="H77" s="271"/>
      <c r="I77" s="271"/>
      <c r="J77" s="272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3"/>
      <c r="V77" s="271"/>
      <c r="W77" s="271"/>
      <c r="X77" s="274"/>
      <c r="Y77" s="274"/>
      <c r="Z77" s="271"/>
      <c r="AA77" s="271"/>
      <c r="AB77" s="271"/>
      <c r="AC77" s="271"/>
      <c r="AD77" s="271"/>
      <c r="AE77" s="271"/>
      <c r="AF77" s="271"/>
      <c r="AG77" s="271"/>
      <c r="AH77" s="271"/>
      <c r="AI77" s="271"/>
      <c r="AJ77" s="271"/>
      <c r="AK77" s="271"/>
      <c r="AL77" s="271"/>
      <c r="AM77" s="271"/>
      <c r="AN77" s="271"/>
      <c r="AO77" s="271"/>
      <c r="AP77" s="271"/>
      <c r="AQ77" s="271"/>
      <c r="AR77" s="271"/>
      <c r="AS77" s="271"/>
      <c r="AT77" s="271"/>
      <c r="AU77" s="271"/>
      <c r="AV77" s="271"/>
      <c r="AW77" s="271"/>
      <c r="AX77" s="271"/>
      <c r="AY77" s="271"/>
      <c r="AZ77" s="271"/>
      <c r="BA77" s="271"/>
      <c r="BB77" s="271"/>
      <c r="BC77" s="271"/>
      <c r="BD77" s="271"/>
      <c r="BE77" s="271"/>
      <c r="BF77" s="271"/>
      <c r="BG77" s="271"/>
      <c r="BH77" s="271"/>
      <c r="BI77" s="271"/>
      <c r="BJ77" s="271"/>
      <c r="BK77" s="271"/>
      <c r="BL77" s="271"/>
      <c r="BM77" s="271"/>
      <c r="BN77" s="271"/>
      <c r="BO77" s="271"/>
      <c r="BP77" s="271"/>
      <c r="BQ77" s="271"/>
      <c r="BR77" s="271"/>
      <c r="BS77" s="271"/>
      <c r="BT77" s="271"/>
      <c r="BU77" s="271"/>
      <c r="BV77" s="271"/>
      <c r="BW77" s="271"/>
      <c r="BX77" s="271"/>
      <c r="BY77" s="271"/>
      <c r="BZ77" s="271"/>
    </row>
    <row r="78" ht="13.8" spans="1:78">
      <c r="A78" s="271"/>
      <c r="B78" s="271"/>
      <c r="C78" s="271"/>
      <c r="D78" s="272"/>
      <c r="E78" s="272"/>
      <c r="F78" s="271"/>
      <c r="G78" s="272"/>
      <c r="H78" s="271"/>
      <c r="I78" s="271"/>
      <c r="J78" s="272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3"/>
      <c r="V78" s="271"/>
      <c r="W78" s="271"/>
      <c r="X78" s="274"/>
      <c r="Y78" s="274"/>
      <c r="Z78" s="271"/>
      <c r="AA78" s="271"/>
      <c r="AB78" s="271"/>
      <c r="AC78" s="271"/>
      <c r="AD78" s="271"/>
      <c r="AE78" s="271"/>
      <c r="AF78" s="271"/>
      <c r="AG78" s="271"/>
      <c r="AH78" s="271"/>
      <c r="AI78" s="271"/>
      <c r="AJ78" s="271"/>
      <c r="AK78" s="271"/>
      <c r="AL78" s="271"/>
      <c r="AM78" s="271"/>
      <c r="AN78" s="271"/>
      <c r="AO78" s="271"/>
      <c r="AP78" s="271"/>
      <c r="AQ78" s="271"/>
      <c r="AR78" s="271"/>
      <c r="AS78" s="271"/>
      <c r="AT78" s="271"/>
      <c r="AU78" s="271"/>
      <c r="AV78" s="271"/>
      <c r="AW78" s="271"/>
      <c r="AX78" s="271"/>
      <c r="AY78" s="271"/>
      <c r="AZ78" s="271"/>
      <c r="BA78" s="271"/>
      <c r="BB78" s="271"/>
      <c r="BC78" s="271"/>
      <c r="BD78" s="271"/>
      <c r="BE78" s="271"/>
      <c r="BF78" s="271"/>
      <c r="BG78" s="271"/>
      <c r="BH78" s="271"/>
      <c r="BI78" s="271"/>
      <c r="BJ78" s="271"/>
      <c r="BK78" s="271"/>
      <c r="BL78" s="271"/>
      <c r="BM78" s="271"/>
      <c r="BN78" s="271"/>
      <c r="BO78" s="271"/>
      <c r="BP78" s="271"/>
      <c r="BQ78" s="271"/>
      <c r="BR78" s="271"/>
      <c r="BS78" s="271"/>
      <c r="BT78" s="271"/>
      <c r="BU78" s="271"/>
      <c r="BV78" s="271"/>
      <c r="BW78" s="271"/>
      <c r="BX78" s="271"/>
      <c r="BY78" s="271"/>
      <c r="BZ78" s="271"/>
    </row>
    <row r="79" ht="13.8" spans="1:78">
      <c r="A79" s="271"/>
      <c r="B79" s="271"/>
      <c r="C79" s="271"/>
      <c r="D79" s="272"/>
      <c r="E79" s="272"/>
      <c r="F79" s="271"/>
      <c r="G79" s="272"/>
      <c r="H79" s="271"/>
      <c r="I79" s="271"/>
      <c r="J79" s="272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3"/>
      <c r="V79" s="271"/>
      <c r="W79" s="271"/>
      <c r="X79" s="274"/>
      <c r="Y79" s="274"/>
      <c r="Z79" s="271"/>
      <c r="AA79" s="271"/>
      <c r="AB79" s="271"/>
      <c r="AC79" s="271"/>
      <c r="AD79" s="271"/>
      <c r="AE79" s="271"/>
      <c r="AF79" s="271"/>
      <c r="AG79" s="271"/>
      <c r="AH79" s="271"/>
      <c r="AI79" s="271"/>
      <c r="AJ79" s="271"/>
      <c r="AK79" s="271"/>
      <c r="AL79" s="271"/>
      <c r="AM79" s="271"/>
      <c r="AN79" s="271"/>
      <c r="AO79" s="271"/>
      <c r="AP79" s="271"/>
      <c r="AQ79" s="271"/>
      <c r="AR79" s="271"/>
      <c r="AS79" s="271"/>
      <c r="AT79" s="271"/>
      <c r="AU79" s="271"/>
      <c r="AV79" s="271"/>
      <c r="AW79" s="271"/>
      <c r="AX79" s="271"/>
      <c r="AY79" s="271"/>
      <c r="AZ79" s="271"/>
      <c r="BA79" s="271"/>
      <c r="BB79" s="271"/>
      <c r="BC79" s="271"/>
      <c r="BD79" s="271"/>
      <c r="BE79" s="271"/>
      <c r="BF79" s="271"/>
      <c r="BG79" s="271"/>
      <c r="BH79" s="271"/>
      <c r="BI79" s="271"/>
      <c r="BJ79" s="271"/>
      <c r="BK79" s="271"/>
      <c r="BL79" s="271"/>
      <c r="BM79" s="271"/>
      <c r="BN79" s="271"/>
      <c r="BO79" s="271"/>
      <c r="BP79" s="271"/>
      <c r="BQ79" s="271"/>
      <c r="BR79" s="271"/>
      <c r="BS79" s="271"/>
      <c r="BT79" s="271"/>
      <c r="BU79" s="271"/>
      <c r="BV79" s="271"/>
      <c r="BW79" s="271"/>
      <c r="BX79" s="271"/>
      <c r="BY79" s="271"/>
      <c r="BZ79" s="271"/>
    </row>
    <row r="80" ht="13.8" spans="1:78">
      <c r="A80" s="271"/>
      <c r="B80" s="271"/>
      <c r="C80" s="271"/>
      <c r="D80" s="272"/>
      <c r="E80" s="272"/>
      <c r="F80" s="271"/>
      <c r="G80" s="272"/>
      <c r="H80" s="271"/>
      <c r="I80" s="271"/>
      <c r="J80" s="272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3"/>
      <c r="V80" s="271"/>
      <c r="W80" s="271"/>
      <c r="X80" s="274"/>
      <c r="Y80" s="274"/>
      <c r="Z80" s="271"/>
      <c r="AA80" s="271"/>
      <c r="AB80" s="271"/>
      <c r="AC80" s="271"/>
      <c r="AD80" s="271"/>
      <c r="AE80" s="271"/>
      <c r="AF80" s="271"/>
      <c r="AG80" s="271"/>
      <c r="AH80" s="271"/>
      <c r="AI80" s="271"/>
      <c r="AJ80" s="271"/>
      <c r="AK80" s="271"/>
      <c r="AL80" s="271"/>
      <c r="AM80" s="271"/>
      <c r="AN80" s="271"/>
      <c r="AO80" s="271"/>
      <c r="AP80" s="271"/>
      <c r="AQ80" s="271"/>
      <c r="AR80" s="271"/>
      <c r="AS80" s="271"/>
      <c r="AT80" s="271"/>
      <c r="AU80" s="271"/>
      <c r="AV80" s="271"/>
      <c r="AW80" s="271"/>
      <c r="AX80" s="271"/>
      <c r="AY80" s="271"/>
      <c r="AZ80" s="271"/>
      <c r="BA80" s="271"/>
      <c r="BB80" s="271"/>
      <c r="BC80" s="271"/>
      <c r="BD80" s="271"/>
      <c r="BE80" s="271"/>
      <c r="BF80" s="271"/>
      <c r="BG80" s="271"/>
      <c r="BH80" s="271"/>
      <c r="BI80" s="271"/>
      <c r="BJ80" s="271"/>
      <c r="BK80" s="271"/>
      <c r="BL80" s="271"/>
      <c r="BM80" s="271"/>
      <c r="BN80" s="271"/>
      <c r="BO80" s="271"/>
      <c r="BP80" s="271"/>
      <c r="BQ80" s="271"/>
      <c r="BR80" s="271"/>
      <c r="BS80" s="271"/>
      <c r="BT80" s="271"/>
      <c r="BU80" s="271"/>
      <c r="BV80" s="271"/>
      <c r="BW80" s="271"/>
      <c r="BX80" s="271"/>
      <c r="BY80" s="271"/>
      <c r="BZ80" s="271"/>
    </row>
    <row r="81" ht="13.8" spans="1:78">
      <c r="A81" s="271"/>
      <c r="B81" s="271"/>
      <c r="C81" s="271"/>
      <c r="D81" s="272"/>
      <c r="E81" s="272"/>
      <c r="F81" s="271"/>
      <c r="G81" s="272"/>
      <c r="H81" s="271"/>
      <c r="I81" s="271"/>
      <c r="J81" s="272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3"/>
      <c r="V81" s="271"/>
      <c r="W81" s="271"/>
      <c r="X81" s="274"/>
      <c r="Y81" s="274"/>
      <c r="Z81" s="271"/>
      <c r="AA81" s="271"/>
      <c r="AB81" s="271"/>
      <c r="AC81" s="271"/>
      <c r="AD81" s="271"/>
      <c r="AE81" s="271"/>
      <c r="AF81" s="271"/>
      <c r="AG81" s="271"/>
      <c r="AH81" s="271"/>
      <c r="AI81" s="271"/>
      <c r="AJ81" s="271"/>
      <c r="AK81" s="271"/>
      <c r="AL81" s="271"/>
      <c r="AM81" s="271"/>
      <c r="AN81" s="271"/>
      <c r="AO81" s="271"/>
      <c r="AP81" s="271"/>
      <c r="AQ81" s="271"/>
      <c r="AR81" s="271"/>
      <c r="AS81" s="271"/>
      <c r="AT81" s="271"/>
      <c r="AU81" s="271"/>
      <c r="AV81" s="271"/>
      <c r="AW81" s="271"/>
      <c r="AX81" s="271"/>
      <c r="AY81" s="271"/>
      <c r="AZ81" s="271"/>
      <c r="BA81" s="271"/>
      <c r="BB81" s="271"/>
      <c r="BC81" s="271"/>
      <c r="BD81" s="271"/>
      <c r="BE81" s="271"/>
      <c r="BF81" s="271"/>
      <c r="BG81" s="271"/>
      <c r="BH81" s="271"/>
      <c r="BI81" s="271"/>
      <c r="BJ81" s="271"/>
      <c r="BK81" s="271"/>
      <c r="BL81" s="271"/>
      <c r="BM81" s="271"/>
      <c r="BN81" s="271"/>
      <c r="BO81" s="271"/>
      <c r="BP81" s="271"/>
      <c r="BQ81" s="271"/>
      <c r="BR81" s="271"/>
      <c r="BS81" s="271"/>
      <c r="BT81" s="271"/>
      <c r="BU81" s="271"/>
      <c r="BV81" s="271"/>
      <c r="BW81" s="271"/>
      <c r="BX81" s="271"/>
      <c r="BY81" s="271"/>
      <c r="BZ81" s="271"/>
    </row>
    <row r="82" ht="13.8" spans="1:78">
      <c r="A82" s="271"/>
      <c r="B82" s="271"/>
      <c r="C82" s="271"/>
      <c r="D82" s="272"/>
      <c r="E82" s="272"/>
      <c r="F82" s="271"/>
      <c r="G82" s="272"/>
      <c r="H82" s="271"/>
      <c r="I82" s="271"/>
      <c r="J82" s="272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3"/>
      <c r="V82" s="271"/>
      <c r="W82" s="271"/>
      <c r="X82" s="274"/>
      <c r="Y82" s="274"/>
      <c r="Z82" s="271"/>
      <c r="AA82" s="271"/>
      <c r="AB82" s="271"/>
      <c r="AC82" s="271"/>
      <c r="AD82" s="271"/>
      <c r="AE82" s="271"/>
      <c r="AF82" s="271"/>
      <c r="AG82" s="271"/>
      <c r="AH82" s="271"/>
      <c r="AI82" s="271"/>
      <c r="AJ82" s="271"/>
      <c r="AK82" s="271"/>
      <c r="AL82" s="271"/>
      <c r="AM82" s="271"/>
      <c r="AN82" s="271"/>
      <c r="AO82" s="271"/>
      <c r="AP82" s="271"/>
      <c r="AQ82" s="271"/>
      <c r="AR82" s="271"/>
      <c r="AS82" s="271"/>
      <c r="AT82" s="271"/>
      <c r="AU82" s="271"/>
      <c r="AV82" s="271"/>
      <c r="AW82" s="271"/>
      <c r="AX82" s="271"/>
      <c r="AY82" s="271"/>
      <c r="AZ82" s="271"/>
      <c r="BA82" s="271"/>
      <c r="BB82" s="271"/>
      <c r="BC82" s="271"/>
      <c r="BD82" s="271"/>
      <c r="BE82" s="271"/>
      <c r="BF82" s="271"/>
      <c r="BG82" s="271"/>
      <c r="BH82" s="271"/>
      <c r="BI82" s="271"/>
      <c r="BJ82" s="271"/>
      <c r="BK82" s="271"/>
      <c r="BL82" s="271"/>
      <c r="BM82" s="271"/>
      <c r="BN82" s="271"/>
      <c r="BO82" s="271"/>
      <c r="BP82" s="271"/>
      <c r="BQ82" s="271"/>
      <c r="BR82" s="271"/>
      <c r="BS82" s="271"/>
      <c r="BT82" s="271"/>
      <c r="BU82" s="271"/>
      <c r="BV82" s="271"/>
      <c r="BW82" s="271"/>
      <c r="BX82" s="271"/>
      <c r="BY82" s="271"/>
      <c r="BZ82" s="271"/>
    </row>
    <row r="83" ht="13.8" spans="1:78">
      <c r="A83" s="271"/>
      <c r="B83" s="271"/>
      <c r="C83" s="271"/>
      <c r="D83" s="272"/>
      <c r="E83" s="272"/>
      <c r="F83" s="271"/>
      <c r="G83" s="272"/>
      <c r="H83" s="271"/>
      <c r="I83" s="271"/>
      <c r="J83" s="272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3"/>
      <c r="V83" s="271"/>
      <c r="W83" s="271"/>
      <c r="X83" s="274"/>
      <c r="Y83" s="274"/>
      <c r="Z83" s="271"/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K83" s="271"/>
      <c r="AL83" s="271"/>
      <c r="AM83" s="271"/>
      <c r="AN83" s="271"/>
      <c r="AO83" s="271"/>
      <c r="AP83" s="271"/>
      <c r="AQ83" s="271"/>
      <c r="AR83" s="271"/>
      <c r="AS83" s="271"/>
      <c r="AT83" s="271"/>
      <c r="AU83" s="271"/>
      <c r="AV83" s="271"/>
      <c r="AW83" s="271"/>
      <c r="AX83" s="271"/>
      <c r="AY83" s="271"/>
      <c r="AZ83" s="271"/>
      <c r="BA83" s="271"/>
      <c r="BB83" s="271"/>
      <c r="BC83" s="271"/>
      <c r="BD83" s="271"/>
      <c r="BE83" s="271"/>
      <c r="BF83" s="271"/>
      <c r="BG83" s="271"/>
      <c r="BH83" s="271"/>
      <c r="BI83" s="271"/>
      <c r="BJ83" s="271"/>
      <c r="BK83" s="271"/>
      <c r="BL83" s="271"/>
      <c r="BM83" s="271"/>
      <c r="BN83" s="271"/>
      <c r="BO83" s="271"/>
      <c r="BP83" s="271"/>
      <c r="BQ83" s="271"/>
      <c r="BR83" s="271"/>
      <c r="BS83" s="271"/>
      <c r="BT83" s="271"/>
      <c r="BU83" s="271"/>
      <c r="BV83" s="271"/>
      <c r="BW83" s="271"/>
      <c r="BX83" s="271"/>
      <c r="BY83" s="271"/>
      <c r="BZ83" s="271"/>
    </row>
    <row r="84" ht="13.8" spans="1:78">
      <c r="A84" s="271"/>
      <c r="B84" s="271"/>
      <c r="C84" s="271"/>
      <c r="D84" s="272"/>
      <c r="E84" s="272"/>
      <c r="F84" s="271"/>
      <c r="G84" s="272"/>
      <c r="H84" s="271"/>
      <c r="I84" s="271"/>
      <c r="J84" s="272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3"/>
      <c r="V84" s="271"/>
      <c r="W84" s="271"/>
      <c r="X84" s="274"/>
      <c r="Y84" s="274"/>
      <c r="Z84" s="271"/>
      <c r="AA84" s="271"/>
      <c r="AB84" s="271"/>
      <c r="AC84" s="271"/>
      <c r="AD84" s="271"/>
      <c r="AE84" s="271"/>
      <c r="AF84" s="271"/>
      <c r="AG84" s="271"/>
      <c r="AH84" s="271"/>
      <c r="AI84" s="271"/>
      <c r="AJ84" s="271"/>
      <c r="AK84" s="271"/>
      <c r="AL84" s="271"/>
      <c r="AM84" s="271"/>
      <c r="AN84" s="271"/>
      <c r="AO84" s="271"/>
      <c r="AP84" s="271"/>
      <c r="AQ84" s="271"/>
      <c r="AR84" s="271"/>
      <c r="AS84" s="271"/>
      <c r="AT84" s="271"/>
      <c r="AU84" s="271"/>
      <c r="AV84" s="271"/>
      <c r="AW84" s="271"/>
      <c r="AX84" s="271"/>
      <c r="AY84" s="271"/>
      <c r="AZ84" s="271"/>
      <c r="BA84" s="271"/>
      <c r="BB84" s="271"/>
      <c r="BC84" s="271"/>
      <c r="BD84" s="271"/>
      <c r="BE84" s="271"/>
      <c r="BF84" s="271"/>
      <c r="BG84" s="271"/>
      <c r="BH84" s="271"/>
      <c r="BI84" s="271"/>
      <c r="BJ84" s="271"/>
      <c r="BK84" s="271"/>
      <c r="BL84" s="271"/>
      <c r="BM84" s="271"/>
      <c r="BN84" s="271"/>
      <c r="BO84" s="271"/>
      <c r="BP84" s="271"/>
      <c r="BQ84" s="271"/>
      <c r="BR84" s="271"/>
      <c r="BS84" s="271"/>
      <c r="BT84" s="271"/>
      <c r="BU84" s="271"/>
      <c r="BV84" s="271"/>
      <c r="BW84" s="271"/>
      <c r="BX84" s="271"/>
      <c r="BY84" s="271"/>
      <c r="BZ84" s="271"/>
    </row>
    <row r="85" ht="13.8" spans="1:78">
      <c r="A85" s="271"/>
      <c r="B85" s="271"/>
      <c r="C85" s="271"/>
      <c r="D85" s="272"/>
      <c r="E85" s="272"/>
      <c r="F85" s="271"/>
      <c r="G85" s="272"/>
      <c r="H85" s="271"/>
      <c r="I85" s="271"/>
      <c r="J85" s="272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3"/>
      <c r="V85" s="271"/>
      <c r="W85" s="271"/>
      <c r="X85" s="274"/>
      <c r="Y85" s="274"/>
      <c r="Z85" s="271"/>
      <c r="AA85" s="271"/>
      <c r="AB85" s="271"/>
      <c r="AC85" s="271"/>
      <c r="AD85" s="271"/>
      <c r="AE85" s="271"/>
      <c r="AF85" s="271"/>
      <c r="AG85" s="271"/>
      <c r="AH85" s="271"/>
      <c r="AI85" s="271"/>
      <c r="AJ85" s="271"/>
      <c r="AK85" s="271"/>
      <c r="AL85" s="271"/>
      <c r="AM85" s="271"/>
      <c r="AN85" s="271"/>
      <c r="AO85" s="271"/>
      <c r="AP85" s="271"/>
      <c r="AQ85" s="271"/>
      <c r="AR85" s="271"/>
      <c r="AS85" s="271"/>
      <c r="AT85" s="271"/>
      <c r="AU85" s="271"/>
      <c r="AV85" s="271"/>
      <c r="AW85" s="271"/>
      <c r="AX85" s="271"/>
      <c r="AY85" s="271"/>
      <c r="AZ85" s="271"/>
      <c r="BA85" s="271"/>
      <c r="BB85" s="271"/>
      <c r="BC85" s="271"/>
      <c r="BD85" s="271"/>
      <c r="BE85" s="271"/>
      <c r="BF85" s="271"/>
      <c r="BG85" s="271"/>
      <c r="BH85" s="271"/>
      <c r="BI85" s="271"/>
      <c r="BJ85" s="271"/>
      <c r="BK85" s="271"/>
      <c r="BL85" s="271"/>
      <c r="BM85" s="271"/>
      <c r="BN85" s="271"/>
      <c r="BO85" s="271"/>
      <c r="BP85" s="271"/>
      <c r="BQ85" s="271"/>
      <c r="BR85" s="271"/>
      <c r="BS85" s="271"/>
      <c r="BT85" s="271"/>
      <c r="BU85" s="271"/>
      <c r="BV85" s="271"/>
      <c r="BW85" s="271"/>
      <c r="BX85" s="271"/>
      <c r="BY85" s="271"/>
      <c r="BZ85" s="271"/>
    </row>
    <row r="86" ht="13.8" spans="1:78">
      <c r="A86" s="271"/>
      <c r="B86" s="271"/>
      <c r="C86" s="271"/>
      <c r="D86" s="272"/>
      <c r="E86" s="272"/>
      <c r="F86" s="271"/>
      <c r="G86" s="272"/>
      <c r="H86" s="271"/>
      <c r="I86" s="271"/>
      <c r="J86" s="272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3"/>
      <c r="V86" s="271"/>
      <c r="W86" s="271"/>
      <c r="X86" s="274"/>
      <c r="Y86" s="274"/>
      <c r="Z86" s="271"/>
      <c r="AA86" s="271"/>
      <c r="AB86" s="271"/>
      <c r="AC86" s="271"/>
      <c r="AD86" s="271"/>
      <c r="AE86" s="271"/>
      <c r="AF86" s="271"/>
      <c r="AG86" s="271"/>
      <c r="AH86" s="271"/>
      <c r="AI86" s="271"/>
      <c r="AJ86" s="271"/>
      <c r="AK86" s="271"/>
      <c r="AL86" s="271"/>
      <c r="AM86" s="271"/>
      <c r="AN86" s="271"/>
      <c r="AO86" s="271"/>
      <c r="AP86" s="271"/>
      <c r="AQ86" s="271"/>
      <c r="AR86" s="271"/>
      <c r="AS86" s="271"/>
      <c r="AT86" s="271"/>
      <c r="AU86" s="271"/>
      <c r="AV86" s="271"/>
      <c r="AW86" s="271"/>
      <c r="AX86" s="271"/>
      <c r="AY86" s="271"/>
      <c r="AZ86" s="271"/>
      <c r="BA86" s="271"/>
      <c r="BB86" s="271"/>
      <c r="BC86" s="271"/>
      <c r="BD86" s="271"/>
      <c r="BE86" s="271"/>
      <c r="BF86" s="271"/>
      <c r="BG86" s="271"/>
      <c r="BH86" s="271"/>
      <c r="BI86" s="271"/>
      <c r="BJ86" s="271"/>
      <c r="BK86" s="271"/>
      <c r="BL86" s="271"/>
      <c r="BM86" s="271"/>
      <c r="BN86" s="271"/>
      <c r="BO86" s="271"/>
      <c r="BP86" s="271"/>
      <c r="BQ86" s="271"/>
      <c r="BR86" s="271"/>
      <c r="BS86" s="271"/>
      <c r="BT86" s="271"/>
      <c r="BU86" s="271"/>
      <c r="BV86" s="271"/>
      <c r="BW86" s="271"/>
      <c r="BX86" s="271"/>
      <c r="BY86" s="271"/>
      <c r="BZ86" s="271"/>
    </row>
    <row r="87" ht="13.8" spans="1:78">
      <c r="A87" s="271"/>
      <c r="B87" s="271"/>
      <c r="C87" s="271"/>
      <c r="D87" s="272"/>
      <c r="E87" s="272"/>
      <c r="F87" s="271"/>
      <c r="G87" s="272"/>
      <c r="H87" s="271"/>
      <c r="I87" s="271"/>
      <c r="J87" s="272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3"/>
      <c r="V87" s="271"/>
      <c r="W87" s="271"/>
      <c r="X87" s="274"/>
      <c r="Y87" s="274"/>
      <c r="Z87" s="271"/>
      <c r="AA87" s="271"/>
      <c r="AB87" s="271"/>
      <c r="AC87" s="271"/>
      <c r="AD87" s="271"/>
      <c r="AE87" s="271"/>
      <c r="AF87" s="271"/>
      <c r="AG87" s="271"/>
      <c r="AH87" s="271"/>
      <c r="AI87" s="271"/>
      <c r="AJ87" s="271"/>
      <c r="AK87" s="271"/>
      <c r="AL87" s="271"/>
      <c r="AM87" s="271"/>
      <c r="AN87" s="271"/>
      <c r="AO87" s="271"/>
      <c r="AP87" s="271"/>
      <c r="AQ87" s="271"/>
      <c r="AR87" s="271"/>
      <c r="AS87" s="271"/>
      <c r="AT87" s="271"/>
      <c r="AU87" s="271"/>
      <c r="AV87" s="271"/>
      <c r="AW87" s="271"/>
      <c r="AX87" s="271"/>
      <c r="AY87" s="271"/>
      <c r="AZ87" s="271"/>
      <c r="BA87" s="271"/>
      <c r="BB87" s="271"/>
      <c r="BC87" s="271"/>
      <c r="BD87" s="271"/>
      <c r="BE87" s="271"/>
      <c r="BF87" s="271"/>
      <c r="BG87" s="271"/>
      <c r="BH87" s="271"/>
      <c r="BI87" s="271"/>
      <c r="BJ87" s="271"/>
      <c r="BK87" s="271"/>
      <c r="BL87" s="271"/>
      <c r="BM87" s="271"/>
      <c r="BN87" s="271"/>
      <c r="BO87" s="271"/>
      <c r="BP87" s="271"/>
      <c r="BQ87" s="271"/>
      <c r="BR87" s="271"/>
      <c r="BS87" s="271"/>
      <c r="BT87" s="271"/>
      <c r="BU87" s="271"/>
      <c r="BV87" s="271"/>
      <c r="BW87" s="271"/>
      <c r="BX87" s="271"/>
      <c r="BY87" s="271"/>
      <c r="BZ87" s="271"/>
    </row>
    <row r="88" ht="13.8" spans="1:78">
      <c r="A88" s="271"/>
      <c r="B88" s="271"/>
      <c r="C88" s="271"/>
      <c r="D88" s="272"/>
      <c r="E88" s="272"/>
      <c r="F88" s="271"/>
      <c r="G88" s="272"/>
      <c r="H88" s="271"/>
      <c r="I88" s="271"/>
      <c r="J88" s="272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3"/>
      <c r="V88" s="271"/>
      <c r="W88" s="271"/>
      <c r="X88" s="274"/>
      <c r="Y88" s="274"/>
      <c r="Z88" s="271"/>
      <c r="AA88" s="271"/>
      <c r="AB88" s="271"/>
      <c r="AC88" s="271"/>
      <c r="AD88" s="271"/>
      <c r="AE88" s="271"/>
      <c r="AF88" s="271"/>
      <c r="AG88" s="271"/>
      <c r="AH88" s="271"/>
      <c r="AI88" s="271"/>
      <c r="AJ88" s="271"/>
      <c r="AK88" s="271"/>
      <c r="AL88" s="271"/>
      <c r="AM88" s="271"/>
      <c r="AN88" s="271"/>
      <c r="AO88" s="271"/>
      <c r="AP88" s="271"/>
      <c r="AQ88" s="271"/>
      <c r="AR88" s="271"/>
      <c r="AS88" s="271"/>
      <c r="AT88" s="271"/>
      <c r="AU88" s="271"/>
      <c r="AV88" s="271"/>
      <c r="AW88" s="271"/>
      <c r="AX88" s="271"/>
      <c r="AY88" s="271"/>
      <c r="AZ88" s="271"/>
      <c r="BA88" s="271"/>
      <c r="BB88" s="271"/>
      <c r="BC88" s="271"/>
      <c r="BD88" s="271"/>
      <c r="BE88" s="271"/>
      <c r="BF88" s="271"/>
      <c r="BG88" s="271"/>
      <c r="BH88" s="271"/>
      <c r="BI88" s="271"/>
      <c r="BJ88" s="271"/>
      <c r="BK88" s="271"/>
      <c r="BL88" s="271"/>
      <c r="BM88" s="271"/>
      <c r="BN88" s="271"/>
      <c r="BO88" s="271"/>
      <c r="BP88" s="271"/>
      <c r="BQ88" s="271"/>
      <c r="BR88" s="271"/>
      <c r="BS88" s="271"/>
      <c r="BT88" s="271"/>
      <c r="BU88" s="271"/>
      <c r="BV88" s="271"/>
      <c r="BW88" s="271"/>
      <c r="BX88" s="271"/>
      <c r="BY88" s="271"/>
      <c r="BZ88" s="271"/>
    </row>
    <row r="89" ht="13.8" spans="1:78">
      <c r="A89" s="271"/>
      <c r="B89" s="271"/>
      <c r="C89" s="271"/>
      <c r="D89" s="272"/>
      <c r="E89" s="272"/>
      <c r="F89" s="271"/>
      <c r="G89" s="272"/>
      <c r="H89" s="271"/>
      <c r="I89" s="271"/>
      <c r="J89" s="272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3"/>
      <c r="V89" s="271"/>
      <c r="W89" s="271"/>
      <c r="X89" s="274"/>
      <c r="Y89" s="274"/>
      <c r="Z89" s="271"/>
      <c r="AA89" s="271"/>
      <c r="AB89" s="271"/>
      <c r="AC89" s="271"/>
      <c r="AD89" s="271"/>
      <c r="AE89" s="271"/>
      <c r="AF89" s="271"/>
      <c r="AG89" s="271"/>
      <c r="AH89" s="271"/>
      <c r="AI89" s="271"/>
      <c r="AJ89" s="271"/>
      <c r="AK89" s="271"/>
      <c r="AL89" s="271"/>
      <c r="AM89" s="271"/>
      <c r="AN89" s="271"/>
      <c r="AO89" s="271"/>
      <c r="AP89" s="271"/>
      <c r="AQ89" s="271"/>
      <c r="AR89" s="271"/>
      <c r="AS89" s="271"/>
      <c r="AT89" s="271"/>
      <c r="AU89" s="271"/>
      <c r="AV89" s="271"/>
      <c r="AW89" s="271"/>
      <c r="AX89" s="271"/>
      <c r="AY89" s="271"/>
      <c r="AZ89" s="271"/>
      <c r="BA89" s="271"/>
      <c r="BB89" s="271"/>
      <c r="BC89" s="271"/>
      <c r="BD89" s="271"/>
      <c r="BE89" s="271"/>
      <c r="BF89" s="271"/>
      <c r="BG89" s="271"/>
      <c r="BH89" s="271"/>
      <c r="BI89" s="271"/>
      <c r="BJ89" s="271"/>
      <c r="BK89" s="271"/>
      <c r="BL89" s="271"/>
      <c r="BM89" s="271"/>
      <c r="BN89" s="271"/>
      <c r="BO89" s="271"/>
      <c r="BP89" s="271"/>
      <c r="BQ89" s="271"/>
      <c r="BR89" s="271"/>
      <c r="BS89" s="271"/>
      <c r="BT89" s="271"/>
      <c r="BU89" s="271"/>
      <c r="BV89" s="271"/>
      <c r="BW89" s="271"/>
      <c r="BX89" s="271"/>
      <c r="BY89" s="271"/>
      <c r="BZ89" s="271"/>
    </row>
    <row r="90" ht="13.8" spans="1:78">
      <c r="A90" s="271"/>
      <c r="B90" s="271"/>
      <c r="C90" s="271"/>
      <c r="D90" s="272"/>
      <c r="E90" s="272"/>
      <c r="F90" s="271"/>
      <c r="G90" s="272"/>
      <c r="H90" s="271"/>
      <c r="I90" s="271"/>
      <c r="J90" s="272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3"/>
      <c r="V90" s="271"/>
      <c r="W90" s="271"/>
      <c r="X90" s="274"/>
      <c r="Y90" s="274"/>
      <c r="Z90" s="271"/>
      <c r="AA90" s="271"/>
      <c r="AB90" s="271"/>
      <c r="AC90" s="271"/>
      <c r="AD90" s="271"/>
      <c r="AE90" s="271"/>
      <c r="AF90" s="271"/>
      <c r="AG90" s="271"/>
      <c r="AH90" s="271"/>
      <c r="AI90" s="271"/>
      <c r="AJ90" s="271"/>
      <c r="AK90" s="271"/>
      <c r="AL90" s="271"/>
      <c r="AM90" s="271"/>
      <c r="AN90" s="271"/>
      <c r="AO90" s="271"/>
      <c r="AP90" s="271"/>
      <c r="AQ90" s="271"/>
      <c r="AR90" s="271"/>
      <c r="AS90" s="271"/>
      <c r="AT90" s="271"/>
      <c r="AU90" s="271"/>
      <c r="AV90" s="271"/>
      <c r="AW90" s="271"/>
      <c r="AX90" s="271"/>
      <c r="AY90" s="271"/>
      <c r="AZ90" s="271"/>
      <c r="BA90" s="271"/>
      <c r="BB90" s="271"/>
      <c r="BC90" s="271"/>
      <c r="BD90" s="271"/>
      <c r="BE90" s="271"/>
      <c r="BF90" s="271"/>
      <c r="BG90" s="271"/>
      <c r="BH90" s="271"/>
      <c r="BI90" s="271"/>
      <c r="BJ90" s="271"/>
      <c r="BK90" s="271"/>
      <c r="BL90" s="271"/>
      <c r="BM90" s="271"/>
      <c r="BN90" s="271"/>
      <c r="BO90" s="271"/>
      <c r="BP90" s="271"/>
      <c r="BQ90" s="271"/>
      <c r="BR90" s="271"/>
      <c r="BS90" s="271"/>
      <c r="BT90" s="271"/>
      <c r="BU90" s="271"/>
      <c r="BV90" s="271"/>
      <c r="BW90" s="271"/>
      <c r="BX90" s="271"/>
      <c r="BY90" s="271"/>
      <c r="BZ90" s="271"/>
    </row>
    <row r="91" ht="13.8" spans="1:78">
      <c r="A91" s="271"/>
      <c r="B91" s="271"/>
      <c r="C91" s="271"/>
      <c r="D91" s="272"/>
      <c r="E91" s="272"/>
      <c r="F91" s="271"/>
      <c r="G91" s="272"/>
      <c r="H91" s="271"/>
      <c r="I91" s="271"/>
      <c r="J91" s="272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3"/>
      <c r="V91" s="271"/>
      <c r="W91" s="271"/>
      <c r="X91" s="274"/>
      <c r="Y91" s="274"/>
      <c r="Z91" s="271"/>
      <c r="AA91" s="271"/>
      <c r="AB91" s="271"/>
      <c r="AC91" s="271"/>
      <c r="AD91" s="271"/>
      <c r="AE91" s="271"/>
      <c r="AF91" s="271"/>
      <c r="AG91" s="271"/>
      <c r="AH91" s="271"/>
      <c r="AI91" s="271"/>
      <c r="AJ91" s="271"/>
      <c r="AK91" s="271"/>
      <c r="AL91" s="271"/>
      <c r="AM91" s="271"/>
      <c r="AN91" s="271"/>
      <c r="AO91" s="271"/>
      <c r="AP91" s="271"/>
      <c r="AQ91" s="271"/>
      <c r="AR91" s="271"/>
      <c r="AS91" s="271"/>
      <c r="AT91" s="271"/>
      <c r="AU91" s="271"/>
      <c r="AV91" s="271"/>
      <c r="AW91" s="271"/>
      <c r="AX91" s="271"/>
      <c r="AY91" s="271"/>
      <c r="AZ91" s="271"/>
      <c r="BA91" s="271"/>
      <c r="BB91" s="271"/>
      <c r="BC91" s="271"/>
      <c r="BD91" s="271"/>
      <c r="BE91" s="271"/>
      <c r="BF91" s="271"/>
      <c r="BG91" s="271"/>
      <c r="BH91" s="271"/>
      <c r="BI91" s="271"/>
      <c r="BJ91" s="271"/>
      <c r="BK91" s="271"/>
      <c r="BL91" s="271"/>
      <c r="BM91" s="271"/>
      <c r="BN91" s="271"/>
      <c r="BO91" s="271"/>
      <c r="BP91" s="271"/>
      <c r="BQ91" s="271"/>
      <c r="BR91" s="271"/>
      <c r="BS91" s="271"/>
      <c r="BT91" s="271"/>
      <c r="BU91" s="271"/>
      <c r="BV91" s="271"/>
      <c r="BW91" s="271"/>
      <c r="BX91" s="271"/>
      <c r="BY91" s="271"/>
      <c r="BZ91" s="271"/>
    </row>
    <row r="92" ht="13.8" spans="1:78">
      <c r="A92" s="271"/>
      <c r="B92" s="271"/>
      <c r="C92" s="271"/>
      <c r="D92" s="272"/>
      <c r="E92" s="272"/>
      <c r="F92" s="271"/>
      <c r="G92" s="272"/>
      <c r="H92" s="271"/>
      <c r="I92" s="271"/>
      <c r="J92" s="272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3"/>
      <c r="V92" s="271"/>
      <c r="W92" s="271"/>
      <c r="X92" s="274"/>
      <c r="Y92" s="274"/>
      <c r="Z92" s="271"/>
      <c r="AA92" s="271"/>
      <c r="AB92" s="271"/>
      <c r="AC92" s="271"/>
      <c r="AD92" s="271"/>
      <c r="AE92" s="271"/>
      <c r="AF92" s="271"/>
      <c r="AG92" s="271"/>
      <c r="AH92" s="271"/>
      <c r="AI92" s="271"/>
      <c r="AJ92" s="271"/>
      <c r="AK92" s="271"/>
      <c r="AL92" s="271"/>
      <c r="AM92" s="271"/>
      <c r="AN92" s="271"/>
      <c r="AO92" s="271"/>
      <c r="AP92" s="271"/>
      <c r="AQ92" s="271"/>
      <c r="AR92" s="271"/>
      <c r="AS92" s="271"/>
      <c r="AT92" s="271"/>
      <c r="AU92" s="271"/>
      <c r="AV92" s="271"/>
      <c r="AW92" s="271"/>
      <c r="AX92" s="271"/>
      <c r="AY92" s="271"/>
      <c r="AZ92" s="271"/>
      <c r="BA92" s="271"/>
      <c r="BB92" s="271"/>
      <c r="BC92" s="271"/>
      <c r="BD92" s="271"/>
      <c r="BE92" s="271"/>
      <c r="BF92" s="271"/>
      <c r="BG92" s="271"/>
      <c r="BH92" s="271"/>
      <c r="BI92" s="271"/>
      <c r="BJ92" s="271"/>
      <c r="BK92" s="271"/>
      <c r="BL92" s="271"/>
      <c r="BM92" s="271"/>
      <c r="BN92" s="271"/>
      <c r="BO92" s="271"/>
      <c r="BP92" s="271"/>
      <c r="BQ92" s="271"/>
      <c r="BR92" s="271"/>
      <c r="BS92" s="271"/>
      <c r="BT92" s="271"/>
      <c r="BU92" s="271"/>
      <c r="BV92" s="271"/>
      <c r="BW92" s="271"/>
      <c r="BX92" s="271"/>
      <c r="BY92" s="271"/>
      <c r="BZ92" s="271"/>
    </row>
    <row r="93" ht="13.8" spans="1:78">
      <c r="A93" s="271"/>
      <c r="B93" s="271"/>
      <c r="C93" s="271"/>
      <c r="D93" s="272"/>
      <c r="E93" s="272"/>
      <c r="F93" s="271"/>
      <c r="G93" s="272"/>
      <c r="H93" s="271"/>
      <c r="I93" s="271"/>
      <c r="J93" s="272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3"/>
      <c r="V93" s="271"/>
      <c r="W93" s="271"/>
      <c r="X93" s="274"/>
      <c r="Y93" s="274"/>
      <c r="Z93" s="271"/>
      <c r="AA93" s="271"/>
      <c r="AB93" s="271"/>
      <c r="AC93" s="271"/>
      <c r="AD93" s="271"/>
      <c r="AE93" s="271"/>
      <c r="AF93" s="271"/>
      <c r="AG93" s="271"/>
      <c r="AH93" s="271"/>
      <c r="AI93" s="271"/>
      <c r="AJ93" s="271"/>
      <c r="AK93" s="271"/>
      <c r="AL93" s="271"/>
      <c r="AM93" s="271"/>
      <c r="AN93" s="271"/>
      <c r="AO93" s="271"/>
      <c r="AP93" s="271"/>
      <c r="AQ93" s="271"/>
      <c r="AR93" s="271"/>
      <c r="AS93" s="271"/>
      <c r="AT93" s="271"/>
      <c r="AU93" s="271"/>
      <c r="AV93" s="271"/>
      <c r="AW93" s="271"/>
      <c r="AX93" s="271"/>
      <c r="AY93" s="271"/>
      <c r="AZ93" s="271"/>
      <c r="BA93" s="271"/>
      <c r="BB93" s="271"/>
      <c r="BC93" s="271"/>
      <c r="BD93" s="271"/>
      <c r="BE93" s="271"/>
      <c r="BF93" s="271"/>
      <c r="BG93" s="271"/>
      <c r="BH93" s="271"/>
      <c r="BI93" s="271"/>
      <c r="BJ93" s="271"/>
      <c r="BK93" s="271"/>
      <c r="BL93" s="271"/>
      <c r="BM93" s="271"/>
      <c r="BN93" s="271"/>
      <c r="BO93" s="271"/>
      <c r="BP93" s="271"/>
      <c r="BQ93" s="271"/>
      <c r="BR93" s="271"/>
      <c r="BS93" s="271"/>
      <c r="BT93" s="271"/>
      <c r="BU93" s="271"/>
      <c r="BV93" s="271"/>
      <c r="BW93" s="271"/>
      <c r="BX93" s="271"/>
      <c r="BY93" s="271"/>
      <c r="BZ93" s="271"/>
    </row>
    <row r="94" ht="13.8" spans="1:78">
      <c r="A94" s="271"/>
      <c r="B94" s="271"/>
      <c r="C94" s="271"/>
      <c r="D94" s="272"/>
      <c r="E94" s="272"/>
      <c r="F94" s="271"/>
      <c r="G94" s="272"/>
      <c r="H94" s="271"/>
      <c r="I94" s="271"/>
      <c r="J94" s="272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3"/>
      <c r="V94" s="271"/>
      <c r="W94" s="271"/>
      <c r="X94" s="274"/>
      <c r="Y94" s="274"/>
      <c r="Z94" s="271"/>
      <c r="AA94" s="271"/>
      <c r="AB94" s="271"/>
      <c r="AC94" s="271"/>
      <c r="AD94" s="271"/>
      <c r="AE94" s="271"/>
      <c r="AF94" s="271"/>
      <c r="AG94" s="271"/>
      <c r="AH94" s="271"/>
      <c r="AI94" s="271"/>
      <c r="AJ94" s="271"/>
      <c r="AK94" s="271"/>
      <c r="AL94" s="271"/>
      <c r="AM94" s="271"/>
      <c r="AN94" s="271"/>
      <c r="AO94" s="271"/>
      <c r="AP94" s="271"/>
      <c r="AQ94" s="271"/>
      <c r="AR94" s="271"/>
      <c r="AS94" s="271"/>
      <c r="AT94" s="271"/>
      <c r="AU94" s="271"/>
      <c r="AV94" s="271"/>
      <c r="AW94" s="271"/>
      <c r="AX94" s="271"/>
      <c r="AY94" s="271"/>
      <c r="AZ94" s="271"/>
      <c r="BA94" s="271"/>
      <c r="BB94" s="271"/>
      <c r="BC94" s="271"/>
      <c r="BD94" s="271"/>
      <c r="BE94" s="271"/>
      <c r="BF94" s="271"/>
      <c r="BG94" s="271"/>
      <c r="BH94" s="271"/>
      <c r="BI94" s="271"/>
      <c r="BJ94" s="271"/>
      <c r="BK94" s="271"/>
      <c r="BL94" s="271"/>
      <c r="BM94" s="271"/>
      <c r="BN94" s="271"/>
      <c r="BO94" s="271"/>
      <c r="BP94" s="271"/>
      <c r="BQ94" s="271"/>
      <c r="BR94" s="271"/>
      <c r="BS94" s="271"/>
      <c r="BT94" s="271"/>
      <c r="BU94" s="271"/>
      <c r="BV94" s="271"/>
      <c r="BW94" s="271"/>
      <c r="BX94" s="271"/>
      <c r="BY94" s="271"/>
      <c r="BZ94" s="271"/>
    </row>
    <row r="95" ht="13.8" spans="1:78">
      <c r="A95" s="271"/>
      <c r="B95" s="271"/>
      <c r="C95" s="271"/>
      <c r="D95" s="272"/>
      <c r="E95" s="272"/>
      <c r="F95" s="271"/>
      <c r="G95" s="272"/>
      <c r="H95" s="271"/>
      <c r="I95" s="271"/>
      <c r="J95" s="272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3"/>
      <c r="V95" s="271"/>
      <c r="W95" s="271"/>
      <c r="X95" s="274"/>
      <c r="Y95" s="274"/>
      <c r="Z95" s="271"/>
      <c r="AA95" s="271"/>
      <c r="AB95" s="271"/>
      <c r="AC95" s="271"/>
      <c r="AD95" s="271"/>
      <c r="AE95" s="271"/>
      <c r="AF95" s="271"/>
      <c r="AG95" s="271"/>
      <c r="AH95" s="271"/>
      <c r="AI95" s="271"/>
      <c r="AJ95" s="271"/>
      <c r="AK95" s="271"/>
      <c r="AL95" s="271"/>
      <c r="AM95" s="271"/>
      <c r="AN95" s="271"/>
      <c r="AO95" s="271"/>
      <c r="AP95" s="271"/>
      <c r="AQ95" s="271"/>
      <c r="AR95" s="271"/>
      <c r="AS95" s="271"/>
      <c r="AT95" s="271"/>
      <c r="AU95" s="271"/>
      <c r="AV95" s="271"/>
      <c r="AW95" s="271"/>
      <c r="AX95" s="271"/>
      <c r="AY95" s="271"/>
      <c r="AZ95" s="271"/>
      <c r="BA95" s="271"/>
      <c r="BB95" s="271"/>
      <c r="BC95" s="271"/>
      <c r="BD95" s="271"/>
      <c r="BE95" s="271"/>
      <c r="BF95" s="271"/>
      <c r="BG95" s="271"/>
      <c r="BH95" s="271"/>
      <c r="BI95" s="271"/>
      <c r="BJ95" s="271"/>
      <c r="BK95" s="271"/>
      <c r="BL95" s="271"/>
      <c r="BM95" s="271"/>
      <c r="BN95" s="271"/>
      <c r="BO95" s="271"/>
      <c r="BP95" s="271"/>
      <c r="BQ95" s="271"/>
      <c r="BR95" s="271"/>
      <c r="BS95" s="271"/>
      <c r="BT95" s="271"/>
      <c r="BU95" s="271"/>
      <c r="BV95" s="271"/>
      <c r="BW95" s="271"/>
      <c r="BX95" s="271"/>
      <c r="BY95" s="271"/>
      <c r="BZ95" s="271"/>
    </row>
    <row r="96" ht="13.8" spans="1:78">
      <c r="A96" s="271"/>
      <c r="B96" s="271"/>
      <c r="C96" s="271"/>
      <c r="D96" s="272"/>
      <c r="E96" s="272"/>
      <c r="F96" s="271"/>
      <c r="G96" s="272"/>
      <c r="H96" s="271"/>
      <c r="I96" s="271"/>
      <c r="J96" s="272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3"/>
      <c r="V96" s="271"/>
      <c r="W96" s="271"/>
      <c r="X96" s="274"/>
      <c r="Y96" s="274"/>
      <c r="Z96" s="271"/>
      <c r="AA96" s="271"/>
      <c r="AB96" s="271"/>
      <c r="AC96" s="271"/>
      <c r="AD96" s="271"/>
      <c r="AE96" s="271"/>
      <c r="AF96" s="271"/>
      <c r="AG96" s="271"/>
      <c r="AH96" s="271"/>
      <c r="AI96" s="271"/>
      <c r="AJ96" s="271"/>
      <c r="AK96" s="271"/>
      <c r="AL96" s="271"/>
      <c r="AM96" s="271"/>
      <c r="AN96" s="271"/>
      <c r="AO96" s="271"/>
      <c r="AP96" s="271"/>
      <c r="AQ96" s="271"/>
      <c r="AR96" s="271"/>
      <c r="AS96" s="271"/>
      <c r="AT96" s="271"/>
      <c r="AU96" s="271"/>
      <c r="AV96" s="271"/>
      <c r="AW96" s="271"/>
      <c r="AX96" s="271"/>
      <c r="AY96" s="271"/>
      <c r="AZ96" s="271"/>
      <c r="BA96" s="271"/>
      <c r="BB96" s="271"/>
      <c r="BC96" s="271"/>
      <c r="BD96" s="271"/>
      <c r="BE96" s="271"/>
      <c r="BF96" s="271"/>
      <c r="BG96" s="271"/>
      <c r="BH96" s="271"/>
      <c r="BI96" s="271"/>
      <c r="BJ96" s="271"/>
      <c r="BK96" s="271"/>
      <c r="BL96" s="271"/>
      <c r="BM96" s="271"/>
      <c r="BN96" s="271"/>
      <c r="BO96" s="271"/>
      <c r="BP96" s="271"/>
      <c r="BQ96" s="271"/>
      <c r="BR96" s="271"/>
      <c r="BS96" s="271"/>
      <c r="BT96" s="271"/>
      <c r="BU96" s="271"/>
      <c r="BV96" s="271"/>
      <c r="BW96" s="271"/>
      <c r="BX96" s="271"/>
      <c r="BY96" s="271"/>
      <c r="BZ96" s="271"/>
    </row>
    <row r="97" ht="13.8" spans="1:78">
      <c r="A97" s="271"/>
      <c r="B97" s="271"/>
      <c r="C97" s="271"/>
      <c r="D97" s="272"/>
      <c r="E97" s="272"/>
      <c r="F97" s="271"/>
      <c r="G97" s="272"/>
      <c r="H97" s="271"/>
      <c r="I97" s="271"/>
      <c r="J97" s="272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3"/>
      <c r="V97" s="271"/>
      <c r="W97" s="271"/>
      <c r="X97" s="274"/>
      <c r="Y97" s="274"/>
      <c r="Z97" s="271"/>
      <c r="AA97" s="271"/>
      <c r="AB97" s="271"/>
      <c r="AC97" s="271"/>
      <c r="AD97" s="271"/>
      <c r="AE97" s="271"/>
      <c r="AF97" s="271"/>
      <c r="AG97" s="271"/>
      <c r="AH97" s="271"/>
      <c r="AI97" s="271"/>
      <c r="AJ97" s="271"/>
      <c r="AK97" s="271"/>
      <c r="AL97" s="271"/>
      <c r="AM97" s="271"/>
      <c r="AN97" s="271"/>
      <c r="AO97" s="271"/>
      <c r="AP97" s="271"/>
      <c r="AQ97" s="271"/>
      <c r="AR97" s="271"/>
      <c r="AS97" s="271"/>
      <c r="AT97" s="271"/>
      <c r="AU97" s="271"/>
      <c r="AV97" s="271"/>
      <c r="AW97" s="271"/>
      <c r="AX97" s="271"/>
      <c r="AY97" s="271"/>
      <c r="AZ97" s="271"/>
      <c r="BA97" s="271"/>
      <c r="BB97" s="271"/>
      <c r="BC97" s="271"/>
      <c r="BD97" s="271"/>
      <c r="BE97" s="271"/>
      <c r="BF97" s="271"/>
      <c r="BG97" s="271"/>
      <c r="BH97" s="271"/>
      <c r="BI97" s="271"/>
      <c r="BJ97" s="271"/>
      <c r="BK97" s="271"/>
      <c r="BL97" s="271"/>
      <c r="BM97" s="271"/>
      <c r="BN97" s="271"/>
      <c r="BO97" s="271"/>
      <c r="BP97" s="271"/>
      <c r="BQ97" s="271"/>
      <c r="BR97" s="271"/>
      <c r="BS97" s="271"/>
      <c r="BT97" s="271"/>
      <c r="BU97" s="271"/>
      <c r="BV97" s="271"/>
      <c r="BW97" s="271"/>
      <c r="BX97" s="271"/>
      <c r="BY97" s="271"/>
      <c r="BZ97" s="271"/>
    </row>
    <row r="98" ht="13.8" spans="1:78">
      <c r="A98" s="271"/>
      <c r="B98" s="271"/>
      <c r="C98" s="271"/>
      <c r="D98" s="272"/>
      <c r="E98" s="272"/>
      <c r="F98" s="271"/>
      <c r="G98" s="272"/>
      <c r="H98" s="271"/>
      <c r="I98" s="271"/>
      <c r="J98" s="272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3"/>
      <c r="V98" s="271"/>
      <c r="W98" s="271"/>
      <c r="X98" s="274"/>
      <c r="Y98" s="274"/>
      <c r="Z98" s="271"/>
      <c r="AA98" s="271"/>
      <c r="AB98" s="271"/>
      <c r="AC98" s="271"/>
      <c r="AD98" s="271"/>
      <c r="AE98" s="271"/>
      <c r="AF98" s="271"/>
      <c r="AG98" s="271"/>
      <c r="AH98" s="271"/>
      <c r="AI98" s="271"/>
      <c r="AJ98" s="271"/>
      <c r="AK98" s="271"/>
      <c r="AL98" s="271"/>
      <c r="AM98" s="271"/>
      <c r="AN98" s="271"/>
      <c r="AO98" s="271"/>
      <c r="AP98" s="271"/>
      <c r="AQ98" s="271"/>
      <c r="AR98" s="271"/>
      <c r="AS98" s="271"/>
      <c r="AT98" s="271"/>
      <c r="AU98" s="271"/>
      <c r="AV98" s="271"/>
      <c r="AW98" s="271"/>
      <c r="AX98" s="271"/>
      <c r="AY98" s="271"/>
      <c r="AZ98" s="271"/>
      <c r="BA98" s="271"/>
      <c r="BB98" s="271"/>
      <c r="BC98" s="271"/>
      <c r="BD98" s="271"/>
      <c r="BE98" s="271"/>
      <c r="BF98" s="271"/>
      <c r="BG98" s="271"/>
      <c r="BH98" s="271"/>
      <c r="BI98" s="271"/>
      <c r="BJ98" s="271"/>
      <c r="BK98" s="271"/>
      <c r="BL98" s="271"/>
      <c r="BM98" s="271"/>
      <c r="BN98" s="271"/>
      <c r="BO98" s="271"/>
      <c r="BP98" s="271"/>
      <c r="BQ98" s="271"/>
      <c r="BR98" s="271"/>
      <c r="BS98" s="271"/>
      <c r="BT98" s="271"/>
      <c r="BU98" s="271"/>
      <c r="BV98" s="271"/>
      <c r="BW98" s="271"/>
      <c r="BX98" s="271"/>
      <c r="BY98" s="271"/>
      <c r="BZ98" s="271"/>
    </row>
    <row r="99" ht="13.8" spans="1:78">
      <c r="A99" s="271"/>
      <c r="B99" s="271"/>
      <c r="C99" s="271"/>
      <c r="D99" s="272"/>
      <c r="E99" s="272"/>
      <c r="F99" s="271"/>
      <c r="G99" s="272"/>
      <c r="H99" s="271"/>
      <c r="I99" s="271"/>
      <c r="J99" s="272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3"/>
      <c r="V99" s="271"/>
      <c r="W99" s="271"/>
      <c r="X99" s="274"/>
      <c r="Y99" s="274"/>
      <c r="Z99" s="271"/>
      <c r="AA99" s="271"/>
      <c r="AB99" s="271"/>
      <c r="AC99" s="271"/>
      <c r="AD99" s="271"/>
      <c r="AE99" s="271"/>
      <c r="AF99" s="271"/>
      <c r="AG99" s="271"/>
      <c r="AH99" s="271"/>
      <c r="AI99" s="271"/>
      <c r="AJ99" s="271"/>
      <c r="AK99" s="271"/>
      <c r="AL99" s="271"/>
      <c r="AM99" s="271"/>
      <c r="AN99" s="271"/>
      <c r="AO99" s="271"/>
      <c r="AP99" s="271"/>
      <c r="AQ99" s="271"/>
      <c r="AR99" s="271"/>
      <c r="AS99" s="271"/>
      <c r="AT99" s="271"/>
      <c r="AU99" s="271"/>
      <c r="AV99" s="271"/>
      <c r="AW99" s="271"/>
      <c r="AX99" s="271"/>
      <c r="AY99" s="271"/>
      <c r="AZ99" s="271"/>
      <c r="BA99" s="271"/>
      <c r="BB99" s="271"/>
      <c r="BC99" s="271"/>
      <c r="BD99" s="271"/>
      <c r="BE99" s="271"/>
      <c r="BF99" s="271"/>
      <c r="BG99" s="271"/>
      <c r="BH99" s="271"/>
      <c r="BI99" s="271"/>
      <c r="BJ99" s="271"/>
      <c r="BK99" s="271"/>
      <c r="BL99" s="271"/>
      <c r="BM99" s="271"/>
      <c r="BN99" s="271"/>
      <c r="BO99" s="271"/>
      <c r="BP99" s="271"/>
      <c r="BQ99" s="271"/>
      <c r="BR99" s="271"/>
      <c r="BS99" s="271"/>
      <c r="BT99" s="271"/>
      <c r="BU99" s="271"/>
      <c r="BV99" s="271"/>
      <c r="BW99" s="271"/>
      <c r="BX99" s="271"/>
      <c r="BY99" s="271"/>
      <c r="BZ99" s="271"/>
    </row>
    <row r="100" ht="13.8" spans="1:78">
      <c r="A100" s="271"/>
      <c r="B100" s="271"/>
      <c r="C100" s="271"/>
      <c r="D100" s="272"/>
      <c r="E100" s="272"/>
      <c r="F100" s="271"/>
      <c r="G100" s="272"/>
      <c r="H100" s="271"/>
      <c r="I100" s="271"/>
      <c r="J100" s="272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3"/>
      <c r="V100" s="271"/>
      <c r="W100" s="271"/>
      <c r="X100" s="274"/>
      <c r="Y100" s="274"/>
      <c r="Z100" s="271"/>
      <c r="AA100" s="271"/>
      <c r="AB100" s="271"/>
      <c r="AC100" s="271"/>
      <c r="AD100" s="271"/>
      <c r="AE100" s="271"/>
      <c r="AF100" s="271"/>
      <c r="AG100" s="271"/>
      <c r="AH100" s="271"/>
      <c r="AI100" s="271"/>
      <c r="AJ100" s="271"/>
      <c r="AK100" s="271"/>
      <c r="AL100" s="271"/>
      <c r="AM100" s="271"/>
      <c r="AN100" s="271"/>
      <c r="AO100" s="271"/>
      <c r="AP100" s="271"/>
      <c r="AQ100" s="271"/>
      <c r="AR100" s="271"/>
      <c r="AS100" s="271"/>
      <c r="AT100" s="271"/>
      <c r="AU100" s="271"/>
      <c r="AV100" s="271"/>
      <c r="AW100" s="271"/>
      <c r="AX100" s="271"/>
      <c r="AY100" s="271"/>
      <c r="AZ100" s="271"/>
      <c r="BA100" s="271"/>
      <c r="BB100" s="271"/>
      <c r="BC100" s="271"/>
      <c r="BD100" s="271"/>
      <c r="BE100" s="271"/>
      <c r="BF100" s="271"/>
      <c r="BG100" s="271"/>
      <c r="BH100" s="271"/>
      <c r="BI100" s="271"/>
      <c r="BJ100" s="271"/>
      <c r="BK100" s="271"/>
      <c r="BL100" s="271"/>
      <c r="BM100" s="271"/>
      <c r="BN100" s="271"/>
      <c r="BO100" s="271"/>
      <c r="BP100" s="271"/>
      <c r="BQ100" s="271"/>
      <c r="BR100" s="271"/>
      <c r="BS100" s="271"/>
      <c r="BT100" s="271"/>
      <c r="BU100" s="271"/>
      <c r="BV100" s="271"/>
      <c r="BW100" s="271"/>
      <c r="BX100" s="271"/>
      <c r="BY100" s="271"/>
      <c r="BZ100" s="271"/>
    </row>
    <row r="101" ht="13.8" spans="1:78">
      <c r="A101" s="271"/>
      <c r="B101" s="271"/>
      <c r="C101" s="271"/>
      <c r="D101" s="272"/>
      <c r="E101" s="272"/>
      <c r="F101" s="271"/>
      <c r="G101" s="272"/>
      <c r="H101" s="271"/>
      <c r="I101" s="271"/>
      <c r="J101" s="272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3"/>
      <c r="V101" s="271"/>
      <c r="W101" s="271"/>
      <c r="X101" s="274"/>
      <c r="Y101" s="274"/>
      <c r="Z101" s="271"/>
      <c r="AA101" s="271"/>
      <c r="AB101" s="271"/>
      <c r="AC101" s="271"/>
      <c r="AD101" s="271"/>
      <c r="AE101" s="271"/>
      <c r="AF101" s="271"/>
      <c r="AG101" s="271"/>
      <c r="AH101" s="271"/>
      <c r="AI101" s="271"/>
      <c r="AJ101" s="271"/>
      <c r="AK101" s="271"/>
      <c r="AL101" s="271"/>
      <c r="AM101" s="271"/>
      <c r="AN101" s="271"/>
      <c r="AO101" s="271"/>
      <c r="AP101" s="271"/>
      <c r="AQ101" s="271"/>
      <c r="AR101" s="271"/>
      <c r="AS101" s="271"/>
      <c r="AT101" s="271"/>
      <c r="AU101" s="271"/>
      <c r="AV101" s="271"/>
      <c r="AW101" s="271"/>
      <c r="AX101" s="271"/>
      <c r="AY101" s="271"/>
      <c r="AZ101" s="271"/>
      <c r="BA101" s="271"/>
      <c r="BB101" s="271"/>
      <c r="BC101" s="271"/>
      <c r="BD101" s="271"/>
      <c r="BE101" s="271"/>
      <c r="BF101" s="271"/>
      <c r="BG101" s="271"/>
      <c r="BH101" s="271"/>
      <c r="BI101" s="271"/>
      <c r="BJ101" s="271"/>
      <c r="BK101" s="271"/>
      <c r="BL101" s="271"/>
      <c r="BM101" s="271"/>
      <c r="BN101" s="271"/>
      <c r="BO101" s="271"/>
      <c r="BP101" s="271"/>
      <c r="BQ101" s="271"/>
      <c r="BR101" s="271"/>
      <c r="BS101" s="271"/>
      <c r="BT101" s="271"/>
      <c r="BU101" s="271"/>
      <c r="BV101" s="271"/>
      <c r="BW101" s="271"/>
      <c r="BX101" s="271"/>
      <c r="BY101" s="271"/>
      <c r="BZ101" s="271"/>
    </row>
    <row r="102" ht="13.8" spans="1:78">
      <c r="A102" s="271"/>
      <c r="B102" s="271"/>
      <c r="C102" s="271"/>
      <c r="D102" s="272"/>
      <c r="E102" s="272"/>
      <c r="F102" s="271"/>
      <c r="G102" s="272"/>
      <c r="H102" s="271"/>
      <c r="I102" s="271"/>
      <c r="J102" s="272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3"/>
      <c r="V102" s="271"/>
      <c r="W102" s="271"/>
      <c r="X102" s="274"/>
      <c r="Y102" s="274"/>
      <c r="Z102" s="271"/>
      <c r="AA102" s="271"/>
      <c r="AB102" s="271"/>
      <c r="AC102" s="271"/>
      <c r="AD102" s="271"/>
      <c r="AE102" s="271"/>
      <c r="AF102" s="271"/>
      <c r="AG102" s="271"/>
      <c r="AH102" s="271"/>
      <c r="AI102" s="271"/>
      <c r="AJ102" s="271"/>
      <c r="AK102" s="271"/>
      <c r="AL102" s="271"/>
      <c r="AM102" s="271"/>
      <c r="AN102" s="271"/>
      <c r="AO102" s="271"/>
      <c r="AP102" s="271"/>
      <c r="AQ102" s="271"/>
      <c r="AR102" s="271"/>
      <c r="AS102" s="271"/>
      <c r="AT102" s="271"/>
      <c r="AU102" s="271"/>
      <c r="AV102" s="271"/>
      <c r="AW102" s="271"/>
      <c r="AX102" s="271"/>
      <c r="AY102" s="271"/>
      <c r="AZ102" s="271"/>
      <c r="BA102" s="271"/>
      <c r="BB102" s="271"/>
      <c r="BC102" s="271"/>
      <c r="BD102" s="271"/>
      <c r="BE102" s="271"/>
      <c r="BF102" s="271"/>
      <c r="BG102" s="271"/>
      <c r="BH102" s="271"/>
      <c r="BI102" s="271"/>
      <c r="BJ102" s="271"/>
      <c r="BK102" s="271"/>
      <c r="BL102" s="271"/>
      <c r="BM102" s="271"/>
      <c r="BN102" s="271"/>
      <c r="BO102" s="271"/>
      <c r="BP102" s="271"/>
      <c r="BQ102" s="271"/>
      <c r="BR102" s="271"/>
      <c r="BS102" s="271"/>
      <c r="BT102" s="271"/>
      <c r="BU102" s="271"/>
      <c r="BV102" s="271"/>
      <c r="BW102" s="271"/>
      <c r="BX102" s="271"/>
      <c r="BY102" s="271"/>
      <c r="BZ102" s="271"/>
    </row>
    <row r="103" ht="13.8" spans="1:78">
      <c r="A103" s="271"/>
      <c r="B103" s="271"/>
      <c r="C103" s="271"/>
      <c r="D103" s="272"/>
      <c r="E103" s="272"/>
      <c r="F103" s="271"/>
      <c r="G103" s="272"/>
      <c r="H103" s="271"/>
      <c r="I103" s="271"/>
      <c r="J103" s="272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3"/>
      <c r="V103" s="271"/>
      <c r="W103" s="271"/>
      <c r="X103" s="274"/>
      <c r="Y103" s="274"/>
      <c r="Z103" s="271"/>
      <c r="AA103" s="271"/>
      <c r="AB103" s="271"/>
      <c r="AC103" s="271"/>
      <c r="AD103" s="271"/>
      <c r="AE103" s="271"/>
      <c r="AF103" s="271"/>
      <c r="AG103" s="271"/>
      <c r="AH103" s="271"/>
      <c r="AI103" s="271"/>
      <c r="AJ103" s="271"/>
      <c r="AK103" s="271"/>
      <c r="AL103" s="271"/>
      <c r="AM103" s="271"/>
      <c r="AN103" s="271"/>
      <c r="AO103" s="271"/>
      <c r="AP103" s="271"/>
      <c r="AQ103" s="271"/>
      <c r="AR103" s="271"/>
      <c r="AS103" s="271"/>
      <c r="AT103" s="271"/>
      <c r="AU103" s="271"/>
      <c r="AV103" s="271"/>
      <c r="AW103" s="271"/>
      <c r="AX103" s="271"/>
      <c r="AY103" s="271"/>
      <c r="AZ103" s="271"/>
      <c r="BA103" s="271"/>
      <c r="BB103" s="271"/>
      <c r="BC103" s="271"/>
      <c r="BD103" s="271"/>
      <c r="BE103" s="271"/>
      <c r="BF103" s="271"/>
      <c r="BG103" s="271"/>
      <c r="BH103" s="271"/>
      <c r="BI103" s="271"/>
      <c r="BJ103" s="271"/>
      <c r="BK103" s="271"/>
      <c r="BL103" s="271"/>
      <c r="BM103" s="271"/>
      <c r="BN103" s="271"/>
      <c r="BO103" s="271"/>
      <c r="BP103" s="271"/>
      <c r="BQ103" s="271"/>
      <c r="BR103" s="271"/>
      <c r="BS103" s="271"/>
      <c r="BT103" s="271"/>
      <c r="BU103" s="271"/>
      <c r="BV103" s="271"/>
      <c r="BW103" s="271"/>
      <c r="BX103" s="271"/>
      <c r="BY103" s="271"/>
      <c r="BZ103" s="271"/>
    </row>
    <row r="104" ht="13.8" spans="1:78">
      <c r="A104" s="271"/>
      <c r="B104" s="271"/>
      <c r="C104" s="271"/>
      <c r="D104" s="272"/>
      <c r="E104" s="272"/>
      <c r="F104" s="271"/>
      <c r="G104" s="272"/>
      <c r="H104" s="271"/>
      <c r="I104" s="271"/>
      <c r="J104" s="272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3"/>
      <c r="V104" s="271"/>
      <c r="W104" s="271"/>
      <c r="X104" s="274"/>
      <c r="Y104" s="274"/>
      <c r="Z104" s="271"/>
      <c r="AA104" s="271"/>
      <c r="AB104" s="271"/>
      <c r="AC104" s="271"/>
      <c r="AD104" s="271"/>
      <c r="AE104" s="271"/>
      <c r="AF104" s="271"/>
      <c r="AG104" s="271"/>
      <c r="AH104" s="271"/>
      <c r="AI104" s="271"/>
      <c r="AJ104" s="271"/>
      <c r="AK104" s="271"/>
      <c r="AL104" s="271"/>
      <c r="AM104" s="271"/>
      <c r="AN104" s="271"/>
      <c r="AO104" s="271"/>
      <c r="AP104" s="271"/>
      <c r="AQ104" s="271"/>
      <c r="AR104" s="271"/>
      <c r="AS104" s="271"/>
      <c r="AT104" s="271"/>
      <c r="AU104" s="271"/>
      <c r="AV104" s="271"/>
      <c r="AW104" s="271"/>
      <c r="AX104" s="271"/>
      <c r="AY104" s="271"/>
      <c r="AZ104" s="271"/>
      <c r="BA104" s="271"/>
      <c r="BB104" s="271"/>
      <c r="BC104" s="271"/>
      <c r="BD104" s="271"/>
      <c r="BE104" s="271"/>
      <c r="BF104" s="271"/>
      <c r="BG104" s="271"/>
      <c r="BH104" s="271"/>
      <c r="BI104" s="271"/>
      <c r="BJ104" s="271"/>
      <c r="BK104" s="271"/>
      <c r="BL104" s="271"/>
      <c r="BM104" s="271"/>
      <c r="BN104" s="271"/>
      <c r="BO104" s="271"/>
      <c r="BP104" s="271"/>
      <c r="BQ104" s="271"/>
      <c r="BR104" s="271"/>
      <c r="BS104" s="271"/>
      <c r="BT104" s="271"/>
      <c r="BU104" s="271"/>
      <c r="BV104" s="271"/>
      <c r="BW104" s="271"/>
      <c r="BX104" s="271"/>
      <c r="BY104" s="271"/>
      <c r="BZ104" s="271"/>
    </row>
    <row r="105" ht="13.8" spans="1:78">
      <c r="A105" s="271"/>
      <c r="B105" s="271"/>
      <c r="C105" s="271"/>
      <c r="D105" s="272"/>
      <c r="E105" s="272"/>
      <c r="F105" s="271"/>
      <c r="G105" s="272"/>
      <c r="H105" s="271"/>
      <c r="I105" s="271"/>
      <c r="J105" s="272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3"/>
      <c r="V105" s="271"/>
      <c r="W105" s="271"/>
      <c r="X105" s="274"/>
      <c r="Y105" s="274"/>
      <c r="Z105" s="271"/>
      <c r="AA105" s="271"/>
      <c r="AB105" s="271"/>
      <c r="AC105" s="271"/>
      <c r="AD105" s="271"/>
      <c r="AE105" s="271"/>
      <c r="AF105" s="271"/>
      <c r="AG105" s="271"/>
      <c r="AH105" s="271"/>
      <c r="AI105" s="271"/>
      <c r="AJ105" s="271"/>
      <c r="AK105" s="271"/>
      <c r="AL105" s="271"/>
      <c r="AM105" s="271"/>
      <c r="AN105" s="271"/>
      <c r="AO105" s="271"/>
      <c r="AP105" s="271"/>
      <c r="AQ105" s="271"/>
      <c r="AR105" s="271"/>
      <c r="AS105" s="271"/>
      <c r="AT105" s="271"/>
      <c r="AU105" s="271"/>
      <c r="AV105" s="271"/>
      <c r="AW105" s="271"/>
      <c r="AX105" s="271"/>
      <c r="AY105" s="271"/>
      <c r="AZ105" s="271"/>
      <c r="BA105" s="271"/>
      <c r="BB105" s="271"/>
      <c r="BC105" s="271"/>
      <c r="BD105" s="271"/>
      <c r="BE105" s="271"/>
      <c r="BF105" s="271"/>
      <c r="BG105" s="271"/>
      <c r="BH105" s="271"/>
      <c r="BI105" s="271"/>
      <c r="BJ105" s="271"/>
      <c r="BK105" s="271"/>
      <c r="BL105" s="271"/>
      <c r="BM105" s="271"/>
      <c r="BN105" s="271"/>
      <c r="BO105" s="271"/>
      <c r="BP105" s="271"/>
      <c r="BQ105" s="271"/>
      <c r="BR105" s="271"/>
      <c r="BS105" s="271"/>
      <c r="BT105" s="271"/>
      <c r="BU105" s="271"/>
      <c r="BV105" s="271"/>
      <c r="BW105" s="271"/>
      <c r="BX105" s="271"/>
      <c r="BY105" s="271"/>
      <c r="BZ105" s="271"/>
    </row>
    <row r="106" ht="13.8" spans="1:78">
      <c r="A106" s="271"/>
      <c r="B106" s="271"/>
      <c r="C106" s="271"/>
      <c r="D106" s="272"/>
      <c r="E106" s="272"/>
      <c r="F106" s="271"/>
      <c r="G106" s="272"/>
      <c r="H106" s="271"/>
      <c r="I106" s="271"/>
      <c r="J106" s="272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3"/>
      <c r="V106" s="271"/>
      <c r="W106" s="271"/>
      <c r="X106" s="274"/>
      <c r="Y106" s="274"/>
      <c r="Z106" s="271"/>
      <c r="AA106" s="271"/>
      <c r="AB106" s="271"/>
      <c r="AC106" s="271"/>
      <c r="AD106" s="271"/>
      <c r="AE106" s="271"/>
      <c r="AF106" s="271"/>
      <c r="AG106" s="271"/>
      <c r="AH106" s="271"/>
      <c r="AI106" s="271"/>
      <c r="AJ106" s="271"/>
      <c r="AK106" s="271"/>
      <c r="AL106" s="271"/>
      <c r="AM106" s="271"/>
      <c r="AN106" s="271"/>
      <c r="AO106" s="271"/>
      <c r="AP106" s="271"/>
      <c r="AQ106" s="271"/>
      <c r="AR106" s="271"/>
      <c r="AS106" s="271"/>
      <c r="AT106" s="271"/>
      <c r="AU106" s="271"/>
      <c r="AV106" s="271"/>
      <c r="AW106" s="271"/>
      <c r="AX106" s="271"/>
      <c r="AY106" s="271"/>
      <c r="AZ106" s="271"/>
      <c r="BA106" s="271"/>
      <c r="BB106" s="271"/>
      <c r="BC106" s="271"/>
      <c r="BD106" s="271"/>
      <c r="BE106" s="271"/>
      <c r="BF106" s="271"/>
      <c r="BG106" s="271"/>
      <c r="BH106" s="271"/>
      <c r="BI106" s="271"/>
      <c r="BJ106" s="271"/>
      <c r="BK106" s="271"/>
      <c r="BL106" s="271"/>
      <c r="BM106" s="271"/>
      <c r="BN106" s="271"/>
      <c r="BO106" s="271"/>
      <c r="BP106" s="271"/>
      <c r="BQ106" s="271"/>
      <c r="BR106" s="271"/>
      <c r="BS106" s="271"/>
      <c r="BT106" s="271"/>
      <c r="BU106" s="271"/>
      <c r="BV106" s="271"/>
      <c r="BW106" s="271"/>
      <c r="BX106" s="271"/>
      <c r="BY106" s="271"/>
      <c r="BZ106" s="271"/>
    </row>
    <row r="107" ht="13.8" spans="1:78">
      <c r="A107" s="271"/>
      <c r="B107" s="271"/>
      <c r="C107" s="271"/>
      <c r="D107" s="272"/>
      <c r="E107" s="272"/>
      <c r="F107" s="271"/>
      <c r="G107" s="272"/>
      <c r="H107" s="271"/>
      <c r="I107" s="271"/>
      <c r="J107" s="272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3"/>
      <c r="V107" s="271"/>
      <c r="W107" s="271"/>
      <c r="X107" s="274"/>
      <c r="Y107" s="274"/>
      <c r="Z107" s="271"/>
      <c r="AA107" s="271"/>
      <c r="AB107" s="271"/>
      <c r="AC107" s="271"/>
      <c r="AD107" s="271"/>
      <c r="AE107" s="271"/>
      <c r="AF107" s="271"/>
      <c r="AG107" s="271"/>
      <c r="AH107" s="271"/>
      <c r="AI107" s="271"/>
      <c r="AJ107" s="271"/>
      <c r="AK107" s="271"/>
      <c r="AL107" s="271"/>
      <c r="AM107" s="271"/>
      <c r="AN107" s="271"/>
      <c r="AO107" s="271"/>
      <c r="AP107" s="271"/>
      <c r="AQ107" s="271"/>
      <c r="AR107" s="271"/>
      <c r="AS107" s="271"/>
      <c r="AT107" s="271"/>
      <c r="AU107" s="271"/>
      <c r="AV107" s="271"/>
      <c r="AW107" s="271"/>
      <c r="AX107" s="271"/>
      <c r="AY107" s="271"/>
      <c r="AZ107" s="271"/>
      <c r="BA107" s="271"/>
      <c r="BB107" s="271"/>
      <c r="BC107" s="271"/>
      <c r="BD107" s="271"/>
      <c r="BE107" s="271"/>
      <c r="BF107" s="271"/>
      <c r="BG107" s="271"/>
      <c r="BH107" s="271"/>
      <c r="BI107" s="271"/>
      <c r="BJ107" s="271"/>
      <c r="BK107" s="271"/>
      <c r="BL107" s="271"/>
      <c r="BM107" s="271"/>
      <c r="BN107" s="271"/>
      <c r="BO107" s="271"/>
      <c r="BP107" s="271"/>
      <c r="BQ107" s="271"/>
      <c r="BR107" s="271"/>
      <c r="BS107" s="271"/>
      <c r="BT107" s="271"/>
      <c r="BU107" s="271"/>
      <c r="BV107" s="271"/>
      <c r="BW107" s="271"/>
      <c r="BX107" s="271"/>
      <c r="BY107" s="271"/>
      <c r="BZ107" s="271"/>
    </row>
    <row r="108" ht="13.8" spans="1:78">
      <c r="A108" s="271"/>
      <c r="B108" s="271"/>
      <c r="C108" s="271"/>
      <c r="D108" s="272"/>
      <c r="E108" s="272"/>
      <c r="F108" s="271"/>
      <c r="G108" s="272"/>
      <c r="H108" s="271"/>
      <c r="I108" s="271"/>
      <c r="J108" s="272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3"/>
      <c r="V108" s="271"/>
      <c r="W108" s="271"/>
      <c r="X108" s="274"/>
      <c r="Y108" s="274"/>
      <c r="Z108" s="271"/>
      <c r="AA108" s="271"/>
      <c r="AB108" s="271"/>
      <c r="AC108" s="271"/>
      <c r="AD108" s="271"/>
      <c r="AE108" s="271"/>
      <c r="AF108" s="271"/>
      <c r="AG108" s="271"/>
      <c r="AH108" s="271"/>
      <c r="AI108" s="271"/>
      <c r="AJ108" s="271"/>
      <c r="AK108" s="271"/>
      <c r="AL108" s="271"/>
      <c r="AM108" s="271"/>
      <c r="AN108" s="271"/>
      <c r="AO108" s="271"/>
      <c r="AP108" s="271"/>
      <c r="AQ108" s="271"/>
      <c r="AR108" s="271"/>
      <c r="AS108" s="271"/>
      <c r="AT108" s="271"/>
      <c r="AU108" s="271"/>
      <c r="AV108" s="271"/>
      <c r="AW108" s="271"/>
      <c r="AX108" s="271"/>
      <c r="AY108" s="271"/>
      <c r="AZ108" s="271"/>
      <c r="BA108" s="271"/>
      <c r="BB108" s="271"/>
      <c r="BC108" s="271"/>
      <c r="BD108" s="271"/>
      <c r="BE108" s="271"/>
      <c r="BF108" s="271"/>
      <c r="BG108" s="271"/>
      <c r="BH108" s="271"/>
      <c r="BI108" s="271"/>
      <c r="BJ108" s="271"/>
      <c r="BK108" s="271"/>
      <c r="BL108" s="271"/>
      <c r="BM108" s="271"/>
      <c r="BN108" s="271"/>
      <c r="BO108" s="271"/>
      <c r="BP108" s="271"/>
      <c r="BQ108" s="271"/>
      <c r="BR108" s="271"/>
      <c r="BS108" s="271"/>
      <c r="BT108" s="271"/>
      <c r="BU108" s="271"/>
      <c r="BV108" s="271"/>
      <c r="BW108" s="271"/>
      <c r="BX108" s="271"/>
      <c r="BY108" s="271"/>
      <c r="BZ108" s="271"/>
    </row>
    <row r="109" ht="13.8" spans="1:78">
      <c r="A109" s="271"/>
      <c r="B109" s="271"/>
      <c r="C109" s="271"/>
      <c r="D109" s="272"/>
      <c r="E109" s="272"/>
      <c r="F109" s="271"/>
      <c r="G109" s="272"/>
      <c r="H109" s="271"/>
      <c r="I109" s="271"/>
      <c r="J109" s="272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3"/>
      <c r="V109" s="271"/>
      <c r="W109" s="271"/>
      <c r="X109" s="274"/>
      <c r="Y109" s="274"/>
      <c r="Z109" s="271"/>
      <c r="AA109" s="271"/>
      <c r="AB109" s="271"/>
      <c r="AC109" s="271"/>
      <c r="AD109" s="271"/>
      <c r="AE109" s="271"/>
      <c r="AF109" s="271"/>
      <c r="AG109" s="271"/>
      <c r="AH109" s="271"/>
      <c r="AI109" s="271"/>
      <c r="AJ109" s="271"/>
      <c r="AK109" s="271"/>
      <c r="AL109" s="271"/>
      <c r="AM109" s="271"/>
      <c r="AN109" s="271"/>
      <c r="AO109" s="271"/>
      <c r="AP109" s="271"/>
      <c r="AQ109" s="271"/>
      <c r="AR109" s="271"/>
      <c r="AS109" s="271"/>
      <c r="AT109" s="271"/>
      <c r="AU109" s="271"/>
      <c r="AV109" s="271"/>
      <c r="AW109" s="271"/>
      <c r="AX109" s="271"/>
      <c r="AY109" s="271"/>
      <c r="AZ109" s="271"/>
      <c r="BA109" s="271"/>
      <c r="BB109" s="271"/>
      <c r="BC109" s="271"/>
      <c r="BD109" s="271"/>
      <c r="BE109" s="271"/>
      <c r="BF109" s="271"/>
      <c r="BG109" s="271"/>
      <c r="BH109" s="271"/>
      <c r="BI109" s="271"/>
      <c r="BJ109" s="271"/>
      <c r="BK109" s="271"/>
      <c r="BL109" s="271"/>
      <c r="BM109" s="271"/>
      <c r="BN109" s="271"/>
      <c r="BO109" s="271"/>
      <c r="BP109" s="271"/>
      <c r="BQ109" s="271"/>
      <c r="BR109" s="271"/>
      <c r="BS109" s="271"/>
      <c r="BT109" s="271"/>
      <c r="BU109" s="271"/>
      <c r="BV109" s="271"/>
      <c r="BW109" s="271"/>
      <c r="BX109" s="271"/>
      <c r="BY109" s="271"/>
      <c r="BZ109" s="271"/>
    </row>
    <row r="110" ht="13.8" spans="1:78">
      <c r="A110" s="271"/>
      <c r="B110" s="271"/>
      <c r="C110" s="271"/>
      <c r="D110" s="272"/>
      <c r="E110" s="272"/>
      <c r="F110" s="271"/>
      <c r="G110" s="272"/>
      <c r="H110" s="271"/>
      <c r="I110" s="271"/>
      <c r="J110" s="272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3"/>
      <c r="V110" s="271"/>
      <c r="W110" s="271"/>
      <c r="X110" s="274"/>
      <c r="Y110" s="274"/>
      <c r="Z110" s="271"/>
      <c r="AA110" s="271"/>
      <c r="AB110" s="271"/>
      <c r="AC110" s="271"/>
      <c r="AD110" s="271"/>
      <c r="AE110" s="271"/>
      <c r="AF110" s="271"/>
      <c r="AG110" s="271"/>
      <c r="AH110" s="271"/>
      <c r="AI110" s="271"/>
      <c r="AJ110" s="271"/>
      <c r="AK110" s="271"/>
      <c r="AL110" s="271"/>
      <c r="AM110" s="271"/>
      <c r="AN110" s="271"/>
      <c r="AO110" s="271"/>
      <c r="AP110" s="271"/>
      <c r="AQ110" s="271"/>
      <c r="AR110" s="271"/>
      <c r="AS110" s="271"/>
      <c r="AT110" s="271"/>
      <c r="AU110" s="271"/>
      <c r="AV110" s="271"/>
      <c r="AW110" s="271"/>
      <c r="AX110" s="271"/>
      <c r="AY110" s="271"/>
      <c r="AZ110" s="271"/>
      <c r="BA110" s="271"/>
      <c r="BB110" s="271"/>
      <c r="BC110" s="271"/>
      <c r="BD110" s="271"/>
      <c r="BE110" s="271"/>
      <c r="BF110" s="271"/>
      <c r="BG110" s="271"/>
      <c r="BH110" s="271"/>
      <c r="BI110" s="271"/>
      <c r="BJ110" s="271"/>
      <c r="BK110" s="271"/>
      <c r="BL110" s="271"/>
      <c r="BM110" s="271"/>
      <c r="BN110" s="271"/>
      <c r="BO110" s="271"/>
      <c r="BP110" s="271"/>
      <c r="BQ110" s="271"/>
      <c r="BR110" s="271"/>
      <c r="BS110" s="271"/>
      <c r="BT110" s="271"/>
      <c r="BU110" s="271"/>
      <c r="BV110" s="271"/>
      <c r="BW110" s="271"/>
      <c r="BX110" s="271"/>
      <c r="BY110" s="271"/>
      <c r="BZ110" s="271"/>
    </row>
    <row r="111" ht="13.8" spans="1:78">
      <c r="A111" s="271"/>
      <c r="B111" s="271"/>
      <c r="C111" s="271"/>
      <c r="D111" s="272"/>
      <c r="E111" s="272"/>
      <c r="F111" s="271"/>
      <c r="G111" s="272"/>
      <c r="H111" s="271"/>
      <c r="I111" s="271"/>
      <c r="J111" s="272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3"/>
      <c r="V111" s="271"/>
      <c r="W111" s="271"/>
      <c r="X111" s="274"/>
      <c r="Y111" s="274"/>
      <c r="Z111" s="271"/>
      <c r="AA111" s="271"/>
      <c r="AB111" s="271"/>
      <c r="AC111" s="271"/>
      <c r="AD111" s="271"/>
      <c r="AE111" s="271"/>
      <c r="AF111" s="271"/>
      <c r="AG111" s="271"/>
      <c r="AH111" s="271"/>
      <c r="AI111" s="271"/>
      <c r="AJ111" s="271"/>
      <c r="AK111" s="271"/>
      <c r="AL111" s="271"/>
      <c r="AM111" s="271"/>
      <c r="AN111" s="271"/>
      <c r="AO111" s="271"/>
      <c r="AP111" s="271"/>
      <c r="AQ111" s="271"/>
      <c r="AR111" s="271"/>
      <c r="AS111" s="271"/>
      <c r="AT111" s="271"/>
      <c r="AU111" s="271"/>
      <c r="AV111" s="271"/>
      <c r="AW111" s="271"/>
      <c r="AX111" s="271"/>
      <c r="AY111" s="271"/>
      <c r="AZ111" s="271"/>
      <c r="BA111" s="271"/>
      <c r="BB111" s="271"/>
      <c r="BC111" s="271"/>
      <c r="BD111" s="271"/>
      <c r="BE111" s="271"/>
      <c r="BF111" s="271"/>
      <c r="BG111" s="271"/>
      <c r="BH111" s="271"/>
      <c r="BI111" s="271"/>
      <c r="BJ111" s="271"/>
      <c r="BK111" s="271"/>
      <c r="BL111" s="271"/>
      <c r="BM111" s="271"/>
      <c r="BN111" s="271"/>
      <c r="BO111" s="271"/>
      <c r="BP111" s="271"/>
      <c r="BQ111" s="271"/>
      <c r="BR111" s="271"/>
      <c r="BS111" s="271"/>
      <c r="BT111" s="271"/>
      <c r="BU111" s="271"/>
      <c r="BV111" s="271"/>
      <c r="BW111" s="271"/>
      <c r="BX111" s="271"/>
      <c r="BY111" s="271"/>
      <c r="BZ111" s="271"/>
    </row>
    <row r="112" ht="13.8" spans="1:78">
      <c r="A112" s="271"/>
      <c r="B112" s="271"/>
      <c r="C112" s="271"/>
      <c r="D112" s="272"/>
      <c r="E112" s="272"/>
      <c r="F112" s="271"/>
      <c r="G112" s="272"/>
      <c r="H112" s="271"/>
      <c r="I112" s="271"/>
      <c r="J112" s="272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3"/>
      <c r="V112" s="271"/>
      <c r="W112" s="271"/>
      <c r="X112" s="274"/>
      <c r="Y112" s="274"/>
      <c r="Z112" s="271"/>
      <c r="AA112" s="271"/>
      <c r="AB112" s="271"/>
      <c r="AC112" s="271"/>
      <c r="AD112" s="271"/>
      <c r="AE112" s="271"/>
      <c r="AF112" s="271"/>
      <c r="AG112" s="271"/>
      <c r="AH112" s="271"/>
      <c r="AI112" s="271"/>
      <c r="AJ112" s="271"/>
      <c r="AK112" s="271"/>
      <c r="AL112" s="271"/>
      <c r="AM112" s="271"/>
      <c r="AN112" s="271"/>
      <c r="AO112" s="271"/>
      <c r="AP112" s="271"/>
      <c r="AQ112" s="271"/>
      <c r="AR112" s="271"/>
      <c r="AS112" s="271"/>
      <c r="AT112" s="271"/>
      <c r="AU112" s="271"/>
      <c r="AV112" s="271"/>
      <c r="AW112" s="271"/>
      <c r="AX112" s="271"/>
      <c r="AY112" s="271"/>
      <c r="AZ112" s="271"/>
      <c r="BA112" s="271"/>
      <c r="BB112" s="271"/>
      <c r="BC112" s="271"/>
      <c r="BD112" s="271"/>
      <c r="BE112" s="271"/>
      <c r="BF112" s="271"/>
      <c r="BG112" s="271"/>
      <c r="BH112" s="271"/>
      <c r="BI112" s="271"/>
      <c r="BJ112" s="271"/>
      <c r="BK112" s="271"/>
      <c r="BL112" s="271"/>
      <c r="BM112" s="271"/>
      <c r="BN112" s="271"/>
      <c r="BO112" s="271"/>
      <c r="BP112" s="271"/>
      <c r="BQ112" s="271"/>
      <c r="BR112" s="271"/>
      <c r="BS112" s="271"/>
      <c r="BT112" s="271"/>
      <c r="BU112" s="271"/>
      <c r="BV112" s="271"/>
      <c r="BW112" s="271"/>
      <c r="BX112" s="271"/>
      <c r="BY112" s="271"/>
      <c r="BZ112" s="271"/>
    </row>
    <row r="113" ht="13.8" spans="1:78">
      <c r="A113" s="271"/>
      <c r="B113" s="271"/>
      <c r="C113" s="271"/>
      <c r="D113" s="272"/>
      <c r="E113" s="272"/>
      <c r="F113" s="271"/>
      <c r="G113" s="272"/>
      <c r="H113" s="271"/>
      <c r="I113" s="271"/>
      <c r="J113" s="272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3"/>
      <c r="V113" s="271"/>
      <c r="W113" s="271"/>
      <c r="X113" s="274"/>
      <c r="Y113" s="274"/>
      <c r="Z113" s="271"/>
      <c r="AA113" s="271"/>
      <c r="AB113" s="271"/>
      <c r="AC113" s="271"/>
      <c r="AD113" s="271"/>
      <c r="AE113" s="271"/>
      <c r="AF113" s="271"/>
      <c r="AG113" s="271"/>
      <c r="AH113" s="271"/>
      <c r="AI113" s="271"/>
      <c r="AJ113" s="271"/>
      <c r="AK113" s="271"/>
      <c r="AL113" s="271"/>
      <c r="AM113" s="271"/>
      <c r="AN113" s="271"/>
      <c r="AO113" s="271"/>
      <c r="AP113" s="271"/>
      <c r="AQ113" s="271"/>
      <c r="AR113" s="271"/>
      <c r="AS113" s="271"/>
      <c r="AT113" s="271"/>
      <c r="AU113" s="271"/>
      <c r="AV113" s="271"/>
      <c r="AW113" s="271"/>
      <c r="AX113" s="271"/>
      <c r="AY113" s="271"/>
      <c r="AZ113" s="271"/>
      <c r="BA113" s="271"/>
      <c r="BB113" s="271"/>
      <c r="BC113" s="271"/>
      <c r="BD113" s="271"/>
      <c r="BE113" s="271"/>
      <c r="BF113" s="271"/>
      <c r="BG113" s="271"/>
      <c r="BH113" s="271"/>
      <c r="BI113" s="271"/>
      <c r="BJ113" s="271"/>
      <c r="BK113" s="271"/>
      <c r="BL113" s="271"/>
      <c r="BM113" s="271"/>
      <c r="BN113" s="271"/>
      <c r="BO113" s="271"/>
      <c r="BP113" s="271"/>
      <c r="BQ113" s="271"/>
      <c r="BR113" s="271"/>
      <c r="BS113" s="271"/>
      <c r="BT113" s="271"/>
      <c r="BU113" s="271"/>
      <c r="BV113" s="271"/>
      <c r="BW113" s="271"/>
      <c r="BX113" s="271"/>
      <c r="BY113" s="271"/>
      <c r="BZ113" s="271"/>
    </row>
    <row r="114" ht="13.8" spans="1:78">
      <c r="A114" s="271"/>
      <c r="B114" s="271"/>
      <c r="C114" s="271"/>
      <c r="D114" s="272"/>
      <c r="E114" s="272"/>
      <c r="F114" s="271"/>
      <c r="G114" s="272"/>
      <c r="H114" s="271"/>
      <c r="I114" s="271"/>
      <c r="J114" s="272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3"/>
      <c r="V114" s="271"/>
      <c r="W114" s="271"/>
      <c r="X114" s="274"/>
      <c r="Y114" s="274"/>
      <c r="Z114" s="271"/>
      <c r="AA114" s="271"/>
      <c r="AB114" s="271"/>
      <c r="AC114" s="271"/>
      <c r="AD114" s="271"/>
      <c r="AE114" s="271"/>
      <c r="AF114" s="271"/>
      <c r="AG114" s="271"/>
      <c r="AH114" s="271"/>
      <c r="AI114" s="271"/>
      <c r="AJ114" s="271"/>
      <c r="AK114" s="271"/>
      <c r="AL114" s="271"/>
      <c r="AM114" s="271"/>
      <c r="AN114" s="271"/>
      <c r="AO114" s="271"/>
      <c r="AP114" s="271"/>
      <c r="AQ114" s="271"/>
      <c r="AR114" s="271"/>
      <c r="AS114" s="271"/>
      <c r="AT114" s="271"/>
      <c r="AU114" s="271"/>
      <c r="AV114" s="271"/>
      <c r="AW114" s="271"/>
      <c r="AX114" s="271"/>
      <c r="AY114" s="271"/>
      <c r="AZ114" s="271"/>
      <c r="BA114" s="271"/>
      <c r="BB114" s="271"/>
      <c r="BC114" s="271"/>
      <c r="BD114" s="271"/>
      <c r="BE114" s="271"/>
      <c r="BF114" s="271"/>
      <c r="BG114" s="271"/>
      <c r="BH114" s="271"/>
      <c r="BI114" s="271"/>
      <c r="BJ114" s="271"/>
      <c r="BK114" s="271"/>
      <c r="BL114" s="271"/>
      <c r="BM114" s="271"/>
      <c r="BN114" s="271"/>
      <c r="BO114" s="271"/>
      <c r="BP114" s="271"/>
      <c r="BQ114" s="271"/>
      <c r="BR114" s="271"/>
      <c r="BS114" s="271"/>
      <c r="BT114" s="271"/>
      <c r="BU114" s="271"/>
      <c r="BV114" s="271"/>
      <c r="BW114" s="271"/>
      <c r="BX114" s="271"/>
      <c r="BY114" s="271"/>
      <c r="BZ114" s="271"/>
    </row>
    <row r="115" ht="13.8" spans="1:78">
      <c r="A115" s="271"/>
      <c r="B115" s="271"/>
      <c r="C115" s="271"/>
      <c r="D115" s="272"/>
      <c r="E115" s="272"/>
      <c r="F115" s="271"/>
      <c r="G115" s="272"/>
      <c r="H115" s="271"/>
      <c r="I115" s="271"/>
      <c r="J115" s="272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3"/>
      <c r="V115" s="271"/>
      <c r="W115" s="271"/>
      <c r="X115" s="274"/>
      <c r="Y115" s="274"/>
      <c r="Z115" s="271"/>
      <c r="AA115" s="271"/>
      <c r="AB115" s="271"/>
      <c r="AC115" s="271"/>
      <c r="AD115" s="271"/>
      <c r="AE115" s="271"/>
      <c r="AF115" s="271"/>
      <c r="AG115" s="271"/>
      <c r="AH115" s="271"/>
      <c r="AI115" s="271"/>
      <c r="AJ115" s="271"/>
      <c r="AK115" s="271"/>
      <c r="AL115" s="271"/>
      <c r="AM115" s="271"/>
      <c r="AN115" s="271"/>
      <c r="AO115" s="271"/>
      <c r="AP115" s="271"/>
      <c r="AQ115" s="271"/>
      <c r="AR115" s="271"/>
      <c r="AS115" s="271"/>
      <c r="AT115" s="271"/>
      <c r="AU115" s="271"/>
      <c r="AV115" s="271"/>
      <c r="AW115" s="271"/>
      <c r="AX115" s="271"/>
      <c r="AY115" s="271"/>
      <c r="AZ115" s="271"/>
      <c r="BA115" s="271"/>
      <c r="BB115" s="271"/>
      <c r="BC115" s="271"/>
      <c r="BD115" s="271"/>
      <c r="BE115" s="271"/>
      <c r="BF115" s="271"/>
      <c r="BG115" s="271"/>
      <c r="BH115" s="271"/>
      <c r="BI115" s="271"/>
      <c r="BJ115" s="271"/>
      <c r="BK115" s="271"/>
      <c r="BL115" s="271"/>
      <c r="BM115" s="271"/>
      <c r="BN115" s="271"/>
      <c r="BO115" s="271"/>
      <c r="BP115" s="271"/>
      <c r="BQ115" s="271"/>
      <c r="BR115" s="271"/>
      <c r="BS115" s="271"/>
      <c r="BT115" s="271"/>
      <c r="BU115" s="271"/>
      <c r="BV115" s="271"/>
      <c r="BW115" s="271"/>
      <c r="BX115" s="271"/>
      <c r="BY115" s="271"/>
      <c r="BZ115" s="271"/>
    </row>
    <row r="116" ht="13.8" spans="1:78">
      <c r="A116" s="271"/>
      <c r="B116" s="271"/>
      <c r="C116" s="271"/>
      <c r="D116" s="272"/>
      <c r="E116" s="272"/>
      <c r="F116" s="271"/>
      <c r="G116" s="272"/>
      <c r="H116" s="271"/>
      <c r="I116" s="271"/>
      <c r="J116" s="272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3"/>
      <c r="V116" s="271"/>
      <c r="W116" s="271"/>
      <c r="X116" s="274"/>
      <c r="Y116" s="274"/>
      <c r="Z116" s="271"/>
      <c r="AA116" s="271"/>
      <c r="AB116" s="271"/>
      <c r="AC116" s="271"/>
      <c r="AD116" s="271"/>
      <c r="AE116" s="271"/>
      <c r="AF116" s="271"/>
      <c r="AG116" s="271"/>
      <c r="AH116" s="271"/>
      <c r="AI116" s="271"/>
      <c r="AJ116" s="271"/>
      <c r="AK116" s="271"/>
      <c r="AL116" s="271"/>
      <c r="AM116" s="271"/>
      <c r="AN116" s="271"/>
      <c r="AO116" s="271"/>
      <c r="AP116" s="271"/>
      <c r="AQ116" s="271"/>
      <c r="AR116" s="271"/>
      <c r="AS116" s="271"/>
      <c r="AT116" s="271"/>
      <c r="AU116" s="271"/>
      <c r="AV116" s="271"/>
      <c r="AW116" s="271"/>
      <c r="AX116" s="271"/>
      <c r="AY116" s="271"/>
      <c r="AZ116" s="271"/>
      <c r="BA116" s="271"/>
      <c r="BB116" s="271"/>
      <c r="BC116" s="271"/>
      <c r="BD116" s="271"/>
      <c r="BE116" s="271"/>
      <c r="BF116" s="271"/>
      <c r="BG116" s="271"/>
      <c r="BH116" s="271"/>
      <c r="BI116" s="271"/>
      <c r="BJ116" s="271"/>
      <c r="BK116" s="271"/>
      <c r="BL116" s="271"/>
      <c r="BM116" s="271"/>
      <c r="BN116" s="271"/>
      <c r="BO116" s="271"/>
      <c r="BP116" s="271"/>
      <c r="BQ116" s="271"/>
      <c r="BR116" s="271"/>
      <c r="BS116" s="271"/>
      <c r="BT116" s="271"/>
      <c r="BU116" s="271"/>
      <c r="BV116" s="271"/>
      <c r="BW116" s="271"/>
      <c r="BX116" s="271"/>
      <c r="BY116" s="271"/>
      <c r="BZ116" s="271"/>
    </row>
    <row r="117" ht="13.8" spans="1:78">
      <c r="A117" s="271"/>
      <c r="B117" s="271"/>
      <c r="C117" s="271"/>
      <c r="D117" s="272"/>
      <c r="E117" s="272"/>
      <c r="F117" s="271"/>
      <c r="G117" s="272"/>
      <c r="H117" s="271"/>
      <c r="I117" s="271"/>
      <c r="J117" s="272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3"/>
      <c r="V117" s="271"/>
      <c r="W117" s="271"/>
      <c r="X117" s="274"/>
      <c r="Y117" s="274"/>
      <c r="Z117" s="271"/>
      <c r="AA117" s="271"/>
      <c r="AB117" s="271"/>
      <c r="AC117" s="271"/>
      <c r="AD117" s="271"/>
      <c r="AE117" s="271"/>
      <c r="AF117" s="271"/>
      <c r="AG117" s="271"/>
      <c r="AH117" s="271"/>
      <c r="AI117" s="271"/>
      <c r="AJ117" s="271"/>
      <c r="AK117" s="271"/>
      <c r="AL117" s="271"/>
      <c r="AM117" s="271"/>
      <c r="AN117" s="271"/>
      <c r="AO117" s="271"/>
      <c r="AP117" s="271"/>
      <c r="AQ117" s="271"/>
      <c r="AR117" s="271"/>
      <c r="AS117" s="271"/>
      <c r="AT117" s="271"/>
      <c r="AU117" s="271"/>
      <c r="AV117" s="271"/>
      <c r="AW117" s="271"/>
      <c r="AX117" s="271"/>
      <c r="AY117" s="271"/>
      <c r="AZ117" s="271"/>
      <c r="BA117" s="271"/>
      <c r="BB117" s="271"/>
      <c r="BC117" s="271"/>
      <c r="BD117" s="271"/>
      <c r="BE117" s="271"/>
      <c r="BF117" s="271"/>
      <c r="BG117" s="271"/>
      <c r="BH117" s="271"/>
      <c r="BI117" s="271"/>
      <c r="BJ117" s="271"/>
      <c r="BK117" s="271"/>
      <c r="BL117" s="271"/>
      <c r="BM117" s="271"/>
      <c r="BN117" s="271"/>
      <c r="BO117" s="271"/>
      <c r="BP117" s="271"/>
      <c r="BQ117" s="271"/>
      <c r="BR117" s="271"/>
      <c r="BS117" s="271"/>
      <c r="BT117" s="271"/>
      <c r="BU117" s="271"/>
      <c r="BV117" s="271"/>
      <c r="BW117" s="271"/>
      <c r="BX117" s="271"/>
      <c r="BY117" s="271"/>
      <c r="BZ117" s="271"/>
    </row>
    <row r="118" ht="13.8" spans="1:78">
      <c r="A118" s="271"/>
      <c r="B118" s="271"/>
      <c r="C118" s="271"/>
      <c r="D118" s="272"/>
      <c r="E118" s="272"/>
      <c r="F118" s="271"/>
      <c r="G118" s="272"/>
      <c r="H118" s="271"/>
      <c r="I118" s="271"/>
      <c r="J118" s="272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3"/>
      <c r="V118" s="271"/>
      <c r="W118" s="271"/>
      <c r="X118" s="274"/>
      <c r="Y118" s="274"/>
      <c r="Z118" s="271"/>
      <c r="AA118" s="271"/>
      <c r="AB118" s="271"/>
      <c r="AC118" s="271"/>
      <c r="AD118" s="271"/>
      <c r="AE118" s="271"/>
      <c r="AF118" s="271"/>
      <c r="AG118" s="271"/>
      <c r="AH118" s="271"/>
      <c r="AI118" s="271"/>
      <c r="AJ118" s="271"/>
      <c r="AK118" s="271"/>
      <c r="AL118" s="271"/>
      <c r="AM118" s="271"/>
      <c r="AN118" s="271"/>
      <c r="AO118" s="271"/>
      <c r="AP118" s="271"/>
      <c r="AQ118" s="271"/>
      <c r="AR118" s="271"/>
      <c r="AS118" s="271"/>
      <c r="AT118" s="271"/>
      <c r="AU118" s="271"/>
      <c r="AV118" s="271"/>
      <c r="AW118" s="271"/>
      <c r="AX118" s="271"/>
      <c r="AY118" s="271"/>
      <c r="AZ118" s="271"/>
      <c r="BA118" s="271"/>
      <c r="BB118" s="271"/>
      <c r="BC118" s="271"/>
      <c r="BD118" s="271"/>
      <c r="BE118" s="271"/>
      <c r="BF118" s="271"/>
      <c r="BG118" s="271"/>
      <c r="BH118" s="271"/>
      <c r="BI118" s="271"/>
      <c r="BJ118" s="271"/>
      <c r="BK118" s="271"/>
      <c r="BL118" s="271"/>
      <c r="BM118" s="271"/>
      <c r="BN118" s="271"/>
      <c r="BO118" s="271"/>
      <c r="BP118" s="271"/>
      <c r="BQ118" s="271"/>
      <c r="BR118" s="271"/>
      <c r="BS118" s="271"/>
      <c r="BT118" s="271"/>
      <c r="BU118" s="271"/>
      <c r="BV118" s="271"/>
      <c r="BW118" s="271"/>
      <c r="BX118" s="271"/>
      <c r="BY118" s="271"/>
      <c r="BZ118" s="271"/>
    </row>
    <row r="119" ht="13.8" spans="1:78">
      <c r="A119" s="271"/>
      <c r="B119" s="271"/>
      <c r="C119" s="271"/>
      <c r="D119" s="272"/>
      <c r="E119" s="272"/>
      <c r="F119" s="271"/>
      <c r="G119" s="272"/>
      <c r="H119" s="271"/>
      <c r="I119" s="271"/>
      <c r="J119" s="272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3"/>
      <c r="V119" s="271"/>
      <c r="W119" s="271"/>
      <c r="X119" s="274"/>
      <c r="Y119" s="274"/>
      <c r="Z119" s="271"/>
      <c r="AA119" s="271"/>
      <c r="AB119" s="271"/>
      <c r="AC119" s="271"/>
      <c r="AD119" s="271"/>
      <c r="AE119" s="271"/>
      <c r="AF119" s="271"/>
      <c r="AG119" s="271"/>
      <c r="AH119" s="271"/>
      <c r="AI119" s="271"/>
      <c r="AJ119" s="271"/>
      <c r="AK119" s="271"/>
      <c r="AL119" s="271"/>
      <c r="AM119" s="271"/>
      <c r="AN119" s="271"/>
      <c r="AO119" s="271"/>
      <c r="AP119" s="271"/>
      <c r="AQ119" s="271"/>
      <c r="AR119" s="271"/>
      <c r="AS119" s="271"/>
      <c r="AT119" s="271"/>
      <c r="AU119" s="271"/>
      <c r="AV119" s="271"/>
      <c r="AW119" s="271"/>
      <c r="AX119" s="271"/>
      <c r="AY119" s="271"/>
      <c r="AZ119" s="271"/>
      <c r="BA119" s="271"/>
      <c r="BB119" s="271"/>
      <c r="BC119" s="271"/>
      <c r="BD119" s="271"/>
      <c r="BE119" s="271"/>
      <c r="BF119" s="271"/>
      <c r="BG119" s="271"/>
      <c r="BH119" s="271"/>
      <c r="BI119" s="271"/>
      <c r="BJ119" s="271"/>
      <c r="BK119" s="271"/>
      <c r="BL119" s="271"/>
      <c r="BM119" s="271"/>
      <c r="BN119" s="271"/>
      <c r="BO119" s="271"/>
      <c r="BP119" s="271"/>
      <c r="BQ119" s="271"/>
      <c r="BR119" s="271"/>
      <c r="BS119" s="271"/>
      <c r="BT119" s="271"/>
      <c r="BU119" s="271"/>
      <c r="BV119" s="271"/>
      <c r="BW119" s="271"/>
      <c r="BX119" s="271"/>
      <c r="BY119" s="271"/>
      <c r="BZ119" s="271"/>
    </row>
    <row r="120" ht="13.8" spans="1:78">
      <c r="A120" s="271"/>
      <c r="B120" s="271"/>
      <c r="C120" s="271"/>
      <c r="D120" s="272"/>
      <c r="E120" s="272"/>
      <c r="F120" s="271"/>
      <c r="G120" s="272"/>
      <c r="H120" s="271"/>
      <c r="I120" s="271"/>
      <c r="J120" s="272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3"/>
      <c r="V120" s="271"/>
      <c r="W120" s="271"/>
      <c r="X120" s="274"/>
      <c r="Y120" s="274"/>
      <c r="Z120" s="271"/>
      <c r="AA120" s="271"/>
      <c r="AB120" s="271"/>
      <c r="AC120" s="271"/>
      <c r="AD120" s="271"/>
      <c r="AE120" s="271"/>
      <c r="AF120" s="271"/>
      <c r="AG120" s="271"/>
      <c r="AH120" s="271"/>
      <c r="AI120" s="271"/>
      <c r="AJ120" s="271"/>
      <c r="AK120" s="271"/>
      <c r="AL120" s="271"/>
      <c r="AM120" s="271"/>
      <c r="AN120" s="271"/>
      <c r="AO120" s="271"/>
      <c r="AP120" s="271"/>
      <c r="AQ120" s="271"/>
      <c r="AR120" s="271"/>
      <c r="AS120" s="271"/>
      <c r="AT120" s="271"/>
      <c r="AU120" s="271"/>
      <c r="AV120" s="271"/>
      <c r="AW120" s="271"/>
      <c r="AX120" s="271"/>
      <c r="AY120" s="271"/>
      <c r="AZ120" s="271"/>
      <c r="BA120" s="271"/>
      <c r="BB120" s="271"/>
      <c r="BC120" s="271"/>
      <c r="BD120" s="271"/>
      <c r="BE120" s="271"/>
      <c r="BF120" s="271"/>
      <c r="BG120" s="271"/>
      <c r="BH120" s="271"/>
      <c r="BI120" s="271"/>
      <c r="BJ120" s="271"/>
      <c r="BK120" s="271"/>
      <c r="BL120" s="271"/>
      <c r="BM120" s="271"/>
      <c r="BN120" s="271"/>
      <c r="BO120" s="271"/>
      <c r="BP120" s="271"/>
      <c r="BQ120" s="271"/>
      <c r="BR120" s="271"/>
      <c r="BS120" s="271"/>
      <c r="BT120" s="271"/>
      <c r="BU120" s="271"/>
      <c r="BV120" s="271"/>
      <c r="BW120" s="271"/>
      <c r="BX120" s="271"/>
      <c r="BY120" s="271"/>
      <c r="BZ120" s="271"/>
    </row>
    <row r="121" ht="13.8" spans="1:78">
      <c r="A121" s="271"/>
      <c r="B121" s="271"/>
      <c r="C121" s="271"/>
      <c r="D121" s="272"/>
      <c r="E121" s="272"/>
      <c r="F121" s="271"/>
      <c r="G121" s="272"/>
      <c r="H121" s="271"/>
      <c r="I121" s="271"/>
      <c r="J121" s="272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3"/>
      <c r="V121" s="271"/>
      <c r="W121" s="271"/>
      <c r="X121" s="274"/>
      <c r="Y121" s="274"/>
      <c r="Z121" s="271"/>
      <c r="AA121" s="271"/>
      <c r="AB121" s="271"/>
      <c r="AC121" s="271"/>
      <c r="AD121" s="271"/>
      <c r="AE121" s="271"/>
      <c r="AF121" s="271"/>
      <c r="AG121" s="271"/>
      <c r="AH121" s="271"/>
      <c r="AI121" s="271"/>
      <c r="AJ121" s="271"/>
      <c r="AK121" s="271"/>
      <c r="AL121" s="271"/>
      <c r="AM121" s="271"/>
      <c r="AN121" s="271"/>
      <c r="AO121" s="271"/>
      <c r="AP121" s="271"/>
      <c r="AQ121" s="271"/>
      <c r="AR121" s="271"/>
      <c r="AS121" s="271"/>
      <c r="AT121" s="271"/>
      <c r="AU121" s="271"/>
      <c r="AV121" s="271"/>
      <c r="AW121" s="271"/>
      <c r="AX121" s="271"/>
      <c r="AY121" s="271"/>
      <c r="AZ121" s="271"/>
      <c r="BA121" s="271"/>
      <c r="BB121" s="271"/>
      <c r="BC121" s="271"/>
      <c r="BD121" s="271"/>
      <c r="BE121" s="271"/>
      <c r="BF121" s="271"/>
      <c r="BG121" s="271"/>
      <c r="BH121" s="271"/>
      <c r="BI121" s="271"/>
      <c r="BJ121" s="271"/>
      <c r="BK121" s="271"/>
      <c r="BL121" s="271"/>
      <c r="BM121" s="271"/>
      <c r="BN121" s="271"/>
      <c r="BO121" s="271"/>
      <c r="BP121" s="271"/>
      <c r="BQ121" s="271"/>
      <c r="BR121" s="271"/>
      <c r="BS121" s="271"/>
      <c r="BT121" s="271"/>
      <c r="BU121" s="271"/>
      <c r="BV121" s="271"/>
      <c r="BW121" s="271"/>
      <c r="BX121" s="271"/>
      <c r="BY121" s="271"/>
      <c r="BZ121" s="271"/>
    </row>
    <row r="122" ht="13.8" spans="1:78">
      <c r="A122" s="271"/>
      <c r="B122" s="271"/>
      <c r="C122" s="271"/>
      <c r="D122" s="272"/>
      <c r="E122" s="272"/>
      <c r="F122" s="271"/>
      <c r="G122" s="272"/>
      <c r="H122" s="271"/>
      <c r="I122" s="271"/>
      <c r="J122" s="272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3"/>
      <c r="V122" s="271"/>
      <c r="W122" s="271"/>
      <c r="X122" s="274"/>
      <c r="Y122" s="274"/>
      <c r="Z122" s="271"/>
      <c r="AA122" s="271"/>
      <c r="AB122" s="271"/>
      <c r="AC122" s="271"/>
      <c r="AD122" s="271"/>
      <c r="AE122" s="271"/>
      <c r="AF122" s="271"/>
      <c r="AG122" s="271"/>
      <c r="AH122" s="271"/>
      <c r="AI122" s="271"/>
      <c r="AJ122" s="271"/>
      <c r="AK122" s="271"/>
      <c r="AL122" s="271"/>
      <c r="AM122" s="271"/>
      <c r="AN122" s="271"/>
      <c r="AO122" s="271"/>
      <c r="AP122" s="271"/>
      <c r="AQ122" s="271"/>
      <c r="AR122" s="271"/>
      <c r="AS122" s="271"/>
      <c r="AT122" s="271"/>
      <c r="AU122" s="271"/>
      <c r="AV122" s="271"/>
      <c r="AW122" s="271"/>
      <c r="AX122" s="271"/>
      <c r="AY122" s="271"/>
      <c r="AZ122" s="271"/>
      <c r="BA122" s="271"/>
      <c r="BB122" s="271"/>
      <c r="BC122" s="271"/>
      <c r="BD122" s="271"/>
      <c r="BE122" s="271"/>
      <c r="BF122" s="271"/>
      <c r="BG122" s="271"/>
      <c r="BH122" s="271"/>
      <c r="BI122" s="271"/>
      <c r="BJ122" s="271"/>
      <c r="BK122" s="271"/>
      <c r="BL122" s="271"/>
      <c r="BM122" s="271"/>
      <c r="BN122" s="271"/>
      <c r="BO122" s="271"/>
      <c r="BP122" s="271"/>
      <c r="BQ122" s="271"/>
      <c r="BR122" s="271"/>
      <c r="BS122" s="271"/>
      <c r="BT122" s="271"/>
      <c r="BU122" s="271"/>
      <c r="BV122" s="271"/>
      <c r="BW122" s="271"/>
      <c r="BX122" s="271"/>
      <c r="BY122" s="271"/>
      <c r="BZ122" s="271"/>
    </row>
    <row r="123" ht="13.8" spans="1:78">
      <c r="A123" s="271"/>
      <c r="B123" s="271"/>
      <c r="C123" s="271"/>
      <c r="D123" s="272"/>
      <c r="E123" s="272"/>
      <c r="F123" s="271"/>
      <c r="G123" s="272"/>
      <c r="H123" s="271"/>
      <c r="I123" s="271"/>
      <c r="J123" s="272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3"/>
      <c r="V123" s="271"/>
      <c r="W123" s="271"/>
      <c r="X123" s="274"/>
      <c r="Y123" s="274"/>
      <c r="Z123" s="271"/>
      <c r="AA123" s="271"/>
      <c r="AB123" s="271"/>
      <c r="AC123" s="271"/>
      <c r="AD123" s="271"/>
      <c r="AE123" s="271"/>
      <c r="AF123" s="271"/>
      <c r="AG123" s="271"/>
      <c r="AH123" s="271"/>
      <c r="AI123" s="271"/>
      <c r="AJ123" s="271"/>
      <c r="AK123" s="271"/>
      <c r="AL123" s="271"/>
      <c r="AM123" s="271"/>
      <c r="AN123" s="271"/>
      <c r="AO123" s="271"/>
      <c r="AP123" s="271"/>
      <c r="AQ123" s="271"/>
      <c r="AR123" s="271"/>
      <c r="AS123" s="271"/>
      <c r="AT123" s="271"/>
      <c r="AU123" s="271"/>
      <c r="AV123" s="271"/>
      <c r="AW123" s="271"/>
      <c r="AX123" s="271"/>
      <c r="AY123" s="271"/>
      <c r="AZ123" s="271"/>
      <c r="BA123" s="271"/>
      <c r="BB123" s="271"/>
      <c r="BC123" s="271"/>
      <c r="BD123" s="271"/>
      <c r="BE123" s="271"/>
      <c r="BF123" s="271"/>
      <c r="BG123" s="271"/>
      <c r="BH123" s="271"/>
      <c r="BI123" s="271"/>
      <c r="BJ123" s="271"/>
      <c r="BK123" s="271"/>
      <c r="BL123" s="271"/>
      <c r="BM123" s="271"/>
      <c r="BN123" s="271"/>
      <c r="BO123" s="271"/>
      <c r="BP123" s="271"/>
      <c r="BQ123" s="271"/>
      <c r="BR123" s="271"/>
      <c r="BS123" s="271"/>
      <c r="BT123" s="271"/>
      <c r="BU123" s="271"/>
      <c r="BV123" s="271"/>
      <c r="BW123" s="271"/>
      <c r="BX123" s="271"/>
      <c r="BY123" s="271"/>
      <c r="BZ123" s="271"/>
    </row>
    <row r="124" ht="13.8" spans="1:78">
      <c r="A124" s="271"/>
      <c r="B124" s="271"/>
      <c r="C124" s="271"/>
      <c r="D124" s="272"/>
      <c r="E124" s="272"/>
      <c r="F124" s="271"/>
      <c r="G124" s="272"/>
      <c r="H124" s="271"/>
      <c r="I124" s="271"/>
      <c r="J124" s="272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3"/>
      <c r="V124" s="271"/>
      <c r="W124" s="271"/>
      <c r="X124" s="274"/>
      <c r="Y124" s="274"/>
      <c r="Z124" s="271"/>
      <c r="AA124" s="271"/>
      <c r="AB124" s="271"/>
      <c r="AC124" s="271"/>
      <c r="AD124" s="271"/>
      <c r="AE124" s="271"/>
      <c r="AF124" s="271"/>
      <c r="AG124" s="271"/>
      <c r="AH124" s="271"/>
      <c r="AI124" s="271"/>
      <c r="AJ124" s="271"/>
      <c r="AK124" s="271"/>
      <c r="AL124" s="271"/>
      <c r="AM124" s="271"/>
      <c r="AN124" s="271"/>
      <c r="AO124" s="271"/>
      <c r="AP124" s="271"/>
      <c r="AQ124" s="271"/>
      <c r="AR124" s="271"/>
      <c r="AS124" s="271"/>
      <c r="AT124" s="271"/>
      <c r="AU124" s="271"/>
      <c r="AV124" s="271"/>
      <c r="AW124" s="271"/>
      <c r="AX124" s="271"/>
      <c r="AY124" s="271"/>
      <c r="AZ124" s="271"/>
      <c r="BA124" s="271"/>
      <c r="BB124" s="271"/>
      <c r="BC124" s="271"/>
      <c r="BD124" s="271"/>
      <c r="BE124" s="271"/>
      <c r="BF124" s="271"/>
      <c r="BG124" s="271"/>
      <c r="BH124" s="271"/>
      <c r="BI124" s="271"/>
      <c r="BJ124" s="271"/>
      <c r="BK124" s="271"/>
      <c r="BL124" s="271"/>
      <c r="BM124" s="271"/>
      <c r="BN124" s="271"/>
      <c r="BO124" s="271"/>
      <c r="BP124" s="271"/>
      <c r="BQ124" s="271"/>
      <c r="BR124" s="271"/>
      <c r="BS124" s="271"/>
      <c r="BT124" s="271"/>
      <c r="BU124" s="271"/>
      <c r="BV124" s="271"/>
      <c r="BW124" s="271"/>
      <c r="BX124" s="271"/>
      <c r="BY124" s="271"/>
      <c r="BZ124" s="271"/>
    </row>
    <row r="125" ht="13.8" spans="1:78">
      <c r="A125" s="271"/>
      <c r="B125" s="271"/>
      <c r="C125" s="271"/>
      <c r="D125" s="272"/>
      <c r="E125" s="272"/>
      <c r="F125" s="271"/>
      <c r="G125" s="272"/>
      <c r="H125" s="271"/>
      <c r="I125" s="271"/>
      <c r="J125" s="272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3"/>
      <c r="V125" s="271"/>
      <c r="W125" s="271"/>
      <c r="X125" s="274"/>
      <c r="Y125" s="274"/>
      <c r="Z125" s="271"/>
      <c r="AA125" s="271"/>
      <c r="AB125" s="271"/>
      <c r="AC125" s="271"/>
      <c r="AD125" s="271"/>
      <c r="AE125" s="271"/>
      <c r="AF125" s="271"/>
      <c r="AG125" s="271"/>
      <c r="AH125" s="271"/>
      <c r="AI125" s="271"/>
      <c r="AJ125" s="271"/>
      <c r="AK125" s="271"/>
      <c r="AL125" s="271"/>
      <c r="AM125" s="271"/>
      <c r="AN125" s="271"/>
      <c r="AO125" s="271"/>
      <c r="AP125" s="271"/>
      <c r="AQ125" s="271"/>
      <c r="AR125" s="271"/>
      <c r="AS125" s="271"/>
      <c r="AT125" s="271"/>
      <c r="AU125" s="271"/>
      <c r="AV125" s="271"/>
      <c r="AW125" s="271"/>
      <c r="AX125" s="271"/>
      <c r="AY125" s="271"/>
      <c r="AZ125" s="271"/>
      <c r="BA125" s="271"/>
      <c r="BB125" s="271"/>
      <c r="BC125" s="271"/>
      <c r="BD125" s="271"/>
      <c r="BE125" s="271"/>
      <c r="BF125" s="271"/>
      <c r="BG125" s="271"/>
      <c r="BH125" s="271"/>
      <c r="BI125" s="271"/>
      <c r="BJ125" s="271"/>
      <c r="BK125" s="271"/>
      <c r="BL125" s="271"/>
      <c r="BM125" s="271"/>
      <c r="BN125" s="271"/>
      <c r="BO125" s="271"/>
      <c r="BP125" s="271"/>
      <c r="BQ125" s="271"/>
      <c r="BR125" s="271"/>
      <c r="BS125" s="271"/>
      <c r="BT125" s="271"/>
      <c r="BU125" s="271"/>
      <c r="BV125" s="271"/>
      <c r="BW125" s="271"/>
      <c r="BX125" s="271"/>
      <c r="BY125" s="271"/>
      <c r="BZ125" s="271"/>
    </row>
    <row r="126" ht="13.8" spans="1:78">
      <c r="A126" s="271"/>
      <c r="B126" s="271"/>
      <c r="C126" s="271"/>
      <c r="D126" s="272"/>
      <c r="E126" s="272"/>
      <c r="F126" s="271"/>
      <c r="G126" s="272"/>
      <c r="H126" s="271"/>
      <c r="I126" s="271"/>
      <c r="J126" s="272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3"/>
      <c r="V126" s="271"/>
      <c r="W126" s="271"/>
      <c r="X126" s="274"/>
      <c r="Y126" s="274"/>
      <c r="Z126" s="271"/>
      <c r="AA126" s="271"/>
      <c r="AB126" s="271"/>
      <c r="AC126" s="271"/>
      <c r="AD126" s="271"/>
      <c r="AE126" s="271"/>
      <c r="AF126" s="271"/>
      <c r="AG126" s="271"/>
      <c r="AH126" s="271"/>
      <c r="AI126" s="271"/>
      <c r="AJ126" s="271"/>
      <c r="AK126" s="271"/>
      <c r="AL126" s="271"/>
      <c r="AM126" s="271"/>
      <c r="AN126" s="271"/>
      <c r="AO126" s="271"/>
      <c r="AP126" s="271"/>
      <c r="AQ126" s="271"/>
      <c r="AR126" s="271"/>
      <c r="AS126" s="271"/>
      <c r="AT126" s="271"/>
      <c r="AU126" s="271"/>
      <c r="AV126" s="271"/>
      <c r="AW126" s="271"/>
      <c r="AX126" s="271"/>
      <c r="AY126" s="271"/>
      <c r="AZ126" s="271"/>
      <c r="BA126" s="271"/>
      <c r="BB126" s="271"/>
      <c r="BC126" s="271"/>
      <c r="BD126" s="271"/>
      <c r="BE126" s="271"/>
      <c r="BF126" s="271"/>
      <c r="BG126" s="271"/>
      <c r="BH126" s="271"/>
      <c r="BI126" s="271"/>
      <c r="BJ126" s="271"/>
      <c r="BK126" s="271"/>
      <c r="BL126" s="271"/>
      <c r="BM126" s="271"/>
      <c r="BN126" s="271"/>
      <c r="BO126" s="271"/>
      <c r="BP126" s="271"/>
      <c r="BQ126" s="271"/>
      <c r="BR126" s="271"/>
      <c r="BS126" s="271"/>
      <c r="BT126" s="271"/>
      <c r="BU126" s="271"/>
      <c r="BV126" s="271"/>
      <c r="BW126" s="271"/>
      <c r="BX126" s="271"/>
      <c r="BY126" s="271"/>
      <c r="BZ126" s="271"/>
    </row>
    <row r="127" ht="13.8" spans="1:78">
      <c r="A127" s="271"/>
      <c r="B127" s="271"/>
      <c r="C127" s="271"/>
      <c r="D127" s="272"/>
      <c r="E127" s="272"/>
      <c r="F127" s="271"/>
      <c r="G127" s="272"/>
      <c r="H127" s="271"/>
      <c r="I127" s="271"/>
      <c r="J127" s="272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3"/>
      <c r="V127" s="271"/>
      <c r="W127" s="271"/>
      <c r="X127" s="274"/>
      <c r="Y127" s="274"/>
      <c r="Z127" s="271"/>
      <c r="AA127" s="271"/>
      <c r="AB127" s="271"/>
      <c r="AC127" s="271"/>
      <c r="AD127" s="271"/>
      <c r="AE127" s="271"/>
      <c r="AF127" s="271"/>
      <c r="AG127" s="271"/>
      <c r="AH127" s="271"/>
      <c r="AI127" s="271"/>
      <c r="AJ127" s="271"/>
      <c r="AK127" s="271"/>
      <c r="AL127" s="271"/>
      <c r="AM127" s="271"/>
      <c r="AN127" s="271"/>
      <c r="AO127" s="271"/>
      <c r="AP127" s="271"/>
      <c r="AQ127" s="271"/>
      <c r="AR127" s="271"/>
      <c r="AS127" s="271"/>
      <c r="AT127" s="271"/>
      <c r="AU127" s="271"/>
      <c r="AV127" s="271"/>
      <c r="AW127" s="271"/>
      <c r="AX127" s="271"/>
      <c r="AY127" s="271"/>
      <c r="AZ127" s="271"/>
      <c r="BA127" s="271"/>
      <c r="BB127" s="271"/>
      <c r="BC127" s="271"/>
      <c r="BD127" s="271"/>
      <c r="BE127" s="271"/>
      <c r="BF127" s="271"/>
      <c r="BG127" s="271"/>
      <c r="BH127" s="271"/>
      <c r="BI127" s="271"/>
      <c r="BJ127" s="271"/>
      <c r="BK127" s="271"/>
      <c r="BL127" s="271"/>
      <c r="BM127" s="271"/>
      <c r="BN127" s="271"/>
      <c r="BO127" s="271"/>
      <c r="BP127" s="271"/>
      <c r="BQ127" s="271"/>
      <c r="BR127" s="271"/>
      <c r="BS127" s="271"/>
      <c r="BT127" s="271"/>
      <c r="BU127" s="271"/>
      <c r="BV127" s="271"/>
      <c r="BW127" s="271"/>
      <c r="BX127" s="271"/>
      <c r="BY127" s="271"/>
      <c r="BZ127" s="271"/>
    </row>
    <row r="128" ht="13.8" spans="1:78">
      <c r="A128" s="271"/>
      <c r="B128" s="271"/>
      <c r="C128" s="271"/>
      <c r="D128" s="272"/>
      <c r="E128" s="272"/>
      <c r="F128" s="271"/>
      <c r="G128" s="272"/>
      <c r="H128" s="271"/>
      <c r="I128" s="271"/>
      <c r="J128" s="272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3"/>
      <c r="V128" s="271"/>
      <c r="W128" s="271"/>
      <c r="X128" s="274"/>
      <c r="Y128" s="274"/>
      <c r="Z128" s="271"/>
      <c r="AA128" s="271"/>
      <c r="AB128" s="271"/>
      <c r="AC128" s="271"/>
      <c r="AD128" s="271"/>
      <c r="AE128" s="271"/>
      <c r="AF128" s="271"/>
      <c r="AG128" s="271"/>
      <c r="AH128" s="271"/>
      <c r="AI128" s="271"/>
      <c r="AJ128" s="271"/>
      <c r="AK128" s="271"/>
      <c r="AL128" s="271"/>
      <c r="AM128" s="271"/>
      <c r="AN128" s="271"/>
      <c r="AO128" s="271"/>
      <c r="AP128" s="271"/>
      <c r="AQ128" s="271"/>
      <c r="AR128" s="271"/>
      <c r="AS128" s="271"/>
      <c r="AT128" s="271"/>
      <c r="AU128" s="271"/>
      <c r="AV128" s="271"/>
      <c r="AW128" s="271"/>
      <c r="AX128" s="271"/>
      <c r="AY128" s="271"/>
      <c r="AZ128" s="271"/>
      <c r="BA128" s="271"/>
      <c r="BB128" s="271"/>
      <c r="BC128" s="271"/>
      <c r="BD128" s="271"/>
      <c r="BE128" s="271"/>
      <c r="BF128" s="271"/>
      <c r="BG128" s="271"/>
      <c r="BH128" s="271"/>
      <c r="BI128" s="271"/>
      <c r="BJ128" s="271"/>
      <c r="BK128" s="271"/>
      <c r="BL128" s="271"/>
      <c r="BM128" s="271"/>
      <c r="BN128" s="271"/>
      <c r="BO128" s="271"/>
      <c r="BP128" s="271"/>
      <c r="BQ128" s="271"/>
      <c r="BR128" s="271"/>
      <c r="BS128" s="271"/>
      <c r="BT128" s="271"/>
      <c r="BU128" s="271"/>
      <c r="BV128" s="271"/>
      <c r="BW128" s="271"/>
      <c r="BX128" s="271"/>
      <c r="BY128" s="271"/>
      <c r="BZ128" s="271"/>
    </row>
    <row r="129" ht="13.8" spans="1:78">
      <c r="A129" s="271"/>
      <c r="B129" s="271"/>
      <c r="C129" s="271"/>
      <c r="D129" s="272"/>
      <c r="E129" s="272"/>
      <c r="F129" s="271"/>
      <c r="G129" s="272"/>
      <c r="H129" s="271"/>
      <c r="I129" s="271"/>
      <c r="J129" s="272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3"/>
      <c r="V129" s="271"/>
      <c r="W129" s="271"/>
      <c r="X129" s="274"/>
      <c r="Y129" s="274"/>
      <c r="Z129" s="271"/>
      <c r="AA129" s="271"/>
      <c r="AB129" s="271"/>
      <c r="AC129" s="271"/>
      <c r="AD129" s="271"/>
      <c r="AE129" s="271"/>
      <c r="AF129" s="271"/>
      <c r="AG129" s="271"/>
      <c r="AH129" s="271"/>
      <c r="AI129" s="271"/>
      <c r="AJ129" s="271"/>
      <c r="AK129" s="271"/>
      <c r="AL129" s="271"/>
      <c r="AM129" s="271"/>
      <c r="AN129" s="271"/>
      <c r="AO129" s="271"/>
      <c r="AP129" s="271"/>
      <c r="AQ129" s="271"/>
      <c r="AR129" s="271"/>
      <c r="AS129" s="271"/>
      <c r="AT129" s="271"/>
      <c r="AU129" s="271"/>
      <c r="AV129" s="271"/>
      <c r="AW129" s="271"/>
      <c r="AX129" s="271"/>
      <c r="AY129" s="271"/>
      <c r="AZ129" s="271"/>
      <c r="BA129" s="271"/>
      <c r="BB129" s="271"/>
      <c r="BC129" s="271"/>
      <c r="BD129" s="271"/>
      <c r="BE129" s="271"/>
      <c r="BF129" s="271"/>
      <c r="BG129" s="271"/>
      <c r="BH129" s="271"/>
      <c r="BI129" s="271"/>
      <c r="BJ129" s="271"/>
      <c r="BK129" s="271"/>
      <c r="BL129" s="271"/>
      <c r="BM129" s="271"/>
      <c r="BN129" s="271"/>
      <c r="BO129" s="271"/>
      <c r="BP129" s="271"/>
      <c r="BQ129" s="271"/>
      <c r="BR129" s="271"/>
      <c r="BS129" s="271"/>
      <c r="BT129" s="271"/>
      <c r="BU129" s="271"/>
      <c r="BV129" s="271"/>
      <c r="BW129" s="271"/>
      <c r="BX129" s="271"/>
      <c r="BY129" s="271"/>
      <c r="BZ129" s="271"/>
    </row>
    <row r="130" ht="13.8" spans="1:78">
      <c r="A130" s="271"/>
      <c r="B130" s="271"/>
      <c r="C130" s="271"/>
      <c r="D130" s="272"/>
      <c r="E130" s="272"/>
      <c r="F130" s="271"/>
      <c r="G130" s="272"/>
      <c r="H130" s="271"/>
      <c r="I130" s="271"/>
      <c r="J130" s="272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3"/>
      <c r="V130" s="271"/>
      <c r="W130" s="271"/>
      <c r="X130" s="274"/>
      <c r="Y130" s="274"/>
      <c r="Z130" s="271"/>
      <c r="AA130" s="271"/>
      <c r="AB130" s="271"/>
      <c r="AC130" s="271"/>
      <c r="AD130" s="271"/>
      <c r="AE130" s="271"/>
      <c r="AF130" s="271"/>
      <c r="AG130" s="271"/>
      <c r="AH130" s="271"/>
      <c r="AI130" s="271"/>
      <c r="AJ130" s="271"/>
      <c r="AK130" s="271"/>
      <c r="AL130" s="271"/>
      <c r="AM130" s="271"/>
      <c r="AN130" s="271"/>
      <c r="AO130" s="271"/>
      <c r="AP130" s="271"/>
      <c r="AQ130" s="271"/>
      <c r="AR130" s="271"/>
      <c r="AS130" s="271"/>
      <c r="AT130" s="271"/>
      <c r="AU130" s="271"/>
      <c r="AV130" s="271"/>
      <c r="AW130" s="271"/>
      <c r="AX130" s="271"/>
      <c r="AY130" s="271"/>
      <c r="AZ130" s="271"/>
      <c r="BA130" s="271"/>
      <c r="BB130" s="271"/>
      <c r="BC130" s="271"/>
      <c r="BD130" s="271"/>
      <c r="BE130" s="271"/>
      <c r="BF130" s="271"/>
      <c r="BG130" s="271"/>
      <c r="BH130" s="271"/>
      <c r="BI130" s="271"/>
      <c r="BJ130" s="271"/>
      <c r="BK130" s="271"/>
      <c r="BL130" s="271"/>
      <c r="BM130" s="271"/>
      <c r="BN130" s="271"/>
      <c r="BO130" s="271"/>
      <c r="BP130" s="271"/>
      <c r="BQ130" s="271"/>
      <c r="BR130" s="271"/>
      <c r="BS130" s="271"/>
      <c r="BT130" s="271"/>
      <c r="BU130" s="271"/>
      <c r="BV130" s="271"/>
      <c r="BW130" s="271"/>
      <c r="BX130" s="271"/>
      <c r="BY130" s="271"/>
      <c r="BZ130" s="271"/>
    </row>
    <row r="131" ht="13.8" spans="1:78">
      <c r="A131" s="271"/>
      <c r="B131" s="271"/>
      <c r="C131" s="271"/>
      <c r="D131" s="272"/>
      <c r="E131" s="272"/>
      <c r="F131" s="271"/>
      <c r="G131" s="272"/>
      <c r="H131" s="271"/>
      <c r="I131" s="271"/>
      <c r="J131" s="272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3"/>
      <c r="V131" s="271"/>
      <c r="W131" s="271"/>
      <c r="X131" s="274"/>
      <c r="Y131" s="274"/>
      <c r="Z131" s="271"/>
      <c r="AA131" s="271"/>
      <c r="AB131" s="271"/>
      <c r="AC131" s="271"/>
      <c r="AD131" s="271"/>
      <c r="AE131" s="271"/>
      <c r="AF131" s="271"/>
      <c r="AG131" s="271"/>
      <c r="AH131" s="271"/>
      <c r="AI131" s="271"/>
      <c r="AJ131" s="271"/>
      <c r="AK131" s="271"/>
      <c r="AL131" s="271"/>
      <c r="AM131" s="271"/>
      <c r="AN131" s="271"/>
      <c r="AO131" s="271"/>
      <c r="AP131" s="271"/>
      <c r="AQ131" s="271"/>
      <c r="AR131" s="271"/>
      <c r="AS131" s="271"/>
      <c r="AT131" s="271"/>
      <c r="AU131" s="271"/>
      <c r="AV131" s="271"/>
      <c r="AW131" s="271"/>
      <c r="AX131" s="271"/>
      <c r="AY131" s="271"/>
      <c r="AZ131" s="271"/>
      <c r="BA131" s="271"/>
      <c r="BB131" s="271"/>
      <c r="BC131" s="271"/>
      <c r="BD131" s="271"/>
      <c r="BE131" s="271"/>
      <c r="BF131" s="271"/>
      <c r="BG131" s="271"/>
      <c r="BH131" s="271"/>
      <c r="BI131" s="271"/>
      <c r="BJ131" s="271"/>
      <c r="BK131" s="271"/>
      <c r="BL131" s="271"/>
      <c r="BM131" s="271"/>
      <c r="BN131" s="271"/>
      <c r="BO131" s="271"/>
      <c r="BP131" s="271"/>
      <c r="BQ131" s="271"/>
      <c r="BR131" s="271"/>
      <c r="BS131" s="271"/>
      <c r="BT131" s="271"/>
      <c r="BU131" s="271"/>
      <c r="BV131" s="271"/>
      <c r="BW131" s="271"/>
      <c r="BX131" s="271"/>
      <c r="BY131" s="271"/>
      <c r="BZ131" s="271"/>
    </row>
    <row r="132" ht="13.8" spans="1:78">
      <c r="A132" s="271"/>
      <c r="B132" s="271"/>
      <c r="C132" s="271"/>
      <c r="D132" s="272"/>
      <c r="E132" s="272"/>
      <c r="F132" s="271"/>
      <c r="G132" s="272"/>
      <c r="H132" s="271"/>
      <c r="I132" s="271"/>
      <c r="J132" s="272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3"/>
      <c r="V132" s="271"/>
      <c r="W132" s="271"/>
      <c r="X132" s="274"/>
      <c r="Y132" s="274"/>
      <c r="Z132" s="271"/>
      <c r="AA132" s="271"/>
      <c r="AB132" s="271"/>
      <c r="AC132" s="271"/>
      <c r="AD132" s="271"/>
      <c r="AE132" s="271"/>
      <c r="AF132" s="271"/>
      <c r="AG132" s="271"/>
      <c r="AH132" s="271"/>
      <c r="AI132" s="271"/>
      <c r="AJ132" s="271"/>
      <c r="AK132" s="271"/>
      <c r="AL132" s="271"/>
      <c r="AM132" s="271"/>
      <c r="AN132" s="271"/>
      <c r="AO132" s="271"/>
      <c r="AP132" s="271"/>
      <c r="AQ132" s="271"/>
      <c r="AR132" s="271"/>
      <c r="AS132" s="271"/>
      <c r="AT132" s="271"/>
      <c r="AU132" s="271"/>
      <c r="AV132" s="271"/>
      <c r="AW132" s="271"/>
      <c r="AX132" s="271"/>
      <c r="AY132" s="271"/>
      <c r="AZ132" s="271"/>
      <c r="BA132" s="271"/>
      <c r="BB132" s="271"/>
      <c r="BC132" s="271"/>
      <c r="BD132" s="271"/>
      <c r="BE132" s="271"/>
      <c r="BF132" s="271"/>
      <c r="BG132" s="271"/>
      <c r="BH132" s="271"/>
      <c r="BI132" s="271"/>
      <c r="BJ132" s="271"/>
      <c r="BK132" s="271"/>
      <c r="BL132" s="271"/>
      <c r="BM132" s="271"/>
      <c r="BN132" s="271"/>
      <c r="BO132" s="271"/>
      <c r="BP132" s="271"/>
      <c r="BQ132" s="271"/>
      <c r="BR132" s="271"/>
      <c r="BS132" s="271"/>
      <c r="BT132" s="271"/>
      <c r="BU132" s="271"/>
      <c r="BV132" s="271"/>
      <c r="BW132" s="271"/>
      <c r="BX132" s="271"/>
      <c r="BY132" s="271"/>
      <c r="BZ132" s="271"/>
    </row>
    <row r="133" ht="13.8" spans="1:78">
      <c r="A133" s="271"/>
      <c r="B133" s="271"/>
      <c r="C133" s="271"/>
      <c r="D133" s="272"/>
      <c r="E133" s="272"/>
      <c r="F133" s="271"/>
      <c r="G133" s="272"/>
      <c r="H133" s="271"/>
      <c r="I133" s="271"/>
      <c r="J133" s="272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3"/>
      <c r="V133" s="271"/>
      <c r="W133" s="271"/>
      <c r="X133" s="274"/>
      <c r="Y133" s="274"/>
      <c r="Z133" s="271"/>
      <c r="AA133" s="271"/>
      <c r="AB133" s="271"/>
      <c r="AC133" s="271"/>
      <c r="AD133" s="271"/>
      <c r="AE133" s="271"/>
      <c r="AF133" s="271"/>
      <c r="AG133" s="271"/>
      <c r="AH133" s="271"/>
      <c r="AI133" s="271"/>
      <c r="AJ133" s="271"/>
      <c r="AK133" s="271"/>
      <c r="AL133" s="271"/>
      <c r="AM133" s="271"/>
      <c r="AN133" s="271"/>
      <c r="AO133" s="271"/>
      <c r="AP133" s="271"/>
      <c r="AQ133" s="271"/>
      <c r="AR133" s="271"/>
      <c r="AS133" s="271"/>
      <c r="AT133" s="271"/>
      <c r="AU133" s="271"/>
      <c r="AV133" s="271"/>
      <c r="AW133" s="271"/>
      <c r="AX133" s="271"/>
      <c r="AY133" s="271"/>
      <c r="AZ133" s="271"/>
      <c r="BA133" s="271"/>
      <c r="BB133" s="271"/>
      <c r="BC133" s="271"/>
      <c r="BD133" s="271"/>
      <c r="BE133" s="271"/>
      <c r="BF133" s="271"/>
      <c r="BG133" s="271"/>
      <c r="BH133" s="271"/>
      <c r="BI133" s="271"/>
      <c r="BJ133" s="271"/>
      <c r="BK133" s="271"/>
      <c r="BL133" s="271"/>
      <c r="BM133" s="271"/>
      <c r="BN133" s="271"/>
      <c r="BO133" s="271"/>
      <c r="BP133" s="271"/>
      <c r="BQ133" s="271"/>
      <c r="BR133" s="271"/>
      <c r="BS133" s="271"/>
      <c r="BT133" s="271"/>
      <c r="BU133" s="271"/>
      <c r="BV133" s="271"/>
      <c r="BW133" s="271"/>
      <c r="BX133" s="271"/>
      <c r="BY133" s="271"/>
      <c r="BZ133" s="271"/>
    </row>
    <row r="134" ht="13.8" spans="1:78">
      <c r="A134" s="271"/>
      <c r="B134" s="271"/>
      <c r="C134" s="271"/>
      <c r="D134" s="272"/>
      <c r="E134" s="272"/>
      <c r="F134" s="271"/>
      <c r="G134" s="272"/>
      <c r="H134" s="271"/>
      <c r="I134" s="271"/>
      <c r="J134" s="272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3"/>
      <c r="V134" s="271"/>
      <c r="W134" s="271"/>
      <c r="X134" s="274"/>
      <c r="Y134" s="274"/>
      <c r="Z134" s="271"/>
      <c r="AA134" s="271"/>
      <c r="AB134" s="271"/>
      <c r="AC134" s="271"/>
      <c r="AD134" s="271"/>
      <c r="AE134" s="271"/>
      <c r="AF134" s="271"/>
      <c r="AG134" s="271"/>
      <c r="AH134" s="271"/>
      <c r="AI134" s="271"/>
      <c r="AJ134" s="271"/>
      <c r="AK134" s="271"/>
      <c r="AL134" s="271"/>
      <c r="AM134" s="271"/>
      <c r="AN134" s="271"/>
      <c r="AO134" s="271"/>
      <c r="AP134" s="271"/>
      <c r="AQ134" s="271"/>
      <c r="AR134" s="271"/>
      <c r="AS134" s="271"/>
      <c r="AT134" s="271"/>
      <c r="AU134" s="271"/>
      <c r="AV134" s="271"/>
      <c r="AW134" s="271"/>
      <c r="AX134" s="271"/>
      <c r="AY134" s="271"/>
      <c r="AZ134" s="271"/>
      <c r="BA134" s="271"/>
      <c r="BB134" s="271"/>
      <c r="BC134" s="271"/>
      <c r="BD134" s="271"/>
      <c r="BE134" s="271"/>
      <c r="BF134" s="271"/>
      <c r="BG134" s="271"/>
      <c r="BH134" s="271"/>
      <c r="BI134" s="271"/>
      <c r="BJ134" s="271"/>
      <c r="BK134" s="271"/>
      <c r="BL134" s="271"/>
      <c r="BM134" s="271"/>
      <c r="BN134" s="271"/>
      <c r="BO134" s="271"/>
      <c r="BP134" s="271"/>
      <c r="BQ134" s="271"/>
      <c r="BR134" s="271"/>
      <c r="BS134" s="271"/>
      <c r="BT134" s="271"/>
      <c r="BU134" s="271"/>
      <c r="BV134" s="271"/>
      <c r="BW134" s="271"/>
      <c r="BX134" s="271"/>
      <c r="BY134" s="271"/>
      <c r="BZ134" s="271"/>
    </row>
    <row r="135" ht="13.8" spans="1:78">
      <c r="A135" s="271"/>
      <c r="B135" s="271"/>
      <c r="C135" s="271"/>
      <c r="D135" s="272"/>
      <c r="E135" s="272"/>
      <c r="F135" s="271"/>
      <c r="G135" s="272"/>
      <c r="H135" s="271"/>
      <c r="I135" s="271"/>
      <c r="J135" s="272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3"/>
      <c r="V135" s="271"/>
      <c r="W135" s="271"/>
      <c r="X135" s="274"/>
      <c r="Y135" s="274"/>
      <c r="Z135" s="271"/>
      <c r="AA135" s="271"/>
      <c r="AB135" s="271"/>
      <c r="AC135" s="271"/>
      <c r="AD135" s="271"/>
      <c r="AE135" s="271"/>
      <c r="AF135" s="271"/>
      <c r="AG135" s="271"/>
      <c r="AH135" s="271"/>
      <c r="AI135" s="271"/>
      <c r="AJ135" s="271"/>
      <c r="AK135" s="271"/>
      <c r="AL135" s="271"/>
      <c r="AM135" s="271"/>
      <c r="AN135" s="271"/>
      <c r="AO135" s="271"/>
      <c r="AP135" s="271"/>
      <c r="AQ135" s="271"/>
      <c r="AR135" s="271"/>
      <c r="AS135" s="271"/>
      <c r="AT135" s="271"/>
      <c r="AU135" s="271"/>
      <c r="AV135" s="271"/>
      <c r="AW135" s="271"/>
      <c r="AX135" s="271"/>
      <c r="AY135" s="271"/>
      <c r="AZ135" s="271"/>
      <c r="BA135" s="271"/>
      <c r="BB135" s="271"/>
      <c r="BC135" s="271"/>
      <c r="BD135" s="271"/>
      <c r="BE135" s="271"/>
      <c r="BF135" s="271"/>
      <c r="BG135" s="271"/>
      <c r="BH135" s="271"/>
      <c r="BI135" s="271"/>
      <c r="BJ135" s="271"/>
      <c r="BK135" s="271"/>
      <c r="BL135" s="271"/>
      <c r="BM135" s="271"/>
      <c r="BN135" s="271"/>
      <c r="BO135" s="271"/>
      <c r="BP135" s="271"/>
      <c r="BQ135" s="271"/>
      <c r="BR135" s="271"/>
      <c r="BS135" s="271"/>
      <c r="BT135" s="271"/>
      <c r="BU135" s="271"/>
      <c r="BV135" s="271"/>
      <c r="BW135" s="271"/>
      <c r="BX135" s="271"/>
      <c r="BY135" s="271"/>
      <c r="BZ135" s="271"/>
    </row>
    <row r="136" ht="13.8" spans="1:78">
      <c r="A136" s="271"/>
      <c r="B136" s="271"/>
      <c r="C136" s="271"/>
      <c r="D136" s="272"/>
      <c r="E136" s="272"/>
      <c r="F136" s="271"/>
      <c r="G136" s="272"/>
      <c r="H136" s="271"/>
      <c r="I136" s="271"/>
      <c r="J136" s="272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3"/>
      <c r="V136" s="271"/>
      <c r="W136" s="271"/>
      <c r="X136" s="274"/>
      <c r="Y136" s="274"/>
      <c r="Z136" s="271"/>
      <c r="AA136" s="271"/>
      <c r="AB136" s="271"/>
      <c r="AC136" s="271"/>
      <c r="AD136" s="271"/>
      <c r="AE136" s="271"/>
      <c r="AF136" s="271"/>
      <c r="AG136" s="271"/>
      <c r="AH136" s="271"/>
      <c r="AI136" s="271"/>
      <c r="AJ136" s="271"/>
      <c r="AK136" s="271"/>
      <c r="AL136" s="271"/>
      <c r="AM136" s="271"/>
      <c r="AN136" s="271"/>
      <c r="AO136" s="271"/>
      <c r="AP136" s="271"/>
      <c r="AQ136" s="271"/>
      <c r="AR136" s="271"/>
      <c r="AS136" s="271"/>
      <c r="AT136" s="271"/>
      <c r="AU136" s="271"/>
      <c r="AV136" s="271"/>
      <c r="AW136" s="271"/>
      <c r="AX136" s="271"/>
      <c r="AY136" s="271"/>
      <c r="AZ136" s="271"/>
      <c r="BA136" s="271"/>
      <c r="BB136" s="271"/>
      <c r="BC136" s="271"/>
      <c r="BD136" s="271"/>
      <c r="BE136" s="271"/>
      <c r="BF136" s="271"/>
      <c r="BG136" s="271"/>
      <c r="BH136" s="271"/>
      <c r="BI136" s="271"/>
      <c r="BJ136" s="271"/>
      <c r="BK136" s="271"/>
      <c r="BL136" s="271"/>
      <c r="BM136" s="271"/>
      <c r="BN136" s="271"/>
      <c r="BO136" s="271"/>
      <c r="BP136" s="271"/>
      <c r="BQ136" s="271"/>
      <c r="BR136" s="271"/>
      <c r="BS136" s="271"/>
      <c r="BT136" s="271"/>
      <c r="BU136" s="271"/>
      <c r="BV136" s="271"/>
      <c r="BW136" s="271"/>
      <c r="BX136" s="271"/>
      <c r="BY136" s="271"/>
      <c r="BZ136" s="271"/>
    </row>
    <row r="137" ht="13.8" spans="1:78">
      <c r="A137" s="271"/>
      <c r="B137" s="271"/>
      <c r="C137" s="271"/>
      <c r="D137" s="272"/>
      <c r="E137" s="272"/>
      <c r="F137" s="271"/>
      <c r="G137" s="272"/>
      <c r="H137" s="271"/>
      <c r="I137" s="271"/>
      <c r="J137" s="272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3"/>
      <c r="V137" s="271"/>
      <c r="W137" s="271"/>
      <c r="X137" s="274"/>
      <c r="Y137" s="274"/>
      <c r="Z137" s="271"/>
      <c r="AA137" s="271"/>
      <c r="AB137" s="271"/>
      <c r="AC137" s="271"/>
      <c r="AD137" s="271"/>
      <c r="AE137" s="271"/>
      <c r="AF137" s="271"/>
      <c r="AG137" s="271"/>
      <c r="AH137" s="271"/>
      <c r="AI137" s="271"/>
      <c r="AJ137" s="271"/>
      <c r="AK137" s="271"/>
      <c r="AL137" s="271"/>
      <c r="AM137" s="271"/>
      <c r="AN137" s="271"/>
      <c r="AO137" s="271"/>
      <c r="AP137" s="271"/>
      <c r="AQ137" s="271"/>
      <c r="AR137" s="271"/>
      <c r="AS137" s="271"/>
      <c r="AT137" s="271"/>
      <c r="AU137" s="271"/>
      <c r="AV137" s="271"/>
      <c r="AW137" s="271"/>
      <c r="AX137" s="271"/>
      <c r="AY137" s="271"/>
      <c r="AZ137" s="271"/>
      <c r="BA137" s="271"/>
      <c r="BB137" s="271"/>
      <c r="BC137" s="271"/>
      <c r="BD137" s="271"/>
      <c r="BE137" s="271"/>
      <c r="BF137" s="271"/>
      <c r="BG137" s="271"/>
      <c r="BH137" s="271"/>
      <c r="BI137" s="271"/>
      <c r="BJ137" s="271"/>
      <c r="BK137" s="271"/>
      <c r="BL137" s="271"/>
      <c r="BM137" s="271"/>
      <c r="BN137" s="271"/>
      <c r="BO137" s="271"/>
      <c r="BP137" s="271"/>
      <c r="BQ137" s="271"/>
      <c r="BR137" s="271"/>
      <c r="BS137" s="271"/>
      <c r="BT137" s="271"/>
      <c r="BU137" s="271"/>
      <c r="BV137" s="271"/>
      <c r="BW137" s="271"/>
      <c r="BX137" s="271"/>
      <c r="BY137" s="271"/>
      <c r="BZ137" s="271"/>
    </row>
    <row r="138" ht="13.8" spans="1:78">
      <c r="A138" s="271"/>
      <c r="B138" s="271"/>
      <c r="C138" s="271"/>
      <c r="D138" s="272"/>
      <c r="E138" s="272"/>
      <c r="F138" s="271"/>
      <c r="G138" s="272"/>
      <c r="H138" s="271"/>
      <c r="I138" s="271"/>
      <c r="J138" s="272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3"/>
      <c r="V138" s="271"/>
      <c r="W138" s="271"/>
      <c r="X138" s="274"/>
      <c r="Y138" s="274"/>
      <c r="Z138" s="271"/>
      <c r="AA138" s="271"/>
      <c r="AB138" s="271"/>
      <c r="AC138" s="271"/>
      <c r="AD138" s="271"/>
      <c r="AE138" s="271"/>
      <c r="AF138" s="271"/>
      <c r="AG138" s="271"/>
      <c r="AH138" s="271"/>
      <c r="AI138" s="271"/>
      <c r="AJ138" s="271"/>
      <c r="AK138" s="271"/>
      <c r="AL138" s="271"/>
      <c r="AM138" s="271"/>
      <c r="AN138" s="271"/>
      <c r="AO138" s="271"/>
      <c r="AP138" s="271"/>
      <c r="AQ138" s="271"/>
      <c r="AR138" s="271"/>
      <c r="AS138" s="271"/>
      <c r="AT138" s="271"/>
      <c r="AU138" s="271"/>
      <c r="AV138" s="271"/>
      <c r="AW138" s="271"/>
      <c r="AX138" s="271"/>
      <c r="AY138" s="271"/>
      <c r="AZ138" s="271"/>
      <c r="BA138" s="271"/>
      <c r="BB138" s="271"/>
      <c r="BC138" s="271"/>
      <c r="BD138" s="271"/>
      <c r="BE138" s="271"/>
      <c r="BF138" s="271"/>
      <c r="BG138" s="271"/>
      <c r="BH138" s="271"/>
      <c r="BI138" s="271"/>
      <c r="BJ138" s="271"/>
      <c r="BK138" s="271"/>
      <c r="BL138" s="271"/>
      <c r="BM138" s="271"/>
      <c r="BN138" s="271"/>
      <c r="BO138" s="271"/>
      <c r="BP138" s="271"/>
      <c r="BQ138" s="271"/>
      <c r="BR138" s="271"/>
      <c r="BS138" s="271"/>
      <c r="BT138" s="271"/>
      <c r="BU138" s="271"/>
      <c r="BV138" s="271"/>
      <c r="BW138" s="271"/>
      <c r="BX138" s="271"/>
      <c r="BY138" s="271"/>
      <c r="BZ138" s="271"/>
    </row>
    <row r="139" ht="13.8" spans="1:78">
      <c r="A139" s="271"/>
      <c r="B139" s="271"/>
      <c r="C139" s="271"/>
      <c r="D139" s="272"/>
      <c r="E139" s="272"/>
      <c r="F139" s="271"/>
      <c r="G139" s="272"/>
      <c r="H139" s="271"/>
      <c r="I139" s="271"/>
      <c r="J139" s="272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3"/>
      <c r="V139" s="271"/>
      <c r="W139" s="271"/>
      <c r="X139" s="274"/>
      <c r="Y139" s="274"/>
      <c r="Z139" s="271"/>
      <c r="AA139" s="271"/>
      <c r="AB139" s="271"/>
      <c r="AC139" s="271"/>
      <c r="AD139" s="271"/>
      <c r="AE139" s="271"/>
      <c r="AF139" s="271"/>
      <c r="AG139" s="271"/>
      <c r="AH139" s="271"/>
      <c r="AI139" s="271"/>
      <c r="AJ139" s="271"/>
      <c r="AK139" s="271"/>
      <c r="AL139" s="271"/>
      <c r="AM139" s="271"/>
      <c r="AN139" s="271"/>
      <c r="AO139" s="271"/>
      <c r="AP139" s="271"/>
      <c r="AQ139" s="271"/>
      <c r="AR139" s="271"/>
      <c r="AS139" s="271"/>
      <c r="AT139" s="271"/>
      <c r="AU139" s="271"/>
      <c r="AV139" s="271"/>
      <c r="AW139" s="271"/>
      <c r="AX139" s="271"/>
      <c r="AY139" s="271"/>
      <c r="AZ139" s="271"/>
      <c r="BA139" s="271"/>
      <c r="BB139" s="271"/>
      <c r="BC139" s="271"/>
      <c r="BD139" s="271"/>
      <c r="BE139" s="271"/>
      <c r="BF139" s="271"/>
      <c r="BG139" s="271"/>
      <c r="BH139" s="271"/>
      <c r="BI139" s="271"/>
      <c r="BJ139" s="271"/>
      <c r="BK139" s="271"/>
      <c r="BL139" s="271"/>
      <c r="BM139" s="271"/>
      <c r="BN139" s="271"/>
      <c r="BO139" s="271"/>
      <c r="BP139" s="271"/>
      <c r="BQ139" s="271"/>
      <c r="BR139" s="271"/>
      <c r="BS139" s="271"/>
      <c r="BT139" s="271"/>
      <c r="BU139" s="271"/>
      <c r="BV139" s="271"/>
      <c r="BW139" s="271"/>
      <c r="BX139" s="271"/>
      <c r="BY139" s="271"/>
      <c r="BZ139" s="271"/>
    </row>
    <row r="140" ht="13.8" spans="1:78">
      <c r="A140" s="271"/>
      <c r="B140" s="271"/>
      <c r="C140" s="271"/>
      <c r="D140" s="272"/>
      <c r="E140" s="272"/>
      <c r="F140" s="271"/>
      <c r="G140" s="272"/>
      <c r="H140" s="271"/>
      <c r="I140" s="271"/>
      <c r="J140" s="272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3"/>
      <c r="V140" s="271"/>
      <c r="W140" s="271"/>
      <c r="X140" s="274"/>
      <c r="Y140" s="274"/>
      <c r="Z140" s="271"/>
      <c r="AA140" s="271"/>
      <c r="AB140" s="271"/>
      <c r="AC140" s="271"/>
      <c r="AD140" s="271"/>
      <c r="AE140" s="271"/>
      <c r="AF140" s="271"/>
      <c r="AG140" s="271"/>
      <c r="AH140" s="271"/>
      <c r="AI140" s="271"/>
      <c r="AJ140" s="271"/>
      <c r="AK140" s="271"/>
      <c r="AL140" s="271"/>
      <c r="AM140" s="271"/>
      <c r="AN140" s="271"/>
      <c r="AO140" s="271"/>
      <c r="AP140" s="271"/>
      <c r="AQ140" s="271"/>
      <c r="AR140" s="271"/>
      <c r="AS140" s="271"/>
      <c r="AT140" s="271"/>
      <c r="AU140" s="271"/>
      <c r="AV140" s="271"/>
      <c r="AW140" s="271"/>
      <c r="AX140" s="271"/>
      <c r="AY140" s="271"/>
      <c r="AZ140" s="271"/>
      <c r="BA140" s="271"/>
      <c r="BB140" s="271"/>
      <c r="BC140" s="271"/>
      <c r="BD140" s="271"/>
      <c r="BE140" s="271"/>
      <c r="BF140" s="271"/>
      <c r="BG140" s="271"/>
      <c r="BH140" s="271"/>
      <c r="BI140" s="271"/>
      <c r="BJ140" s="271"/>
      <c r="BK140" s="271"/>
      <c r="BL140" s="271"/>
      <c r="BM140" s="271"/>
      <c r="BN140" s="271"/>
      <c r="BO140" s="271"/>
      <c r="BP140" s="271"/>
      <c r="BQ140" s="271"/>
      <c r="BR140" s="271"/>
      <c r="BS140" s="271"/>
      <c r="BT140" s="271"/>
      <c r="BU140" s="271"/>
      <c r="BV140" s="271"/>
      <c r="BW140" s="271"/>
      <c r="BX140" s="271"/>
      <c r="BY140" s="271"/>
      <c r="BZ140" s="271"/>
    </row>
    <row r="141" ht="13.8" spans="1:78">
      <c r="A141" s="271"/>
      <c r="B141" s="271"/>
      <c r="C141" s="271"/>
      <c r="D141" s="272"/>
      <c r="E141" s="272"/>
      <c r="F141" s="271"/>
      <c r="G141" s="272"/>
      <c r="H141" s="271"/>
      <c r="I141" s="271"/>
      <c r="J141" s="272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3"/>
      <c r="V141" s="271"/>
      <c r="W141" s="271"/>
      <c r="X141" s="274"/>
      <c r="Y141" s="274"/>
      <c r="Z141" s="271"/>
      <c r="AA141" s="271"/>
      <c r="AB141" s="271"/>
      <c r="AC141" s="271"/>
      <c r="AD141" s="271"/>
      <c r="AE141" s="271"/>
      <c r="AF141" s="271"/>
      <c r="AG141" s="271"/>
      <c r="AH141" s="271"/>
      <c r="AI141" s="271"/>
      <c r="AJ141" s="271"/>
      <c r="AK141" s="271"/>
      <c r="AL141" s="271"/>
      <c r="AM141" s="271"/>
      <c r="AN141" s="271"/>
      <c r="AO141" s="271"/>
      <c r="AP141" s="271"/>
      <c r="AQ141" s="271"/>
      <c r="AR141" s="271"/>
      <c r="AS141" s="271"/>
      <c r="AT141" s="271"/>
      <c r="AU141" s="271"/>
      <c r="AV141" s="271"/>
      <c r="AW141" s="271"/>
      <c r="AX141" s="271"/>
      <c r="AY141" s="271"/>
      <c r="AZ141" s="271"/>
      <c r="BA141" s="271"/>
      <c r="BB141" s="271"/>
      <c r="BC141" s="271"/>
      <c r="BD141" s="271"/>
      <c r="BE141" s="271"/>
      <c r="BF141" s="271"/>
      <c r="BG141" s="271"/>
      <c r="BH141" s="271"/>
      <c r="BI141" s="271"/>
      <c r="BJ141" s="271"/>
      <c r="BK141" s="271"/>
      <c r="BL141" s="271"/>
      <c r="BM141" s="271"/>
      <c r="BN141" s="271"/>
      <c r="BO141" s="271"/>
      <c r="BP141" s="271"/>
      <c r="BQ141" s="271"/>
      <c r="BR141" s="271"/>
      <c r="BS141" s="271"/>
      <c r="BT141" s="271"/>
      <c r="BU141" s="271"/>
      <c r="BV141" s="271"/>
      <c r="BW141" s="271"/>
      <c r="BX141" s="271"/>
      <c r="BY141" s="271"/>
      <c r="BZ141" s="271"/>
    </row>
    <row r="142" ht="13.8" spans="1:78">
      <c r="A142" s="271"/>
      <c r="B142" s="271"/>
      <c r="C142" s="271"/>
      <c r="D142" s="272"/>
      <c r="E142" s="272"/>
      <c r="F142" s="271"/>
      <c r="G142" s="272"/>
      <c r="H142" s="271"/>
      <c r="I142" s="271"/>
      <c r="J142" s="272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3"/>
      <c r="V142" s="271"/>
      <c r="W142" s="271"/>
      <c r="X142" s="274"/>
      <c r="Y142" s="274"/>
      <c r="Z142" s="271"/>
      <c r="AA142" s="271"/>
      <c r="AB142" s="271"/>
      <c r="AC142" s="271"/>
      <c r="AD142" s="271"/>
      <c r="AE142" s="271"/>
      <c r="AF142" s="271"/>
      <c r="AG142" s="271"/>
      <c r="AH142" s="271"/>
      <c r="AI142" s="271"/>
      <c r="AJ142" s="271"/>
      <c r="AK142" s="271"/>
      <c r="AL142" s="271"/>
      <c r="AM142" s="271"/>
      <c r="AN142" s="271"/>
      <c r="AO142" s="271"/>
      <c r="AP142" s="271"/>
      <c r="AQ142" s="271"/>
      <c r="AR142" s="271"/>
      <c r="AS142" s="271"/>
      <c r="AT142" s="271"/>
      <c r="AU142" s="271"/>
      <c r="AV142" s="271"/>
      <c r="AW142" s="271"/>
      <c r="AX142" s="271"/>
      <c r="AY142" s="271"/>
      <c r="AZ142" s="271"/>
      <c r="BA142" s="271"/>
      <c r="BB142" s="271"/>
      <c r="BC142" s="271"/>
      <c r="BD142" s="271"/>
      <c r="BE142" s="271"/>
      <c r="BF142" s="271"/>
      <c r="BG142" s="271"/>
      <c r="BH142" s="271"/>
      <c r="BI142" s="271"/>
      <c r="BJ142" s="271"/>
      <c r="BK142" s="271"/>
      <c r="BL142" s="271"/>
      <c r="BM142" s="271"/>
      <c r="BN142" s="271"/>
      <c r="BO142" s="271"/>
      <c r="BP142" s="271"/>
      <c r="BQ142" s="271"/>
      <c r="BR142" s="271"/>
      <c r="BS142" s="271"/>
      <c r="BT142" s="271"/>
      <c r="BU142" s="271"/>
      <c r="BV142" s="271"/>
      <c r="BW142" s="271"/>
      <c r="BX142" s="271"/>
      <c r="BY142" s="271"/>
      <c r="BZ142" s="271"/>
    </row>
    <row r="143" ht="13.8" spans="1:78">
      <c r="A143" s="271"/>
      <c r="B143" s="271"/>
      <c r="C143" s="271"/>
      <c r="D143" s="272"/>
      <c r="E143" s="272"/>
      <c r="F143" s="271"/>
      <c r="G143" s="272"/>
      <c r="H143" s="271"/>
      <c r="I143" s="271"/>
      <c r="J143" s="272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3"/>
      <c r="V143" s="271"/>
      <c r="W143" s="271"/>
      <c r="X143" s="274"/>
      <c r="Y143" s="274"/>
      <c r="Z143" s="271"/>
      <c r="AA143" s="271"/>
      <c r="AB143" s="271"/>
      <c r="AC143" s="271"/>
      <c r="AD143" s="271"/>
      <c r="AE143" s="271"/>
      <c r="AF143" s="271"/>
      <c r="AG143" s="271"/>
      <c r="AH143" s="271"/>
      <c r="AI143" s="271"/>
      <c r="AJ143" s="271"/>
      <c r="AK143" s="271"/>
      <c r="AL143" s="271"/>
      <c r="AM143" s="271"/>
      <c r="AN143" s="271"/>
      <c r="AO143" s="271"/>
      <c r="AP143" s="271"/>
      <c r="AQ143" s="271"/>
      <c r="AR143" s="271"/>
      <c r="AS143" s="271"/>
      <c r="AT143" s="271"/>
      <c r="AU143" s="271"/>
      <c r="AV143" s="271"/>
      <c r="AW143" s="271"/>
      <c r="AX143" s="271"/>
      <c r="AY143" s="271"/>
      <c r="AZ143" s="271"/>
      <c r="BA143" s="271"/>
      <c r="BB143" s="271"/>
      <c r="BC143" s="271"/>
      <c r="BD143" s="271"/>
      <c r="BE143" s="271"/>
      <c r="BF143" s="271"/>
      <c r="BG143" s="271"/>
      <c r="BH143" s="271"/>
      <c r="BI143" s="271"/>
      <c r="BJ143" s="271"/>
      <c r="BK143" s="271"/>
      <c r="BL143" s="271"/>
      <c r="BM143" s="271"/>
      <c r="BN143" s="271"/>
      <c r="BO143" s="271"/>
      <c r="BP143" s="271"/>
      <c r="BQ143" s="271"/>
      <c r="BR143" s="271"/>
      <c r="BS143" s="271"/>
      <c r="BT143" s="271"/>
      <c r="BU143" s="271"/>
      <c r="BV143" s="271"/>
      <c r="BW143" s="271"/>
      <c r="BX143" s="271"/>
      <c r="BY143" s="271"/>
      <c r="BZ143" s="271"/>
    </row>
    <row r="144" ht="13.8" spans="1:78">
      <c r="A144" s="271"/>
      <c r="B144" s="271"/>
      <c r="C144" s="271"/>
      <c r="D144" s="272"/>
      <c r="E144" s="272"/>
      <c r="F144" s="271"/>
      <c r="G144" s="272"/>
      <c r="H144" s="271"/>
      <c r="I144" s="271"/>
      <c r="J144" s="272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3"/>
      <c r="V144" s="271"/>
      <c r="W144" s="271"/>
      <c r="X144" s="274"/>
      <c r="Y144" s="274"/>
      <c r="Z144" s="271"/>
      <c r="AA144" s="271"/>
      <c r="AB144" s="271"/>
      <c r="AC144" s="271"/>
      <c r="AD144" s="271"/>
      <c r="AE144" s="271"/>
      <c r="AF144" s="271"/>
      <c r="AG144" s="271"/>
      <c r="AH144" s="271"/>
      <c r="AI144" s="271"/>
      <c r="AJ144" s="271"/>
      <c r="AK144" s="271"/>
      <c r="AL144" s="271"/>
      <c r="AM144" s="271"/>
      <c r="AN144" s="271"/>
      <c r="AO144" s="271"/>
      <c r="AP144" s="271"/>
      <c r="AQ144" s="271"/>
      <c r="AR144" s="271"/>
      <c r="AS144" s="271"/>
      <c r="AT144" s="271"/>
      <c r="AU144" s="271"/>
      <c r="AV144" s="271"/>
      <c r="AW144" s="271"/>
      <c r="AX144" s="271"/>
      <c r="AY144" s="271"/>
      <c r="AZ144" s="271"/>
      <c r="BA144" s="271"/>
      <c r="BB144" s="271"/>
      <c r="BC144" s="271"/>
      <c r="BD144" s="271"/>
      <c r="BE144" s="271"/>
      <c r="BF144" s="271"/>
      <c r="BG144" s="271"/>
      <c r="BH144" s="271"/>
      <c r="BI144" s="271"/>
      <c r="BJ144" s="271"/>
      <c r="BK144" s="271"/>
      <c r="BL144" s="271"/>
      <c r="BM144" s="271"/>
      <c r="BN144" s="271"/>
      <c r="BO144" s="271"/>
      <c r="BP144" s="271"/>
      <c r="BQ144" s="271"/>
      <c r="BR144" s="271"/>
      <c r="BS144" s="271"/>
      <c r="BT144" s="271"/>
      <c r="BU144" s="271"/>
      <c r="BV144" s="271"/>
      <c r="BW144" s="271"/>
      <c r="BX144" s="271"/>
      <c r="BY144" s="271"/>
      <c r="BZ144" s="271"/>
    </row>
    <row r="145" ht="13.8" spans="1:78">
      <c r="A145" s="271"/>
      <c r="B145" s="271"/>
      <c r="C145" s="271"/>
      <c r="D145" s="272"/>
      <c r="E145" s="272"/>
      <c r="F145" s="271"/>
      <c r="G145" s="272"/>
      <c r="H145" s="271"/>
      <c r="I145" s="271"/>
      <c r="J145" s="272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3"/>
      <c r="V145" s="271"/>
      <c r="W145" s="271"/>
      <c r="X145" s="274"/>
      <c r="Y145" s="274"/>
      <c r="Z145" s="271"/>
      <c r="AA145" s="271"/>
      <c r="AB145" s="271"/>
      <c r="AC145" s="271"/>
      <c r="AD145" s="271"/>
      <c r="AE145" s="271"/>
      <c r="AF145" s="271"/>
      <c r="AG145" s="271"/>
      <c r="AH145" s="271"/>
      <c r="AI145" s="271"/>
      <c r="AJ145" s="271"/>
      <c r="AK145" s="271"/>
      <c r="AL145" s="271"/>
      <c r="AM145" s="271"/>
      <c r="AN145" s="271"/>
      <c r="AO145" s="271"/>
      <c r="AP145" s="271"/>
      <c r="AQ145" s="271"/>
      <c r="AR145" s="271"/>
      <c r="AS145" s="271"/>
      <c r="AT145" s="271"/>
      <c r="AU145" s="271"/>
      <c r="AV145" s="271"/>
      <c r="AW145" s="271"/>
      <c r="AX145" s="271"/>
      <c r="AY145" s="271"/>
      <c r="AZ145" s="271"/>
      <c r="BA145" s="271"/>
      <c r="BB145" s="271"/>
      <c r="BC145" s="271"/>
      <c r="BD145" s="271"/>
      <c r="BE145" s="271"/>
      <c r="BF145" s="271"/>
      <c r="BG145" s="271"/>
      <c r="BH145" s="271"/>
      <c r="BI145" s="271"/>
      <c r="BJ145" s="271"/>
      <c r="BK145" s="271"/>
      <c r="BL145" s="271"/>
      <c r="BM145" s="271"/>
      <c r="BN145" s="271"/>
      <c r="BO145" s="271"/>
      <c r="BP145" s="271"/>
      <c r="BQ145" s="271"/>
      <c r="BR145" s="271"/>
      <c r="BS145" s="271"/>
      <c r="BT145" s="271"/>
      <c r="BU145" s="271"/>
      <c r="BV145" s="271"/>
      <c r="BW145" s="271"/>
      <c r="BX145" s="271"/>
      <c r="BY145" s="271"/>
      <c r="BZ145" s="271"/>
    </row>
    <row r="146" ht="13.8" spans="1:78">
      <c r="A146" s="271"/>
      <c r="B146" s="271"/>
      <c r="C146" s="271"/>
      <c r="D146" s="272"/>
      <c r="E146" s="272"/>
      <c r="F146" s="271"/>
      <c r="G146" s="272"/>
      <c r="H146" s="271"/>
      <c r="I146" s="271"/>
      <c r="J146" s="272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3"/>
      <c r="V146" s="271"/>
      <c r="W146" s="271"/>
      <c r="X146" s="274"/>
      <c r="Y146" s="274"/>
      <c r="Z146" s="271"/>
      <c r="AA146" s="271"/>
      <c r="AB146" s="271"/>
      <c r="AC146" s="271"/>
      <c r="AD146" s="271"/>
      <c r="AE146" s="271"/>
      <c r="AF146" s="271"/>
      <c r="AG146" s="271"/>
      <c r="AH146" s="271"/>
      <c r="AI146" s="271"/>
      <c r="AJ146" s="271"/>
      <c r="AK146" s="271"/>
      <c r="AL146" s="271"/>
      <c r="AM146" s="271"/>
      <c r="AN146" s="271"/>
      <c r="AO146" s="271"/>
      <c r="AP146" s="271"/>
      <c r="AQ146" s="271"/>
      <c r="AR146" s="271"/>
      <c r="AS146" s="271"/>
      <c r="AT146" s="271"/>
      <c r="AU146" s="271"/>
      <c r="AV146" s="271"/>
      <c r="AW146" s="271"/>
      <c r="AX146" s="271"/>
      <c r="AY146" s="271"/>
      <c r="AZ146" s="271"/>
      <c r="BA146" s="271"/>
      <c r="BB146" s="271"/>
      <c r="BC146" s="271"/>
      <c r="BD146" s="271"/>
      <c r="BE146" s="271"/>
      <c r="BF146" s="271"/>
      <c r="BG146" s="271"/>
      <c r="BH146" s="271"/>
      <c r="BI146" s="271"/>
      <c r="BJ146" s="271"/>
      <c r="BK146" s="271"/>
      <c r="BL146" s="271"/>
      <c r="BM146" s="271"/>
      <c r="BN146" s="271"/>
      <c r="BO146" s="271"/>
      <c r="BP146" s="271"/>
      <c r="BQ146" s="271"/>
      <c r="BR146" s="271"/>
      <c r="BS146" s="271"/>
      <c r="BT146" s="271"/>
      <c r="BU146" s="271"/>
      <c r="BV146" s="271"/>
      <c r="BW146" s="271"/>
      <c r="BX146" s="271"/>
      <c r="BY146" s="271"/>
      <c r="BZ146" s="271"/>
    </row>
    <row r="147" ht="13.8" spans="1:78">
      <c r="A147" s="271"/>
      <c r="B147" s="271"/>
      <c r="C147" s="271"/>
      <c r="D147" s="272"/>
      <c r="E147" s="272"/>
      <c r="F147" s="271"/>
      <c r="G147" s="272"/>
      <c r="H147" s="271"/>
      <c r="I147" s="271"/>
      <c r="J147" s="272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3"/>
      <c r="V147" s="271"/>
      <c r="W147" s="271"/>
      <c r="X147" s="274"/>
      <c r="Y147" s="274"/>
      <c r="Z147" s="271"/>
      <c r="AA147" s="271"/>
      <c r="AB147" s="271"/>
      <c r="AC147" s="271"/>
      <c r="AD147" s="271"/>
      <c r="AE147" s="271"/>
      <c r="AF147" s="271"/>
      <c r="AG147" s="271"/>
      <c r="AH147" s="271"/>
      <c r="AI147" s="271"/>
      <c r="AJ147" s="271"/>
      <c r="AK147" s="271"/>
      <c r="AL147" s="271"/>
      <c r="AM147" s="271"/>
      <c r="AN147" s="271"/>
      <c r="AO147" s="271"/>
      <c r="AP147" s="271"/>
      <c r="AQ147" s="271"/>
      <c r="AR147" s="271"/>
      <c r="AS147" s="271"/>
      <c r="AT147" s="271"/>
      <c r="AU147" s="271"/>
      <c r="AV147" s="271"/>
      <c r="AW147" s="271"/>
      <c r="AX147" s="271"/>
      <c r="AY147" s="271"/>
      <c r="AZ147" s="271"/>
      <c r="BA147" s="271"/>
      <c r="BB147" s="271"/>
      <c r="BC147" s="271"/>
      <c r="BD147" s="271"/>
      <c r="BE147" s="271"/>
      <c r="BF147" s="271"/>
      <c r="BG147" s="271"/>
      <c r="BH147" s="271"/>
      <c r="BI147" s="271"/>
      <c r="BJ147" s="271"/>
      <c r="BK147" s="271"/>
      <c r="BL147" s="271"/>
      <c r="BM147" s="271"/>
      <c r="BN147" s="271"/>
      <c r="BO147" s="271"/>
      <c r="BP147" s="271"/>
      <c r="BQ147" s="271"/>
      <c r="BR147" s="271"/>
      <c r="BS147" s="271"/>
      <c r="BT147" s="271"/>
      <c r="BU147" s="271"/>
      <c r="BV147" s="271"/>
      <c r="BW147" s="271"/>
      <c r="BX147" s="271"/>
      <c r="BY147" s="271"/>
      <c r="BZ147" s="271"/>
    </row>
    <row r="148" ht="13.8" spans="1:78">
      <c r="A148" s="271"/>
      <c r="B148" s="271"/>
      <c r="C148" s="271"/>
      <c r="D148" s="272"/>
      <c r="E148" s="272"/>
      <c r="F148" s="271"/>
      <c r="G148" s="272"/>
      <c r="H148" s="271"/>
      <c r="I148" s="271"/>
      <c r="J148" s="272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3"/>
      <c r="V148" s="271"/>
      <c r="W148" s="271"/>
      <c r="X148" s="274"/>
      <c r="Y148" s="274"/>
      <c r="Z148" s="271"/>
      <c r="AA148" s="271"/>
      <c r="AB148" s="271"/>
      <c r="AC148" s="271"/>
      <c r="AD148" s="271"/>
      <c r="AE148" s="271"/>
      <c r="AF148" s="271"/>
      <c r="AG148" s="271"/>
      <c r="AH148" s="271"/>
      <c r="AI148" s="271"/>
      <c r="AJ148" s="271"/>
      <c r="AK148" s="271"/>
      <c r="AL148" s="271"/>
      <c r="AM148" s="271"/>
      <c r="AN148" s="271"/>
      <c r="AO148" s="271"/>
      <c r="AP148" s="271"/>
      <c r="AQ148" s="271"/>
      <c r="AR148" s="271"/>
      <c r="AS148" s="271"/>
      <c r="AT148" s="271"/>
      <c r="AU148" s="271"/>
      <c r="AV148" s="271"/>
      <c r="AW148" s="271"/>
      <c r="AX148" s="271"/>
      <c r="AY148" s="271"/>
      <c r="AZ148" s="271"/>
      <c r="BA148" s="271"/>
      <c r="BB148" s="271"/>
      <c r="BC148" s="271"/>
      <c r="BD148" s="271"/>
      <c r="BE148" s="271"/>
      <c r="BF148" s="271"/>
      <c r="BG148" s="271"/>
      <c r="BH148" s="271"/>
      <c r="BI148" s="271"/>
      <c r="BJ148" s="271"/>
      <c r="BK148" s="271"/>
      <c r="BL148" s="271"/>
      <c r="BM148" s="271"/>
      <c r="BN148" s="271"/>
      <c r="BO148" s="271"/>
      <c r="BP148" s="271"/>
      <c r="BQ148" s="271"/>
      <c r="BR148" s="271"/>
      <c r="BS148" s="271"/>
      <c r="BT148" s="271"/>
      <c r="BU148" s="271"/>
      <c r="BV148" s="271"/>
      <c r="BW148" s="271"/>
      <c r="BX148" s="271"/>
      <c r="BY148" s="271"/>
      <c r="BZ148" s="271"/>
    </row>
    <row r="149" ht="13.8" spans="1:78">
      <c r="A149" s="271"/>
      <c r="B149" s="271"/>
      <c r="C149" s="271"/>
      <c r="D149" s="272"/>
      <c r="E149" s="272"/>
      <c r="F149" s="271"/>
      <c r="G149" s="272"/>
      <c r="H149" s="271"/>
      <c r="I149" s="271"/>
      <c r="J149" s="272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3"/>
      <c r="V149" s="271"/>
      <c r="W149" s="271"/>
      <c r="X149" s="274"/>
      <c r="Y149" s="274"/>
      <c r="Z149" s="271"/>
      <c r="AA149" s="271"/>
      <c r="AB149" s="271"/>
      <c r="AC149" s="271"/>
      <c r="AD149" s="271"/>
      <c r="AE149" s="271"/>
      <c r="AF149" s="271"/>
      <c r="AG149" s="271"/>
      <c r="AH149" s="271"/>
      <c r="AI149" s="271"/>
      <c r="AJ149" s="271"/>
      <c r="AK149" s="271"/>
      <c r="AL149" s="271"/>
      <c r="AM149" s="271"/>
      <c r="AN149" s="271"/>
      <c r="AO149" s="271"/>
      <c r="AP149" s="271"/>
      <c r="AQ149" s="271"/>
      <c r="AR149" s="271"/>
      <c r="AS149" s="271"/>
      <c r="AT149" s="271"/>
      <c r="AU149" s="271"/>
      <c r="AV149" s="271"/>
      <c r="AW149" s="271"/>
      <c r="AX149" s="271"/>
      <c r="AY149" s="271"/>
      <c r="AZ149" s="271"/>
      <c r="BA149" s="271"/>
      <c r="BB149" s="271"/>
      <c r="BC149" s="271"/>
      <c r="BD149" s="271"/>
      <c r="BE149" s="271"/>
      <c r="BF149" s="271"/>
      <c r="BG149" s="271"/>
      <c r="BH149" s="271"/>
      <c r="BI149" s="271"/>
      <c r="BJ149" s="271"/>
      <c r="BK149" s="271"/>
      <c r="BL149" s="271"/>
      <c r="BM149" s="271"/>
      <c r="BN149" s="271"/>
      <c r="BO149" s="271"/>
      <c r="BP149" s="271"/>
      <c r="BQ149" s="271"/>
      <c r="BR149" s="271"/>
      <c r="BS149" s="271"/>
      <c r="BT149" s="271"/>
      <c r="BU149" s="271"/>
      <c r="BV149" s="271"/>
      <c r="BW149" s="271"/>
      <c r="BX149" s="271"/>
      <c r="BY149" s="271"/>
      <c r="BZ149" s="271"/>
    </row>
    <row r="150" ht="13.8" spans="1:78">
      <c r="A150" s="271"/>
      <c r="B150" s="271"/>
      <c r="C150" s="271"/>
      <c r="D150" s="272"/>
      <c r="E150" s="272"/>
      <c r="F150" s="271"/>
      <c r="G150" s="272"/>
      <c r="H150" s="271"/>
      <c r="I150" s="271"/>
      <c r="J150" s="272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3"/>
      <c r="V150" s="271"/>
      <c r="W150" s="271"/>
      <c r="X150" s="274"/>
      <c r="Y150" s="274"/>
      <c r="Z150" s="271"/>
      <c r="AA150" s="271"/>
      <c r="AB150" s="271"/>
      <c r="AC150" s="271"/>
      <c r="AD150" s="271"/>
      <c r="AE150" s="271"/>
      <c r="AF150" s="271"/>
      <c r="AG150" s="271"/>
      <c r="AH150" s="271"/>
      <c r="AI150" s="271"/>
      <c r="AJ150" s="271"/>
      <c r="AK150" s="271"/>
      <c r="AL150" s="271"/>
      <c r="AM150" s="271"/>
      <c r="AN150" s="271"/>
      <c r="AO150" s="271"/>
      <c r="AP150" s="271"/>
      <c r="AQ150" s="271"/>
      <c r="AR150" s="271"/>
      <c r="AS150" s="271"/>
      <c r="AT150" s="271"/>
      <c r="AU150" s="271"/>
      <c r="AV150" s="271"/>
      <c r="AW150" s="271"/>
      <c r="AX150" s="271"/>
      <c r="AY150" s="271"/>
      <c r="AZ150" s="271"/>
      <c r="BA150" s="271"/>
      <c r="BB150" s="271"/>
      <c r="BC150" s="271"/>
      <c r="BD150" s="271"/>
      <c r="BE150" s="271"/>
      <c r="BF150" s="271"/>
      <c r="BG150" s="271"/>
      <c r="BH150" s="271"/>
      <c r="BI150" s="271"/>
      <c r="BJ150" s="271"/>
      <c r="BK150" s="271"/>
      <c r="BL150" s="271"/>
      <c r="BM150" s="271"/>
      <c r="BN150" s="271"/>
      <c r="BO150" s="271"/>
      <c r="BP150" s="271"/>
      <c r="BQ150" s="271"/>
      <c r="BR150" s="271"/>
      <c r="BS150" s="271"/>
      <c r="BT150" s="271"/>
      <c r="BU150" s="271"/>
      <c r="BV150" s="271"/>
      <c r="BW150" s="271"/>
      <c r="BX150" s="271"/>
      <c r="BY150" s="271"/>
      <c r="BZ150" s="271"/>
    </row>
    <row r="151" ht="13.8" spans="1:78">
      <c r="A151" s="271"/>
      <c r="B151" s="271"/>
      <c r="C151" s="271"/>
      <c r="D151" s="272"/>
      <c r="E151" s="272"/>
      <c r="F151" s="271"/>
      <c r="G151" s="272"/>
      <c r="H151" s="271"/>
      <c r="I151" s="271"/>
      <c r="J151" s="272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3"/>
      <c r="V151" s="271"/>
      <c r="W151" s="271"/>
      <c r="X151" s="274"/>
      <c r="Y151" s="274"/>
      <c r="Z151" s="271"/>
      <c r="AA151" s="271"/>
      <c r="AB151" s="271"/>
      <c r="AC151" s="271"/>
      <c r="AD151" s="271"/>
      <c r="AE151" s="271"/>
      <c r="AF151" s="271"/>
      <c r="AG151" s="271"/>
      <c r="AH151" s="271"/>
      <c r="AI151" s="271"/>
      <c r="AJ151" s="271"/>
      <c r="AK151" s="271"/>
      <c r="AL151" s="271"/>
      <c r="AM151" s="271"/>
      <c r="AN151" s="271"/>
      <c r="AO151" s="271"/>
      <c r="AP151" s="271"/>
      <c r="AQ151" s="271"/>
      <c r="AR151" s="271"/>
      <c r="AS151" s="271"/>
      <c r="AT151" s="271"/>
      <c r="AU151" s="271"/>
      <c r="AV151" s="271"/>
      <c r="AW151" s="271"/>
      <c r="AX151" s="271"/>
      <c r="AY151" s="271"/>
      <c r="AZ151" s="271"/>
      <c r="BA151" s="271"/>
      <c r="BB151" s="271"/>
      <c r="BC151" s="271"/>
      <c r="BD151" s="271"/>
      <c r="BE151" s="271"/>
      <c r="BF151" s="271"/>
      <c r="BG151" s="271"/>
      <c r="BH151" s="271"/>
      <c r="BI151" s="271"/>
      <c r="BJ151" s="271"/>
      <c r="BK151" s="271"/>
      <c r="BL151" s="271"/>
      <c r="BM151" s="271"/>
      <c r="BN151" s="271"/>
      <c r="BO151" s="271"/>
      <c r="BP151" s="271"/>
      <c r="BQ151" s="271"/>
      <c r="BR151" s="271"/>
      <c r="BS151" s="271"/>
      <c r="BT151" s="271"/>
      <c r="BU151" s="271"/>
      <c r="BV151" s="271"/>
      <c r="BW151" s="271"/>
      <c r="BX151" s="271"/>
      <c r="BY151" s="271"/>
      <c r="BZ151" s="271"/>
    </row>
    <row r="152" ht="13.8" spans="1:78">
      <c r="A152" s="271"/>
      <c r="B152" s="271"/>
      <c r="C152" s="271"/>
      <c r="D152" s="272"/>
      <c r="E152" s="272"/>
      <c r="F152" s="271"/>
      <c r="G152" s="272"/>
      <c r="H152" s="271"/>
      <c r="I152" s="271"/>
      <c r="J152" s="272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3"/>
      <c r="V152" s="271"/>
      <c r="W152" s="271"/>
      <c r="X152" s="274"/>
      <c r="Y152" s="274"/>
      <c r="Z152" s="271"/>
      <c r="AA152" s="271"/>
      <c r="AB152" s="271"/>
      <c r="AC152" s="271"/>
      <c r="AD152" s="271"/>
      <c r="AE152" s="271"/>
      <c r="AF152" s="271"/>
      <c r="AG152" s="271"/>
      <c r="AH152" s="271"/>
      <c r="AI152" s="271"/>
      <c r="AJ152" s="271"/>
      <c r="AK152" s="271"/>
      <c r="AL152" s="271"/>
      <c r="AM152" s="271"/>
      <c r="AN152" s="271"/>
      <c r="AO152" s="271"/>
      <c r="AP152" s="271"/>
      <c r="AQ152" s="271"/>
      <c r="AR152" s="271"/>
      <c r="AS152" s="271"/>
      <c r="AT152" s="271"/>
      <c r="AU152" s="271"/>
      <c r="AV152" s="271"/>
      <c r="AW152" s="271"/>
      <c r="AX152" s="271"/>
      <c r="AY152" s="271"/>
      <c r="AZ152" s="271"/>
      <c r="BA152" s="271"/>
      <c r="BB152" s="271"/>
      <c r="BC152" s="271"/>
      <c r="BD152" s="271"/>
      <c r="BE152" s="271"/>
      <c r="BF152" s="271"/>
      <c r="BG152" s="271"/>
      <c r="BH152" s="271"/>
      <c r="BI152" s="271"/>
      <c r="BJ152" s="271"/>
      <c r="BK152" s="271"/>
      <c r="BL152" s="271"/>
      <c r="BM152" s="271"/>
      <c r="BN152" s="271"/>
      <c r="BO152" s="271"/>
      <c r="BP152" s="271"/>
      <c r="BQ152" s="271"/>
      <c r="BR152" s="271"/>
      <c r="BS152" s="271"/>
      <c r="BT152" s="271"/>
      <c r="BU152" s="271"/>
      <c r="BV152" s="271"/>
      <c r="BW152" s="271"/>
      <c r="BX152" s="271"/>
      <c r="BY152" s="271"/>
      <c r="BZ152" s="271"/>
    </row>
    <row r="153" ht="13.8" spans="1:78">
      <c r="A153" s="271"/>
      <c r="B153" s="271"/>
      <c r="C153" s="271"/>
      <c r="D153" s="272"/>
      <c r="E153" s="272"/>
      <c r="F153" s="271"/>
      <c r="G153" s="272"/>
      <c r="H153" s="271"/>
      <c r="I153" s="271"/>
      <c r="J153" s="272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3"/>
      <c r="V153" s="271"/>
      <c r="W153" s="271"/>
      <c r="X153" s="274"/>
      <c r="Y153" s="274"/>
      <c r="Z153" s="271"/>
      <c r="AA153" s="271"/>
      <c r="AB153" s="271"/>
      <c r="AC153" s="271"/>
      <c r="AD153" s="271"/>
      <c r="AE153" s="271"/>
      <c r="AF153" s="271"/>
      <c r="AG153" s="271"/>
      <c r="AH153" s="271"/>
      <c r="AI153" s="271"/>
      <c r="AJ153" s="271"/>
      <c r="AK153" s="271"/>
      <c r="AL153" s="271"/>
      <c r="AM153" s="271"/>
      <c r="AN153" s="271"/>
      <c r="AO153" s="271"/>
      <c r="AP153" s="271"/>
      <c r="AQ153" s="271"/>
      <c r="AR153" s="271"/>
      <c r="AS153" s="271"/>
      <c r="AT153" s="271"/>
      <c r="AU153" s="271"/>
      <c r="AV153" s="271"/>
      <c r="AW153" s="271"/>
      <c r="AX153" s="271"/>
      <c r="AY153" s="271"/>
      <c r="AZ153" s="271"/>
      <c r="BA153" s="271"/>
      <c r="BB153" s="271"/>
      <c r="BC153" s="271"/>
      <c r="BD153" s="271"/>
      <c r="BE153" s="271"/>
      <c r="BF153" s="271"/>
      <c r="BG153" s="271"/>
      <c r="BH153" s="271"/>
      <c r="BI153" s="271"/>
      <c r="BJ153" s="271"/>
      <c r="BK153" s="271"/>
      <c r="BL153" s="271"/>
      <c r="BM153" s="271"/>
      <c r="BN153" s="271"/>
      <c r="BO153" s="271"/>
      <c r="BP153" s="271"/>
      <c r="BQ153" s="271"/>
      <c r="BR153" s="271"/>
      <c r="BS153" s="271"/>
      <c r="BT153" s="271"/>
      <c r="BU153" s="271"/>
      <c r="BV153" s="271"/>
      <c r="BW153" s="271"/>
      <c r="BX153" s="271"/>
      <c r="BY153" s="271"/>
      <c r="BZ153" s="271"/>
    </row>
    <row r="154" ht="13.8" spans="1:78">
      <c r="A154" s="271"/>
      <c r="B154" s="271"/>
      <c r="C154" s="271"/>
      <c r="D154" s="272"/>
      <c r="E154" s="272"/>
      <c r="F154" s="271"/>
      <c r="G154" s="272"/>
      <c r="H154" s="271"/>
      <c r="I154" s="271"/>
      <c r="J154" s="272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3"/>
      <c r="V154" s="271"/>
      <c r="W154" s="271"/>
      <c r="X154" s="274"/>
      <c r="Y154" s="274"/>
      <c r="Z154" s="271"/>
      <c r="AA154" s="271"/>
      <c r="AB154" s="271"/>
      <c r="AC154" s="271"/>
      <c r="AD154" s="271"/>
      <c r="AE154" s="271"/>
      <c r="AF154" s="271"/>
      <c r="AG154" s="271"/>
      <c r="AH154" s="271"/>
      <c r="AI154" s="271"/>
      <c r="AJ154" s="271"/>
      <c r="AK154" s="271"/>
      <c r="AL154" s="271"/>
      <c r="AM154" s="271"/>
      <c r="AN154" s="271"/>
      <c r="AO154" s="271"/>
      <c r="AP154" s="271"/>
      <c r="AQ154" s="271"/>
      <c r="AR154" s="271"/>
      <c r="AS154" s="271"/>
      <c r="AT154" s="271"/>
      <c r="AU154" s="271"/>
      <c r="AV154" s="271"/>
      <c r="AW154" s="271"/>
      <c r="AX154" s="271"/>
      <c r="AY154" s="271"/>
      <c r="AZ154" s="271"/>
      <c r="BA154" s="271"/>
      <c r="BB154" s="271"/>
      <c r="BC154" s="271"/>
      <c r="BD154" s="271"/>
      <c r="BE154" s="271"/>
      <c r="BF154" s="271"/>
      <c r="BG154" s="271"/>
      <c r="BH154" s="271"/>
      <c r="BI154" s="271"/>
      <c r="BJ154" s="271"/>
      <c r="BK154" s="271"/>
      <c r="BL154" s="271"/>
      <c r="BM154" s="271"/>
      <c r="BN154" s="271"/>
      <c r="BO154" s="271"/>
      <c r="BP154" s="271"/>
      <c r="BQ154" s="271"/>
      <c r="BR154" s="271"/>
      <c r="BS154" s="271"/>
      <c r="BT154" s="271"/>
      <c r="BU154" s="271"/>
      <c r="BV154" s="271"/>
      <c r="BW154" s="271"/>
      <c r="BX154" s="271"/>
      <c r="BY154" s="271"/>
      <c r="BZ154" s="271"/>
    </row>
    <row r="155" ht="13.8" spans="1:78">
      <c r="A155" s="271"/>
      <c r="B155" s="271"/>
      <c r="C155" s="271"/>
      <c r="D155" s="272"/>
      <c r="E155" s="272"/>
      <c r="F155" s="271"/>
      <c r="G155" s="272"/>
      <c r="H155" s="271"/>
      <c r="I155" s="271"/>
      <c r="J155" s="272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3"/>
      <c r="V155" s="271"/>
      <c r="W155" s="271"/>
      <c r="X155" s="274"/>
      <c r="Y155" s="274"/>
      <c r="Z155" s="271"/>
      <c r="AA155" s="271"/>
      <c r="AB155" s="271"/>
      <c r="AC155" s="271"/>
      <c r="AD155" s="271"/>
      <c r="AE155" s="271"/>
      <c r="AF155" s="271"/>
      <c r="AG155" s="271"/>
      <c r="AH155" s="271"/>
      <c r="AI155" s="271"/>
      <c r="AJ155" s="271"/>
      <c r="AK155" s="271"/>
      <c r="AL155" s="271"/>
      <c r="AM155" s="271"/>
      <c r="AN155" s="271"/>
      <c r="AO155" s="271"/>
      <c r="AP155" s="271"/>
      <c r="AQ155" s="271"/>
      <c r="AR155" s="271"/>
      <c r="AS155" s="271"/>
      <c r="AT155" s="271"/>
      <c r="AU155" s="271"/>
      <c r="AV155" s="271"/>
      <c r="AW155" s="271"/>
      <c r="AX155" s="271"/>
      <c r="AY155" s="271"/>
      <c r="AZ155" s="271"/>
      <c r="BA155" s="271"/>
      <c r="BB155" s="271"/>
      <c r="BC155" s="271"/>
      <c r="BD155" s="271"/>
      <c r="BE155" s="271"/>
      <c r="BF155" s="271"/>
      <c r="BG155" s="271"/>
      <c r="BH155" s="271"/>
      <c r="BI155" s="271"/>
      <c r="BJ155" s="271"/>
      <c r="BK155" s="271"/>
      <c r="BL155" s="271"/>
      <c r="BM155" s="271"/>
      <c r="BN155" s="271"/>
      <c r="BO155" s="271"/>
      <c r="BP155" s="271"/>
      <c r="BQ155" s="271"/>
      <c r="BR155" s="271"/>
      <c r="BS155" s="271"/>
      <c r="BT155" s="271"/>
      <c r="BU155" s="271"/>
      <c r="BV155" s="271"/>
      <c r="BW155" s="271"/>
      <c r="BX155" s="271"/>
      <c r="BY155" s="271"/>
      <c r="BZ155" s="271"/>
    </row>
    <row r="156" ht="13.8" spans="1:78">
      <c r="A156" s="271"/>
      <c r="B156" s="271"/>
      <c r="C156" s="271"/>
      <c r="D156" s="272"/>
      <c r="E156" s="272"/>
      <c r="F156" s="271"/>
      <c r="G156" s="272"/>
      <c r="H156" s="271"/>
      <c r="I156" s="271"/>
      <c r="J156" s="272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3"/>
      <c r="V156" s="271"/>
      <c r="W156" s="271"/>
      <c r="X156" s="274"/>
      <c r="Y156" s="274"/>
      <c r="Z156" s="271"/>
      <c r="AA156" s="271"/>
      <c r="AB156" s="271"/>
      <c r="AC156" s="271"/>
      <c r="AD156" s="271"/>
      <c r="AE156" s="271"/>
      <c r="AF156" s="271"/>
      <c r="AG156" s="271"/>
      <c r="AH156" s="271"/>
      <c r="AI156" s="271"/>
      <c r="AJ156" s="271"/>
      <c r="AK156" s="271"/>
      <c r="AL156" s="271"/>
      <c r="AM156" s="271"/>
      <c r="AN156" s="271"/>
      <c r="AO156" s="271"/>
      <c r="AP156" s="271"/>
      <c r="AQ156" s="271"/>
      <c r="AR156" s="271"/>
      <c r="AS156" s="271"/>
      <c r="AT156" s="271"/>
      <c r="AU156" s="271"/>
      <c r="AV156" s="271"/>
      <c r="AW156" s="271"/>
      <c r="AX156" s="271"/>
      <c r="AY156" s="271"/>
      <c r="AZ156" s="271"/>
      <c r="BA156" s="271"/>
      <c r="BB156" s="271"/>
      <c r="BC156" s="271"/>
      <c r="BD156" s="271"/>
      <c r="BE156" s="271"/>
      <c r="BF156" s="271"/>
      <c r="BG156" s="271"/>
      <c r="BH156" s="271"/>
      <c r="BI156" s="271"/>
      <c r="BJ156" s="271"/>
      <c r="BK156" s="271"/>
      <c r="BL156" s="271"/>
      <c r="BM156" s="271"/>
      <c r="BN156" s="271"/>
      <c r="BO156" s="271"/>
      <c r="BP156" s="271"/>
      <c r="BQ156" s="271"/>
      <c r="BR156" s="271"/>
      <c r="BS156" s="271"/>
      <c r="BT156" s="271"/>
      <c r="BU156" s="271"/>
      <c r="BV156" s="271"/>
      <c r="BW156" s="271"/>
      <c r="BX156" s="271"/>
      <c r="BY156" s="271"/>
      <c r="BZ156" s="271"/>
    </row>
    <row r="157" ht="13.8" spans="1:78">
      <c r="A157" s="271"/>
      <c r="B157" s="271"/>
      <c r="C157" s="271"/>
      <c r="D157" s="272"/>
      <c r="E157" s="272"/>
      <c r="F157" s="271"/>
      <c r="G157" s="272"/>
      <c r="H157" s="271"/>
      <c r="I157" s="271"/>
      <c r="J157" s="272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3"/>
      <c r="V157" s="271"/>
      <c r="W157" s="271"/>
      <c r="X157" s="274"/>
      <c r="Y157" s="274"/>
      <c r="Z157" s="271"/>
      <c r="AA157" s="271"/>
      <c r="AB157" s="271"/>
      <c r="AC157" s="271"/>
      <c r="AD157" s="271"/>
      <c r="AE157" s="271"/>
      <c r="AF157" s="271"/>
      <c r="AG157" s="271"/>
      <c r="AH157" s="271"/>
      <c r="AI157" s="271"/>
      <c r="AJ157" s="271"/>
      <c r="AK157" s="271"/>
      <c r="AL157" s="271"/>
      <c r="AM157" s="271"/>
      <c r="AN157" s="271"/>
      <c r="AO157" s="271"/>
      <c r="AP157" s="271"/>
      <c r="AQ157" s="271"/>
      <c r="AR157" s="271"/>
      <c r="AS157" s="271"/>
      <c r="AT157" s="271"/>
      <c r="AU157" s="271"/>
      <c r="AV157" s="271"/>
      <c r="AW157" s="271"/>
      <c r="AX157" s="271"/>
      <c r="AY157" s="271"/>
      <c r="AZ157" s="271"/>
      <c r="BA157" s="271"/>
      <c r="BB157" s="271"/>
      <c r="BC157" s="271"/>
      <c r="BD157" s="271"/>
      <c r="BE157" s="271"/>
      <c r="BF157" s="271"/>
      <c r="BG157" s="271"/>
      <c r="BH157" s="271"/>
      <c r="BI157" s="271"/>
      <c r="BJ157" s="271"/>
      <c r="BK157" s="271"/>
      <c r="BL157" s="271"/>
      <c r="BM157" s="271"/>
      <c r="BN157" s="271"/>
      <c r="BO157" s="271"/>
      <c r="BP157" s="271"/>
      <c r="BQ157" s="271"/>
      <c r="BR157" s="271"/>
      <c r="BS157" s="271"/>
      <c r="BT157" s="271"/>
      <c r="BU157" s="271"/>
      <c r="BV157" s="271"/>
      <c r="BW157" s="271"/>
      <c r="BX157" s="271"/>
      <c r="BY157" s="271"/>
      <c r="BZ157" s="271"/>
    </row>
    <row r="158" ht="13.8" spans="1:78">
      <c r="A158" s="271"/>
      <c r="B158" s="271"/>
      <c r="C158" s="271"/>
      <c r="D158" s="272"/>
      <c r="E158" s="272"/>
      <c r="F158" s="271"/>
      <c r="G158" s="272"/>
      <c r="H158" s="271"/>
      <c r="I158" s="271"/>
      <c r="J158" s="272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3"/>
      <c r="V158" s="271"/>
      <c r="W158" s="271"/>
      <c r="X158" s="274"/>
      <c r="Y158" s="274"/>
      <c r="Z158" s="271"/>
      <c r="AA158" s="271"/>
      <c r="AB158" s="271"/>
      <c r="AC158" s="271"/>
      <c r="AD158" s="271"/>
      <c r="AE158" s="271"/>
      <c r="AF158" s="271"/>
      <c r="AG158" s="271"/>
      <c r="AH158" s="271"/>
      <c r="AI158" s="271"/>
      <c r="AJ158" s="271"/>
      <c r="AK158" s="271"/>
      <c r="AL158" s="271"/>
      <c r="AM158" s="271"/>
      <c r="AN158" s="271"/>
      <c r="AO158" s="271"/>
      <c r="AP158" s="271"/>
      <c r="AQ158" s="271"/>
      <c r="AR158" s="271"/>
      <c r="AS158" s="271"/>
      <c r="AT158" s="271"/>
      <c r="AU158" s="271"/>
      <c r="AV158" s="271"/>
      <c r="AW158" s="271"/>
      <c r="AX158" s="271"/>
      <c r="AY158" s="271"/>
      <c r="AZ158" s="271"/>
      <c r="BA158" s="271"/>
      <c r="BB158" s="271"/>
      <c r="BC158" s="271"/>
      <c r="BD158" s="271"/>
      <c r="BE158" s="271"/>
      <c r="BF158" s="271"/>
      <c r="BG158" s="271"/>
      <c r="BH158" s="271"/>
      <c r="BI158" s="271"/>
      <c r="BJ158" s="271"/>
      <c r="BK158" s="271"/>
      <c r="BL158" s="271"/>
      <c r="BM158" s="271"/>
      <c r="BN158" s="271"/>
      <c r="BO158" s="271"/>
      <c r="BP158" s="271"/>
      <c r="BQ158" s="271"/>
      <c r="BR158" s="271"/>
      <c r="BS158" s="271"/>
      <c r="BT158" s="271"/>
      <c r="BU158" s="271"/>
      <c r="BV158" s="271"/>
      <c r="BW158" s="271"/>
      <c r="BX158" s="271"/>
      <c r="BY158" s="271"/>
      <c r="BZ158" s="271"/>
    </row>
    <row r="159" ht="13.8" spans="1:78">
      <c r="A159" s="271"/>
      <c r="B159" s="271"/>
      <c r="C159" s="271"/>
      <c r="D159" s="272"/>
      <c r="E159" s="272"/>
      <c r="F159" s="271"/>
      <c r="G159" s="272"/>
      <c r="H159" s="271"/>
      <c r="I159" s="271"/>
      <c r="J159" s="272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3"/>
      <c r="V159" s="271"/>
      <c r="W159" s="271"/>
      <c r="X159" s="274"/>
      <c r="Y159" s="274"/>
      <c r="Z159" s="271"/>
      <c r="AA159" s="271"/>
      <c r="AB159" s="271"/>
      <c r="AC159" s="271"/>
      <c r="AD159" s="271"/>
      <c r="AE159" s="271"/>
      <c r="AF159" s="271"/>
      <c r="AG159" s="271"/>
      <c r="AH159" s="271"/>
      <c r="AI159" s="271"/>
      <c r="AJ159" s="271"/>
      <c r="AK159" s="271"/>
      <c r="AL159" s="271"/>
      <c r="AM159" s="271"/>
      <c r="AN159" s="271"/>
      <c r="AO159" s="271"/>
      <c r="AP159" s="271"/>
      <c r="AQ159" s="271"/>
      <c r="AR159" s="271"/>
      <c r="AS159" s="271"/>
      <c r="AT159" s="271"/>
      <c r="AU159" s="271"/>
      <c r="AV159" s="271"/>
      <c r="AW159" s="271"/>
      <c r="AX159" s="271"/>
      <c r="AY159" s="271"/>
      <c r="AZ159" s="271"/>
      <c r="BA159" s="271"/>
      <c r="BB159" s="271"/>
      <c r="BC159" s="271"/>
      <c r="BD159" s="271"/>
      <c r="BE159" s="271"/>
      <c r="BF159" s="271"/>
      <c r="BG159" s="271"/>
      <c r="BH159" s="271"/>
      <c r="BI159" s="271"/>
      <c r="BJ159" s="271"/>
      <c r="BK159" s="271"/>
      <c r="BL159" s="271"/>
      <c r="BM159" s="271"/>
      <c r="BN159" s="271"/>
      <c r="BO159" s="271"/>
      <c r="BP159" s="271"/>
      <c r="BQ159" s="271"/>
      <c r="BR159" s="271"/>
      <c r="BS159" s="271"/>
      <c r="BT159" s="271"/>
      <c r="BU159" s="271"/>
      <c r="BV159" s="271"/>
      <c r="BW159" s="271"/>
      <c r="BX159" s="271"/>
      <c r="BY159" s="271"/>
      <c r="BZ159" s="271"/>
    </row>
    <row r="160" ht="13.8" spans="1:78">
      <c r="A160" s="271"/>
      <c r="B160" s="271"/>
      <c r="C160" s="271"/>
      <c r="D160" s="272"/>
      <c r="E160" s="272"/>
      <c r="F160" s="271"/>
      <c r="G160" s="272"/>
      <c r="H160" s="271"/>
      <c r="I160" s="271"/>
      <c r="J160" s="272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3"/>
      <c r="V160" s="271"/>
      <c r="W160" s="271"/>
      <c r="X160" s="274"/>
      <c r="Y160" s="274"/>
      <c r="Z160" s="271"/>
      <c r="AA160" s="271"/>
      <c r="AB160" s="271"/>
      <c r="AC160" s="271"/>
      <c r="AD160" s="271"/>
      <c r="AE160" s="271"/>
      <c r="AF160" s="271"/>
      <c r="AG160" s="271"/>
      <c r="AH160" s="271"/>
      <c r="AI160" s="271"/>
      <c r="AJ160" s="271"/>
      <c r="AK160" s="271"/>
      <c r="AL160" s="271"/>
      <c r="AM160" s="271"/>
      <c r="AN160" s="271"/>
      <c r="AO160" s="271"/>
      <c r="AP160" s="271"/>
      <c r="AQ160" s="271"/>
      <c r="AR160" s="271"/>
      <c r="AS160" s="271"/>
      <c r="AT160" s="271"/>
      <c r="AU160" s="271"/>
      <c r="AV160" s="271"/>
      <c r="AW160" s="271"/>
      <c r="AX160" s="271"/>
      <c r="AY160" s="271"/>
      <c r="AZ160" s="271"/>
      <c r="BA160" s="271"/>
      <c r="BB160" s="271"/>
      <c r="BC160" s="271"/>
      <c r="BD160" s="271"/>
      <c r="BE160" s="271"/>
      <c r="BF160" s="271"/>
      <c r="BG160" s="271"/>
      <c r="BH160" s="271"/>
      <c r="BI160" s="271"/>
      <c r="BJ160" s="271"/>
      <c r="BK160" s="271"/>
      <c r="BL160" s="271"/>
      <c r="BM160" s="271"/>
      <c r="BN160" s="271"/>
      <c r="BO160" s="271"/>
      <c r="BP160" s="271"/>
      <c r="BQ160" s="271"/>
      <c r="BR160" s="271"/>
      <c r="BS160" s="271"/>
      <c r="BT160" s="271"/>
      <c r="BU160" s="271"/>
      <c r="BV160" s="271"/>
      <c r="BW160" s="271"/>
      <c r="BX160" s="271"/>
      <c r="BY160" s="271"/>
      <c r="BZ160" s="271"/>
    </row>
    <row r="161" ht="13.8" spans="1:78">
      <c r="A161" s="271"/>
      <c r="B161" s="271"/>
      <c r="C161" s="271"/>
      <c r="D161" s="272"/>
      <c r="E161" s="272"/>
      <c r="F161" s="271"/>
      <c r="G161" s="272"/>
      <c r="H161" s="271"/>
      <c r="I161" s="271"/>
      <c r="J161" s="272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3"/>
      <c r="V161" s="271"/>
      <c r="W161" s="271"/>
      <c r="X161" s="274"/>
      <c r="Y161" s="274"/>
      <c r="Z161" s="271"/>
      <c r="AA161" s="271"/>
      <c r="AB161" s="271"/>
      <c r="AC161" s="271"/>
      <c r="AD161" s="271"/>
      <c r="AE161" s="271"/>
      <c r="AF161" s="271"/>
      <c r="AG161" s="271"/>
      <c r="AH161" s="271"/>
      <c r="AI161" s="271"/>
      <c r="AJ161" s="271"/>
      <c r="AK161" s="271"/>
      <c r="AL161" s="271"/>
      <c r="AM161" s="271"/>
      <c r="AN161" s="271"/>
      <c r="AO161" s="271"/>
      <c r="AP161" s="271"/>
      <c r="AQ161" s="271"/>
      <c r="AR161" s="271"/>
      <c r="AS161" s="271"/>
      <c r="AT161" s="271"/>
      <c r="AU161" s="271"/>
      <c r="AV161" s="271"/>
      <c r="AW161" s="271"/>
      <c r="AX161" s="271"/>
      <c r="AY161" s="271"/>
      <c r="AZ161" s="271"/>
      <c r="BA161" s="271"/>
      <c r="BB161" s="271"/>
      <c r="BC161" s="271"/>
      <c r="BD161" s="271"/>
      <c r="BE161" s="271"/>
      <c r="BF161" s="271"/>
      <c r="BG161" s="271"/>
      <c r="BH161" s="271"/>
      <c r="BI161" s="271"/>
      <c r="BJ161" s="271"/>
      <c r="BK161" s="271"/>
      <c r="BL161" s="271"/>
      <c r="BM161" s="271"/>
      <c r="BN161" s="271"/>
      <c r="BO161" s="271"/>
      <c r="BP161" s="271"/>
      <c r="BQ161" s="271"/>
      <c r="BR161" s="271"/>
      <c r="BS161" s="271"/>
      <c r="BT161" s="271"/>
      <c r="BU161" s="271"/>
      <c r="BV161" s="271"/>
      <c r="BW161" s="271"/>
      <c r="BX161" s="271"/>
      <c r="BY161" s="271"/>
      <c r="BZ161" s="271"/>
    </row>
    <row r="162" ht="13.8" spans="1:78">
      <c r="A162" s="271"/>
      <c r="B162" s="271"/>
      <c r="C162" s="271"/>
      <c r="D162" s="272"/>
      <c r="E162" s="272"/>
      <c r="F162" s="271"/>
      <c r="G162" s="272"/>
      <c r="H162" s="271"/>
      <c r="I162" s="271"/>
      <c r="J162" s="272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3"/>
      <c r="V162" s="271"/>
      <c r="W162" s="271"/>
      <c r="X162" s="274"/>
      <c r="Y162" s="274"/>
      <c r="Z162" s="271"/>
      <c r="AA162" s="271"/>
      <c r="AB162" s="271"/>
      <c r="AC162" s="271"/>
      <c r="AD162" s="271"/>
      <c r="AE162" s="271"/>
      <c r="AF162" s="271"/>
      <c r="AG162" s="271"/>
      <c r="AH162" s="271"/>
      <c r="AI162" s="271"/>
      <c r="AJ162" s="271"/>
      <c r="AK162" s="271"/>
      <c r="AL162" s="271"/>
      <c r="AM162" s="271"/>
      <c r="AN162" s="271"/>
      <c r="AO162" s="271"/>
      <c r="AP162" s="271"/>
      <c r="AQ162" s="271"/>
      <c r="AR162" s="271"/>
      <c r="AS162" s="271"/>
      <c r="AT162" s="271"/>
      <c r="AU162" s="271"/>
      <c r="AV162" s="271"/>
      <c r="AW162" s="271"/>
      <c r="AX162" s="271"/>
      <c r="AY162" s="271"/>
      <c r="AZ162" s="271"/>
      <c r="BA162" s="271"/>
      <c r="BB162" s="271"/>
      <c r="BC162" s="271"/>
      <c r="BD162" s="271"/>
      <c r="BE162" s="271"/>
      <c r="BF162" s="271"/>
      <c r="BG162" s="271"/>
      <c r="BH162" s="271"/>
      <c r="BI162" s="271"/>
      <c r="BJ162" s="271"/>
      <c r="BK162" s="271"/>
      <c r="BL162" s="271"/>
      <c r="BM162" s="271"/>
      <c r="BN162" s="271"/>
      <c r="BO162" s="271"/>
      <c r="BP162" s="271"/>
      <c r="BQ162" s="271"/>
      <c r="BR162" s="271"/>
      <c r="BS162" s="271"/>
      <c r="BT162" s="271"/>
      <c r="BU162" s="271"/>
      <c r="BV162" s="271"/>
      <c r="BW162" s="271"/>
      <c r="BX162" s="271"/>
      <c r="BY162" s="271"/>
      <c r="BZ162" s="271"/>
    </row>
    <row r="163" ht="13.8" spans="1:78">
      <c r="A163" s="271"/>
      <c r="B163" s="271"/>
      <c r="C163" s="271"/>
      <c r="D163" s="272"/>
      <c r="E163" s="272"/>
      <c r="F163" s="271"/>
      <c r="G163" s="272"/>
      <c r="H163" s="271"/>
      <c r="I163" s="271"/>
      <c r="J163" s="272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3"/>
      <c r="V163" s="271"/>
      <c r="W163" s="271"/>
      <c r="X163" s="274"/>
      <c r="Y163" s="274"/>
      <c r="Z163" s="271"/>
      <c r="AA163" s="271"/>
      <c r="AB163" s="271"/>
      <c r="AC163" s="271"/>
      <c r="AD163" s="271"/>
      <c r="AE163" s="271"/>
      <c r="AF163" s="271"/>
      <c r="AG163" s="271"/>
      <c r="AH163" s="271"/>
      <c r="AI163" s="271"/>
      <c r="AJ163" s="271"/>
      <c r="AK163" s="271"/>
      <c r="AL163" s="271"/>
      <c r="AM163" s="271"/>
      <c r="AN163" s="271"/>
      <c r="AO163" s="271"/>
      <c r="AP163" s="271"/>
      <c r="AQ163" s="271"/>
      <c r="AR163" s="271"/>
      <c r="AS163" s="271"/>
      <c r="AT163" s="271"/>
      <c r="AU163" s="271"/>
      <c r="AV163" s="271"/>
      <c r="AW163" s="271"/>
      <c r="AX163" s="271"/>
      <c r="AY163" s="271"/>
      <c r="AZ163" s="271"/>
      <c r="BA163" s="271"/>
      <c r="BB163" s="271"/>
      <c r="BC163" s="271"/>
      <c r="BD163" s="271"/>
      <c r="BE163" s="271"/>
      <c r="BF163" s="271"/>
      <c r="BG163" s="271"/>
      <c r="BH163" s="271"/>
      <c r="BI163" s="271"/>
      <c r="BJ163" s="271"/>
      <c r="BK163" s="271"/>
      <c r="BL163" s="271"/>
      <c r="BM163" s="271"/>
      <c r="BN163" s="271"/>
      <c r="BO163" s="271"/>
      <c r="BP163" s="271"/>
      <c r="BQ163" s="271"/>
      <c r="BR163" s="271"/>
      <c r="BS163" s="271"/>
      <c r="BT163" s="271"/>
      <c r="BU163" s="271"/>
      <c r="BV163" s="271"/>
      <c r="BW163" s="271"/>
      <c r="BX163" s="271"/>
      <c r="BY163" s="271"/>
      <c r="BZ163" s="271"/>
    </row>
    <row r="164" ht="13.8" spans="1:78">
      <c r="A164" s="271"/>
      <c r="B164" s="271"/>
      <c r="C164" s="271"/>
      <c r="D164" s="272"/>
      <c r="E164" s="272"/>
      <c r="F164" s="271"/>
      <c r="G164" s="272"/>
      <c r="H164" s="271"/>
      <c r="I164" s="271"/>
      <c r="J164" s="272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3"/>
      <c r="V164" s="271"/>
      <c r="W164" s="271"/>
      <c r="X164" s="274"/>
      <c r="Y164" s="274"/>
      <c r="Z164" s="271"/>
      <c r="AA164" s="271"/>
      <c r="AB164" s="271"/>
      <c r="AC164" s="271"/>
      <c r="AD164" s="271"/>
      <c r="AE164" s="271"/>
      <c r="AF164" s="271"/>
      <c r="AG164" s="271"/>
      <c r="AH164" s="271"/>
      <c r="AI164" s="271"/>
      <c r="AJ164" s="271"/>
      <c r="AK164" s="271"/>
      <c r="AL164" s="271"/>
      <c r="AM164" s="271"/>
      <c r="AN164" s="271"/>
      <c r="AO164" s="271"/>
      <c r="AP164" s="271"/>
      <c r="AQ164" s="271"/>
      <c r="AR164" s="271"/>
      <c r="AS164" s="271"/>
      <c r="AT164" s="271"/>
      <c r="AU164" s="271"/>
      <c r="AV164" s="271"/>
      <c r="AW164" s="271"/>
      <c r="AX164" s="271"/>
      <c r="AY164" s="271"/>
      <c r="AZ164" s="271"/>
      <c r="BA164" s="271"/>
      <c r="BB164" s="271"/>
      <c r="BC164" s="271"/>
      <c r="BD164" s="271"/>
      <c r="BE164" s="271"/>
      <c r="BF164" s="271"/>
      <c r="BG164" s="271"/>
      <c r="BH164" s="271"/>
      <c r="BI164" s="271"/>
      <c r="BJ164" s="271"/>
      <c r="BK164" s="271"/>
      <c r="BL164" s="271"/>
      <c r="BM164" s="271"/>
      <c r="BN164" s="271"/>
      <c r="BO164" s="271"/>
      <c r="BP164" s="271"/>
      <c r="BQ164" s="271"/>
      <c r="BR164" s="271"/>
      <c r="BS164" s="271"/>
      <c r="BT164" s="271"/>
      <c r="BU164" s="271"/>
      <c r="BV164" s="271"/>
      <c r="BW164" s="271"/>
      <c r="BX164" s="271"/>
      <c r="BY164" s="271"/>
      <c r="BZ164" s="271"/>
    </row>
    <row r="165" ht="13.8" spans="1:78">
      <c r="A165" s="271"/>
      <c r="B165" s="271"/>
      <c r="C165" s="271"/>
      <c r="D165" s="272"/>
      <c r="E165" s="272"/>
      <c r="F165" s="271"/>
      <c r="G165" s="272"/>
      <c r="H165" s="271"/>
      <c r="I165" s="271"/>
      <c r="J165" s="272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3"/>
      <c r="V165" s="271"/>
      <c r="W165" s="271"/>
      <c r="X165" s="274"/>
      <c r="Y165" s="274"/>
      <c r="Z165" s="271"/>
      <c r="AA165" s="271"/>
      <c r="AB165" s="271"/>
      <c r="AC165" s="271"/>
      <c r="AD165" s="271"/>
      <c r="AE165" s="271"/>
      <c r="AF165" s="271"/>
      <c r="AG165" s="271"/>
      <c r="AH165" s="271"/>
      <c r="AI165" s="271"/>
      <c r="AJ165" s="271"/>
      <c r="AK165" s="271"/>
      <c r="AL165" s="271"/>
      <c r="AM165" s="271"/>
      <c r="AN165" s="271"/>
      <c r="AO165" s="271"/>
      <c r="AP165" s="271"/>
      <c r="AQ165" s="271"/>
      <c r="AR165" s="271"/>
      <c r="AS165" s="271"/>
      <c r="AT165" s="271"/>
      <c r="AU165" s="271"/>
      <c r="AV165" s="271"/>
      <c r="AW165" s="271"/>
      <c r="AX165" s="271"/>
      <c r="AY165" s="271"/>
      <c r="AZ165" s="271"/>
      <c r="BA165" s="271"/>
      <c r="BB165" s="271"/>
      <c r="BC165" s="271"/>
      <c r="BD165" s="271"/>
      <c r="BE165" s="271"/>
      <c r="BF165" s="271"/>
      <c r="BG165" s="271"/>
      <c r="BH165" s="271"/>
      <c r="BI165" s="271"/>
      <c r="BJ165" s="271"/>
      <c r="BK165" s="271"/>
      <c r="BL165" s="271"/>
      <c r="BM165" s="271"/>
      <c r="BN165" s="271"/>
      <c r="BO165" s="271"/>
      <c r="BP165" s="271"/>
      <c r="BQ165" s="271"/>
      <c r="BR165" s="271"/>
      <c r="BS165" s="271"/>
      <c r="BT165" s="271"/>
      <c r="BU165" s="271"/>
      <c r="BV165" s="271"/>
      <c r="BW165" s="271"/>
      <c r="BX165" s="271"/>
      <c r="BY165" s="271"/>
      <c r="BZ165" s="271"/>
    </row>
    <row r="166" ht="13.8" spans="1:78">
      <c r="A166" s="271"/>
      <c r="B166" s="271"/>
      <c r="C166" s="271"/>
      <c r="D166" s="272"/>
      <c r="E166" s="272"/>
      <c r="F166" s="271"/>
      <c r="G166" s="272"/>
      <c r="H166" s="271"/>
      <c r="I166" s="271"/>
      <c r="J166" s="272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3"/>
      <c r="V166" s="271"/>
      <c r="W166" s="271"/>
      <c r="X166" s="274"/>
      <c r="Y166" s="274"/>
      <c r="Z166" s="271"/>
      <c r="AA166" s="271"/>
      <c r="AB166" s="271"/>
      <c r="AC166" s="271"/>
      <c r="AD166" s="271"/>
      <c r="AE166" s="271"/>
      <c r="AF166" s="271"/>
      <c r="AG166" s="271"/>
      <c r="AH166" s="271"/>
      <c r="AI166" s="271"/>
      <c r="AJ166" s="271"/>
      <c r="AK166" s="271"/>
      <c r="AL166" s="271"/>
      <c r="AM166" s="271"/>
      <c r="AN166" s="271"/>
      <c r="AO166" s="271"/>
      <c r="AP166" s="271"/>
      <c r="AQ166" s="271"/>
      <c r="AR166" s="271"/>
      <c r="AS166" s="271"/>
      <c r="AT166" s="271"/>
      <c r="AU166" s="271"/>
      <c r="AV166" s="271"/>
      <c r="AW166" s="271"/>
      <c r="AX166" s="271"/>
      <c r="AY166" s="271"/>
      <c r="AZ166" s="271"/>
      <c r="BA166" s="271"/>
      <c r="BB166" s="271"/>
      <c r="BC166" s="271"/>
      <c r="BD166" s="271"/>
      <c r="BE166" s="271"/>
      <c r="BF166" s="271"/>
      <c r="BG166" s="271"/>
      <c r="BH166" s="271"/>
      <c r="BI166" s="271"/>
      <c r="BJ166" s="271"/>
      <c r="BK166" s="271"/>
      <c r="BL166" s="271"/>
      <c r="BM166" s="271"/>
      <c r="BN166" s="271"/>
      <c r="BO166" s="271"/>
      <c r="BP166" s="271"/>
      <c r="BQ166" s="271"/>
      <c r="BR166" s="271"/>
      <c r="BS166" s="271"/>
      <c r="BT166" s="271"/>
      <c r="BU166" s="271"/>
      <c r="BV166" s="271"/>
      <c r="BW166" s="271"/>
      <c r="BX166" s="271"/>
      <c r="BY166" s="271"/>
      <c r="BZ166" s="271"/>
    </row>
    <row r="167" ht="13.8" spans="1:78">
      <c r="A167" s="271"/>
      <c r="B167" s="271"/>
      <c r="C167" s="271"/>
      <c r="D167" s="272"/>
      <c r="E167" s="272"/>
      <c r="F167" s="271"/>
      <c r="G167" s="272"/>
      <c r="H167" s="271"/>
      <c r="I167" s="271"/>
      <c r="J167" s="272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3"/>
      <c r="V167" s="271"/>
      <c r="W167" s="271"/>
      <c r="X167" s="274"/>
      <c r="Y167" s="274"/>
      <c r="Z167" s="271"/>
      <c r="AA167" s="271"/>
      <c r="AB167" s="271"/>
      <c r="AC167" s="271"/>
      <c r="AD167" s="271"/>
      <c r="AE167" s="271"/>
      <c r="AF167" s="271"/>
      <c r="AG167" s="271"/>
      <c r="AH167" s="271"/>
      <c r="AI167" s="271"/>
      <c r="AJ167" s="271"/>
      <c r="AK167" s="271"/>
      <c r="AL167" s="271"/>
      <c r="AM167" s="271"/>
      <c r="AN167" s="271"/>
      <c r="AO167" s="271"/>
      <c r="AP167" s="271"/>
      <c r="AQ167" s="271"/>
      <c r="AR167" s="271"/>
      <c r="AS167" s="271"/>
      <c r="AT167" s="271"/>
      <c r="AU167" s="271"/>
      <c r="AV167" s="271"/>
      <c r="AW167" s="271"/>
      <c r="AX167" s="271"/>
      <c r="AY167" s="271"/>
      <c r="AZ167" s="271"/>
      <c r="BA167" s="271"/>
      <c r="BB167" s="271"/>
      <c r="BC167" s="271"/>
      <c r="BD167" s="271"/>
      <c r="BE167" s="271"/>
      <c r="BF167" s="271"/>
      <c r="BG167" s="271"/>
      <c r="BH167" s="271"/>
      <c r="BI167" s="271"/>
      <c r="BJ167" s="271"/>
      <c r="BK167" s="271"/>
      <c r="BL167" s="271"/>
      <c r="BM167" s="271"/>
      <c r="BN167" s="271"/>
      <c r="BO167" s="271"/>
      <c r="BP167" s="271"/>
      <c r="BQ167" s="271"/>
      <c r="BR167" s="271"/>
      <c r="BS167" s="271"/>
      <c r="BT167" s="271"/>
      <c r="BU167" s="271"/>
      <c r="BV167" s="271"/>
      <c r="BW167" s="271"/>
      <c r="BX167" s="271"/>
      <c r="BY167" s="271"/>
      <c r="BZ167" s="271"/>
    </row>
    <row r="168" ht="13.8" spans="1:78">
      <c r="A168" s="271"/>
      <c r="B168" s="271"/>
      <c r="C168" s="271"/>
      <c r="D168" s="272"/>
      <c r="E168" s="272"/>
      <c r="F168" s="271"/>
      <c r="G168" s="272"/>
      <c r="H168" s="271"/>
      <c r="I168" s="271"/>
      <c r="J168" s="272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3"/>
      <c r="V168" s="271"/>
      <c r="W168" s="271"/>
      <c r="X168" s="274"/>
      <c r="Y168" s="274"/>
      <c r="Z168" s="271"/>
      <c r="AA168" s="271"/>
      <c r="AB168" s="271"/>
      <c r="AC168" s="271"/>
      <c r="AD168" s="271"/>
      <c r="AE168" s="271"/>
      <c r="AF168" s="271"/>
      <c r="AG168" s="271"/>
      <c r="AH168" s="271"/>
      <c r="AI168" s="271"/>
      <c r="AJ168" s="271"/>
      <c r="AK168" s="271"/>
      <c r="AL168" s="271"/>
      <c r="AM168" s="271"/>
      <c r="AN168" s="271"/>
      <c r="AO168" s="271"/>
      <c r="AP168" s="271"/>
      <c r="AQ168" s="271"/>
      <c r="AR168" s="271"/>
      <c r="AS168" s="271"/>
      <c r="AT168" s="271"/>
      <c r="AU168" s="271"/>
      <c r="AV168" s="271"/>
      <c r="AW168" s="271"/>
      <c r="AX168" s="271"/>
      <c r="AY168" s="271"/>
      <c r="AZ168" s="271"/>
      <c r="BA168" s="271"/>
      <c r="BB168" s="271"/>
      <c r="BC168" s="271"/>
      <c r="BD168" s="271"/>
      <c r="BE168" s="271"/>
      <c r="BF168" s="271"/>
      <c r="BG168" s="271"/>
      <c r="BH168" s="271"/>
      <c r="BI168" s="271"/>
      <c r="BJ168" s="271"/>
      <c r="BK168" s="271"/>
      <c r="BL168" s="271"/>
      <c r="BM168" s="271"/>
      <c r="BN168" s="271"/>
      <c r="BO168" s="271"/>
      <c r="BP168" s="271"/>
      <c r="BQ168" s="271"/>
      <c r="BR168" s="271"/>
      <c r="BS168" s="271"/>
      <c r="BT168" s="271"/>
      <c r="BU168" s="271"/>
      <c r="BV168" s="271"/>
      <c r="BW168" s="271"/>
      <c r="BX168" s="271"/>
      <c r="BY168" s="271"/>
      <c r="BZ168" s="271"/>
    </row>
    <row r="169" ht="13.8" spans="1:78">
      <c r="A169" s="271"/>
      <c r="B169" s="271"/>
      <c r="C169" s="271"/>
      <c r="D169" s="272"/>
      <c r="E169" s="272"/>
      <c r="F169" s="271"/>
      <c r="G169" s="272"/>
      <c r="H169" s="271"/>
      <c r="I169" s="271"/>
      <c r="J169" s="272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3"/>
      <c r="V169" s="271"/>
      <c r="W169" s="271"/>
      <c r="X169" s="274"/>
      <c r="Y169" s="274"/>
      <c r="Z169" s="271"/>
      <c r="AA169" s="271"/>
      <c r="AB169" s="271"/>
      <c r="AC169" s="271"/>
      <c r="AD169" s="271"/>
      <c r="AE169" s="271"/>
      <c r="AF169" s="271"/>
      <c r="AG169" s="271"/>
      <c r="AH169" s="271"/>
      <c r="AI169" s="271"/>
      <c r="AJ169" s="271"/>
      <c r="AK169" s="271"/>
      <c r="AL169" s="271"/>
      <c r="AM169" s="271"/>
      <c r="AN169" s="271"/>
      <c r="AO169" s="271"/>
      <c r="AP169" s="271"/>
      <c r="AQ169" s="271"/>
      <c r="AR169" s="271"/>
      <c r="AS169" s="271"/>
      <c r="AT169" s="271"/>
      <c r="AU169" s="271"/>
      <c r="AV169" s="271"/>
      <c r="AW169" s="271"/>
      <c r="AX169" s="271"/>
      <c r="AY169" s="271"/>
      <c r="AZ169" s="271"/>
      <c r="BA169" s="271"/>
      <c r="BB169" s="271"/>
      <c r="BC169" s="271"/>
      <c r="BD169" s="271"/>
      <c r="BE169" s="271"/>
      <c r="BF169" s="271"/>
      <c r="BG169" s="271"/>
      <c r="BH169" s="271"/>
      <c r="BI169" s="271"/>
      <c r="BJ169" s="271"/>
      <c r="BK169" s="271"/>
      <c r="BL169" s="271"/>
      <c r="BM169" s="271"/>
      <c r="BN169" s="271"/>
      <c r="BO169" s="271"/>
      <c r="BP169" s="271"/>
      <c r="BQ169" s="271"/>
      <c r="BR169" s="271"/>
      <c r="BS169" s="271"/>
      <c r="BT169" s="271"/>
      <c r="BU169" s="271"/>
      <c r="BV169" s="271"/>
      <c r="BW169" s="271"/>
      <c r="BX169" s="271"/>
      <c r="BY169" s="271"/>
      <c r="BZ169" s="271"/>
    </row>
    <row r="170" ht="13.8" spans="1:78">
      <c r="A170" s="271"/>
      <c r="B170" s="271"/>
      <c r="C170" s="271"/>
      <c r="D170" s="272"/>
      <c r="E170" s="272"/>
      <c r="F170" s="271"/>
      <c r="G170" s="272"/>
      <c r="H170" s="271"/>
      <c r="I170" s="271"/>
      <c r="J170" s="272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3"/>
      <c r="V170" s="271"/>
      <c r="W170" s="271"/>
      <c r="X170" s="274"/>
      <c r="Y170" s="274"/>
      <c r="Z170" s="271"/>
      <c r="AA170" s="271"/>
      <c r="AB170" s="271"/>
      <c r="AC170" s="271"/>
      <c r="AD170" s="271"/>
      <c r="AE170" s="271"/>
      <c r="AF170" s="271"/>
      <c r="AG170" s="271"/>
      <c r="AH170" s="271"/>
      <c r="AI170" s="271"/>
      <c r="AJ170" s="271"/>
      <c r="AK170" s="271"/>
      <c r="AL170" s="271"/>
      <c r="AM170" s="271"/>
      <c r="AN170" s="271"/>
      <c r="AO170" s="271"/>
      <c r="AP170" s="271"/>
      <c r="AQ170" s="271"/>
      <c r="AR170" s="271"/>
      <c r="AS170" s="271"/>
      <c r="AT170" s="271"/>
      <c r="AU170" s="271"/>
      <c r="AV170" s="271"/>
      <c r="AW170" s="271"/>
      <c r="AX170" s="271"/>
      <c r="AY170" s="271"/>
      <c r="AZ170" s="271"/>
      <c r="BA170" s="271"/>
      <c r="BB170" s="271"/>
      <c r="BC170" s="271"/>
      <c r="BD170" s="271"/>
      <c r="BE170" s="271"/>
      <c r="BF170" s="271"/>
      <c r="BG170" s="271"/>
      <c r="BH170" s="271"/>
      <c r="BI170" s="271"/>
      <c r="BJ170" s="271"/>
      <c r="BK170" s="271"/>
      <c r="BL170" s="271"/>
      <c r="BM170" s="271"/>
      <c r="BN170" s="271"/>
      <c r="BO170" s="271"/>
      <c r="BP170" s="271"/>
      <c r="BQ170" s="271"/>
      <c r="BR170" s="271"/>
      <c r="BS170" s="271"/>
      <c r="BT170" s="271"/>
      <c r="BU170" s="271"/>
      <c r="BV170" s="271"/>
      <c r="BW170" s="271"/>
      <c r="BX170" s="271"/>
      <c r="BY170" s="271"/>
      <c r="BZ170" s="271"/>
    </row>
    <row r="171" ht="13.8" spans="1:78">
      <c r="A171" s="271"/>
      <c r="B171" s="271"/>
      <c r="C171" s="271"/>
      <c r="D171" s="272"/>
      <c r="E171" s="272"/>
      <c r="F171" s="271"/>
      <c r="G171" s="272"/>
      <c r="H171" s="271"/>
      <c r="I171" s="271"/>
      <c r="J171" s="272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3"/>
      <c r="V171" s="271"/>
      <c r="W171" s="271"/>
      <c r="X171" s="274"/>
      <c r="Y171" s="274"/>
      <c r="Z171" s="271"/>
      <c r="AA171" s="271"/>
      <c r="AB171" s="271"/>
      <c r="AC171" s="271"/>
      <c r="AD171" s="271"/>
      <c r="AE171" s="271"/>
      <c r="AF171" s="271"/>
      <c r="AG171" s="271"/>
      <c r="AH171" s="271"/>
      <c r="AI171" s="271"/>
      <c r="AJ171" s="271"/>
      <c r="AK171" s="271"/>
      <c r="AL171" s="271"/>
      <c r="AM171" s="271"/>
      <c r="AN171" s="271"/>
      <c r="AO171" s="271"/>
      <c r="AP171" s="271"/>
      <c r="AQ171" s="271"/>
      <c r="AR171" s="271"/>
      <c r="AS171" s="271"/>
      <c r="AT171" s="271"/>
      <c r="AU171" s="271"/>
      <c r="AV171" s="271"/>
      <c r="AW171" s="271"/>
      <c r="AX171" s="271"/>
      <c r="AY171" s="271"/>
      <c r="AZ171" s="271"/>
      <c r="BA171" s="271"/>
      <c r="BB171" s="271"/>
      <c r="BC171" s="271"/>
      <c r="BD171" s="271"/>
      <c r="BE171" s="271"/>
      <c r="BF171" s="271"/>
      <c r="BG171" s="271"/>
      <c r="BH171" s="271"/>
      <c r="BI171" s="271"/>
      <c r="BJ171" s="271"/>
      <c r="BK171" s="271"/>
      <c r="BL171" s="271"/>
      <c r="BM171" s="271"/>
      <c r="BN171" s="271"/>
      <c r="BO171" s="271"/>
      <c r="BP171" s="271"/>
      <c r="BQ171" s="271"/>
      <c r="BR171" s="271"/>
      <c r="BS171" s="271"/>
      <c r="BT171" s="271"/>
      <c r="BU171" s="271"/>
      <c r="BV171" s="271"/>
      <c r="BW171" s="271"/>
      <c r="BX171" s="271"/>
      <c r="BY171" s="271"/>
      <c r="BZ171" s="271"/>
    </row>
    <row r="172" ht="13.8" spans="1:78">
      <c r="A172" s="271"/>
      <c r="B172" s="271"/>
      <c r="C172" s="271"/>
      <c r="D172" s="272"/>
      <c r="E172" s="272"/>
      <c r="F172" s="271"/>
      <c r="G172" s="272"/>
      <c r="H172" s="271"/>
      <c r="I172" s="271"/>
      <c r="J172" s="272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3"/>
      <c r="V172" s="271"/>
      <c r="W172" s="271"/>
      <c r="X172" s="274"/>
      <c r="Y172" s="274"/>
      <c r="Z172" s="271"/>
      <c r="AA172" s="271"/>
      <c r="AB172" s="271"/>
      <c r="AC172" s="271"/>
      <c r="AD172" s="271"/>
      <c r="AE172" s="271"/>
      <c r="AF172" s="271"/>
      <c r="AG172" s="271"/>
      <c r="AH172" s="271"/>
      <c r="AI172" s="271"/>
      <c r="AJ172" s="271"/>
      <c r="AK172" s="271"/>
      <c r="AL172" s="271"/>
      <c r="AM172" s="271"/>
      <c r="AN172" s="271"/>
      <c r="AO172" s="271"/>
      <c r="AP172" s="271"/>
      <c r="AQ172" s="271"/>
      <c r="AR172" s="271"/>
      <c r="AS172" s="271"/>
      <c r="AT172" s="271"/>
      <c r="AU172" s="271"/>
      <c r="AV172" s="271"/>
      <c r="AW172" s="271"/>
      <c r="AX172" s="271"/>
      <c r="AY172" s="271"/>
      <c r="AZ172" s="271"/>
      <c r="BA172" s="271"/>
      <c r="BB172" s="271"/>
      <c r="BC172" s="271"/>
      <c r="BD172" s="271"/>
      <c r="BE172" s="271"/>
      <c r="BF172" s="271"/>
      <c r="BG172" s="271"/>
      <c r="BH172" s="271"/>
      <c r="BI172" s="271"/>
      <c r="BJ172" s="271"/>
      <c r="BK172" s="271"/>
      <c r="BL172" s="271"/>
      <c r="BM172" s="271"/>
      <c r="BN172" s="271"/>
      <c r="BO172" s="271"/>
      <c r="BP172" s="271"/>
      <c r="BQ172" s="271"/>
      <c r="BR172" s="271"/>
      <c r="BS172" s="271"/>
      <c r="BT172" s="271"/>
      <c r="BU172" s="271"/>
      <c r="BV172" s="271"/>
      <c r="BW172" s="271"/>
      <c r="BX172" s="271"/>
      <c r="BY172" s="271"/>
      <c r="BZ172" s="271"/>
    </row>
    <row r="173" ht="13.8" spans="1:78">
      <c r="A173" s="271"/>
      <c r="B173" s="271"/>
      <c r="C173" s="271"/>
      <c r="D173" s="272"/>
      <c r="E173" s="272"/>
      <c r="F173" s="271"/>
      <c r="G173" s="272"/>
      <c r="H173" s="271"/>
      <c r="I173" s="271"/>
      <c r="J173" s="272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3"/>
      <c r="V173" s="271"/>
      <c r="W173" s="271"/>
      <c r="X173" s="274"/>
      <c r="Y173" s="274"/>
      <c r="Z173" s="271"/>
      <c r="AA173" s="271"/>
      <c r="AB173" s="271"/>
      <c r="AC173" s="271"/>
      <c r="AD173" s="271"/>
      <c r="AE173" s="271"/>
      <c r="AF173" s="271"/>
      <c r="AG173" s="271"/>
      <c r="AH173" s="271"/>
      <c r="AI173" s="271"/>
      <c r="AJ173" s="271"/>
      <c r="AK173" s="271"/>
      <c r="AL173" s="271"/>
      <c r="AM173" s="271"/>
      <c r="AN173" s="271"/>
      <c r="AO173" s="271"/>
      <c r="AP173" s="271"/>
      <c r="AQ173" s="271"/>
      <c r="AR173" s="271"/>
      <c r="AS173" s="271"/>
      <c r="AT173" s="271"/>
      <c r="AU173" s="271"/>
      <c r="AV173" s="271"/>
      <c r="AW173" s="271"/>
      <c r="AX173" s="271"/>
      <c r="AY173" s="271"/>
      <c r="AZ173" s="271"/>
      <c r="BA173" s="271"/>
      <c r="BB173" s="271"/>
      <c r="BC173" s="271"/>
      <c r="BD173" s="271"/>
      <c r="BE173" s="271"/>
      <c r="BF173" s="271"/>
      <c r="BG173" s="271"/>
      <c r="BH173" s="271"/>
      <c r="BI173" s="271"/>
      <c r="BJ173" s="271"/>
      <c r="BK173" s="271"/>
      <c r="BL173" s="271"/>
      <c r="BM173" s="271"/>
      <c r="BN173" s="271"/>
      <c r="BO173" s="271"/>
      <c r="BP173" s="271"/>
      <c r="BQ173" s="271"/>
      <c r="BR173" s="271"/>
      <c r="BS173" s="271"/>
      <c r="BT173" s="271"/>
      <c r="BU173" s="271"/>
      <c r="BV173" s="271"/>
      <c r="BW173" s="271"/>
      <c r="BX173" s="271"/>
      <c r="BY173" s="271"/>
      <c r="BZ173" s="271"/>
    </row>
    <row r="174" ht="13.8" spans="1:78">
      <c r="A174" s="271"/>
      <c r="B174" s="271"/>
      <c r="C174" s="271"/>
      <c r="D174" s="272"/>
      <c r="E174" s="272"/>
      <c r="F174" s="271"/>
      <c r="G174" s="272"/>
      <c r="H174" s="271"/>
      <c r="I174" s="271"/>
      <c r="J174" s="272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3"/>
      <c r="V174" s="271"/>
      <c r="W174" s="271"/>
      <c r="X174" s="274"/>
      <c r="Y174" s="274"/>
      <c r="Z174" s="271"/>
      <c r="AA174" s="271"/>
      <c r="AB174" s="271"/>
      <c r="AC174" s="271"/>
      <c r="AD174" s="271"/>
      <c r="AE174" s="271"/>
      <c r="AF174" s="271"/>
      <c r="AG174" s="271"/>
      <c r="AH174" s="271"/>
      <c r="AI174" s="271"/>
      <c r="AJ174" s="271"/>
      <c r="AK174" s="271"/>
      <c r="AL174" s="271"/>
      <c r="AM174" s="271"/>
      <c r="AN174" s="271"/>
      <c r="AO174" s="271"/>
      <c r="AP174" s="271"/>
      <c r="AQ174" s="271"/>
      <c r="AR174" s="271"/>
      <c r="AS174" s="271"/>
      <c r="AT174" s="271"/>
      <c r="AU174" s="271"/>
      <c r="AV174" s="271"/>
      <c r="AW174" s="271"/>
      <c r="AX174" s="271"/>
      <c r="AY174" s="271"/>
      <c r="AZ174" s="271"/>
      <c r="BA174" s="271"/>
      <c r="BB174" s="271"/>
      <c r="BC174" s="271"/>
      <c r="BD174" s="271"/>
      <c r="BE174" s="271"/>
      <c r="BF174" s="271"/>
      <c r="BG174" s="271"/>
      <c r="BH174" s="271"/>
      <c r="BI174" s="271"/>
      <c r="BJ174" s="271"/>
      <c r="BK174" s="271"/>
      <c r="BL174" s="271"/>
      <c r="BM174" s="271"/>
      <c r="BN174" s="271"/>
      <c r="BO174" s="271"/>
      <c r="BP174" s="271"/>
      <c r="BQ174" s="271"/>
      <c r="BR174" s="271"/>
      <c r="BS174" s="271"/>
      <c r="BT174" s="271"/>
      <c r="BU174" s="271"/>
      <c r="BV174" s="271"/>
      <c r="BW174" s="271"/>
      <c r="BX174" s="271"/>
      <c r="BY174" s="271"/>
      <c r="BZ174" s="271"/>
    </row>
    <row r="175" ht="13.8" spans="1:78">
      <c r="A175" s="271"/>
      <c r="B175" s="271"/>
      <c r="C175" s="271"/>
      <c r="D175" s="272"/>
      <c r="E175" s="272"/>
      <c r="F175" s="271"/>
      <c r="G175" s="272"/>
      <c r="H175" s="271"/>
      <c r="I175" s="271"/>
      <c r="J175" s="272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3"/>
      <c r="V175" s="271"/>
      <c r="W175" s="271"/>
      <c r="X175" s="274"/>
      <c r="Y175" s="274"/>
      <c r="Z175" s="271"/>
      <c r="AA175" s="271"/>
      <c r="AB175" s="271"/>
      <c r="AC175" s="271"/>
      <c r="AD175" s="271"/>
      <c r="AE175" s="271"/>
      <c r="AF175" s="271"/>
      <c r="AG175" s="271"/>
      <c r="AH175" s="271"/>
      <c r="AI175" s="271"/>
      <c r="AJ175" s="271"/>
      <c r="AK175" s="271"/>
      <c r="AL175" s="271"/>
      <c r="AM175" s="271"/>
      <c r="AN175" s="271"/>
      <c r="AO175" s="271"/>
      <c r="AP175" s="271"/>
      <c r="AQ175" s="271"/>
      <c r="AR175" s="271"/>
      <c r="AS175" s="271"/>
      <c r="AT175" s="271"/>
      <c r="AU175" s="271"/>
      <c r="AV175" s="271"/>
      <c r="AW175" s="271"/>
      <c r="AX175" s="271"/>
      <c r="AY175" s="271"/>
      <c r="AZ175" s="271"/>
      <c r="BA175" s="271"/>
      <c r="BB175" s="271"/>
      <c r="BC175" s="271"/>
      <c r="BD175" s="271"/>
      <c r="BE175" s="271"/>
      <c r="BF175" s="271"/>
      <c r="BG175" s="271"/>
      <c r="BH175" s="271"/>
      <c r="BI175" s="271"/>
      <c r="BJ175" s="271"/>
      <c r="BK175" s="271"/>
      <c r="BL175" s="271"/>
      <c r="BM175" s="271"/>
      <c r="BN175" s="271"/>
      <c r="BO175" s="271"/>
      <c r="BP175" s="271"/>
      <c r="BQ175" s="271"/>
      <c r="BR175" s="271"/>
      <c r="BS175" s="271"/>
      <c r="BT175" s="271"/>
      <c r="BU175" s="271"/>
      <c r="BV175" s="271"/>
      <c r="BW175" s="271"/>
      <c r="BX175" s="271"/>
      <c r="BY175" s="271"/>
      <c r="BZ175" s="271"/>
    </row>
    <row r="176" ht="13.8" spans="1:78">
      <c r="A176" s="271"/>
      <c r="B176" s="271"/>
      <c r="C176" s="271"/>
      <c r="D176" s="272"/>
      <c r="E176" s="272"/>
      <c r="F176" s="271"/>
      <c r="G176" s="272"/>
      <c r="H176" s="271"/>
      <c r="I176" s="271"/>
      <c r="J176" s="272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3"/>
      <c r="V176" s="271"/>
      <c r="W176" s="271"/>
      <c r="X176" s="274"/>
      <c r="Y176" s="274"/>
      <c r="Z176" s="271"/>
      <c r="AA176" s="271"/>
      <c r="AB176" s="271"/>
      <c r="AC176" s="271"/>
      <c r="AD176" s="271"/>
      <c r="AE176" s="271"/>
      <c r="AF176" s="271"/>
      <c r="AG176" s="271"/>
      <c r="AH176" s="271"/>
      <c r="AI176" s="271"/>
      <c r="AJ176" s="271"/>
      <c r="AK176" s="271"/>
      <c r="AL176" s="271"/>
      <c r="AM176" s="271"/>
      <c r="AN176" s="271"/>
      <c r="AO176" s="271"/>
      <c r="AP176" s="271"/>
      <c r="AQ176" s="271"/>
      <c r="AR176" s="271"/>
      <c r="AS176" s="271"/>
      <c r="AT176" s="271"/>
      <c r="AU176" s="271"/>
      <c r="AV176" s="271"/>
      <c r="AW176" s="271"/>
      <c r="AX176" s="271"/>
      <c r="AY176" s="271"/>
      <c r="AZ176" s="271"/>
      <c r="BA176" s="271"/>
      <c r="BB176" s="271"/>
      <c r="BC176" s="271"/>
      <c r="BD176" s="271"/>
      <c r="BE176" s="271"/>
      <c r="BF176" s="271"/>
      <c r="BG176" s="271"/>
      <c r="BH176" s="271"/>
      <c r="BI176" s="271"/>
      <c r="BJ176" s="271"/>
      <c r="BK176" s="271"/>
      <c r="BL176" s="271"/>
      <c r="BM176" s="271"/>
      <c r="BN176" s="271"/>
      <c r="BO176" s="271"/>
      <c r="BP176" s="271"/>
      <c r="BQ176" s="271"/>
      <c r="BR176" s="271"/>
      <c r="BS176" s="271"/>
      <c r="BT176" s="271"/>
      <c r="BU176" s="271"/>
      <c r="BV176" s="271"/>
      <c r="BW176" s="271"/>
      <c r="BX176" s="271"/>
      <c r="BY176" s="271"/>
      <c r="BZ176" s="271"/>
    </row>
    <row r="177" ht="13.8" spans="1:78">
      <c r="A177" s="271"/>
      <c r="B177" s="271"/>
      <c r="C177" s="271"/>
      <c r="D177" s="272"/>
      <c r="E177" s="272"/>
      <c r="F177" s="271"/>
      <c r="G177" s="272"/>
      <c r="H177" s="271"/>
      <c r="I177" s="271"/>
      <c r="J177" s="272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3"/>
      <c r="V177" s="271"/>
      <c r="W177" s="271"/>
      <c r="X177" s="274"/>
      <c r="Y177" s="274"/>
      <c r="Z177" s="271"/>
      <c r="AA177" s="271"/>
      <c r="AB177" s="271"/>
      <c r="AC177" s="271"/>
      <c r="AD177" s="271"/>
      <c r="AE177" s="271"/>
      <c r="AF177" s="271"/>
      <c r="AG177" s="271"/>
      <c r="AH177" s="271"/>
      <c r="AI177" s="271"/>
      <c r="AJ177" s="271"/>
      <c r="AK177" s="271"/>
      <c r="AL177" s="271"/>
      <c r="AM177" s="271"/>
      <c r="AN177" s="271"/>
      <c r="AO177" s="271"/>
      <c r="AP177" s="271"/>
      <c r="AQ177" s="271"/>
      <c r="AR177" s="271"/>
      <c r="AS177" s="271"/>
      <c r="AT177" s="271"/>
      <c r="AU177" s="271"/>
      <c r="AV177" s="271"/>
      <c r="AW177" s="271"/>
      <c r="AX177" s="271"/>
      <c r="AY177" s="271"/>
      <c r="AZ177" s="271"/>
      <c r="BA177" s="271"/>
      <c r="BB177" s="271"/>
      <c r="BC177" s="271"/>
      <c r="BD177" s="271"/>
      <c r="BE177" s="271"/>
      <c r="BF177" s="271"/>
      <c r="BG177" s="271"/>
      <c r="BH177" s="271"/>
      <c r="BI177" s="271"/>
      <c r="BJ177" s="271"/>
      <c r="BK177" s="271"/>
      <c r="BL177" s="271"/>
      <c r="BM177" s="271"/>
      <c r="BN177" s="271"/>
      <c r="BO177" s="271"/>
      <c r="BP177" s="271"/>
      <c r="BQ177" s="271"/>
      <c r="BR177" s="271"/>
      <c r="BS177" s="271"/>
      <c r="BT177" s="271"/>
      <c r="BU177" s="271"/>
      <c r="BV177" s="271"/>
      <c r="BW177" s="271"/>
      <c r="BX177" s="271"/>
      <c r="BY177" s="271"/>
      <c r="BZ177" s="271"/>
    </row>
    <row r="178" ht="13.8" spans="1:78">
      <c r="A178" s="271"/>
      <c r="B178" s="271"/>
      <c r="C178" s="271"/>
      <c r="D178" s="272"/>
      <c r="E178" s="272"/>
      <c r="F178" s="271"/>
      <c r="G178" s="272"/>
      <c r="H178" s="271"/>
      <c r="I178" s="271"/>
      <c r="J178" s="272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3"/>
      <c r="V178" s="271"/>
      <c r="W178" s="271"/>
      <c r="X178" s="274"/>
      <c r="Y178" s="274"/>
      <c r="Z178" s="271"/>
      <c r="AA178" s="271"/>
      <c r="AB178" s="271"/>
      <c r="AC178" s="271"/>
      <c r="AD178" s="271"/>
      <c r="AE178" s="271"/>
      <c r="AF178" s="271"/>
      <c r="AG178" s="271"/>
      <c r="AH178" s="271"/>
      <c r="AI178" s="271"/>
      <c r="AJ178" s="271"/>
      <c r="AK178" s="271"/>
      <c r="AL178" s="271"/>
      <c r="AM178" s="271"/>
      <c r="AN178" s="271"/>
      <c r="AO178" s="271"/>
      <c r="AP178" s="271"/>
      <c r="AQ178" s="271"/>
      <c r="AR178" s="271"/>
      <c r="AS178" s="271"/>
      <c r="AT178" s="271"/>
      <c r="AU178" s="271"/>
      <c r="AV178" s="271"/>
      <c r="AW178" s="271"/>
      <c r="AX178" s="271"/>
      <c r="AY178" s="271"/>
      <c r="AZ178" s="271"/>
      <c r="BA178" s="271"/>
      <c r="BB178" s="271"/>
      <c r="BC178" s="271"/>
      <c r="BD178" s="271"/>
      <c r="BE178" s="271"/>
      <c r="BF178" s="271"/>
      <c r="BG178" s="271"/>
      <c r="BH178" s="271"/>
      <c r="BI178" s="271"/>
      <c r="BJ178" s="271"/>
      <c r="BK178" s="271"/>
      <c r="BL178" s="271"/>
      <c r="BM178" s="271"/>
      <c r="BN178" s="271"/>
      <c r="BO178" s="271"/>
      <c r="BP178" s="271"/>
      <c r="BQ178" s="271"/>
      <c r="BR178" s="271"/>
      <c r="BS178" s="271"/>
      <c r="BT178" s="271"/>
      <c r="BU178" s="271"/>
      <c r="BV178" s="271"/>
      <c r="BW178" s="271"/>
      <c r="BX178" s="271"/>
      <c r="BY178" s="271"/>
      <c r="BZ178" s="271"/>
    </row>
    <row r="179" ht="13.8" spans="1:78">
      <c r="A179" s="271"/>
      <c r="B179" s="271"/>
      <c r="C179" s="271"/>
      <c r="D179" s="272"/>
      <c r="E179" s="272"/>
      <c r="F179" s="271"/>
      <c r="G179" s="272"/>
      <c r="H179" s="271"/>
      <c r="I179" s="271"/>
      <c r="J179" s="272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3"/>
      <c r="V179" s="271"/>
      <c r="W179" s="271"/>
      <c r="X179" s="274"/>
      <c r="Y179" s="274"/>
      <c r="Z179" s="271"/>
      <c r="AA179" s="271"/>
      <c r="AB179" s="271"/>
      <c r="AC179" s="271"/>
      <c r="AD179" s="271"/>
      <c r="AE179" s="271"/>
      <c r="AF179" s="271"/>
      <c r="AG179" s="271"/>
      <c r="AH179" s="271"/>
      <c r="AI179" s="271"/>
      <c r="AJ179" s="271"/>
      <c r="AK179" s="271"/>
      <c r="AL179" s="271"/>
      <c r="AM179" s="271"/>
      <c r="AN179" s="271"/>
      <c r="AO179" s="271"/>
      <c r="AP179" s="271"/>
      <c r="AQ179" s="271"/>
      <c r="AR179" s="271"/>
      <c r="AS179" s="271"/>
      <c r="AT179" s="271"/>
      <c r="AU179" s="271"/>
      <c r="AV179" s="271"/>
      <c r="AW179" s="271"/>
      <c r="AX179" s="271"/>
      <c r="AY179" s="271"/>
      <c r="AZ179" s="271"/>
      <c r="BA179" s="271"/>
      <c r="BB179" s="271"/>
      <c r="BC179" s="271"/>
      <c r="BD179" s="271"/>
      <c r="BE179" s="271"/>
      <c r="BF179" s="271"/>
      <c r="BG179" s="271"/>
      <c r="BH179" s="271"/>
      <c r="BI179" s="271"/>
      <c r="BJ179" s="271"/>
      <c r="BK179" s="271"/>
      <c r="BL179" s="271"/>
      <c r="BM179" s="271"/>
      <c r="BN179" s="271"/>
      <c r="BO179" s="271"/>
      <c r="BP179" s="271"/>
      <c r="BQ179" s="271"/>
      <c r="BR179" s="271"/>
      <c r="BS179" s="271"/>
      <c r="BT179" s="271"/>
      <c r="BU179" s="271"/>
      <c r="BV179" s="271"/>
      <c r="BW179" s="271"/>
      <c r="BX179" s="271"/>
      <c r="BY179" s="271"/>
      <c r="BZ179" s="271"/>
    </row>
    <row r="180" ht="13.8" spans="1:78">
      <c r="A180" s="271"/>
      <c r="B180" s="271"/>
      <c r="C180" s="271"/>
      <c r="D180" s="272"/>
      <c r="E180" s="272"/>
      <c r="F180" s="271"/>
      <c r="G180" s="272"/>
      <c r="H180" s="271"/>
      <c r="I180" s="271"/>
      <c r="J180" s="272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3"/>
      <c r="V180" s="271"/>
      <c r="W180" s="271"/>
      <c r="X180" s="274"/>
      <c r="Y180" s="274"/>
      <c r="Z180" s="271"/>
      <c r="AA180" s="271"/>
      <c r="AB180" s="271"/>
      <c r="AC180" s="271"/>
      <c r="AD180" s="271"/>
      <c r="AE180" s="271"/>
      <c r="AF180" s="271"/>
      <c r="AG180" s="271"/>
      <c r="AH180" s="271"/>
      <c r="AI180" s="271"/>
      <c r="AJ180" s="271"/>
      <c r="AK180" s="271"/>
      <c r="AL180" s="271"/>
      <c r="AM180" s="271"/>
      <c r="AN180" s="271"/>
      <c r="AO180" s="271"/>
      <c r="AP180" s="271"/>
      <c r="AQ180" s="271"/>
      <c r="AR180" s="271"/>
      <c r="AS180" s="271"/>
      <c r="AT180" s="271"/>
      <c r="AU180" s="271"/>
      <c r="AV180" s="271"/>
      <c r="AW180" s="271"/>
      <c r="AX180" s="271"/>
      <c r="AY180" s="271"/>
      <c r="AZ180" s="271"/>
      <c r="BA180" s="271"/>
      <c r="BB180" s="271"/>
      <c r="BC180" s="271"/>
      <c r="BD180" s="271"/>
      <c r="BE180" s="271"/>
      <c r="BF180" s="271"/>
      <c r="BG180" s="271"/>
      <c r="BH180" s="271"/>
      <c r="BI180" s="271"/>
      <c r="BJ180" s="271"/>
      <c r="BK180" s="271"/>
      <c r="BL180" s="271"/>
      <c r="BM180" s="271"/>
      <c r="BN180" s="271"/>
      <c r="BO180" s="271"/>
      <c r="BP180" s="271"/>
      <c r="BQ180" s="271"/>
      <c r="BR180" s="271"/>
      <c r="BS180" s="271"/>
      <c r="BT180" s="271"/>
      <c r="BU180" s="271"/>
      <c r="BV180" s="271"/>
      <c r="BW180" s="271"/>
      <c r="BX180" s="271"/>
      <c r="BY180" s="271"/>
      <c r="BZ180" s="271"/>
    </row>
    <row r="181" ht="13.8" spans="1:78">
      <c r="A181" s="271"/>
      <c r="B181" s="271"/>
      <c r="C181" s="271"/>
      <c r="D181" s="272"/>
      <c r="E181" s="272"/>
      <c r="F181" s="271"/>
      <c r="G181" s="272"/>
      <c r="H181" s="271"/>
      <c r="I181" s="271"/>
      <c r="J181" s="272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3"/>
      <c r="V181" s="271"/>
      <c r="W181" s="271"/>
      <c r="X181" s="274"/>
      <c r="Y181" s="274"/>
      <c r="Z181" s="271"/>
      <c r="AA181" s="271"/>
      <c r="AB181" s="271"/>
      <c r="AC181" s="271"/>
      <c r="AD181" s="271"/>
      <c r="AE181" s="271"/>
      <c r="AF181" s="271"/>
      <c r="AG181" s="271"/>
      <c r="AH181" s="271"/>
      <c r="AI181" s="271"/>
      <c r="AJ181" s="271"/>
      <c r="AK181" s="271"/>
      <c r="AL181" s="271"/>
      <c r="AM181" s="271"/>
      <c r="AN181" s="271"/>
      <c r="AO181" s="271"/>
      <c r="AP181" s="271"/>
      <c r="AQ181" s="271"/>
      <c r="AR181" s="271"/>
      <c r="AS181" s="271"/>
      <c r="AT181" s="271"/>
      <c r="AU181" s="271"/>
      <c r="AV181" s="271"/>
      <c r="AW181" s="271"/>
      <c r="AX181" s="271"/>
      <c r="AY181" s="271"/>
      <c r="AZ181" s="271"/>
      <c r="BA181" s="271"/>
      <c r="BB181" s="271"/>
      <c r="BC181" s="271"/>
      <c r="BD181" s="271"/>
      <c r="BE181" s="271"/>
      <c r="BF181" s="271"/>
      <c r="BG181" s="271"/>
      <c r="BH181" s="271"/>
      <c r="BI181" s="271"/>
      <c r="BJ181" s="271"/>
      <c r="BK181" s="271"/>
      <c r="BL181" s="271"/>
      <c r="BM181" s="271"/>
      <c r="BN181" s="271"/>
      <c r="BO181" s="271"/>
      <c r="BP181" s="271"/>
      <c r="BQ181" s="271"/>
      <c r="BR181" s="271"/>
      <c r="BS181" s="271"/>
      <c r="BT181" s="271"/>
      <c r="BU181" s="271"/>
      <c r="BV181" s="271"/>
      <c r="BW181" s="271"/>
      <c r="BX181" s="271"/>
      <c r="BY181" s="271"/>
      <c r="BZ181" s="271"/>
    </row>
    <row r="182" ht="13.8" spans="1:78">
      <c r="A182" s="271"/>
      <c r="B182" s="271"/>
      <c r="C182" s="271"/>
      <c r="D182" s="272"/>
      <c r="E182" s="272"/>
      <c r="F182" s="271"/>
      <c r="G182" s="272"/>
      <c r="H182" s="271"/>
      <c r="I182" s="271"/>
      <c r="J182" s="272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3"/>
      <c r="V182" s="271"/>
      <c r="W182" s="271"/>
      <c r="X182" s="274"/>
      <c r="Y182" s="274"/>
      <c r="Z182" s="271"/>
      <c r="AA182" s="271"/>
      <c r="AB182" s="271"/>
      <c r="AC182" s="271"/>
      <c r="AD182" s="271"/>
      <c r="AE182" s="271"/>
      <c r="AF182" s="271"/>
      <c r="AG182" s="271"/>
      <c r="AH182" s="271"/>
      <c r="AI182" s="271"/>
      <c r="AJ182" s="271"/>
      <c r="AK182" s="271"/>
      <c r="AL182" s="271"/>
      <c r="AM182" s="271"/>
      <c r="AN182" s="271"/>
      <c r="AO182" s="271"/>
      <c r="AP182" s="271"/>
      <c r="AQ182" s="271"/>
      <c r="AR182" s="271"/>
      <c r="AS182" s="271"/>
      <c r="AT182" s="271"/>
      <c r="AU182" s="271"/>
      <c r="AV182" s="271"/>
      <c r="AW182" s="271"/>
      <c r="AX182" s="271"/>
      <c r="AY182" s="271"/>
      <c r="AZ182" s="271"/>
      <c r="BA182" s="271"/>
      <c r="BB182" s="271"/>
      <c r="BC182" s="271"/>
      <c r="BD182" s="271"/>
      <c r="BE182" s="271"/>
      <c r="BF182" s="271"/>
      <c r="BG182" s="271"/>
      <c r="BH182" s="271"/>
      <c r="BI182" s="271"/>
      <c r="BJ182" s="271"/>
      <c r="BK182" s="271"/>
      <c r="BL182" s="271"/>
      <c r="BM182" s="271"/>
      <c r="BN182" s="271"/>
      <c r="BO182" s="271"/>
      <c r="BP182" s="271"/>
      <c r="BQ182" s="271"/>
      <c r="BR182" s="271"/>
      <c r="BS182" s="271"/>
      <c r="BT182" s="271"/>
      <c r="BU182" s="271"/>
      <c r="BV182" s="271"/>
      <c r="BW182" s="271"/>
      <c r="BX182" s="271"/>
      <c r="BY182" s="271"/>
      <c r="BZ182" s="271"/>
    </row>
    <row r="183" ht="13.8" spans="1:78">
      <c r="A183" s="271"/>
      <c r="B183" s="271"/>
      <c r="C183" s="271"/>
      <c r="D183" s="272"/>
      <c r="E183" s="272"/>
      <c r="F183" s="271"/>
      <c r="G183" s="272"/>
      <c r="H183" s="271"/>
      <c r="I183" s="271"/>
      <c r="J183" s="272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3"/>
      <c r="V183" s="271"/>
      <c r="W183" s="271"/>
      <c r="X183" s="274"/>
      <c r="Y183" s="274"/>
      <c r="Z183" s="271"/>
      <c r="AA183" s="271"/>
      <c r="AB183" s="271"/>
      <c r="AC183" s="271"/>
      <c r="AD183" s="271"/>
      <c r="AE183" s="271"/>
      <c r="AF183" s="271"/>
      <c r="AG183" s="271"/>
      <c r="AH183" s="271"/>
      <c r="AI183" s="271"/>
      <c r="AJ183" s="271"/>
      <c r="AK183" s="271"/>
      <c r="AL183" s="271"/>
      <c r="AM183" s="271"/>
      <c r="AN183" s="271"/>
      <c r="AO183" s="271"/>
      <c r="AP183" s="271"/>
      <c r="AQ183" s="271"/>
      <c r="AR183" s="271"/>
      <c r="AS183" s="271"/>
      <c r="AT183" s="271"/>
      <c r="AU183" s="271"/>
      <c r="AV183" s="271"/>
      <c r="AW183" s="271"/>
      <c r="AX183" s="271"/>
      <c r="AY183" s="271"/>
      <c r="AZ183" s="271"/>
      <c r="BA183" s="271"/>
      <c r="BB183" s="271"/>
      <c r="BC183" s="271"/>
      <c r="BD183" s="271"/>
      <c r="BE183" s="271"/>
      <c r="BF183" s="271"/>
      <c r="BG183" s="271"/>
      <c r="BH183" s="271"/>
      <c r="BI183" s="271"/>
      <c r="BJ183" s="271"/>
      <c r="BK183" s="271"/>
      <c r="BL183" s="271"/>
      <c r="BM183" s="271"/>
      <c r="BN183" s="271"/>
      <c r="BO183" s="271"/>
      <c r="BP183" s="271"/>
      <c r="BQ183" s="271"/>
      <c r="BR183" s="271"/>
      <c r="BS183" s="271"/>
      <c r="BT183" s="271"/>
      <c r="BU183" s="271"/>
      <c r="BV183" s="271"/>
      <c r="BW183" s="271"/>
      <c r="BX183" s="271"/>
      <c r="BY183" s="271"/>
      <c r="BZ183" s="271"/>
    </row>
    <row r="184" ht="13.8" spans="1:78">
      <c r="A184" s="271"/>
      <c r="B184" s="271"/>
      <c r="C184" s="271"/>
      <c r="D184" s="272"/>
      <c r="E184" s="272"/>
      <c r="F184" s="271"/>
      <c r="G184" s="272"/>
      <c r="H184" s="271"/>
      <c r="I184" s="271"/>
      <c r="J184" s="272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3"/>
      <c r="V184" s="271"/>
      <c r="W184" s="271"/>
      <c r="X184" s="274"/>
      <c r="Y184" s="274"/>
      <c r="Z184" s="271"/>
      <c r="AA184" s="271"/>
      <c r="AB184" s="271"/>
      <c r="AC184" s="271"/>
      <c r="AD184" s="271"/>
      <c r="AE184" s="271"/>
      <c r="AF184" s="271"/>
      <c r="AG184" s="271"/>
      <c r="AH184" s="271"/>
      <c r="AI184" s="271"/>
      <c r="AJ184" s="271"/>
      <c r="AK184" s="271"/>
      <c r="AL184" s="271"/>
      <c r="AM184" s="271"/>
      <c r="AN184" s="271"/>
      <c r="AO184" s="271"/>
      <c r="AP184" s="271"/>
      <c r="AQ184" s="271"/>
      <c r="AR184" s="271"/>
      <c r="AS184" s="271"/>
      <c r="AT184" s="271"/>
      <c r="AU184" s="271"/>
      <c r="AV184" s="271"/>
      <c r="AW184" s="271"/>
      <c r="AX184" s="271"/>
      <c r="AY184" s="271"/>
      <c r="AZ184" s="271"/>
      <c r="BA184" s="271"/>
      <c r="BB184" s="271"/>
      <c r="BC184" s="271"/>
      <c r="BD184" s="271"/>
      <c r="BE184" s="271"/>
      <c r="BF184" s="271"/>
      <c r="BG184" s="271"/>
      <c r="BH184" s="271"/>
      <c r="BI184" s="271"/>
      <c r="BJ184" s="271"/>
      <c r="BK184" s="271"/>
      <c r="BL184" s="271"/>
      <c r="BM184" s="271"/>
      <c r="BN184" s="271"/>
      <c r="BO184" s="271"/>
      <c r="BP184" s="271"/>
      <c r="BQ184" s="271"/>
      <c r="BR184" s="271"/>
      <c r="BS184" s="271"/>
      <c r="BT184" s="271"/>
      <c r="BU184" s="271"/>
      <c r="BV184" s="271"/>
      <c r="BW184" s="271"/>
      <c r="BX184" s="271"/>
      <c r="BY184" s="271"/>
      <c r="BZ184" s="271"/>
    </row>
    <row r="185" ht="13.8" spans="1:78">
      <c r="A185" s="271"/>
      <c r="B185" s="271"/>
      <c r="C185" s="271"/>
      <c r="D185" s="272"/>
      <c r="E185" s="272"/>
      <c r="F185" s="271"/>
      <c r="G185" s="272"/>
      <c r="H185" s="271"/>
      <c r="I185" s="271"/>
      <c r="J185" s="272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3"/>
      <c r="V185" s="271"/>
      <c r="W185" s="271"/>
      <c r="X185" s="274"/>
      <c r="Y185" s="274"/>
      <c r="Z185" s="271"/>
      <c r="AA185" s="271"/>
      <c r="AB185" s="271"/>
      <c r="AC185" s="271"/>
      <c r="AD185" s="271"/>
      <c r="AE185" s="271"/>
      <c r="AF185" s="271"/>
      <c r="AG185" s="271"/>
      <c r="AH185" s="271"/>
      <c r="AI185" s="271"/>
      <c r="AJ185" s="271"/>
      <c r="AK185" s="271"/>
      <c r="AL185" s="271"/>
      <c r="AM185" s="271"/>
      <c r="AN185" s="271"/>
      <c r="AO185" s="271"/>
      <c r="AP185" s="271"/>
      <c r="AQ185" s="271"/>
      <c r="AR185" s="271"/>
      <c r="AS185" s="271"/>
      <c r="AT185" s="271"/>
      <c r="AU185" s="271"/>
      <c r="AV185" s="271"/>
      <c r="AW185" s="271"/>
      <c r="AX185" s="271"/>
      <c r="AY185" s="271"/>
      <c r="AZ185" s="271"/>
      <c r="BA185" s="271"/>
      <c r="BB185" s="271"/>
      <c r="BC185" s="271"/>
      <c r="BD185" s="271"/>
      <c r="BE185" s="271"/>
      <c r="BF185" s="271"/>
      <c r="BG185" s="271"/>
      <c r="BH185" s="271"/>
      <c r="BI185" s="271"/>
      <c r="BJ185" s="271"/>
      <c r="BK185" s="271"/>
      <c r="BL185" s="271"/>
      <c r="BM185" s="271"/>
      <c r="BN185" s="271"/>
      <c r="BO185" s="271"/>
      <c r="BP185" s="271"/>
      <c r="BQ185" s="271"/>
      <c r="BR185" s="271"/>
      <c r="BS185" s="271"/>
      <c r="BT185" s="271"/>
      <c r="BU185" s="271"/>
      <c r="BV185" s="271"/>
      <c r="BW185" s="271"/>
      <c r="BX185" s="271"/>
      <c r="BY185" s="271"/>
      <c r="BZ185" s="271"/>
    </row>
    <row r="186" ht="13.8" spans="1:78">
      <c r="A186" s="271"/>
      <c r="B186" s="271"/>
      <c r="C186" s="271"/>
      <c r="D186" s="272"/>
      <c r="E186" s="272"/>
      <c r="F186" s="271"/>
      <c r="G186" s="272"/>
      <c r="H186" s="271"/>
      <c r="I186" s="271"/>
      <c r="J186" s="272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3"/>
      <c r="V186" s="271"/>
      <c r="W186" s="271"/>
      <c r="X186" s="274"/>
      <c r="Y186" s="274"/>
      <c r="Z186" s="271"/>
      <c r="AA186" s="271"/>
      <c r="AB186" s="271"/>
      <c r="AC186" s="271"/>
      <c r="AD186" s="271"/>
      <c r="AE186" s="271"/>
      <c r="AF186" s="271"/>
      <c r="AG186" s="271"/>
      <c r="AH186" s="271"/>
      <c r="AI186" s="271"/>
      <c r="AJ186" s="271"/>
      <c r="AK186" s="271"/>
      <c r="AL186" s="271"/>
      <c r="AM186" s="271"/>
      <c r="AN186" s="271"/>
      <c r="AO186" s="271"/>
      <c r="AP186" s="271"/>
      <c r="AQ186" s="271"/>
      <c r="AR186" s="271"/>
      <c r="AS186" s="271"/>
      <c r="AT186" s="271"/>
      <c r="AU186" s="271"/>
      <c r="AV186" s="271"/>
      <c r="AW186" s="271"/>
      <c r="AX186" s="271"/>
      <c r="AY186" s="271"/>
      <c r="AZ186" s="271"/>
      <c r="BA186" s="271"/>
      <c r="BB186" s="271"/>
      <c r="BC186" s="271"/>
      <c r="BD186" s="271"/>
      <c r="BE186" s="271"/>
      <c r="BF186" s="271"/>
      <c r="BG186" s="271"/>
      <c r="BH186" s="271"/>
      <c r="BI186" s="271"/>
      <c r="BJ186" s="271"/>
      <c r="BK186" s="271"/>
      <c r="BL186" s="271"/>
      <c r="BM186" s="271"/>
      <c r="BN186" s="271"/>
      <c r="BO186" s="271"/>
      <c r="BP186" s="271"/>
      <c r="BQ186" s="271"/>
      <c r="BR186" s="271"/>
      <c r="BS186" s="271"/>
      <c r="BT186" s="271"/>
      <c r="BU186" s="271"/>
      <c r="BV186" s="271"/>
      <c r="BW186" s="271"/>
      <c r="BX186" s="271"/>
      <c r="BY186" s="271"/>
      <c r="BZ186" s="271"/>
    </row>
    <row r="187" ht="13.8" spans="1:78">
      <c r="A187" s="271"/>
      <c r="B187" s="271"/>
      <c r="C187" s="271"/>
      <c r="D187" s="272"/>
      <c r="E187" s="272"/>
      <c r="F187" s="271"/>
      <c r="G187" s="272"/>
      <c r="H187" s="271"/>
      <c r="I187" s="271"/>
      <c r="J187" s="272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3"/>
      <c r="V187" s="271"/>
      <c r="W187" s="271"/>
      <c r="X187" s="274"/>
      <c r="Y187" s="274"/>
      <c r="Z187" s="271"/>
      <c r="AA187" s="271"/>
      <c r="AB187" s="271"/>
      <c r="AC187" s="271"/>
      <c r="AD187" s="271"/>
      <c r="AE187" s="271"/>
      <c r="AF187" s="271"/>
      <c r="AG187" s="271"/>
      <c r="AH187" s="271"/>
      <c r="AI187" s="271"/>
      <c r="AJ187" s="271"/>
      <c r="AK187" s="271"/>
      <c r="AL187" s="271"/>
      <c r="AM187" s="271"/>
      <c r="AN187" s="271"/>
      <c r="AO187" s="271"/>
      <c r="AP187" s="271"/>
      <c r="AQ187" s="271"/>
      <c r="AR187" s="271"/>
      <c r="AS187" s="271"/>
      <c r="AT187" s="271"/>
      <c r="AU187" s="271"/>
      <c r="AV187" s="271"/>
      <c r="AW187" s="271"/>
      <c r="AX187" s="271"/>
      <c r="AY187" s="271"/>
      <c r="AZ187" s="271"/>
      <c r="BA187" s="271"/>
      <c r="BB187" s="271"/>
      <c r="BC187" s="271"/>
      <c r="BD187" s="271"/>
      <c r="BE187" s="271"/>
      <c r="BF187" s="271"/>
      <c r="BG187" s="271"/>
      <c r="BH187" s="271"/>
      <c r="BI187" s="271"/>
      <c r="BJ187" s="271"/>
      <c r="BK187" s="271"/>
      <c r="BL187" s="271"/>
      <c r="BM187" s="271"/>
      <c r="BN187" s="271"/>
      <c r="BO187" s="271"/>
      <c r="BP187" s="271"/>
      <c r="BQ187" s="271"/>
      <c r="BR187" s="271"/>
      <c r="BS187" s="271"/>
      <c r="BT187" s="271"/>
      <c r="BU187" s="271"/>
      <c r="BV187" s="271"/>
      <c r="BW187" s="271"/>
      <c r="BX187" s="271"/>
      <c r="BY187" s="271"/>
      <c r="BZ187" s="271"/>
    </row>
    <row r="188" ht="13.8" spans="1:78">
      <c r="A188" s="271"/>
      <c r="B188" s="271"/>
      <c r="C188" s="271"/>
      <c r="D188" s="272"/>
      <c r="E188" s="272"/>
      <c r="F188" s="271"/>
      <c r="G188" s="272"/>
      <c r="H188" s="271"/>
      <c r="I188" s="271"/>
      <c r="J188" s="272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3"/>
      <c r="V188" s="271"/>
      <c r="W188" s="271"/>
      <c r="X188" s="274"/>
      <c r="Y188" s="274"/>
      <c r="Z188" s="271"/>
      <c r="AA188" s="271"/>
      <c r="AB188" s="271"/>
      <c r="AC188" s="271"/>
      <c r="AD188" s="271"/>
      <c r="AE188" s="271"/>
      <c r="AF188" s="271"/>
      <c r="AG188" s="271"/>
      <c r="AH188" s="271"/>
      <c r="AI188" s="271"/>
      <c r="AJ188" s="271"/>
      <c r="AK188" s="271"/>
      <c r="AL188" s="271"/>
      <c r="AM188" s="271"/>
      <c r="AN188" s="271"/>
      <c r="AO188" s="271"/>
      <c r="AP188" s="271"/>
      <c r="AQ188" s="271"/>
      <c r="AR188" s="271"/>
      <c r="AS188" s="271"/>
      <c r="AT188" s="271"/>
      <c r="AU188" s="271"/>
      <c r="AV188" s="271"/>
      <c r="AW188" s="271"/>
      <c r="AX188" s="271"/>
      <c r="AY188" s="271"/>
      <c r="AZ188" s="271"/>
      <c r="BA188" s="271"/>
      <c r="BB188" s="271"/>
      <c r="BC188" s="271"/>
      <c r="BD188" s="271"/>
      <c r="BE188" s="271"/>
      <c r="BF188" s="271"/>
      <c r="BG188" s="271"/>
      <c r="BH188" s="271"/>
      <c r="BI188" s="271"/>
      <c r="BJ188" s="271"/>
      <c r="BK188" s="271"/>
      <c r="BL188" s="271"/>
      <c r="BM188" s="271"/>
      <c r="BN188" s="271"/>
      <c r="BO188" s="271"/>
      <c r="BP188" s="271"/>
      <c r="BQ188" s="271"/>
      <c r="BR188" s="271"/>
      <c r="BS188" s="271"/>
      <c r="BT188" s="271"/>
      <c r="BU188" s="271"/>
      <c r="BV188" s="271"/>
      <c r="BW188" s="271"/>
      <c r="BX188" s="271"/>
      <c r="BY188" s="271"/>
      <c r="BZ188" s="271"/>
    </row>
    <row r="189" ht="13.8" spans="1:78">
      <c r="A189" s="271"/>
      <c r="B189" s="271"/>
      <c r="C189" s="271"/>
      <c r="D189" s="272"/>
      <c r="E189" s="272"/>
      <c r="F189" s="271"/>
      <c r="G189" s="272"/>
      <c r="H189" s="271"/>
      <c r="I189" s="271"/>
      <c r="J189" s="272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3"/>
      <c r="V189" s="271"/>
      <c r="W189" s="271"/>
      <c r="X189" s="274"/>
      <c r="Y189" s="274"/>
      <c r="Z189" s="271"/>
      <c r="AA189" s="271"/>
      <c r="AB189" s="271"/>
      <c r="AC189" s="271"/>
      <c r="AD189" s="271"/>
      <c r="AE189" s="271"/>
      <c r="AF189" s="271"/>
      <c r="AG189" s="271"/>
      <c r="AH189" s="271"/>
      <c r="AI189" s="271"/>
      <c r="AJ189" s="271"/>
      <c r="AK189" s="271"/>
      <c r="AL189" s="271"/>
      <c r="AM189" s="271"/>
      <c r="AN189" s="271"/>
      <c r="AO189" s="271"/>
      <c r="AP189" s="271"/>
      <c r="AQ189" s="271"/>
      <c r="AR189" s="271"/>
      <c r="AS189" s="271"/>
      <c r="AT189" s="271"/>
      <c r="AU189" s="271"/>
      <c r="AV189" s="271"/>
      <c r="AW189" s="271"/>
      <c r="AX189" s="271"/>
      <c r="AY189" s="271"/>
      <c r="AZ189" s="271"/>
      <c r="BA189" s="271"/>
      <c r="BB189" s="271"/>
      <c r="BC189" s="271"/>
      <c r="BD189" s="271"/>
      <c r="BE189" s="271"/>
      <c r="BF189" s="271"/>
      <c r="BG189" s="271"/>
      <c r="BH189" s="271"/>
      <c r="BI189" s="271"/>
      <c r="BJ189" s="271"/>
      <c r="BK189" s="271"/>
      <c r="BL189" s="271"/>
      <c r="BM189" s="271"/>
      <c r="BN189" s="271"/>
      <c r="BO189" s="271"/>
      <c r="BP189" s="271"/>
      <c r="BQ189" s="271"/>
      <c r="BR189" s="271"/>
      <c r="BS189" s="271"/>
      <c r="BT189" s="271"/>
      <c r="BU189" s="271"/>
      <c r="BV189" s="271"/>
      <c r="BW189" s="271"/>
      <c r="BX189" s="271"/>
      <c r="BY189" s="271"/>
      <c r="BZ189" s="271"/>
    </row>
    <row r="190" ht="13.8" spans="1:78">
      <c r="A190" s="271"/>
      <c r="B190" s="271"/>
      <c r="C190" s="271"/>
      <c r="D190" s="272"/>
      <c r="E190" s="272"/>
      <c r="F190" s="271"/>
      <c r="G190" s="272"/>
      <c r="H190" s="271"/>
      <c r="I190" s="271"/>
      <c r="J190" s="272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3"/>
      <c r="V190" s="271"/>
      <c r="W190" s="271"/>
      <c r="X190" s="274"/>
      <c r="Y190" s="274"/>
      <c r="Z190" s="271"/>
      <c r="AA190" s="271"/>
      <c r="AB190" s="271"/>
      <c r="AC190" s="271"/>
      <c r="AD190" s="271"/>
      <c r="AE190" s="271"/>
      <c r="AF190" s="271"/>
      <c r="AG190" s="271"/>
      <c r="AH190" s="271"/>
      <c r="AI190" s="271"/>
      <c r="AJ190" s="271"/>
      <c r="AK190" s="271"/>
      <c r="AL190" s="271"/>
      <c r="AM190" s="271"/>
      <c r="AN190" s="271"/>
      <c r="AO190" s="271"/>
      <c r="AP190" s="271"/>
      <c r="AQ190" s="271"/>
      <c r="AR190" s="271"/>
      <c r="AS190" s="271"/>
      <c r="AT190" s="271"/>
      <c r="AU190" s="271"/>
      <c r="AV190" s="271"/>
      <c r="AW190" s="271"/>
      <c r="AX190" s="271"/>
      <c r="AY190" s="271"/>
      <c r="AZ190" s="271"/>
      <c r="BA190" s="271"/>
      <c r="BB190" s="271"/>
      <c r="BC190" s="271"/>
      <c r="BD190" s="271"/>
      <c r="BE190" s="271"/>
      <c r="BF190" s="271"/>
      <c r="BG190" s="271"/>
      <c r="BH190" s="271"/>
      <c r="BI190" s="271"/>
      <c r="BJ190" s="271"/>
      <c r="BK190" s="271"/>
      <c r="BL190" s="271"/>
      <c r="BM190" s="271"/>
      <c r="BN190" s="271"/>
      <c r="BO190" s="271"/>
      <c r="BP190" s="271"/>
      <c r="BQ190" s="271"/>
      <c r="BR190" s="271"/>
      <c r="BS190" s="271"/>
      <c r="BT190" s="271"/>
      <c r="BU190" s="271"/>
      <c r="BV190" s="271"/>
      <c r="BW190" s="271"/>
      <c r="BX190" s="271"/>
      <c r="BY190" s="271"/>
      <c r="BZ190" s="271"/>
    </row>
    <row r="191" ht="13.8" spans="1:78">
      <c r="A191" s="271"/>
      <c r="B191" s="271"/>
      <c r="C191" s="271"/>
      <c r="D191" s="272"/>
      <c r="E191" s="272"/>
      <c r="F191" s="271"/>
      <c r="G191" s="272"/>
      <c r="H191" s="271"/>
      <c r="I191" s="271"/>
      <c r="J191" s="272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3"/>
      <c r="V191" s="271"/>
      <c r="W191" s="271"/>
      <c r="X191" s="274"/>
      <c r="Y191" s="274"/>
      <c r="Z191" s="271"/>
      <c r="AA191" s="271"/>
      <c r="AB191" s="271"/>
      <c r="AC191" s="271"/>
      <c r="AD191" s="271"/>
      <c r="AE191" s="271"/>
      <c r="AF191" s="271"/>
      <c r="AG191" s="271"/>
      <c r="AH191" s="271"/>
      <c r="AI191" s="271"/>
      <c r="AJ191" s="271"/>
      <c r="AK191" s="271"/>
      <c r="AL191" s="271"/>
      <c r="AM191" s="271"/>
      <c r="AN191" s="271"/>
      <c r="AO191" s="271"/>
      <c r="AP191" s="271"/>
      <c r="AQ191" s="271"/>
      <c r="AR191" s="271"/>
      <c r="AS191" s="271"/>
      <c r="AT191" s="271"/>
      <c r="AU191" s="271"/>
      <c r="AV191" s="271"/>
      <c r="AW191" s="271"/>
      <c r="AX191" s="271"/>
      <c r="AY191" s="271"/>
      <c r="AZ191" s="271"/>
      <c r="BA191" s="271"/>
      <c r="BB191" s="271"/>
      <c r="BC191" s="271"/>
      <c r="BD191" s="271"/>
      <c r="BE191" s="271"/>
      <c r="BF191" s="271"/>
      <c r="BG191" s="271"/>
      <c r="BH191" s="271"/>
      <c r="BI191" s="271"/>
      <c r="BJ191" s="271"/>
      <c r="BK191" s="271"/>
      <c r="BL191" s="271"/>
      <c r="BM191" s="271"/>
      <c r="BN191" s="271"/>
      <c r="BO191" s="271"/>
      <c r="BP191" s="271"/>
      <c r="BQ191" s="271"/>
      <c r="BR191" s="271"/>
      <c r="BS191" s="271"/>
      <c r="BT191" s="271"/>
      <c r="BU191" s="271"/>
      <c r="BV191" s="271"/>
      <c r="BW191" s="271"/>
      <c r="BX191" s="271"/>
      <c r="BY191" s="271"/>
      <c r="BZ191" s="271"/>
    </row>
    <row r="192" ht="13.8" spans="1:78">
      <c r="A192" s="271"/>
      <c r="B192" s="271"/>
      <c r="C192" s="271"/>
      <c r="D192" s="272"/>
      <c r="E192" s="272"/>
      <c r="F192" s="271"/>
      <c r="G192" s="272"/>
      <c r="H192" s="271"/>
      <c r="I192" s="271"/>
      <c r="J192" s="272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3"/>
      <c r="V192" s="271"/>
      <c r="W192" s="271"/>
      <c r="X192" s="274"/>
      <c r="Y192" s="274"/>
      <c r="Z192" s="271"/>
      <c r="AA192" s="271"/>
      <c r="AB192" s="271"/>
      <c r="AC192" s="271"/>
      <c r="AD192" s="271"/>
      <c r="AE192" s="271"/>
      <c r="AF192" s="271"/>
      <c r="AG192" s="271"/>
      <c r="AH192" s="271"/>
      <c r="AI192" s="271"/>
      <c r="AJ192" s="271"/>
      <c r="AK192" s="271"/>
      <c r="AL192" s="271"/>
      <c r="AM192" s="271"/>
      <c r="AN192" s="271"/>
      <c r="AO192" s="271"/>
      <c r="AP192" s="271"/>
      <c r="AQ192" s="271"/>
      <c r="AR192" s="271"/>
      <c r="AS192" s="271"/>
      <c r="AT192" s="271"/>
      <c r="AU192" s="271"/>
      <c r="AV192" s="271"/>
      <c r="AW192" s="271"/>
      <c r="AX192" s="271"/>
      <c r="AY192" s="271"/>
      <c r="AZ192" s="271"/>
      <c r="BA192" s="271"/>
      <c r="BB192" s="271"/>
      <c r="BC192" s="271"/>
      <c r="BD192" s="271"/>
      <c r="BE192" s="271"/>
      <c r="BF192" s="271"/>
      <c r="BG192" s="271"/>
      <c r="BH192" s="271"/>
      <c r="BI192" s="271"/>
      <c r="BJ192" s="271"/>
      <c r="BK192" s="271"/>
      <c r="BL192" s="271"/>
      <c r="BM192" s="271"/>
      <c r="BN192" s="271"/>
      <c r="BO192" s="271"/>
      <c r="BP192" s="271"/>
      <c r="BQ192" s="271"/>
      <c r="BR192" s="271"/>
      <c r="BS192" s="271"/>
      <c r="BT192" s="271"/>
      <c r="BU192" s="271"/>
      <c r="BV192" s="271"/>
      <c r="BW192" s="271"/>
      <c r="BX192" s="271"/>
      <c r="BY192" s="271"/>
      <c r="BZ192" s="271"/>
    </row>
    <row r="193" ht="13.8" spans="1:78">
      <c r="A193" s="271"/>
      <c r="B193" s="271"/>
      <c r="C193" s="271"/>
      <c r="D193" s="272"/>
      <c r="E193" s="272"/>
      <c r="F193" s="271"/>
      <c r="G193" s="272"/>
      <c r="H193" s="271"/>
      <c r="I193" s="271"/>
      <c r="J193" s="272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3"/>
      <c r="V193" s="271"/>
      <c r="W193" s="271"/>
      <c r="X193" s="274"/>
      <c r="Y193" s="274"/>
      <c r="Z193" s="271"/>
      <c r="AA193" s="271"/>
      <c r="AB193" s="271"/>
      <c r="AC193" s="271"/>
      <c r="AD193" s="271"/>
      <c r="AE193" s="271"/>
      <c r="AF193" s="271"/>
      <c r="AG193" s="271"/>
      <c r="AH193" s="271"/>
      <c r="AI193" s="271"/>
      <c r="AJ193" s="271"/>
      <c r="AK193" s="271"/>
      <c r="AL193" s="271"/>
      <c r="AM193" s="271"/>
      <c r="AN193" s="271"/>
      <c r="AO193" s="271"/>
      <c r="AP193" s="271"/>
      <c r="AQ193" s="271"/>
      <c r="AR193" s="271"/>
      <c r="AS193" s="271"/>
      <c r="AT193" s="271"/>
      <c r="AU193" s="271"/>
      <c r="AV193" s="271"/>
      <c r="AW193" s="271"/>
      <c r="AX193" s="271"/>
      <c r="AY193" s="271"/>
      <c r="AZ193" s="271"/>
      <c r="BA193" s="271"/>
      <c r="BB193" s="271"/>
      <c r="BC193" s="271"/>
      <c r="BD193" s="271"/>
      <c r="BE193" s="271"/>
      <c r="BF193" s="271"/>
      <c r="BG193" s="271"/>
      <c r="BH193" s="271"/>
      <c r="BI193" s="271"/>
      <c r="BJ193" s="271"/>
      <c r="BK193" s="271"/>
      <c r="BL193" s="271"/>
      <c r="BM193" s="271"/>
      <c r="BN193" s="271"/>
      <c r="BO193" s="271"/>
      <c r="BP193" s="271"/>
      <c r="BQ193" s="271"/>
      <c r="BR193" s="271"/>
      <c r="BS193" s="271"/>
      <c r="BT193" s="271"/>
      <c r="BU193" s="271"/>
      <c r="BV193" s="271"/>
      <c r="BW193" s="271"/>
      <c r="BX193" s="271"/>
      <c r="BY193" s="271"/>
      <c r="BZ193" s="271"/>
    </row>
    <row r="194" ht="13.8" spans="1:78">
      <c r="A194" s="271"/>
      <c r="B194" s="271"/>
      <c r="C194" s="271"/>
      <c r="D194" s="272"/>
      <c r="E194" s="272"/>
      <c r="F194" s="271"/>
      <c r="G194" s="272"/>
      <c r="H194" s="271"/>
      <c r="I194" s="271"/>
      <c r="J194" s="272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3"/>
      <c r="V194" s="271"/>
      <c r="W194" s="271"/>
      <c r="X194" s="274"/>
      <c r="Y194" s="274"/>
      <c r="Z194" s="271"/>
      <c r="AA194" s="271"/>
      <c r="AB194" s="271"/>
      <c r="AC194" s="271"/>
      <c r="AD194" s="271"/>
      <c r="AE194" s="271"/>
      <c r="AF194" s="271"/>
      <c r="AG194" s="271"/>
      <c r="AH194" s="271"/>
      <c r="AI194" s="271"/>
      <c r="AJ194" s="271"/>
      <c r="AK194" s="271"/>
      <c r="AL194" s="271"/>
      <c r="AM194" s="271"/>
      <c r="AN194" s="271"/>
      <c r="AO194" s="271"/>
      <c r="AP194" s="271"/>
      <c r="AQ194" s="271"/>
      <c r="AR194" s="271"/>
      <c r="AS194" s="271"/>
      <c r="AT194" s="271"/>
      <c r="AU194" s="271"/>
      <c r="AV194" s="271"/>
      <c r="AW194" s="271"/>
      <c r="AX194" s="271"/>
      <c r="AY194" s="271"/>
      <c r="AZ194" s="271"/>
      <c r="BA194" s="271"/>
      <c r="BB194" s="271"/>
      <c r="BC194" s="271"/>
      <c r="BD194" s="271"/>
      <c r="BE194" s="271"/>
      <c r="BF194" s="271"/>
      <c r="BG194" s="271"/>
      <c r="BH194" s="271"/>
      <c r="BI194" s="271"/>
      <c r="BJ194" s="271"/>
      <c r="BK194" s="271"/>
      <c r="BL194" s="271"/>
      <c r="BM194" s="271"/>
      <c r="BN194" s="271"/>
      <c r="BO194" s="271"/>
      <c r="BP194" s="271"/>
      <c r="BQ194" s="271"/>
      <c r="BR194" s="271"/>
      <c r="BS194" s="271"/>
      <c r="BT194" s="271"/>
      <c r="BU194" s="271"/>
      <c r="BV194" s="271"/>
      <c r="BW194" s="271"/>
      <c r="BX194" s="271"/>
      <c r="BY194" s="271"/>
      <c r="BZ194" s="271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91"/>
  <sheetViews>
    <sheetView workbookViewId="0">
      <selection activeCell="F2" sqref="F2:F7"/>
    </sheetView>
  </sheetViews>
  <sheetFormatPr defaultColWidth="17" defaultRowHeight="16.5" customHeight="1"/>
  <cols>
    <col min="1" max="1" width="8.20833333333333" customWidth="1"/>
    <col min="2" max="2" width="16.9375" customWidth="1"/>
    <col min="3" max="3" width="9.60416666666667" customWidth="1"/>
    <col min="4" max="4" width="11.1666666666667" customWidth="1"/>
    <col min="5" max="5" width="26.375" customWidth="1"/>
    <col min="6" max="6" width="12.3958333333333" customWidth="1"/>
    <col min="7" max="7" width="13.1041666666667" customWidth="1"/>
    <col min="8" max="8" width="14.6666666666667" customWidth="1"/>
    <col min="9" max="9" width="16.0625" customWidth="1"/>
    <col min="10" max="11" width="10.125" customWidth="1"/>
    <col min="12" max="12" width="16.59375" customWidth="1"/>
    <col min="13" max="13" width="11.5208333333333" customWidth="1"/>
    <col min="14" max="16" width="12.21875" customWidth="1"/>
    <col min="17" max="18" width="8.20833333333333" customWidth="1"/>
    <col min="19" max="24" width="6.11458333333333" customWidth="1"/>
    <col min="25" max="28" width="7.33333333333333" customWidth="1"/>
    <col min="29" max="33" width="12.5729166666667" customWidth="1"/>
    <col min="34" max="67" width="16.59375" customWidth="1"/>
  </cols>
  <sheetData>
    <row r="1" ht="39" customHeight="1" spans="1:67">
      <c r="A1" s="216" t="s">
        <v>231</v>
      </c>
      <c r="B1" s="216" t="s">
        <v>1</v>
      </c>
      <c r="C1" s="216" t="s">
        <v>232</v>
      </c>
      <c r="D1" s="216" t="s">
        <v>0</v>
      </c>
      <c r="E1" s="216" t="s">
        <v>3</v>
      </c>
      <c r="F1" s="216" t="s">
        <v>103</v>
      </c>
      <c r="G1" s="217" t="s">
        <v>104</v>
      </c>
      <c r="H1" s="218" t="s">
        <v>233</v>
      </c>
      <c r="I1" s="219" t="s">
        <v>106</v>
      </c>
      <c r="J1" s="220" t="s">
        <v>107</v>
      </c>
      <c r="K1" s="221" t="s">
        <v>108</v>
      </c>
      <c r="L1" s="222" t="s">
        <v>109</v>
      </c>
      <c r="M1" s="223" t="s">
        <v>234</v>
      </c>
      <c r="N1" s="220" t="s">
        <v>111</v>
      </c>
      <c r="O1" s="223" t="s">
        <v>112</v>
      </c>
      <c r="P1" s="223" t="s">
        <v>235</v>
      </c>
      <c r="Q1" s="217" t="s">
        <v>9</v>
      </c>
      <c r="R1" s="224" t="s">
        <v>198</v>
      </c>
      <c r="S1" s="225" t="s">
        <v>113</v>
      </c>
      <c r="T1" s="225" t="s">
        <v>114</v>
      </c>
      <c r="U1" s="225" t="s">
        <v>115</v>
      </c>
      <c r="V1" s="226" t="s">
        <v>116</v>
      </c>
      <c r="W1" s="226" t="s">
        <v>215</v>
      </c>
      <c r="X1" s="226" t="s">
        <v>117</v>
      </c>
      <c r="Y1" s="226" t="s">
        <v>118</v>
      </c>
      <c r="Z1" s="227" t="s">
        <v>119</v>
      </c>
      <c r="AA1" s="226" t="s">
        <v>120</v>
      </c>
      <c r="AB1" s="226" t="s">
        <v>121</v>
      </c>
      <c r="AC1" s="228" t="s">
        <v>236</v>
      </c>
      <c r="AD1" s="229" t="s">
        <v>237</v>
      </c>
      <c r="AE1" s="224" t="s">
        <v>238</v>
      </c>
      <c r="AF1" s="226" t="s">
        <v>239</v>
      </c>
      <c r="AG1" s="226" t="s">
        <v>214</v>
      </c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</row>
    <row r="2" ht="13.2" spans="1:67">
      <c r="A2" s="230" t="s">
        <v>240</v>
      </c>
      <c r="B2" s="231"/>
      <c r="C2" s="232" t="s">
        <v>241</v>
      </c>
      <c r="D2" s="232" t="s">
        <v>22</v>
      </c>
      <c r="E2" s="233" t="s">
        <v>242</v>
      </c>
      <c r="F2" s="232"/>
      <c r="G2" s="234" t="s">
        <v>243</v>
      </c>
      <c r="H2" s="235">
        <v>53.99</v>
      </c>
      <c r="I2" s="234">
        <v>64.99</v>
      </c>
      <c r="J2" s="235">
        <f t="shared" ref="J2:J7" si="0">H2-O2/R2-P2-Y2-Z2-AA2-AB2</f>
        <v>3.69941997471555</v>
      </c>
      <c r="K2" s="236">
        <f t="shared" ref="K2:K7" si="1">J2/H2</f>
        <v>0.0685204662847851</v>
      </c>
      <c r="L2" s="237">
        <f t="shared" ref="L2:L7" si="2">(I2-H2)/I2</f>
        <v>0.169256808739806</v>
      </c>
      <c r="M2" s="236">
        <f>(I2-H2+AB2)/(I2)</f>
        <v>0.343712878904447</v>
      </c>
      <c r="N2" s="235">
        <f t="shared" ref="N2:N7" si="3">I2-H2</f>
        <v>11</v>
      </c>
      <c r="O2" s="238">
        <f t="shared" ref="O2:O7" si="4">AD2+AE2</f>
        <v>175.796460176991</v>
      </c>
      <c r="P2" s="234">
        <v>1.5</v>
      </c>
      <c r="Q2" s="232">
        <v>4</v>
      </c>
      <c r="R2" s="232">
        <v>7</v>
      </c>
      <c r="S2" s="239">
        <v>0.1</v>
      </c>
      <c r="T2" s="239">
        <f t="shared" ref="T2:T7" si="5">Z2/H2</f>
        <v>0.118540470457492</v>
      </c>
      <c r="U2" s="239">
        <v>0.01</v>
      </c>
      <c r="V2" s="236">
        <f t="shared" ref="V2:V7" si="6">O2/(H2*R2)</f>
        <v>0.465156140494248</v>
      </c>
      <c r="W2" s="239">
        <f t="shared" ref="W2:W7" si="7">P2/H2</f>
        <v>0.0277829227634747</v>
      </c>
      <c r="X2" s="236">
        <f t="shared" ref="X2:X7" si="8">IF(G2="J671X",0,0.21)</f>
        <v>0.21</v>
      </c>
      <c r="Y2" s="240">
        <f t="shared" ref="Y2:Y7" si="9">H2*S2</f>
        <v>5.399</v>
      </c>
      <c r="Z2" s="240">
        <v>6.4</v>
      </c>
      <c r="AA2" s="240">
        <f t="shared" ref="AA2:AA7" si="10">H2*U2</f>
        <v>0.5399</v>
      </c>
      <c r="AB2" s="241">
        <f t="shared" ref="AB2:AB7" si="11">H2*X2</f>
        <v>11.3379</v>
      </c>
      <c r="AC2" s="242">
        <v>136.5</v>
      </c>
      <c r="AD2" s="242">
        <f t="shared" ref="AD2:AD7" si="12">AC2/1.13</f>
        <v>120.796460176991</v>
      </c>
      <c r="AE2" s="238">
        <v>55</v>
      </c>
      <c r="AF2" s="239">
        <f t="shared" ref="AF2:AF7" si="13">AD2/(H2*R2)</f>
        <v>0.319626545066523</v>
      </c>
      <c r="AG2" s="239">
        <f t="shared" ref="AG2:AG7" si="14">AE2/R2/H2</f>
        <v>0.145529595427725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3.2" spans="1:67">
      <c r="A3" s="243" t="s">
        <v>244</v>
      </c>
      <c r="B3" s="232"/>
      <c r="C3" s="232" t="s">
        <v>241</v>
      </c>
      <c r="D3" s="232" t="s">
        <v>22</v>
      </c>
      <c r="E3" s="233" t="s">
        <v>242</v>
      </c>
      <c r="F3" s="232"/>
      <c r="G3" s="234" t="s">
        <v>245</v>
      </c>
      <c r="H3" s="235">
        <v>48</v>
      </c>
      <c r="I3" s="234">
        <v>89.99</v>
      </c>
      <c r="J3" s="235">
        <f t="shared" si="0"/>
        <v>14.0233628318584</v>
      </c>
      <c r="K3" s="236">
        <f t="shared" si="1"/>
        <v>0.292153392330383</v>
      </c>
      <c r="L3" s="237">
        <f t="shared" si="2"/>
        <v>0.466607400822314</v>
      </c>
      <c r="M3" s="236">
        <f>(I3-H3+AB3-Z3)/(I3-Z3)</f>
        <v>0.399924990623828</v>
      </c>
      <c r="N3" s="235">
        <f t="shared" si="3"/>
        <v>41.99</v>
      </c>
      <c r="O3" s="238">
        <f t="shared" si="4"/>
        <v>120.796460176991</v>
      </c>
      <c r="P3" s="234">
        <v>0</v>
      </c>
      <c r="Q3" s="232">
        <v>4</v>
      </c>
      <c r="R3" s="232">
        <v>7</v>
      </c>
      <c r="S3" s="239">
        <v>0.13</v>
      </c>
      <c r="T3" s="239">
        <f t="shared" si="5"/>
        <v>0.208333333333333</v>
      </c>
      <c r="U3" s="239">
        <v>0.01</v>
      </c>
      <c r="V3" s="236">
        <f t="shared" si="6"/>
        <v>0.359513274336283</v>
      </c>
      <c r="W3" s="239">
        <f t="shared" si="7"/>
        <v>0</v>
      </c>
      <c r="X3" s="236">
        <f t="shared" si="8"/>
        <v>0</v>
      </c>
      <c r="Y3" s="240">
        <f t="shared" si="9"/>
        <v>6.24</v>
      </c>
      <c r="Z3" s="240">
        <v>10</v>
      </c>
      <c r="AA3" s="240">
        <f t="shared" si="10"/>
        <v>0.48</v>
      </c>
      <c r="AB3" s="241">
        <f t="shared" si="11"/>
        <v>0</v>
      </c>
      <c r="AC3" s="242">
        <v>136.5</v>
      </c>
      <c r="AD3" s="242">
        <f t="shared" si="12"/>
        <v>120.796460176991</v>
      </c>
      <c r="AE3" s="238">
        <v>0</v>
      </c>
      <c r="AF3" s="239">
        <f t="shared" si="13"/>
        <v>0.359513274336283</v>
      </c>
      <c r="AG3" s="239">
        <f t="shared" si="14"/>
        <v>0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3.2" spans="1:67">
      <c r="A4" s="232" t="s">
        <v>240</v>
      </c>
      <c r="B4" s="232"/>
      <c r="C4" s="232" t="s">
        <v>241</v>
      </c>
      <c r="D4" s="232" t="s">
        <v>246</v>
      </c>
      <c r="E4" s="233" t="s">
        <v>247</v>
      </c>
      <c r="F4" s="232"/>
      <c r="G4" s="234" t="s">
        <v>243</v>
      </c>
      <c r="H4" s="235">
        <v>22</v>
      </c>
      <c r="I4" s="234">
        <v>29.99</v>
      </c>
      <c r="J4" s="235">
        <f t="shared" si="0"/>
        <v>2.12886219974716</v>
      </c>
      <c r="K4" s="244">
        <f t="shared" si="1"/>
        <v>0.0967664636248707</v>
      </c>
      <c r="L4" s="237">
        <f t="shared" si="2"/>
        <v>0.266422140713571</v>
      </c>
      <c r="M4" s="236">
        <f>(I4-H4+AB4-Z4)/(I4-Z4)</f>
        <v>0.340667678300455</v>
      </c>
      <c r="N4" s="235">
        <f t="shared" si="3"/>
        <v>7.99</v>
      </c>
      <c r="O4" s="238">
        <f t="shared" si="4"/>
        <v>49.7079646017699</v>
      </c>
      <c r="P4" s="234">
        <v>1</v>
      </c>
      <c r="Q4" s="232">
        <v>54</v>
      </c>
      <c r="R4" s="232">
        <v>7</v>
      </c>
      <c r="S4" s="239">
        <v>0.15</v>
      </c>
      <c r="T4" s="239">
        <f t="shared" si="5"/>
        <v>0.165</v>
      </c>
      <c r="U4" s="239">
        <v>0.01</v>
      </c>
      <c r="V4" s="236">
        <f t="shared" si="6"/>
        <v>0.322778990920584</v>
      </c>
      <c r="W4" s="239">
        <f t="shared" si="7"/>
        <v>0.0454545454545455</v>
      </c>
      <c r="X4" s="236">
        <f t="shared" si="8"/>
        <v>0.21</v>
      </c>
      <c r="Y4" s="240">
        <f t="shared" si="9"/>
        <v>3.3</v>
      </c>
      <c r="Z4" s="245">
        <v>3.63</v>
      </c>
      <c r="AA4" s="240">
        <f t="shared" si="10"/>
        <v>0.22</v>
      </c>
      <c r="AB4" s="241">
        <f t="shared" si="11"/>
        <v>4.62</v>
      </c>
      <c r="AC4" s="242">
        <v>46</v>
      </c>
      <c r="AD4" s="242">
        <f t="shared" si="12"/>
        <v>40.7079646017699</v>
      </c>
      <c r="AE4" s="238">
        <v>9</v>
      </c>
      <c r="AF4" s="239">
        <f t="shared" si="13"/>
        <v>0.264337432479025</v>
      </c>
      <c r="AG4" s="239">
        <f t="shared" si="14"/>
        <v>0.0584415584415584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3.2" spans="1:67">
      <c r="A5" s="232" t="s">
        <v>240</v>
      </c>
      <c r="B5" s="232"/>
      <c r="C5" s="232" t="s">
        <v>241</v>
      </c>
      <c r="D5" s="232" t="s">
        <v>246</v>
      </c>
      <c r="E5" s="233" t="s">
        <v>247</v>
      </c>
      <c r="F5" s="232"/>
      <c r="G5" s="234" t="s">
        <v>243</v>
      </c>
      <c r="H5" s="235">
        <v>21</v>
      </c>
      <c r="I5" s="234">
        <v>27.99</v>
      </c>
      <c r="J5" s="235">
        <f t="shared" si="0"/>
        <v>2.33886219974715</v>
      </c>
      <c r="K5" s="244">
        <f t="shared" si="1"/>
        <v>0.11137439046415</v>
      </c>
      <c r="L5" s="237">
        <f t="shared" si="2"/>
        <v>0.2497320471597</v>
      </c>
      <c r="M5" s="236">
        <f>(I5-H5+AB5-Z5)/(I5-Z5)</f>
        <v>0.341666666666667</v>
      </c>
      <c r="N5" s="235">
        <f t="shared" si="3"/>
        <v>6.99</v>
      </c>
      <c r="O5" s="238">
        <f t="shared" si="4"/>
        <v>49.7079646017699</v>
      </c>
      <c r="P5" s="234">
        <v>1</v>
      </c>
      <c r="Q5" s="232">
        <v>54</v>
      </c>
      <c r="R5" s="232">
        <v>7</v>
      </c>
      <c r="S5" s="239">
        <v>0.15</v>
      </c>
      <c r="T5" s="239">
        <f t="shared" si="5"/>
        <v>0.132857142857143</v>
      </c>
      <c r="U5" s="239">
        <v>0.01</v>
      </c>
      <c r="V5" s="236">
        <f t="shared" si="6"/>
        <v>0.338149419059659</v>
      </c>
      <c r="W5" s="239">
        <f t="shared" si="7"/>
        <v>0.0476190476190476</v>
      </c>
      <c r="X5" s="236">
        <f t="shared" si="8"/>
        <v>0.21</v>
      </c>
      <c r="Y5" s="240">
        <f t="shared" si="9"/>
        <v>3.15</v>
      </c>
      <c r="Z5" s="245">
        <v>2.79</v>
      </c>
      <c r="AA5" s="240">
        <f t="shared" si="10"/>
        <v>0.21</v>
      </c>
      <c r="AB5" s="241">
        <f t="shared" si="11"/>
        <v>4.41</v>
      </c>
      <c r="AC5" s="242">
        <v>46</v>
      </c>
      <c r="AD5" s="242">
        <f t="shared" si="12"/>
        <v>40.7079646017699</v>
      </c>
      <c r="AE5" s="238">
        <v>9</v>
      </c>
      <c r="AF5" s="239">
        <f t="shared" si="13"/>
        <v>0.276924929263741</v>
      </c>
      <c r="AG5" s="239">
        <f t="shared" si="14"/>
        <v>0.0612244897959184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ht="13.2" spans="1:67">
      <c r="A6" s="232" t="s">
        <v>240</v>
      </c>
      <c r="B6" s="232"/>
      <c r="C6" s="232" t="s">
        <v>241</v>
      </c>
      <c r="D6" s="232" t="s">
        <v>246</v>
      </c>
      <c r="E6" s="233" t="s">
        <v>247</v>
      </c>
      <c r="F6" s="232"/>
      <c r="G6" s="234" t="s">
        <v>243</v>
      </c>
      <c r="H6" s="235">
        <v>21</v>
      </c>
      <c r="I6" s="234">
        <v>27.99</v>
      </c>
      <c r="J6" s="235">
        <f t="shared" si="0"/>
        <v>0.828862199747155</v>
      </c>
      <c r="K6" s="244">
        <f t="shared" si="1"/>
        <v>0.0394696285593883</v>
      </c>
      <c r="L6" s="237">
        <f t="shared" si="2"/>
        <v>0.2497320471597</v>
      </c>
      <c r="M6" s="236">
        <f>(I6-H6+AB6-Z6)/(I6-Z6)</f>
        <v>0.299704516673702</v>
      </c>
      <c r="N6" s="235">
        <f t="shared" si="3"/>
        <v>6.99</v>
      </c>
      <c r="O6" s="238">
        <f t="shared" si="4"/>
        <v>49.7079646017699</v>
      </c>
      <c r="P6" s="234">
        <v>1</v>
      </c>
      <c r="Q6" s="232">
        <v>54</v>
      </c>
      <c r="R6" s="232">
        <v>7</v>
      </c>
      <c r="S6" s="239">
        <v>0.15</v>
      </c>
      <c r="T6" s="239">
        <f t="shared" si="5"/>
        <v>0.204761904761905</v>
      </c>
      <c r="U6" s="239">
        <v>0.01</v>
      </c>
      <c r="V6" s="236">
        <f t="shared" si="6"/>
        <v>0.338149419059659</v>
      </c>
      <c r="W6" s="239">
        <f t="shared" si="7"/>
        <v>0.0476190476190476</v>
      </c>
      <c r="X6" s="236">
        <f t="shared" si="8"/>
        <v>0.21</v>
      </c>
      <c r="Y6" s="240">
        <f t="shared" si="9"/>
        <v>3.15</v>
      </c>
      <c r="Z6" s="245">
        <v>4.3</v>
      </c>
      <c r="AA6" s="240">
        <f t="shared" si="10"/>
        <v>0.21</v>
      </c>
      <c r="AB6" s="241">
        <f t="shared" si="11"/>
        <v>4.41</v>
      </c>
      <c r="AC6" s="242">
        <v>46</v>
      </c>
      <c r="AD6" s="242">
        <f t="shared" si="12"/>
        <v>40.7079646017699</v>
      </c>
      <c r="AE6" s="238">
        <v>9</v>
      </c>
      <c r="AF6" s="239">
        <f t="shared" si="13"/>
        <v>0.276924929263741</v>
      </c>
      <c r="AG6" s="239">
        <f t="shared" si="14"/>
        <v>0.0612244897959184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</row>
    <row r="7" ht="13.2" spans="1:67">
      <c r="A7" s="232" t="s">
        <v>244</v>
      </c>
      <c r="B7" s="232"/>
      <c r="C7" s="232" t="s">
        <v>241</v>
      </c>
      <c r="D7" s="232" t="s">
        <v>246</v>
      </c>
      <c r="E7" s="233" t="s">
        <v>247</v>
      </c>
      <c r="F7" s="232"/>
      <c r="G7" s="234" t="s">
        <v>245</v>
      </c>
      <c r="H7" s="235">
        <v>19</v>
      </c>
      <c r="I7" s="234">
        <v>34.99</v>
      </c>
      <c r="J7" s="235">
        <f t="shared" si="0"/>
        <v>7.52457648546144</v>
      </c>
      <c r="K7" s="236">
        <f t="shared" si="1"/>
        <v>0.396030341340076</v>
      </c>
      <c r="L7" s="237">
        <f t="shared" si="2"/>
        <v>0.456987710774507</v>
      </c>
      <c r="M7" s="236">
        <f>(I7-H7+AB7-Z7)/(I7-Z7)</f>
        <v>0.406064395123476</v>
      </c>
      <c r="N7" s="235">
        <f t="shared" si="3"/>
        <v>15.99</v>
      </c>
      <c r="O7" s="238">
        <f t="shared" si="4"/>
        <v>40.7079646017699</v>
      </c>
      <c r="P7" s="234">
        <v>0</v>
      </c>
      <c r="Q7" s="232">
        <v>54</v>
      </c>
      <c r="R7" s="232">
        <v>7</v>
      </c>
      <c r="S7" s="239">
        <v>0.13</v>
      </c>
      <c r="T7" s="239">
        <f t="shared" si="5"/>
        <v>0.157894736842105</v>
      </c>
      <c r="U7" s="239">
        <v>0.01</v>
      </c>
      <c r="V7" s="236">
        <f t="shared" si="6"/>
        <v>0.306074921817819</v>
      </c>
      <c r="W7" s="239">
        <f t="shared" si="7"/>
        <v>0</v>
      </c>
      <c r="X7" s="236">
        <f t="shared" si="8"/>
        <v>0</v>
      </c>
      <c r="Y7" s="240">
        <f t="shared" si="9"/>
        <v>2.47</v>
      </c>
      <c r="Z7" s="240">
        <v>3</v>
      </c>
      <c r="AA7" s="240">
        <f t="shared" si="10"/>
        <v>0.19</v>
      </c>
      <c r="AB7" s="241">
        <f t="shared" si="11"/>
        <v>0</v>
      </c>
      <c r="AC7" s="242">
        <v>46</v>
      </c>
      <c r="AD7" s="242">
        <f t="shared" si="12"/>
        <v>40.7079646017699</v>
      </c>
      <c r="AE7" s="238">
        <v>0</v>
      </c>
      <c r="AF7" s="239">
        <f t="shared" si="13"/>
        <v>0.306074921817819</v>
      </c>
      <c r="AG7" s="239">
        <f t="shared" si="14"/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</row>
    <row r="8" ht="11.4" spans="1:67">
      <c r="A8" s="1"/>
    </row>
    <row r="9" ht="11.4" spans="1:67">
      <c r="A9" s="1"/>
    </row>
    <row r="10" ht="20.6" customHeight="1" spans="1:67">
      <c r="A10" s="1"/>
      <c r="E10" s="1"/>
    </row>
    <row r="11" ht="11.4" spans="1:67">
      <c r="A11" s="1"/>
    </row>
    <row r="12" ht="11.4" spans="1:67">
      <c r="A12" s="1"/>
    </row>
    <row r="13" ht="11.4" spans="1:67">
      <c r="A13" s="1"/>
    </row>
    <row r="14" ht="11.4" spans="1:67">
      <c r="A14" s="1"/>
    </row>
    <row r="15" ht="11.4" spans="1:67">
      <c r="A15" s="1"/>
    </row>
    <row r="16" ht="11.4" spans="1:67">
      <c r="A16" s="1"/>
    </row>
    <row r="17" ht="11.4" spans="1:1">
      <c r="A17" s="1"/>
    </row>
    <row r="18" ht="11.4" spans="1:1">
      <c r="A18" s="1"/>
    </row>
    <row r="19" ht="11.4" spans="1:1">
      <c r="A19" s="1"/>
    </row>
    <row r="20" ht="11.4" spans="1:1">
      <c r="A20" s="1"/>
    </row>
    <row r="21" ht="11.4" spans="1:1">
      <c r="A21" s="1"/>
    </row>
    <row r="22" ht="11.4" spans="1:1">
      <c r="A22" s="1"/>
    </row>
    <row r="23" ht="11.4" spans="1:1">
      <c r="A23" s="1"/>
    </row>
    <row r="24" ht="11.4" spans="1:1">
      <c r="A24" s="1"/>
    </row>
    <row r="25" ht="11.4" spans="1:1">
      <c r="A25" s="1"/>
    </row>
    <row r="26" ht="11.4" spans="1:1">
      <c r="A26" s="1"/>
    </row>
    <row r="27" ht="11.4" spans="1:1">
      <c r="A27" s="1"/>
    </row>
    <row r="28" ht="11.4" spans="1:1">
      <c r="A28" s="1"/>
    </row>
    <row r="29" ht="11.4" spans="1:1">
      <c r="A29" s="1"/>
    </row>
    <row r="30" ht="11.4" spans="1:1">
      <c r="A30" s="1"/>
    </row>
    <row r="31" ht="11.4" spans="1:1">
      <c r="A31" s="1"/>
    </row>
    <row r="32" ht="11.4" spans="1:1">
      <c r="A32" s="1"/>
    </row>
    <row r="33" ht="11.4" spans="1:1">
      <c r="A33" s="1"/>
    </row>
    <row r="34" ht="11.4" spans="1:1">
      <c r="A34" s="1"/>
    </row>
    <row r="35" ht="11.4" spans="1:1">
      <c r="A35" s="1"/>
    </row>
    <row r="36" ht="11.4" spans="1:1">
      <c r="A36" s="1"/>
    </row>
    <row r="37" ht="11.4" spans="1:1">
      <c r="A37" s="1"/>
    </row>
    <row r="38" ht="11.4" spans="1:1">
      <c r="A38" s="1"/>
    </row>
    <row r="39" ht="11.4" spans="1:1">
      <c r="A39" s="1"/>
    </row>
    <row r="40" ht="11.4" spans="1:1">
      <c r="A40" s="1"/>
    </row>
    <row r="41" ht="11.4" spans="1:1">
      <c r="A41" s="1"/>
    </row>
    <row r="42" ht="11.4" spans="1:1">
      <c r="A42" s="1"/>
    </row>
    <row r="43" ht="11.4" spans="1:1">
      <c r="A43" s="1"/>
    </row>
    <row r="44" ht="11.4" spans="1:1">
      <c r="A44" s="1"/>
    </row>
    <row r="45" ht="11.4" spans="1:1">
      <c r="A45" s="1"/>
    </row>
    <row r="46" ht="11.4" spans="1:1">
      <c r="A46" s="1"/>
    </row>
    <row r="47" ht="11.4" spans="1:1">
      <c r="A47" s="1"/>
    </row>
    <row r="48" ht="11.4" spans="1:1">
      <c r="A48" s="1"/>
    </row>
    <row r="49" ht="11.4" spans="1:1">
      <c r="A49" s="1"/>
    </row>
    <row r="50" ht="11.4" spans="1:1">
      <c r="A50" s="1"/>
    </row>
    <row r="51" ht="11.4" spans="1:1">
      <c r="A51" s="1"/>
    </row>
    <row r="52" ht="11.4" spans="1:1">
      <c r="A52" s="1"/>
    </row>
    <row r="53" ht="11.4" spans="1:1">
      <c r="A53" s="1"/>
    </row>
    <row r="54" ht="11.4" spans="1:1">
      <c r="A54" s="1"/>
    </row>
    <row r="55" ht="11.4" spans="1:1">
      <c r="A55" s="1"/>
    </row>
    <row r="56" ht="11.4" spans="1:1">
      <c r="A56" s="1"/>
    </row>
    <row r="57" ht="11.4" spans="1:1">
      <c r="A57" s="1"/>
    </row>
    <row r="58" ht="11.4" spans="1:1">
      <c r="A58" s="1"/>
    </row>
    <row r="59" ht="11.4" spans="1:1">
      <c r="A59" s="1"/>
    </row>
    <row r="60" ht="11.4" spans="1:1">
      <c r="A60" s="1"/>
    </row>
    <row r="61" ht="11.4" spans="1:1">
      <c r="A61" s="1"/>
    </row>
    <row r="62" ht="11.4" spans="1:1">
      <c r="A62" s="1"/>
    </row>
    <row r="63" ht="11.4" spans="1:1">
      <c r="A63" s="1"/>
    </row>
    <row r="64" ht="11.4" spans="1:1">
      <c r="A64" s="1"/>
    </row>
    <row r="65" ht="11.4" spans="1:1">
      <c r="A65" s="1"/>
    </row>
    <row r="66" ht="11.4" spans="1:1">
      <c r="A66" s="1"/>
    </row>
    <row r="67" ht="11.4" spans="1:1">
      <c r="A67" s="1"/>
    </row>
    <row r="68" ht="11.4" spans="1:1">
      <c r="A68" s="1"/>
    </row>
    <row r="69" ht="11.4" spans="1:1">
      <c r="A69" s="1"/>
    </row>
    <row r="70" ht="11.4" spans="1:1">
      <c r="A70" s="1"/>
    </row>
    <row r="71" ht="11.4" spans="1:1">
      <c r="A71" s="1"/>
    </row>
    <row r="72" ht="11.4" spans="1:1">
      <c r="A72" s="1"/>
    </row>
    <row r="73" ht="11.4" spans="1:1">
      <c r="A73" s="1"/>
    </row>
    <row r="74" ht="11.4" spans="1:1">
      <c r="A74" s="1"/>
    </row>
    <row r="75" ht="11.4" spans="1:1">
      <c r="A75" s="1"/>
    </row>
    <row r="76" ht="11.4" spans="1:1">
      <c r="A76" s="1"/>
    </row>
    <row r="77" ht="11.4" spans="1:1">
      <c r="A77" s="1"/>
    </row>
    <row r="78" ht="11.4" spans="1:1">
      <c r="A78" s="1"/>
    </row>
    <row r="79" ht="11.4" spans="1:1">
      <c r="A79" s="1"/>
    </row>
    <row r="80" ht="11.4" spans="1:1">
      <c r="A80" s="1"/>
    </row>
    <row r="81" ht="11.4" spans="1:1">
      <c r="A81" s="1"/>
    </row>
    <row r="82" ht="11.4" spans="1:1">
      <c r="A82" s="1"/>
    </row>
    <row r="83" ht="11.4" spans="1:1">
      <c r="A83" s="1"/>
    </row>
    <row r="84" ht="11.4" spans="1:1">
      <c r="A84" s="1"/>
    </row>
    <row r="85" ht="11.4" spans="1:1">
      <c r="A85" s="1"/>
    </row>
    <row r="86" ht="11.4" spans="1:1">
      <c r="A86" s="1"/>
    </row>
    <row r="87" ht="11.4" spans="1:1">
      <c r="A87" s="1"/>
    </row>
    <row r="88" ht="11.4" spans="1:1">
      <c r="A88" s="1"/>
    </row>
    <row r="89" ht="11.4" spans="1:1">
      <c r="A89" s="1"/>
    </row>
    <row r="90" ht="11.4" spans="1:1">
      <c r="A90" s="1"/>
    </row>
    <row r="91" ht="11.4" spans="1:1">
      <c r="A91" s="1"/>
    </row>
    <row r="92" ht="11.4" spans="1:1">
      <c r="A92" s="1"/>
    </row>
    <row r="93" ht="11.4" spans="1:1">
      <c r="A93" s="1"/>
    </row>
    <row r="94" ht="11.4" spans="1:1">
      <c r="A94" s="1"/>
    </row>
    <row r="95" ht="11.4" spans="1:1">
      <c r="A95" s="1"/>
    </row>
    <row r="96" ht="11.4" spans="1:1">
      <c r="A96" s="1"/>
    </row>
    <row r="97" ht="11.4" spans="1:1">
      <c r="A97" s="1"/>
    </row>
    <row r="98" ht="11.4" spans="1:1">
      <c r="A98" s="1"/>
    </row>
    <row r="99" ht="11.4" spans="1:1">
      <c r="A99" s="1"/>
    </row>
    <row r="100" ht="11.4" spans="1:1">
      <c r="A100" s="1"/>
    </row>
    <row r="101" ht="11.4" spans="1:1">
      <c r="A101" s="1"/>
    </row>
    <row r="102" ht="11.4" spans="1:1">
      <c r="A102" s="1"/>
    </row>
    <row r="103" ht="11.4" spans="1:1">
      <c r="A103" s="1"/>
    </row>
    <row r="104" ht="11.4" spans="1:1">
      <c r="A104" s="1"/>
    </row>
    <row r="105" ht="11.4" spans="1:1">
      <c r="A105" s="1"/>
    </row>
    <row r="106" ht="11.4" spans="1:1">
      <c r="A106" s="1"/>
    </row>
    <row r="107" ht="11.4" spans="1:1">
      <c r="A107" s="1"/>
    </row>
    <row r="108" ht="11.4" spans="1:1">
      <c r="A108" s="1"/>
    </row>
    <row r="109" ht="11.4" spans="1:1">
      <c r="A109" s="1"/>
    </row>
    <row r="110" ht="11.4" spans="1:1">
      <c r="A110" s="1"/>
    </row>
    <row r="111" ht="11.4" spans="1:1">
      <c r="A111" s="1"/>
    </row>
    <row r="112" ht="11.4" spans="1:1">
      <c r="A112" s="1"/>
    </row>
    <row r="113" ht="11.4" spans="1:1">
      <c r="A113" s="1"/>
    </row>
    <row r="114" ht="11.4" spans="1:1">
      <c r="A114" s="1"/>
    </row>
    <row r="115" ht="11.4" spans="1:1">
      <c r="A115" s="1"/>
    </row>
    <row r="116" ht="11.4" spans="1:1">
      <c r="A116" s="1"/>
    </row>
    <row r="117" ht="11.4" spans="1:1">
      <c r="A117" s="1"/>
    </row>
    <row r="118" ht="11.4" spans="1:1">
      <c r="A118" s="1"/>
    </row>
    <row r="119" ht="11.4" spans="1:1">
      <c r="A119" s="1"/>
    </row>
    <row r="120" ht="11.4" spans="1:1">
      <c r="A120" s="1"/>
    </row>
    <row r="121" ht="11.4" spans="1:1">
      <c r="A121" s="1"/>
    </row>
    <row r="122" ht="11.4" spans="1:1">
      <c r="A122" s="1"/>
    </row>
    <row r="123" ht="11.4" spans="1:1">
      <c r="A123" s="1"/>
    </row>
    <row r="124" ht="11.4" spans="1:1">
      <c r="A124" s="1"/>
    </row>
    <row r="125" ht="11.4" spans="1:1">
      <c r="A125" s="1"/>
    </row>
    <row r="126" ht="11.4" spans="1:1">
      <c r="A126" s="1"/>
    </row>
    <row r="127" ht="11.4" spans="1:1">
      <c r="A127" s="1"/>
    </row>
    <row r="128" ht="11.4" spans="1:1">
      <c r="A128" s="1"/>
    </row>
    <row r="129" ht="11.4" spans="1:1">
      <c r="A129" s="1"/>
    </row>
    <row r="130" ht="11.4" spans="1:1">
      <c r="A130" s="1"/>
    </row>
    <row r="131" ht="11.4" spans="1:1">
      <c r="A131" s="1"/>
    </row>
    <row r="132" ht="11.4" spans="1:1">
      <c r="A132" s="1"/>
    </row>
    <row r="133" ht="11.4" spans="1:1">
      <c r="A133" s="1"/>
    </row>
    <row r="134" ht="11.4" spans="1:1">
      <c r="A134" s="1"/>
    </row>
    <row r="135" ht="11.4" spans="1:1">
      <c r="A135" s="1"/>
    </row>
    <row r="136" ht="11.4" spans="1:1">
      <c r="A136" s="1"/>
    </row>
    <row r="137" ht="11.4" spans="1:1">
      <c r="A137" s="1"/>
    </row>
    <row r="138" ht="11.4" spans="1:1">
      <c r="A138" s="1"/>
    </row>
    <row r="139" ht="11.4" spans="1:1">
      <c r="A139" s="1"/>
    </row>
    <row r="140" ht="11.4" spans="1:1">
      <c r="A140" s="1"/>
    </row>
    <row r="141" ht="11.4" spans="1:1">
      <c r="A141" s="1"/>
    </row>
    <row r="142" ht="11.4" spans="1:1">
      <c r="A142" s="1"/>
    </row>
    <row r="143" ht="11.4" spans="1:1">
      <c r="A143" s="1"/>
    </row>
    <row r="144" ht="11.4" spans="1:1">
      <c r="A144" s="1"/>
    </row>
    <row r="145" ht="11.4" spans="1:1">
      <c r="A145" s="1"/>
    </row>
    <row r="146" ht="11.4" spans="1:1">
      <c r="A146" s="1"/>
    </row>
    <row r="147" ht="11.4" spans="1:1">
      <c r="A147" s="1"/>
    </row>
    <row r="148" ht="11.4" spans="1:1">
      <c r="A148" s="1"/>
    </row>
    <row r="149" ht="11.4" spans="1:1">
      <c r="A149" s="1"/>
    </row>
    <row r="150" ht="11.4" spans="1:1">
      <c r="A150" s="1"/>
    </row>
    <row r="151" ht="11.4" spans="1:1">
      <c r="A151" s="1"/>
    </row>
    <row r="152" ht="11.4" spans="1:1">
      <c r="A152" s="1"/>
    </row>
    <row r="153" ht="11.4" spans="1:1">
      <c r="A153" s="1"/>
    </row>
    <row r="154" ht="11.4" spans="1:1">
      <c r="A154" s="1"/>
    </row>
    <row r="155" ht="11.4" spans="1:1">
      <c r="A155" s="1"/>
    </row>
    <row r="156" ht="11.4" spans="1:1">
      <c r="A156" s="1"/>
    </row>
    <row r="157" ht="11.4" spans="1:1">
      <c r="A157" s="1"/>
    </row>
    <row r="158" ht="11.4" spans="1:1">
      <c r="A158" s="1"/>
    </row>
    <row r="159" ht="11.4" spans="1:1">
      <c r="A159" s="1"/>
    </row>
    <row r="160" ht="11.4" spans="1:1">
      <c r="A160" s="1"/>
    </row>
    <row r="161" ht="11.4" spans="1:1">
      <c r="A161" s="1"/>
    </row>
    <row r="162" ht="11.4" spans="1:1">
      <c r="A162" s="1"/>
    </row>
    <row r="163" ht="11.4" spans="1:1">
      <c r="A163" s="1"/>
    </row>
    <row r="164" ht="11.4" spans="1:1">
      <c r="A164" s="1"/>
    </row>
    <row r="165" ht="11.4" spans="1:1">
      <c r="A165" s="1"/>
    </row>
    <row r="166" ht="11.4" spans="1:1">
      <c r="A166" s="1"/>
    </row>
    <row r="167" ht="11.4" spans="1:1">
      <c r="A167" s="1"/>
    </row>
    <row r="168" ht="11.4" spans="1:1">
      <c r="A168" s="1"/>
    </row>
    <row r="169" ht="11.4" spans="1:1">
      <c r="A169" s="1"/>
    </row>
    <row r="170" ht="11.4" spans="1:1">
      <c r="A170" s="1"/>
    </row>
    <row r="171" ht="11.4" spans="1:1">
      <c r="A171" s="1"/>
    </row>
    <row r="172" ht="11.4" spans="1:1">
      <c r="A172" s="1"/>
    </row>
    <row r="173" ht="11.4" spans="1:1">
      <c r="A173" s="1"/>
    </row>
    <row r="174" ht="11.4" spans="1:1">
      <c r="A174" s="1"/>
    </row>
    <row r="175" ht="11.4" spans="1:1">
      <c r="A175" s="1"/>
    </row>
    <row r="176" ht="11.4" spans="1:1">
      <c r="A176" s="1"/>
    </row>
    <row r="177" ht="11.4" spans="1:1">
      <c r="A177" s="1"/>
    </row>
    <row r="178" ht="11.4" spans="1:1">
      <c r="A178" s="1"/>
    </row>
    <row r="179" ht="11.4" spans="1:1">
      <c r="A179" s="1"/>
    </row>
    <row r="180" ht="11.4" spans="1:1">
      <c r="A180" s="1"/>
    </row>
    <row r="181" ht="11.4" spans="1:1">
      <c r="A181" s="1"/>
    </row>
    <row r="182" ht="11.4" spans="1:1">
      <c r="A182" s="1"/>
    </row>
    <row r="183" ht="11.4" spans="1:1">
      <c r="A183" s="1"/>
    </row>
    <row r="184" ht="11.4" spans="1:1">
      <c r="A184" s="1"/>
    </row>
    <row r="185" ht="11.4" spans="1:1">
      <c r="A185" s="1"/>
    </row>
    <row r="186" ht="11.4" spans="1:1">
      <c r="A186" s="1"/>
    </row>
    <row r="187" ht="11.4" spans="1:1">
      <c r="A187" s="1"/>
    </row>
    <row r="188" ht="11.4" spans="1:1">
      <c r="A188" s="1"/>
    </row>
    <row r="189" ht="11.4" spans="1:1">
      <c r="A189" s="1"/>
    </row>
    <row r="190" ht="11.4" spans="1:1">
      <c r="A190" s="1"/>
    </row>
    <row r="191" ht="11.4" spans="1:1">
      <c r="A191" s="1"/>
    </row>
  </sheetData>
  <conditionalFormatting sqref="D1">
    <cfRule type="duplicateValues" dxfId="0" priority="1"/>
  </conditionalFormatting>
  <pageMargins left="0.7" right="0.7" top="0.75" bottom="0.75" header="0.3" footer="0.3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301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7" defaultRowHeight="16.5" customHeight="1"/>
  <cols>
    <col min="1" max="1" width="35.2708333333333" customWidth="1"/>
    <col min="2" max="2" width="5.40625" customWidth="1"/>
    <col min="3" max="3" width="4.70833333333333" customWidth="1"/>
    <col min="4" max="4" width="6.45833333333333" customWidth="1"/>
    <col min="5" max="5" width="8.20833333333333" customWidth="1"/>
    <col min="6" max="6" width="15.0208333333333" customWidth="1"/>
    <col min="7" max="7" width="16.59375" customWidth="1"/>
    <col min="8" max="8" width="10.3020833333333" customWidth="1"/>
    <col min="9" max="9" width="11.6979166666667" customWidth="1"/>
    <col min="10" max="10" width="11.1666666666667" customWidth="1"/>
    <col min="11" max="11" width="9.08333333333333" customWidth="1"/>
    <col min="12" max="12" width="10.8333333333333" customWidth="1"/>
    <col min="13" max="13" width="11.6979166666667" customWidth="1"/>
    <col min="14" max="14" width="12.3958333333333" customWidth="1"/>
    <col min="15" max="15" width="13.2708333333333" customWidth="1"/>
    <col min="16" max="16" width="12.0520833333333" customWidth="1"/>
    <col min="17" max="17" width="12.3958333333333" customWidth="1"/>
    <col min="18" max="23" width="10.3020833333333" hidden="1" customWidth="1"/>
    <col min="24" max="24" width="11.875" customWidth="1"/>
    <col min="25" max="25" width="8.5625" hidden="1" customWidth="1"/>
    <col min="26" max="27" width="9.78125" customWidth="1"/>
    <col min="28" max="28" width="11.3541666666667" customWidth="1"/>
    <col min="29" max="29" width="16.59375" customWidth="1"/>
    <col min="30" max="30" width="19.5625" customWidth="1"/>
    <col min="31" max="31" width="12.21875" customWidth="1"/>
    <col min="32" max="75" width="16.59375" customWidth="1"/>
  </cols>
  <sheetData>
    <row r="1" ht="13.2" spans="1:75">
      <c r="A1" s="188" t="s">
        <v>248</v>
      </c>
      <c r="B1" s="189" t="s">
        <v>198</v>
      </c>
      <c r="C1" s="189" t="s">
        <v>249</v>
      </c>
      <c r="D1" s="189" t="s">
        <v>250</v>
      </c>
      <c r="E1" s="189" t="s">
        <v>251</v>
      </c>
      <c r="F1" s="190" t="s">
        <v>252</v>
      </c>
      <c r="G1" s="190" t="s">
        <v>253</v>
      </c>
      <c r="H1" s="189" t="s">
        <v>254</v>
      </c>
      <c r="I1" s="190" t="s">
        <v>255</v>
      </c>
      <c r="J1" s="189" t="s">
        <v>256</v>
      </c>
      <c r="K1" s="189" t="s">
        <v>257</v>
      </c>
      <c r="L1" s="189" t="s">
        <v>258</v>
      </c>
      <c r="M1" s="189" t="s">
        <v>259</v>
      </c>
      <c r="N1" s="189" t="s">
        <v>260</v>
      </c>
      <c r="O1" s="191" t="s">
        <v>261</v>
      </c>
      <c r="P1" s="189" t="s">
        <v>262</v>
      </c>
      <c r="Q1" s="192" t="s">
        <v>263</v>
      </c>
      <c r="R1" s="189" t="s">
        <v>264</v>
      </c>
      <c r="S1" s="189" t="s">
        <v>265</v>
      </c>
      <c r="T1" s="189" t="s">
        <v>266</v>
      </c>
      <c r="U1" s="189" t="s">
        <v>267</v>
      </c>
      <c r="V1" s="190" t="s">
        <v>14</v>
      </c>
      <c r="W1" s="190" t="s">
        <v>268</v>
      </c>
      <c r="X1" s="189" t="s">
        <v>88</v>
      </c>
      <c r="Y1" s="193" t="s">
        <v>269</v>
      </c>
      <c r="Z1" s="194" t="s">
        <v>270</v>
      </c>
      <c r="AA1" s="190" t="s">
        <v>271</v>
      </c>
      <c r="AB1" s="191" t="s">
        <v>272</v>
      </c>
      <c r="AC1" s="195" t="s">
        <v>273</v>
      </c>
      <c r="AD1" s="196" t="s">
        <v>274</v>
      </c>
      <c r="AE1" s="189" t="s">
        <v>275</v>
      </c>
      <c r="AF1" s="189" t="s">
        <v>276</v>
      </c>
      <c r="AG1" s="189" t="s">
        <v>117</v>
      </c>
      <c r="AH1" s="189" t="s">
        <v>113</v>
      </c>
      <c r="AI1" s="189" t="s">
        <v>277</v>
      </c>
      <c r="AJ1" s="189" t="s">
        <v>259</v>
      </c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  <c r="BG1" s="188"/>
      <c r="BH1" s="188"/>
      <c r="BI1" s="188"/>
      <c r="BJ1" s="188"/>
      <c r="BK1" s="188"/>
      <c r="BL1" s="188"/>
      <c r="BM1" s="188"/>
      <c r="BN1" s="188"/>
      <c r="BO1" s="188"/>
      <c r="BP1" s="188"/>
      <c r="BQ1" s="188"/>
      <c r="BR1" s="188"/>
      <c r="BS1" s="188"/>
      <c r="BT1" s="188"/>
      <c r="BU1" s="188"/>
      <c r="BV1" s="188"/>
      <c r="BW1" s="188"/>
    </row>
    <row r="2" ht="11.4" spans="1:75">
      <c r="A2" s="197" t="s">
        <v>278</v>
      </c>
      <c r="B2" s="15">
        <v>8</v>
      </c>
      <c r="C2" s="15" t="s">
        <v>279</v>
      </c>
      <c r="D2" s="15" t="s">
        <v>280</v>
      </c>
      <c r="E2" s="15" t="s">
        <v>281</v>
      </c>
      <c r="F2" s="198">
        <f>IF(E2="有",(I2/B2+J2+Z2/B2)/(0.99999-K2-L2-M2-N2),(I2/B2+J2+Z2/B2)/(0.99999-K2-M2-N2))</f>
        <v>46.4473385069794</v>
      </c>
      <c r="G2" s="198">
        <f>IF(E2="有",(I2/B2+J2+Z2/B2)/(0.8-K2-L2-M2-N2-O2-P2),(I2/B2+J2+Z2/B2)/(0.8-K2-M2-N2-O2-P2))</f>
        <v>82.1949107124526</v>
      </c>
      <c r="H2" s="199">
        <v>84.99</v>
      </c>
      <c r="I2" s="198">
        <f>138.5/1.13</f>
        <v>122.566371681416</v>
      </c>
      <c r="J2" s="15">
        <v>5.69</v>
      </c>
      <c r="K2" s="200">
        <v>0.15</v>
      </c>
      <c r="L2" s="200">
        <v>0.16</v>
      </c>
      <c r="M2" s="200">
        <v>0.05</v>
      </c>
      <c r="N2" s="200">
        <f>Q2/H2</f>
        <v>0.117660901282504</v>
      </c>
      <c r="O2" s="201">
        <f>0.61/H2</f>
        <v>0.00717731497823273</v>
      </c>
      <c r="P2" s="200">
        <v>0.02</v>
      </c>
      <c r="Q2" s="198">
        <v>10</v>
      </c>
      <c r="R2" s="14">
        <v>33.5</v>
      </c>
      <c r="S2" s="14">
        <v>26.5</v>
      </c>
      <c r="T2" s="14">
        <v>25</v>
      </c>
      <c r="U2" s="14">
        <v>2.3</v>
      </c>
      <c r="V2" s="198">
        <f>R2*S2*T2/6000</f>
        <v>3.69895833333333</v>
      </c>
      <c r="W2" s="198">
        <f>MAX(U2:V2)</f>
        <v>3.69895833333333</v>
      </c>
      <c r="X2" s="14" t="s">
        <v>21</v>
      </c>
      <c r="Y2" s="202">
        <v>5.55136</v>
      </c>
      <c r="Z2" s="203">
        <v>26</v>
      </c>
      <c r="AA2" s="198">
        <f>H2-SUM(K2:P2)*H2-J2-I2/B2-Z2/B2</f>
        <v>17.823003539823</v>
      </c>
      <c r="AB2" s="201">
        <f>AA2/H2</f>
        <v>0.209707066005683</v>
      </c>
      <c r="AC2" s="14"/>
      <c r="AD2" s="204">
        <f>J2/H2</f>
        <v>0.0669490528297447</v>
      </c>
      <c r="AE2" s="200">
        <f>I2/7.4/H2</f>
        <v>0.194882023769753</v>
      </c>
      <c r="AF2" s="200">
        <f>Z2/7.4/H2</f>
        <v>0.0413403166668257</v>
      </c>
      <c r="AG2" s="200">
        <v>0.15</v>
      </c>
      <c r="AH2" s="200">
        <f>N2</f>
        <v>0.117660901282504</v>
      </c>
      <c r="AI2" s="200">
        <v>0.02</v>
      </c>
      <c r="AJ2" s="200">
        <f>M2</f>
        <v>0.05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</row>
    <row r="3" ht="11.4" spans="1:75">
      <c r="A3" s="197" t="s">
        <v>282</v>
      </c>
      <c r="B3" s="15">
        <v>8</v>
      </c>
      <c r="C3" s="15" t="s">
        <v>279</v>
      </c>
      <c r="D3" s="15" t="s">
        <v>280</v>
      </c>
      <c r="E3" s="15" t="s">
        <v>281</v>
      </c>
      <c r="F3" s="198">
        <f>IF(E3="有",(I3/B3+J3+Z3/B3)/(0.99999-K3-L3-M3-N3),(I3/B3+J3+Z3/B3)/(0.99999-K3-M3-N3))</f>
        <v>48.3701546480252</v>
      </c>
      <c r="G3" s="198">
        <f>IF(E3="有",(I3/B3+J3+Z3/B3)/(0.8-K3-L3-M3-N3-O3-P3),(I3/B3+J3+Z3/B3)/(0.8-K3-M3-N3-O3-P3))</f>
        <v>88.8245974811697</v>
      </c>
      <c r="H3" s="199">
        <f>H2*0.85</f>
        <v>72.2415</v>
      </c>
      <c r="I3" s="198">
        <f>138.5/1.13</f>
        <v>122.566371681416</v>
      </c>
      <c r="J3" s="15">
        <v>5.69</v>
      </c>
      <c r="K3" s="200">
        <v>0.15</v>
      </c>
      <c r="L3" s="200">
        <v>0.16</v>
      </c>
      <c r="M3" s="200">
        <v>0.05</v>
      </c>
      <c r="N3" s="200">
        <f>Q3/H3</f>
        <v>0.138424589744122</v>
      </c>
      <c r="O3" s="201">
        <f>0.61/H3</f>
        <v>0.00844389997439145</v>
      </c>
      <c r="P3" s="200">
        <v>0.02</v>
      </c>
      <c r="Q3" s="198">
        <v>10</v>
      </c>
      <c r="R3" s="14">
        <v>33.5</v>
      </c>
      <c r="S3" s="14">
        <v>26.5</v>
      </c>
      <c r="T3" s="14">
        <v>25</v>
      </c>
      <c r="U3" s="14">
        <v>2.3</v>
      </c>
      <c r="V3" s="198">
        <f>R3*S3*T3/6000</f>
        <v>3.69895833333333</v>
      </c>
      <c r="W3" s="198">
        <f>MAX(U3:V3)</f>
        <v>3.69895833333333</v>
      </c>
      <c r="X3" s="15" t="s">
        <v>21</v>
      </c>
      <c r="Y3" s="202">
        <v>5.55136</v>
      </c>
      <c r="Z3" s="203">
        <v>26</v>
      </c>
      <c r="AA3" s="198">
        <f>H3-SUM(K3:P3)*H3-J3-I3/B3-Z3/B3</f>
        <v>9.918933539823</v>
      </c>
      <c r="AB3" s="201">
        <f>AA3/H3</f>
        <v>0.137302430594921</v>
      </c>
      <c r="AC3" s="14"/>
      <c r="AD3" s="204">
        <f>J3/H3</f>
        <v>0.0787635915644055</v>
      </c>
      <c r="AE3" s="200">
        <f>I3/B3/H3</f>
        <v>0.21207749645532</v>
      </c>
      <c r="AF3" s="200">
        <f>Z3/B3/H3</f>
        <v>0.0449879916668397</v>
      </c>
      <c r="AG3" s="200">
        <f>K3</f>
        <v>0.15</v>
      </c>
      <c r="AH3" s="200">
        <f>N3</f>
        <v>0.138424589744122</v>
      </c>
      <c r="AI3" s="200">
        <v>0.02</v>
      </c>
      <c r="AJ3" s="200">
        <f>M3</f>
        <v>0.05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</row>
    <row r="4" ht="11.4" spans="1:75">
      <c r="A4" s="197" t="s">
        <v>283</v>
      </c>
      <c r="B4" s="15">
        <v>8</v>
      </c>
      <c r="C4" s="15" t="s">
        <v>279</v>
      </c>
      <c r="D4" s="15" t="s">
        <v>280</v>
      </c>
      <c r="E4" s="15" t="s">
        <v>281</v>
      </c>
      <c r="F4" s="198">
        <f>IF(E4="有",(I4/B4+J4+Z4/B4)/(0.99999-K4-L4-M4-N4),(I4/B4+J4+Z4/B4)/(0.99999-K4-M4-N4))</f>
        <v>51.955911773503</v>
      </c>
      <c r="G4" s="198">
        <f>IF(E4="有",(I4/B4+J4+Z4/B4)/(0.8-K4-L4-M4-N4-O4-P4),(I4/B4+J4+Z4/B4)/(0.8-K4-M4-N4-O4-P4))</f>
        <v>102.624209652727</v>
      </c>
      <c r="H4" s="199">
        <v>57.79</v>
      </c>
      <c r="I4" s="198">
        <f>138.5/1.13</f>
        <v>122.566371681416</v>
      </c>
      <c r="J4" s="15">
        <v>5.69</v>
      </c>
      <c r="K4" s="200">
        <v>0.15</v>
      </c>
      <c r="L4" s="200">
        <v>0.16</v>
      </c>
      <c r="M4" s="200">
        <v>0.05</v>
      </c>
      <c r="N4" s="200">
        <f>Q4/H4</f>
        <v>0.173040318394186</v>
      </c>
      <c r="O4" s="201">
        <f>0.61/H4</f>
        <v>0.0105554594220453</v>
      </c>
      <c r="P4" s="200">
        <v>0.02</v>
      </c>
      <c r="Q4" s="198">
        <v>10</v>
      </c>
      <c r="R4" s="14">
        <v>33.5</v>
      </c>
      <c r="S4" s="14">
        <v>26.5</v>
      </c>
      <c r="T4" s="14">
        <v>25</v>
      </c>
      <c r="U4" s="14">
        <v>2.3</v>
      </c>
      <c r="V4" s="198">
        <f>R4*S4*T4/6000</f>
        <v>3.69895833333333</v>
      </c>
      <c r="W4" s="198">
        <f>MAX(U4:V4)</f>
        <v>3.69895833333333</v>
      </c>
      <c r="X4" s="15" t="s">
        <v>21</v>
      </c>
      <c r="Y4" s="202">
        <v>5.55136</v>
      </c>
      <c r="Z4" s="203">
        <v>26</v>
      </c>
      <c r="AA4" s="198">
        <f>H4-SUM(K4:P4)*H4-J4-I4/B4-Z4/B4</f>
        <v>0.959003539822998</v>
      </c>
      <c r="AB4" s="201">
        <f>AA4/H4</f>
        <v>0.0165946277872123</v>
      </c>
      <c r="AC4" s="14"/>
      <c r="AD4" s="204">
        <f>J4/H4</f>
        <v>0.0984599411662918</v>
      </c>
      <c r="AE4" s="200">
        <f>I4/7.4/H4</f>
        <v>0.28660708081314</v>
      </c>
      <c r="AF4" s="200">
        <f>Z4/7.4/H4</f>
        <v>0.0607979497060653</v>
      </c>
      <c r="AG4" s="200">
        <v>0.15</v>
      </c>
      <c r="AH4" s="200">
        <f>N4</f>
        <v>0.173040318394186</v>
      </c>
      <c r="AI4" s="200">
        <v>0.02</v>
      </c>
      <c r="AJ4" s="200">
        <f>M4</f>
        <v>0.05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</row>
    <row r="5" ht="11.4" spans="1:75">
      <c r="B5" s="14"/>
      <c r="C5" s="14"/>
      <c r="D5" s="14"/>
      <c r="E5" s="14"/>
      <c r="F5" s="198"/>
      <c r="G5" s="198"/>
      <c r="H5" s="205"/>
      <c r="I5" s="198"/>
      <c r="J5" s="15"/>
      <c r="K5" s="200"/>
      <c r="L5" s="200"/>
      <c r="M5" s="200"/>
      <c r="N5" s="200"/>
      <c r="O5" s="201"/>
      <c r="P5" s="200"/>
      <c r="Q5" s="198"/>
      <c r="R5" s="14"/>
      <c r="S5" s="14"/>
      <c r="T5" s="14"/>
      <c r="U5" s="14"/>
      <c r="V5" s="198"/>
      <c r="W5" s="198"/>
      <c r="X5" s="15"/>
      <c r="Y5" s="202"/>
      <c r="Z5" s="203"/>
      <c r="AA5" s="198"/>
      <c r="AB5" s="201"/>
      <c r="AC5" s="14"/>
      <c r="AD5" s="204"/>
      <c r="AE5" s="200"/>
      <c r="AF5" s="200"/>
      <c r="AG5" s="200"/>
      <c r="AH5" s="200"/>
      <c r="AI5" s="200"/>
      <c r="AJ5" s="200"/>
    </row>
    <row r="6" ht="11.4" spans="1:75">
      <c r="A6" s="206" t="s">
        <v>278</v>
      </c>
      <c r="B6" s="15">
        <v>8</v>
      </c>
      <c r="C6" s="14" t="s">
        <v>284</v>
      </c>
      <c r="D6" s="14" t="s">
        <v>285</v>
      </c>
      <c r="E6" s="15" t="s">
        <v>281</v>
      </c>
      <c r="F6" s="198">
        <f>IF(E6="有",(I6/B6+J6+Z6/B6)/(0.99999-K6-L6-M6-N6),(I6/B6+J6+Z6/B6)/(0.99999-K6-M6-N6))</f>
        <v>53.3987201421953</v>
      </c>
      <c r="G6" s="198">
        <f>IF(E6="有",(I6/B6+J6+Z6/B6)/(0.8-K6-L6-M6-N6-O6-P6),(I6/B6+J6+Z6/B6)/(0.8-K6-M6-N6-O6-P6))</f>
        <v>93.4822323952699</v>
      </c>
      <c r="H6" s="199">
        <v>89.99</v>
      </c>
      <c r="I6" s="198">
        <f>138.5/1.13</f>
        <v>122.566371681416</v>
      </c>
      <c r="J6" s="14">
        <v>9.67</v>
      </c>
      <c r="K6" s="200">
        <v>0.15</v>
      </c>
      <c r="L6" s="200">
        <v>0.16</v>
      </c>
      <c r="M6" s="200">
        <v>0.05</v>
      </c>
      <c r="N6" s="200">
        <f>Q6/H6</f>
        <v>0.111123458162018</v>
      </c>
      <c r="O6" s="201">
        <f>0.61/H6</f>
        <v>0.0067785309478831</v>
      </c>
      <c r="P6" s="200">
        <v>0.02</v>
      </c>
      <c r="Q6" s="198">
        <v>10</v>
      </c>
      <c r="R6" s="14">
        <v>33.5</v>
      </c>
      <c r="S6" s="14">
        <v>26.5</v>
      </c>
      <c r="T6" s="14">
        <v>25</v>
      </c>
      <c r="U6" s="14">
        <v>2.3</v>
      </c>
      <c r="V6" s="198">
        <f>R6*S6*T6/6000</f>
        <v>3.69895833333333</v>
      </c>
      <c r="W6" s="198">
        <f>MAX(U6:V6)</f>
        <v>3.69895833333333</v>
      </c>
      <c r="X6" s="14" t="s">
        <v>21</v>
      </c>
      <c r="Y6" s="202">
        <v>5.55136</v>
      </c>
      <c r="Z6" s="203">
        <v>26</v>
      </c>
      <c r="AA6" s="198">
        <f>H6-SUM(K6:P6)*H6-J6-I6/B6-Z6/B6</f>
        <v>16.943003539823</v>
      </c>
      <c r="AB6" s="201">
        <f>AA6/H6</f>
        <v>0.188276514499644</v>
      </c>
      <c r="AC6" s="14"/>
      <c r="AD6" s="204">
        <f>J6/H6</f>
        <v>0.107456384042671</v>
      </c>
      <c r="AE6" s="200">
        <f>I6/7.4/H6</f>
        <v>0.1840540415623</v>
      </c>
      <c r="AF6" s="200">
        <f>Z6/7.4/H6</f>
        <v>0.0390433771920604</v>
      </c>
      <c r="AG6" s="200">
        <v>0.15</v>
      </c>
      <c r="AH6" s="200">
        <f>N6</f>
        <v>0.111123458162018</v>
      </c>
      <c r="AI6" s="200">
        <v>0.02</v>
      </c>
      <c r="AJ6" s="200">
        <f>M6</f>
        <v>0.05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</row>
    <row r="7" ht="11.4" spans="1:75">
      <c r="A7" s="206" t="s">
        <v>282</v>
      </c>
      <c r="B7" s="15">
        <v>8</v>
      </c>
      <c r="C7" s="15" t="s">
        <v>284</v>
      </c>
      <c r="D7" s="15" t="s">
        <v>285</v>
      </c>
      <c r="E7" s="15" t="s">
        <v>281</v>
      </c>
      <c r="F7" s="198">
        <f>IF(E7="有",(I7/B7+J7+Z7/B7)/(0.99999-K7-L7-M7-N7),(I7/B7+J7+Z7/B7)/(0.99999-K7-M7-N7))</f>
        <v>55.4549531751645</v>
      </c>
      <c r="G7" s="198">
        <f>IF(E7="有",(I7/B7+J7+Z7/B7)/(0.8-K7-L7-M7-N7-O7-P7),(I7/B7+J7+Z7/B7)/(0.8-K7-M7-N7-O7-P7))</f>
        <v>100.396807576054</v>
      </c>
      <c r="H7" s="199">
        <f>H6*0.85</f>
        <v>76.4915</v>
      </c>
      <c r="I7" s="198">
        <f>138.5/1.13</f>
        <v>122.566371681416</v>
      </c>
      <c r="J7" s="15">
        <v>9.67</v>
      </c>
      <c r="K7" s="200">
        <v>0.15</v>
      </c>
      <c r="L7" s="200">
        <v>0.16</v>
      </c>
      <c r="M7" s="200">
        <v>0.05</v>
      </c>
      <c r="N7" s="200">
        <f>Q7/H7</f>
        <v>0.130733480190609</v>
      </c>
      <c r="O7" s="201">
        <f>0.61/H7</f>
        <v>0.00797474229162718</v>
      </c>
      <c r="P7" s="200">
        <v>0.02</v>
      </c>
      <c r="Q7" s="198">
        <v>10</v>
      </c>
      <c r="R7" s="14">
        <v>33.5</v>
      </c>
      <c r="S7" s="14">
        <v>26.5</v>
      </c>
      <c r="T7" s="14">
        <v>25</v>
      </c>
      <c r="U7" s="14">
        <v>2.3</v>
      </c>
      <c r="V7" s="198">
        <f>R7*S7*T7/6000</f>
        <v>3.69895833333333</v>
      </c>
      <c r="W7" s="198">
        <f>MAX(U7:V7)</f>
        <v>3.69895833333333</v>
      </c>
      <c r="X7" s="15" t="s">
        <v>21</v>
      </c>
      <c r="Y7" s="202">
        <v>5.55136</v>
      </c>
      <c r="Z7" s="203">
        <v>26</v>
      </c>
      <c r="AA7" s="198">
        <f>H7-SUM(K7:P7)*H7-J7-I7/B7-Z7/B7</f>
        <v>8.573933539823</v>
      </c>
      <c r="AB7" s="201">
        <f>AA7/H7</f>
        <v>0.112090017058405</v>
      </c>
      <c r="AC7" s="14"/>
      <c r="AD7" s="204">
        <f>J7/H7</f>
        <v>0.126419275344319</v>
      </c>
      <c r="AE7" s="200">
        <f>I7/7.4/H7</f>
        <v>0.216534166543882</v>
      </c>
      <c r="AF7" s="200">
        <f>Z7/7.4/H7</f>
        <v>0.0459333849318357</v>
      </c>
      <c r="AG7" s="200">
        <v>0.15</v>
      </c>
      <c r="AH7" s="200">
        <f>N7</f>
        <v>0.130733480190609</v>
      </c>
      <c r="AI7" s="200">
        <v>0.02</v>
      </c>
      <c r="AJ7" s="200">
        <f>M7</f>
        <v>0.05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</row>
    <row r="8" ht="11.4" spans="1:75">
      <c r="A8" s="206" t="s">
        <v>283</v>
      </c>
      <c r="B8" s="15">
        <v>8</v>
      </c>
      <c r="C8" s="15" t="s">
        <v>284</v>
      </c>
      <c r="D8" s="15" t="s">
        <v>285</v>
      </c>
      <c r="E8" s="15" t="s">
        <v>281</v>
      </c>
      <c r="F8" s="198">
        <f>IF(E8="有",(I8/B8+J8+Z8/B8)/(0.99999-K8-L8-M8-N8),(I8/B8+J8+Z8/B8)/(0.99999-K8-M8-N8))</f>
        <v>58.2083707798146</v>
      </c>
      <c r="G8" s="198">
        <f>IF(E8="有",(I8/B8+J8+Z8/B8)/(0.8-K8-L8-M8-N8-O8-P8),(I8/B8+J8+Z8/B8)/(0.8-K8-M8-N8-O8-P8))</f>
        <v>110.430750061318</v>
      </c>
      <c r="H8" s="199">
        <v>64.59</v>
      </c>
      <c r="I8" s="198">
        <f>138.5/1.13</f>
        <v>122.566371681416</v>
      </c>
      <c r="J8" s="15">
        <v>9.67</v>
      </c>
      <c r="K8" s="200">
        <v>0.15</v>
      </c>
      <c r="L8" s="200">
        <v>0.16</v>
      </c>
      <c r="M8" s="200">
        <v>0.05</v>
      </c>
      <c r="N8" s="200">
        <f>Q8/H8</f>
        <v>0.154822727976467</v>
      </c>
      <c r="O8" s="201">
        <f>0.61/H8</f>
        <v>0.00944418640656448</v>
      </c>
      <c r="P8" s="200">
        <v>0.02</v>
      </c>
      <c r="Q8" s="198">
        <v>10</v>
      </c>
      <c r="R8" s="14">
        <v>33.5</v>
      </c>
      <c r="S8" s="14">
        <v>26.5</v>
      </c>
      <c r="T8" s="14">
        <v>25</v>
      </c>
      <c r="U8" s="14">
        <v>2.3</v>
      </c>
      <c r="V8" s="198">
        <f>R8*S8*T8/6000</f>
        <v>3.69895833333333</v>
      </c>
      <c r="W8" s="198">
        <f>MAX(U8:V8)</f>
        <v>3.69895833333333</v>
      </c>
      <c r="X8" s="15" t="s">
        <v>21</v>
      </c>
      <c r="Y8" s="202">
        <v>5.55136</v>
      </c>
      <c r="Z8" s="203">
        <v>26</v>
      </c>
      <c r="AA8" s="198">
        <f>H8-SUM(K8:P8)*H8-J8-I8/B8-Z8/B8</f>
        <v>1.19500353982301</v>
      </c>
      <c r="AB8" s="201">
        <f>AA8/H8</f>
        <v>0.0185013707976932</v>
      </c>
      <c r="AC8" s="14"/>
      <c r="AD8" s="204">
        <f>J8/H8</f>
        <v>0.149713577953244</v>
      </c>
      <c r="AE8" s="200">
        <f>I8/7.4/H8</f>
        <v>0.256433243539114</v>
      </c>
      <c r="AF8" s="200">
        <f>Z8/7.4/H8</f>
        <v>0.0543971746944343</v>
      </c>
      <c r="AG8" s="200">
        <v>0.15</v>
      </c>
      <c r="AH8" s="200">
        <f>N8</f>
        <v>0.154822727976467</v>
      </c>
      <c r="AI8" s="200">
        <v>0.02</v>
      </c>
      <c r="AJ8" s="200">
        <f>M8</f>
        <v>0.05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</row>
    <row r="9" ht="11.4" spans="1:75">
      <c r="B9" s="14"/>
      <c r="C9" s="14"/>
      <c r="D9" s="14"/>
      <c r="E9" s="14"/>
      <c r="F9" s="198"/>
      <c r="G9" s="198"/>
      <c r="H9" s="205"/>
      <c r="I9" s="198"/>
      <c r="J9" s="15"/>
      <c r="K9" s="200"/>
      <c r="L9" s="200"/>
      <c r="M9" s="200"/>
      <c r="N9" s="200"/>
      <c r="O9" s="201"/>
      <c r="P9" s="200"/>
      <c r="Q9" s="200"/>
      <c r="R9" s="14"/>
      <c r="S9" s="14"/>
      <c r="T9" s="14"/>
      <c r="U9" s="14"/>
      <c r="V9" s="198"/>
      <c r="W9" s="198"/>
      <c r="X9" s="15"/>
      <c r="Y9" s="202"/>
      <c r="Z9" s="203"/>
      <c r="AA9" s="198"/>
      <c r="AB9" s="201"/>
      <c r="AC9" s="14"/>
      <c r="AD9" s="204"/>
      <c r="AE9" s="200"/>
      <c r="AF9" s="200"/>
      <c r="AG9" s="200"/>
      <c r="AH9" s="200"/>
      <c r="AI9" s="200"/>
      <c r="AJ9" s="200"/>
    </row>
    <row r="10" ht="11.4" spans="1:75">
      <c r="A10" s="206" t="s">
        <v>278</v>
      </c>
      <c r="B10" s="15">
        <v>8</v>
      </c>
      <c r="C10" s="14" t="s">
        <v>286</v>
      </c>
      <c r="D10" s="14" t="s">
        <v>287</v>
      </c>
      <c r="E10" s="15" t="s">
        <v>281</v>
      </c>
      <c r="F10" s="198">
        <f>IF(E10="有",(I10/B10+J10+Z10/B10)/(0.99999-K10-L10-M10-N10),(I10/B10+J10+Z10/B10)/(0.99999-K10-M10-N10))</f>
        <v>48.8228965486101</v>
      </c>
      <c r="G10" s="198">
        <f>IF(E10="有",(I10/B10+J10+Z10/B10)/(0.8-K10-L10-M10-N10-O10-P10),(I10/B10+J10+Z10/B10)/(0.8-K10-M10-N10-O10-P10))</f>
        <v>85.4715871319339</v>
      </c>
      <c r="H10" s="199">
        <v>89.99</v>
      </c>
      <c r="I10" s="198">
        <f>138.5/1.13</f>
        <v>122.566371681416</v>
      </c>
      <c r="J10" s="14">
        <v>7.25</v>
      </c>
      <c r="K10" s="200">
        <v>0.15</v>
      </c>
      <c r="L10" s="200">
        <v>0.16</v>
      </c>
      <c r="M10" s="200">
        <v>0.05</v>
      </c>
      <c r="N10" s="200">
        <f>Q10/H10</f>
        <v>0.111123458162018</v>
      </c>
      <c r="O10" s="201">
        <f>0.61/H10</f>
        <v>0.0067785309478831</v>
      </c>
      <c r="P10" s="200">
        <v>0.02</v>
      </c>
      <c r="Q10" s="198">
        <v>10</v>
      </c>
      <c r="R10" s="14">
        <v>33.5</v>
      </c>
      <c r="S10" s="14">
        <v>26.5</v>
      </c>
      <c r="T10" s="14">
        <v>25</v>
      </c>
      <c r="U10" s="14">
        <v>2.3</v>
      </c>
      <c r="V10" s="198">
        <f>R10*S10*T10/6000</f>
        <v>3.69895833333333</v>
      </c>
      <c r="W10" s="198">
        <f>MAX(U10:V10)</f>
        <v>3.69895833333333</v>
      </c>
      <c r="X10" s="14" t="s">
        <v>21</v>
      </c>
      <c r="Y10" s="202">
        <v>5.55136</v>
      </c>
      <c r="Z10" s="203">
        <v>26</v>
      </c>
      <c r="AA10" s="198">
        <f>H10-SUM(K10:P10)*H10-J10-I10/B10-Z10/B10</f>
        <v>19.363003539823</v>
      </c>
      <c r="AB10" s="201">
        <f>AA10/H10</f>
        <v>0.215168391374853</v>
      </c>
      <c r="AC10" s="14"/>
      <c r="AD10" s="204">
        <f>J10/H10</f>
        <v>0.0805645071674631</v>
      </c>
      <c r="AE10" s="200">
        <f>I10/7.4/H10</f>
        <v>0.1840540415623</v>
      </c>
      <c r="AF10" s="200">
        <f>Z10/7.4/H10</f>
        <v>0.0390433771920604</v>
      </c>
      <c r="AG10" s="200">
        <v>0.15</v>
      </c>
      <c r="AH10" s="200">
        <f>N10</f>
        <v>0.111123458162018</v>
      </c>
      <c r="AI10" s="200">
        <v>0.02</v>
      </c>
      <c r="AJ10" s="200">
        <f>M10</f>
        <v>0.05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</row>
    <row r="11" ht="11.4" spans="1:75">
      <c r="A11" s="206" t="s">
        <v>282</v>
      </c>
      <c r="B11" s="15">
        <v>8</v>
      </c>
      <c r="C11" s="15" t="s">
        <v>286</v>
      </c>
      <c r="D11" s="15" t="s">
        <v>287</v>
      </c>
      <c r="E11" s="15" t="s">
        <v>281</v>
      </c>
      <c r="F11" s="198">
        <f>IF(E11="有",(I11/B11+J11+Z11/B11)/(0.99999-K11-L11-M11-N11),(I11/B11+J11+Z11/B11)/(0.99999-K11-M11-N11))</f>
        <v>50.7029276126724</v>
      </c>
      <c r="G11" s="198">
        <f>IF(E11="有",(I11/B11+J11+Z11/B11)/(0.8-K11-L11-M11-N11-O11-P11),(I11/B11+J11+Z11/B11)/(0.8-K11-M11-N11-O11-P11))</f>
        <v>91.7936410656242</v>
      </c>
      <c r="H11" s="199">
        <f>H10*0.85</f>
        <v>76.4915</v>
      </c>
      <c r="I11" s="198">
        <f>138.5/1.13</f>
        <v>122.566371681416</v>
      </c>
      <c r="J11" s="15">
        <v>7.25</v>
      </c>
      <c r="K11" s="200">
        <v>0.15</v>
      </c>
      <c r="L11" s="200">
        <v>0.16</v>
      </c>
      <c r="M11" s="200">
        <v>0.05</v>
      </c>
      <c r="N11" s="200">
        <f>Q11/H11</f>
        <v>0.130733480190609</v>
      </c>
      <c r="O11" s="201">
        <f>0.61/H11</f>
        <v>0.00797474229162718</v>
      </c>
      <c r="P11" s="200">
        <v>0.02</v>
      </c>
      <c r="Q11" s="198">
        <v>10</v>
      </c>
      <c r="R11" s="14">
        <v>33.5</v>
      </c>
      <c r="S11" s="14">
        <v>26.5</v>
      </c>
      <c r="T11" s="14">
        <v>25</v>
      </c>
      <c r="U11" s="14">
        <v>2.3</v>
      </c>
      <c r="V11" s="198">
        <f>R11*S11*T11/6000</f>
        <v>3.69895833333333</v>
      </c>
      <c r="W11" s="198">
        <f>MAX(U11:V11)</f>
        <v>3.69895833333333</v>
      </c>
      <c r="X11" s="15" t="s">
        <v>21</v>
      </c>
      <c r="Y11" s="202">
        <v>5.55136</v>
      </c>
      <c r="Z11" s="203">
        <v>26</v>
      </c>
      <c r="AA11" s="198">
        <f>H11-SUM(K11:P11)*H11-J11-I11/B11-Z11/B11</f>
        <v>10.993933539823</v>
      </c>
      <c r="AB11" s="201">
        <f>AA11/H11</f>
        <v>0.143727519264533</v>
      </c>
      <c r="AC11" s="14"/>
      <c r="AD11" s="204">
        <f>J11/H11</f>
        <v>0.0947817731381918</v>
      </c>
      <c r="AE11" s="200">
        <f>I11/7.4/H11</f>
        <v>0.216534166543882</v>
      </c>
      <c r="AF11" s="200">
        <f>Z11/7.4/H11</f>
        <v>0.0459333849318357</v>
      </c>
      <c r="AG11" s="200">
        <v>0.15</v>
      </c>
      <c r="AH11" s="200">
        <f>N11</f>
        <v>0.130733480190609</v>
      </c>
      <c r="AI11" s="200">
        <v>0.02</v>
      </c>
      <c r="AJ11" s="200">
        <f>M11</f>
        <v>0.05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</row>
    <row r="12" ht="11.4" spans="1:75">
      <c r="A12" s="206" t="s">
        <v>283</v>
      </c>
      <c r="B12" s="15">
        <v>8</v>
      </c>
      <c r="C12" s="15" t="s">
        <v>286</v>
      </c>
      <c r="D12" s="15" t="s">
        <v>287</v>
      </c>
      <c r="E12" s="15" t="s">
        <v>281</v>
      </c>
      <c r="F12" s="198">
        <f>IF(E12="有",(I12/B12+J12+Z12/B12)/(0.99999-K12-L12-M12-N12),(I12/B12+J12+Z12/B12)/(0.99999-K12-M12-N12))</f>
        <v>53.0619807619452</v>
      </c>
      <c r="G12" s="198">
        <f>IF(E12="有",(I12/B12+J12+Z12/B12)/(0.8-K12-L12-M12-N12-O12-P12),(I12/B12+J12+Z12/B12)/(0.8-K12-M12-N12-O12-P12))</f>
        <v>100.364607678761</v>
      </c>
      <c r="H12" s="199">
        <v>65.2</v>
      </c>
      <c r="I12" s="198">
        <f>138.5/1.13</f>
        <v>122.566371681416</v>
      </c>
      <c r="J12" s="15">
        <v>7.25</v>
      </c>
      <c r="K12" s="200">
        <v>0.15</v>
      </c>
      <c r="L12" s="200">
        <v>0.16</v>
      </c>
      <c r="M12" s="200">
        <v>0.05</v>
      </c>
      <c r="N12" s="200">
        <f>Q12/H12</f>
        <v>0.153374233128834</v>
      </c>
      <c r="O12" s="201">
        <f>0.61/H12</f>
        <v>0.0093558282208589</v>
      </c>
      <c r="P12" s="200">
        <v>0.02</v>
      </c>
      <c r="Q12" s="198">
        <v>10</v>
      </c>
      <c r="R12" s="14">
        <v>33.5</v>
      </c>
      <c r="S12" s="14">
        <v>26.5</v>
      </c>
      <c r="T12" s="14">
        <v>25</v>
      </c>
      <c r="U12" s="14">
        <v>2.3</v>
      </c>
      <c r="V12" s="198">
        <f>R12*S12*T12/6000</f>
        <v>3.69895833333333</v>
      </c>
      <c r="W12" s="198">
        <f>MAX(U12:V12)</f>
        <v>3.69895833333333</v>
      </c>
      <c r="X12" s="15" t="s">
        <v>21</v>
      </c>
      <c r="Y12" s="202">
        <v>5.55136</v>
      </c>
      <c r="Z12" s="203">
        <v>26</v>
      </c>
      <c r="AA12" s="198">
        <f>H12-SUM(K12:P12)*H12-J12-I12/B12-Z12/B12</f>
        <v>3.99320353982301</v>
      </c>
      <c r="AB12" s="201">
        <f>AA12/H12</f>
        <v>0.06124545306477</v>
      </c>
      <c r="AC12" s="14"/>
      <c r="AD12" s="204">
        <f>J12/H12</f>
        <v>0.111196319018405</v>
      </c>
      <c r="AE12" s="200">
        <f>I12/7.4/H12</f>
        <v>0.254034098162444</v>
      </c>
      <c r="AF12" s="200">
        <f>Z12/7.4/H12</f>
        <v>0.0538882440722931</v>
      </c>
      <c r="AG12" s="200">
        <v>0.15</v>
      </c>
      <c r="AH12" s="200">
        <f>N12</f>
        <v>0.153374233128834</v>
      </c>
      <c r="AI12" s="200">
        <v>0.02</v>
      </c>
      <c r="AJ12" s="200">
        <f>M12</f>
        <v>0.05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</row>
    <row r="13" ht="11.4" spans="1:75">
      <c r="A13" s="197" t="s">
        <v>288</v>
      </c>
      <c r="B13" s="15">
        <v>8</v>
      </c>
      <c r="C13" s="15" t="s">
        <v>286</v>
      </c>
      <c r="D13" s="15" t="s">
        <v>287</v>
      </c>
      <c r="E13" s="15" t="s">
        <v>281</v>
      </c>
      <c r="F13" s="198">
        <f>IF(E13="有",(I13/B13+J13+Z13/B13)/(0.99999-K13-L13-M13-N13),(I13/B13+J13+Z13/B13)/(0.99999-K13-M13-N13))</f>
        <v>54.1206407513801</v>
      </c>
      <c r="G13" s="198">
        <f>IF(E13="有",(I13/B13+J13+Z13/B13)/(0.8-K13-L13-M13-N13-O13-P13),(I13/B13+J13+Z13/B13)/(0.8-K13-M13-N13-O13-P13))</f>
        <v>104.465505983357</v>
      </c>
      <c r="H13" s="199">
        <v>61.39</v>
      </c>
      <c r="I13" s="198">
        <f>138.5/1.13</f>
        <v>122.566371681416</v>
      </c>
      <c r="J13" s="15">
        <v>7.25</v>
      </c>
      <c r="K13" s="200">
        <v>0.15</v>
      </c>
      <c r="L13" s="200">
        <v>0.16</v>
      </c>
      <c r="M13" s="200">
        <v>0.05</v>
      </c>
      <c r="N13" s="200">
        <f>Q13/H13</f>
        <v>0.162892979312592</v>
      </c>
      <c r="O13" s="201">
        <f>0.61/H13</f>
        <v>0.00993647173806809</v>
      </c>
      <c r="P13" s="200">
        <v>0.02</v>
      </c>
      <c r="Q13" s="198">
        <v>10</v>
      </c>
      <c r="R13" s="14">
        <v>33.5</v>
      </c>
      <c r="S13" s="14">
        <v>26.5</v>
      </c>
      <c r="T13" s="14">
        <v>25</v>
      </c>
      <c r="U13" s="14">
        <v>2.3</v>
      </c>
      <c r="V13" s="198">
        <f>R13*S13*T13/6000</f>
        <v>3.69895833333333</v>
      </c>
      <c r="W13" s="198">
        <f>MAX(U13:V13)</f>
        <v>3.69895833333333</v>
      </c>
      <c r="X13" s="15" t="s">
        <v>21</v>
      </c>
      <c r="Y13" s="202">
        <v>5.55136</v>
      </c>
      <c r="Z13" s="203">
        <v>26</v>
      </c>
      <c r="AA13" s="198">
        <f>H13-SUM(K13:P13)*H13-J13-I13/B13-Z13/B13</f>
        <v>1.63100353982301</v>
      </c>
      <c r="AB13" s="201">
        <f>AA13/H13</f>
        <v>0.0265679025871153</v>
      </c>
      <c r="AC13" s="14"/>
      <c r="AD13" s="204">
        <f>J13/H13</f>
        <v>0.118097410001629</v>
      </c>
      <c r="AE13" s="200">
        <f>I13/7.4/H13</f>
        <v>0.269800019550274</v>
      </c>
      <c r="AF13" s="200">
        <f>Z13/7.4/H13</f>
        <v>0.0572326684071268</v>
      </c>
      <c r="AG13" s="200">
        <v>0.15</v>
      </c>
      <c r="AH13" s="200">
        <f>N13</f>
        <v>0.162892979312592</v>
      </c>
      <c r="AI13" s="200">
        <v>0.02</v>
      </c>
      <c r="AJ13" s="200">
        <f>M13</f>
        <v>0.05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</row>
    <row r="14" ht="11.4" spans="1:75">
      <c r="B14" s="14"/>
      <c r="C14" s="14"/>
      <c r="D14" s="14"/>
      <c r="E14" s="14"/>
      <c r="F14" s="198"/>
      <c r="G14" s="198"/>
      <c r="H14" s="205"/>
      <c r="I14" s="198"/>
      <c r="J14" s="15"/>
      <c r="K14" s="200"/>
      <c r="L14" s="200"/>
      <c r="M14" s="200"/>
      <c r="N14" s="200"/>
      <c r="O14" s="201"/>
      <c r="P14" s="200"/>
      <c r="Q14" s="200"/>
      <c r="R14" s="14"/>
      <c r="S14" s="14"/>
      <c r="T14" s="14"/>
      <c r="U14" s="14"/>
      <c r="V14" s="198"/>
      <c r="W14" s="198"/>
      <c r="X14" s="15"/>
      <c r="Y14" s="202"/>
      <c r="Z14" s="203"/>
      <c r="AA14" s="198"/>
      <c r="AB14" s="201"/>
      <c r="AC14" s="14"/>
      <c r="AD14" s="204"/>
      <c r="AE14" s="200"/>
      <c r="AF14" s="200"/>
      <c r="AG14" s="200"/>
      <c r="AH14" s="200"/>
      <c r="AI14" s="200"/>
      <c r="AJ14" s="200"/>
    </row>
    <row r="15" ht="11.4" spans="1:75">
      <c r="A15" s="206" t="s">
        <v>278</v>
      </c>
      <c r="B15" s="15">
        <v>8</v>
      </c>
      <c r="C15" s="14" t="s">
        <v>289</v>
      </c>
      <c r="D15" s="14" t="s">
        <v>290</v>
      </c>
      <c r="E15" s="15" t="s">
        <v>281</v>
      </c>
      <c r="F15" s="198">
        <f>IF(E15="有",(I15/B15+J15+Z15/B15)/(0.99999-K15-L15-M15-N15),(I15/B15+J15+Z15/B15)/(0.99999-K15-M15-N15))</f>
        <v>48.3880042236</v>
      </c>
      <c r="G15" s="198">
        <f>IF(E15="有",(I15/B15+J15+Z15/B15)/(0.8-K15-L15-M15-N15-O15-P15),(I15/B15+J15+Z15/B15)/(0.8-K15-M15-N15-O15-P15))</f>
        <v>84.7102448135176</v>
      </c>
      <c r="H15" s="199">
        <v>89.99</v>
      </c>
      <c r="I15" s="198">
        <f>138.5/1.13</f>
        <v>122.566371681416</v>
      </c>
      <c r="J15" s="14">
        <v>7.02</v>
      </c>
      <c r="K15" s="200">
        <v>0.15</v>
      </c>
      <c r="L15" s="200">
        <v>0.16</v>
      </c>
      <c r="M15" s="200">
        <v>0.05</v>
      </c>
      <c r="N15" s="200">
        <f>Q15/H15</f>
        <v>0.111123458162018</v>
      </c>
      <c r="O15" s="201">
        <f>0.61/H15</f>
        <v>0.0067785309478831</v>
      </c>
      <c r="P15" s="200">
        <v>0.02</v>
      </c>
      <c r="Q15" s="198">
        <v>10</v>
      </c>
      <c r="R15" s="14">
        <v>33.5</v>
      </c>
      <c r="S15" s="14">
        <v>26.5</v>
      </c>
      <c r="T15" s="14">
        <v>25</v>
      </c>
      <c r="U15" s="14">
        <v>2.3</v>
      </c>
      <c r="V15" s="198">
        <f>R15*S15*T15/6000</f>
        <v>3.69895833333333</v>
      </c>
      <c r="W15" s="198">
        <f>MAX(U15:V15)</f>
        <v>3.69895833333333</v>
      </c>
      <c r="X15" s="14" t="s">
        <v>21</v>
      </c>
      <c r="Y15" s="202">
        <v>5.55136</v>
      </c>
      <c r="Z15" s="203">
        <v>26</v>
      </c>
      <c r="AA15" s="198">
        <f>H15-SUM(K15:P15)*H15-J15-I15/B15-Z15/B15</f>
        <v>19.593003539823</v>
      </c>
      <c r="AB15" s="201">
        <f>AA15/H15</f>
        <v>0.217724230912579</v>
      </c>
      <c r="AC15" s="14"/>
      <c r="AD15" s="204">
        <f>J15/H15</f>
        <v>0.0780086676297366</v>
      </c>
      <c r="AE15" s="200">
        <f>I15/7.4/H15</f>
        <v>0.1840540415623</v>
      </c>
      <c r="AF15" s="200">
        <f>Z15/7.4/H15</f>
        <v>0.0390433771920604</v>
      </c>
      <c r="AG15" s="200">
        <v>0.15</v>
      </c>
      <c r="AH15" s="200">
        <f>N15</f>
        <v>0.111123458162018</v>
      </c>
      <c r="AI15" s="200">
        <v>0.02</v>
      </c>
      <c r="AJ15" s="200">
        <f>M15</f>
        <v>0.05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</row>
    <row r="16" ht="11.4" spans="1:75">
      <c r="A16" s="206" t="s">
        <v>282</v>
      </c>
      <c r="B16" s="15">
        <v>8</v>
      </c>
      <c r="C16" s="15" t="s">
        <v>289</v>
      </c>
      <c r="D16" s="15" t="s">
        <v>290</v>
      </c>
      <c r="E16" s="15" t="s">
        <v>281</v>
      </c>
      <c r="F16" s="198">
        <f>IF(E16="有",(I16/B16+J16+Z16/B16)/(0.99999-K16-L16-M16-N16),(I16/B16+J16+Z16/B16)/(0.99999-K16-M16-N16))</f>
        <v>50.251288819543</v>
      </c>
      <c r="G16" s="198">
        <f>IF(E16="有",(I16/B16+J16+Z16/B16)/(0.8-K16-L16-M16-N16-O16-P16),(I16/B16+J16+Z16/B16)/(0.8-K16-M16-N16-O16-P16))</f>
        <v>90.975984744385</v>
      </c>
      <c r="H16" s="199">
        <f>H15*0.85</f>
        <v>76.4915</v>
      </c>
      <c r="I16" s="198">
        <f>138.5/1.13</f>
        <v>122.566371681416</v>
      </c>
      <c r="J16" s="15">
        <v>7.02</v>
      </c>
      <c r="K16" s="200">
        <v>0.15</v>
      </c>
      <c r="L16" s="200">
        <v>0.16</v>
      </c>
      <c r="M16" s="200">
        <v>0.05</v>
      </c>
      <c r="N16" s="200">
        <f>Q16/H16</f>
        <v>0.130733480190609</v>
      </c>
      <c r="O16" s="201">
        <f>0.61/H16</f>
        <v>0.00797474229162718</v>
      </c>
      <c r="P16" s="200">
        <v>0.02</v>
      </c>
      <c r="Q16" s="198">
        <v>10</v>
      </c>
      <c r="R16" s="14">
        <v>33.5</v>
      </c>
      <c r="S16" s="14">
        <v>26.5</v>
      </c>
      <c r="T16" s="14">
        <v>25</v>
      </c>
      <c r="U16" s="14">
        <v>2.3</v>
      </c>
      <c r="V16" s="198">
        <f>R16*S16*T16/6000</f>
        <v>3.69895833333333</v>
      </c>
      <c r="W16" s="198">
        <f>MAX(U16:V16)</f>
        <v>3.69895833333333</v>
      </c>
      <c r="X16" s="15" t="s">
        <v>21</v>
      </c>
      <c r="Y16" s="202">
        <v>5.55136</v>
      </c>
      <c r="Z16" s="203">
        <v>26</v>
      </c>
      <c r="AA16" s="198">
        <f>H16-SUM(K16:P16)*H16-J16-I16/B16-Z16/B16</f>
        <v>11.223933539823</v>
      </c>
      <c r="AB16" s="201">
        <f>AA16/H16</f>
        <v>0.146734389308917</v>
      </c>
      <c r="AC16" s="14"/>
      <c r="AD16" s="204">
        <f>J16/H16</f>
        <v>0.0917749030938078</v>
      </c>
      <c r="AE16" s="200">
        <f>I16/7.4/H16</f>
        <v>0.216534166543882</v>
      </c>
      <c r="AF16" s="200">
        <f>Z16/7.4/H16</f>
        <v>0.0459333849318357</v>
      </c>
      <c r="AG16" s="200">
        <v>0.15</v>
      </c>
      <c r="AH16" s="200">
        <f>N16</f>
        <v>0.130733480190609</v>
      </c>
      <c r="AI16" s="200">
        <v>0.02</v>
      </c>
      <c r="AJ16" s="200">
        <f>M16</f>
        <v>0.05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</row>
    <row r="17" ht="11.4" spans="1:75">
      <c r="A17" s="206" t="s">
        <v>283</v>
      </c>
      <c r="B17" s="14">
        <v>8</v>
      </c>
      <c r="C17" s="15" t="s">
        <v>289</v>
      </c>
      <c r="D17" s="15" t="s">
        <v>290</v>
      </c>
      <c r="E17" s="15" t="s">
        <v>281</v>
      </c>
      <c r="F17" s="198">
        <f>IF(E17="有",(I17/B17+J17+Z17/B17)/(0.99999-K17-L17-M17-N17),(I17/B17+J17+Z17/B17)/(0.99999-K17-M17-N17))</f>
        <v>53.6385585122821</v>
      </c>
      <c r="G17" s="198">
        <f>IF(E17="有",(I17/B17+J17+Z17/B17)/(0.8-K17-L17-M17-N17-O17-P17),(I17/B17+J17+Z17/B17)/(0.8-K17-M17-N17-O17-P17))</f>
        <v>103.534974409196</v>
      </c>
      <c r="H17" s="199">
        <v>61.39</v>
      </c>
      <c r="I17" s="198">
        <f>138.5/1.13</f>
        <v>122.566371681416</v>
      </c>
      <c r="J17" s="15">
        <v>7.02</v>
      </c>
      <c r="K17" s="200">
        <v>0.15</v>
      </c>
      <c r="L17" s="200">
        <v>0.16</v>
      </c>
      <c r="M17" s="200">
        <v>0.05</v>
      </c>
      <c r="N17" s="200">
        <f>Q17/H17</f>
        <v>0.162892979312592</v>
      </c>
      <c r="O17" s="201">
        <f>0.61/H17</f>
        <v>0.00993647173806809</v>
      </c>
      <c r="P17" s="200">
        <v>0.02</v>
      </c>
      <c r="Q17" s="198">
        <v>10</v>
      </c>
      <c r="R17" s="14">
        <v>33.5</v>
      </c>
      <c r="S17" s="14">
        <v>26.5</v>
      </c>
      <c r="T17" s="14">
        <v>25</v>
      </c>
      <c r="U17" s="14">
        <v>2.3</v>
      </c>
      <c r="V17" s="198">
        <f>R17*S17*T17/6000</f>
        <v>3.69895833333333</v>
      </c>
      <c r="W17" s="198">
        <f>MAX(U17:V17)</f>
        <v>3.69895833333333</v>
      </c>
      <c r="X17" s="15" t="s">
        <v>21</v>
      </c>
      <c r="Y17" s="202">
        <v>5.55136</v>
      </c>
      <c r="Z17" s="203">
        <v>26</v>
      </c>
      <c r="AA17" s="198">
        <f>H17-SUM(K17:P17)*H17-J17-I17/B17-Z17/B17</f>
        <v>1.86100353982301</v>
      </c>
      <c r="AB17" s="201">
        <f>AA17/H17</f>
        <v>0.0303144411113049</v>
      </c>
      <c r="AC17" s="14"/>
      <c r="AD17" s="204">
        <f>J17/H17</f>
        <v>0.114350871477439</v>
      </c>
      <c r="AE17" s="200">
        <f>I17/7.4/H17</f>
        <v>0.269800019550274</v>
      </c>
      <c r="AF17" s="200">
        <f>Z17/7.4/H17</f>
        <v>0.0572326684071268</v>
      </c>
      <c r="AG17" s="200">
        <v>0.15</v>
      </c>
      <c r="AH17" s="200">
        <f>N17</f>
        <v>0.162892979312592</v>
      </c>
      <c r="AI17" s="200">
        <v>0.02</v>
      </c>
      <c r="AJ17" s="200">
        <f>M17</f>
        <v>0.05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</row>
    <row r="18" ht="11.4" spans="1:75">
      <c r="A18" s="1"/>
      <c r="B18" s="15"/>
      <c r="C18" s="15"/>
      <c r="D18" s="15"/>
      <c r="E18" s="15"/>
      <c r="F18" s="198"/>
      <c r="G18" s="198"/>
      <c r="H18" s="205"/>
      <c r="I18" s="198"/>
      <c r="J18" s="15"/>
      <c r="K18" s="200"/>
      <c r="L18" s="200"/>
      <c r="M18" s="200"/>
      <c r="N18" s="200"/>
      <c r="O18" s="201"/>
      <c r="P18" s="200"/>
      <c r="Q18" s="200"/>
      <c r="R18" s="14"/>
      <c r="S18" s="14"/>
      <c r="T18" s="14"/>
      <c r="U18" s="14"/>
      <c r="V18" s="198"/>
      <c r="W18" s="198"/>
      <c r="X18" s="15"/>
      <c r="Y18" s="202"/>
      <c r="Z18" s="203"/>
      <c r="AA18" s="198"/>
      <c r="AB18" s="201"/>
      <c r="AC18" s="14"/>
      <c r="AD18" s="204"/>
      <c r="AE18" s="200"/>
      <c r="AF18" s="200"/>
      <c r="AG18" s="200"/>
      <c r="AH18" s="200"/>
      <c r="AI18" s="200"/>
      <c r="AJ18" s="200"/>
    </row>
    <row r="19" ht="11.4" spans="1:75">
      <c r="A19" s="206" t="s">
        <v>278</v>
      </c>
      <c r="B19" s="14">
        <v>9</v>
      </c>
      <c r="C19" s="15" t="s">
        <v>291</v>
      </c>
      <c r="D19" s="15" t="s">
        <v>86</v>
      </c>
      <c r="E19" s="15" t="s">
        <v>281</v>
      </c>
      <c r="F19" s="198">
        <f>IF(E19="有",(I19/B19+J19+Z19/B19)/(0.99999-K19-L19-M19-N19),(I19/B19+J19+Z19/B19)/(0.99999-K19-M19-N19))</f>
        <v>42.4758223877527</v>
      </c>
      <c r="G19" s="198">
        <f>IF(E19="有",(I19/B19+J19+Z19/B19)/(0.8-K19-L19-M19-N19-O19-P19),(I19/B19+J19+Z19/B19)/(0.8-K19-M19-N19-O19-P19))</f>
        <v>74.3601099250778</v>
      </c>
      <c r="H19" s="199">
        <v>89.99</v>
      </c>
      <c r="I19" s="198">
        <f>138.5/1.13</f>
        <v>122.566371681416</v>
      </c>
      <c r="J19" s="15">
        <v>5.19</v>
      </c>
      <c r="K19" s="200">
        <v>0.15</v>
      </c>
      <c r="L19" s="200">
        <v>0.16</v>
      </c>
      <c r="M19" s="200">
        <v>0.05</v>
      </c>
      <c r="N19" s="200">
        <f>Q19/H19</f>
        <v>0.111123458162018</v>
      </c>
      <c r="O19" s="201">
        <f>0.61/H19</f>
        <v>0.0067785309478831</v>
      </c>
      <c r="P19" s="200">
        <v>0.02</v>
      </c>
      <c r="Q19" s="198">
        <v>10</v>
      </c>
      <c r="R19" s="14">
        <v>33.5</v>
      </c>
      <c r="S19" s="14">
        <v>26.5</v>
      </c>
      <c r="T19" s="14">
        <v>25</v>
      </c>
      <c r="U19" s="14">
        <v>2.3</v>
      </c>
      <c r="V19" s="198">
        <f>R19*S19*T19/6000</f>
        <v>3.69895833333333</v>
      </c>
      <c r="W19" s="198">
        <f>MAX(U19:V19)</f>
        <v>3.69895833333333</v>
      </c>
      <c r="X19" s="15" t="s">
        <v>21</v>
      </c>
      <c r="Y19" s="202">
        <v>6.084</v>
      </c>
      <c r="Z19" s="203">
        <v>32.9</v>
      </c>
      <c r="AA19" s="198">
        <f>H19-SUM(K19:P19)*H19-J19-I19/B19-Z19/B19</f>
        <v>22.7197587020649</v>
      </c>
      <c r="AB19" s="201">
        <f>AA19/H19</f>
        <v>0.252469815558005</v>
      </c>
      <c r="AC19" s="14"/>
      <c r="AD19" s="204">
        <f>J19/H19</f>
        <v>0.0576730747860874</v>
      </c>
      <c r="AE19" s="200">
        <f>I19/7.4/H19</f>
        <v>0.1840540415623</v>
      </c>
      <c r="AF19" s="200">
        <f>Z19/7.4/H19</f>
        <v>0.0494048888314918</v>
      </c>
      <c r="AG19" s="200">
        <v>0.15</v>
      </c>
      <c r="AH19" s="200">
        <f>N19</f>
        <v>0.111123458162018</v>
      </c>
      <c r="AI19" s="200">
        <v>0.02</v>
      </c>
      <c r="AJ19" s="200">
        <f>M19</f>
        <v>0.05</v>
      </c>
    </row>
    <row r="20" ht="11.4" spans="1:75">
      <c r="A20" s="206" t="s">
        <v>282</v>
      </c>
      <c r="B20" s="14">
        <v>9</v>
      </c>
      <c r="C20" s="15" t="s">
        <v>291</v>
      </c>
      <c r="D20" s="15" t="s">
        <v>86</v>
      </c>
      <c r="E20" s="15" t="s">
        <v>281</v>
      </c>
      <c r="F20" s="198">
        <f>IF(E20="有",(I20/B20+J20+Z20/B20)/(0.99999-K20-L20-M20-N20),(I20/B20+J20+Z20/B20)/(0.99999-K20-M20-N20))</f>
        <v>44.1114456548208</v>
      </c>
      <c r="G20" s="198">
        <f>IF(E20="有",(I20/B20+J20+Z20/B20)/(0.8-K20-L20-M20-N20-O20-P20),(I20/B20+J20+Z20/B20)/(0.8-K20-M20-N20-O20-P20))</f>
        <v>79.8602842079752</v>
      </c>
      <c r="H20" s="199">
        <f>H19*0.85</f>
        <v>76.4915</v>
      </c>
      <c r="I20" s="198">
        <f>138.5/1.13</f>
        <v>122.566371681416</v>
      </c>
      <c r="J20" s="15">
        <v>5.19</v>
      </c>
      <c r="K20" s="200">
        <v>0.15</v>
      </c>
      <c r="L20" s="200">
        <v>0.16</v>
      </c>
      <c r="M20" s="200">
        <v>0.05</v>
      </c>
      <c r="N20" s="200">
        <f>Q20/H20</f>
        <v>0.130733480190609</v>
      </c>
      <c r="O20" s="201">
        <f>0.61/H20</f>
        <v>0.00797474229162718</v>
      </c>
      <c r="P20" s="200">
        <v>0.02</v>
      </c>
      <c r="Q20" s="198">
        <v>10</v>
      </c>
      <c r="R20" s="14">
        <v>33.5</v>
      </c>
      <c r="S20" s="14">
        <v>26.5</v>
      </c>
      <c r="T20" s="14">
        <v>25</v>
      </c>
      <c r="U20" s="14">
        <v>2.3</v>
      </c>
      <c r="V20" s="198">
        <f>R20*S20*T20/6000</f>
        <v>3.69895833333333</v>
      </c>
      <c r="W20" s="198">
        <f>MAX(U20:V20)</f>
        <v>3.69895833333333</v>
      </c>
      <c r="X20" s="15" t="s">
        <v>21</v>
      </c>
      <c r="Y20" s="202">
        <v>6.084</v>
      </c>
      <c r="Z20" s="203">
        <v>32.9</v>
      </c>
      <c r="AA20" s="198">
        <f>H20-SUM(K20:P20)*H20-J20-I20/B20-Z20/B20</f>
        <v>14.3506887020649</v>
      </c>
      <c r="AB20" s="201">
        <f>AA20/H20</f>
        <v>0.1876115477153</v>
      </c>
      <c r="AC20" s="14"/>
      <c r="AD20" s="204">
        <f>J20/H20</f>
        <v>0.0678506762189263</v>
      </c>
      <c r="AE20" s="200">
        <f>I20/7.4/H20</f>
        <v>0.216534166543882</v>
      </c>
      <c r="AF20" s="200">
        <f>Z20/7.4/H20</f>
        <v>0.0581233986252845</v>
      </c>
      <c r="AG20" s="200">
        <v>0.15</v>
      </c>
      <c r="AH20" s="200">
        <f>N20</f>
        <v>0.130733480190609</v>
      </c>
      <c r="AI20" s="200">
        <v>0.02</v>
      </c>
      <c r="AJ20" s="200">
        <f>M20</f>
        <v>0.05</v>
      </c>
    </row>
    <row r="21" ht="11.4" spans="1:75">
      <c r="A21" s="206" t="s">
        <v>283</v>
      </c>
      <c r="B21" s="14">
        <v>9</v>
      </c>
      <c r="C21" s="15" t="s">
        <v>291</v>
      </c>
      <c r="D21" s="15" t="s">
        <v>86</v>
      </c>
      <c r="E21" s="15" t="s">
        <v>281</v>
      </c>
      <c r="F21" s="198">
        <f>IF(E21="有",(I21/B21+J21+Z21/B21)/(0.99999-K21-L21-M21-N21),(I21/B21+J21+Z21/B21)/(0.99999-K21-M21-N21))</f>
        <v>44.8307391643904</v>
      </c>
      <c r="G21" s="198">
        <f>IF(E21="有",(I21/B21+J21+Z21/B21)/(0.8-K21-L21-M21-N21-O21-P21),(I21/B21+J21+Z21/B21)/(0.8-K21-M21-N21-O21-P21))</f>
        <v>82.399802570432</v>
      </c>
      <c r="H21" s="199">
        <f>H19*0.8</f>
        <v>71.992</v>
      </c>
      <c r="I21" s="198">
        <f>138.5/1.13</f>
        <v>122.566371681416</v>
      </c>
      <c r="J21" s="15">
        <v>5.19</v>
      </c>
      <c r="K21" s="200">
        <v>0.15</v>
      </c>
      <c r="L21" s="200">
        <v>0.16</v>
      </c>
      <c r="M21" s="200">
        <v>0.05</v>
      </c>
      <c r="N21" s="200">
        <f>Q21/H21</f>
        <v>0.138904322702522</v>
      </c>
      <c r="O21" s="201">
        <f>0.61/H21</f>
        <v>0.00847316368485387</v>
      </c>
      <c r="P21" s="200">
        <v>0.02</v>
      </c>
      <c r="Q21" s="198">
        <v>10</v>
      </c>
      <c r="R21" s="14">
        <v>33.5</v>
      </c>
      <c r="S21" s="14">
        <v>26.5</v>
      </c>
      <c r="T21" s="14">
        <v>25</v>
      </c>
      <c r="U21" s="14">
        <v>2.3</v>
      </c>
      <c r="V21" s="198">
        <f>R21*S21*T21/6000</f>
        <v>3.69895833333333</v>
      </c>
      <c r="W21" s="198">
        <f>MAX(U21:V21)</f>
        <v>3.69895833333333</v>
      </c>
      <c r="X21" s="15" t="s">
        <v>21</v>
      </c>
      <c r="Y21" s="202">
        <v>6.084</v>
      </c>
      <c r="Z21" s="203">
        <v>32.9</v>
      </c>
      <c r="AA21" s="198">
        <f>H21-SUM(K21:P21)*H21-J21-I21/B21-Z21/B21</f>
        <v>11.5609987020649</v>
      </c>
      <c r="AB21" s="201">
        <f>AA21/H21</f>
        <v>0.160587269447507</v>
      </c>
      <c r="AC21" s="14"/>
      <c r="AD21" s="204">
        <f>J21/H21</f>
        <v>0.0720913434826092</v>
      </c>
      <c r="AE21" s="200">
        <f>I21/7.4/H21</f>
        <v>0.230067551952875</v>
      </c>
      <c r="AF21" s="200">
        <f>Z21/7.4/H21</f>
        <v>0.0617561110393647</v>
      </c>
      <c r="AG21" s="200">
        <v>0.15</v>
      </c>
      <c r="AH21" s="200">
        <f>N21</f>
        <v>0.138904322702522</v>
      </c>
      <c r="AI21" s="200">
        <v>0.02</v>
      </c>
      <c r="AJ21" s="200">
        <f>M21</f>
        <v>0.05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</row>
    <row r="22" ht="11.4" spans="1:75">
      <c r="B22" s="15"/>
      <c r="C22" s="15"/>
      <c r="D22" s="15"/>
      <c r="E22" s="15"/>
      <c r="F22" s="198"/>
      <c r="G22" s="198"/>
      <c r="H22" s="205"/>
      <c r="I22" s="198"/>
      <c r="J22" s="15"/>
      <c r="K22" s="200"/>
      <c r="L22" s="200"/>
      <c r="M22" s="200"/>
      <c r="N22" s="200"/>
      <c r="O22" s="201"/>
      <c r="P22" s="200"/>
      <c r="Q22" s="200"/>
      <c r="R22" s="14"/>
      <c r="S22" s="14"/>
      <c r="T22" s="14"/>
      <c r="U22" s="14"/>
      <c r="V22" s="198"/>
      <c r="W22" s="198"/>
      <c r="X22" s="15"/>
      <c r="Y22" s="202"/>
      <c r="Z22" s="198"/>
      <c r="AA22" s="198"/>
      <c r="AB22" s="201"/>
      <c r="AC22" s="14"/>
      <c r="AD22" s="204"/>
      <c r="AE22" s="200"/>
      <c r="AF22" s="200"/>
      <c r="AG22" s="200"/>
      <c r="AH22" s="200"/>
      <c r="AI22" s="200"/>
      <c r="AJ22" s="200"/>
    </row>
    <row r="23" ht="11.4" spans="1:75">
      <c r="A23" s="207" t="s">
        <v>292</v>
      </c>
      <c r="B23" s="14">
        <v>8</v>
      </c>
      <c r="C23" s="15" t="s">
        <v>279</v>
      </c>
      <c r="D23" s="15" t="s">
        <v>280</v>
      </c>
      <c r="E23" s="15" t="s">
        <v>281</v>
      </c>
      <c r="F23" s="198">
        <f>IF(E23="有",(I23/B23+J23+Z23/B23)/(0.99999-K23-L23-M23-N23),(I23/B23+J23+Z23/B23)/(0.99999-K23-M23-N23))</f>
        <v>27.4049502130424</v>
      </c>
      <c r="G23" s="198">
        <f>IF(E23="有",(I23/B23+J23+Z23/B23)/(0.8-K23-L23-M23-N23-O23-P23),(I23/B23+J23+Z23/B23)/(0.8-K23-M23-N23-O23-P23))</f>
        <v>46.2205244809087</v>
      </c>
      <c r="H23" s="199">
        <v>39.99</v>
      </c>
      <c r="I23" s="198">
        <f>100.1/1.13</f>
        <v>88.5840707964602</v>
      </c>
      <c r="J23" s="14">
        <v>3.41</v>
      </c>
      <c r="K23" s="200">
        <v>0.15</v>
      </c>
      <c r="L23" s="200">
        <v>0.16</v>
      </c>
      <c r="M23" s="200">
        <v>0.05</v>
      </c>
      <c r="N23" s="200">
        <f>Q23/H23</f>
        <v>0.0750187546886722</v>
      </c>
      <c r="O23" s="201">
        <v>0.01</v>
      </c>
      <c r="P23" s="200">
        <v>0.02</v>
      </c>
      <c r="Q23" s="198">
        <v>3</v>
      </c>
      <c r="R23" s="14"/>
      <c r="S23" s="14"/>
      <c r="T23" s="14"/>
      <c r="U23" s="14"/>
      <c r="V23" s="198"/>
      <c r="W23" s="198"/>
      <c r="X23" s="14" t="s">
        <v>21</v>
      </c>
      <c r="Y23" s="202">
        <v>5.55136</v>
      </c>
      <c r="Z23" s="203">
        <v>8</v>
      </c>
      <c r="AA23" s="198">
        <f>H23-SUM(K23:P23)*H23-J23-I23/B23-Z23/B23</f>
        <v>5.91089115044248</v>
      </c>
      <c r="AB23" s="201">
        <f>AA23/H23</f>
        <v>0.147809231068829</v>
      </c>
      <c r="AC23" s="14"/>
      <c r="AD23" s="204">
        <f>J23/H23</f>
        <v>0.0852713178294574</v>
      </c>
      <c r="AE23" s="200">
        <f>I23/7.4/H23</f>
        <v>0.299345345783947</v>
      </c>
      <c r="AF23" s="200">
        <f>Z23/7.4/H23</f>
        <v>0.0270337854733954</v>
      </c>
      <c r="AG23" s="200">
        <v>0.15</v>
      </c>
      <c r="AH23" s="200">
        <f>N23</f>
        <v>0.0750187546886722</v>
      </c>
      <c r="AI23" s="200">
        <v>0.02</v>
      </c>
      <c r="AJ23" s="200">
        <f>M23</f>
        <v>0.05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</row>
    <row r="24" ht="11.4" spans="1:75">
      <c r="A24" s="207" t="s">
        <v>293</v>
      </c>
      <c r="B24" s="15">
        <v>8</v>
      </c>
      <c r="C24" s="15" t="s">
        <v>279</v>
      </c>
      <c r="D24" s="15" t="s">
        <v>280</v>
      </c>
      <c r="E24" s="15" t="s">
        <v>281</v>
      </c>
      <c r="F24" s="198">
        <f>IF(E24="有",(I24/B24+J24+Z24/B24)/(0.99999-K24-L24-M24-N24),(I24/B24+J24+Z24/B24)/(0.99999-K24-M24-N24))</f>
        <v>27.8153292822481</v>
      </c>
      <c r="G24" s="198">
        <f>IF(E24="有",(I24/B24+J24+Z24/B24)/(0.8-K24-L24-M24-N24-O24-P24),(I24/B24+J24+Z24/B24)/(0.8-K24-M24-N24-O24-P24))</f>
        <v>47.3999895804402</v>
      </c>
      <c r="H24" s="199">
        <f>H23*0.9</f>
        <v>35.991</v>
      </c>
      <c r="I24" s="198">
        <f>100.1/1.13</f>
        <v>88.5840707964602</v>
      </c>
      <c r="J24" s="15">
        <v>3.41</v>
      </c>
      <c r="K24" s="200">
        <v>0.15</v>
      </c>
      <c r="L24" s="200">
        <v>0.16</v>
      </c>
      <c r="M24" s="200">
        <v>0.05</v>
      </c>
      <c r="N24" s="200">
        <f>Q24/H24</f>
        <v>0.0833541718763024</v>
      </c>
      <c r="O24" s="201">
        <v>0.01</v>
      </c>
      <c r="P24" s="200">
        <v>0.02</v>
      </c>
      <c r="Q24" s="198">
        <v>3</v>
      </c>
      <c r="R24" s="14"/>
      <c r="S24" s="14"/>
      <c r="T24" s="14"/>
      <c r="U24" s="14"/>
      <c r="V24" s="198"/>
      <c r="W24" s="198"/>
      <c r="X24" s="15" t="s">
        <v>21</v>
      </c>
      <c r="Y24" s="202">
        <v>5.55136</v>
      </c>
      <c r="Z24" s="203">
        <v>8</v>
      </c>
      <c r="AA24" s="198">
        <f>H24-SUM(K24:P24)*H24-J24-I24/B24-Z24/B24</f>
        <v>3.47150115044248</v>
      </c>
      <c r="AB24" s="201">
        <f>AA24/H24</f>
        <v>0.0964547011875879</v>
      </c>
      <c r="AC24" s="14"/>
      <c r="AD24" s="204">
        <f>J24/H24</f>
        <v>0.0947459086993971</v>
      </c>
      <c r="AE24" s="200">
        <f>I24/B24/H24</f>
        <v>0.307660494277945</v>
      </c>
      <c r="AF24" s="200">
        <f>Z24/B24/H24</f>
        <v>0.0277847239587675</v>
      </c>
      <c r="AG24" s="200">
        <f>K24</f>
        <v>0.15</v>
      </c>
      <c r="AH24" s="200">
        <f>N24</f>
        <v>0.0833541718763024</v>
      </c>
      <c r="AI24" s="200">
        <v>0.02</v>
      </c>
      <c r="AJ24" s="200">
        <f>M24</f>
        <v>0.05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</row>
    <row r="25" ht="11.4" spans="1:75">
      <c r="A25" s="207" t="s">
        <v>294</v>
      </c>
      <c r="B25" s="15">
        <v>8</v>
      </c>
      <c r="C25" s="15" t="s">
        <v>279</v>
      </c>
      <c r="D25" s="15" t="s">
        <v>280</v>
      </c>
      <c r="E25" s="15" t="s">
        <v>281</v>
      </c>
      <c r="F25" s="198">
        <f>IF(E25="有",(I25/B25+J25+Z25/B25)/(0.99999-K25-L25-M25-N25),(I25/B25+J25+Z25/B25)/(0.99999-K25-M25-N25))</f>
        <v>28.0625210179053</v>
      </c>
      <c r="G25" s="198">
        <f>IF(E25="有",(I25/B25+J25+Z25/B25)/(0.8-K25-L25-M25-N25-O25-P25),(I25/B25+J25+Z25/B25)/(0.8-K25-M25-N25-O25-P25))</f>
        <v>48.1223401887836</v>
      </c>
      <c r="H25" s="208">
        <f>H23*0.85</f>
        <v>33.9915</v>
      </c>
      <c r="I25" s="198">
        <f>100.1/1.13</f>
        <v>88.5840707964602</v>
      </c>
      <c r="J25" s="15">
        <v>3.41</v>
      </c>
      <c r="K25" s="200">
        <v>0.15</v>
      </c>
      <c r="L25" s="200">
        <v>0.16</v>
      </c>
      <c r="M25" s="200">
        <v>0.05</v>
      </c>
      <c r="N25" s="200">
        <f>Q25/H25</f>
        <v>0.0882573584572614</v>
      </c>
      <c r="O25" s="201">
        <v>0.01</v>
      </c>
      <c r="P25" s="200">
        <v>0.02</v>
      </c>
      <c r="Q25" s="198">
        <v>3</v>
      </c>
      <c r="R25" s="14"/>
      <c r="S25" s="14"/>
      <c r="T25" s="14"/>
      <c r="U25" s="14"/>
      <c r="V25" s="198"/>
      <c r="W25" s="198"/>
      <c r="X25" s="15" t="s">
        <v>21</v>
      </c>
      <c r="Y25" s="202">
        <v>5.55136</v>
      </c>
      <c r="Z25" s="203">
        <v>8</v>
      </c>
      <c r="AA25" s="198">
        <f>H25-SUM(K25:P25)*H25-J25-I25/B25-Z25/B25</f>
        <v>2.25180615044248</v>
      </c>
      <c r="AB25" s="201">
        <f>AA25/H25</f>
        <v>0.0662461541986225</v>
      </c>
      <c r="AC25" s="14"/>
      <c r="AD25" s="204">
        <f>J25/H25</f>
        <v>0.10031919744642</v>
      </c>
      <c r="AE25" s="200">
        <f>I25/B25/H25</f>
        <v>0.325758170411942</v>
      </c>
      <c r="AF25" s="200">
        <f>Z25/B25/H25</f>
        <v>0.0294191194857538</v>
      </c>
      <c r="AG25" s="200">
        <f>K25</f>
        <v>0.15</v>
      </c>
      <c r="AH25" s="200">
        <f>N25</f>
        <v>0.0882573584572614</v>
      </c>
      <c r="AI25" s="200">
        <v>0.02</v>
      </c>
      <c r="AJ25" s="200">
        <f>M25</f>
        <v>0.05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</row>
    <row r="26" ht="11.4" spans="1:75">
      <c r="A26" s="207" t="s">
        <v>295</v>
      </c>
      <c r="B26" s="15">
        <v>8</v>
      </c>
      <c r="C26" s="15" t="s">
        <v>279</v>
      </c>
      <c r="D26" s="15" t="s">
        <v>280</v>
      </c>
      <c r="E26" s="15" t="s">
        <v>281</v>
      </c>
      <c r="F26" s="198">
        <f>IF(E26="有",(I26/B26+J26+Z26/B26)/(0.99999-K26-L26-M26-N26),(I26/B26+J26+Z26/B26)/(0.99999-K26-M26-N26))</f>
        <v>28.3459163977446</v>
      </c>
      <c r="G26" s="198">
        <f>IF(E26="有",(I26/B26+J26+Z26/B26)/(0.8-K26-L26-M26-N26-O26-P26),(I26/B26+J26+Z26/B26)/(0.8-K26-M26-N26-O26-P26))</f>
        <v>48.9617602459141</v>
      </c>
      <c r="H26" s="199">
        <f>H23*0.8</f>
        <v>31.992</v>
      </c>
      <c r="I26" s="198">
        <f>100.1/1.13</f>
        <v>88.5840707964602</v>
      </c>
      <c r="J26" s="15">
        <v>3.41</v>
      </c>
      <c r="K26" s="200">
        <v>0.15</v>
      </c>
      <c r="L26" s="200">
        <v>0.16</v>
      </c>
      <c r="M26" s="200">
        <v>0.05</v>
      </c>
      <c r="N26" s="200">
        <f>Q26/H26</f>
        <v>0.0937734433608402</v>
      </c>
      <c r="O26" s="201">
        <v>0.01</v>
      </c>
      <c r="P26" s="200">
        <v>0.02</v>
      </c>
      <c r="Q26" s="198">
        <v>3</v>
      </c>
      <c r="R26" s="14"/>
      <c r="S26" s="14"/>
      <c r="T26" s="14"/>
      <c r="U26" s="14"/>
      <c r="V26" s="198"/>
      <c r="W26" s="198"/>
      <c r="X26" s="15" t="s">
        <v>21</v>
      </c>
      <c r="Y26" s="202">
        <v>5.55136</v>
      </c>
      <c r="Z26" s="203">
        <v>8</v>
      </c>
      <c r="AA26" s="198">
        <f>H26-SUM(K26:P26)*H26-J26-I26/B26-Z26/B26</f>
        <v>1.03211115044248</v>
      </c>
      <c r="AB26" s="201">
        <f>AA26/H26</f>
        <v>0.0322615388360365</v>
      </c>
      <c r="AC26" s="14"/>
      <c r="AD26" s="204">
        <f>J26/H26</f>
        <v>0.106589147286822</v>
      </c>
      <c r="AE26" s="200">
        <f>I26/7.4/H26</f>
        <v>0.374181682229933</v>
      </c>
      <c r="AF26" s="200">
        <f>Z26/7.4/H26</f>
        <v>0.0337922318417442</v>
      </c>
      <c r="AG26" s="200">
        <v>0.15</v>
      </c>
      <c r="AH26" s="200">
        <f>N26</f>
        <v>0.0937734433608402</v>
      </c>
      <c r="AI26" s="200">
        <v>0.02</v>
      </c>
      <c r="AJ26" s="200">
        <f>M26</f>
        <v>0.05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</row>
    <row r="27" ht="21" customHeight="1" spans="1:75">
      <c r="E27" s="15"/>
      <c r="F27" s="198"/>
      <c r="G27" s="198"/>
      <c r="H27" s="15"/>
      <c r="I27" s="198"/>
      <c r="J27" s="15"/>
      <c r="K27" s="200"/>
      <c r="L27" s="200"/>
      <c r="M27" s="200"/>
      <c r="N27" s="200"/>
      <c r="O27" s="201"/>
      <c r="P27" s="200"/>
      <c r="Q27" s="200"/>
      <c r="R27" s="14"/>
      <c r="S27" s="14"/>
      <c r="T27" s="14"/>
      <c r="U27" s="14"/>
      <c r="V27" s="198"/>
      <c r="W27" s="198"/>
      <c r="X27" s="15"/>
      <c r="Y27" s="202"/>
      <c r="Z27" s="198"/>
      <c r="AA27" s="198"/>
      <c r="AB27" s="201"/>
      <c r="AC27" s="14"/>
      <c r="AD27" s="204"/>
      <c r="AE27" s="200"/>
      <c r="AF27" s="200"/>
      <c r="AG27" s="200"/>
      <c r="AH27" s="200"/>
      <c r="AI27" s="200"/>
      <c r="AJ27" s="200"/>
    </row>
    <row r="28" ht="11.4" spans="1:75">
      <c r="A28" s="207" t="s">
        <v>292</v>
      </c>
      <c r="B28" s="15">
        <v>8</v>
      </c>
      <c r="C28" s="14" t="s">
        <v>284</v>
      </c>
      <c r="D28" s="14" t="s">
        <v>285</v>
      </c>
      <c r="E28" s="15" t="s">
        <v>281</v>
      </c>
      <c r="F28" s="198">
        <f>IF(E28="有",(I28/B28+J28+Z28/B28)/(0.99999-K28-L28-M28-N28),(I28/B28+J28+Z28/B28)/(0.99999-K28-M28-N28))</f>
        <v>31.6175539866885</v>
      </c>
      <c r="G28" s="198">
        <f>IF(E28="有",(I28/B28+J28+Z28/B28)/(0.8-K28-L28-M28-N28-O28-P28),(I28/B28+J28+Z28/B28)/(0.8-K28-M28-N28-O28-P28))</f>
        <v>53.3253998532242</v>
      </c>
      <c r="H28" s="199">
        <v>39.99</v>
      </c>
      <c r="I28" s="198">
        <f>100.1/1.13</f>
        <v>88.5840707964602</v>
      </c>
      <c r="J28" s="14">
        <v>5.79</v>
      </c>
      <c r="K28" s="200">
        <v>0.15</v>
      </c>
      <c r="L28" s="200">
        <v>0.16</v>
      </c>
      <c r="M28" s="200">
        <v>0.05</v>
      </c>
      <c r="N28" s="200">
        <f>Q28/H28</f>
        <v>0.0750187546886722</v>
      </c>
      <c r="O28" s="201">
        <v>0.01</v>
      </c>
      <c r="P28" s="200">
        <v>0.02</v>
      </c>
      <c r="Q28" s="198">
        <v>3</v>
      </c>
      <c r="R28" s="14"/>
      <c r="S28" s="14"/>
      <c r="T28" s="14"/>
      <c r="U28" s="14"/>
      <c r="V28" s="198"/>
      <c r="W28" s="198"/>
      <c r="X28" s="14" t="s">
        <v>21</v>
      </c>
      <c r="Y28" s="202">
        <v>5.55136</v>
      </c>
      <c r="Z28" s="203">
        <v>8</v>
      </c>
      <c r="AA28" s="198">
        <f>H28-SUM(K28:P28)*H28-J28-I28/B28-Z28/B28</f>
        <v>3.53089115044248</v>
      </c>
      <c r="AB28" s="201">
        <f>AA28/H28</f>
        <v>0.0882943523491493</v>
      </c>
      <c r="AC28" s="14"/>
      <c r="AD28" s="204">
        <f>J28/H28</f>
        <v>0.144786196549137</v>
      </c>
      <c r="AE28" s="200">
        <f>I28/7.4/H28</f>
        <v>0.299345345783947</v>
      </c>
      <c r="AF28" s="200">
        <f>Z28/7.4/H28</f>
        <v>0.0270337854733954</v>
      </c>
      <c r="AG28" s="200">
        <v>0.15</v>
      </c>
      <c r="AH28" s="200">
        <f>N28</f>
        <v>0.0750187546886722</v>
      </c>
      <c r="AI28" s="200">
        <v>0.02</v>
      </c>
      <c r="AJ28" s="200">
        <f>M28</f>
        <v>0.05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</row>
    <row r="29" ht="11.4" spans="1:75">
      <c r="A29" s="207" t="s">
        <v>293</v>
      </c>
      <c r="B29" s="15">
        <v>8</v>
      </c>
      <c r="C29" s="15" t="s">
        <v>284</v>
      </c>
      <c r="D29" s="15" t="s">
        <v>285</v>
      </c>
      <c r="E29" s="15" t="s">
        <v>281</v>
      </c>
      <c r="F29" s="198">
        <f>IF(E29="有",(I29/B29+J29+Z29/B29)/(0.99999-K29-L29-M29-N29),(I29/B29+J29+Z29/B29)/(0.99999-K29-M29-N29))</f>
        <v>32.0910152509765</v>
      </c>
      <c r="G29" s="198">
        <f>IF(E29="有",(I29/B29+J29+Z29/B29)/(0.8-K29-L29-M29-N29-O29-P29),(I29/B29+J29+Z29/B29)/(0.8-K29-M29-N29-O29-P29))</f>
        <v>54.6861686621419</v>
      </c>
      <c r="H29" s="199">
        <f>H28*0.9</f>
        <v>35.991</v>
      </c>
      <c r="I29" s="198">
        <f>100.1/1.13</f>
        <v>88.5840707964602</v>
      </c>
      <c r="J29" s="15">
        <v>5.79</v>
      </c>
      <c r="K29" s="200">
        <v>0.15</v>
      </c>
      <c r="L29" s="200">
        <v>0.16</v>
      </c>
      <c r="M29" s="200">
        <v>0.05</v>
      </c>
      <c r="N29" s="200">
        <f>Q29/H29</f>
        <v>0.0833541718763024</v>
      </c>
      <c r="O29" s="201">
        <v>0.01</v>
      </c>
      <c r="P29" s="200">
        <v>0.02</v>
      </c>
      <c r="Q29" s="198">
        <v>3</v>
      </c>
      <c r="R29" s="14"/>
      <c r="S29" s="14"/>
      <c r="T29" s="14"/>
      <c r="U29" s="14"/>
      <c r="V29" s="198"/>
      <c r="W29" s="198"/>
      <c r="X29" s="15" t="s">
        <v>21</v>
      </c>
      <c r="Y29" s="202">
        <v>5.55136</v>
      </c>
      <c r="Z29" s="203">
        <v>8</v>
      </c>
      <c r="AA29" s="198">
        <f>H29-SUM(K29:P29)*H29-J29-I29/B29-Z29/B29</f>
        <v>1.09150115044248</v>
      </c>
      <c r="AB29" s="201">
        <f>AA29/H29</f>
        <v>0.0303270581657214</v>
      </c>
      <c r="AC29" s="14"/>
      <c r="AD29" s="204">
        <f>J29/H29</f>
        <v>0.160873551721264</v>
      </c>
      <c r="AE29" s="200">
        <f>I29/B29/H29</f>
        <v>0.307660494277945</v>
      </c>
      <c r="AF29" s="200">
        <f>Z29/B29/H29</f>
        <v>0.0277847239587675</v>
      </c>
      <c r="AG29" s="200">
        <f>K29</f>
        <v>0.15</v>
      </c>
      <c r="AH29" s="200">
        <f>N29</f>
        <v>0.0833541718763024</v>
      </c>
      <c r="AI29" s="200">
        <v>0.02</v>
      </c>
      <c r="AJ29" s="200">
        <f>M29</f>
        <v>0.05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</row>
    <row r="30" ht="11.4" spans="1:75">
      <c r="A30" s="207" t="s">
        <v>294</v>
      </c>
      <c r="B30" s="15">
        <v>8</v>
      </c>
      <c r="C30" s="15" t="s">
        <v>284</v>
      </c>
      <c r="D30" s="15" t="s">
        <v>285</v>
      </c>
      <c r="E30" s="15" t="s">
        <v>281</v>
      </c>
      <c r="F30" s="198">
        <f>IF(E30="有",(I30/B30+J30+Z30/B30)/(0.99999-K30-L30-M30-N30),(I30/B30+J30+Z30/B30)/(0.99999-K30-M30-N30))</f>
        <v>32.3762045319804</v>
      </c>
      <c r="G30" s="198">
        <f>IF(E30="有",(I30/B30+J30+Z30/B30)/(0.8-K30-L30-M30-N30-O30-P30),(I30/B30+J30+Z30/B30)/(0.8-K30-M30-N30-O30-P30))</f>
        <v>55.5195567609732</v>
      </c>
      <c r="H30" s="208">
        <f>H28*0.85</f>
        <v>33.9915</v>
      </c>
      <c r="I30" s="198">
        <f>100.1/1.13</f>
        <v>88.5840707964602</v>
      </c>
      <c r="J30" s="15">
        <v>5.79</v>
      </c>
      <c r="K30" s="200">
        <v>0.15</v>
      </c>
      <c r="L30" s="200">
        <v>0.16</v>
      </c>
      <c r="M30" s="200">
        <v>0.05</v>
      </c>
      <c r="N30" s="200">
        <f>Q30/H30</f>
        <v>0.0882573584572614</v>
      </c>
      <c r="O30" s="201">
        <v>0.01</v>
      </c>
      <c r="P30" s="200">
        <v>0.02</v>
      </c>
      <c r="Q30" s="198">
        <v>3</v>
      </c>
      <c r="R30" s="14"/>
      <c r="S30" s="14"/>
      <c r="T30" s="14"/>
      <c r="U30" s="14"/>
      <c r="V30" s="198"/>
      <c r="W30" s="198"/>
      <c r="X30" s="15" t="s">
        <v>21</v>
      </c>
      <c r="Y30" s="202">
        <v>5.55136</v>
      </c>
      <c r="Z30" s="203">
        <v>8</v>
      </c>
      <c r="AA30" s="198">
        <f>H30-SUM(K30:P30)*H30-J30-I30/B30-Z30/B30</f>
        <v>-0.128193849557521</v>
      </c>
      <c r="AB30" s="201">
        <f>AA30/H30</f>
        <v>-0.00377135017747145</v>
      </c>
      <c r="AC30" s="14"/>
      <c r="AD30" s="204">
        <f>J30/H30</f>
        <v>0.170336701822514</v>
      </c>
      <c r="AE30" s="200">
        <f>I30/B30/H30</f>
        <v>0.325758170411942</v>
      </c>
      <c r="AF30" s="200">
        <f>Z30/B30/H30</f>
        <v>0.0294191194857538</v>
      </c>
      <c r="AG30" s="200">
        <f>K30</f>
        <v>0.15</v>
      </c>
      <c r="AH30" s="200">
        <f>N30</f>
        <v>0.0882573584572614</v>
      </c>
      <c r="AI30" s="200">
        <v>0.02</v>
      </c>
      <c r="AJ30" s="200">
        <f>M30</f>
        <v>0.05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</row>
    <row r="31" ht="11.4" spans="1:75">
      <c r="A31" s="207" t="s">
        <v>295</v>
      </c>
      <c r="B31" s="15">
        <v>8</v>
      </c>
      <c r="C31" s="15" t="s">
        <v>284</v>
      </c>
      <c r="D31" s="15" t="s">
        <v>285</v>
      </c>
      <c r="E31" s="15" t="s">
        <v>281</v>
      </c>
      <c r="F31" s="198">
        <f>IF(E31="有",(I31/B31+J31+Z31/B31)/(0.99999-K31-L31-M31-N31),(I31/B31+J31+Z31/B31)/(0.99999-K31-M31-N31))</f>
        <v>32.703162568831</v>
      </c>
      <c r="G31" s="198">
        <f>IF(E31="有",(I31/B31+J31+Z31/B31)/(0.8-K31-L31-M31-N31-O31-P31),(I31/B31+J31+Z31/B31)/(0.8-K31-M31-N31-O31-P31))</f>
        <v>56.4880098604137</v>
      </c>
      <c r="H31" s="199">
        <f>H28*0.8</f>
        <v>31.992</v>
      </c>
      <c r="I31" s="198">
        <f>100.1/1.13</f>
        <v>88.5840707964602</v>
      </c>
      <c r="J31" s="15">
        <v>5.79</v>
      </c>
      <c r="K31" s="200">
        <v>0.15</v>
      </c>
      <c r="L31" s="200">
        <v>0.16</v>
      </c>
      <c r="M31" s="200">
        <v>0.05</v>
      </c>
      <c r="N31" s="200">
        <f>Q31/H31</f>
        <v>0.0937734433608402</v>
      </c>
      <c r="O31" s="201">
        <v>0.01</v>
      </c>
      <c r="P31" s="200">
        <v>0.02</v>
      </c>
      <c r="Q31" s="198">
        <v>3</v>
      </c>
      <c r="R31" s="14"/>
      <c r="S31" s="14"/>
      <c r="T31" s="14"/>
      <c r="U31" s="14"/>
      <c r="V31" s="198"/>
      <c r="W31" s="198"/>
      <c r="X31" s="15" t="s">
        <v>21</v>
      </c>
      <c r="Y31" s="202">
        <v>5.55136</v>
      </c>
      <c r="Z31" s="203">
        <v>8</v>
      </c>
      <c r="AA31" s="198">
        <f>H31-SUM(K31:P31)*H31-J31-I31/B31-Z31/B31</f>
        <v>-1.34788884955752</v>
      </c>
      <c r="AB31" s="201">
        <f>AA31/H31</f>
        <v>-0.0421320595635633</v>
      </c>
      <c r="AC31" s="14"/>
      <c r="AD31" s="204">
        <f>J31/H31</f>
        <v>0.180982745686422</v>
      </c>
      <c r="AE31" s="200">
        <f>I31/7.4/H31</f>
        <v>0.374181682229933</v>
      </c>
      <c r="AF31" s="200">
        <f>Z31/7.4/H31</f>
        <v>0.0337922318417442</v>
      </c>
      <c r="AG31" s="200">
        <v>0.15</v>
      </c>
      <c r="AH31" s="200">
        <f>N31</f>
        <v>0.0937734433608402</v>
      </c>
      <c r="AI31" s="200">
        <v>0.02</v>
      </c>
      <c r="AJ31" s="200">
        <f>M31</f>
        <v>0.05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</row>
    <row r="32" ht="21" customHeight="1" spans="1:75">
      <c r="E32" s="15"/>
      <c r="F32" s="198"/>
      <c r="G32" s="198"/>
      <c r="H32" s="15"/>
      <c r="I32" s="198"/>
      <c r="J32" s="15"/>
      <c r="K32" s="200"/>
      <c r="L32" s="200"/>
      <c r="M32" s="200"/>
      <c r="N32" s="200"/>
      <c r="O32" s="201"/>
      <c r="P32" s="200"/>
      <c r="Q32" s="200"/>
      <c r="R32" s="14"/>
      <c r="S32" s="14"/>
      <c r="T32" s="14"/>
      <c r="U32" s="14"/>
      <c r="V32" s="198"/>
      <c r="W32" s="198"/>
      <c r="X32" s="15"/>
      <c r="Y32" s="202"/>
      <c r="Z32" s="198"/>
      <c r="AA32" s="198"/>
      <c r="AB32" s="201"/>
      <c r="AC32" s="14"/>
      <c r="AD32" s="204"/>
      <c r="AE32" s="200"/>
      <c r="AF32" s="200"/>
      <c r="AG32" s="200"/>
      <c r="AH32" s="200"/>
      <c r="AI32" s="200"/>
      <c r="AJ32" s="200"/>
    </row>
    <row r="33" ht="11.4" spans="1:75">
      <c r="A33" s="207" t="s">
        <v>292</v>
      </c>
      <c r="B33" s="15">
        <v>8</v>
      </c>
      <c r="C33" s="14" t="s">
        <v>286</v>
      </c>
      <c r="D33" s="14" t="s">
        <v>287</v>
      </c>
      <c r="E33" s="15" t="s">
        <v>281</v>
      </c>
      <c r="F33" s="198">
        <f>IF(E33="有",(I33/B33+J33+Z33/B33)/(0.99999-K33-L33-M33-N33),(I33/B33+J33+Z33/B33)/(0.99999-K33-M33-N33))</f>
        <v>30.1307526548134</v>
      </c>
      <c r="G33" s="198">
        <f>IF(E33="有",(I33/B33+J33+Z33/B33)/(0.8-K33-L33-M33-N33-O33-P33),(I33/B33+J33+Z33/B33)/(0.8-K33-M33-N33-O33-P33))</f>
        <v>50.8177967806422</v>
      </c>
      <c r="H33" s="199">
        <v>39.99</v>
      </c>
      <c r="I33" s="198">
        <f>100.1/1.13</f>
        <v>88.5840707964602</v>
      </c>
      <c r="J33" s="14">
        <v>4.95</v>
      </c>
      <c r="K33" s="200">
        <v>0.15</v>
      </c>
      <c r="L33" s="200">
        <v>0.16</v>
      </c>
      <c r="M33" s="200">
        <v>0.05</v>
      </c>
      <c r="N33" s="200">
        <f>Q33/H33</f>
        <v>0.0750187546886722</v>
      </c>
      <c r="O33" s="201">
        <v>0.01</v>
      </c>
      <c r="P33" s="200">
        <v>0.02</v>
      </c>
      <c r="Q33" s="198">
        <v>3</v>
      </c>
      <c r="R33" s="14"/>
      <c r="S33" s="14"/>
      <c r="T33" s="14"/>
      <c r="U33" s="14"/>
      <c r="V33" s="198"/>
      <c r="W33" s="198"/>
      <c r="X33" s="14" t="s">
        <v>21</v>
      </c>
      <c r="Y33" s="202">
        <v>5.55136</v>
      </c>
      <c r="Z33" s="203">
        <v>8</v>
      </c>
      <c r="AA33" s="198">
        <f>H33-SUM(K33:P33)*H33-J33-I33/B33-Z33/B33</f>
        <v>4.37089115044248</v>
      </c>
      <c r="AB33" s="201">
        <f>AA33/H33</f>
        <v>0.109299603661977</v>
      </c>
      <c r="AC33" s="14"/>
      <c r="AD33" s="204">
        <f>J33/H33</f>
        <v>0.123780945236309</v>
      </c>
      <c r="AE33" s="200">
        <f>I33/7.4/H33</f>
        <v>0.299345345783947</v>
      </c>
      <c r="AF33" s="200">
        <f>Z33/7.4/H33</f>
        <v>0.0270337854733954</v>
      </c>
      <c r="AG33" s="200">
        <v>0.15</v>
      </c>
      <c r="AH33" s="200">
        <f>N33</f>
        <v>0.0750187546886722</v>
      </c>
      <c r="AI33" s="200">
        <v>0.02</v>
      </c>
      <c r="AJ33" s="200">
        <f>M33</f>
        <v>0.05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</row>
    <row r="34" ht="11.4" spans="1:75">
      <c r="A34" s="207" t="s">
        <v>293</v>
      </c>
      <c r="B34" s="15">
        <v>8</v>
      </c>
      <c r="C34" s="15" t="s">
        <v>286</v>
      </c>
      <c r="D34" s="15" t="s">
        <v>287</v>
      </c>
      <c r="E34" s="15" t="s">
        <v>281</v>
      </c>
      <c r="F34" s="198">
        <f>IF(E34="有",(I34/B34+J34+Z34/B34)/(0.99999-K34-L34-M34-N34),(I34/B34+J34+Z34/B34)/(0.99999-K34-M34-N34))</f>
        <v>30.5819496149547</v>
      </c>
      <c r="G34" s="198">
        <f>IF(E34="有",(I34/B34+J34+Z34/B34)/(0.8-K34-L34-M34-N34-O34-P34),(I34/B34+J34+Z34/B34)/(0.8-K34-M34-N34-O34-P34))</f>
        <v>52.1145760450707</v>
      </c>
      <c r="H34" s="199">
        <f>H33*0.9</f>
        <v>35.991</v>
      </c>
      <c r="I34" s="198">
        <f>100.1/1.13</f>
        <v>88.5840707964602</v>
      </c>
      <c r="J34" s="15">
        <v>4.95</v>
      </c>
      <c r="K34" s="200">
        <v>0.15</v>
      </c>
      <c r="L34" s="200">
        <v>0.16</v>
      </c>
      <c r="M34" s="200">
        <v>0.05</v>
      </c>
      <c r="N34" s="200">
        <f>Q34/H34</f>
        <v>0.0833541718763024</v>
      </c>
      <c r="O34" s="201">
        <v>0.01</v>
      </c>
      <c r="P34" s="200">
        <v>0.02</v>
      </c>
      <c r="Q34" s="198">
        <v>3</v>
      </c>
      <c r="R34" s="14"/>
      <c r="S34" s="14"/>
      <c r="T34" s="14"/>
      <c r="U34" s="14"/>
      <c r="V34" s="198"/>
      <c r="W34" s="198"/>
      <c r="X34" s="15" t="s">
        <v>21</v>
      </c>
      <c r="Y34" s="202">
        <v>5.55136</v>
      </c>
      <c r="Z34" s="203">
        <v>8</v>
      </c>
      <c r="AA34" s="198">
        <f>H34-SUM(K34:P34)*H34-J34-I34/B34-Z34/B34</f>
        <v>1.93150115044248</v>
      </c>
      <c r="AB34" s="201">
        <f>AA34/H34</f>
        <v>0.053666226291086</v>
      </c>
      <c r="AC34" s="14"/>
      <c r="AD34" s="204">
        <f>J34/H34</f>
        <v>0.137534383595899</v>
      </c>
      <c r="AE34" s="200">
        <f>I34/B34/H34</f>
        <v>0.307660494277945</v>
      </c>
      <c r="AF34" s="200">
        <f>Z34/B34/H34</f>
        <v>0.0277847239587675</v>
      </c>
      <c r="AG34" s="200">
        <f>K34</f>
        <v>0.15</v>
      </c>
      <c r="AH34" s="200">
        <f>N34</f>
        <v>0.0833541718763024</v>
      </c>
      <c r="AI34" s="200">
        <v>0.02</v>
      </c>
      <c r="AJ34" s="200">
        <f>M34</f>
        <v>0.05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</row>
    <row r="35" ht="11.4" spans="1:75">
      <c r="A35" s="207" t="s">
        <v>294</v>
      </c>
      <c r="B35" s="15">
        <v>8</v>
      </c>
      <c r="C35" s="15" t="s">
        <v>286</v>
      </c>
      <c r="D35" s="15" t="s">
        <v>287</v>
      </c>
      <c r="E35" s="15" t="s">
        <v>281</v>
      </c>
      <c r="F35" s="198">
        <f>IF(E35="有",(I35/B35+J35+Z35/B35)/(0.99999-K35-L35-M35-N35),(I35/B35+J35+Z35/B35)/(0.99999-K35-M35-N35))</f>
        <v>30.853727997601</v>
      </c>
      <c r="G35" s="198">
        <f>IF(E35="有",(I35/B35+J35+Z35/B35)/(0.8-K35-L35-M35-N35-O35-P35),(I35/B35+J35+Z35/B35)/(0.8-K35-M35-N35-O35-P35))</f>
        <v>52.9087744413769</v>
      </c>
      <c r="H35" s="208">
        <f>H33*0.85</f>
        <v>33.9915</v>
      </c>
      <c r="I35" s="198">
        <f>100.1/1.13</f>
        <v>88.5840707964602</v>
      </c>
      <c r="J35" s="15">
        <v>4.95</v>
      </c>
      <c r="K35" s="200">
        <v>0.15</v>
      </c>
      <c r="L35" s="200">
        <v>0.16</v>
      </c>
      <c r="M35" s="200">
        <v>0.05</v>
      </c>
      <c r="N35" s="200">
        <f>Q35/H35</f>
        <v>0.0882573584572614</v>
      </c>
      <c r="O35" s="201">
        <v>0.01</v>
      </c>
      <c r="P35" s="200">
        <v>0.02</v>
      </c>
      <c r="Q35" s="198">
        <v>3</v>
      </c>
      <c r="R35" s="14"/>
      <c r="S35" s="14"/>
      <c r="T35" s="14"/>
      <c r="U35" s="14"/>
      <c r="V35" s="198"/>
      <c r="W35" s="198"/>
      <c r="X35" s="15" t="s">
        <v>21</v>
      </c>
      <c r="Y35" s="202">
        <v>5.55136</v>
      </c>
      <c r="Z35" s="203">
        <v>8</v>
      </c>
      <c r="AA35" s="198">
        <f>H35-SUM(K35:P35)*H35-J35-I35/B35-Z35/B35</f>
        <v>0.711806150442479</v>
      </c>
      <c r="AB35" s="201">
        <f>AA35/H35</f>
        <v>0.0209407101905617</v>
      </c>
      <c r="AC35" s="14"/>
      <c r="AD35" s="204">
        <f>J35/H35</f>
        <v>0.145624641454481</v>
      </c>
      <c r="AE35" s="200">
        <f>I35/B35/H35</f>
        <v>0.325758170411942</v>
      </c>
      <c r="AF35" s="200">
        <f>Z35/B35/H35</f>
        <v>0.0294191194857538</v>
      </c>
      <c r="AG35" s="200">
        <f>K35</f>
        <v>0.15</v>
      </c>
      <c r="AH35" s="200">
        <f>N35</f>
        <v>0.0882573584572614</v>
      </c>
      <c r="AI35" s="200">
        <v>0.02</v>
      </c>
      <c r="AJ35" s="200">
        <f>M35</f>
        <v>0.05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</row>
    <row r="36" ht="11.4" spans="1:75">
      <c r="A36" s="207" t="s">
        <v>295</v>
      </c>
      <c r="B36" s="15">
        <v>8</v>
      </c>
      <c r="C36" s="15" t="s">
        <v>286</v>
      </c>
      <c r="D36" s="15" t="s">
        <v>287</v>
      </c>
      <c r="E36" s="15" t="s">
        <v>281</v>
      </c>
      <c r="F36" s="198">
        <f>IF(E36="有",(I36/B36+J36+Z36/B36)/(0.99999-K36-L36-M36-N36),(I36/B36+J36+Z36/B36)/(0.99999-K36-M36-N36))</f>
        <v>31.1653109790358</v>
      </c>
      <c r="G36" s="198">
        <f>IF(E36="有",(I36/B36+J36+Z36/B36)/(0.8-K36-L36-M36-N36-O36-P36),(I36/B36+J36+Z36/B36)/(0.8-K36-M36-N36-O36-P36))</f>
        <v>53.8316864670609</v>
      </c>
      <c r="H36" s="199">
        <f>H33*0.8</f>
        <v>31.992</v>
      </c>
      <c r="I36" s="198">
        <f>100.1/1.13</f>
        <v>88.5840707964602</v>
      </c>
      <c r="J36" s="15">
        <v>4.95</v>
      </c>
      <c r="K36" s="200">
        <v>0.15</v>
      </c>
      <c r="L36" s="200">
        <v>0.16</v>
      </c>
      <c r="M36" s="200">
        <v>0.05</v>
      </c>
      <c r="N36" s="200">
        <f>Q36/H36</f>
        <v>0.0937734433608402</v>
      </c>
      <c r="O36" s="201">
        <v>0.01</v>
      </c>
      <c r="P36" s="200">
        <v>0.02</v>
      </c>
      <c r="Q36" s="198">
        <v>3</v>
      </c>
      <c r="R36" s="14"/>
      <c r="S36" s="14"/>
      <c r="T36" s="14"/>
      <c r="U36" s="14"/>
      <c r="V36" s="198"/>
      <c r="W36" s="198"/>
      <c r="X36" s="15" t="s">
        <v>21</v>
      </c>
      <c r="Y36" s="202">
        <v>5.55136</v>
      </c>
      <c r="Z36" s="203">
        <v>8</v>
      </c>
      <c r="AA36" s="198">
        <f>H36-SUM(K36:P36)*H36-J36-I36/B36-Z36/B36</f>
        <v>-0.507888849557519</v>
      </c>
      <c r="AB36" s="201">
        <f>AA36/H36</f>
        <v>-0.0158754954225281</v>
      </c>
      <c r="AC36" s="14"/>
      <c r="AD36" s="204">
        <f>J36/H36</f>
        <v>0.154726181545386</v>
      </c>
      <c r="AE36" s="200">
        <f>I36/7.4/H36</f>
        <v>0.374181682229933</v>
      </c>
      <c r="AF36" s="200">
        <f>Z36/7.4/H36</f>
        <v>0.0337922318417442</v>
      </c>
      <c r="AG36" s="200">
        <v>0.15</v>
      </c>
      <c r="AH36" s="200">
        <f>N36</f>
        <v>0.0937734433608402</v>
      </c>
      <c r="AI36" s="200">
        <v>0.02</v>
      </c>
      <c r="AJ36" s="200">
        <f>M36</f>
        <v>0.05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</row>
    <row r="37" ht="21" customHeight="1" spans="1:75">
      <c r="E37" s="15"/>
      <c r="F37" s="198"/>
      <c r="G37" s="198"/>
      <c r="H37" s="15"/>
      <c r="I37" s="198"/>
      <c r="J37" s="15"/>
      <c r="K37" s="200"/>
      <c r="L37" s="200"/>
      <c r="M37" s="200"/>
      <c r="N37" s="200"/>
      <c r="O37" s="201"/>
      <c r="P37" s="200"/>
      <c r="Q37" s="200"/>
      <c r="R37" s="14"/>
      <c r="S37" s="14"/>
      <c r="T37" s="14"/>
      <c r="U37" s="14"/>
      <c r="V37" s="198"/>
      <c r="W37" s="198"/>
      <c r="X37" s="15"/>
      <c r="Y37" s="202"/>
      <c r="Z37" s="198"/>
      <c r="AA37" s="198"/>
      <c r="AB37" s="201"/>
      <c r="AC37" s="14"/>
      <c r="AD37" s="204"/>
      <c r="AE37" s="200"/>
      <c r="AF37" s="200"/>
      <c r="AG37" s="200"/>
      <c r="AH37" s="200"/>
      <c r="AI37" s="200"/>
      <c r="AJ37" s="200"/>
    </row>
    <row r="38" ht="11.4" spans="1:75">
      <c r="A38" s="207" t="s">
        <v>292</v>
      </c>
      <c r="B38" s="15">
        <v>8</v>
      </c>
      <c r="C38" s="14" t="s">
        <v>289</v>
      </c>
      <c r="D38" s="14" t="s">
        <v>290</v>
      </c>
      <c r="E38" s="15" t="s">
        <v>281</v>
      </c>
      <c r="F38" s="198">
        <f>IF(E38="有",(I38/B38+J38+Z38/B38)/(0.99999-K38-L38-M38-N38),(I38/B38+J38+Z38/B38)/(0.99999-K38-M38-N38))</f>
        <v>28.3607510692478</v>
      </c>
      <c r="G38" s="198">
        <f>IF(E38="有",(I38/B38+J38+Z38/B38)/(0.8-K38-L38-M38-N38-O38-P38),(I38/B38+J38+Z38/B38)/(0.8-K38-M38-N38-O38-P38))</f>
        <v>47.8325550275685</v>
      </c>
      <c r="H38" s="199">
        <v>39.99</v>
      </c>
      <c r="I38" s="198">
        <f>100.1/1.13</f>
        <v>88.5840707964602</v>
      </c>
      <c r="J38" s="14">
        <v>3.95</v>
      </c>
      <c r="K38" s="200">
        <v>0.15</v>
      </c>
      <c r="L38" s="200">
        <v>0.16</v>
      </c>
      <c r="M38" s="200">
        <v>0.05</v>
      </c>
      <c r="N38" s="200">
        <f>Q38/H38</f>
        <v>0.0750187546886722</v>
      </c>
      <c r="O38" s="201">
        <v>0.01</v>
      </c>
      <c r="P38" s="200">
        <v>0.02</v>
      </c>
      <c r="Q38" s="198">
        <v>3</v>
      </c>
      <c r="R38" s="14"/>
      <c r="S38" s="14"/>
      <c r="T38" s="14"/>
      <c r="U38" s="14"/>
      <c r="V38" s="198"/>
      <c r="W38" s="198"/>
      <c r="X38" s="14" t="s">
        <v>21</v>
      </c>
      <c r="Y38" s="202">
        <v>5.55136</v>
      </c>
      <c r="Z38" s="203">
        <v>8</v>
      </c>
      <c r="AA38" s="198">
        <f>H38-SUM(K38:P38)*H38-J38-I38/B38-Z38/B38</f>
        <v>5.37089115044248</v>
      </c>
      <c r="AB38" s="201">
        <f>AA38/H38</f>
        <v>0.134305855224868</v>
      </c>
      <c r="AC38" s="14"/>
      <c r="AD38" s="204">
        <f>J38/H38</f>
        <v>0.0987746936734184</v>
      </c>
      <c r="AE38" s="200">
        <f>I38/7.4/H38</f>
        <v>0.299345345783947</v>
      </c>
      <c r="AF38" s="200">
        <f>Z38/7.4/H38</f>
        <v>0.0270337854733954</v>
      </c>
      <c r="AG38" s="200">
        <v>0.15</v>
      </c>
      <c r="AH38" s="200">
        <f>N38</f>
        <v>0.0750187546886722</v>
      </c>
      <c r="AI38" s="200">
        <v>0.02</v>
      </c>
      <c r="AJ38" s="200">
        <f>M38</f>
        <v>0.05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</row>
    <row r="39" ht="11.4" spans="1:75">
      <c r="A39" s="207" t="s">
        <v>293</v>
      </c>
      <c r="B39" s="15">
        <v>8</v>
      </c>
      <c r="C39" s="15" t="s">
        <v>289</v>
      </c>
      <c r="D39" s="15" t="s">
        <v>290</v>
      </c>
      <c r="E39" s="15" t="s">
        <v>281</v>
      </c>
      <c r="F39" s="198">
        <f>IF(E39="有",(I39/B39+J39+Z39/B39)/(0.99999-K39-L39-M39-N39),(I39/B39+J39+Z39/B39)/(0.99999-K39-M39-N39))</f>
        <v>28.785442905405</v>
      </c>
      <c r="G39" s="198">
        <f>IF(E39="有",(I39/B39+J39+Z39/B39)/(0.8-K39-L39-M39-N39-O39-P39),(I39/B39+J39+Z39/B39)/(0.8-K39-M39-N39-O39-P39))</f>
        <v>49.0531562628431</v>
      </c>
      <c r="H39" s="199">
        <f>H38*0.9</f>
        <v>35.991</v>
      </c>
      <c r="I39" s="198">
        <f>100.1/1.13</f>
        <v>88.5840707964602</v>
      </c>
      <c r="J39" s="15">
        <v>3.95</v>
      </c>
      <c r="K39" s="200">
        <v>0.15</v>
      </c>
      <c r="L39" s="200">
        <v>0.16</v>
      </c>
      <c r="M39" s="200">
        <v>0.05</v>
      </c>
      <c r="N39" s="200">
        <f>Q39/H39</f>
        <v>0.0833541718763024</v>
      </c>
      <c r="O39" s="201">
        <v>0.01</v>
      </c>
      <c r="P39" s="200">
        <v>0.02</v>
      </c>
      <c r="Q39" s="198">
        <v>3</v>
      </c>
      <c r="R39" s="14"/>
      <c r="S39" s="14"/>
      <c r="T39" s="14"/>
      <c r="U39" s="14"/>
      <c r="V39" s="198"/>
      <c r="W39" s="198"/>
      <c r="X39" s="15" t="s">
        <v>21</v>
      </c>
      <c r="Y39" s="202">
        <v>5.55136</v>
      </c>
      <c r="Z39" s="203">
        <v>8</v>
      </c>
      <c r="AA39" s="198">
        <f>H39-SUM(K39:P39)*H39-J39-I39/B39-Z39/B39</f>
        <v>2.93150115044248</v>
      </c>
      <c r="AB39" s="201">
        <f>AA39/H39</f>
        <v>0.0814509502498535</v>
      </c>
      <c r="AC39" s="14"/>
      <c r="AD39" s="204">
        <f>J39/H39</f>
        <v>0.109749659637132</v>
      </c>
      <c r="AE39" s="200">
        <f>I39/B39/H39</f>
        <v>0.307660494277945</v>
      </c>
      <c r="AF39" s="200">
        <f>Z39/B39/H39</f>
        <v>0.0277847239587675</v>
      </c>
      <c r="AG39" s="200">
        <f>K39</f>
        <v>0.15</v>
      </c>
      <c r="AH39" s="200">
        <f>N39</f>
        <v>0.0833541718763024</v>
      </c>
      <c r="AI39" s="200">
        <v>0.02</v>
      </c>
      <c r="AJ39" s="200">
        <f>M39</f>
        <v>0.05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</row>
    <row r="40" ht="11.4" spans="1:75">
      <c r="A40" s="207" t="s">
        <v>294</v>
      </c>
      <c r="B40" s="15">
        <v>8</v>
      </c>
      <c r="C40" s="15" t="s">
        <v>289</v>
      </c>
      <c r="D40" s="15" t="s">
        <v>290</v>
      </c>
      <c r="E40" s="15" t="s">
        <v>281</v>
      </c>
      <c r="F40" s="198">
        <f>IF(E40="有",(I40/B40+J40+Z40/B40)/(0.99999-K40-L40-M40-N40),(I40/B40+J40+Z40/B40)/(0.99999-K40-M40-N40))</f>
        <v>29.0412559328635</v>
      </c>
      <c r="G40" s="198">
        <f>IF(E40="有",(I40/B40+J40+Z40/B40)/(0.8-K40-L40-M40-N40-O40-P40),(I40/B40+J40+Z40/B40)/(0.8-K40-M40-N40-O40-P40))</f>
        <v>49.8007002513812</v>
      </c>
      <c r="H40" s="208">
        <f>H38*0.85</f>
        <v>33.9915</v>
      </c>
      <c r="I40" s="198">
        <f>100.1/1.13</f>
        <v>88.5840707964602</v>
      </c>
      <c r="J40" s="15">
        <v>3.95</v>
      </c>
      <c r="K40" s="200">
        <v>0.15</v>
      </c>
      <c r="L40" s="200">
        <v>0.16</v>
      </c>
      <c r="M40" s="200">
        <v>0.05</v>
      </c>
      <c r="N40" s="200">
        <f>Q40/H40</f>
        <v>0.0882573584572614</v>
      </c>
      <c r="O40" s="201">
        <v>0.01</v>
      </c>
      <c r="P40" s="200">
        <v>0.02</v>
      </c>
      <c r="Q40" s="198">
        <v>3</v>
      </c>
      <c r="R40" s="14"/>
      <c r="S40" s="14"/>
      <c r="T40" s="14"/>
      <c r="U40" s="14"/>
      <c r="V40" s="198"/>
      <c r="W40" s="198"/>
      <c r="X40" s="15" t="s">
        <v>21</v>
      </c>
      <c r="Y40" s="202">
        <v>5.55136</v>
      </c>
      <c r="Z40" s="203">
        <v>8</v>
      </c>
      <c r="AA40" s="198">
        <f>H40-SUM(K40:P40)*H40-J40-I40/B40-Z40/B40</f>
        <v>1.71180615044248</v>
      </c>
      <c r="AB40" s="201">
        <f>AA40/H40</f>
        <v>0.0503598296763155</v>
      </c>
      <c r="AC40" s="14"/>
      <c r="AD40" s="204">
        <f>J40/H40</f>
        <v>0.116205521968727</v>
      </c>
      <c r="AE40" s="200">
        <f>I40/B40/H40</f>
        <v>0.325758170411942</v>
      </c>
      <c r="AF40" s="200">
        <f>Z40/B40/H40</f>
        <v>0.0294191194857538</v>
      </c>
      <c r="AG40" s="200">
        <f>K40</f>
        <v>0.15</v>
      </c>
      <c r="AH40" s="200">
        <f>N40</f>
        <v>0.0882573584572614</v>
      </c>
      <c r="AI40" s="200">
        <v>0.02</v>
      </c>
      <c r="AJ40" s="200">
        <f>M40</f>
        <v>0.05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</row>
    <row r="41" ht="11.4" spans="1:75">
      <c r="A41" s="207" t="s">
        <v>295</v>
      </c>
      <c r="B41" s="15">
        <v>8</v>
      </c>
      <c r="C41" s="15" t="s">
        <v>289</v>
      </c>
      <c r="D41" s="15" t="s">
        <v>290</v>
      </c>
      <c r="E41" s="15" t="s">
        <v>281</v>
      </c>
      <c r="F41" s="198">
        <f>IF(E41="有",(I41/B41+J41+Z41/B41)/(0.99999-K41-L41-M41-N41),(I41/B41+J41+Z41/B41)/(0.99999-K41-M41-N41))</f>
        <v>29.3345352768986</v>
      </c>
      <c r="G41" s="198">
        <f>IF(E41="有",(I41/B41+J41+Z41/B41)/(0.8-K41-L41-M41-N41-O41-P41),(I41/B41+J41+Z41/B41)/(0.8-K41-M41-N41-O41-P41))</f>
        <v>50.6693967130695</v>
      </c>
      <c r="H41" s="199">
        <f>H38*0.8</f>
        <v>31.992</v>
      </c>
      <c r="I41" s="198">
        <f>100.1/1.13</f>
        <v>88.5840707964602</v>
      </c>
      <c r="J41" s="15">
        <v>3.95</v>
      </c>
      <c r="K41" s="200">
        <v>0.15</v>
      </c>
      <c r="L41" s="200">
        <v>0.16</v>
      </c>
      <c r="M41" s="200">
        <v>0.05</v>
      </c>
      <c r="N41" s="200">
        <f>Q41/H41</f>
        <v>0.0937734433608402</v>
      </c>
      <c r="O41" s="201">
        <v>0.01</v>
      </c>
      <c r="P41" s="200">
        <v>0.02</v>
      </c>
      <c r="Q41" s="198">
        <v>3</v>
      </c>
      <c r="R41" s="14"/>
      <c r="S41" s="14"/>
      <c r="T41" s="14"/>
      <c r="U41" s="14"/>
      <c r="V41" s="198"/>
      <c r="W41" s="198"/>
      <c r="X41" s="15" t="s">
        <v>21</v>
      </c>
      <c r="Y41" s="202">
        <v>5.55136</v>
      </c>
      <c r="Z41" s="203">
        <v>8</v>
      </c>
      <c r="AA41" s="198">
        <f>H41-SUM(K41:P41)*H41-J41-I41/B41-Z41/B41</f>
        <v>0.492111150442481</v>
      </c>
      <c r="AB41" s="201">
        <f>AA41/H41</f>
        <v>0.0153823190310853</v>
      </c>
      <c r="AC41" s="14"/>
      <c r="AD41" s="204">
        <f>J41/H41</f>
        <v>0.123468367091773</v>
      </c>
      <c r="AE41" s="200">
        <f>I41/7.4/H41</f>
        <v>0.374181682229933</v>
      </c>
      <c r="AF41" s="200">
        <f>Z41/7.4/H41</f>
        <v>0.0337922318417442</v>
      </c>
      <c r="AG41" s="200">
        <v>0.15</v>
      </c>
      <c r="AH41" s="200">
        <f>N41</f>
        <v>0.0937734433608402</v>
      </c>
      <c r="AI41" s="200">
        <v>0.02</v>
      </c>
      <c r="AJ41" s="200">
        <f>M41</f>
        <v>0.05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</row>
    <row r="42" ht="21" customHeight="1" spans="1:75">
      <c r="E42" s="15"/>
      <c r="F42" s="198"/>
      <c r="G42" s="198"/>
      <c r="H42" s="15"/>
      <c r="I42" s="198"/>
      <c r="J42" s="15"/>
      <c r="K42" s="200"/>
      <c r="L42" s="200"/>
      <c r="M42" s="200"/>
      <c r="N42" s="200"/>
      <c r="O42" s="201"/>
      <c r="P42" s="200"/>
      <c r="Q42" s="200"/>
      <c r="R42" s="14"/>
      <c r="S42" s="14"/>
      <c r="T42" s="14"/>
      <c r="U42" s="14"/>
      <c r="V42" s="198"/>
      <c r="W42" s="198"/>
      <c r="X42" s="15"/>
      <c r="Y42" s="202"/>
      <c r="Z42" s="198"/>
      <c r="AA42" s="198"/>
      <c r="AB42" s="201"/>
      <c r="AC42" s="14"/>
      <c r="AD42" s="204"/>
      <c r="AE42" s="200"/>
      <c r="AF42" s="200"/>
      <c r="AG42" s="200"/>
      <c r="AH42" s="200"/>
      <c r="AI42" s="200"/>
      <c r="AJ42" s="200"/>
    </row>
    <row r="43" ht="11.4" spans="1:75">
      <c r="A43" s="207" t="s">
        <v>292</v>
      </c>
      <c r="B43" s="14">
        <v>9</v>
      </c>
      <c r="C43" s="14" t="s">
        <v>289</v>
      </c>
      <c r="D43" s="14" t="s">
        <v>86</v>
      </c>
      <c r="E43" s="15" t="s">
        <v>281</v>
      </c>
      <c r="F43" s="198">
        <f>IF(E43="有",(I43/B43+J43+Z43/B43)/(0.99999-K43-L43-M43-N43),(I43/B43+J43+Z43/B43)/(0.99999-K43-M43-N43))</f>
        <v>25.1623564637163</v>
      </c>
      <c r="G43" s="198">
        <f>IF(E43="有",(I43/B43+J43+Z43/B43)/(0.8-K43-L43-M43-N43-O43-P43),(I43/B43+J43+Z43/B43)/(0.8-K43-M43-N43-O43-P43))</f>
        <v>42.4382202444234</v>
      </c>
      <c r="H43" s="199">
        <v>39.99</v>
      </c>
      <c r="I43" s="198">
        <f>100.1/1.13</f>
        <v>88.5840707964602</v>
      </c>
      <c r="J43" s="14">
        <v>3.04</v>
      </c>
      <c r="K43" s="200">
        <v>0.15</v>
      </c>
      <c r="L43" s="200">
        <v>0.16</v>
      </c>
      <c r="M43" s="200">
        <v>0.05</v>
      </c>
      <c r="N43" s="200">
        <f>Q43/H43</f>
        <v>0.0750187546886722</v>
      </c>
      <c r="O43" s="201">
        <v>0.01</v>
      </c>
      <c r="P43" s="200">
        <v>0.02</v>
      </c>
      <c r="Q43" s="198">
        <v>3</v>
      </c>
      <c r="R43" s="14"/>
      <c r="S43" s="14"/>
      <c r="T43" s="14"/>
      <c r="U43" s="14"/>
      <c r="V43" s="198"/>
      <c r="W43" s="198"/>
      <c r="X43" s="14" t="s">
        <v>21</v>
      </c>
      <c r="Y43" s="202">
        <v>5.55136</v>
      </c>
      <c r="Z43" s="203">
        <v>12</v>
      </c>
      <c r="AA43" s="198">
        <f>H43-SUM(K43:P43)*H43-J43-I43/B43-Z43/B43</f>
        <v>7.17789213372665</v>
      </c>
      <c r="AB43" s="201">
        <f>AA43/H43</f>
        <v>0.179492176387263</v>
      </c>
      <c r="AC43" s="14"/>
      <c r="AD43" s="204">
        <f>J43/H43</f>
        <v>0.0760190047511878</v>
      </c>
      <c r="AE43" s="200">
        <f>I43/7.4/H43</f>
        <v>0.299345345783947</v>
      </c>
      <c r="AF43" s="200">
        <f>Z43/7.4/H43</f>
        <v>0.0405506782100931</v>
      </c>
      <c r="AG43" s="200">
        <v>0.15</v>
      </c>
      <c r="AH43" s="200">
        <f>N43</f>
        <v>0.0750187546886722</v>
      </c>
      <c r="AI43" s="200">
        <v>0.02</v>
      </c>
      <c r="AJ43" s="200">
        <f>M43</f>
        <v>0.05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</row>
    <row r="44" ht="11.4" spans="1:75">
      <c r="A44" s="207" t="s">
        <v>293</v>
      </c>
      <c r="B44" s="14">
        <v>9</v>
      </c>
      <c r="C44" s="15" t="s">
        <v>289</v>
      </c>
      <c r="D44" s="15" t="s">
        <v>86</v>
      </c>
      <c r="E44" s="15" t="s">
        <v>281</v>
      </c>
      <c r="F44" s="198">
        <f>IF(E44="有",(I44/B44+J44+Z44/B44)/(0.99999-K44-L44-M44-N44),(I44/B44+J44+Z44/B44)/(0.99999-K44-M44-N44))</f>
        <v>25.539153514772</v>
      </c>
      <c r="G44" s="198">
        <f>IF(E44="有",(I44/B44+J44+Z44/B44)/(0.8-K44-L44-M44-N44-O44-P44),(I44/B44+J44+Z44/B44)/(0.8-K44-M44-N44-O44-P44))</f>
        <v>43.5211677061122</v>
      </c>
      <c r="H44" s="199">
        <f>H43*0.9</f>
        <v>35.991</v>
      </c>
      <c r="I44" s="198">
        <f>100.1/1.13</f>
        <v>88.5840707964602</v>
      </c>
      <c r="J44" s="15">
        <v>3.04</v>
      </c>
      <c r="K44" s="200">
        <v>0.15</v>
      </c>
      <c r="L44" s="200">
        <v>0.16</v>
      </c>
      <c r="M44" s="200">
        <v>0.05</v>
      </c>
      <c r="N44" s="200">
        <f>Q44/H44</f>
        <v>0.0833541718763024</v>
      </c>
      <c r="O44" s="201">
        <v>0.01</v>
      </c>
      <c r="P44" s="200">
        <v>0.02</v>
      </c>
      <c r="Q44" s="198">
        <v>3</v>
      </c>
      <c r="R44" s="14"/>
      <c r="S44" s="14"/>
      <c r="T44" s="14"/>
      <c r="U44" s="14"/>
      <c r="V44" s="198"/>
      <c r="W44" s="198"/>
      <c r="X44" s="15" t="s">
        <v>21</v>
      </c>
      <c r="Y44" s="202">
        <v>5.55136</v>
      </c>
      <c r="Z44" s="203">
        <v>12</v>
      </c>
      <c r="AA44" s="198">
        <f>H44-SUM(K44:P44)*H44-J44-I44/B44-Z44/B44</f>
        <v>4.73850213372665</v>
      </c>
      <c r="AB44" s="201">
        <f>AA44/H44</f>
        <v>0.131657973763626</v>
      </c>
      <c r="AC44" s="14"/>
      <c r="AD44" s="204">
        <f>J44/H44</f>
        <v>0.0844655608346531</v>
      </c>
      <c r="AE44" s="200">
        <f>I44/B44/H44</f>
        <v>0.273475994913729</v>
      </c>
      <c r="AF44" s="200">
        <f>Z44/B44/H44</f>
        <v>0.03704629861169</v>
      </c>
      <c r="AG44" s="200">
        <f>K44</f>
        <v>0.15</v>
      </c>
      <c r="AH44" s="200">
        <f>N44</f>
        <v>0.0833541718763024</v>
      </c>
      <c r="AI44" s="200">
        <v>0.02</v>
      </c>
      <c r="AJ44" s="200">
        <f>M44</f>
        <v>0.05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</row>
    <row r="45" ht="11.4" spans="1:75">
      <c r="A45" s="207" t="s">
        <v>294</v>
      </c>
      <c r="B45" s="14">
        <v>9</v>
      </c>
      <c r="C45" s="15" t="s">
        <v>289</v>
      </c>
      <c r="D45" s="15" t="s">
        <v>86</v>
      </c>
      <c r="E45" s="15" t="s">
        <v>281</v>
      </c>
      <c r="F45" s="198">
        <f>IF(E45="有",(I45/B45+J45+Z45/B45)/(0.99999-K45-L45-M45-N45),(I45/B45+J45+Z45/B45)/(0.99999-K45-M45-N45))</f>
        <v>25.7661171297079</v>
      </c>
      <c r="G45" s="198">
        <f>IF(E45="有",(I45/B45+J45+Z45/B45)/(0.8-K45-L45-M45-N45-O45-P45),(I45/B45+J45+Z45/B45)/(0.8-K45-M45-N45-O45-P45))</f>
        <v>44.184407133939</v>
      </c>
      <c r="H45" s="208">
        <f>H43*0.85</f>
        <v>33.9915</v>
      </c>
      <c r="I45" s="198">
        <f>100.1/1.13</f>
        <v>88.5840707964602</v>
      </c>
      <c r="J45" s="15">
        <v>3.04</v>
      </c>
      <c r="K45" s="200">
        <v>0.15</v>
      </c>
      <c r="L45" s="200">
        <v>0.16</v>
      </c>
      <c r="M45" s="200">
        <v>0.05</v>
      </c>
      <c r="N45" s="200">
        <f>Q45/H45</f>
        <v>0.0882573584572614</v>
      </c>
      <c r="O45" s="201">
        <v>0.01</v>
      </c>
      <c r="P45" s="200">
        <v>0.02</v>
      </c>
      <c r="Q45" s="198">
        <v>3</v>
      </c>
      <c r="R45" s="14"/>
      <c r="S45" s="14"/>
      <c r="T45" s="14"/>
      <c r="U45" s="14"/>
      <c r="V45" s="198"/>
      <c r="W45" s="198"/>
      <c r="X45" s="15" t="s">
        <v>21</v>
      </c>
      <c r="Y45" s="202">
        <v>5.55136</v>
      </c>
      <c r="Z45" s="203">
        <v>12</v>
      </c>
      <c r="AA45" s="198">
        <f>H45-SUM(K45:P45)*H45-J45-I45/B45-Z45/B45</f>
        <v>3.51880713372665</v>
      </c>
      <c r="AB45" s="201">
        <f>AA45/H45</f>
        <v>0.103520207514427</v>
      </c>
      <c r="AC45" s="14"/>
      <c r="AD45" s="204">
        <f>J45/H45</f>
        <v>0.0894341232366915</v>
      </c>
      <c r="AE45" s="200">
        <f>I45/B45/H45</f>
        <v>0.289562818143948</v>
      </c>
      <c r="AF45" s="200">
        <f>Z45/B45/H45</f>
        <v>0.0392254926476717</v>
      </c>
      <c r="AG45" s="200">
        <f>K45</f>
        <v>0.15</v>
      </c>
      <c r="AH45" s="200">
        <f>N45</f>
        <v>0.0882573584572614</v>
      </c>
      <c r="AI45" s="200">
        <v>0.02</v>
      </c>
      <c r="AJ45" s="200">
        <f>M45</f>
        <v>0.05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</row>
    <row r="46" ht="21" customHeight="1" spans="1:75">
      <c r="E46" s="15"/>
      <c r="F46" s="198"/>
      <c r="G46" s="198"/>
      <c r="H46" s="15"/>
      <c r="I46" s="198"/>
      <c r="J46" s="15"/>
      <c r="K46" s="200"/>
      <c r="L46" s="200"/>
      <c r="M46" s="200"/>
      <c r="N46" s="200"/>
      <c r="O46" s="201"/>
      <c r="P46" s="200"/>
      <c r="Q46" s="200"/>
      <c r="R46" s="14"/>
      <c r="S46" s="14"/>
      <c r="T46" s="14"/>
      <c r="U46" s="14"/>
      <c r="V46" s="198"/>
      <c r="W46" s="198"/>
      <c r="X46" s="15"/>
      <c r="Y46" s="202"/>
      <c r="Z46" s="198"/>
      <c r="AA46" s="198"/>
      <c r="AB46" s="201"/>
      <c r="AC46" s="14"/>
      <c r="AD46" s="204"/>
      <c r="AE46" s="200"/>
      <c r="AF46" s="200"/>
      <c r="AG46" s="200"/>
      <c r="AH46" s="200"/>
      <c r="AI46" s="200"/>
      <c r="AJ46" s="200"/>
    </row>
    <row r="47" ht="11.4" spans="1:75">
      <c r="A47" s="197" t="s">
        <v>296</v>
      </c>
      <c r="B47" s="15">
        <v>8</v>
      </c>
      <c r="C47" s="15" t="s">
        <v>279</v>
      </c>
      <c r="D47" s="15" t="s">
        <v>280</v>
      </c>
      <c r="E47" s="15" t="s">
        <v>281</v>
      </c>
      <c r="F47" s="198">
        <f>IF(E47="有",(I47/B47+J47+Z47/B47)/(0.99999-K47-L47-M47-N47),(I47/B47+J47+Z47/B47)/(0.99999-K47-M47-N47))</f>
        <v>12.3035987405923</v>
      </c>
      <c r="G47" s="198">
        <f>IF(E47="有",(I47/B47+J47+Z47/B47)/(0.8-K47-L47-M47-N47-O47-P47),(I47/B47+J47+Z47/B47)/(0.8-K47-M47-N47-O47-P47))</f>
        <v>23.9378380418591</v>
      </c>
      <c r="H47" s="199">
        <v>14.99</v>
      </c>
      <c r="I47" s="198">
        <f>29.4/1.13</f>
        <v>26.0176991150442</v>
      </c>
      <c r="J47" s="14">
        <v>2.07</v>
      </c>
      <c r="K47" s="200">
        <v>0.15</v>
      </c>
      <c r="L47" s="200">
        <v>0.16</v>
      </c>
      <c r="M47" s="200">
        <v>0.05</v>
      </c>
      <c r="N47" s="200">
        <f>Q47/H47</f>
        <v>0.166777851901268</v>
      </c>
      <c r="O47" s="201">
        <v>0.01</v>
      </c>
      <c r="P47" s="200">
        <v>0.02</v>
      </c>
      <c r="Q47" s="198">
        <v>2.5</v>
      </c>
      <c r="R47" s="14"/>
      <c r="S47" s="14"/>
      <c r="T47" s="14"/>
      <c r="U47" s="14"/>
      <c r="V47" s="198"/>
      <c r="W47" s="198"/>
      <c r="X47" s="14" t="s">
        <v>21</v>
      </c>
      <c r="Y47" s="202">
        <v>5.55136</v>
      </c>
      <c r="Z47" s="203">
        <v>4</v>
      </c>
      <c r="AA47" s="198">
        <f>H47-SUM(K47:P47)*H47-J47-I47/B47-Z47/B47</f>
        <v>0.821687610619469</v>
      </c>
      <c r="AB47" s="201">
        <f>AA47/H47</f>
        <v>0.0548157178532001</v>
      </c>
      <c r="AC47" s="14"/>
      <c r="AD47" s="204">
        <f>J47/H47</f>
        <v>0.138092061374249</v>
      </c>
      <c r="AE47" s="200">
        <f>I47/7.4/H47</f>
        <v>0.234550052422734</v>
      </c>
      <c r="AF47" s="200">
        <f>Z47/7.4/H47</f>
        <v>0.0360600760867605</v>
      </c>
      <c r="AG47" s="200">
        <v>0.15</v>
      </c>
      <c r="AH47" s="200">
        <f>N47</f>
        <v>0.166777851901268</v>
      </c>
      <c r="AI47" s="200">
        <v>0.02</v>
      </c>
      <c r="AJ47" s="200">
        <f>M47</f>
        <v>0.05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</row>
    <row r="48" ht="11.4" spans="1:75">
      <c r="A48" s="197" t="s">
        <v>297</v>
      </c>
      <c r="B48" s="15">
        <v>8</v>
      </c>
      <c r="C48" s="15" t="s">
        <v>279</v>
      </c>
      <c r="D48" s="15" t="s">
        <v>280</v>
      </c>
      <c r="E48" s="15" t="s">
        <v>281</v>
      </c>
      <c r="F48" s="198">
        <f>IF(E48="有",(I48/B48+J48+Z48/B48)/(0.99999-K48-L48-M48-N48),(I48/B48+J48+Z48/B48)/(0.99999-K48-M48-N48))</f>
        <v>12.8050410276119</v>
      </c>
      <c r="G48" s="198">
        <f>IF(E48="有",(I48/B48+J48+Z48/B48)/(0.8-K48-L48-M48-N48-O48-P48),(I48/B48+J48+Z48/B48)/(0.8-K48-M48-N48-O48-P48))</f>
        <v>25.9120536484664</v>
      </c>
      <c r="H48" s="199">
        <f>H47*0.9</f>
        <v>13.491</v>
      </c>
      <c r="I48" s="198">
        <f>29.4/1.13</f>
        <v>26.0176991150442</v>
      </c>
      <c r="J48" s="15">
        <v>2.07</v>
      </c>
      <c r="K48" s="200">
        <v>0.15</v>
      </c>
      <c r="L48" s="200">
        <v>0.16</v>
      </c>
      <c r="M48" s="200">
        <v>0.05</v>
      </c>
      <c r="N48" s="200">
        <f>Q48/H48</f>
        <v>0.185308724334742</v>
      </c>
      <c r="O48" s="201">
        <v>0.01</v>
      </c>
      <c r="P48" s="200">
        <v>0.02</v>
      </c>
      <c r="Q48" s="198">
        <v>2.5</v>
      </c>
      <c r="R48" s="14"/>
      <c r="S48" s="14"/>
      <c r="T48" s="14"/>
      <c r="U48" s="14"/>
      <c r="V48" s="198"/>
      <c r="W48" s="198"/>
      <c r="X48" s="15" t="s">
        <v>21</v>
      </c>
      <c r="Y48" s="202">
        <v>5.55136</v>
      </c>
      <c r="Z48" s="203">
        <v>4</v>
      </c>
      <c r="AA48" s="198">
        <f>H48-SUM(K48:P48)*H48-J48-I48/B48-Z48/B48</f>
        <v>-0.0927023893805305</v>
      </c>
      <c r="AB48" s="201">
        <f>AA48/H48</f>
        <v>-0.00687142460755545</v>
      </c>
      <c r="AC48" s="14"/>
      <c r="AD48" s="204">
        <f>J48/H48</f>
        <v>0.153435623749166</v>
      </c>
      <c r="AE48" s="200">
        <f>I48/B48/H48</f>
        <v>0.241065331656699</v>
      </c>
      <c r="AF48" s="200">
        <f>Z48/B48/H48</f>
        <v>0.0370617448669483</v>
      </c>
      <c r="AG48" s="200">
        <f>K48</f>
        <v>0.15</v>
      </c>
      <c r="AH48" s="200">
        <f>N48</f>
        <v>0.185308724334742</v>
      </c>
      <c r="AI48" s="200">
        <v>0.02</v>
      </c>
      <c r="AJ48" s="200">
        <f>M48</f>
        <v>0.05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</row>
    <row r="49" ht="11.4" spans="1:75">
      <c r="A49" s="197" t="s">
        <v>298</v>
      </c>
      <c r="B49" s="15">
        <v>8</v>
      </c>
      <c r="C49" s="15" t="s">
        <v>279</v>
      </c>
      <c r="D49" s="15" t="s">
        <v>280</v>
      </c>
      <c r="E49" s="15" t="s">
        <v>281</v>
      </c>
      <c r="F49" s="198">
        <f>IF(E49="有",(I49/B49+J49+Z49/B49)/(0.99999-K49-L49-M49-N49),(I49/B49+J49+Z49/B49)/(0.99999-K49-M49-N49))</f>
        <v>13.1195691245989</v>
      </c>
      <c r="G49" s="198">
        <f>IF(E49="有",(I49/B49+J49+Z49/B49)/(0.8-K49-L49-M49-N49-O49-P49),(I49/B49+J49+Z49/B49)/(0.8-K49-M49-N49-O49-P49))</f>
        <v>27.2332271148624</v>
      </c>
      <c r="H49" s="208">
        <f>H47*0.85</f>
        <v>12.7415</v>
      </c>
      <c r="I49" s="198">
        <f>29.4/1.13</f>
        <v>26.0176991150442</v>
      </c>
      <c r="J49" s="15">
        <v>2.07</v>
      </c>
      <c r="K49" s="200">
        <v>0.15</v>
      </c>
      <c r="L49" s="200">
        <v>0.16</v>
      </c>
      <c r="M49" s="200">
        <v>0.05</v>
      </c>
      <c r="N49" s="200">
        <f>Q49/H49</f>
        <v>0.196209237530903</v>
      </c>
      <c r="O49" s="201">
        <v>0.01</v>
      </c>
      <c r="P49" s="200">
        <v>0.02</v>
      </c>
      <c r="Q49" s="198">
        <v>2.5</v>
      </c>
      <c r="R49" s="14"/>
      <c r="S49" s="14"/>
      <c r="T49" s="14"/>
      <c r="U49" s="14"/>
      <c r="V49" s="198"/>
      <c r="W49" s="198"/>
      <c r="X49" s="15" t="s">
        <v>21</v>
      </c>
      <c r="Y49" s="202">
        <v>5.55136</v>
      </c>
      <c r="Z49" s="203">
        <v>4</v>
      </c>
      <c r="AA49" s="198">
        <f>H49-SUM(K49:P49)*H49-J49-I49/B49-Z49/B49</f>
        <v>-0.54989738938053</v>
      </c>
      <c r="AB49" s="201">
        <f>AA49/H49</f>
        <v>-0.0431579789962351</v>
      </c>
      <c r="AC49" s="14"/>
      <c r="AD49" s="204">
        <f>J49/H49</f>
        <v>0.162461248675588</v>
      </c>
      <c r="AE49" s="200">
        <f>I49/B49/H49</f>
        <v>0.255245645283564</v>
      </c>
      <c r="AF49" s="200">
        <f>Z49/B49/H49</f>
        <v>0.0392418475061806</v>
      </c>
      <c r="AG49" s="200">
        <f>K49</f>
        <v>0.15</v>
      </c>
      <c r="AH49" s="200">
        <f>N49</f>
        <v>0.196209237530903</v>
      </c>
      <c r="AI49" s="200">
        <v>0.02</v>
      </c>
      <c r="AJ49" s="200">
        <f>M49</f>
        <v>0.05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</row>
    <row r="50" ht="11.4" spans="1:75">
      <c r="A50" s="197" t="s">
        <v>299</v>
      </c>
      <c r="B50" s="15">
        <v>8</v>
      </c>
      <c r="C50" s="15" t="s">
        <v>279</v>
      </c>
      <c r="D50" s="15" t="s">
        <v>280</v>
      </c>
      <c r="E50" s="15" t="s">
        <v>281</v>
      </c>
      <c r="F50" s="198">
        <f>IF(E50="有",(I50/B50+J50+Z50/B50)/(0.99999-K50-L50-M50-N50),(I50/B50+J50+Z50/B50)/(0.99999-K50-M50-N50))</f>
        <v>13.4924073568743</v>
      </c>
      <c r="G50" s="198">
        <f>IF(E50="有",(I50/B50+J50+Z50/B50)/(0.8-K50-L50-M50-N50-O50-P50),(I50/B50+J50+Z50/B50)/(0.8-K50-M50-N50-O50-P50))</f>
        <v>28.890384890865</v>
      </c>
      <c r="H50" s="199">
        <f>H47*0.8</f>
        <v>11.992</v>
      </c>
      <c r="I50" s="198">
        <f>29.4/1.13</f>
        <v>26.0176991150442</v>
      </c>
      <c r="J50" s="15">
        <v>2.07</v>
      </c>
      <c r="K50" s="200">
        <v>0.15</v>
      </c>
      <c r="L50" s="200">
        <v>0.16</v>
      </c>
      <c r="M50" s="200">
        <v>0.05</v>
      </c>
      <c r="N50" s="200">
        <f>Q50/H50</f>
        <v>0.208472314876584</v>
      </c>
      <c r="O50" s="201">
        <v>0.01</v>
      </c>
      <c r="P50" s="200">
        <v>0.02</v>
      </c>
      <c r="Q50" s="198">
        <v>2.5</v>
      </c>
      <c r="R50" s="14"/>
      <c r="S50" s="14"/>
      <c r="T50" s="14"/>
      <c r="U50" s="14"/>
      <c r="V50" s="198"/>
      <c r="W50" s="198"/>
      <c r="X50" s="15" t="s">
        <v>21</v>
      </c>
      <c r="Y50" s="202">
        <v>5.55136</v>
      </c>
      <c r="Z50" s="203">
        <v>4</v>
      </c>
      <c r="AA50" s="198">
        <f>H50-SUM(K50:P50)*H50-J50-I50/B50-Z50/B50</f>
        <v>-1.00709238938053</v>
      </c>
      <c r="AB50" s="201">
        <f>AA50/H50</f>
        <v>-0.0839803526834999</v>
      </c>
      <c r="AC50" s="14"/>
      <c r="AD50" s="204">
        <f>J50/H50</f>
        <v>0.172615076717812</v>
      </c>
      <c r="AE50" s="200">
        <f>I50/7.4/H50</f>
        <v>0.293187565528418</v>
      </c>
      <c r="AF50" s="200">
        <f>Z50/7.4/H50</f>
        <v>0.0450750951084507</v>
      </c>
      <c r="AG50" s="200">
        <v>0.15</v>
      </c>
      <c r="AH50" s="200">
        <f>N50</f>
        <v>0.208472314876584</v>
      </c>
      <c r="AI50" s="200">
        <v>0.02</v>
      </c>
      <c r="AJ50" s="200">
        <f>M50</f>
        <v>0.05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</row>
    <row r="51" ht="21" customHeight="1" spans="1:75">
      <c r="A51" s="1"/>
      <c r="B51" s="1"/>
      <c r="C51" s="1"/>
      <c r="D51" s="1"/>
      <c r="E51" s="15"/>
      <c r="F51" s="198"/>
      <c r="G51" s="198"/>
      <c r="H51" s="15"/>
      <c r="I51" s="198"/>
      <c r="J51" s="15"/>
      <c r="K51" s="200"/>
      <c r="L51" s="200"/>
      <c r="M51" s="200"/>
      <c r="N51" s="200"/>
      <c r="O51" s="201"/>
      <c r="P51" s="200"/>
      <c r="Q51" s="201"/>
      <c r="R51" s="14"/>
      <c r="S51" s="14"/>
      <c r="T51" s="14"/>
      <c r="U51" s="14"/>
      <c r="V51" s="198"/>
      <c r="W51" s="198"/>
      <c r="X51" s="15"/>
      <c r="Y51" s="202"/>
      <c r="Z51" s="198"/>
      <c r="AA51" s="198"/>
      <c r="AB51" s="201"/>
      <c r="AC51" s="14"/>
      <c r="AD51" s="204"/>
      <c r="AE51" s="200"/>
      <c r="AF51" s="200"/>
      <c r="AG51" s="200"/>
      <c r="AH51" s="200"/>
      <c r="AI51" s="200"/>
      <c r="AJ51" s="200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</row>
    <row r="52" ht="11.4" spans="1:75">
      <c r="A52" s="206" t="s">
        <v>296</v>
      </c>
      <c r="B52" s="15">
        <v>8</v>
      </c>
      <c r="C52" s="14" t="s">
        <v>284</v>
      </c>
      <c r="D52" s="14" t="s">
        <v>285</v>
      </c>
      <c r="E52" s="15" t="s">
        <v>281</v>
      </c>
      <c r="F52" s="198">
        <f>IF(E52="有",(I52/B52+J52+Z52/B52)/(0.99999-K52-L52-M52-N52),(I52/B52+J52+Z52/B52)/(0.99999-K52-M52-N52))</f>
        <v>12.6274335400328</v>
      </c>
      <c r="G52" s="198">
        <f>IF(E52="有",(I52/B52+J52+Z52/B52)/(0.8-K52-L52-M52-N52-O52-P52),(I52/B52+J52+Z52/B52)/(0.8-K52-M52-N52-O52-P52))</f>
        <v>22.8197871563259</v>
      </c>
      <c r="H52" s="199">
        <v>19.99</v>
      </c>
      <c r="I52" s="198">
        <f>29.4/1.13</f>
        <v>26.0176991150442</v>
      </c>
      <c r="J52" s="14">
        <v>2.75</v>
      </c>
      <c r="K52" s="200">
        <v>0.15</v>
      </c>
      <c r="L52" s="200">
        <v>0.16</v>
      </c>
      <c r="M52" s="200">
        <v>0.05</v>
      </c>
      <c r="N52" s="200">
        <f>Q52/H52</f>
        <v>0.125062531265633</v>
      </c>
      <c r="O52" s="201">
        <v>0.01</v>
      </c>
      <c r="P52" s="200">
        <v>0.02</v>
      </c>
      <c r="Q52" s="198">
        <v>2.5</v>
      </c>
      <c r="R52" s="14"/>
      <c r="S52" s="14"/>
      <c r="T52" s="14"/>
      <c r="U52" s="14"/>
      <c r="V52" s="198"/>
      <c r="W52" s="198"/>
      <c r="X52" s="14" t="s">
        <v>21</v>
      </c>
      <c r="Y52" s="202">
        <v>5.55136</v>
      </c>
      <c r="Z52" s="203">
        <v>4</v>
      </c>
      <c r="AA52" s="198">
        <f>H52-SUM(K52:P52)*H52-J52-I52/B52-Z52/B52</f>
        <v>3.19168761061947</v>
      </c>
      <c r="AB52" s="201">
        <f>AA52/H52</f>
        <v>0.159664212637292</v>
      </c>
      <c r="AC52" s="14"/>
      <c r="AD52" s="204">
        <f>J52/H52</f>
        <v>0.137568784392196</v>
      </c>
      <c r="AE52" s="200">
        <f>I52/7.4/H52</f>
        <v>0.175883205893786</v>
      </c>
      <c r="AF52" s="200">
        <f>Z52/7.4/H52</f>
        <v>0.0270405473006774</v>
      </c>
      <c r="AG52" s="200">
        <v>0.15</v>
      </c>
      <c r="AH52" s="200">
        <f>N52</f>
        <v>0.125062531265633</v>
      </c>
      <c r="AI52" s="200">
        <v>0.02</v>
      </c>
      <c r="AJ52" s="200">
        <f>M52</f>
        <v>0.05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</row>
    <row r="53" ht="11.4" spans="1:75">
      <c r="A53" s="197" t="s">
        <v>297</v>
      </c>
      <c r="B53" s="15">
        <v>8</v>
      </c>
      <c r="C53" s="15" t="s">
        <v>284</v>
      </c>
      <c r="D53" s="15" t="s">
        <v>285</v>
      </c>
      <c r="E53" s="15" t="s">
        <v>281</v>
      </c>
      <c r="F53" s="198">
        <f>IF(E53="有",(I53/B53+J53+Z53/B53)/(0.99999-K53-L53-M53-N53),(I53/B53+J53+Z53/B53)/(0.99999-K53-M53-N53))</f>
        <v>12.9776484657698</v>
      </c>
      <c r="G53" s="198">
        <f>IF(E53="有",(I53/B53+J53+Z53/B53)/(0.8-K53-L53-M53-N53-O53-P53),(I53/B53+J53+Z53/B53)/(0.8-K53-M53-N53-O53-P53))</f>
        <v>23.9897182700331</v>
      </c>
      <c r="H53" s="199">
        <f>H52*0.9</f>
        <v>17.991</v>
      </c>
      <c r="I53" s="198">
        <f>29.4/1.13</f>
        <v>26.0176991150442</v>
      </c>
      <c r="J53" s="15">
        <v>2.75</v>
      </c>
      <c r="K53" s="200">
        <v>0.15</v>
      </c>
      <c r="L53" s="200">
        <v>0.16</v>
      </c>
      <c r="M53" s="200">
        <v>0.05</v>
      </c>
      <c r="N53" s="200">
        <f>Q53/H53</f>
        <v>0.138958368072925</v>
      </c>
      <c r="O53" s="201">
        <v>0.01</v>
      </c>
      <c r="P53" s="200">
        <v>0.02</v>
      </c>
      <c r="Q53" s="198">
        <v>2.5</v>
      </c>
      <c r="R53" s="14"/>
      <c r="S53" s="14"/>
      <c r="T53" s="14"/>
      <c r="U53" s="14"/>
      <c r="V53" s="198"/>
      <c r="W53" s="198"/>
      <c r="X53" s="15" t="s">
        <v>21</v>
      </c>
      <c r="Y53" s="202">
        <v>5.55136</v>
      </c>
      <c r="Z53" s="203">
        <v>4</v>
      </c>
      <c r="AA53" s="198">
        <f>H53-SUM(K53:P53)*H53-J53-I53/B53-Z53/B53</f>
        <v>1.97229761061947</v>
      </c>
      <c r="AB53" s="201">
        <f>AA53/H53</f>
        <v>0.109626902930324</v>
      </c>
      <c r="AC53" s="14"/>
      <c r="AD53" s="204">
        <f>J53/H53</f>
        <v>0.152854204880218</v>
      </c>
      <c r="AE53" s="200">
        <f>I53/B53/H53</f>
        <v>0.180768850501947</v>
      </c>
      <c r="AF53" s="200">
        <f>Z53/B53/H53</f>
        <v>0.0277916736145851</v>
      </c>
      <c r="AG53" s="200">
        <f>K53</f>
        <v>0.15</v>
      </c>
      <c r="AH53" s="200">
        <f>N53</f>
        <v>0.138958368072925</v>
      </c>
      <c r="AI53" s="200">
        <v>0.02</v>
      </c>
      <c r="AJ53" s="200">
        <f>M53</f>
        <v>0.05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</row>
    <row r="54" ht="11.4" spans="1:75">
      <c r="A54" s="197" t="s">
        <v>298</v>
      </c>
      <c r="B54" s="15">
        <v>8</v>
      </c>
      <c r="C54" s="15" t="s">
        <v>284</v>
      </c>
      <c r="D54" s="15" t="s">
        <v>285</v>
      </c>
      <c r="E54" s="15" t="s">
        <v>281</v>
      </c>
      <c r="F54" s="198">
        <f>IF(E54="有",(I54/B54+J54+Z54/B54)/(0.99999-K54-L54-M54-N54),(I54/B54+J54+Z54/B54)/(0.99999-K54-M54-N54))</f>
        <v>13.1928821911523</v>
      </c>
      <c r="G54" s="198">
        <f>IF(E54="有",(I54/B54+J54+Z54/B54)/(0.8-K54-L54-M54-N54-O54-P54),(I54/B54+J54+Z54/B54)/(0.8-K54-M54-N54-O54-P54))</f>
        <v>24.7356925509395</v>
      </c>
      <c r="H54" s="208">
        <f>H52*0.85</f>
        <v>16.9915</v>
      </c>
      <c r="I54" s="198">
        <f>29.4/1.13</f>
        <v>26.0176991150442</v>
      </c>
      <c r="J54" s="15">
        <v>2.75</v>
      </c>
      <c r="K54" s="200">
        <v>0.15</v>
      </c>
      <c r="L54" s="200">
        <v>0.16</v>
      </c>
      <c r="M54" s="200">
        <v>0.05</v>
      </c>
      <c r="N54" s="200">
        <f>Q54/H54</f>
        <v>0.147132389724274</v>
      </c>
      <c r="O54" s="201">
        <v>0.01</v>
      </c>
      <c r="P54" s="200">
        <v>0.02</v>
      </c>
      <c r="Q54" s="198">
        <v>2.5</v>
      </c>
      <c r="R54" s="14"/>
      <c r="S54" s="14"/>
      <c r="T54" s="14"/>
      <c r="U54" s="14"/>
      <c r="V54" s="198"/>
      <c r="W54" s="198"/>
      <c r="X54" s="15" t="s">
        <v>21</v>
      </c>
      <c r="Y54" s="202">
        <v>5.55136</v>
      </c>
      <c r="Z54" s="203">
        <v>4</v>
      </c>
      <c r="AA54" s="198">
        <f>H54-SUM(K54:P54)*H54-J54-I54/B54-Z54/B54</f>
        <v>1.36260261061947</v>
      </c>
      <c r="AB54" s="201">
        <f>AA54/H54</f>
        <v>0.0801931913379906</v>
      </c>
      <c r="AC54" s="14"/>
      <c r="AD54" s="204">
        <f>J54/H54</f>
        <v>0.161845628696701</v>
      </c>
      <c r="AE54" s="200">
        <f>I54/B54/H54</f>
        <v>0.191402312296179</v>
      </c>
      <c r="AF54" s="200">
        <f>Z54/B54/H54</f>
        <v>0.0294264779448548</v>
      </c>
      <c r="AG54" s="200">
        <f>K54</f>
        <v>0.15</v>
      </c>
      <c r="AH54" s="200">
        <f>N54</f>
        <v>0.147132389724274</v>
      </c>
      <c r="AI54" s="200">
        <v>0.02</v>
      </c>
      <c r="AJ54" s="200">
        <f>M54</f>
        <v>0.05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</row>
    <row r="55" ht="11.4" spans="1:75">
      <c r="A55" s="197" t="s">
        <v>299</v>
      </c>
      <c r="B55" s="15">
        <v>8</v>
      </c>
      <c r="C55" s="15" t="s">
        <v>284</v>
      </c>
      <c r="D55" s="15" t="s">
        <v>285</v>
      </c>
      <c r="E55" s="15" t="s">
        <v>281</v>
      </c>
      <c r="F55" s="198">
        <f>IF(E55="有",(I55/B55+J55+Z55/B55)/(0.99999-K55-L55-M55-N55),(I55/B55+J55+Z55/B55)/(0.99999-K55-M55-N55))</f>
        <v>13.4437160563635</v>
      </c>
      <c r="G55" s="198">
        <f>IF(E55="有",(I55/B55+J55+Z55/B55)/(0.8-K55-L55-M55-N55-O55-P55),(I55/B55+J55+Z55/B55)/(0.8-K55-M55-N55-O55-P55))</f>
        <v>25.6323780125258</v>
      </c>
      <c r="H55" s="199">
        <f>H52*0.8</f>
        <v>15.992</v>
      </c>
      <c r="I55" s="198">
        <f>29.4/1.13</f>
        <v>26.0176991150442</v>
      </c>
      <c r="J55" s="15">
        <v>2.75</v>
      </c>
      <c r="K55" s="200">
        <v>0.15</v>
      </c>
      <c r="L55" s="200">
        <v>0.16</v>
      </c>
      <c r="M55" s="200">
        <v>0.05</v>
      </c>
      <c r="N55" s="200">
        <f>Q55/H55</f>
        <v>0.156328164082041</v>
      </c>
      <c r="O55" s="201">
        <v>0.01</v>
      </c>
      <c r="P55" s="200">
        <v>0.02</v>
      </c>
      <c r="Q55" s="198">
        <v>2.5</v>
      </c>
      <c r="R55" s="14"/>
      <c r="S55" s="14"/>
      <c r="T55" s="14"/>
      <c r="U55" s="14"/>
      <c r="V55" s="198"/>
      <c r="W55" s="198"/>
      <c r="X55" s="15" t="s">
        <v>21</v>
      </c>
      <c r="Y55" s="202">
        <v>5.55136</v>
      </c>
      <c r="Z55" s="203">
        <v>4</v>
      </c>
      <c r="AA55" s="198">
        <f>H55-SUM(K55:P55)*H55-J55-I55/B55-Z55/B55</f>
        <v>0.752907610619469</v>
      </c>
      <c r="AB55" s="201">
        <f>AA55/H55</f>
        <v>0.0470802657966151</v>
      </c>
      <c r="AC55" s="14"/>
      <c r="AD55" s="204">
        <f>J55/H55</f>
        <v>0.171960980490245</v>
      </c>
      <c r="AE55" s="200">
        <f>I55/7.4/H55</f>
        <v>0.219854007367233</v>
      </c>
      <c r="AF55" s="200">
        <f>Z55/7.4/H55</f>
        <v>0.0338006841258467</v>
      </c>
      <c r="AG55" s="200">
        <v>0.15</v>
      </c>
      <c r="AH55" s="200">
        <f>N55</f>
        <v>0.156328164082041</v>
      </c>
      <c r="AI55" s="200">
        <v>0.02</v>
      </c>
      <c r="AJ55" s="200">
        <f>M55</f>
        <v>0.05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</row>
    <row r="56" ht="21" customHeight="1" spans="1:75">
      <c r="A56" s="1"/>
      <c r="B56" s="1"/>
      <c r="C56" s="1"/>
      <c r="D56" s="1"/>
      <c r="E56" s="15"/>
      <c r="F56" s="198"/>
      <c r="G56" s="198"/>
      <c r="H56" s="15"/>
      <c r="I56" s="198"/>
      <c r="J56" s="15"/>
      <c r="K56" s="200"/>
      <c r="L56" s="200"/>
      <c r="M56" s="200"/>
      <c r="N56" s="200"/>
      <c r="O56" s="201"/>
      <c r="P56" s="200"/>
      <c r="Q56" s="201"/>
      <c r="R56" s="14"/>
      <c r="S56" s="14"/>
      <c r="T56" s="14"/>
      <c r="U56" s="14"/>
      <c r="V56" s="198"/>
      <c r="W56" s="198"/>
      <c r="X56" s="15"/>
      <c r="Y56" s="202"/>
      <c r="Z56" s="198"/>
      <c r="AA56" s="198"/>
      <c r="AB56" s="201"/>
      <c r="AC56" s="14"/>
      <c r="AD56" s="204"/>
      <c r="AE56" s="200"/>
      <c r="AF56" s="200"/>
      <c r="AG56" s="200"/>
      <c r="AH56" s="200"/>
      <c r="AI56" s="200"/>
      <c r="AJ56" s="200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</row>
    <row r="57" ht="11.4" spans="1:75">
      <c r="A57" s="206" t="s">
        <v>296</v>
      </c>
      <c r="B57" s="15">
        <v>8</v>
      </c>
      <c r="C57" s="14" t="s">
        <v>286</v>
      </c>
      <c r="D57" s="14" t="s">
        <v>287</v>
      </c>
      <c r="E57" s="15" t="s">
        <v>281</v>
      </c>
      <c r="F57" s="198">
        <f>IF(E57="有",(I57/B57+J57+Z57/B57)/(0.99999-K57-L57-M57-N57),(I57/B57+J57+Z57/B57)/(0.99999-K57-M57-N57))</f>
        <v>13.5596036594086</v>
      </c>
      <c r="G57" s="198">
        <f>IF(E57="有",(I57/B57+J57+Z57/B57)/(0.8-K57-L57-M57-N57-O57-P57),(I57/B57+J57+Z57/B57)/(0.8-K57-M57-N57-O57-P57))</f>
        <v>24.5043672929154</v>
      </c>
      <c r="H57" s="199">
        <v>19.99</v>
      </c>
      <c r="I57" s="198">
        <f>29.4/1.13</f>
        <v>26.0176991150442</v>
      </c>
      <c r="J57" s="14">
        <v>3.23</v>
      </c>
      <c r="K57" s="200">
        <v>0.15</v>
      </c>
      <c r="L57" s="200">
        <v>0.16</v>
      </c>
      <c r="M57" s="200">
        <v>0.05</v>
      </c>
      <c r="N57" s="200">
        <f>Q57/H57</f>
        <v>0.125062531265633</v>
      </c>
      <c r="O57" s="201">
        <v>0.01</v>
      </c>
      <c r="P57" s="200">
        <v>0.02</v>
      </c>
      <c r="Q57" s="198">
        <v>2.5</v>
      </c>
      <c r="R57" s="14"/>
      <c r="S57" s="14"/>
      <c r="T57" s="14"/>
      <c r="U57" s="14"/>
      <c r="V57" s="198"/>
      <c r="W57" s="198"/>
      <c r="X57" s="14" t="s">
        <v>21</v>
      </c>
      <c r="Y57" s="202">
        <v>5.55136</v>
      </c>
      <c r="Z57" s="203">
        <v>4</v>
      </c>
      <c r="AA57" s="198">
        <f>H57-SUM(K57:P57)*H57-J57-I57/B57-Z57/B57</f>
        <v>2.71168761061947</v>
      </c>
      <c r="AB57" s="201">
        <f>AA57/H57</f>
        <v>0.135652206634291</v>
      </c>
      <c r="AC57" s="14"/>
      <c r="AD57" s="204">
        <f>J57/H57</f>
        <v>0.161580790395198</v>
      </c>
      <c r="AE57" s="200">
        <f>I57/7.4/H57</f>
        <v>0.175883205893786</v>
      </c>
      <c r="AF57" s="200">
        <f>Z57/7.4/H57</f>
        <v>0.0270405473006774</v>
      </c>
      <c r="AG57" s="200">
        <v>0.15</v>
      </c>
      <c r="AH57" s="200">
        <f>N57</f>
        <v>0.125062531265633</v>
      </c>
      <c r="AI57" s="200">
        <v>0.02</v>
      </c>
      <c r="AJ57" s="200">
        <f>M57</f>
        <v>0.05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</row>
    <row r="58" ht="11.4" spans="1:75">
      <c r="A58" s="197" t="s">
        <v>297</v>
      </c>
      <c r="B58" s="15">
        <v>8</v>
      </c>
      <c r="C58" s="15" t="s">
        <v>286</v>
      </c>
      <c r="D58" s="15" t="s">
        <v>287</v>
      </c>
      <c r="E58" s="15" t="s">
        <v>281</v>
      </c>
      <c r="F58" s="198">
        <f>IF(E58="有",(I58/B58+J58+Z58/B58)/(0.99999-K58-L58-M58-N58),(I58/B58+J58+Z58/B58)/(0.99999-K58-M58-N58))</f>
        <v>13.9356718108305</v>
      </c>
      <c r="G58" s="198">
        <f>IF(E58="有",(I58/B58+J58+Z58/B58)/(0.8-K58-L58-M58-N58-O58-P58),(I58/B58+J58+Z58/B58)/(0.8-K58-M58-N58-O58-P58))</f>
        <v>25.7606639236113</v>
      </c>
      <c r="H58" s="199">
        <f>H57*0.9</f>
        <v>17.991</v>
      </c>
      <c r="I58" s="198">
        <f>29.4/1.13</f>
        <v>26.0176991150442</v>
      </c>
      <c r="J58" s="15">
        <v>3.23</v>
      </c>
      <c r="K58" s="200">
        <v>0.15</v>
      </c>
      <c r="L58" s="200">
        <v>0.16</v>
      </c>
      <c r="M58" s="200">
        <v>0.05</v>
      </c>
      <c r="N58" s="200">
        <f>Q58/H58</f>
        <v>0.138958368072925</v>
      </c>
      <c r="O58" s="201">
        <v>0.01</v>
      </c>
      <c r="P58" s="200">
        <v>0.02</v>
      </c>
      <c r="Q58" s="198">
        <v>2.5</v>
      </c>
      <c r="R58" s="14"/>
      <c r="S58" s="14"/>
      <c r="T58" s="14"/>
      <c r="U58" s="14"/>
      <c r="V58" s="198"/>
      <c r="W58" s="198"/>
      <c r="X58" s="15" t="s">
        <v>21</v>
      </c>
      <c r="Y58" s="202">
        <v>5.55136</v>
      </c>
      <c r="Z58" s="203">
        <v>4</v>
      </c>
      <c r="AA58" s="198">
        <f>H58-SUM(K58:P58)*H58-J58-I58/B58-Z58/B58</f>
        <v>1.49229761061947</v>
      </c>
      <c r="AB58" s="201">
        <f>AA58/H58</f>
        <v>0.0829468962603228</v>
      </c>
      <c r="AC58" s="14"/>
      <c r="AD58" s="204">
        <f>J58/H58</f>
        <v>0.17953421155022</v>
      </c>
      <c r="AE58" s="200">
        <f>I58/B58/H58</f>
        <v>0.180768850501947</v>
      </c>
      <c r="AF58" s="200">
        <f>Z58/B58/H58</f>
        <v>0.0277916736145851</v>
      </c>
      <c r="AG58" s="200">
        <f>K58</f>
        <v>0.15</v>
      </c>
      <c r="AH58" s="200">
        <f>N58</f>
        <v>0.138958368072925</v>
      </c>
      <c r="AI58" s="200">
        <v>0.02</v>
      </c>
      <c r="AJ58" s="200">
        <f>M58</f>
        <v>0.05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</row>
    <row r="59" ht="11.4" spans="1:75">
      <c r="A59" s="197" t="s">
        <v>298</v>
      </c>
      <c r="B59" s="15">
        <v>8</v>
      </c>
      <c r="C59" s="15" t="s">
        <v>286</v>
      </c>
      <c r="D59" s="15" t="s">
        <v>287</v>
      </c>
      <c r="E59" s="15" t="s">
        <v>281</v>
      </c>
      <c r="F59" s="198">
        <f>IF(E59="有",(I59/B59+J59+Z59/B59)/(0.99999-K59-L59-M59-N59),(I59/B59+J59+Z59/B59)/(0.99999-K59-M59-N59))</f>
        <v>14.1667943109864</v>
      </c>
      <c r="G59" s="198">
        <f>IF(E59="有",(I59/B59+J59+Z59/B59)/(0.8-K59-L59-M59-N59-O59-P59),(I59/B59+J59+Z59/B59)/(0.8-K59-M59-N59-O59-P59))</f>
        <v>26.5617067924678</v>
      </c>
      <c r="H59" s="208">
        <f>H57*0.85</f>
        <v>16.9915</v>
      </c>
      <c r="I59" s="198">
        <f>29.4/1.13</f>
        <v>26.0176991150442</v>
      </c>
      <c r="J59" s="15">
        <v>3.23</v>
      </c>
      <c r="K59" s="200">
        <v>0.15</v>
      </c>
      <c r="L59" s="200">
        <v>0.16</v>
      </c>
      <c r="M59" s="200">
        <v>0.05</v>
      </c>
      <c r="N59" s="200">
        <f>Q59/H59</f>
        <v>0.147132389724274</v>
      </c>
      <c r="O59" s="201">
        <v>0.01</v>
      </c>
      <c r="P59" s="200">
        <v>0.02</v>
      </c>
      <c r="Q59" s="198">
        <v>2.5</v>
      </c>
      <c r="R59" s="14"/>
      <c r="S59" s="14"/>
      <c r="T59" s="14"/>
      <c r="U59" s="14"/>
      <c r="V59" s="198"/>
      <c r="W59" s="198"/>
      <c r="X59" s="15" t="s">
        <v>21</v>
      </c>
      <c r="Y59" s="202">
        <v>5.55136</v>
      </c>
      <c r="Z59" s="203">
        <v>4</v>
      </c>
      <c r="AA59" s="198">
        <f>H59-SUM(K59:P59)*H59-J59-I59/B59-Z59/B59</f>
        <v>0.882602610619467</v>
      </c>
      <c r="AB59" s="201">
        <f>AA59/H59</f>
        <v>0.05194377251093</v>
      </c>
      <c r="AC59" s="14"/>
      <c r="AD59" s="204">
        <f>J59/H59</f>
        <v>0.190095047523762</v>
      </c>
      <c r="AE59" s="200">
        <f>I59/B59/H59</f>
        <v>0.191402312296179</v>
      </c>
      <c r="AF59" s="200">
        <f>Z59/B59/H59</f>
        <v>0.0294264779448548</v>
      </c>
      <c r="AG59" s="200">
        <f>K59</f>
        <v>0.15</v>
      </c>
      <c r="AH59" s="200">
        <f>N59</f>
        <v>0.147132389724274</v>
      </c>
      <c r="AI59" s="200">
        <v>0.02</v>
      </c>
      <c r="AJ59" s="200">
        <f>M59</f>
        <v>0.05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</row>
    <row r="60" ht="11.4" spans="1:75">
      <c r="A60" s="197" t="s">
        <v>299</v>
      </c>
      <c r="B60" s="15">
        <v>8</v>
      </c>
      <c r="C60" s="15" t="s">
        <v>286</v>
      </c>
      <c r="D60" s="15" t="s">
        <v>287</v>
      </c>
      <c r="E60" s="15" t="s">
        <v>281</v>
      </c>
      <c r="F60" s="198">
        <f>IF(E60="有",(I60/B60+J60+Z60/B60)/(0.99999-K60-L60-M60-N60),(I60/B60+J60+Z60/B60)/(0.99999-K60-M60-N60))</f>
        <v>14.4361449898745</v>
      </c>
      <c r="G60" s="198">
        <f>IF(E60="有",(I60/B60+J60+Z60/B60)/(0.8-K60-L60-M60-N60-O60-P60),(I60/B60+J60+Z60/B60)/(0.8-K60-M60-N60-O60-P60))</f>
        <v>27.5245864962269</v>
      </c>
      <c r="H60" s="199">
        <f>H57*0.8</f>
        <v>15.992</v>
      </c>
      <c r="I60" s="198">
        <f>29.4/1.13</f>
        <v>26.0176991150442</v>
      </c>
      <c r="J60" s="15">
        <v>3.23</v>
      </c>
      <c r="K60" s="200">
        <v>0.15</v>
      </c>
      <c r="L60" s="200">
        <v>0.16</v>
      </c>
      <c r="M60" s="200">
        <v>0.05</v>
      </c>
      <c r="N60" s="200">
        <f>Q60/H60</f>
        <v>0.156328164082041</v>
      </c>
      <c r="O60" s="201">
        <v>0.01</v>
      </c>
      <c r="P60" s="200">
        <v>0.02</v>
      </c>
      <c r="Q60" s="198">
        <v>2.5</v>
      </c>
      <c r="R60" s="14"/>
      <c r="S60" s="14"/>
      <c r="T60" s="14"/>
      <c r="U60" s="14"/>
      <c r="V60" s="198"/>
      <c r="W60" s="198"/>
      <c r="X60" s="15" t="s">
        <v>21</v>
      </c>
      <c r="Y60" s="202">
        <v>5.55136</v>
      </c>
      <c r="Z60" s="203">
        <v>4</v>
      </c>
      <c r="AA60" s="198">
        <f>H60-SUM(K60:P60)*H60-J60-I60/B60-Z60/B60</f>
        <v>0.272907610619468</v>
      </c>
      <c r="AB60" s="201">
        <f>AA60/H60</f>
        <v>0.0170652582928632</v>
      </c>
      <c r="AC60" s="14"/>
      <c r="AD60" s="204">
        <f>J60/H60</f>
        <v>0.201975987993997</v>
      </c>
      <c r="AE60" s="200">
        <f>I60/7.4/H60</f>
        <v>0.219854007367233</v>
      </c>
      <c r="AF60" s="200">
        <f>Z60/7.4/H60</f>
        <v>0.0338006841258467</v>
      </c>
      <c r="AG60" s="200">
        <v>0.15</v>
      </c>
      <c r="AH60" s="200">
        <f>N60</f>
        <v>0.156328164082041</v>
      </c>
      <c r="AI60" s="200">
        <v>0.02</v>
      </c>
      <c r="AJ60" s="200">
        <f>M60</f>
        <v>0.05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</row>
    <row r="61" ht="21" customHeight="1" spans="1:75">
      <c r="A61" s="1"/>
      <c r="B61" s="1"/>
      <c r="C61" s="1"/>
      <c r="D61" s="1"/>
      <c r="E61" s="15"/>
      <c r="F61" s="198"/>
      <c r="G61" s="198"/>
      <c r="H61" s="15"/>
      <c r="I61" s="198"/>
      <c r="J61" s="15"/>
      <c r="K61" s="200"/>
      <c r="L61" s="200"/>
      <c r="M61" s="200"/>
      <c r="N61" s="200"/>
      <c r="O61" s="201"/>
      <c r="P61" s="200"/>
      <c r="Q61" s="201"/>
      <c r="R61" s="14"/>
      <c r="S61" s="14"/>
      <c r="T61" s="14"/>
      <c r="U61" s="14"/>
      <c r="V61" s="198"/>
      <c r="W61" s="198"/>
      <c r="X61" s="15"/>
      <c r="Y61" s="202"/>
      <c r="Z61" s="198"/>
      <c r="AA61" s="198"/>
      <c r="AB61" s="201"/>
      <c r="AC61" s="14"/>
      <c r="AD61" s="204"/>
      <c r="AE61" s="200"/>
      <c r="AF61" s="200"/>
      <c r="AG61" s="200"/>
      <c r="AH61" s="200"/>
      <c r="AI61" s="200"/>
      <c r="AJ61" s="200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</row>
    <row r="62" ht="11.4" spans="1:75">
      <c r="A62" s="206" t="s">
        <v>296</v>
      </c>
      <c r="B62" s="15">
        <v>8</v>
      </c>
      <c r="C62" s="14" t="s">
        <v>289</v>
      </c>
      <c r="D62" s="14" t="s">
        <v>290</v>
      </c>
      <c r="E62" s="15" t="s">
        <v>281</v>
      </c>
      <c r="F62" s="198">
        <f>IF(E62="有",(I62/B62+J62+Z62/B62)/(0.99999-K62-L62-M62-N62),(I62/B62+J62+Z62/B62)/(0.99999-K62-M62-N62))</f>
        <v>12.6662739616734</v>
      </c>
      <c r="G62" s="198">
        <f>IF(E62="有",(I62/B62+J62+Z62/B62)/(0.8-K62-L62-M62-N62-O62-P62),(I62/B62+J62+Z62/B62)/(0.8-K62-M62-N62-O62-P62))</f>
        <v>22.8899779953505</v>
      </c>
      <c r="H62" s="199">
        <v>19.99</v>
      </c>
      <c r="I62" s="198">
        <f>29.4/1.13</f>
        <v>26.0176991150442</v>
      </c>
      <c r="J62" s="14">
        <v>2.77</v>
      </c>
      <c r="K62" s="200">
        <v>0.15</v>
      </c>
      <c r="L62" s="200">
        <v>0.16</v>
      </c>
      <c r="M62" s="200">
        <v>0.05</v>
      </c>
      <c r="N62" s="200">
        <f>Q62/H62</f>
        <v>0.125062531265633</v>
      </c>
      <c r="O62" s="201">
        <v>0.01</v>
      </c>
      <c r="P62" s="200">
        <v>0.02</v>
      </c>
      <c r="Q62" s="198">
        <v>2.5</v>
      </c>
      <c r="R62" s="14"/>
      <c r="S62" s="14"/>
      <c r="T62" s="14"/>
      <c r="U62" s="14"/>
      <c r="V62" s="198"/>
      <c r="W62" s="198"/>
      <c r="X62" s="14" t="s">
        <v>21</v>
      </c>
      <c r="Y62" s="202">
        <v>5.55136</v>
      </c>
      <c r="Z62" s="203">
        <v>4</v>
      </c>
      <c r="AA62" s="198">
        <f>H62-SUM(K62:P62)*H62-J62-I62/B62-Z62/B62</f>
        <v>3.17168761061947</v>
      </c>
      <c r="AB62" s="201">
        <f>AA62/H62</f>
        <v>0.158663712387167</v>
      </c>
      <c r="AC62" s="14"/>
      <c r="AD62" s="204">
        <f>J62/H62</f>
        <v>0.138569284642321</v>
      </c>
      <c r="AE62" s="200">
        <f>I62/7.4/H62</f>
        <v>0.175883205893786</v>
      </c>
      <c r="AF62" s="200">
        <f>Z62/7.4/H62</f>
        <v>0.0270405473006774</v>
      </c>
      <c r="AG62" s="200">
        <v>0.15</v>
      </c>
      <c r="AH62" s="200">
        <f>N62</f>
        <v>0.125062531265633</v>
      </c>
      <c r="AI62" s="200">
        <v>0.02</v>
      </c>
      <c r="AJ62" s="200">
        <f>M62</f>
        <v>0.05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</row>
    <row r="63" ht="11.4" spans="1:75">
      <c r="A63" s="197" t="s">
        <v>297</v>
      </c>
      <c r="B63" s="15">
        <v>8</v>
      </c>
      <c r="C63" s="15" t="s">
        <v>289</v>
      </c>
      <c r="D63" s="15" t="s">
        <v>290</v>
      </c>
      <c r="E63" s="15" t="s">
        <v>281</v>
      </c>
      <c r="F63" s="198">
        <f>IF(E63="有",(I63/B63+J63+Z63/B63)/(0.99999-K63-L63-M63-N63),(I63/B63+J63+Z63/B63)/(0.99999-K63-M63-N63))</f>
        <v>13.0175661051473</v>
      </c>
      <c r="G63" s="198">
        <f>IF(E63="有",(I63/B63+J63+Z63/B63)/(0.8-K63-L63-M63-N63-O63-P63),(I63/B63+J63+Z63/B63)/(0.8-K63-M63-N63-O63-P63))</f>
        <v>24.0635076722655</v>
      </c>
      <c r="H63" s="199">
        <f>H62*0.9</f>
        <v>17.991</v>
      </c>
      <c r="I63" s="198">
        <f>29.4/1.13</f>
        <v>26.0176991150442</v>
      </c>
      <c r="J63" s="15">
        <v>2.77</v>
      </c>
      <c r="K63" s="200">
        <v>0.15</v>
      </c>
      <c r="L63" s="200">
        <v>0.16</v>
      </c>
      <c r="M63" s="200">
        <v>0.05</v>
      </c>
      <c r="N63" s="200">
        <f>Q63/H63</f>
        <v>0.138958368072925</v>
      </c>
      <c r="O63" s="201">
        <v>0.01</v>
      </c>
      <c r="P63" s="200">
        <v>0.02</v>
      </c>
      <c r="Q63" s="198">
        <v>2.5</v>
      </c>
      <c r="R63" s="14"/>
      <c r="S63" s="14"/>
      <c r="T63" s="14"/>
      <c r="U63" s="14"/>
      <c r="V63" s="198"/>
      <c r="W63" s="198"/>
      <c r="X63" s="15" t="s">
        <v>21</v>
      </c>
      <c r="Y63" s="202">
        <v>5.55136</v>
      </c>
      <c r="Z63" s="203">
        <v>4</v>
      </c>
      <c r="AA63" s="198">
        <f>H63-SUM(K63:P63)*H63-J63-I63/B63-Z63/B63</f>
        <v>1.95229761061947</v>
      </c>
      <c r="AB63" s="201">
        <f>AA63/H63</f>
        <v>0.108515235985741</v>
      </c>
      <c r="AC63" s="14"/>
      <c r="AD63" s="204">
        <f>J63/H63</f>
        <v>0.153965871824801</v>
      </c>
      <c r="AE63" s="200">
        <f>I63/B63/H63</f>
        <v>0.180768850501947</v>
      </c>
      <c r="AF63" s="200">
        <f>Z63/B63/H63</f>
        <v>0.0277916736145851</v>
      </c>
      <c r="AG63" s="200">
        <f>K63</f>
        <v>0.15</v>
      </c>
      <c r="AH63" s="200">
        <f>N63</f>
        <v>0.138958368072925</v>
      </c>
      <c r="AI63" s="200">
        <v>0.02</v>
      </c>
      <c r="AJ63" s="200">
        <f>M63</f>
        <v>0.05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</row>
    <row r="64" ht="11.4" spans="1:75">
      <c r="A64" s="197" t="s">
        <v>298</v>
      </c>
      <c r="B64" s="15">
        <v>8</v>
      </c>
      <c r="C64" s="15" t="s">
        <v>289</v>
      </c>
      <c r="D64" s="15" t="s">
        <v>290</v>
      </c>
      <c r="E64" s="15" t="s">
        <v>281</v>
      </c>
      <c r="F64" s="198">
        <f>IF(E64="有",(I64/B64+J64+Z64/B64)/(0.99999-K64-L64-M64-N64),(I64/B64+J64+Z64/B64)/(0.99999-K64-M64-N64))</f>
        <v>13.2334618628121</v>
      </c>
      <c r="G64" s="198">
        <f>IF(E64="有",(I64/B64+J64+Z64/B64)/(0.8-K64-L64-M64-N64-O64-P64),(I64/B64+J64+Z64/B64)/(0.8-K64-M64-N64-O64-P64))</f>
        <v>24.8117764776698</v>
      </c>
      <c r="H64" s="208">
        <f>H62*0.85</f>
        <v>16.9915</v>
      </c>
      <c r="I64" s="198">
        <f>29.4/1.13</f>
        <v>26.0176991150442</v>
      </c>
      <c r="J64" s="15">
        <v>2.77</v>
      </c>
      <c r="K64" s="200">
        <v>0.15</v>
      </c>
      <c r="L64" s="200">
        <v>0.16</v>
      </c>
      <c r="M64" s="200">
        <v>0.05</v>
      </c>
      <c r="N64" s="200">
        <f>Q64/H64</f>
        <v>0.147132389724274</v>
      </c>
      <c r="O64" s="201">
        <v>0.01</v>
      </c>
      <c r="P64" s="200">
        <v>0.02</v>
      </c>
      <c r="Q64" s="198">
        <v>2.5</v>
      </c>
      <c r="R64" s="14"/>
      <c r="S64" s="14"/>
      <c r="T64" s="14"/>
      <c r="U64" s="14"/>
      <c r="V64" s="198"/>
      <c r="W64" s="198"/>
      <c r="X64" s="15" t="s">
        <v>21</v>
      </c>
      <c r="Y64" s="202">
        <v>5.55136</v>
      </c>
      <c r="Z64" s="203">
        <v>4</v>
      </c>
      <c r="AA64" s="198">
        <f>H64-SUM(K64:P64)*H64-J64-I64/B64-Z64/B64</f>
        <v>1.34260261061947</v>
      </c>
      <c r="AB64" s="201">
        <f>AA64/H64</f>
        <v>0.0790161322201964</v>
      </c>
      <c r="AC64" s="14"/>
      <c r="AD64" s="204">
        <f>J64/H64</f>
        <v>0.163022687814495</v>
      </c>
      <c r="AE64" s="200">
        <f>I64/B64/H64</f>
        <v>0.191402312296179</v>
      </c>
      <c r="AF64" s="200">
        <f>Z64/B64/H64</f>
        <v>0.0294264779448548</v>
      </c>
      <c r="AG64" s="200">
        <f>K64</f>
        <v>0.15</v>
      </c>
      <c r="AH64" s="200">
        <f>N64</f>
        <v>0.147132389724274</v>
      </c>
      <c r="AI64" s="200">
        <v>0.02</v>
      </c>
      <c r="AJ64" s="200">
        <f>M64</f>
        <v>0.05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</row>
    <row r="65" ht="11.4" spans="1:75">
      <c r="A65" s="197" t="s">
        <v>299</v>
      </c>
      <c r="B65" s="15">
        <v>8</v>
      </c>
      <c r="C65" s="15" t="s">
        <v>289</v>
      </c>
      <c r="D65" s="15" t="s">
        <v>290</v>
      </c>
      <c r="E65" s="15" t="s">
        <v>281</v>
      </c>
      <c r="F65" s="198">
        <f>IF(E65="有",(I65/B65+J65+Z65/B65)/(0.99999-K65-L65-M65-N65),(I65/B65+J65+Z65/B65)/(0.99999-K65-M65-N65))</f>
        <v>13.4850672619265</v>
      </c>
      <c r="G65" s="198">
        <f>IF(E65="有",(I65/B65+J65+Z65/B65)/(0.8-K65-L65-M65-N65-O65-P65),(I65/B65+J65+Z65/B65)/(0.8-K65-M65-N65-O65-P65))</f>
        <v>25.71122003268</v>
      </c>
      <c r="H65" s="199">
        <f>H62*0.8</f>
        <v>15.992</v>
      </c>
      <c r="I65" s="198">
        <f>29.4/1.13</f>
        <v>26.0176991150442</v>
      </c>
      <c r="J65" s="15">
        <v>2.77</v>
      </c>
      <c r="K65" s="200">
        <v>0.15</v>
      </c>
      <c r="L65" s="200">
        <v>0.16</v>
      </c>
      <c r="M65" s="200">
        <v>0.05</v>
      </c>
      <c r="N65" s="200">
        <f>Q65/H65</f>
        <v>0.156328164082041</v>
      </c>
      <c r="O65" s="201">
        <v>0.01</v>
      </c>
      <c r="P65" s="200">
        <v>0.02</v>
      </c>
      <c r="Q65" s="198">
        <v>2.5</v>
      </c>
      <c r="R65" s="14"/>
      <c r="S65" s="14"/>
      <c r="T65" s="14"/>
      <c r="U65" s="14"/>
      <c r="V65" s="198"/>
      <c r="W65" s="198"/>
      <c r="X65" s="15" t="s">
        <v>21</v>
      </c>
      <c r="Y65" s="202">
        <v>5.55136</v>
      </c>
      <c r="Z65" s="203">
        <v>4</v>
      </c>
      <c r="AA65" s="198">
        <f>H65-SUM(K65:P65)*H65-J65-I65/B65-Z65/B65</f>
        <v>0.732907610619469</v>
      </c>
      <c r="AB65" s="201">
        <f>AA65/H65</f>
        <v>0.0458296404839588</v>
      </c>
      <c r="AC65" s="14"/>
      <c r="AD65" s="204">
        <f>J65/H65</f>
        <v>0.173211605802901</v>
      </c>
      <c r="AE65" s="200">
        <f>I65/7.4/H65</f>
        <v>0.219854007367233</v>
      </c>
      <c r="AF65" s="200">
        <f>Z65/7.4/H65</f>
        <v>0.0338006841258467</v>
      </c>
      <c r="AG65" s="200">
        <v>0.15</v>
      </c>
      <c r="AH65" s="200">
        <f>N65</f>
        <v>0.156328164082041</v>
      </c>
      <c r="AI65" s="200">
        <v>0.02</v>
      </c>
      <c r="AJ65" s="200">
        <f>M65</f>
        <v>0.05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</row>
    <row r="66" ht="11.4" spans="1:75">
      <c r="A66" s="19"/>
      <c r="B66" s="15"/>
      <c r="C66" s="15"/>
      <c r="D66" s="15"/>
      <c r="E66" s="15"/>
      <c r="F66" s="198"/>
      <c r="G66" s="198"/>
      <c r="H66" s="205"/>
      <c r="I66" s="198"/>
      <c r="J66" s="14"/>
      <c r="K66" s="200"/>
      <c r="L66" s="200"/>
      <c r="M66" s="200"/>
      <c r="N66" s="200"/>
      <c r="O66" s="201"/>
      <c r="P66" s="200"/>
      <c r="Q66" s="198"/>
      <c r="R66" s="14"/>
      <c r="S66" s="14"/>
      <c r="T66" s="14"/>
      <c r="U66" s="14"/>
      <c r="V66" s="198"/>
      <c r="W66" s="198"/>
      <c r="X66" s="14"/>
      <c r="Y66" s="202"/>
      <c r="Z66" s="198"/>
      <c r="AA66" s="198"/>
      <c r="AB66" s="201"/>
      <c r="AC66" s="14"/>
      <c r="AD66" s="204"/>
      <c r="AE66" s="200"/>
      <c r="AF66" s="200"/>
      <c r="AG66" s="200"/>
      <c r="AH66" s="200"/>
      <c r="AI66" s="200"/>
      <c r="AJ66" s="200"/>
    </row>
    <row r="67" ht="11.4" spans="1:75">
      <c r="A67" s="207" t="s">
        <v>300</v>
      </c>
      <c r="B67" s="15">
        <v>8</v>
      </c>
      <c r="C67" s="15" t="s">
        <v>279</v>
      </c>
      <c r="D67" s="15" t="s">
        <v>280</v>
      </c>
      <c r="E67" s="15" t="s">
        <v>281</v>
      </c>
      <c r="F67" s="198">
        <f>IF(E67="有",(I67/B67+J67+Z67/B67)/(0.99999-K67-L67-M67-N67),(I67/B67+J67+Z67/B67)/(0.99999-K67-M67-N67))</f>
        <v>25.7864962931679</v>
      </c>
      <c r="G67" s="198">
        <f>IF(E67="有",(I67/B67+J67+Z67/B67)/(0.8-K67-L67-M67-N67-O67-P67),(I67/B67+J67+Z67/B67)/(0.8-K67-M67-N67-O67-P67))</f>
        <v>44.919124415031</v>
      </c>
      <c r="H67" s="199">
        <v>39.99</v>
      </c>
      <c r="I67" s="198">
        <f>80.4/1.13</f>
        <v>71.1504424778761</v>
      </c>
      <c r="J67" s="14">
        <v>4.03</v>
      </c>
      <c r="K67" s="200">
        <v>0.15</v>
      </c>
      <c r="L67" s="200">
        <v>0.16</v>
      </c>
      <c r="M67" s="200">
        <v>0.05</v>
      </c>
      <c r="N67" s="200">
        <f>Q67/H67</f>
        <v>0.100025006251563</v>
      </c>
      <c r="O67" s="201">
        <v>0.01</v>
      </c>
      <c r="P67" s="200">
        <v>0.02</v>
      </c>
      <c r="Q67" s="198">
        <v>4</v>
      </c>
      <c r="R67" s="14"/>
      <c r="S67" s="14"/>
      <c r="T67" s="14"/>
      <c r="U67" s="14"/>
      <c r="V67" s="198"/>
      <c r="W67" s="198"/>
      <c r="X67" s="14" t="s">
        <v>21</v>
      </c>
      <c r="Y67" s="202">
        <v>5.55136</v>
      </c>
      <c r="Z67" s="203">
        <v>8</v>
      </c>
      <c r="AA67" s="198">
        <f>H67-SUM(K67:P67)*H67-J67-I67/B67-Z67/B67</f>
        <v>6.47009469026549</v>
      </c>
      <c r="AB67" s="201">
        <f>AA67/H67</f>
        <v>0.161792815460502</v>
      </c>
      <c r="AC67" s="14"/>
      <c r="AD67" s="204">
        <f>J67/H67</f>
        <v>0.10077519379845</v>
      </c>
      <c r="AE67" s="200">
        <f>I67/7.4/H67</f>
        <v>0.240433224785508</v>
      </c>
      <c r="AF67" s="200">
        <f>Z67/7.4/H67</f>
        <v>0.0270337854733954</v>
      </c>
      <c r="AG67" s="200">
        <v>0.15</v>
      </c>
      <c r="AH67" s="200">
        <f>N67</f>
        <v>0.100025006251563</v>
      </c>
      <c r="AI67" s="200">
        <v>0.02</v>
      </c>
      <c r="AJ67" s="200">
        <f>M67</f>
        <v>0.05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</row>
    <row r="68" ht="11.4" spans="1:75">
      <c r="A68" s="207" t="s">
        <v>301</v>
      </c>
      <c r="B68" s="15">
        <v>8</v>
      </c>
      <c r="C68" s="15" t="s">
        <v>279</v>
      </c>
      <c r="D68" s="15" t="s">
        <v>280</v>
      </c>
      <c r="E68" s="15" t="s">
        <v>281</v>
      </c>
      <c r="F68" s="198">
        <f>IF(E68="有",(I68/B68+J68+Z68/B68)/(0.99999-K68-L68-M68-N68),(I68/B68+J68+Z68/B68)/(0.99999-K68-M68-N68))</f>
        <v>26.3284035904975</v>
      </c>
      <c r="G68" s="198">
        <f>IF(E68="有",(I68/B68+J68+Z68/B68)/(0.8-K68-L68-M68-N68-O68-P68),(I68/B68+J68+Z68/B68)/(0.8-K68-M68-N68-O68-P68))</f>
        <v>46.589553192745</v>
      </c>
      <c r="H68" s="199">
        <f>H67*0.9</f>
        <v>35.991</v>
      </c>
      <c r="I68" s="198">
        <f>80.4/1.13</f>
        <v>71.1504424778761</v>
      </c>
      <c r="J68" s="15">
        <v>4.03</v>
      </c>
      <c r="K68" s="200">
        <v>0.15</v>
      </c>
      <c r="L68" s="200">
        <v>0.16</v>
      </c>
      <c r="M68" s="200">
        <v>0.05</v>
      </c>
      <c r="N68" s="200">
        <f>Q68/H68</f>
        <v>0.11113889583507</v>
      </c>
      <c r="O68" s="201">
        <v>0.01</v>
      </c>
      <c r="P68" s="200">
        <v>0.02</v>
      </c>
      <c r="Q68" s="198">
        <v>4</v>
      </c>
      <c r="R68" s="14"/>
      <c r="S68" s="14"/>
      <c r="T68" s="14"/>
      <c r="U68" s="14"/>
      <c r="V68" s="198"/>
      <c r="W68" s="198"/>
      <c r="X68" s="15" t="s">
        <v>21</v>
      </c>
      <c r="Y68" s="202">
        <v>5.55136</v>
      </c>
      <c r="Z68" s="203">
        <v>8</v>
      </c>
      <c r="AA68" s="198">
        <f>H68-SUM(K68:P68)*H68-J68-I68/B68-Z68/B68</f>
        <v>4.03070469026548</v>
      </c>
      <c r="AB68" s="201">
        <f>AA68/H68</f>
        <v>0.111992017178336</v>
      </c>
      <c r="AC68" s="14"/>
      <c r="AD68" s="204">
        <f>J68/H68</f>
        <v>0.111972437553833</v>
      </c>
      <c r="AE68" s="200">
        <f>I68/B68/H68</f>
        <v>0.247111925473994</v>
      </c>
      <c r="AF68" s="200">
        <f>Z68/B68/H68</f>
        <v>0.0277847239587675</v>
      </c>
      <c r="AG68" s="200">
        <f>K68</f>
        <v>0.15</v>
      </c>
      <c r="AH68" s="200">
        <f>N68</f>
        <v>0.11113889583507</v>
      </c>
      <c r="AI68" s="200">
        <v>0.02</v>
      </c>
      <c r="AJ68" s="200">
        <f>M68</f>
        <v>0.05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</row>
    <row r="69" ht="11.4" spans="1:75">
      <c r="A69" s="207" t="s">
        <v>302</v>
      </c>
      <c r="B69" s="15">
        <v>8</v>
      </c>
      <c r="C69" s="15" t="s">
        <v>279</v>
      </c>
      <c r="D69" s="15" t="s">
        <v>280</v>
      </c>
      <c r="E69" s="15" t="s">
        <v>281</v>
      </c>
      <c r="F69" s="198">
        <f>IF(E69="有",(I69/B69+J69+Z69/B69)/(0.99999-K69-L69-M69-N69),(I69/B69+J69+Z69/B69)/(0.99999-K69-M69-N69))</f>
        <v>26.6579453177845</v>
      </c>
      <c r="G69" s="198">
        <f>IF(E69="有",(I69/B69+J69+Z69/B69)/(0.8-K69-L69-M69-N69-O69-P69),(I69/B69+J69+Z69/B69)/(0.8-K69-M69-N69-O69-P69))</f>
        <v>47.6314913413647</v>
      </c>
      <c r="H69" s="208">
        <f>H67*0.85</f>
        <v>33.9915</v>
      </c>
      <c r="I69" s="198">
        <f>80.4/1.13</f>
        <v>71.1504424778761</v>
      </c>
      <c r="J69" s="15">
        <v>4.03</v>
      </c>
      <c r="K69" s="200">
        <v>0.15</v>
      </c>
      <c r="L69" s="200">
        <v>0.16</v>
      </c>
      <c r="M69" s="200">
        <v>0.05</v>
      </c>
      <c r="N69" s="200">
        <f>Q69/H69</f>
        <v>0.117676477943015</v>
      </c>
      <c r="O69" s="201">
        <v>0.01</v>
      </c>
      <c r="P69" s="200">
        <v>0.02</v>
      </c>
      <c r="Q69" s="198">
        <v>4</v>
      </c>
      <c r="R69" s="14"/>
      <c r="S69" s="14"/>
      <c r="T69" s="14"/>
      <c r="U69" s="14"/>
      <c r="V69" s="198"/>
      <c r="W69" s="198"/>
      <c r="X69" s="15" t="s">
        <v>21</v>
      </c>
      <c r="Y69" s="202">
        <v>5.55136</v>
      </c>
      <c r="Z69" s="203">
        <v>8</v>
      </c>
      <c r="AA69" s="198">
        <f>H69-SUM(K69:P69)*H69-J69-I69/B69-Z69/B69</f>
        <v>2.81100969026549</v>
      </c>
      <c r="AB69" s="201">
        <f>AA69/H69</f>
        <v>0.0826974299535321</v>
      </c>
      <c r="AC69" s="14"/>
      <c r="AD69" s="204">
        <f>J69/H69</f>
        <v>0.118559051527588</v>
      </c>
      <c r="AE69" s="200">
        <f>I69/B69/H69</f>
        <v>0.261647921090111</v>
      </c>
      <c r="AF69" s="200">
        <f>Z69/B69/H69</f>
        <v>0.0294191194857538</v>
      </c>
      <c r="AG69" s="200">
        <f>K69</f>
        <v>0.15</v>
      </c>
      <c r="AH69" s="200">
        <f>N69</f>
        <v>0.117676477943015</v>
      </c>
      <c r="AI69" s="200">
        <v>0.02</v>
      </c>
      <c r="AJ69" s="200">
        <f>M69</f>
        <v>0.05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</row>
    <row r="70" ht="11.4" spans="1:75">
      <c r="A70" s="207" t="s">
        <v>303</v>
      </c>
      <c r="B70" s="15">
        <v>8</v>
      </c>
      <c r="C70" s="15" t="s">
        <v>279</v>
      </c>
      <c r="D70" s="15" t="s">
        <v>280</v>
      </c>
      <c r="E70" s="15" t="s">
        <v>281</v>
      </c>
      <c r="F70" s="198">
        <f>IF(E70="有",(I70/B70+J70+Z70/B70)/(0.99999-K70-L70-M70-N70),(I70/B70+J70+Z70/B70)/(0.99999-K70-M70-N70))</f>
        <v>27.038681294428</v>
      </c>
      <c r="G70" s="198">
        <f>IF(E70="有",(I70/B70+J70+Z70/B70)/(0.8-K70-L70-M70-N70-O70-P70),(I70/B70+J70+Z70/B70)/(0.8-K70-M70-N70-O70-P70))</f>
        <v>48.8608161124864</v>
      </c>
      <c r="H70" s="199">
        <f>H67*0.8</f>
        <v>31.992</v>
      </c>
      <c r="I70" s="198">
        <f>80.4/1.13</f>
        <v>71.1504424778761</v>
      </c>
      <c r="J70" s="15">
        <v>4.03</v>
      </c>
      <c r="K70" s="200">
        <v>0.15</v>
      </c>
      <c r="L70" s="200">
        <v>0.16</v>
      </c>
      <c r="M70" s="200">
        <v>0.05</v>
      </c>
      <c r="N70" s="200">
        <f>Q70/H70</f>
        <v>0.125031257814454</v>
      </c>
      <c r="O70" s="201">
        <v>0.01</v>
      </c>
      <c r="P70" s="200">
        <v>0.02</v>
      </c>
      <c r="Q70" s="198">
        <v>4</v>
      </c>
      <c r="R70" s="14"/>
      <c r="S70" s="14"/>
      <c r="T70" s="14"/>
      <c r="U70" s="14"/>
      <c r="V70" s="198"/>
      <c r="W70" s="198"/>
      <c r="X70" s="15" t="s">
        <v>21</v>
      </c>
      <c r="Y70" s="202">
        <v>5.55136</v>
      </c>
      <c r="Z70" s="203">
        <v>8</v>
      </c>
      <c r="AA70" s="198">
        <f>H70-SUM(K70:P70)*H70-J70-I70/B70-Z70/B70</f>
        <v>1.59131469026549</v>
      </c>
      <c r="AB70" s="201">
        <f>AA70/H70</f>
        <v>0.0497410193256279</v>
      </c>
      <c r="AC70" s="14"/>
      <c r="AD70" s="204">
        <f>J70/H70</f>
        <v>0.125968992248062</v>
      </c>
      <c r="AE70" s="200">
        <f>I70/7.4/H70</f>
        <v>0.300541530981884</v>
      </c>
      <c r="AF70" s="200">
        <f>Z70/7.4/H70</f>
        <v>0.0337922318417442</v>
      </c>
      <c r="AG70" s="200">
        <v>0.15</v>
      </c>
      <c r="AH70" s="200">
        <f>N70</f>
        <v>0.125031257814454</v>
      </c>
      <c r="AI70" s="200">
        <v>0.02</v>
      </c>
      <c r="AJ70" s="200">
        <f>M70</f>
        <v>0.05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</row>
    <row r="71" ht="21" customHeight="1" spans="1:75">
      <c r="A71" s="1"/>
      <c r="B71" s="1"/>
      <c r="C71" s="1"/>
      <c r="D71" s="1"/>
      <c r="E71" s="15"/>
      <c r="F71" s="198"/>
      <c r="G71" s="198"/>
      <c r="H71" s="15"/>
      <c r="I71" s="198"/>
      <c r="J71" s="15"/>
      <c r="K71" s="200"/>
      <c r="L71" s="200"/>
      <c r="M71" s="200"/>
      <c r="N71" s="200"/>
      <c r="O71" s="201"/>
      <c r="P71" s="200"/>
      <c r="Q71" s="200"/>
      <c r="R71" s="14"/>
      <c r="S71" s="14"/>
      <c r="T71" s="14"/>
      <c r="U71" s="14"/>
      <c r="V71" s="198"/>
      <c r="W71" s="198"/>
      <c r="X71" s="15"/>
      <c r="Y71" s="202"/>
      <c r="Z71" s="198"/>
      <c r="AA71" s="198"/>
      <c r="AB71" s="201"/>
      <c r="AC71" s="14"/>
      <c r="AD71" s="204"/>
      <c r="AE71" s="200"/>
      <c r="AF71" s="200"/>
      <c r="AG71" s="200"/>
      <c r="AH71" s="200"/>
      <c r="AI71" s="200"/>
      <c r="AJ71" s="200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</row>
    <row r="72" ht="11.4" spans="1:75">
      <c r="A72" s="209" t="s">
        <v>300</v>
      </c>
      <c r="B72" s="15">
        <v>8</v>
      </c>
      <c r="C72" s="14" t="s">
        <v>284</v>
      </c>
      <c r="D72" s="14" t="s">
        <v>285</v>
      </c>
      <c r="E72" s="15" t="s">
        <v>281</v>
      </c>
      <c r="F72" s="198">
        <f>IF(E72="有",(I72/B72+J72+Z72/B72)/(0.99999-K72-L72-M72-N72),(I72/B72+J72+Z72/B72)/(0.99999-K72-M72-N72))</f>
        <v>29.1941246048233</v>
      </c>
      <c r="G72" s="198">
        <f>IF(E72="有",(I72/B72+J72+Z72/B72)/(0.8-K72-L72-M72-N72-O72-P72),(I72/B72+J72+Z72/B72)/(0.8-K72-M72-N72-O72-P72))</f>
        <v>50.8550871123745</v>
      </c>
      <c r="H72" s="199">
        <v>39.99</v>
      </c>
      <c r="I72" s="198">
        <f>80.4/1.13</f>
        <v>71.1504424778761</v>
      </c>
      <c r="J72" s="14">
        <v>5.87</v>
      </c>
      <c r="K72" s="200">
        <v>0.15</v>
      </c>
      <c r="L72" s="200">
        <v>0.16</v>
      </c>
      <c r="M72" s="200">
        <v>0.05</v>
      </c>
      <c r="N72" s="200">
        <f>Q72/H72</f>
        <v>0.100025006251563</v>
      </c>
      <c r="O72" s="201">
        <v>0.01</v>
      </c>
      <c r="P72" s="200">
        <v>0.02</v>
      </c>
      <c r="Q72" s="198">
        <v>4</v>
      </c>
      <c r="R72" s="14"/>
      <c r="S72" s="14"/>
      <c r="T72" s="14"/>
      <c r="U72" s="14"/>
      <c r="V72" s="198"/>
      <c r="W72" s="198"/>
      <c r="X72" s="14" t="s">
        <v>21</v>
      </c>
      <c r="Y72" s="202">
        <v>5.55136</v>
      </c>
      <c r="Z72" s="203">
        <v>8</v>
      </c>
      <c r="AA72" s="198">
        <f>H72-SUM(K72:P72)*H72-J72-I72/B72-Z72/B72</f>
        <v>4.63009469026549</v>
      </c>
      <c r="AB72" s="201">
        <f>AA72/H72</f>
        <v>0.115781312584783</v>
      </c>
      <c r="AC72" s="14"/>
      <c r="AD72" s="204">
        <f>J72/H72</f>
        <v>0.146786696674169</v>
      </c>
      <c r="AE72" s="200">
        <f>I72/7.4/H72</f>
        <v>0.240433224785508</v>
      </c>
      <c r="AF72" s="200">
        <f>Z72/7.4/H72</f>
        <v>0.0270337854733954</v>
      </c>
      <c r="AG72" s="200">
        <v>0.15</v>
      </c>
      <c r="AH72" s="200">
        <f>N72</f>
        <v>0.100025006251563</v>
      </c>
      <c r="AI72" s="200">
        <v>0.02</v>
      </c>
      <c r="AJ72" s="200">
        <f>M72</f>
        <v>0.05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</row>
    <row r="73" ht="11.4" spans="1:75">
      <c r="A73" s="207" t="s">
        <v>301</v>
      </c>
      <c r="B73" s="15">
        <v>8</v>
      </c>
      <c r="C73" s="15" t="s">
        <v>284</v>
      </c>
      <c r="D73" s="15" t="s">
        <v>285</v>
      </c>
      <c r="E73" s="15" t="s">
        <v>281</v>
      </c>
      <c r="F73" s="198">
        <f>IF(E73="有",(I73/B73+J73+Z73/B73)/(0.99999-K73-L73-M73-N73),(I73/B73+J73+Z73/B73)/(0.99999-K73-M73-N73))</f>
        <v>29.8076437499851</v>
      </c>
      <c r="G73" s="198">
        <f>IF(E73="有",(I73/B73+J73+Z73/B73)/(0.8-K73-L73-M73-N73-O73-P73),(I73/B73+J73+Z73/B73)/(0.8-K73-M73-N73-O73-P73))</f>
        <v>52.7462593494102</v>
      </c>
      <c r="H73" s="199">
        <f>H72*0.9</f>
        <v>35.991</v>
      </c>
      <c r="I73" s="198">
        <f>80.4/1.13</f>
        <v>71.1504424778761</v>
      </c>
      <c r="J73" s="15">
        <v>5.87</v>
      </c>
      <c r="K73" s="200">
        <v>0.15</v>
      </c>
      <c r="L73" s="200">
        <v>0.16</v>
      </c>
      <c r="M73" s="200">
        <v>0.05</v>
      </c>
      <c r="N73" s="200">
        <f>Q73/H73</f>
        <v>0.11113889583507</v>
      </c>
      <c r="O73" s="201">
        <v>0.01</v>
      </c>
      <c r="P73" s="200">
        <v>0.02</v>
      </c>
      <c r="Q73" s="198">
        <v>4</v>
      </c>
      <c r="R73" s="14"/>
      <c r="S73" s="14"/>
      <c r="T73" s="14"/>
      <c r="U73" s="14"/>
      <c r="V73" s="198"/>
      <c r="W73" s="198"/>
      <c r="X73" s="15" t="s">
        <v>21</v>
      </c>
      <c r="Y73" s="202">
        <v>5.55136</v>
      </c>
      <c r="Z73" s="203">
        <v>8</v>
      </c>
      <c r="AA73" s="198">
        <f>H73-SUM(K73:P73)*H73-J73-I73/B73-Z73/B73</f>
        <v>2.19070469026548</v>
      </c>
      <c r="AB73" s="201">
        <f>AA73/H73</f>
        <v>0.0608681250942037</v>
      </c>
      <c r="AC73" s="14"/>
      <c r="AD73" s="204">
        <f>J73/H73</f>
        <v>0.163096329637965</v>
      </c>
      <c r="AE73" s="200">
        <f>I73/B73/H73</f>
        <v>0.247111925473994</v>
      </c>
      <c r="AF73" s="200">
        <f>Z73/B73/H73</f>
        <v>0.0277847239587675</v>
      </c>
      <c r="AG73" s="200">
        <f>K73</f>
        <v>0.15</v>
      </c>
      <c r="AH73" s="200">
        <f>N73</f>
        <v>0.11113889583507</v>
      </c>
      <c r="AI73" s="200">
        <v>0.02</v>
      </c>
      <c r="AJ73" s="200">
        <f>M73</f>
        <v>0.05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</row>
    <row r="74" ht="11.4" spans="1:75">
      <c r="A74" s="207" t="s">
        <v>302</v>
      </c>
      <c r="B74" s="15">
        <v>8</v>
      </c>
      <c r="C74" s="15" t="s">
        <v>284</v>
      </c>
      <c r="D74" s="15" t="s">
        <v>285</v>
      </c>
      <c r="E74" s="15" t="s">
        <v>281</v>
      </c>
      <c r="F74" s="198">
        <f>IF(E74="有",(I74/B74+J74+Z74/B74)/(0.99999-K74-L74-M74-N74),(I74/B74+J74+Z74/B74)/(0.99999-K74-M74-N74))</f>
        <v>30.1807336858774</v>
      </c>
      <c r="G74" s="198">
        <f>IF(E74="有",(I74/B74+J74+Z74/B74)/(0.8-K74-L74-M74-N74-O74-P74),(I74/B74+J74+Z74/B74)/(0.8-K74-M74-N74-O74-P74))</f>
        <v>53.9258873141983</v>
      </c>
      <c r="H74" s="208">
        <f>H72*0.85</f>
        <v>33.9915</v>
      </c>
      <c r="I74" s="198">
        <f>80.4/1.13</f>
        <v>71.1504424778761</v>
      </c>
      <c r="J74" s="15">
        <v>5.87</v>
      </c>
      <c r="K74" s="200">
        <v>0.15</v>
      </c>
      <c r="L74" s="200">
        <v>0.16</v>
      </c>
      <c r="M74" s="200">
        <v>0.05</v>
      </c>
      <c r="N74" s="200">
        <f>Q74/H74</f>
        <v>0.117676477943015</v>
      </c>
      <c r="O74" s="201">
        <v>0.01</v>
      </c>
      <c r="P74" s="200">
        <v>0.02</v>
      </c>
      <c r="Q74" s="198">
        <v>4</v>
      </c>
      <c r="R74" s="14"/>
      <c r="S74" s="14"/>
      <c r="T74" s="14"/>
      <c r="U74" s="14"/>
      <c r="V74" s="198"/>
      <c r="W74" s="198"/>
      <c r="X74" s="15" t="s">
        <v>21</v>
      </c>
      <c r="Y74" s="202">
        <v>5.55136</v>
      </c>
      <c r="Z74" s="203">
        <v>8</v>
      </c>
      <c r="AA74" s="198">
        <f>H74-SUM(K74:P74)*H74-J74-I74/B74-Z74/B74</f>
        <v>0.971009690265486</v>
      </c>
      <c r="AB74" s="201">
        <f>AA74/H74</f>
        <v>0.0285662500997451</v>
      </c>
      <c r="AC74" s="14"/>
      <c r="AD74" s="204">
        <f>J74/H74</f>
        <v>0.172690231381375</v>
      </c>
      <c r="AE74" s="200">
        <f>I74/B74/H74</f>
        <v>0.261647921090111</v>
      </c>
      <c r="AF74" s="200">
        <f>Z74/B74/H74</f>
        <v>0.0294191194857538</v>
      </c>
      <c r="AG74" s="200">
        <f>K74</f>
        <v>0.15</v>
      </c>
      <c r="AH74" s="200">
        <f>N74</f>
        <v>0.117676477943015</v>
      </c>
      <c r="AI74" s="200">
        <v>0.02</v>
      </c>
      <c r="AJ74" s="200">
        <f>M74</f>
        <v>0.05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</row>
    <row r="75" ht="11.4" spans="1:75">
      <c r="A75" s="207" t="s">
        <v>303</v>
      </c>
      <c r="B75" s="15">
        <v>8</v>
      </c>
      <c r="C75" s="15" t="s">
        <v>284</v>
      </c>
      <c r="D75" s="15" t="s">
        <v>285</v>
      </c>
      <c r="E75" s="15" t="s">
        <v>281</v>
      </c>
      <c r="F75" s="198">
        <f>IF(E75="有",(I75/B75+J75+Z75/B75)/(0.99999-K75-L75-M75-N75),(I75/B75+J75+Z75/B75)/(0.99999-K75-M75-N75))</f>
        <v>30.6117830776715</v>
      </c>
      <c r="G75" s="198">
        <f>IF(E75="有",(I75/B75+J75+Z75/B75)/(0.8-K75-L75-M75-N75-O75-P75),(I75/B75+J75+Z75/B75)/(0.8-K75-M75-N75-O75-P75))</f>
        <v>55.3176646281806</v>
      </c>
      <c r="H75" s="199">
        <f>H72*0.8</f>
        <v>31.992</v>
      </c>
      <c r="I75" s="198">
        <f>80.4/1.13</f>
        <v>71.1504424778761</v>
      </c>
      <c r="J75" s="15">
        <v>5.87</v>
      </c>
      <c r="K75" s="200">
        <v>0.15</v>
      </c>
      <c r="L75" s="200">
        <v>0.16</v>
      </c>
      <c r="M75" s="200">
        <v>0.05</v>
      </c>
      <c r="N75" s="200">
        <f>Q75/H75</f>
        <v>0.125031257814454</v>
      </c>
      <c r="O75" s="201">
        <v>0.01</v>
      </c>
      <c r="P75" s="200">
        <v>0.02</v>
      </c>
      <c r="Q75" s="198">
        <v>4</v>
      </c>
      <c r="R75" s="14"/>
      <c r="S75" s="14"/>
      <c r="T75" s="14"/>
      <c r="U75" s="14"/>
      <c r="V75" s="198"/>
      <c r="W75" s="198"/>
      <c r="X75" s="15" t="s">
        <v>21</v>
      </c>
      <c r="Y75" s="202">
        <v>5.55136</v>
      </c>
      <c r="Z75" s="203">
        <v>8</v>
      </c>
      <c r="AA75" s="198">
        <f>H75-SUM(K75:P75)*H75-J75-I75/B75-Z75/B75</f>
        <v>-0.248685309734512</v>
      </c>
      <c r="AB75" s="201">
        <f>AA75/H75</f>
        <v>-0.00777335926902075</v>
      </c>
      <c r="AC75" s="14"/>
      <c r="AD75" s="204">
        <f>J75/H75</f>
        <v>0.183483370842711</v>
      </c>
      <c r="AE75" s="200">
        <f>I75/7.4/H75</f>
        <v>0.300541530981884</v>
      </c>
      <c r="AF75" s="200">
        <f>Z75/7.4/H75</f>
        <v>0.0337922318417442</v>
      </c>
      <c r="AG75" s="200">
        <v>0.15</v>
      </c>
      <c r="AH75" s="200">
        <f>N75</f>
        <v>0.125031257814454</v>
      </c>
      <c r="AI75" s="200">
        <v>0.02</v>
      </c>
      <c r="AJ75" s="200">
        <f>M75</f>
        <v>0.05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</row>
    <row r="76" ht="21" customHeight="1" spans="1:75">
      <c r="A76" s="1"/>
      <c r="B76" s="1"/>
      <c r="C76" s="1"/>
      <c r="D76" s="1"/>
      <c r="E76" s="15"/>
      <c r="F76" s="198"/>
      <c r="G76" s="198"/>
      <c r="H76" s="15"/>
      <c r="I76" s="198"/>
      <c r="J76" s="15"/>
      <c r="K76" s="200"/>
      <c r="L76" s="200"/>
      <c r="M76" s="200"/>
      <c r="N76" s="200"/>
      <c r="O76" s="201"/>
      <c r="P76" s="200"/>
      <c r="Q76" s="200"/>
      <c r="R76" s="14"/>
      <c r="S76" s="14"/>
      <c r="T76" s="14"/>
      <c r="U76" s="14"/>
      <c r="V76" s="198"/>
      <c r="W76" s="198"/>
      <c r="X76" s="15"/>
      <c r="Y76" s="202"/>
      <c r="Z76" s="198"/>
      <c r="AA76" s="198"/>
      <c r="AB76" s="201"/>
      <c r="AC76" s="14"/>
      <c r="AD76" s="204"/>
      <c r="AE76" s="200"/>
      <c r="AF76" s="200"/>
      <c r="AG76" s="200"/>
      <c r="AH76" s="200"/>
      <c r="AI76" s="200"/>
      <c r="AJ76" s="200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</row>
    <row r="77" ht="11.4" spans="1:75">
      <c r="A77" s="209" t="s">
        <v>300</v>
      </c>
      <c r="B77" s="15">
        <v>8</v>
      </c>
      <c r="C77" s="14" t="s">
        <v>286</v>
      </c>
      <c r="D77" s="14" t="s">
        <v>287</v>
      </c>
      <c r="E77" s="15" t="s">
        <v>281</v>
      </c>
      <c r="F77" s="198">
        <f>IF(E77="有",(I77/B77+J77+Z77/B77)/(0.99999-K77-L77-M77-N77),(I77/B77+J77+Z77/B77)/(0.99999-K77-M77-N77))</f>
        <v>28.5274147177603</v>
      </c>
      <c r="G77" s="198">
        <f>IF(E77="有",(I77/B77+J77+Z77/B77)/(0.8-K77-L77-M77-N77-O77-P77),(I77/B77+J77+Z77/B77)/(0.8-K77-M77-N77-O77-P77))</f>
        <v>49.6937031063725</v>
      </c>
      <c r="H77" s="199">
        <v>39.99</v>
      </c>
      <c r="I77" s="198">
        <f>80.4/1.13</f>
        <v>71.1504424778761</v>
      </c>
      <c r="J77" s="14">
        <v>5.51</v>
      </c>
      <c r="K77" s="200">
        <v>0.15</v>
      </c>
      <c r="L77" s="200">
        <v>0.16</v>
      </c>
      <c r="M77" s="200">
        <v>0.05</v>
      </c>
      <c r="N77" s="200">
        <f>Q77/H77</f>
        <v>0.100025006251563</v>
      </c>
      <c r="O77" s="201">
        <v>0.01</v>
      </c>
      <c r="P77" s="200">
        <v>0.02</v>
      </c>
      <c r="Q77" s="198">
        <v>4</v>
      </c>
      <c r="R77" s="14"/>
      <c r="S77" s="14"/>
      <c r="T77" s="14"/>
      <c r="U77" s="14"/>
      <c r="V77" s="198"/>
      <c r="W77" s="198"/>
      <c r="X77" s="14" t="s">
        <v>21</v>
      </c>
      <c r="Y77" s="202">
        <v>5.55136</v>
      </c>
      <c r="Z77" s="203">
        <v>8</v>
      </c>
      <c r="AA77" s="198">
        <f>H77-SUM(K77:P77)*H77-J77-I77/B77-Z77/B77</f>
        <v>4.99009469026549</v>
      </c>
      <c r="AB77" s="201">
        <f>AA77/H77</f>
        <v>0.124783563147424</v>
      </c>
      <c r="AC77" s="14"/>
      <c r="AD77" s="204">
        <f>J77/H77</f>
        <v>0.137784446111528</v>
      </c>
      <c r="AE77" s="200">
        <f>I77/7.4/H77</f>
        <v>0.240433224785508</v>
      </c>
      <c r="AF77" s="200">
        <f>Z77/7.4/H77</f>
        <v>0.0270337854733954</v>
      </c>
      <c r="AG77" s="200">
        <v>0.15</v>
      </c>
      <c r="AH77" s="200">
        <f>N77</f>
        <v>0.100025006251563</v>
      </c>
      <c r="AI77" s="200">
        <v>0.02</v>
      </c>
      <c r="AJ77" s="200">
        <f>M77</f>
        <v>0.05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</row>
    <row r="78" ht="11.4" spans="1:75">
      <c r="A78" s="207" t="s">
        <v>301</v>
      </c>
      <c r="B78" s="15">
        <v>8</v>
      </c>
      <c r="C78" s="15" t="s">
        <v>286</v>
      </c>
      <c r="D78" s="15" t="s">
        <v>287</v>
      </c>
      <c r="E78" s="15" t="s">
        <v>281</v>
      </c>
      <c r="F78" s="198">
        <f>IF(E78="有",(I78/B78+J78+Z78/B78)/(0.99999-K78-L78-M78-N78),(I78/B78+J78+Z78/B78)/(0.99999-K78-M78-N78))</f>
        <v>29.1269228492158</v>
      </c>
      <c r="G78" s="198">
        <f>IF(E78="有",(I78/B78+J78+Z78/B78)/(0.8-K78-L78-M78-N78-O78-P78),(I78/B78+J78+Z78/B78)/(0.8-K78-M78-N78-O78-P78))</f>
        <v>51.5416864057149</v>
      </c>
      <c r="H78" s="199">
        <f>H77*0.9</f>
        <v>35.991</v>
      </c>
      <c r="I78" s="198">
        <f>80.4/1.13</f>
        <v>71.1504424778761</v>
      </c>
      <c r="J78" s="15">
        <v>5.51</v>
      </c>
      <c r="K78" s="200">
        <v>0.15</v>
      </c>
      <c r="L78" s="200">
        <v>0.16</v>
      </c>
      <c r="M78" s="200">
        <v>0.05</v>
      </c>
      <c r="N78" s="200">
        <f>Q78/H78</f>
        <v>0.11113889583507</v>
      </c>
      <c r="O78" s="201">
        <v>0.01</v>
      </c>
      <c r="P78" s="200">
        <v>0.02</v>
      </c>
      <c r="Q78" s="198">
        <v>4</v>
      </c>
      <c r="R78" s="14"/>
      <c r="S78" s="14"/>
      <c r="T78" s="14"/>
      <c r="U78" s="14"/>
      <c r="V78" s="198"/>
      <c r="W78" s="198"/>
      <c r="X78" s="15" t="s">
        <v>21</v>
      </c>
      <c r="Y78" s="202">
        <v>5.55136</v>
      </c>
      <c r="Z78" s="203">
        <v>8</v>
      </c>
      <c r="AA78" s="198">
        <f>H78-SUM(K78:P78)*H78-J78-I78/B78-Z78/B78</f>
        <v>2.55070469026549</v>
      </c>
      <c r="AB78" s="201">
        <f>AA78/H78</f>
        <v>0.07087062571936</v>
      </c>
      <c r="AC78" s="14"/>
      <c r="AD78" s="204">
        <f>J78/H78</f>
        <v>0.153093829012809</v>
      </c>
      <c r="AE78" s="200">
        <f>I78/B78/H78</f>
        <v>0.247111925473994</v>
      </c>
      <c r="AF78" s="200">
        <f>Z78/B78/H78</f>
        <v>0.0277847239587675</v>
      </c>
      <c r="AG78" s="200">
        <f>K78</f>
        <v>0.15</v>
      </c>
      <c r="AH78" s="200">
        <f>N78</f>
        <v>0.11113889583507</v>
      </c>
      <c r="AI78" s="200">
        <v>0.02</v>
      </c>
      <c r="AJ78" s="200">
        <f>M78</f>
        <v>0.05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</row>
    <row r="79" ht="11.4" spans="1:75">
      <c r="A79" s="207" t="s">
        <v>302</v>
      </c>
      <c r="B79" s="15">
        <v>8</v>
      </c>
      <c r="C79" s="15" t="s">
        <v>286</v>
      </c>
      <c r="D79" s="15" t="s">
        <v>287</v>
      </c>
      <c r="E79" s="15" t="s">
        <v>281</v>
      </c>
      <c r="F79" s="198">
        <f>IF(E79="有",(I79/B79+J79+Z79/B79)/(0.99999-K79-L79-M79-N79),(I79/B79+J79+Z79/B79)/(0.99999-K79-M79-N79))</f>
        <v>29.4914924834244</v>
      </c>
      <c r="G79" s="198">
        <f>IF(E79="有",(I79/B79+J79+Z79/B79)/(0.8-K79-L79-M79-N79-O79-P79),(I79/B79+J79+Z79/B79)/(0.8-K79-M79-N79-O79-P79))</f>
        <v>52.6943750586439</v>
      </c>
      <c r="H79" s="208">
        <f>H77*0.85</f>
        <v>33.9915</v>
      </c>
      <c r="I79" s="198">
        <f>80.4/1.13</f>
        <v>71.1504424778761</v>
      </c>
      <c r="J79" s="15">
        <v>5.51</v>
      </c>
      <c r="K79" s="200">
        <v>0.15</v>
      </c>
      <c r="L79" s="200">
        <v>0.16</v>
      </c>
      <c r="M79" s="200">
        <v>0.05</v>
      </c>
      <c r="N79" s="200">
        <f>Q79/H79</f>
        <v>0.117676477943015</v>
      </c>
      <c r="O79" s="201">
        <v>0.01</v>
      </c>
      <c r="P79" s="200">
        <v>0.02</v>
      </c>
      <c r="Q79" s="198">
        <v>4</v>
      </c>
      <c r="R79" s="14"/>
      <c r="S79" s="14"/>
      <c r="T79" s="14"/>
      <c r="U79" s="14"/>
      <c r="V79" s="198"/>
      <c r="W79" s="198"/>
      <c r="X79" s="15" t="s">
        <v>21</v>
      </c>
      <c r="Y79" s="202">
        <v>5.55136</v>
      </c>
      <c r="Z79" s="203">
        <v>8</v>
      </c>
      <c r="AA79" s="198">
        <f>H79-SUM(K79:P79)*H79-J79-I79/B79-Z79/B79</f>
        <v>1.33100969026549</v>
      </c>
      <c r="AB79" s="201">
        <f>AA79/H79</f>
        <v>0.0391571331146165</v>
      </c>
      <c r="AC79" s="14"/>
      <c r="AD79" s="204">
        <f>J79/H79</f>
        <v>0.162099348366503</v>
      </c>
      <c r="AE79" s="200">
        <f>I79/B79/H79</f>
        <v>0.261647921090111</v>
      </c>
      <c r="AF79" s="200">
        <f>Z79/B79/H79</f>
        <v>0.0294191194857538</v>
      </c>
      <c r="AG79" s="200">
        <f>K79</f>
        <v>0.15</v>
      </c>
      <c r="AH79" s="200">
        <f>N79</f>
        <v>0.117676477943015</v>
      </c>
      <c r="AI79" s="200">
        <v>0.02</v>
      </c>
      <c r="AJ79" s="200">
        <f>M79</f>
        <v>0.05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</row>
    <row r="80" ht="11.4" spans="1:75">
      <c r="A80" s="207" t="s">
        <v>303</v>
      </c>
      <c r="B80" s="15">
        <v>8</v>
      </c>
      <c r="C80" s="15" t="s">
        <v>286</v>
      </c>
      <c r="D80" s="15" t="s">
        <v>287</v>
      </c>
      <c r="E80" s="15" t="s">
        <v>281</v>
      </c>
      <c r="F80" s="198">
        <f>IF(E80="有",(I80/B80+J80+Z80/B80)/(0.99999-K80-L80-M80-N80),(I80/B80+J80+Z80/B80)/(0.99999-K80-M80-N80))</f>
        <v>29.9126979461673</v>
      </c>
      <c r="G80" s="198">
        <f>IF(E80="有",(I80/B80+J80+Z80/B80)/(0.8-K80-L80-M80-N80-O80-P80),(I80/B80+J80+Z80/B80)/(0.8-K80-M80-N80-O80-P80))</f>
        <v>54.0543681794578</v>
      </c>
      <c r="H80" s="199">
        <f>H77*0.8</f>
        <v>31.992</v>
      </c>
      <c r="I80" s="198">
        <f>80.4/1.13</f>
        <v>71.1504424778761</v>
      </c>
      <c r="J80" s="15">
        <v>5.51</v>
      </c>
      <c r="K80" s="200">
        <v>0.15</v>
      </c>
      <c r="L80" s="200">
        <v>0.16</v>
      </c>
      <c r="M80" s="200">
        <v>0.05</v>
      </c>
      <c r="N80" s="200">
        <f>Q80/H80</f>
        <v>0.125031257814454</v>
      </c>
      <c r="O80" s="201">
        <v>0.01</v>
      </c>
      <c r="P80" s="200">
        <v>0.02</v>
      </c>
      <c r="Q80" s="198">
        <v>4</v>
      </c>
      <c r="R80" s="14"/>
      <c r="S80" s="14"/>
      <c r="T80" s="14"/>
      <c r="U80" s="14"/>
      <c r="V80" s="198"/>
      <c r="W80" s="198"/>
      <c r="X80" s="15" t="s">
        <v>21</v>
      </c>
      <c r="Y80" s="202">
        <v>5.55136</v>
      </c>
      <c r="Z80" s="203">
        <v>8</v>
      </c>
      <c r="AA80" s="198">
        <f>H80-SUM(K80:P80)*H80-J80-I80/B80-Z80/B80</f>
        <v>0.111314690265489</v>
      </c>
      <c r="AB80" s="201">
        <f>AA80/H80</f>
        <v>0.00347945393428011</v>
      </c>
      <c r="AC80" s="14"/>
      <c r="AD80" s="204">
        <f>J80/H80</f>
        <v>0.17223055763941</v>
      </c>
      <c r="AE80" s="200">
        <f>I80/7.4/H80</f>
        <v>0.300541530981884</v>
      </c>
      <c r="AF80" s="200">
        <f>Z80/7.4/H80</f>
        <v>0.0337922318417442</v>
      </c>
      <c r="AG80" s="200">
        <v>0.15</v>
      </c>
      <c r="AH80" s="200">
        <f>N80</f>
        <v>0.125031257814454</v>
      </c>
      <c r="AI80" s="200">
        <v>0.02</v>
      </c>
      <c r="AJ80" s="200">
        <f>M80</f>
        <v>0.05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</row>
    <row r="81" ht="21" customHeight="1" spans="1:75">
      <c r="A81" s="1"/>
      <c r="B81" s="1"/>
      <c r="C81" s="1"/>
      <c r="D81" s="1"/>
      <c r="E81" s="15"/>
      <c r="F81" s="198"/>
      <c r="G81" s="198"/>
      <c r="H81" s="15"/>
      <c r="I81" s="198"/>
      <c r="J81" s="15"/>
      <c r="K81" s="200"/>
      <c r="L81" s="200"/>
      <c r="M81" s="200"/>
      <c r="N81" s="200"/>
      <c r="O81" s="201"/>
      <c r="P81" s="200"/>
      <c r="Q81" s="200"/>
      <c r="R81" s="14"/>
      <c r="S81" s="14"/>
      <c r="T81" s="14"/>
      <c r="U81" s="14"/>
      <c r="V81" s="198"/>
      <c r="W81" s="198"/>
      <c r="X81" s="15"/>
      <c r="Y81" s="202"/>
      <c r="Z81" s="198"/>
      <c r="AA81" s="198"/>
      <c r="AB81" s="201"/>
      <c r="AC81" s="14"/>
      <c r="AD81" s="204"/>
      <c r="AE81" s="200"/>
      <c r="AF81" s="200"/>
      <c r="AG81" s="200"/>
      <c r="AH81" s="200"/>
      <c r="AI81" s="200"/>
      <c r="AJ81" s="200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</row>
    <row r="82" ht="11.4" spans="1:75">
      <c r="A82" s="209" t="s">
        <v>300</v>
      </c>
      <c r="B82" s="15">
        <v>8</v>
      </c>
      <c r="C82" s="14" t="s">
        <v>289</v>
      </c>
      <c r="D82" s="14" t="s">
        <v>290</v>
      </c>
      <c r="E82" s="15" t="s">
        <v>281</v>
      </c>
      <c r="F82" s="198">
        <f>IF(E82="有",(I82/B82+J82+Z82/B82)/(0.99999-K82-L82-M82-N82),(I82/B82+J82+Z82/B82)/(0.99999-K82-M82-N82))</f>
        <v>26.1198512366994</v>
      </c>
      <c r="G82" s="198">
        <f>IF(E82="有",(I82/B82+J82+Z82/B82)/(0.8-K82-L82-M82-N82-O82-P82),(I82/B82+J82+Z82/B82)/(0.8-K82-M82-N82-O82-P82))</f>
        <v>45.499816418032</v>
      </c>
      <c r="H82" s="199">
        <v>39.99</v>
      </c>
      <c r="I82" s="198">
        <f>80.4/1.13</f>
        <v>71.1504424778761</v>
      </c>
      <c r="J82" s="14">
        <v>4.21</v>
      </c>
      <c r="K82" s="200">
        <v>0.15</v>
      </c>
      <c r="L82" s="200">
        <v>0.16</v>
      </c>
      <c r="M82" s="200">
        <v>0.05</v>
      </c>
      <c r="N82" s="200">
        <f>Q82/H82</f>
        <v>0.100025006251563</v>
      </c>
      <c r="O82" s="201">
        <v>0.01</v>
      </c>
      <c r="P82" s="200">
        <v>0.02</v>
      </c>
      <c r="Q82" s="198">
        <v>4</v>
      </c>
      <c r="R82" s="14"/>
      <c r="S82" s="14"/>
      <c r="T82" s="14"/>
      <c r="U82" s="14"/>
      <c r="V82" s="198"/>
      <c r="W82" s="198"/>
      <c r="X82" s="14" t="s">
        <v>21</v>
      </c>
      <c r="Y82" s="202">
        <v>5.55136</v>
      </c>
      <c r="Z82" s="203">
        <v>8</v>
      </c>
      <c r="AA82" s="198">
        <f>H82-SUM(K82:P82)*H82-J82-I82/B82-Z82/B82</f>
        <v>6.29009469026549</v>
      </c>
      <c r="AB82" s="201">
        <f>AA82/H82</f>
        <v>0.157291690179182</v>
      </c>
      <c r="AC82" s="14"/>
      <c r="AD82" s="204">
        <f>J82/H82</f>
        <v>0.10527631907977</v>
      </c>
      <c r="AE82" s="200">
        <f>I82/7.4/H82</f>
        <v>0.240433224785508</v>
      </c>
      <c r="AF82" s="200">
        <f>Z82/7.4/H82</f>
        <v>0.0270337854733954</v>
      </c>
      <c r="AG82" s="200">
        <v>0.15</v>
      </c>
      <c r="AH82" s="200">
        <f>N82</f>
        <v>0.100025006251563</v>
      </c>
      <c r="AI82" s="200">
        <v>0.02</v>
      </c>
      <c r="AJ82" s="200">
        <f>M82</f>
        <v>0.05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</row>
    <row r="83" ht="11.4" spans="1:75">
      <c r="A83" s="207" t="s">
        <v>301</v>
      </c>
      <c r="B83" s="15">
        <v>8</v>
      </c>
      <c r="C83" s="15" t="s">
        <v>289</v>
      </c>
      <c r="D83" s="15" t="s">
        <v>290</v>
      </c>
      <c r="E83" s="15" t="s">
        <v>281</v>
      </c>
      <c r="F83" s="198">
        <f>IF(E83="有",(I83/B83+J83+Z83/B83)/(0.99999-K83-L83-M83-N83),(I83/B83+J83+Z83/B83)/(0.99999-K83-M83-N83))</f>
        <v>26.1771322792154</v>
      </c>
      <c r="G83" s="198">
        <f>IF(E83="有",(I83/B83+J83+Z83/B83)/(0.8-K83-L83-M83-N83-O83-P83),(I83/B83+J83+Z83/B83)/(0.8-K83-M83-N83-O83-P83))</f>
        <v>46.3218703163682</v>
      </c>
      <c r="H83" s="199">
        <f>H82*0.9</f>
        <v>35.991</v>
      </c>
      <c r="I83" s="198">
        <f>80.4/1.13</f>
        <v>71.1504424778761</v>
      </c>
      <c r="J83" s="15">
        <v>3.95</v>
      </c>
      <c r="K83" s="200">
        <v>0.15</v>
      </c>
      <c r="L83" s="200">
        <v>0.16</v>
      </c>
      <c r="M83" s="200">
        <v>0.05</v>
      </c>
      <c r="N83" s="200">
        <f>Q83/H83</f>
        <v>0.11113889583507</v>
      </c>
      <c r="O83" s="201">
        <v>0.01</v>
      </c>
      <c r="P83" s="200">
        <v>0.02</v>
      </c>
      <c r="Q83" s="198">
        <v>4</v>
      </c>
      <c r="R83" s="14"/>
      <c r="S83" s="14"/>
      <c r="T83" s="14"/>
      <c r="U83" s="14"/>
      <c r="V83" s="198"/>
      <c r="W83" s="198"/>
      <c r="X83" s="15" t="s">
        <v>21</v>
      </c>
      <c r="Y83" s="202">
        <v>5.55136</v>
      </c>
      <c r="Z83" s="203">
        <v>8</v>
      </c>
      <c r="AA83" s="198">
        <f>H83-SUM(K83:P83)*H83-J83-I83/B83-Z83/B83</f>
        <v>4.11070469026549</v>
      </c>
      <c r="AB83" s="201">
        <f>AA83/H83</f>
        <v>0.114214795095037</v>
      </c>
      <c r="AC83" s="14"/>
      <c r="AD83" s="204">
        <f>J83/H83</f>
        <v>0.109749659637132</v>
      </c>
      <c r="AE83" s="200">
        <f>I83/B83/H83</f>
        <v>0.247111925473994</v>
      </c>
      <c r="AF83" s="200">
        <f>Z83/B83/H83</f>
        <v>0.0277847239587675</v>
      </c>
      <c r="AG83" s="200">
        <f>K83</f>
        <v>0.15</v>
      </c>
      <c r="AH83" s="200">
        <f>N83</f>
        <v>0.11113889583507</v>
      </c>
      <c r="AI83" s="200">
        <v>0.02</v>
      </c>
      <c r="AJ83" s="200">
        <f>M83</f>
        <v>0.05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</row>
    <row r="84" ht="11.4" spans="1:75">
      <c r="A84" s="207" t="s">
        <v>302</v>
      </c>
      <c r="B84" s="15">
        <v>8</v>
      </c>
      <c r="C84" s="15" t="s">
        <v>289</v>
      </c>
      <c r="D84" s="15" t="s">
        <v>290</v>
      </c>
      <c r="E84" s="15" t="s">
        <v>281</v>
      </c>
      <c r="F84" s="198">
        <f>IF(E84="有",(I84/B84+J84+Z84/B84)/(0.99999-K84-L84-M84-N84),(I84/B84+J84+Z84/B84)/(0.99999-K84-M84-N84))</f>
        <v>26.5047806061283</v>
      </c>
      <c r="G84" s="198">
        <f>IF(E84="有",(I84/B84+J84+Z84/B84)/(0.8-K84-L84-M84-N84-O84-P84),(I84/B84+J84+Z84/B84)/(0.8-K84-M84-N84-O84-P84))</f>
        <v>47.3578219512415</v>
      </c>
      <c r="H84" s="208">
        <f>H82*0.85</f>
        <v>33.9915</v>
      </c>
      <c r="I84" s="198">
        <f>80.4/1.13</f>
        <v>71.1504424778761</v>
      </c>
      <c r="J84" s="15">
        <v>3.95</v>
      </c>
      <c r="K84" s="200">
        <v>0.15</v>
      </c>
      <c r="L84" s="200">
        <v>0.16</v>
      </c>
      <c r="M84" s="200">
        <v>0.05</v>
      </c>
      <c r="N84" s="200">
        <f>Q84/H84</f>
        <v>0.117676477943015</v>
      </c>
      <c r="O84" s="201">
        <v>0.01</v>
      </c>
      <c r="P84" s="200">
        <v>0.02</v>
      </c>
      <c r="Q84" s="198">
        <v>4</v>
      </c>
      <c r="R84" s="14"/>
      <c r="S84" s="14"/>
      <c r="T84" s="14"/>
      <c r="U84" s="14"/>
      <c r="V84" s="198"/>
      <c r="W84" s="198"/>
      <c r="X84" s="15" t="s">
        <v>21</v>
      </c>
      <c r="Y84" s="202">
        <v>5.55136</v>
      </c>
      <c r="Z84" s="203">
        <v>8</v>
      </c>
      <c r="AA84" s="198">
        <f>H84-SUM(K84:P84)*H84-J84-I84/B84-Z84/B84</f>
        <v>2.89100969026549</v>
      </c>
      <c r="AB84" s="201">
        <f>AA84/H84</f>
        <v>0.0850509595123924</v>
      </c>
      <c r="AC84" s="14"/>
      <c r="AD84" s="204">
        <f>J84/H84</f>
        <v>0.116205521968727</v>
      </c>
      <c r="AE84" s="200">
        <f>I84/B84/H84</f>
        <v>0.261647921090111</v>
      </c>
      <c r="AF84" s="200">
        <f>Z84/B84/H84</f>
        <v>0.0294191194857538</v>
      </c>
      <c r="AG84" s="200">
        <f>K84</f>
        <v>0.15</v>
      </c>
      <c r="AH84" s="200">
        <f>N84</f>
        <v>0.117676477943015</v>
      </c>
      <c r="AI84" s="200">
        <v>0.02</v>
      </c>
      <c r="AJ84" s="200">
        <f>M84</f>
        <v>0.05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</row>
    <row r="85" ht="11.4" spans="1:75">
      <c r="A85" s="207" t="s">
        <v>303</v>
      </c>
      <c r="B85" s="15">
        <v>8</v>
      </c>
      <c r="C85" s="15" t="s">
        <v>289</v>
      </c>
      <c r="D85" s="15" t="s">
        <v>290</v>
      </c>
      <c r="E85" s="15" t="s">
        <v>281</v>
      </c>
      <c r="F85" s="198">
        <f>IF(E85="有",(I85/B85+J85+Z85/B85)/(0.99999-K85-L85-M85-N85),(I85/B85+J85+Z85/B85)/(0.99999-K85-M85-N85))</f>
        <v>26.8833290429826</v>
      </c>
      <c r="G85" s="198">
        <f>IF(E85="有",(I85/B85+J85+Z85/B85)/(0.8-K85-L85-M85-N85-O85-P85),(I85/B85+J85+Z85/B85)/(0.8-K85-M85-N85-O85-P85))</f>
        <v>48.5800835683257</v>
      </c>
      <c r="H85" s="199">
        <f>H82*0.8</f>
        <v>31.992</v>
      </c>
      <c r="I85" s="198">
        <f>80.4/1.13</f>
        <v>71.1504424778761</v>
      </c>
      <c r="J85" s="15">
        <v>3.95</v>
      </c>
      <c r="K85" s="200">
        <v>0.15</v>
      </c>
      <c r="L85" s="200">
        <v>0.16</v>
      </c>
      <c r="M85" s="200">
        <v>0.05</v>
      </c>
      <c r="N85" s="200">
        <f>Q85/H85</f>
        <v>0.125031257814454</v>
      </c>
      <c r="O85" s="201">
        <v>0.01</v>
      </c>
      <c r="P85" s="200">
        <v>0.02</v>
      </c>
      <c r="Q85" s="198">
        <v>4</v>
      </c>
      <c r="R85" s="14"/>
      <c r="S85" s="14"/>
      <c r="T85" s="14"/>
      <c r="U85" s="14"/>
      <c r="V85" s="198"/>
      <c r="W85" s="198"/>
      <c r="X85" s="15" t="s">
        <v>21</v>
      </c>
      <c r="Y85" s="202">
        <v>5.55136</v>
      </c>
      <c r="Z85" s="203">
        <v>8</v>
      </c>
      <c r="AA85" s="198">
        <f>H85-SUM(K85:P85)*H85-J85-I85/B85-Z85/B85</f>
        <v>1.67131469026549</v>
      </c>
      <c r="AB85" s="201">
        <f>AA85/H85</f>
        <v>0.052241644481917</v>
      </c>
      <c r="AC85" s="14"/>
      <c r="AD85" s="204">
        <f>J85/H85</f>
        <v>0.123468367091773</v>
      </c>
      <c r="AE85" s="200">
        <f>I85/7.4/H85</f>
        <v>0.300541530981884</v>
      </c>
      <c r="AF85" s="200">
        <f>Z85/7.4/H85</f>
        <v>0.0337922318417442</v>
      </c>
      <c r="AG85" s="200">
        <v>0.15</v>
      </c>
      <c r="AH85" s="200">
        <f>N85</f>
        <v>0.125031257814454</v>
      </c>
      <c r="AI85" s="200">
        <v>0.02</v>
      </c>
      <c r="AJ85" s="200">
        <f>M85</f>
        <v>0.05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</row>
    <row r="86" ht="21" customHeight="1" spans="1:75">
      <c r="E86" s="15"/>
      <c r="F86" s="198"/>
      <c r="G86" s="198"/>
      <c r="H86" s="15"/>
      <c r="I86" s="198"/>
      <c r="J86" s="15"/>
      <c r="K86" s="200"/>
      <c r="L86" s="200"/>
      <c r="M86" s="200"/>
      <c r="N86" s="200"/>
      <c r="O86" s="201"/>
      <c r="P86" s="200"/>
      <c r="Q86" s="200"/>
      <c r="R86" s="14"/>
      <c r="S86" s="14"/>
      <c r="T86" s="14"/>
      <c r="U86" s="14"/>
      <c r="V86" s="198"/>
      <c r="W86" s="198"/>
      <c r="X86" s="15"/>
      <c r="Y86" s="202"/>
      <c r="Z86" s="198"/>
      <c r="AA86" s="198"/>
      <c r="AB86" s="201"/>
      <c r="AC86" s="14"/>
      <c r="AD86" s="204"/>
      <c r="AE86" s="200"/>
      <c r="AF86" s="200"/>
      <c r="AG86" s="200"/>
      <c r="AH86" s="200"/>
      <c r="AI86" s="200"/>
      <c r="AJ86" s="200"/>
    </row>
    <row r="87" ht="11.4" spans="1:75">
      <c r="A87" s="197" t="s">
        <v>304</v>
      </c>
      <c r="B87" s="15">
        <v>8</v>
      </c>
      <c r="C87" s="15" t="s">
        <v>279</v>
      </c>
      <c r="D87" s="15" t="s">
        <v>280</v>
      </c>
      <c r="E87" s="15" t="s">
        <v>281</v>
      </c>
      <c r="F87" s="198">
        <f>IF(E87="有",(I87/B87+J87+Z87/B87)/(0.99999-K87-L87-M87-N87),(I87/B87+J87+Z87/B87)/(0.99999-K87-M87-N87))</f>
        <v>54.8769915899805</v>
      </c>
      <c r="G87" s="198">
        <f>IF(E87="有",(I87/B87+J87+Z87/B87)/(0.8-K87-L87-M87-N87-O87-P87),(I87/B87+J87+Z87/B87)/(0.8-K87-M87-N87-O87-P87))</f>
        <v>98.0500031753249</v>
      </c>
      <c r="H87" s="199">
        <v>84.99</v>
      </c>
      <c r="I87" s="198">
        <f>208/1.13</f>
        <v>184.070796460177</v>
      </c>
      <c r="J87" s="14">
        <v>4.03</v>
      </c>
      <c r="K87" s="200">
        <v>0.15</v>
      </c>
      <c r="L87" s="200">
        <v>0.16</v>
      </c>
      <c r="M87" s="200">
        <v>0.05</v>
      </c>
      <c r="N87" s="200">
        <f>Q87/H87</f>
        <v>0.117660901282504</v>
      </c>
      <c r="O87" s="201">
        <v>0.01</v>
      </c>
      <c r="P87" s="200">
        <v>0.02</v>
      </c>
      <c r="Q87" s="198">
        <v>10</v>
      </c>
      <c r="R87" s="14"/>
      <c r="S87" s="14"/>
      <c r="T87" s="14"/>
      <c r="U87" s="14"/>
      <c r="V87" s="198"/>
      <c r="W87" s="198"/>
      <c r="X87" s="14" t="s">
        <v>21</v>
      </c>
      <c r="Y87" s="202">
        <v>5.55136</v>
      </c>
      <c r="Z87" s="203">
        <v>13</v>
      </c>
      <c r="AA87" s="198">
        <f>H87-SUM(K87:P87)*H87-J87-I87/B87-Z87/B87</f>
        <v>13.1800504424779</v>
      </c>
      <c r="AB87" s="201">
        <f>AA87/H87</f>
        <v>0.155077661401081</v>
      </c>
      <c r="AC87" s="14"/>
      <c r="AD87" s="204">
        <f>J87/H87</f>
        <v>0.047417343216849</v>
      </c>
      <c r="AE87" s="200">
        <f>I87/7.4/H87</f>
        <v>0.292674808260713</v>
      </c>
      <c r="AF87" s="200">
        <f>Z87/7.4/H87</f>
        <v>0.0206701583334128</v>
      </c>
      <c r="AG87" s="200">
        <v>0.15</v>
      </c>
      <c r="AH87" s="200">
        <f>N87</f>
        <v>0.117660901282504</v>
      </c>
      <c r="AI87" s="200">
        <v>0.02</v>
      </c>
      <c r="AJ87" s="200">
        <f>M87</f>
        <v>0.05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</row>
    <row r="88" ht="11.4" spans="1:75">
      <c r="A88" s="197" t="s">
        <v>305</v>
      </c>
      <c r="B88" s="15">
        <v>8</v>
      </c>
      <c r="C88" s="15" t="s">
        <v>279</v>
      </c>
      <c r="D88" s="15" t="s">
        <v>280</v>
      </c>
      <c r="E88" s="15" t="s">
        <v>281</v>
      </c>
      <c r="F88" s="198">
        <f>IF(E88="有",(I88/B88+J88+Z88/B88)/(0.99999-K88-L88-M88-N88),(I88/B88+J88+Z88/B88)/(0.99999-K88-M88-N88))</f>
        <v>56.2857745410058</v>
      </c>
      <c r="G88" s="198">
        <f>IF(E88="有",(I88/B88+J88+Z88/B88)/(0.8-K88-L88-M88-N88-O88-P88),(I88/B88+J88+Z88/B88)/(0.8-K88-M88-N88-O88-P88))</f>
        <v>102.640077621851</v>
      </c>
      <c r="H88" s="199">
        <f>H87*0.9</f>
        <v>76.491</v>
      </c>
      <c r="I88" s="198">
        <f>208/1.13</f>
        <v>184.070796460177</v>
      </c>
      <c r="J88" s="15">
        <v>4.03</v>
      </c>
      <c r="K88" s="200">
        <v>0.15</v>
      </c>
      <c r="L88" s="200">
        <v>0.16</v>
      </c>
      <c r="M88" s="200">
        <v>0.05</v>
      </c>
      <c r="N88" s="200">
        <f>Q88/H88</f>
        <v>0.130734334758338</v>
      </c>
      <c r="O88" s="201">
        <v>0.01</v>
      </c>
      <c r="P88" s="200">
        <v>0.02</v>
      </c>
      <c r="Q88" s="198">
        <v>10</v>
      </c>
      <c r="R88" s="14"/>
      <c r="S88" s="14"/>
      <c r="T88" s="14"/>
      <c r="U88" s="14"/>
      <c r="V88" s="198"/>
      <c r="W88" s="198"/>
      <c r="X88" s="15" t="s">
        <v>21</v>
      </c>
      <c r="Y88" s="202">
        <v>5.55136</v>
      </c>
      <c r="Z88" s="203">
        <v>13</v>
      </c>
      <c r="AA88" s="198">
        <f>H88-SUM(K88:P88)*H88-J88-I88/B88-Z88/B88</f>
        <v>7.99566044247787</v>
      </c>
      <c r="AB88" s="201">
        <f>AA88/H88</f>
        <v>0.10453073489009</v>
      </c>
      <c r="AC88" s="14"/>
      <c r="AD88" s="204">
        <f>J88/H88</f>
        <v>0.0526859369076101</v>
      </c>
      <c r="AE88" s="200">
        <f>I88/B88/H88</f>
        <v>0.300804664045733</v>
      </c>
      <c r="AF88" s="200">
        <f>Z88/B88/H88</f>
        <v>0.0212443293982299</v>
      </c>
      <c r="AG88" s="200">
        <f>K88</f>
        <v>0.15</v>
      </c>
      <c r="AH88" s="200">
        <f>N88</f>
        <v>0.130734334758338</v>
      </c>
      <c r="AI88" s="200">
        <v>0.02</v>
      </c>
      <c r="AJ88" s="200">
        <f>M88</f>
        <v>0.05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</row>
    <row r="89" ht="11.4" spans="1:75">
      <c r="A89" s="197" t="s">
        <v>306</v>
      </c>
      <c r="B89" s="15">
        <v>8</v>
      </c>
      <c r="C89" s="15" t="s">
        <v>279</v>
      </c>
      <c r="D89" s="15" t="s">
        <v>280</v>
      </c>
      <c r="E89" s="15" t="s">
        <v>281</v>
      </c>
      <c r="F89" s="198">
        <f>IF(E89="有",(I89/B89+J89+Z89/B89)/(0.99999-K89-L89-M89-N89),(I89/B89+J89+Z89/B89)/(0.99999-K89-M89-N89))</f>
        <v>57.1487765531898</v>
      </c>
      <c r="G89" s="198">
        <f>IF(E89="有",(I89/B89+J89+Z89/B89)/(0.8-K89-L89-M89-N89-O89-P89),(I89/B89+J89+Z89/B89)/(0.8-K89-M89-N89-O89-P89))</f>
        <v>105.546557144165</v>
      </c>
      <c r="H89" s="208">
        <f>H87*0.85</f>
        <v>72.2415</v>
      </c>
      <c r="I89" s="198">
        <f>208/1.13</f>
        <v>184.070796460177</v>
      </c>
      <c r="J89" s="15">
        <v>4.03</v>
      </c>
      <c r="K89" s="200">
        <v>0.15</v>
      </c>
      <c r="L89" s="200">
        <v>0.16</v>
      </c>
      <c r="M89" s="200">
        <v>0.05</v>
      </c>
      <c r="N89" s="200">
        <f>Q89/H89</f>
        <v>0.138424589744122</v>
      </c>
      <c r="O89" s="201">
        <v>0.01</v>
      </c>
      <c r="P89" s="200">
        <v>0.02</v>
      </c>
      <c r="Q89" s="198">
        <v>10</v>
      </c>
      <c r="R89" s="14"/>
      <c r="S89" s="14"/>
      <c r="T89" s="14"/>
      <c r="U89" s="14"/>
      <c r="V89" s="198"/>
      <c r="W89" s="198"/>
      <c r="X89" s="15" t="s">
        <v>21</v>
      </c>
      <c r="Y89" s="202">
        <v>5.55136</v>
      </c>
      <c r="Z89" s="203">
        <v>13</v>
      </c>
      <c r="AA89" s="198">
        <f>H89-SUM(K89:P89)*H89-J89-I89/B89-Z89/B89</f>
        <v>5.40346544247786</v>
      </c>
      <c r="AB89" s="201">
        <f>AA89/H89</f>
        <v>0.0747972487071539</v>
      </c>
      <c r="AC89" s="14"/>
      <c r="AD89" s="204">
        <f>J89/H89</f>
        <v>0.0557851096668812</v>
      </c>
      <c r="AE89" s="200">
        <f>I89/B89/H89</f>
        <v>0.318499056048423</v>
      </c>
      <c r="AF89" s="200">
        <f>Z89/B89/H89</f>
        <v>0.0224939958334199</v>
      </c>
      <c r="AG89" s="200">
        <f>K89</f>
        <v>0.15</v>
      </c>
      <c r="AH89" s="200">
        <f>N89</f>
        <v>0.138424589744122</v>
      </c>
      <c r="AI89" s="200">
        <v>0.02</v>
      </c>
      <c r="AJ89" s="200">
        <f>M89</f>
        <v>0.05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</row>
    <row r="90" ht="11.4" spans="1:75">
      <c r="A90" s="197" t="s">
        <v>307</v>
      </c>
      <c r="B90" s="15">
        <v>8</v>
      </c>
      <c r="C90" s="15" t="s">
        <v>279</v>
      </c>
      <c r="D90" s="15" t="s">
        <v>280</v>
      </c>
      <c r="E90" s="15" t="s">
        <v>281</v>
      </c>
      <c r="F90" s="198">
        <f>IF(E90="有",(I90/B90+J90+Z90/B90)/(0.99999-K90-L90-M90-N90),(I90/B90+J90+Z90/B90)/(0.99999-K90-M90-N90))</f>
        <v>58.1518417406024</v>
      </c>
      <c r="G90" s="198">
        <f>IF(E90="有",(I90/B90+J90+Z90/B90)/(0.8-K90-L90-M90-N90-O90-P90),(I90/B90+J90+Z90/B90)/(0.8-K90-M90-N90-O90-P90))</f>
        <v>109.019577367383</v>
      </c>
      <c r="H90" s="199">
        <f>H87*0.8</f>
        <v>67.992</v>
      </c>
      <c r="I90" s="198">
        <f>208/1.13</f>
        <v>184.070796460177</v>
      </c>
      <c r="J90" s="15">
        <v>4.03</v>
      </c>
      <c r="K90" s="200">
        <v>0.15</v>
      </c>
      <c r="L90" s="200">
        <v>0.16</v>
      </c>
      <c r="M90" s="200">
        <v>0.05</v>
      </c>
      <c r="N90" s="200">
        <f>Q90/H90</f>
        <v>0.14707612660313</v>
      </c>
      <c r="O90" s="201">
        <v>0.01</v>
      </c>
      <c r="P90" s="200">
        <v>0.02</v>
      </c>
      <c r="Q90" s="198">
        <v>10</v>
      </c>
      <c r="R90" s="14"/>
      <c r="S90" s="14"/>
      <c r="T90" s="14"/>
      <c r="U90" s="14"/>
      <c r="V90" s="198"/>
      <c r="W90" s="198"/>
      <c r="X90" s="15" t="s">
        <v>21</v>
      </c>
      <c r="Y90" s="202">
        <v>5.55136</v>
      </c>
      <c r="Z90" s="203">
        <v>13</v>
      </c>
      <c r="AA90" s="198">
        <f>H90-SUM(K90:P90)*H90-J90-I90/B90-Z90/B90</f>
        <v>2.81127044247788</v>
      </c>
      <c r="AB90" s="201">
        <f>AA90/H90</f>
        <v>0.0413470767513513</v>
      </c>
      <c r="AC90" s="14"/>
      <c r="AD90" s="204">
        <f>J90/H90</f>
        <v>0.0592716790210613</v>
      </c>
      <c r="AE90" s="200">
        <f>I90/7.4/H90</f>
        <v>0.365843510325891</v>
      </c>
      <c r="AF90" s="200">
        <f>Z90/7.4/H90</f>
        <v>0.025837697916766</v>
      </c>
      <c r="AG90" s="200">
        <v>0.15</v>
      </c>
      <c r="AH90" s="200">
        <f>N90</f>
        <v>0.14707612660313</v>
      </c>
      <c r="AI90" s="200">
        <v>0.02</v>
      </c>
      <c r="AJ90" s="200">
        <f>M90</f>
        <v>0.05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</row>
    <row r="91" ht="21" customHeight="1" spans="1:75">
      <c r="A91" s="1"/>
      <c r="B91" s="1"/>
      <c r="C91" s="1"/>
      <c r="D91" s="1"/>
      <c r="E91" s="15"/>
      <c r="F91" s="198"/>
      <c r="G91" s="198"/>
      <c r="H91" s="15"/>
      <c r="I91" s="198"/>
      <c r="J91" s="15"/>
      <c r="K91" s="200"/>
      <c r="L91" s="200"/>
      <c r="M91" s="200"/>
      <c r="N91" s="200"/>
      <c r="O91" s="201"/>
      <c r="P91" s="200"/>
      <c r="Q91" s="200"/>
      <c r="R91" s="14"/>
      <c r="S91" s="14"/>
      <c r="T91" s="14"/>
      <c r="U91" s="14"/>
      <c r="V91" s="198"/>
      <c r="W91" s="198"/>
      <c r="X91" s="15"/>
      <c r="Y91" s="202"/>
      <c r="Z91" s="198"/>
      <c r="AA91" s="198"/>
      <c r="AB91" s="201"/>
      <c r="AC91" s="14"/>
      <c r="AD91" s="204"/>
      <c r="AE91" s="200"/>
      <c r="AF91" s="200"/>
      <c r="AG91" s="200"/>
      <c r="AH91" s="200"/>
      <c r="AI91" s="200"/>
      <c r="AJ91" s="200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</row>
    <row r="92" ht="11.4" spans="1:75">
      <c r="A92" s="206" t="s">
        <v>304</v>
      </c>
      <c r="B92" s="15">
        <v>8</v>
      </c>
      <c r="C92" s="14" t="s">
        <v>284</v>
      </c>
      <c r="D92" s="14" t="s">
        <v>285</v>
      </c>
      <c r="E92" s="15" t="s">
        <v>281</v>
      </c>
      <c r="F92" s="198">
        <f>IF(E92="有",(I92/B92+J92+Z92/B92)/(0.99999-K92-L92-M92-N92),(I92/B92+J92+Z92/B92)/(0.99999-K92-M92-N92))</f>
        <v>58.399674903083</v>
      </c>
      <c r="G92" s="198">
        <f>IF(E92="有",(I92/B92+J92+Z92/B92)/(0.8-K92-L92-M92-N92-O92-P92),(I92/B92+J92+Z92/B92)/(0.8-K92-M92-N92-O92-P92))</f>
        <v>104.344063764798</v>
      </c>
      <c r="H92" s="199">
        <v>84.99</v>
      </c>
      <c r="I92" s="198">
        <f>208/1.13</f>
        <v>184.070796460177</v>
      </c>
      <c r="J92" s="14">
        <v>5.87</v>
      </c>
      <c r="K92" s="200">
        <v>0.15</v>
      </c>
      <c r="L92" s="200">
        <v>0.16</v>
      </c>
      <c r="M92" s="200">
        <v>0.05</v>
      </c>
      <c r="N92" s="200">
        <f>Q92/H92</f>
        <v>0.117660901282504</v>
      </c>
      <c r="O92" s="201">
        <v>0.01</v>
      </c>
      <c r="P92" s="200">
        <v>0.02</v>
      </c>
      <c r="Q92" s="198">
        <v>10</v>
      </c>
      <c r="R92" s="14"/>
      <c r="S92" s="14"/>
      <c r="T92" s="14"/>
      <c r="U92" s="14"/>
      <c r="V92" s="198"/>
      <c r="W92" s="198"/>
      <c r="X92" s="14" t="s">
        <v>21</v>
      </c>
      <c r="Y92" s="202">
        <v>5.55136</v>
      </c>
      <c r="Z92" s="203">
        <v>13</v>
      </c>
      <c r="AA92" s="198">
        <f>H92-SUM(K92:P92)*H92-J92-I92/B92-Z92/B92</f>
        <v>11.3400504424779</v>
      </c>
      <c r="AB92" s="201">
        <f>AA92/H92</f>
        <v>0.1334280555651</v>
      </c>
      <c r="AC92" s="14"/>
      <c r="AD92" s="204">
        <f>J92/H92</f>
        <v>0.0690669490528298</v>
      </c>
      <c r="AE92" s="200">
        <f>I92/7.4/H92</f>
        <v>0.292674808260713</v>
      </c>
      <c r="AF92" s="200">
        <f>Z92/7.4/H92</f>
        <v>0.0206701583334128</v>
      </c>
      <c r="AG92" s="200">
        <v>0.15</v>
      </c>
      <c r="AH92" s="200">
        <f>N92</f>
        <v>0.117660901282504</v>
      </c>
      <c r="AI92" s="200">
        <v>0.02</v>
      </c>
      <c r="AJ92" s="200">
        <f>M92</f>
        <v>0.05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</row>
    <row r="93" ht="11.4" spans="1:75">
      <c r="A93" s="197" t="s">
        <v>305</v>
      </c>
      <c r="B93" s="15">
        <v>8</v>
      </c>
      <c r="C93" s="15" t="s">
        <v>284</v>
      </c>
      <c r="D93" s="15" t="s">
        <v>285</v>
      </c>
      <c r="E93" s="15" t="s">
        <v>281</v>
      </c>
      <c r="F93" s="198">
        <f>IF(E93="有",(I93/B93+J93+Z93/B93)/(0.99999-K93-L93-M93-N93),(I93/B93+J93+Z93/B93)/(0.99999-K93-M93-N93))</f>
        <v>59.8988909491008</v>
      </c>
      <c r="G93" s="198">
        <f>IF(E93="有",(I93/B93+J93+Z93/B93)/(0.8-K93-L93-M93-N93-O93-P93),(I93/B93+J93+Z93/B93)/(0.8-K93-M93-N93-O93-P93))</f>
        <v>109.228785898638</v>
      </c>
      <c r="H93" s="199">
        <f>H92*0.9</f>
        <v>76.491</v>
      </c>
      <c r="I93" s="198">
        <f>208/1.13</f>
        <v>184.070796460177</v>
      </c>
      <c r="J93" s="15">
        <v>5.87</v>
      </c>
      <c r="K93" s="200">
        <v>0.15</v>
      </c>
      <c r="L93" s="200">
        <v>0.16</v>
      </c>
      <c r="M93" s="200">
        <v>0.05</v>
      </c>
      <c r="N93" s="200">
        <f>Q93/H93</f>
        <v>0.130734334758338</v>
      </c>
      <c r="O93" s="201">
        <v>0.01</v>
      </c>
      <c r="P93" s="200">
        <v>0.02</v>
      </c>
      <c r="Q93" s="198">
        <v>10</v>
      </c>
      <c r="R93" s="14"/>
      <c r="S93" s="14"/>
      <c r="T93" s="14"/>
      <c r="U93" s="14"/>
      <c r="V93" s="198"/>
      <c r="W93" s="198"/>
      <c r="X93" s="15" t="s">
        <v>21</v>
      </c>
      <c r="Y93" s="202">
        <v>5.55136</v>
      </c>
      <c r="Z93" s="203">
        <v>13</v>
      </c>
      <c r="AA93" s="198">
        <f>H93-SUM(K93:P93)*H93-J93-I93/B93-Z93/B93</f>
        <v>6.15566044247787</v>
      </c>
      <c r="AB93" s="201">
        <f>AA93/H93</f>
        <v>0.0804756172945558</v>
      </c>
      <c r="AC93" s="14"/>
      <c r="AD93" s="204">
        <f>J93/H93</f>
        <v>0.0767410545031442</v>
      </c>
      <c r="AE93" s="200">
        <f>I93/B93/H93</f>
        <v>0.300804664045733</v>
      </c>
      <c r="AF93" s="200">
        <f>Z93/B93/H93</f>
        <v>0.0212443293982299</v>
      </c>
      <c r="AG93" s="200">
        <f>K93</f>
        <v>0.15</v>
      </c>
      <c r="AH93" s="200">
        <f>N93</f>
        <v>0.130734334758338</v>
      </c>
      <c r="AI93" s="200">
        <v>0.02</v>
      </c>
      <c r="AJ93" s="200">
        <f>M93</f>
        <v>0.05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</row>
    <row r="94" ht="11.4" spans="1:75">
      <c r="A94" s="197" t="s">
        <v>306</v>
      </c>
      <c r="B94" s="15">
        <v>8</v>
      </c>
      <c r="C94" s="15" t="s">
        <v>284</v>
      </c>
      <c r="D94" s="15" t="s">
        <v>285</v>
      </c>
      <c r="E94" s="15" t="s">
        <v>281</v>
      </c>
      <c r="F94" s="198">
        <f>IF(E94="有",(I94/B94+J94+Z94/B94)/(0.99999-K94-L94-M94-N94),(I94/B94+J94+Z94/B94)/(0.99999-K94-M94-N94))</f>
        <v>60.8172910926221</v>
      </c>
      <c r="G94" s="198">
        <f>IF(E94="有",(I94/B94+J94+Z94/B94)/(0.8-K94-L94-M94-N94-O94-P94),(I94/B94+J94+Z94/B94)/(0.8-K94-M94-N94-O94-P94))</f>
        <v>112.321839185593</v>
      </c>
      <c r="H94" s="208">
        <f>H92*0.85</f>
        <v>72.2415</v>
      </c>
      <c r="I94" s="198">
        <f>208/1.13</f>
        <v>184.070796460177</v>
      </c>
      <c r="J94" s="15">
        <v>5.87</v>
      </c>
      <c r="K94" s="200">
        <v>0.15</v>
      </c>
      <c r="L94" s="200">
        <v>0.16</v>
      </c>
      <c r="M94" s="200">
        <v>0.05</v>
      </c>
      <c r="N94" s="200">
        <f>Q94/H94</f>
        <v>0.138424589744122</v>
      </c>
      <c r="O94" s="201">
        <v>0.01</v>
      </c>
      <c r="P94" s="200">
        <v>0.02</v>
      </c>
      <c r="Q94" s="198">
        <v>10</v>
      </c>
      <c r="R94" s="14"/>
      <c r="S94" s="14"/>
      <c r="T94" s="14"/>
      <c r="U94" s="14"/>
      <c r="V94" s="198"/>
      <c r="W94" s="198"/>
      <c r="X94" s="15" t="s">
        <v>21</v>
      </c>
      <c r="Y94" s="202">
        <v>5.55136</v>
      </c>
      <c r="Z94" s="203">
        <v>13</v>
      </c>
      <c r="AA94" s="198">
        <f>H94-SUM(K94:P94)*H94-J94-I94/B94-Z94/B94</f>
        <v>3.56346544247786</v>
      </c>
      <c r="AB94" s="201">
        <f>AA94/H94</f>
        <v>0.0493271241942354</v>
      </c>
      <c r="AC94" s="14"/>
      <c r="AD94" s="204">
        <f>J94/H94</f>
        <v>0.0812552341797997</v>
      </c>
      <c r="AE94" s="200">
        <f>I94/B94/H94</f>
        <v>0.318499056048423</v>
      </c>
      <c r="AF94" s="200">
        <f>Z94/B94/H94</f>
        <v>0.0224939958334199</v>
      </c>
      <c r="AG94" s="200">
        <f>K94</f>
        <v>0.15</v>
      </c>
      <c r="AH94" s="200">
        <f>N94</f>
        <v>0.138424589744122</v>
      </c>
      <c r="AI94" s="200">
        <v>0.02</v>
      </c>
      <c r="AJ94" s="200">
        <f>M94</f>
        <v>0.05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</row>
    <row r="95" ht="11.4" spans="1:75">
      <c r="A95" s="197" t="s">
        <v>307</v>
      </c>
      <c r="B95" s="15">
        <v>8</v>
      </c>
      <c r="C95" s="15" t="s">
        <v>284</v>
      </c>
      <c r="D95" s="15" t="s">
        <v>285</v>
      </c>
      <c r="E95" s="15" t="s">
        <v>281</v>
      </c>
      <c r="F95" s="198">
        <f>IF(E95="有",(I95/B95+J95+Z95/B95)/(0.99999-K95-L95-M95-N95),(I95/B95+J95+Z95/B95)/(0.99999-K95-M95-N95))</f>
        <v>61.884745396407</v>
      </c>
      <c r="G95" s="198">
        <f>IF(E95="有",(I95/B95+J95+Z95/B95)/(0.8-K95-L95-M95-N95-O95-P95),(I95/B95+J95+Z95/B95)/(0.8-K95-M95-N95-O95-P95))</f>
        <v>116.017800755119</v>
      </c>
      <c r="H95" s="199">
        <f>H92*0.8</f>
        <v>67.992</v>
      </c>
      <c r="I95" s="198">
        <f>208/1.13</f>
        <v>184.070796460177</v>
      </c>
      <c r="J95" s="15">
        <v>5.87</v>
      </c>
      <c r="K95" s="200">
        <v>0.15</v>
      </c>
      <c r="L95" s="200">
        <v>0.16</v>
      </c>
      <c r="M95" s="200">
        <v>0.05</v>
      </c>
      <c r="N95" s="200">
        <f>Q95/H95</f>
        <v>0.14707612660313</v>
      </c>
      <c r="O95" s="201">
        <v>0.01</v>
      </c>
      <c r="P95" s="200">
        <v>0.02</v>
      </c>
      <c r="Q95" s="198">
        <v>10</v>
      </c>
      <c r="R95" s="14"/>
      <c r="S95" s="14"/>
      <c r="T95" s="14"/>
      <c r="U95" s="14"/>
      <c r="V95" s="198"/>
      <c r="W95" s="198"/>
      <c r="X95" s="15" t="s">
        <v>21</v>
      </c>
      <c r="Y95" s="202">
        <v>5.55136</v>
      </c>
      <c r="Z95" s="203">
        <v>13</v>
      </c>
      <c r="AA95" s="198">
        <f>H95-SUM(K95:P95)*H95-J95-I95/B95-Z95/B95</f>
        <v>0.971270442477877</v>
      </c>
      <c r="AB95" s="201">
        <f>AA95/H95</f>
        <v>0.0142850694563754</v>
      </c>
      <c r="AC95" s="14"/>
      <c r="AD95" s="204">
        <f>J95/H95</f>
        <v>0.0863336863160372</v>
      </c>
      <c r="AE95" s="200">
        <f>I95/7.4/H95</f>
        <v>0.365843510325891</v>
      </c>
      <c r="AF95" s="200">
        <f>Z95/7.4/H95</f>
        <v>0.025837697916766</v>
      </c>
      <c r="AG95" s="200">
        <v>0.15</v>
      </c>
      <c r="AH95" s="200">
        <f>N95</f>
        <v>0.14707612660313</v>
      </c>
      <c r="AI95" s="200">
        <v>0.02</v>
      </c>
      <c r="AJ95" s="200">
        <f>M95</f>
        <v>0.05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</row>
    <row r="96" ht="21" customHeight="1" spans="1:75">
      <c r="A96" s="1"/>
      <c r="B96" s="1"/>
      <c r="C96" s="1"/>
      <c r="D96" s="1"/>
      <c r="E96" s="15"/>
      <c r="F96" s="198"/>
      <c r="G96" s="198"/>
      <c r="H96" s="15"/>
      <c r="I96" s="198"/>
      <c r="J96" s="15"/>
      <c r="K96" s="200"/>
      <c r="L96" s="200"/>
      <c r="M96" s="200"/>
      <c r="N96" s="200"/>
      <c r="O96" s="201"/>
      <c r="P96" s="200"/>
      <c r="Q96" s="200"/>
      <c r="R96" s="14"/>
      <c r="S96" s="14"/>
      <c r="T96" s="14"/>
      <c r="U96" s="14"/>
      <c r="V96" s="198"/>
      <c r="W96" s="198"/>
      <c r="X96" s="15"/>
      <c r="Y96" s="202"/>
      <c r="Z96" s="198"/>
      <c r="AA96" s="198"/>
      <c r="AB96" s="201"/>
      <c r="AC96" s="14"/>
      <c r="AD96" s="204"/>
      <c r="AE96" s="200"/>
      <c r="AF96" s="200"/>
      <c r="AG96" s="200"/>
      <c r="AH96" s="200"/>
      <c r="AI96" s="200"/>
      <c r="AJ96" s="200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</row>
    <row r="97" ht="11.4" spans="1:75">
      <c r="A97" s="206" t="s">
        <v>304</v>
      </c>
      <c r="B97" s="15">
        <v>8</v>
      </c>
      <c r="C97" s="14" t="s">
        <v>286</v>
      </c>
      <c r="D97" s="14" t="s">
        <v>287</v>
      </c>
      <c r="E97" s="15" t="s">
        <v>281</v>
      </c>
      <c r="F97" s="198">
        <f>IF(E97="有",(I97/B97+J97+Z97/B97)/(0.99999-K97-L97-M97-N97),(I97/B97+J97+Z97/B97)/(0.99999-K97-M97-N97))</f>
        <v>57.7104542548673</v>
      </c>
      <c r="G97" s="198">
        <f>IF(E97="有",(I97/B97+J97+Z97/B97)/(0.8-K97-L97-M97-N97-O97-P97),(I97/B97+J97+Z97/B97)/(0.8-K97-M97-N97-O97-P97))</f>
        <v>103.112617127728</v>
      </c>
      <c r="H97" s="199">
        <v>84.99</v>
      </c>
      <c r="I97" s="198">
        <f>208/1.13</f>
        <v>184.070796460177</v>
      </c>
      <c r="J97" s="14">
        <v>5.51</v>
      </c>
      <c r="K97" s="200">
        <v>0.15</v>
      </c>
      <c r="L97" s="200">
        <v>0.16</v>
      </c>
      <c r="M97" s="200">
        <v>0.05</v>
      </c>
      <c r="N97" s="200">
        <f>Q97/H97</f>
        <v>0.117660901282504</v>
      </c>
      <c r="O97" s="201">
        <v>0.01</v>
      </c>
      <c r="P97" s="200">
        <v>0.02</v>
      </c>
      <c r="Q97" s="198">
        <v>10</v>
      </c>
      <c r="R97" s="14"/>
      <c r="S97" s="14"/>
      <c r="T97" s="14"/>
      <c r="U97" s="14"/>
      <c r="V97" s="198"/>
      <c r="W97" s="198"/>
      <c r="X97" s="14" t="s">
        <v>21</v>
      </c>
      <c r="Y97" s="202">
        <v>5.55136</v>
      </c>
      <c r="Z97" s="203">
        <v>13</v>
      </c>
      <c r="AA97" s="198">
        <f>H97-SUM(K97:P97)*H97-J97-I97/B97-Z97/B97</f>
        <v>11.7000504424779</v>
      </c>
      <c r="AB97" s="201">
        <f>AA97/H97</f>
        <v>0.13766384801127</v>
      </c>
      <c r="AC97" s="14"/>
      <c r="AD97" s="204">
        <f>J97/H97</f>
        <v>0.0648311566066596</v>
      </c>
      <c r="AE97" s="200">
        <f>I97/7.4/H97</f>
        <v>0.292674808260713</v>
      </c>
      <c r="AF97" s="200">
        <f>Z97/7.4/H97</f>
        <v>0.0206701583334128</v>
      </c>
      <c r="AG97" s="200">
        <v>0.15</v>
      </c>
      <c r="AH97" s="200">
        <f>N97</f>
        <v>0.117660901282504</v>
      </c>
      <c r="AI97" s="200">
        <v>0.02</v>
      </c>
      <c r="AJ97" s="200">
        <f>M97</f>
        <v>0.05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</row>
    <row r="98" ht="11.4" spans="1:75">
      <c r="A98" s="197" t="s">
        <v>305</v>
      </c>
      <c r="B98" s="15">
        <v>8</v>
      </c>
      <c r="C98" s="15" t="s">
        <v>286</v>
      </c>
      <c r="D98" s="15" t="s">
        <v>287</v>
      </c>
      <c r="E98" s="15" t="s">
        <v>281</v>
      </c>
      <c r="F98" s="198">
        <f>IF(E98="有",(I98/B98+J98+Z98/B98)/(0.99999-K98-L98-M98-N98),(I98/B98+J98+Z98/B98)/(0.99999-K98-M98-N98))</f>
        <v>59.1919768692561</v>
      </c>
      <c r="G98" s="198">
        <f>IF(E98="有",(I98/B98+J98+Z98/B98)/(0.8-K98-L98-M98-N98-O98-P98),(I98/B98+J98+Z98/B98)/(0.8-K98-M98-N98-O98-P98))</f>
        <v>107.939690801005</v>
      </c>
      <c r="H98" s="199">
        <f>H97*0.9</f>
        <v>76.491</v>
      </c>
      <c r="I98" s="198">
        <f>208/1.13</f>
        <v>184.070796460177</v>
      </c>
      <c r="J98" s="15">
        <v>5.51</v>
      </c>
      <c r="K98" s="200">
        <v>0.15</v>
      </c>
      <c r="L98" s="200">
        <v>0.16</v>
      </c>
      <c r="M98" s="200">
        <v>0.05</v>
      </c>
      <c r="N98" s="200">
        <f>Q98/H98</f>
        <v>0.130734334758338</v>
      </c>
      <c r="O98" s="201">
        <v>0.01</v>
      </c>
      <c r="P98" s="200">
        <v>0.02</v>
      </c>
      <c r="Q98" s="198">
        <v>10</v>
      </c>
      <c r="R98" s="14"/>
      <c r="S98" s="14"/>
      <c r="T98" s="14"/>
      <c r="U98" s="14"/>
      <c r="V98" s="198"/>
      <c r="W98" s="198"/>
      <c r="X98" s="15" t="s">
        <v>21</v>
      </c>
      <c r="Y98" s="202">
        <v>5.55136</v>
      </c>
      <c r="Z98" s="203">
        <v>13</v>
      </c>
      <c r="AA98" s="198">
        <f>H98-SUM(K98:P98)*H98-J98-I98/B98-Z98/B98</f>
        <v>6.51566044247787</v>
      </c>
      <c r="AB98" s="201">
        <f>AA98/H98</f>
        <v>0.085182053345856</v>
      </c>
      <c r="AC98" s="14"/>
      <c r="AD98" s="204">
        <f>J98/H98</f>
        <v>0.072034618451844</v>
      </c>
      <c r="AE98" s="200">
        <f>I98/B98/H98</f>
        <v>0.300804664045733</v>
      </c>
      <c r="AF98" s="200">
        <f>Z98/B98/H98</f>
        <v>0.0212443293982299</v>
      </c>
      <c r="AG98" s="200">
        <f>K98</f>
        <v>0.15</v>
      </c>
      <c r="AH98" s="200">
        <f>N98</f>
        <v>0.130734334758338</v>
      </c>
      <c r="AI98" s="200">
        <v>0.02</v>
      </c>
      <c r="AJ98" s="200">
        <f>M98</f>
        <v>0.05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</row>
    <row r="99" ht="11.4" spans="1:75">
      <c r="A99" s="197" t="s">
        <v>306</v>
      </c>
      <c r="B99" s="15">
        <v>8</v>
      </c>
      <c r="C99" s="15" t="s">
        <v>286</v>
      </c>
      <c r="D99" s="15" t="s">
        <v>287</v>
      </c>
      <c r="E99" s="15" t="s">
        <v>281</v>
      </c>
      <c r="F99" s="198">
        <f>IF(E99="有",(I99/B99+J99+Z99/B99)/(0.99999-K99-L99-M99-N99),(I99/B99+J99+Z99/B99)/(0.99999-K99-M99-N99))</f>
        <v>60.0995382479505</v>
      </c>
      <c r="G99" s="198">
        <f>IF(E99="有",(I99/B99+J99+Z99/B99)/(0.8-K99-L99-M99-N99-O99-P99),(I99/B99+J99+Z99/B99)/(0.8-K99-M99-N99-O99-P99))</f>
        <v>110.996240525314</v>
      </c>
      <c r="H99" s="208">
        <f>H97*0.85</f>
        <v>72.2415</v>
      </c>
      <c r="I99" s="198">
        <f>208/1.13</f>
        <v>184.070796460177</v>
      </c>
      <c r="J99" s="15">
        <v>5.51</v>
      </c>
      <c r="K99" s="200">
        <v>0.15</v>
      </c>
      <c r="L99" s="200">
        <v>0.16</v>
      </c>
      <c r="M99" s="200">
        <v>0.05</v>
      </c>
      <c r="N99" s="200">
        <f>Q99/H99</f>
        <v>0.138424589744122</v>
      </c>
      <c r="O99" s="201">
        <v>0.01</v>
      </c>
      <c r="P99" s="200">
        <v>0.02</v>
      </c>
      <c r="Q99" s="198">
        <v>10</v>
      </c>
      <c r="R99" s="14"/>
      <c r="S99" s="14"/>
      <c r="T99" s="14"/>
      <c r="U99" s="14"/>
      <c r="V99" s="198"/>
      <c r="W99" s="198"/>
      <c r="X99" s="15" t="s">
        <v>21</v>
      </c>
      <c r="Y99" s="202">
        <v>5.55136</v>
      </c>
      <c r="Z99" s="203">
        <v>13</v>
      </c>
      <c r="AA99" s="198">
        <f>H99-SUM(K99:P99)*H99-J99-I99/B99-Z99/B99</f>
        <v>3.92346544247786</v>
      </c>
      <c r="AB99" s="201">
        <f>AA99/H99</f>
        <v>0.0543104094250239</v>
      </c>
      <c r="AC99" s="14"/>
      <c r="AD99" s="204">
        <f>J99/H99</f>
        <v>0.0762719489490113</v>
      </c>
      <c r="AE99" s="200">
        <f>I99/B99/H99</f>
        <v>0.318499056048423</v>
      </c>
      <c r="AF99" s="200">
        <f>Z99/B99/H99</f>
        <v>0.0224939958334199</v>
      </c>
      <c r="AG99" s="200">
        <f>K99</f>
        <v>0.15</v>
      </c>
      <c r="AH99" s="200">
        <f>N99</f>
        <v>0.138424589744122</v>
      </c>
      <c r="AI99" s="200">
        <v>0.02</v>
      </c>
      <c r="AJ99" s="200">
        <f>M99</f>
        <v>0.05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</row>
    <row r="100" ht="11.4" spans="1:75">
      <c r="A100" s="197" t="s">
        <v>307</v>
      </c>
      <c r="B100" s="15">
        <v>8</v>
      </c>
      <c r="C100" s="15" t="s">
        <v>286</v>
      </c>
      <c r="D100" s="15" t="s">
        <v>287</v>
      </c>
      <c r="E100" s="15" t="s">
        <v>281</v>
      </c>
      <c r="F100" s="198">
        <f>IF(E100="有",(I100/B100+J100+Z100/B100)/(0.99999-K100-L100-M100-N100),(I100/B100+J100+Z100/B100)/(0.99999-K100-M100-N100))</f>
        <v>61.1543946811409</v>
      </c>
      <c r="G100" s="198">
        <f>IF(E100="有",(I100/B100+J100+Z100/B100)/(0.8-K100-L100-M100-N100-O100-P100),(I100/B100+J100+Z100/B100)/(0.8-K100-M100-N100-O100-P100))</f>
        <v>114.648583135779</v>
      </c>
      <c r="H100" s="199">
        <f>H97*0.8</f>
        <v>67.992</v>
      </c>
      <c r="I100" s="198">
        <f>208/1.13</f>
        <v>184.070796460177</v>
      </c>
      <c r="J100" s="15">
        <v>5.51</v>
      </c>
      <c r="K100" s="200">
        <v>0.15</v>
      </c>
      <c r="L100" s="200">
        <v>0.16</v>
      </c>
      <c r="M100" s="200">
        <v>0.05</v>
      </c>
      <c r="N100" s="200">
        <f>Q100/H100</f>
        <v>0.14707612660313</v>
      </c>
      <c r="O100" s="201">
        <v>0.01</v>
      </c>
      <c r="P100" s="200">
        <v>0.02</v>
      </c>
      <c r="Q100" s="198">
        <v>10</v>
      </c>
      <c r="R100" s="14"/>
      <c r="S100" s="14"/>
      <c r="T100" s="14"/>
      <c r="U100" s="14"/>
      <c r="V100" s="198"/>
      <c r="W100" s="198"/>
      <c r="X100" s="15" t="s">
        <v>21</v>
      </c>
      <c r="Y100" s="202">
        <v>5.55136</v>
      </c>
      <c r="Z100" s="203">
        <v>13</v>
      </c>
      <c r="AA100" s="198">
        <f>H100-SUM(K100:P100)*H100-J100-I100/B100-Z100/B100</f>
        <v>1.33127044247788</v>
      </c>
      <c r="AB100" s="201">
        <f>AA100/H100</f>
        <v>0.0195798100140881</v>
      </c>
      <c r="AC100" s="14"/>
      <c r="AD100" s="204">
        <f>J100/H100</f>
        <v>0.0810389457583245</v>
      </c>
      <c r="AE100" s="200">
        <f>I100/7.4/H100</f>
        <v>0.365843510325891</v>
      </c>
      <c r="AF100" s="200">
        <f>Z100/7.4/H100</f>
        <v>0.025837697916766</v>
      </c>
      <c r="AG100" s="200">
        <v>0.15</v>
      </c>
      <c r="AH100" s="200">
        <f>N100</f>
        <v>0.14707612660313</v>
      </c>
      <c r="AI100" s="200">
        <v>0.02</v>
      </c>
      <c r="AJ100" s="200">
        <f>M100</f>
        <v>0.05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</row>
    <row r="101" ht="21" customHeight="1" spans="1:75">
      <c r="A101" s="1"/>
      <c r="B101" s="1"/>
      <c r="C101" s="1"/>
      <c r="D101" s="1"/>
      <c r="E101" s="15"/>
      <c r="F101" s="198"/>
      <c r="G101" s="198"/>
      <c r="H101" s="15"/>
      <c r="I101" s="198"/>
      <c r="J101" s="15"/>
      <c r="K101" s="200"/>
      <c r="L101" s="200"/>
      <c r="M101" s="200"/>
      <c r="N101" s="200"/>
      <c r="O101" s="201"/>
      <c r="P101" s="200"/>
      <c r="Q101" s="200"/>
      <c r="R101" s="14"/>
      <c r="S101" s="14"/>
      <c r="T101" s="14"/>
      <c r="U101" s="14"/>
      <c r="V101" s="198"/>
      <c r="W101" s="198"/>
      <c r="X101" s="15"/>
      <c r="Y101" s="202"/>
      <c r="Z101" s="198"/>
      <c r="AA101" s="198"/>
      <c r="AB101" s="201"/>
      <c r="AC101" s="14"/>
      <c r="AD101" s="204"/>
      <c r="AE101" s="200"/>
      <c r="AF101" s="200"/>
      <c r="AG101" s="200"/>
      <c r="AH101" s="200"/>
      <c r="AI101" s="200"/>
      <c r="AJ101" s="200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</row>
    <row r="102" ht="11.4" spans="1:75">
      <c r="A102" s="206" t="s">
        <v>304</v>
      </c>
      <c r="B102" s="15">
        <v>8</v>
      </c>
      <c r="C102" s="14" t="s">
        <v>289</v>
      </c>
      <c r="D102" s="14" t="s">
        <v>290</v>
      </c>
      <c r="E102" s="15" t="s">
        <v>281</v>
      </c>
      <c r="F102" s="198">
        <f>IF(E102="有",(I102/B102+J102+Z102/B102)/(0.99999-K102-L102-M102-N102),(I102/B102+J102+Z102/B102)/(0.99999-K102-M102-N102))</f>
        <v>55.2216019140884</v>
      </c>
      <c r="G102" s="198">
        <f>IF(E102="有",(I102/B102+J102+Z102/B102)/(0.8-K102-L102-M102-N102-O102-P102),(I102/B102+J102+Z102/B102)/(0.8-K102-M102-N102-O102-P102))</f>
        <v>98.6657264938604</v>
      </c>
      <c r="H102" s="199">
        <v>84.99</v>
      </c>
      <c r="I102" s="198">
        <f>208/1.13</f>
        <v>184.070796460177</v>
      </c>
      <c r="J102" s="14">
        <v>4.21</v>
      </c>
      <c r="K102" s="200">
        <v>0.15</v>
      </c>
      <c r="L102" s="200">
        <v>0.16</v>
      </c>
      <c r="M102" s="200">
        <v>0.05</v>
      </c>
      <c r="N102" s="200">
        <f>Q102/H102</f>
        <v>0.117660901282504</v>
      </c>
      <c r="O102" s="201">
        <v>0.01</v>
      </c>
      <c r="P102" s="200">
        <v>0.02</v>
      </c>
      <c r="Q102" s="198">
        <v>10</v>
      </c>
      <c r="R102" s="14"/>
      <c r="S102" s="14"/>
      <c r="T102" s="14"/>
      <c r="U102" s="14"/>
      <c r="V102" s="198"/>
      <c r="W102" s="198"/>
      <c r="X102" s="14" t="s">
        <v>21</v>
      </c>
      <c r="Y102" s="202">
        <v>5.55136</v>
      </c>
      <c r="Z102" s="203">
        <v>13</v>
      </c>
      <c r="AA102" s="198">
        <f>H102-SUM(K102:P102)*H102-J102-I102/B102-Z102/B102</f>
        <v>13.0000504424779</v>
      </c>
      <c r="AB102" s="201">
        <f>AA102/H102</f>
        <v>0.152959765177996</v>
      </c>
      <c r="AC102" s="14"/>
      <c r="AD102" s="204">
        <f>J102/H102</f>
        <v>0.0495352394399341</v>
      </c>
      <c r="AE102" s="200">
        <f>I102/7.4/H102</f>
        <v>0.292674808260713</v>
      </c>
      <c r="AF102" s="200">
        <f>Z102/7.4/H102</f>
        <v>0.0206701583334128</v>
      </c>
      <c r="AG102" s="200">
        <v>0.15</v>
      </c>
      <c r="AH102" s="200">
        <f>N102</f>
        <v>0.117660901282504</v>
      </c>
      <c r="AI102" s="200">
        <v>0.02</v>
      </c>
      <c r="AJ102" s="200">
        <f>M102</f>
        <v>0.05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</row>
    <row r="103" ht="11.4" spans="1:75">
      <c r="A103" s="197" t="s">
        <v>305</v>
      </c>
      <c r="B103" s="15">
        <v>8</v>
      </c>
      <c r="C103" s="15" t="s">
        <v>289</v>
      </c>
      <c r="D103" s="15" t="s">
        <v>290</v>
      </c>
      <c r="E103" s="15" t="s">
        <v>281</v>
      </c>
      <c r="F103" s="198">
        <f>IF(E103="有",(I103/B103+J103+Z103/B103)/(0.99999-K103-L103-M103-N103),(I103/B103+J103+Z103/B103)/(0.99999-K103-M103-N103))</f>
        <v>56.6392315809281</v>
      </c>
      <c r="G103" s="198">
        <f>IF(E103="有",(I103/B103+J103+Z103/B103)/(0.8-K103-L103-M103-N103-O103-P103),(I103/B103+J103+Z103/B103)/(0.8-K103-M103-N103-O103-P103))</f>
        <v>103.284625170667</v>
      </c>
      <c r="H103" s="199">
        <f>H102*0.9</f>
        <v>76.491</v>
      </c>
      <c r="I103" s="198">
        <f>208/1.13</f>
        <v>184.070796460177</v>
      </c>
      <c r="J103" s="14">
        <v>4.21</v>
      </c>
      <c r="K103" s="200">
        <v>0.15</v>
      </c>
      <c r="L103" s="200">
        <v>0.16</v>
      </c>
      <c r="M103" s="200">
        <v>0.05</v>
      </c>
      <c r="N103" s="200">
        <f>Q103/H103</f>
        <v>0.130734334758338</v>
      </c>
      <c r="O103" s="201">
        <v>0.01</v>
      </c>
      <c r="P103" s="200">
        <v>0.02</v>
      </c>
      <c r="Q103" s="198">
        <v>10</v>
      </c>
      <c r="R103" s="14"/>
      <c r="S103" s="14"/>
      <c r="T103" s="14"/>
      <c r="U103" s="14"/>
      <c r="V103" s="198"/>
      <c r="W103" s="198"/>
      <c r="X103" s="15" t="s">
        <v>21</v>
      </c>
      <c r="Y103" s="202">
        <v>5.55136</v>
      </c>
      <c r="Z103" s="203">
        <v>13</v>
      </c>
      <c r="AA103" s="198">
        <f>H103-SUM(K103:P103)*H103-J103-I103/B103-Z103/B103</f>
        <v>7.81566044247787</v>
      </c>
      <c r="AB103" s="201">
        <f>AA103/H103</f>
        <v>0.10217751686444</v>
      </c>
      <c r="AC103" s="14"/>
      <c r="AD103" s="204">
        <f>J103/H103</f>
        <v>0.0550391549332601</v>
      </c>
      <c r="AE103" s="200">
        <f>I103/B103/H103</f>
        <v>0.300804664045733</v>
      </c>
      <c r="AF103" s="200">
        <f>Z103/B103/H103</f>
        <v>0.0212443293982299</v>
      </c>
      <c r="AG103" s="200">
        <f>K103</f>
        <v>0.15</v>
      </c>
      <c r="AH103" s="200">
        <f>N103</f>
        <v>0.130734334758338</v>
      </c>
      <c r="AI103" s="200">
        <v>0.02</v>
      </c>
      <c r="AJ103" s="200">
        <f>M103</f>
        <v>0.05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</row>
    <row r="104" ht="11.4" spans="1:75">
      <c r="A104" s="197" t="s">
        <v>306</v>
      </c>
      <c r="B104" s="15">
        <v>8</v>
      </c>
      <c r="C104" s="15" t="s">
        <v>289</v>
      </c>
      <c r="D104" s="15" t="s">
        <v>290</v>
      </c>
      <c r="E104" s="15" t="s">
        <v>281</v>
      </c>
      <c r="F104" s="198">
        <f>IF(E104="有",(I104/B104+J104+Z104/B104)/(0.99999-K104-L104-M104-N104),(I104/B104+J104+Z104/B104)/(0.99999-K104-M104-N104))</f>
        <v>57.5076529755256</v>
      </c>
      <c r="G104" s="198">
        <f>IF(E104="有",(I104/B104+J104+Z104/B104)/(0.8-K104-L104-M104-N104-O104-P104),(I104/B104+J104+Z104/B104)/(0.8-K104-M104-N104-O104-P104))</f>
        <v>106.209356474305</v>
      </c>
      <c r="H104" s="208">
        <f>H102*0.85</f>
        <v>72.2415</v>
      </c>
      <c r="I104" s="198">
        <f>208/1.13</f>
        <v>184.070796460177</v>
      </c>
      <c r="J104" s="14">
        <v>4.21</v>
      </c>
      <c r="K104" s="200">
        <v>0.15</v>
      </c>
      <c r="L104" s="200">
        <v>0.16</v>
      </c>
      <c r="M104" s="200">
        <v>0.05</v>
      </c>
      <c r="N104" s="200">
        <f>Q104/H104</f>
        <v>0.138424589744122</v>
      </c>
      <c r="O104" s="201">
        <v>0.01</v>
      </c>
      <c r="P104" s="200">
        <v>0.02</v>
      </c>
      <c r="Q104" s="198">
        <v>10</v>
      </c>
      <c r="R104" s="14"/>
      <c r="S104" s="14"/>
      <c r="T104" s="14"/>
      <c r="U104" s="14"/>
      <c r="V104" s="198"/>
      <c r="W104" s="198"/>
      <c r="X104" s="15" t="s">
        <v>21</v>
      </c>
      <c r="Y104" s="202">
        <v>5.55136</v>
      </c>
      <c r="Z104" s="203">
        <v>13</v>
      </c>
      <c r="AA104" s="198">
        <f>H104-SUM(K104:P104)*H104-J104-I104/B104-Z104/B104</f>
        <v>5.22346544247786</v>
      </c>
      <c r="AB104" s="201">
        <f>AA104/H104</f>
        <v>0.0723056060917597</v>
      </c>
      <c r="AC104" s="14"/>
      <c r="AD104" s="204">
        <f>J104/H104</f>
        <v>0.0582767522822754</v>
      </c>
      <c r="AE104" s="200">
        <f>I104/B104/H104</f>
        <v>0.318499056048423</v>
      </c>
      <c r="AF104" s="200">
        <f>Z104/B104/H104</f>
        <v>0.0224939958334199</v>
      </c>
      <c r="AG104" s="200">
        <f>K104</f>
        <v>0.15</v>
      </c>
      <c r="AH104" s="200">
        <f>N104</f>
        <v>0.138424589744122</v>
      </c>
      <c r="AI104" s="200">
        <v>0.02</v>
      </c>
      <c r="AJ104" s="200">
        <f>M104</f>
        <v>0.05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</row>
    <row r="105" ht="11.4" spans="1:75">
      <c r="A105" s="197" t="s">
        <v>307</v>
      </c>
      <c r="B105" s="15">
        <v>8</v>
      </c>
      <c r="C105" s="15" t="s">
        <v>289</v>
      </c>
      <c r="D105" s="15" t="s">
        <v>290</v>
      </c>
      <c r="E105" s="15" t="s">
        <v>281</v>
      </c>
      <c r="F105" s="198">
        <f>IF(E105="有",(I105/B105+J105+Z105/B105)/(0.99999-K105-L105-M105-N105),(I105/B105+J105+Z105/B105)/(0.99999-K105-M105-N105))</f>
        <v>58.5170170982355</v>
      </c>
      <c r="G105" s="198">
        <f>IF(E105="有",(I105/B105+J105+Z105/B105)/(0.8-K105-L105-M105-N105-O105-P105),(I105/B105+J105+Z105/B105)/(0.8-K105-M105-N105-O105-P105))</f>
        <v>109.704186177053</v>
      </c>
      <c r="H105" s="199">
        <f>H102*0.8</f>
        <v>67.992</v>
      </c>
      <c r="I105" s="198">
        <f>208/1.13</f>
        <v>184.070796460177</v>
      </c>
      <c r="J105" s="14">
        <v>4.21</v>
      </c>
      <c r="K105" s="200">
        <v>0.15</v>
      </c>
      <c r="L105" s="200">
        <v>0.16</v>
      </c>
      <c r="M105" s="200">
        <v>0.05</v>
      </c>
      <c r="N105" s="200">
        <f>Q105/H105</f>
        <v>0.14707612660313</v>
      </c>
      <c r="O105" s="201">
        <v>0.01</v>
      </c>
      <c r="P105" s="200">
        <v>0.02</v>
      </c>
      <c r="Q105" s="198">
        <v>10</v>
      </c>
      <c r="R105" s="14"/>
      <c r="S105" s="14"/>
      <c r="T105" s="14"/>
      <c r="U105" s="14"/>
      <c r="V105" s="198"/>
      <c r="W105" s="198"/>
      <c r="X105" s="15" t="s">
        <v>21</v>
      </c>
      <c r="Y105" s="202">
        <v>5.55136</v>
      </c>
      <c r="Z105" s="203">
        <v>13</v>
      </c>
      <c r="AA105" s="198">
        <f>H105-SUM(K105:P105)*H105-J105-I105/B105-Z105/B105</f>
        <v>2.63127044247788</v>
      </c>
      <c r="AB105" s="201">
        <f>AA105/H105</f>
        <v>0.038699706472495</v>
      </c>
      <c r="AC105" s="14"/>
      <c r="AD105" s="204">
        <f>J105/H105</f>
        <v>0.0619190492999176</v>
      </c>
      <c r="AE105" s="200">
        <f>I105/7.4/H105</f>
        <v>0.365843510325891</v>
      </c>
      <c r="AF105" s="200">
        <f>Z105/7.4/H105</f>
        <v>0.025837697916766</v>
      </c>
      <c r="AG105" s="200">
        <v>0.15</v>
      </c>
      <c r="AH105" s="200">
        <f>N105</f>
        <v>0.14707612660313</v>
      </c>
      <c r="AI105" s="200">
        <v>0.02</v>
      </c>
      <c r="AJ105" s="200">
        <f>M105</f>
        <v>0.05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</row>
    <row r="106" ht="21" customHeight="1" spans="1:75">
      <c r="E106" s="15"/>
      <c r="F106" s="198"/>
      <c r="G106" s="198"/>
      <c r="H106" s="15"/>
      <c r="I106" s="198"/>
      <c r="J106" s="15"/>
      <c r="K106" s="200"/>
      <c r="L106" s="200"/>
      <c r="M106" s="200"/>
      <c r="N106" s="200"/>
      <c r="O106" s="201"/>
      <c r="P106" s="200"/>
      <c r="Q106" s="200"/>
      <c r="R106" s="14"/>
      <c r="S106" s="14"/>
      <c r="T106" s="14"/>
      <c r="U106" s="14"/>
      <c r="V106" s="198"/>
      <c r="W106" s="198"/>
      <c r="X106" s="15"/>
      <c r="Y106" s="202"/>
      <c r="Z106" s="198"/>
      <c r="AA106" s="198"/>
      <c r="AB106" s="201"/>
      <c r="AC106" s="14"/>
      <c r="AD106" s="204"/>
      <c r="AE106" s="200"/>
      <c r="AF106" s="200"/>
      <c r="AG106" s="200"/>
      <c r="AH106" s="200"/>
      <c r="AI106" s="200"/>
      <c r="AJ106" s="200"/>
    </row>
    <row r="107" ht="11.4" spans="1:75">
      <c r="A107" s="197" t="s">
        <v>308</v>
      </c>
      <c r="B107" s="14">
        <v>9</v>
      </c>
      <c r="C107" s="15" t="s">
        <v>291</v>
      </c>
      <c r="D107" s="15" t="s">
        <v>86</v>
      </c>
      <c r="E107" s="15" t="s">
        <v>281</v>
      </c>
      <c r="F107" s="198">
        <f>IF(E107="有",(I107/B107+J107+Z107/B107)/(0.99999-K107-L107-M107-N107),(I107/B107+J107+Z107/B107)/(0.99999-K107-M107-N107))</f>
        <v>50.3362678949856</v>
      </c>
      <c r="G107" s="198">
        <f>IF(E107="有",(I107/B107+J107+Z107/B107)/(0.8-K107-L107-M107-N107-O107-P107),(I107/B107+J107+Z107/B107)/(0.8-K107-M107-N107-O107-P107))</f>
        <v>91.5654789726815</v>
      </c>
      <c r="H107" s="199">
        <v>74.99</v>
      </c>
      <c r="I107" s="198">
        <f>208/1.13</f>
        <v>184.070796460177</v>
      </c>
      <c r="J107" s="14">
        <v>3.05</v>
      </c>
      <c r="K107" s="200">
        <v>0.15</v>
      </c>
      <c r="L107" s="200">
        <v>0.16</v>
      </c>
      <c r="M107" s="200">
        <v>0.05</v>
      </c>
      <c r="N107" s="200">
        <f>Q107/H107</f>
        <v>0.133351113481798</v>
      </c>
      <c r="O107" s="201">
        <f>0.61/H107</f>
        <v>0.00813441792238965</v>
      </c>
      <c r="P107" s="200">
        <v>0.02</v>
      </c>
      <c r="Q107" s="198">
        <v>10</v>
      </c>
      <c r="R107" s="14">
        <v>33.5</v>
      </c>
      <c r="S107" s="14">
        <v>26.5</v>
      </c>
      <c r="T107" s="14">
        <v>25</v>
      </c>
      <c r="U107" s="14">
        <v>2.3</v>
      </c>
      <c r="V107" s="198">
        <f>R107*S107*T107/6000</f>
        <v>3.69895833333333</v>
      </c>
      <c r="W107" s="198">
        <f>MAX(U107:V107)</f>
        <v>3.69895833333333</v>
      </c>
      <c r="X107" s="15" t="s">
        <v>21</v>
      </c>
      <c r="Y107" s="202">
        <v>6.084</v>
      </c>
      <c r="Z107" s="203">
        <v>18</v>
      </c>
      <c r="AA107" s="198">
        <f>H107-SUM(K107:P107)*H107-J107-I107/B107-Z107/B107</f>
        <v>10.3814892822026</v>
      </c>
      <c r="AB107" s="201">
        <f>AA107/H107</f>
        <v>0.138438315538106</v>
      </c>
      <c r="AC107" s="14"/>
      <c r="AD107" s="204">
        <f>J107/H107</f>
        <v>0.0406720896119483</v>
      </c>
      <c r="AE107" s="200">
        <f>I107/7.4/H107</f>
        <v>0.33170331983035</v>
      </c>
      <c r="AF107" s="200">
        <f>Z107/7.4/H107</f>
        <v>0.0324367573334102</v>
      </c>
      <c r="AG107" s="200">
        <v>0.15</v>
      </c>
      <c r="AH107" s="200">
        <f>N107</f>
        <v>0.133351113481798</v>
      </c>
      <c r="AI107" s="200">
        <v>0.02</v>
      </c>
      <c r="AJ107" s="200">
        <f>M107</f>
        <v>0.05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</row>
    <row r="108" ht="11.4" spans="1:75">
      <c r="A108" s="197" t="s">
        <v>305</v>
      </c>
      <c r="B108" s="14">
        <v>9</v>
      </c>
      <c r="C108" s="15" t="s">
        <v>291</v>
      </c>
      <c r="D108" s="15" t="s">
        <v>86</v>
      </c>
      <c r="E108" s="15" t="s">
        <v>281</v>
      </c>
      <c r="F108" s="198">
        <f>IF(E108="有",(I108/B108+J108+Z108/B108)/(0.99999-K108-L108-M108-N108),(I108/B108+J108+Z108/B108)/(0.99999-K108-M108-N108))</f>
        <v>51.8527144640271</v>
      </c>
      <c r="G108" s="198">
        <f>IF(E108="有",(I108/B108+J108+Z108/B108)/(0.8-K108-L108-M108-N108-O108-P108),(I108/B108+J108+Z108/B108)/(0.8-K108-M108-N108-O108-P108))</f>
        <v>97.0430256647058</v>
      </c>
      <c r="H108" s="199">
        <f>H107*0.9</f>
        <v>67.491</v>
      </c>
      <c r="I108" s="198">
        <f>208/1.13</f>
        <v>184.070796460177</v>
      </c>
      <c r="J108" s="15">
        <v>3.05</v>
      </c>
      <c r="K108" s="200">
        <v>0.15</v>
      </c>
      <c r="L108" s="200">
        <v>0.16</v>
      </c>
      <c r="M108" s="200">
        <v>0.05</v>
      </c>
      <c r="N108" s="200">
        <f>Q108/H108</f>
        <v>0.148167903868664</v>
      </c>
      <c r="O108" s="201">
        <f>0.61/H108</f>
        <v>0.0090382421359885</v>
      </c>
      <c r="P108" s="200">
        <v>0.02</v>
      </c>
      <c r="Q108" s="198">
        <v>10</v>
      </c>
      <c r="R108" s="14">
        <v>33.5</v>
      </c>
      <c r="S108" s="14">
        <v>26.5</v>
      </c>
      <c r="T108" s="14">
        <v>25</v>
      </c>
      <c r="U108" s="14">
        <v>2.3</v>
      </c>
      <c r="V108" s="198">
        <f>R108*S108*T108/6000</f>
        <v>3.69895833333333</v>
      </c>
      <c r="W108" s="198">
        <f>MAX(U108:V108)</f>
        <v>3.69895833333333</v>
      </c>
      <c r="X108" s="15" t="s">
        <v>21</v>
      </c>
      <c r="Y108" s="202">
        <v>6.084</v>
      </c>
      <c r="Z108" s="203">
        <v>18</v>
      </c>
      <c r="AA108" s="198">
        <f>H108-SUM(K108:P108)*H108-J108-I108/B108-Z108/B108</f>
        <v>5.73210928220255</v>
      </c>
      <c r="AB108" s="201">
        <f>AA108/H108</f>
        <v>0.0849314617090065</v>
      </c>
      <c r="AC108" s="14"/>
      <c r="AD108" s="204">
        <f>J108/H108</f>
        <v>0.0451912106799425</v>
      </c>
      <c r="AE108" s="200">
        <f>I108/7.4/H108</f>
        <v>0.368559244255945</v>
      </c>
      <c r="AF108" s="200">
        <f>Z108/7.4/H108</f>
        <v>0.0360408414815669</v>
      </c>
      <c r="AG108" s="200">
        <v>0.15</v>
      </c>
      <c r="AH108" s="200">
        <f>N108</f>
        <v>0.148167903868664</v>
      </c>
      <c r="AI108" s="200">
        <v>0.02</v>
      </c>
      <c r="AJ108" s="200">
        <f>M108</f>
        <v>0.05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</row>
    <row r="109" ht="11.4" spans="1:75">
      <c r="A109" s="197" t="s">
        <v>306</v>
      </c>
      <c r="B109" s="14">
        <v>9</v>
      </c>
      <c r="C109" s="15" t="s">
        <v>291</v>
      </c>
      <c r="D109" s="15" t="s">
        <v>86</v>
      </c>
      <c r="E109" s="15" t="s">
        <v>281</v>
      </c>
      <c r="F109" s="198">
        <f>IF(E109="有",(I109/B109+J109+Z109/B109)/(0.99999-K109-L109-M109-N109),(I109/B109+J109+Z109/B109)/(0.99999-K109-M109-N109))</f>
        <v>52.7881933239096</v>
      </c>
      <c r="G109" s="198">
        <f>IF(E109="有",(I109/B109+J109+Z109/B109)/(0.8-K109-L109-M109-N109-O109-P109),(I109/B109+J109+Z109/B109)/(0.8-K109-M109-N109-O109-P109))</f>
        <v>100.582407535626</v>
      </c>
      <c r="H109" s="208">
        <f>H107*0.85</f>
        <v>63.7415</v>
      </c>
      <c r="I109" s="198">
        <f>208/1.13</f>
        <v>184.070796460177</v>
      </c>
      <c r="J109" s="15">
        <v>3.05</v>
      </c>
      <c r="K109" s="200">
        <v>0.15</v>
      </c>
      <c r="L109" s="200">
        <v>0.16</v>
      </c>
      <c r="M109" s="200">
        <v>0.05</v>
      </c>
      <c r="N109" s="200">
        <f>Q109/H109</f>
        <v>0.156883662919762</v>
      </c>
      <c r="O109" s="201">
        <f>0.61/H109</f>
        <v>0.00956990343810547</v>
      </c>
      <c r="P109" s="200">
        <v>0.02</v>
      </c>
      <c r="Q109" s="198">
        <v>10</v>
      </c>
      <c r="R109" s="14">
        <v>33.5</v>
      </c>
      <c r="S109" s="14">
        <v>26.5</v>
      </c>
      <c r="T109" s="14">
        <v>25</v>
      </c>
      <c r="U109" s="14">
        <v>2.3</v>
      </c>
      <c r="V109" s="198">
        <f>R109*S109*T109/6000</f>
        <v>3.69895833333333</v>
      </c>
      <c r="W109" s="198">
        <f>MAX(U109:V109)</f>
        <v>3.69895833333333</v>
      </c>
      <c r="X109" s="15" t="s">
        <v>21</v>
      </c>
      <c r="Y109" s="202">
        <v>6.084</v>
      </c>
      <c r="Z109" s="203">
        <v>18</v>
      </c>
      <c r="AA109" s="198">
        <f>H109-SUM(K109:P109)*H109-J109-I109/B109-Z109/B109</f>
        <v>3.40741928220255</v>
      </c>
      <c r="AB109" s="201">
        <f>AA109/H109</f>
        <v>0.0534568418095362</v>
      </c>
      <c r="AC109" s="14"/>
      <c r="AD109" s="204">
        <f>J109/H109</f>
        <v>0.0478495171905274</v>
      </c>
      <c r="AE109" s="200">
        <f>I109/7.4/H109</f>
        <v>0.390239199800412</v>
      </c>
      <c r="AF109" s="200">
        <f>Z109/7.4/H109</f>
        <v>0.0381608909804826</v>
      </c>
      <c r="AG109" s="200">
        <v>0.15</v>
      </c>
      <c r="AH109" s="200">
        <f>N109</f>
        <v>0.156883662919762</v>
      </c>
      <c r="AI109" s="200">
        <v>0.02</v>
      </c>
      <c r="AJ109" s="200">
        <f>M109</f>
        <v>0.05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</row>
    <row r="110" ht="21" customHeight="1" spans="1:75">
      <c r="E110" s="15"/>
      <c r="F110" s="198"/>
      <c r="G110" s="198"/>
      <c r="H110" s="15"/>
      <c r="I110" s="198"/>
      <c r="J110" s="15"/>
      <c r="K110" s="200"/>
      <c r="L110" s="200"/>
      <c r="M110" s="200"/>
      <c r="N110" s="200"/>
      <c r="O110" s="201"/>
      <c r="P110" s="200"/>
      <c r="Q110" s="200"/>
      <c r="R110" s="14"/>
      <c r="S110" s="14"/>
      <c r="T110" s="14"/>
      <c r="U110" s="14"/>
      <c r="V110" s="198"/>
      <c r="W110" s="198"/>
      <c r="X110" s="15"/>
      <c r="Y110" s="202"/>
      <c r="Z110" s="198"/>
      <c r="AA110" s="198"/>
      <c r="AB110" s="201"/>
      <c r="AC110" s="14"/>
      <c r="AD110" s="204"/>
      <c r="AE110" s="200"/>
      <c r="AF110" s="200"/>
      <c r="AG110" s="200"/>
      <c r="AH110" s="200"/>
      <c r="AI110" s="200"/>
      <c r="AJ110" s="200"/>
    </row>
    <row r="111" ht="11.4" spans="1:75">
      <c r="A111" s="207" t="s">
        <v>309</v>
      </c>
      <c r="B111" s="15">
        <v>8</v>
      </c>
      <c r="C111" s="15" t="s">
        <v>279</v>
      </c>
      <c r="D111" s="15" t="s">
        <v>280</v>
      </c>
      <c r="E111" s="15" t="s">
        <v>281</v>
      </c>
      <c r="F111" s="198">
        <f>IF(E111="有",(I111/B111+J111+Z111/B111)/(0.99999-K111-L111-M111-N111),(I111/B111+J111+Z111/B111)/(0.99999-K111-M111-N111))</f>
        <v>15.8237606489378</v>
      </c>
      <c r="G111" s="198">
        <f>IF(E111="有",(I111/B111+J111+Z111/B111)/(0.8-K111-L111-M111-N111-O111-P111),(I111/B111+J111+Z111/B111)/(0.8-K111-M111-N111-O111-P111))</f>
        <v>25.933844992852</v>
      </c>
      <c r="H111" s="199">
        <v>24.99</v>
      </c>
      <c r="I111" s="198">
        <f>49/1.13</f>
        <v>43.3628318584071</v>
      </c>
      <c r="J111" s="14">
        <v>3.04</v>
      </c>
      <c r="K111" s="200">
        <v>0.15</v>
      </c>
      <c r="L111" s="200">
        <v>0.16</v>
      </c>
      <c r="M111" s="200">
        <v>0.02</v>
      </c>
      <c r="N111" s="200">
        <f>Q111/H111</f>
        <v>0.0800320128051221</v>
      </c>
      <c r="O111" s="201">
        <v>0.01</v>
      </c>
      <c r="P111" s="200">
        <v>0.02</v>
      </c>
      <c r="Q111" s="198">
        <v>2</v>
      </c>
      <c r="R111" s="14"/>
      <c r="S111" s="14"/>
      <c r="T111" s="14"/>
      <c r="U111" s="14"/>
      <c r="V111" s="198"/>
      <c r="W111" s="198"/>
      <c r="X111" s="14" t="s">
        <v>21</v>
      </c>
      <c r="Y111" s="202">
        <v>5.55136</v>
      </c>
      <c r="Z111" s="203">
        <v>7</v>
      </c>
      <c r="AA111" s="198">
        <f>H111-SUM(K111:P111)*H111-J111-I111/B111-Z111/B111</f>
        <v>4.65824601769911</v>
      </c>
      <c r="AB111" s="201">
        <f>AA111/H111</f>
        <v>0.186404402468952</v>
      </c>
      <c r="AC111" s="14"/>
      <c r="AD111" s="204">
        <f>J111/H111</f>
        <v>0.121648659463786</v>
      </c>
      <c r="AE111" s="200">
        <f>I111/7.4/H111</f>
        <v>0.234487480713405</v>
      </c>
      <c r="AF111" s="200">
        <f>Z111/7.4/H111</f>
        <v>0.0378529790294496</v>
      </c>
      <c r="AG111" s="200">
        <v>0.15</v>
      </c>
      <c r="AH111" s="200">
        <f>N111</f>
        <v>0.0800320128051221</v>
      </c>
      <c r="AI111" s="200">
        <v>0.02</v>
      </c>
      <c r="AJ111" s="200">
        <f>M111</f>
        <v>0.02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</row>
    <row r="112" ht="11.4" spans="1:75">
      <c r="A112" s="207" t="s">
        <v>310</v>
      </c>
      <c r="B112" s="15">
        <v>8</v>
      </c>
      <c r="C112" s="15" t="s">
        <v>279</v>
      </c>
      <c r="D112" s="15" t="s">
        <v>280</v>
      </c>
      <c r="E112" s="15" t="s">
        <v>281</v>
      </c>
      <c r="F112" s="198">
        <f>IF(E112="有",(I112/B112+J112+Z112/B112)/(0.99999-K112-L112-M112-N112),(I112/B112+J112+Z112/B112)/(0.99999-K112-M112-N112))</f>
        <v>16.0659225480332</v>
      </c>
      <c r="G112" s="198">
        <f>IF(E112="有",(I112/B112+J112+Z112/B112)/(0.8-K112-L112-M112-N112-O112-P112),(I112/B112+J112+Z112/B112)/(0.8-K112-M112-N112-O112-P112))</f>
        <v>26.5907273032975</v>
      </c>
      <c r="H112" s="199">
        <f>H111*0.9</f>
        <v>22.491</v>
      </c>
      <c r="I112" s="198">
        <f>49/1.13</f>
        <v>43.3628318584071</v>
      </c>
      <c r="J112" s="15">
        <v>3.04</v>
      </c>
      <c r="K112" s="200">
        <v>0.15</v>
      </c>
      <c r="L112" s="200">
        <v>0.16</v>
      </c>
      <c r="M112" s="200">
        <v>0.02</v>
      </c>
      <c r="N112" s="200">
        <f>Q112/H112</f>
        <v>0.0889244586723578</v>
      </c>
      <c r="O112" s="201">
        <v>0.01</v>
      </c>
      <c r="P112" s="200">
        <v>0.02</v>
      </c>
      <c r="Q112" s="198">
        <v>2</v>
      </c>
      <c r="R112" s="14"/>
      <c r="S112" s="14"/>
      <c r="T112" s="14"/>
      <c r="U112" s="14"/>
      <c r="V112" s="198"/>
      <c r="W112" s="198"/>
      <c r="X112" s="15" t="s">
        <v>21</v>
      </c>
      <c r="Y112" s="202">
        <v>5.55136</v>
      </c>
      <c r="Z112" s="203">
        <v>7</v>
      </c>
      <c r="AA112" s="198">
        <f>H112-SUM(K112:P112)*H112-J112-I112/B112-Z112/B112</f>
        <v>3.05888601769912</v>
      </c>
      <c r="AB112" s="201">
        <f>AA112/H112</f>
        <v>0.136004891632169</v>
      </c>
      <c r="AC112" s="14"/>
      <c r="AD112" s="204">
        <f>J112/H112</f>
        <v>0.135165177181984</v>
      </c>
      <c r="AE112" s="200">
        <f>I112/B112/H112</f>
        <v>0.241001021844333</v>
      </c>
      <c r="AF112" s="200">
        <f>Z112/B112/H112</f>
        <v>0.0389044506691565</v>
      </c>
      <c r="AG112" s="200">
        <f>K112</f>
        <v>0.15</v>
      </c>
      <c r="AH112" s="200">
        <f>N112</f>
        <v>0.0889244586723578</v>
      </c>
      <c r="AI112" s="200">
        <v>0.02</v>
      </c>
      <c r="AJ112" s="200">
        <f>M112</f>
        <v>0.02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</row>
    <row r="113" ht="11.4" spans="1:75">
      <c r="A113" s="207" t="s">
        <v>311</v>
      </c>
      <c r="B113" s="15">
        <v>8</v>
      </c>
      <c r="C113" s="15" t="s">
        <v>279</v>
      </c>
      <c r="D113" s="15" t="s">
        <v>280</v>
      </c>
      <c r="E113" s="15" t="s">
        <v>281</v>
      </c>
      <c r="F113" s="198">
        <f>IF(E113="有",(I113/B113+J113+Z113/B113)/(0.99999-K113-L113-M113-N113),(I113/B113+J113+Z113/B113)/(0.99999-K113-M113-N113))</f>
        <v>16.2118645006393</v>
      </c>
      <c r="G113" s="198">
        <f>IF(E113="有",(I113/B113+J113+Z113/B113)/(0.8-K113-L113-M113-N113-O113-P113),(I113/B113+J113+Z113/B113)/(0.8-K113-M113-N113-O113-P113))</f>
        <v>26.9929081757308</v>
      </c>
      <c r="H113" s="208">
        <f>H111*0.85</f>
        <v>21.2415</v>
      </c>
      <c r="I113" s="198">
        <f>49/1.13</f>
        <v>43.3628318584071</v>
      </c>
      <c r="J113" s="15">
        <v>3.04</v>
      </c>
      <c r="K113" s="200">
        <v>0.15</v>
      </c>
      <c r="L113" s="200">
        <v>0.16</v>
      </c>
      <c r="M113" s="200">
        <v>0.02</v>
      </c>
      <c r="N113" s="200">
        <f>Q113/H113</f>
        <v>0.0941553091824965</v>
      </c>
      <c r="O113" s="201">
        <v>0.01</v>
      </c>
      <c r="P113" s="200">
        <v>0.02</v>
      </c>
      <c r="Q113" s="198">
        <v>2</v>
      </c>
      <c r="R113" s="14"/>
      <c r="S113" s="14"/>
      <c r="T113" s="14"/>
      <c r="U113" s="14"/>
      <c r="V113" s="198"/>
      <c r="W113" s="198"/>
      <c r="X113" s="15" t="s">
        <v>21</v>
      </c>
      <c r="Y113" s="202">
        <v>5.55136</v>
      </c>
      <c r="Z113" s="203">
        <v>7</v>
      </c>
      <c r="AA113" s="198">
        <f>H113-SUM(K113:P113)*H113-J113-I113/B113-Z113/B113</f>
        <v>2.25920601769911</v>
      </c>
      <c r="AB113" s="201">
        <f>AA113/H113</f>
        <v>0.106358120551708</v>
      </c>
      <c r="AC113" s="14"/>
      <c r="AD113" s="204">
        <f>J113/H113</f>
        <v>0.143116069957395</v>
      </c>
      <c r="AE113" s="200">
        <f>I113/B113/H113</f>
        <v>0.255177552541058</v>
      </c>
      <c r="AF113" s="200">
        <f>Z113/B113/H113</f>
        <v>0.0411929477673422</v>
      </c>
      <c r="AG113" s="200">
        <f>K113</f>
        <v>0.15</v>
      </c>
      <c r="AH113" s="200">
        <f>N113</f>
        <v>0.0941553091824965</v>
      </c>
      <c r="AI113" s="200">
        <v>0.02</v>
      </c>
      <c r="AJ113" s="200">
        <f>M113</f>
        <v>0.02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</row>
    <row r="114" ht="11.4" spans="1:75">
      <c r="A114" s="207" t="s">
        <v>312</v>
      </c>
      <c r="B114" s="15">
        <v>8</v>
      </c>
      <c r="C114" s="15" t="s">
        <v>279</v>
      </c>
      <c r="D114" s="15" t="s">
        <v>280</v>
      </c>
      <c r="E114" s="15" t="s">
        <v>281</v>
      </c>
      <c r="F114" s="198">
        <f>IF(E114="有",(I114/B114+J114+Z114/B114)/(0.99999-K114-L114-M114-N114),(I114/B114+J114+Z114/B114)/(0.99999-K114-M114-N114))</f>
        <v>16.3792512404137</v>
      </c>
      <c r="G114" s="198">
        <f>IF(E114="有",(I114/B114+J114+Z114/B114)/(0.8-K114-L114-M114-N114-O114-P114),(I114/B114+J114+Z114/B114)/(0.8-K114-M114-N114-O114-P114))</f>
        <v>27.4601553766302</v>
      </c>
      <c r="H114" s="199">
        <f>H111*0.8</f>
        <v>19.992</v>
      </c>
      <c r="I114" s="198">
        <f>49/1.13</f>
        <v>43.3628318584071</v>
      </c>
      <c r="J114" s="15">
        <v>3.04</v>
      </c>
      <c r="K114" s="200">
        <v>0.15</v>
      </c>
      <c r="L114" s="200">
        <v>0.16</v>
      </c>
      <c r="M114" s="200">
        <v>0.02</v>
      </c>
      <c r="N114" s="200">
        <f>Q114/H114</f>
        <v>0.100040016006403</v>
      </c>
      <c r="O114" s="201">
        <v>0.01</v>
      </c>
      <c r="P114" s="200">
        <v>0.02</v>
      </c>
      <c r="Q114" s="198">
        <v>2</v>
      </c>
      <c r="R114" s="14"/>
      <c r="S114" s="14"/>
      <c r="T114" s="14"/>
      <c r="U114" s="14"/>
      <c r="V114" s="198"/>
      <c r="W114" s="198"/>
      <c r="X114" s="15" t="s">
        <v>21</v>
      </c>
      <c r="Y114" s="202">
        <v>5.55136</v>
      </c>
      <c r="Z114" s="203">
        <v>7</v>
      </c>
      <c r="AA114" s="198">
        <f>H114-SUM(K114:P114)*H114-J114-I114/B114-Z114/B114</f>
        <v>1.45952601769911</v>
      </c>
      <c r="AB114" s="201">
        <f>AA114/H114</f>
        <v>0.0730055030861902</v>
      </c>
      <c r="AC114" s="14"/>
      <c r="AD114" s="204">
        <f>J114/H114</f>
        <v>0.152060824329732</v>
      </c>
      <c r="AE114" s="200">
        <f>I114/7.4/H114</f>
        <v>0.293109350891756</v>
      </c>
      <c r="AF114" s="200">
        <f>Z114/7.4/H114</f>
        <v>0.047316223786812</v>
      </c>
      <c r="AG114" s="200">
        <v>0.15</v>
      </c>
      <c r="AH114" s="200">
        <f>N114</f>
        <v>0.100040016006403</v>
      </c>
      <c r="AI114" s="200">
        <v>0.02</v>
      </c>
      <c r="AJ114" s="200">
        <f>M114</f>
        <v>0.02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</row>
    <row r="115" ht="21" customHeight="1" spans="1:75">
      <c r="A115" s="1"/>
      <c r="B115" s="1"/>
      <c r="C115" s="1"/>
      <c r="D115" s="1"/>
      <c r="E115" s="15"/>
      <c r="F115" s="198"/>
      <c r="G115" s="198"/>
      <c r="H115" s="15"/>
      <c r="I115" s="198"/>
      <c r="J115" s="15"/>
      <c r="K115" s="200"/>
      <c r="L115" s="200"/>
      <c r="M115" s="200"/>
      <c r="N115" s="200"/>
      <c r="O115" s="201"/>
      <c r="P115" s="200"/>
      <c r="Q115" s="200"/>
      <c r="R115" s="14"/>
      <c r="S115" s="14"/>
      <c r="T115" s="14"/>
      <c r="U115" s="14"/>
      <c r="V115" s="198"/>
      <c r="W115" s="198"/>
      <c r="X115" s="15"/>
      <c r="Y115" s="202"/>
      <c r="Z115" s="198"/>
      <c r="AA115" s="198"/>
      <c r="AB115" s="201"/>
      <c r="AC115" s="14"/>
      <c r="AD115" s="204"/>
      <c r="AE115" s="200"/>
      <c r="AF115" s="200"/>
      <c r="AG115" s="200"/>
      <c r="AH115" s="200"/>
      <c r="AI115" s="200"/>
      <c r="AJ115" s="200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</row>
    <row r="116" ht="11.4" spans="1:75">
      <c r="A116" s="207" t="s">
        <v>309</v>
      </c>
      <c r="B116" s="15">
        <v>8</v>
      </c>
      <c r="C116" s="14" t="s">
        <v>284</v>
      </c>
      <c r="D116" s="14" t="s">
        <v>285</v>
      </c>
      <c r="E116" s="15" t="s">
        <v>281</v>
      </c>
      <c r="F116" s="198">
        <f>IF(E116="有",(I116/B116+J116+Z116/B116)/(0.99999-K116-L116-M116-N116),(I116/B116+J116+Z116/B116)/(0.99999-K116-M116-N116))</f>
        <v>18.5527685358472</v>
      </c>
      <c r="G116" s="198">
        <f>IF(E116="有",(I116/B116+J116+Z116/B116)/(0.8-K116-L116-M116-N116-O116-P116),(I116/B116+J116+Z116/B116)/(0.8-K116-M116-N116-O116-P116))</f>
        <v>30.4064649403819</v>
      </c>
      <c r="H116" s="199">
        <v>24.99</v>
      </c>
      <c r="I116" s="198">
        <f>49/1.13</f>
        <v>43.3628318584071</v>
      </c>
      <c r="J116" s="14">
        <v>4.65</v>
      </c>
      <c r="K116" s="200">
        <v>0.15</v>
      </c>
      <c r="L116" s="200">
        <v>0.16</v>
      </c>
      <c r="M116" s="200">
        <v>0.02</v>
      </c>
      <c r="N116" s="200">
        <f>Q116/H116</f>
        <v>0.0800320128051221</v>
      </c>
      <c r="O116" s="201">
        <v>0.01</v>
      </c>
      <c r="P116" s="200">
        <v>0.02</v>
      </c>
      <c r="Q116" s="198">
        <v>2</v>
      </c>
      <c r="R116" s="14"/>
      <c r="S116" s="14"/>
      <c r="T116" s="14"/>
      <c r="U116" s="14"/>
      <c r="V116" s="198"/>
      <c r="W116" s="198"/>
      <c r="X116" s="14" t="s">
        <v>21</v>
      </c>
      <c r="Y116" s="202">
        <v>5.55136</v>
      </c>
      <c r="Z116" s="203">
        <v>7</v>
      </c>
      <c r="AA116" s="198">
        <f>H116-SUM(K116:P116)*H116-J116-I116/B116-Z116/B116</f>
        <v>3.04824601769911</v>
      </c>
      <c r="AB116" s="201">
        <f>AA116/H116</f>
        <v>0.121978632160829</v>
      </c>
      <c r="AC116" s="14"/>
      <c r="AD116" s="204">
        <f>J116/H116</f>
        <v>0.186074429771909</v>
      </c>
      <c r="AE116" s="200">
        <f>I116/7.4/H116</f>
        <v>0.234487480713405</v>
      </c>
      <c r="AF116" s="200">
        <f>Z116/7.4/H116</f>
        <v>0.0378529790294496</v>
      </c>
      <c r="AG116" s="200">
        <v>0.15</v>
      </c>
      <c r="AH116" s="200">
        <f>N116</f>
        <v>0.0800320128051221</v>
      </c>
      <c r="AI116" s="200">
        <v>0.02</v>
      </c>
      <c r="AJ116" s="200">
        <f>M116</f>
        <v>0.02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</row>
    <row r="117" ht="11.4" spans="1:75">
      <c r="A117" s="207" t="s">
        <v>310</v>
      </c>
      <c r="B117" s="15">
        <v>8</v>
      </c>
      <c r="C117" s="15" t="s">
        <v>284</v>
      </c>
      <c r="D117" s="15" t="s">
        <v>285</v>
      </c>
      <c r="E117" s="15" t="s">
        <v>281</v>
      </c>
      <c r="F117" s="198">
        <f>IF(E117="有",(I117/B117+J117+Z117/B117)/(0.99999-K117-L117-M117-N117),(I117/B117+J117+Z117/B117)/(0.99999-K117-M117-N117))</f>
        <v>18.8366943207345</v>
      </c>
      <c r="G117" s="198">
        <f>IF(E117="有",(I117/B117+J117+Z117/B117)/(0.8-K117-L117-M117-N117-O117-P117),(I117/B117+J117+Z117/B117)/(0.8-K117-M117-N117-O117-P117))</f>
        <v>31.1766349228131</v>
      </c>
      <c r="H117" s="199">
        <f>H116*0.9</f>
        <v>22.491</v>
      </c>
      <c r="I117" s="198">
        <f>49/1.13</f>
        <v>43.3628318584071</v>
      </c>
      <c r="J117" s="15">
        <v>4.65</v>
      </c>
      <c r="K117" s="200">
        <v>0.15</v>
      </c>
      <c r="L117" s="200">
        <v>0.16</v>
      </c>
      <c r="M117" s="200">
        <v>0.02</v>
      </c>
      <c r="N117" s="200">
        <f>Q117/H117</f>
        <v>0.0889244586723578</v>
      </c>
      <c r="O117" s="201">
        <v>0.01</v>
      </c>
      <c r="P117" s="200">
        <v>0.02</v>
      </c>
      <c r="Q117" s="198">
        <v>2</v>
      </c>
      <c r="R117" s="14"/>
      <c r="S117" s="14"/>
      <c r="T117" s="14"/>
      <c r="U117" s="14"/>
      <c r="V117" s="198"/>
      <c r="W117" s="198"/>
      <c r="X117" s="15" t="s">
        <v>21</v>
      </c>
      <c r="Y117" s="202">
        <v>5.55136</v>
      </c>
      <c r="Z117" s="203">
        <v>7</v>
      </c>
      <c r="AA117" s="198">
        <f>H117-SUM(K117:P117)*H117-J117-I117/B117-Z117/B117</f>
        <v>1.44888601769911</v>
      </c>
      <c r="AB117" s="201">
        <f>AA117/H117</f>
        <v>0.064420702400921</v>
      </c>
      <c r="AC117" s="14"/>
      <c r="AD117" s="204">
        <f>J117/H117</f>
        <v>0.206749366413232</v>
      </c>
      <c r="AE117" s="200">
        <f>I117/B117/H117</f>
        <v>0.241001021844333</v>
      </c>
      <c r="AF117" s="200">
        <f>Z117/B117/H117</f>
        <v>0.0389044506691565</v>
      </c>
      <c r="AG117" s="200">
        <f>K117</f>
        <v>0.15</v>
      </c>
      <c r="AH117" s="200">
        <f>N117</f>
        <v>0.0889244586723578</v>
      </c>
      <c r="AI117" s="200">
        <v>0.02</v>
      </c>
      <c r="AJ117" s="200">
        <f>M117</f>
        <v>0.02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</row>
    <row r="118" ht="11.4" spans="1:75">
      <c r="A118" s="207" t="s">
        <v>311</v>
      </c>
      <c r="B118" s="15">
        <v>8</v>
      </c>
      <c r="C118" s="15" t="s">
        <v>284</v>
      </c>
      <c r="D118" s="15" t="s">
        <v>285</v>
      </c>
      <c r="E118" s="15" t="s">
        <v>281</v>
      </c>
      <c r="F118" s="198">
        <f>IF(E118="有",(I118/B118+J118+Z118/B118)/(0.99999-K118-L118-M118-N118),(I118/B118+J118+Z118/B118)/(0.99999-K118-M118-N118))</f>
        <v>19.0078058110079</v>
      </c>
      <c r="G118" s="198">
        <f>IF(E118="有",(I118/B118+J118+Z118/B118)/(0.8-K118-L118-M118-N118-O118-P118),(I118/B118+J118+Z118/B118)/(0.8-K118-M118-N118-O118-P118))</f>
        <v>31.6481769791764</v>
      </c>
      <c r="H118" s="208">
        <f>H116*0.85</f>
        <v>21.2415</v>
      </c>
      <c r="I118" s="198">
        <f>49/1.13</f>
        <v>43.3628318584071</v>
      </c>
      <c r="J118" s="15">
        <v>4.65</v>
      </c>
      <c r="K118" s="200">
        <v>0.15</v>
      </c>
      <c r="L118" s="200">
        <v>0.16</v>
      </c>
      <c r="M118" s="200">
        <v>0.02</v>
      </c>
      <c r="N118" s="200">
        <f>Q118/H118</f>
        <v>0.0941553091824965</v>
      </c>
      <c r="O118" s="201">
        <v>0.01</v>
      </c>
      <c r="P118" s="200">
        <v>0.02</v>
      </c>
      <c r="Q118" s="198">
        <v>2</v>
      </c>
      <c r="R118" s="14"/>
      <c r="S118" s="14"/>
      <c r="T118" s="14"/>
      <c r="U118" s="14"/>
      <c r="V118" s="198"/>
      <c r="W118" s="198"/>
      <c r="X118" s="15" t="s">
        <v>21</v>
      </c>
      <c r="Y118" s="202">
        <v>5.55136</v>
      </c>
      <c r="Z118" s="203">
        <v>7</v>
      </c>
      <c r="AA118" s="198">
        <f>H118-SUM(K118:P118)*H118-J118-I118/B118-Z118/B118</f>
        <v>0.649206017699112</v>
      </c>
      <c r="AB118" s="201">
        <f>AA118/H118</f>
        <v>0.0305630966597986</v>
      </c>
      <c r="AC118" s="14"/>
      <c r="AD118" s="204">
        <f>J118/H118</f>
        <v>0.218911093849304</v>
      </c>
      <c r="AE118" s="200">
        <f>I118/B118/H118</f>
        <v>0.255177552541058</v>
      </c>
      <c r="AF118" s="200">
        <f>Z118/B118/H118</f>
        <v>0.0411929477673422</v>
      </c>
      <c r="AG118" s="200">
        <f>K118</f>
        <v>0.15</v>
      </c>
      <c r="AH118" s="200">
        <f>N118</f>
        <v>0.0941553091824965</v>
      </c>
      <c r="AI118" s="200">
        <v>0.02</v>
      </c>
      <c r="AJ118" s="200">
        <f>M118</f>
        <v>0.02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</row>
    <row r="119" ht="11.4" spans="1:75">
      <c r="A119" s="207" t="s">
        <v>312</v>
      </c>
      <c r="B119" s="15">
        <v>8</v>
      </c>
      <c r="C119" s="15" t="s">
        <v>284</v>
      </c>
      <c r="D119" s="15" t="s">
        <v>285</v>
      </c>
      <c r="E119" s="15" t="s">
        <v>281</v>
      </c>
      <c r="F119" s="198">
        <f>IF(E119="有",(I119/B119+J119+Z119/B119)/(0.99999-K119-L119-M119-N119),(I119/B119+J119+Z119/B119)/(0.99999-K119-M119-N119))</f>
        <v>19.2040605135342</v>
      </c>
      <c r="G119" s="198">
        <f>IF(E119="有",(I119/B119+J119+Z119/B119)/(0.8-K119-L119-M119-N119-O119-P119),(I119/B119+J119+Z119/B119)/(0.8-K119-M119-N119-O119-P119))</f>
        <v>32.19600687623</v>
      </c>
      <c r="H119" s="199">
        <f>H116*0.8</f>
        <v>19.992</v>
      </c>
      <c r="I119" s="198">
        <f>49/1.13</f>
        <v>43.3628318584071</v>
      </c>
      <c r="J119" s="15">
        <v>4.65</v>
      </c>
      <c r="K119" s="200">
        <v>0.15</v>
      </c>
      <c r="L119" s="200">
        <v>0.16</v>
      </c>
      <c r="M119" s="200">
        <v>0.02</v>
      </c>
      <c r="N119" s="200">
        <f>Q119/H119</f>
        <v>0.100040016006403</v>
      </c>
      <c r="O119" s="201">
        <v>0.01</v>
      </c>
      <c r="P119" s="200">
        <v>0.02</v>
      </c>
      <c r="Q119" s="198">
        <v>2</v>
      </c>
      <c r="R119" s="14"/>
      <c r="S119" s="14"/>
      <c r="T119" s="14"/>
      <c r="U119" s="14"/>
      <c r="V119" s="198"/>
      <c r="W119" s="198"/>
      <c r="X119" s="15" t="s">
        <v>21</v>
      </c>
      <c r="Y119" s="202">
        <v>5.55136</v>
      </c>
      <c r="Z119" s="203">
        <v>7</v>
      </c>
      <c r="AA119" s="198">
        <f>H119-SUM(K119:P119)*H119-J119-I119/B119-Z119/B119</f>
        <v>-0.150473982300887</v>
      </c>
      <c r="AB119" s="201">
        <f>AA119/H119</f>
        <v>-0.00752670979896392</v>
      </c>
      <c r="AC119" s="14"/>
      <c r="AD119" s="204">
        <f>J119/H119</f>
        <v>0.232593037214886</v>
      </c>
      <c r="AE119" s="200">
        <f>I119/7.4/H119</f>
        <v>0.293109350891756</v>
      </c>
      <c r="AF119" s="200">
        <f>Z119/7.4/H119</f>
        <v>0.047316223786812</v>
      </c>
      <c r="AG119" s="200">
        <v>0.15</v>
      </c>
      <c r="AH119" s="200">
        <f>N119</f>
        <v>0.100040016006403</v>
      </c>
      <c r="AI119" s="200">
        <v>0.02</v>
      </c>
      <c r="AJ119" s="200">
        <f>M119</f>
        <v>0.02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</row>
    <row r="120" ht="21" customHeight="1" spans="1:75">
      <c r="A120" s="1"/>
      <c r="B120" s="1"/>
      <c r="C120" s="1"/>
      <c r="D120" s="1"/>
      <c r="E120" s="15"/>
      <c r="F120" s="198"/>
      <c r="G120" s="198"/>
      <c r="H120" s="15"/>
      <c r="I120" s="198"/>
      <c r="J120" s="15"/>
      <c r="K120" s="200"/>
      <c r="L120" s="200"/>
      <c r="M120" s="200"/>
      <c r="N120" s="200"/>
      <c r="O120" s="201"/>
      <c r="P120" s="200"/>
      <c r="Q120" s="200"/>
      <c r="R120" s="14"/>
      <c r="S120" s="14"/>
      <c r="T120" s="14"/>
      <c r="U120" s="14"/>
      <c r="V120" s="198"/>
      <c r="W120" s="198"/>
      <c r="X120" s="15"/>
      <c r="Y120" s="202"/>
      <c r="Z120" s="198"/>
      <c r="AA120" s="198"/>
      <c r="AB120" s="201"/>
      <c r="AC120" s="14"/>
      <c r="AD120" s="204"/>
      <c r="AE120" s="200"/>
      <c r="AF120" s="200"/>
      <c r="AG120" s="200"/>
      <c r="AH120" s="200"/>
      <c r="AI120" s="200"/>
      <c r="AJ120" s="200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</row>
    <row r="121" ht="11.4" spans="1:75">
      <c r="A121" s="207" t="s">
        <v>309</v>
      </c>
      <c r="B121" s="15">
        <v>8</v>
      </c>
      <c r="C121" s="14" t="s">
        <v>286</v>
      </c>
      <c r="D121" s="14" t="s">
        <v>287</v>
      </c>
      <c r="E121" s="15" t="s">
        <v>281</v>
      </c>
      <c r="F121" s="198">
        <f>IF(E121="有",(I121/B121+J121+Z121/B121)/(0.99999-K121-L121-M121-N121),(I121/B121+J121+Z121/B121)/(0.99999-K121-M121-N121))</f>
        <v>17.6713498394541</v>
      </c>
      <c r="G121" s="198">
        <f>IF(E121="有",(I121/B121+J121+Z121/B121)/(0.8-K121-L121-M121-N121-O121-P121),(I121/B121+J121+Z121/B121)/(0.8-K121-M121-N121-O121-P121))</f>
        <v>28.9618920380741</v>
      </c>
      <c r="H121" s="199">
        <v>24.99</v>
      </c>
      <c r="I121" s="198">
        <f>49/1.13</f>
        <v>43.3628318584071</v>
      </c>
      <c r="J121" s="14">
        <v>4.13</v>
      </c>
      <c r="K121" s="200">
        <v>0.15</v>
      </c>
      <c r="L121" s="200">
        <v>0.16</v>
      </c>
      <c r="M121" s="200">
        <v>0.02</v>
      </c>
      <c r="N121" s="200">
        <f>Q121/H121</f>
        <v>0.0800320128051221</v>
      </c>
      <c r="O121" s="201">
        <v>0.01</v>
      </c>
      <c r="P121" s="200">
        <v>0.02</v>
      </c>
      <c r="Q121" s="198">
        <v>2</v>
      </c>
      <c r="R121" s="14"/>
      <c r="S121" s="14"/>
      <c r="T121" s="14"/>
      <c r="U121" s="14"/>
      <c r="V121" s="198"/>
      <c r="W121" s="198"/>
      <c r="X121" s="14" t="s">
        <v>21</v>
      </c>
      <c r="Y121" s="202">
        <v>5.55136</v>
      </c>
      <c r="Z121" s="203">
        <v>7</v>
      </c>
      <c r="AA121" s="198">
        <f>H121-SUM(K121:P121)*H121-J121-I121/B121-Z121/B121</f>
        <v>3.56824601769911</v>
      </c>
      <c r="AB121" s="201">
        <f>AA121/H121</f>
        <v>0.142786955490161</v>
      </c>
      <c r="AC121" s="14"/>
      <c r="AD121" s="204">
        <f>J121/H121</f>
        <v>0.165266106442577</v>
      </c>
      <c r="AE121" s="200">
        <f>I121/7.4/H121</f>
        <v>0.234487480713405</v>
      </c>
      <c r="AF121" s="200">
        <f>Z121/7.4/H121</f>
        <v>0.0378529790294496</v>
      </c>
      <c r="AG121" s="200">
        <v>0.15</v>
      </c>
      <c r="AH121" s="200">
        <f>N121</f>
        <v>0.0800320128051221</v>
      </c>
      <c r="AI121" s="200">
        <v>0.02</v>
      </c>
      <c r="AJ121" s="200">
        <f>M121</f>
        <v>0.02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</row>
    <row r="122" ht="11.4" spans="1:75">
      <c r="A122" s="207" t="s">
        <v>310</v>
      </c>
      <c r="B122" s="15">
        <v>8</v>
      </c>
      <c r="C122" s="15" t="s">
        <v>286</v>
      </c>
      <c r="D122" s="15" t="s">
        <v>287</v>
      </c>
      <c r="E122" s="15" t="s">
        <v>281</v>
      </c>
      <c r="F122" s="198">
        <f>IF(E122="有",(I122/B122+J122+Z122/B122)/(0.99999-K122-L122-M122-N122),(I122/B122+J122+Z122/B122)/(0.99999-K122-M122-N122))</f>
        <v>17.9417866674396</v>
      </c>
      <c r="G122" s="198">
        <f>IF(E122="有",(I122/B122+J122+Z122/B122)/(0.8-K122-L122-M122-N122-O122-P122),(I122/B122+J122+Z122/B122)/(0.8-K122-M122-N122-O122-P122))</f>
        <v>29.6954722134043</v>
      </c>
      <c r="H122" s="199">
        <f>H121*0.9</f>
        <v>22.491</v>
      </c>
      <c r="I122" s="198">
        <f>49/1.13</f>
        <v>43.3628318584071</v>
      </c>
      <c r="J122" s="15">
        <v>4.13</v>
      </c>
      <c r="K122" s="200">
        <v>0.15</v>
      </c>
      <c r="L122" s="200">
        <v>0.16</v>
      </c>
      <c r="M122" s="200">
        <v>0.02</v>
      </c>
      <c r="N122" s="200">
        <f>Q122/H122</f>
        <v>0.0889244586723578</v>
      </c>
      <c r="O122" s="201">
        <v>0.01</v>
      </c>
      <c r="P122" s="200">
        <v>0.02</v>
      </c>
      <c r="Q122" s="198">
        <v>2</v>
      </c>
      <c r="R122" s="14"/>
      <c r="S122" s="14"/>
      <c r="T122" s="14"/>
      <c r="U122" s="14"/>
      <c r="V122" s="198"/>
      <c r="W122" s="198"/>
      <c r="X122" s="15" t="s">
        <v>21</v>
      </c>
      <c r="Y122" s="202">
        <v>5.55136</v>
      </c>
      <c r="Z122" s="203">
        <v>7</v>
      </c>
      <c r="AA122" s="198">
        <f>H122-SUM(K122:P122)*H122-J122-I122/B122-Z122/B122</f>
        <v>1.96888601769912</v>
      </c>
      <c r="AB122" s="201">
        <f>AA122/H122</f>
        <v>0.0875410616557341</v>
      </c>
      <c r="AC122" s="14"/>
      <c r="AD122" s="204">
        <f>J122/H122</f>
        <v>0.183629007158419</v>
      </c>
      <c r="AE122" s="200">
        <f>I122/B122/H122</f>
        <v>0.241001021844333</v>
      </c>
      <c r="AF122" s="200">
        <f>Z122/B122/H122</f>
        <v>0.0389044506691565</v>
      </c>
      <c r="AG122" s="200">
        <f>K122</f>
        <v>0.15</v>
      </c>
      <c r="AH122" s="200">
        <f>N122</f>
        <v>0.0889244586723578</v>
      </c>
      <c r="AI122" s="200">
        <v>0.02</v>
      </c>
      <c r="AJ122" s="200">
        <f>M122</f>
        <v>0.02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</row>
    <row r="123" ht="11.4" spans="1:75">
      <c r="A123" s="207" t="s">
        <v>311</v>
      </c>
      <c r="B123" s="15">
        <v>8</v>
      </c>
      <c r="C123" s="15" t="s">
        <v>286</v>
      </c>
      <c r="D123" s="15" t="s">
        <v>287</v>
      </c>
      <c r="E123" s="15" t="s">
        <v>281</v>
      </c>
      <c r="F123" s="198">
        <f>IF(E123="有",(I123/B123+J123+Z123/B123)/(0.99999-K123-L123-M123-N123),(I123/B123+J123+Z123/B123)/(0.99999-K123-M123-N123))</f>
        <v>18.1047688660441</v>
      </c>
      <c r="G123" s="198">
        <f>IF(E123="有",(I123/B123+J123+Z123/B123)/(0.8-K123-L123-M123-N123-O123-P123),(I123/B123+J123+Z123/B123)/(0.8-K123-M123-N123-O123-P123))</f>
        <v>30.1446118998027</v>
      </c>
      <c r="H123" s="208">
        <f>H121*0.85</f>
        <v>21.2415</v>
      </c>
      <c r="I123" s="198">
        <f>49/1.13</f>
        <v>43.3628318584071</v>
      </c>
      <c r="J123" s="15">
        <v>4.13</v>
      </c>
      <c r="K123" s="200">
        <v>0.15</v>
      </c>
      <c r="L123" s="200">
        <v>0.16</v>
      </c>
      <c r="M123" s="200">
        <v>0.02</v>
      </c>
      <c r="N123" s="200">
        <f>Q123/H123</f>
        <v>0.0941553091824965</v>
      </c>
      <c r="O123" s="201">
        <v>0.01</v>
      </c>
      <c r="P123" s="200">
        <v>0.02</v>
      </c>
      <c r="Q123" s="198">
        <v>2</v>
      </c>
      <c r="R123" s="14"/>
      <c r="S123" s="14"/>
      <c r="T123" s="14"/>
      <c r="U123" s="14"/>
      <c r="V123" s="198"/>
      <c r="W123" s="198"/>
      <c r="X123" s="15" t="s">
        <v>21</v>
      </c>
      <c r="Y123" s="202">
        <v>5.55136</v>
      </c>
      <c r="Z123" s="203">
        <v>7</v>
      </c>
      <c r="AA123" s="198">
        <f>H123-SUM(K123:P123)*H123-J123-I123/B123-Z123/B123</f>
        <v>1.16920601769911</v>
      </c>
      <c r="AB123" s="201">
        <f>AA123/H123</f>
        <v>0.0550434770472477</v>
      </c>
      <c r="AC123" s="14"/>
      <c r="AD123" s="204">
        <f>J123/H123</f>
        <v>0.194430713461855</v>
      </c>
      <c r="AE123" s="200">
        <f>I123/B123/H123</f>
        <v>0.255177552541058</v>
      </c>
      <c r="AF123" s="200">
        <f>Z123/B123/H123</f>
        <v>0.0411929477673422</v>
      </c>
      <c r="AG123" s="200">
        <f>K123</f>
        <v>0.15</v>
      </c>
      <c r="AH123" s="200">
        <f>N123</f>
        <v>0.0941553091824965</v>
      </c>
      <c r="AI123" s="200">
        <v>0.02</v>
      </c>
      <c r="AJ123" s="200">
        <f>M123</f>
        <v>0.02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</row>
    <row r="124" ht="11.4" spans="1:75">
      <c r="A124" s="207" t="s">
        <v>312</v>
      </c>
      <c r="B124" s="15">
        <v>8</v>
      </c>
      <c r="C124" s="15" t="s">
        <v>286</v>
      </c>
      <c r="D124" s="15" t="s">
        <v>287</v>
      </c>
      <c r="E124" s="15" t="s">
        <v>281</v>
      </c>
      <c r="F124" s="198">
        <f>IF(E124="有",(I124/B124+J124+Z124/B124)/(0.99999-K124-L124-M124-N124),(I124/B124+J124+Z124/B124)/(0.99999-K124-M124-N124))</f>
        <v>18.2916997545139</v>
      </c>
      <c r="G124" s="198">
        <f>IF(E124="有",(I124/B124+J124+Z124/B124)/(0.8-K124-L124-M124-N124-O124-P124),(I124/B124+J124+Z124/B124)/(0.8-K124-M124-N124-O124-P124))</f>
        <v>30.6664150875393</v>
      </c>
      <c r="H124" s="199">
        <f>H121*0.8</f>
        <v>19.992</v>
      </c>
      <c r="I124" s="198">
        <f>49/1.13</f>
        <v>43.3628318584071</v>
      </c>
      <c r="J124" s="15">
        <v>4.13</v>
      </c>
      <c r="K124" s="200">
        <v>0.15</v>
      </c>
      <c r="L124" s="200">
        <v>0.16</v>
      </c>
      <c r="M124" s="200">
        <v>0.02</v>
      </c>
      <c r="N124" s="200">
        <f>Q124/H124</f>
        <v>0.100040016006403</v>
      </c>
      <c r="O124" s="201">
        <v>0.01</v>
      </c>
      <c r="P124" s="200">
        <v>0.02</v>
      </c>
      <c r="Q124" s="198">
        <v>2</v>
      </c>
      <c r="R124" s="14"/>
      <c r="S124" s="14"/>
      <c r="T124" s="14"/>
      <c r="U124" s="14"/>
      <c r="V124" s="198"/>
      <c r="W124" s="198"/>
      <c r="X124" s="15" t="s">
        <v>21</v>
      </c>
      <c r="Y124" s="202">
        <v>5.55136</v>
      </c>
      <c r="Z124" s="203">
        <v>7</v>
      </c>
      <c r="AA124" s="198">
        <f>H124-SUM(K124:P124)*H124-J124-I124/B124-Z124/B124</f>
        <v>0.369526017699114</v>
      </c>
      <c r="AB124" s="201">
        <f>AA124/H124</f>
        <v>0.0184836943627008</v>
      </c>
      <c r="AC124" s="14"/>
      <c r="AD124" s="204">
        <f>J124/H124</f>
        <v>0.206582633053221</v>
      </c>
      <c r="AE124" s="200">
        <f>I124/7.4/H124</f>
        <v>0.293109350891756</v>
      </c>
      <c r="AF124" s="200">
        <f>Z124/7.4/H124</f>
        <v>0.047316223786812</v>
      </c>
      <c r="AG124" s="200">
        <v>0.15</v>
      </c>
      <c r="AH124" s="200">
        <f>N124</f>
        <v>0.100040016006403</v>
      </c>
      <c r="AI124" s="200">
        <v>0.02</v>
      </c>
      <c r="AJ124" s="200">
        <f>M124</f>
        <v>0.02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</row>
    <row r="125" ht="21" customHeight="1" spans="1:75">
      <c r="A125" s="1"/>
      <c r="B125" s="1"/>
      <c r="C125" s="1"/>
      <c r="D125" s="1"/>
      <c r="E125" s="15"/>
      <c r="F125" s="198"/>
      <c r="G125" s="198"/>
      <c r="H125" s="15"/>
      <c r="I125" s="198"/>
      <c r="J125" s="15"/>
      <c r="K125" s="200"/>
      <c r="L125" s="200"/>
      <c r="M125" s="200"/>
      <c r="N125" s="200"/>
      <c r="O125" s="201"/>
      <c r="P125" s="200"/>
      <c r="Q125" s="200"/>
      <c r="R125" s="14"/>
      <c r="S125" s="14"/>
      <c r="T125" s="14"/>
      <c r="U125" s="14"/>
      <c r="V125" s="198"/>
      <c r="W125" s="198"/>
      <c r="X125" s="15"/>
      <c r="Y125" s="202"/>
      <c r="Z125" s="198"/>
      <c r="AA125" s="198"/>
      <c r="AB125" s="201"/>
      <c r="AC125" s="14"/>
      <c r="AD125" s="204"/>
      <c r="AE125" s="200"/>
      <c r="AF125" s="200"/>
      <c r="AG125" s="200"/>
      <c r="AH125" s="200"/>
      <c r="AI125" s="200"/>
      <c r="AJ125" s="200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</row>
    <row r="126" ht="11.4" spans="1:75">
      <c r="A126" s="207" t="s">
        <v>309</v>
      </c>
      <c r="B126" s="15">
        <v>8</v>
      </c>
      <c r="C126" s="14" t="s">
        <v>289</v>
      </c>
      <c r="D126" s="14" t="s">
        <v>290</v>
      </c>
      <c r="E126" s="15" t="s">
        <v>281</v>
      </c>
      <c r="F126" s="198">
        <f>IF(E126="有",(I126/B126+J126+Z126/B126)/(0.99999-K126-L126-M126-N126),(I126/B126+J126+Z126/B126)/(0.99999-K126-M126-N126))</f>
        <v>17.1119879744354</v>
      </c>
      <c r="G126" s="198">
        <f>IF(E126="有",(I126/B126+J126+Z126/B126)/(0.8-K126-L126-M126-N126-O126-P126),(I126/B126+J126+Z126/B126)/(0.8-K126-M126-N126-O126-P126))</f>
        <v>28.0451438500711</v>
      </c>
      <c r="H126" s="199">
        <v>24.99</v>
      </c>
      <c r="I126" s="198">
        <f>49/1.13</f>
        <v>43.3628318584071</v>
      </c>
      <c r="J126" s="14">
        <v>3.8</v>
      </c>
      <c r="K126" s="200">
        <v>0.15</v>
      </c>
      <c r="L126" s="200">
        <v>0.16</v>
      </c>
      <c r="M126" s="200">
        <v>0.02</v>
      </c>
      <c r="N126" s="200">
        <f>Q126/H126</f>
        <v>0.0800320128051221</v>
      </c>
      <c r="O126" s="201">
        <v>0.01</v>
      </c>
      <c r="P126" s="200">
        <v>0.02</v>
      </c>
      <c r="Q126" s="198">
        <v>2</v>
      </c>
      <c r="R126" s="14"/>
      <c r="S126" s="14"/>
      <c r="T126" s="14"/>
      <c r="U126" s="14"/>
      <c r="V126" s="198"/>
      <c r="W126" s="198"/>
      <c r="X126" s="14" t="s">
        <v>21</v>
      </c>
      <c r="Y126" s="202">
        <v>5.55136</v>
      </c>
      <c r="Z126" s="203">
        <v>7</v>
      </c>
      <c r="AA126" s="198">
        <f>H126-SUM(K126:P126)*H126-J126-I126/B126-Z126/B126</f>
        <v>3.89824601769911</v>
      </c>
      <c r="AB126" s="201">
        <f>AA126/H126</f>
        <v>0.155992237603006</v>
      </c>
      <c r="AC126" s="14"/>
      <c r="AD126" s="204">
        <f>J126/H126</f>
        <v>0.152060824329732</v>
      </c>
      <c r="AE126" s="200">
        <f>I126/7.4/H126</f>
        <v>0.234487480713405</v>
      </c>
      <c r="AF126" s="200">
        <f>Z126/7.4/H126</f>
        <v>0.0378529790294496</v>
      </c>
      <c r="AG126" s="200">
        <v>0.15</v>
      </c>
      <c r="AH126" s="200">
        <f>N126</f>
        <v>0.0800320128051221</v>
      </c>
      <c r="AI126" s="200">
        <v>0.02</v>
      </c>
      <c r="AJ126" s="200">
        <f>M126</f>
        <v>0.02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</row>
    <row r="127" ht="11.4" spans="1:75">
      <c r="A127" s="207" t="s">
        <v>310</v>
      </c>
      <c r="B127" s="15">
        <v>8</v>
      </c>
      <c r="C127" s="15" t="s">
        <v>289</v>
      </c>
      <c r="D127" s="15" t="s">
        <v>290</v>
      </c>
      <c r="E127" s="15" t="s">
        <v>281</v>
      </c>
      <c r="F127" s="198">
        <f>IF(E127="有",(I127/B127+J127+Z127/B127)/(0.99999-K127-L127-M127-N127),(I127/B127+J127+Z127/B127)/(0.99999-K127-M127-N127))</f>
        <v>17.3738645028487</v>
      </c>
      <c r="G127" s="198">
        <f>IF(E127="有",(I127/B127+J127+Z127/B127)/(0.8-K127-L127-M127-N127-O127-P127),(I127/B127+J127+Z127/B127)/(0.8-K127-M127-N127-O127-P127))</f>
        <v>28.7555035708949</v>
      </c>
      <c r="H127" s="199">
        <f>H126*0.9</f>
        <v>22.491</v>
      </c>
      <c r="I127" s="198">
        <f>49/1.13</f>
        <v>43.3628318584071</v>
      </c>
      <c r="J127" s="15">
        <v>3.8</v>
      </c>
      <c r="K127" s="200">
        <v>0.15</v>
      </c>
      <c r="L127" s="200">
        <v>0.16</v>
      </c>
      <c r="M127" s="200">
        <v>0.02</v>
      </c>
      <c r="N127" s="200">
        <f>Q127/H127</f>
        <v>0.0889244586723578</v>
      </c>
      <c r="O127" s="201">
        <v>0.01</v>
      </c>
      <c r="P127" s="200">
        <v>0.02</v>
      </c>
      <c r="Q127" s="198">
        <v>2</v>
      </c>
      <c r="R127" s="14"/>
      <c r="S127" s="14"/>
      <c r="T127" s="14"/>
      <c r="U127" s="14"/>
      <c r="V127" s="198"/>
      <c r="W127" s="198"/>
      <c r="X127" s="15" t="s">
        <v>21</v>
      </c>
      <c r="Y127" s="202">
        <v>5.55136</v>
      </c>
      <c r="Z127" s="203">
        <v>7</v>
      </c>
      <c r="AA127" s="198">
        <f>H127-SUM(K127:P127)*H127-J127-I127/B127-Z127/B127</f>
        <v>2.29888601769911</v>
      </c>
      <c r="AB127" s="201">
        <f>AA127/H127</f>
        <v>0.102213597336673</v>
      </c>
      <c r="AC127" s="14"/>
      <c r="AD127" s="204">
        <f>J127/H127</f>
        <v>0.16895647147748</v>
      </c>
      <c r="AE127" s="200">
        <f>I127/B127/H127</f>
        <v>0.241001021844333</v>
      </c>
      <c r="AF127" s="200">
        <f>Z127/B127/H127</f>
        <v>0.0389044506691565</v>
      </c>
      <c r="AG127" s="200">
        <f>K127</f>
        <v>0.15</v>
      </c>
      <c r="AH127" s="200">
        <f>N127</f>
        <v>0.0889244586723578</v>
      </c>
      <c r="AI127" s="200">
        <v>0.02</v>
      </c>
      <c r="AJ127" s="200">
        <f>M127</f>
        <v>0.02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</row>
    <row r="128" ht="11.4" spans="1:75">
      <c r="A128" s="207" t="s">
        <v>311</v>
      </c>
      <c r="B128" s="15">
        <v>8</v>
      </c>
      <c r="C128" s="15" t="s">
        <v>289</v>
      </c>
      <c r="D128" s="15" t="s">
        <v>290</v>
      </c>
      <c r="E128" s="15" t="s">
        <v>281</v>
      </c>
      <c r="F128" s="198">
        <f>IF(E128="有",(I128/B128+J128+Z128/B128)/(0.99999-K128-L128-M128-N128),(I128/B128+J128+Z128/B128)/(0.99999-K128-M128-N128))</f>
        <v>17.531687727894</v>
      </c>
      <c r="G128" s="198">
        <f>IF(E128="有",(I128/B128+J128+Z128/B128)/(0.8-K128-L128-M128-N128-O128-P128),(I128/B128+J128+Z128/B128)/(0.8-K128-M128-N128-O128-P128))</f>
        <v>29.1904263686616</v>
      </c>
      <c r="H128" s="208">
        <f>H126*0.85</f>
        <v>21.2415</v>
      </c>
      <c r="I128" s="198">
        <f>49/1.13</f>
        <v>43.3628318584071</v>
      </c>
      <c r="J128" s="15">
        <v>3.8</v>
      </c>
      <c r="K128" s="200">
        <v>0.15</v>
      </c>
      <c r="L128" s="200">
        <v>0.16</v>
      </c>
      <c r="M128" s="200">
        <v>0.02</v>
      </c>
      <c r="N128" s="200">
        <f>Q128/H128</f>
        <v>0.0941553091824965</v>
      </c>
      <c r="O128" s="201">
        <v>0.01</v>
      </c>
      <c r="P128" s="200">
        <v>0.02</v>
      </c>
      <c r="Q128" s="198">
        <v>2</v>
      </c>
      <c r="R128" s="14"/>
      <c r="S128" s="14"/>
      <c r="T128" s="14"/>
      <c r="U128" s="14"/>
      <c r="V128" s="198"/>
      <c r="W128" s="198"/>
      <c r="X128" s="15" t="s">
        <v>21</v>
      </c>
      <c r="Y128" s="202">
        <v>5.55136</v>
      </c>
      <c r="Z128" s="203">
        <v>7</v>
      </c>
      <c r="AA128" s="198">
        <f>H128-SUM(K128:P128)*H128-J128-I128/B128-Z128/B128</f>
        <v>1.49920601769911</v>
      </c>
      <c r="AB128" s="201">
        <f>AA128/H128</f>
        <v>0.0705791030623596</v>
      </c>
      <c r="AC128" s="14"/>
      <c r="AD128" s="204">
        <f>J128/H128</f>
        <v>0.178895087446743</v>
      </c>
      <c r="AE128" s="200">
        <f>I128/B128/H128</f>
        <v>0.255177552541058</v>
      </c>
      <c r="AF128" s="200">
        <f>Z128/B128/H128</f>
        <v>0.0411929477673422</v>
      </c>
      <c r="AG128" s="200">
        <f>K128</f>
        <v>0.15</v>
      </c>
      <c r="AH128" s="200">
        <f>N128</f>
        <v>0.0941553091824965</v>
      </c>
      <c r="AI128" s="200">
        <v>0.02</v>
      </c>
      <c r="AJ128" s="200">
        <f>M128</f>
        <v>0.02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</row>
    <row r="129" ht="11.4" spans="1:75">
      <c r="A129" s="207" t="s">
        <v>312</v>
      </c>
      <c r="B129" s="15">
        <v>8</v>
      </c>
      <c r="C129" s="15" t="s">
        <v>289</v>
      </c>
      <c r="D129" s="15" t="s">
        <v>290</v>
      </c>
      <c r="E129" s="15" t="s">
        <v>281</v>
      </c>
      <c r="F129" s="198">
        <f>IF(E129="有",(I129/B129+J129+Z129/B129)/(0.99999-K129-L129-M129-N129),(I129/B129+J129+Z129/B129)/(0.99999-K129-M129-N129))</f>
        <v>17.7127015805203</v>
      </c>
      <c r="G129" s="198">
        <f>IF(E129="有",(I129/B129+J129+Z129/B129)/(0.8-K129-L129-M129-N129-O129-P129),(I129/B129+J129+Z129/B129)/(0.8-K129-M129-N129-O129-P129))</f>
        <v>29.6957126062549</v>
      </c>
      <c r="H129" s="199">
        <f>H126*0.8</f>
        <v>19.992</v>
      </c>
      <c r="I129" s="198">
        <f>49/1.13</f>
        <v>43.3628318584071</v>
      </c>
      <c r="J129" s="15">
        <v>3.8</v>
      </c>
      <c r="K129" s="200">
        <v>0.15</v>
      </c>
      <c r="L129" s="200">
        <v>0.16</v>
      </c>
      <c r="M129" s="200">
        <v>0.02</v>
      </c>
      <c r="N129" s="200">
        <f>Q129/H129</f>
        <v>0.100040016006403</v>
      </c>
      <c r="O129" s="201">
        <v>0.01</v>
      </c>
      <c r="P129" s="200">
        <v>0.02</v>
      </c>
      <c r="Q129" s="198">
        <v>2</v>
      </c>
      <c r="R129" s="14"/>
      <c r="S129" s="14"/>
      <c r="T129" s="14"/>
      <c r="U129" s="14"/>
      <c r="V129" s="198"/>
      <c r="W129" s="198"/>
      <c r="X129" s="15" t="s">
        <v>21</v>
      </c>
      <c r="Y129" s="202">
        <v>5.55136</v>
      </c>
      <c r="Z129" s="203">
        <v>7</v>
      </c>
      <c r="AA129" s="198">
        <f>H129-SUM(K129:P129)*H129-J129-I129/B129-Z129/B129</f>
        <v>0.699526017699114</v>
      </c>
      <c r="AB129" s="201">
        <f>AA129/H129</f>
        <v>0.0349902970037572</v>
      </c>
      <c r="AC129" s="14"/>
      <c r="AD129" s="204">
        <f>J129/H129</f>
        <v>0.190076030412165</v>
      </c>
      <c r="AE129" s="200">
        <f>I129/7.4/H129</f>
        <v>0.293109350891756</v>
      </c>
      <c r="AF129" s="200">
        <f>Z129/7.4/H129</f>
        <v>0.047316223786812</v>
      </c>
      <c r="AG129" s="200">
        <v>0.15</v>
      </c>
      <c r="AH129" s="200">
        <f>N129</f>
        <v>0.100040016006403</v>
      </c>
      <c r="AI129" s="200">
        <v>0.02</v>
      </c>
      <c r="AJ129" s="200">
        <f>M129</f>
        <v>0.02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</row>
    <row r="130" ht="11.4" spans="1:75">
      <c r="A130" s="1"/>
      <c r="B130" s="14"/>
      <c r="C130" s="15"/>
      <c r="D130" s="15"/>
      <c r="E130" s="15"/>
      <c r="F130" s="198"/>
      <c r="G130" s="198"/>
      <c r="H130" s="14"/>
      <c r="I130" s="198"/>
      <c r="J130" s="15"/>
      <c r="K130" s="200"/>
      <c r="L130" s="200"/>
      <c r="M130" s="200"/>
      <c r="N130" s="200"/>
      <c r="O130" s="201"/>
      <c r="P130" s="200"/>
      <c r="Q130" s="200"/>
      <c r="R130" s="14"/>
      <c r="S130" s="14"/>
      <c r="T130" s="14"/>
      <c r="U130" s="14"/>
      <c r="V130" s="198"/>
      <c r="W130" s="198"/>
      <c r="X130" s="14"/>
      <c r="Y130" s="202"/>
      <c r="Z130" s="198"/>
      <c r="AA130" s="198"/>
      <c r="AB130" s="201"/>
      <c r="AC130" s="14"/>
      <c r="AD130" s="204"/>
      <c r="AE130" s="200"/>
      <c r="AF130" s="200"/>
      <c r="AG130" s="200"/>
      <c r="AH130" s="200"/>
      <c r="AI130" s="200"/>
      <c r="AJ130" s="200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</row>
    <row r="131" ht="11.4" spans="1:75">
      <c r="A131" s="207" t="s">
        <v>309</v>
      </c>
      <c r="B131" s="14">
        <v>9</v>
      </c>
      <c r="C131" s="15" t="s">
        <v>291</v>
      </c>
      <c r="D131" s="15" t="s">
        <v>86</v>
      </c>
      <c r="E131" s="15" t="s">
        <v>281</v>
      </c>
      <c r="F131" s="198">
        <f>IF(E131="有",(I131/B131+J131+Z131/B131)/(0.99999-K131-L131-M131-N131),(I131/B131+J131+Z131/B131)/(0.99999-K131-M131-N131))</f>
        <v>15.3008798617447</v>
      </c>
      <c r="G131" s="198">
        <f>IF(E131="有",(I131/B131+J131+Z131/B131)/(0.8-K131-L131-M131-N131-O131-P131),(I131/B131+J131+Z131/B131)/(0.8-K131-M131-N131-O131-P131))</f>
        <v>28.1760404599997</v>
      </c>
      <c r="H131" s="199">
        <v>15.99</v>
      </c>
      <c r="I131" s="198">
        <f>49/1.13</f>
        <v>43.3628318584071</v>
      </c>
      <c r="J131" s="14">
        <v>2.77</v>
      </c>
      <c r="K131" s="200">
        <v>0.15</v>
      </c>
      <c r="L131" s="200">
        <v>0.16</v>
      </c>
      <c r="M131" s="210">
        <v>0</v>
      </c>
      <c r="N131" s="200">
        <f>Q131/H131</f>
        <v>0.125078173858662</v>
      </c>
      <c r="O131" s="201">
        <f>0.61/H131</f>
        <v>0.0381488430268918</v>
      </c>
      <c r="P131" s="200">
        <v>0.02</v>
      </c>
      <c r="Q131" s="198">
        <v>2</v>
      </c>
      <c r="R131" s="14">
        <v>33.5</v>
      </c>
      <c r="S131" s="14">
        <v>26.5</v>
      </c>
      <c r="T131" s="14">
        <v>25</v>
      </c>
      <c r="U131" s="14">
        <v>2.3</v>
      </c>
      <c r="V131" s="198">
        <f>R131*S131*T131/6000</f>
        <v>3.69895833333333</v>
      </c>
      <c r="W131" s="198">
        <f>MAX(U131:V131)</f>
        <v>3.69895833333333</v>
      </c>
      <c r="X131" s="15" t="s">
        <v>21</v>
      </c>
      <c r="Y131" s="202">
        <v>6.084</v>
      </c>
      <c r="Z131" s="203">
        <v>9.5</v>
      </c>
      <c r="AA131" s="198">
        <f>H131-SUM(K131:P131)*H131-J131-I131/B131-Z131/B131</f>
        <v>-0.540347984267452</v>
      </c>
      <c r="AB131" s="201">
        <f>AA131/H131</f>
        <v>-0.0337928695601909</v>
      </c>
      <c r="AC131" s="14"/>
      <c r="AD131" s="204">
        <f>J131/H131</f>
        <v>0.173233270794246</v>
      </c>
      <c r="AE131" s="200">
        <f>I131/7.4/H131</f>
        <v>0.366469177174983</v>
      </c>
      <c r="AF131" s="200">
        <f>Z131/7.4/H131</f>
        <v>0.0802866656525193</v>
      </c>
      <c r="AG131" s="200">
        <v>0.15</v>
      </c>
      <c r="AH131" s="200">
        <f>N131</f>
        <v>0.125078173858662</v>
      </c>
      <c r="AI131" s="200">
        <v>0.02</v>
      </c>
      <c r="AJ131" s="200">
        <f>M131</f>
        <v>0</v>
      </c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</row>
    <row r="132" ht="11.4" spans="1:75">
      <c r="A132" s="207" t="s">
        <v>310</v>
      </c>
      <c r="B132" s="14">
        <v>9</v>
      </c>
      <c r="C132" s="15" t="s">
        <v>291</v>
      </c>
      <c r="D132" s="15" t="s">
        <v>86</v>
      </c>
      <c r="E132" s="15" t="s">
        <v>281</v>
      </c>
      <c r="F132" s="198">
        <f>IF(E132="有",(I132/B132+J132+Z132/B132)/(0.99999-K132-L132-M132-N132),(I132/B132+J132+Z132/B132)/(0.99999-K132-M132-N132))</f>
        <v>16.2776195998976</v>
      </c>
      <c r="G132" s="198">
        <f>IF(E132="有",(I132/B132+J132+Z132/B132)/(0.8-K132-L132-M132-N132-O132-P132),(I132/B132+J132+Z132/B132)/(0.8-K132-M132-N132-O132-P132))</f>
        <v>32.1759821367563</v>
      </c>
      <c r="H132" s="199">
        <f>H131*0.9</f>
        <v>14.391</v>
      </c>
      <c r="I132" s="198">
        <f>49/1.13</f>
        <v>43.3628318584071</v>
      </c>
      <c r="J132" s="15">
        <v>2.77</v>
      </c>
      <c r="K132" s="200">
        <v>0.15</v>
      </c>
      <c r="L132" s="200">
        <v>0.16</v>
      </c>
      <c r="M132" s="200">
        <v>0.02</v>
      </c>
      <c r="N132" s="200">
        <f>Q132/H132</f>
        <v>0.138975748731846</v>
      </c>
      <c r="O132" s="201">
        <f>0.61/H132</f>
        <v>0.0423876033632131</v>
      </c>
      <c r="P132" s="200">
        <v>0.02</v>
      </c>
      <c r="Q132" s="198">
        <v>2</v>
      </c>
      <c r="R132" s="14">
        <v>33.5</v>
      </c>
      <c r="S132" s="14">
        <v>26.5</v>
      </c>
      <c r="T132" s="14">
        <v>25</v>
      </c>
      <c r="U132" s="14">
        <v>2.3</v>
      </c>
      <c r="V132" s="198">
        <f>R132*S132*T132/6000</f>
        <v>3.69895833333333</v>
      </c>
      <c r="W132" s="198">
        <f>MAX(U132:V132)</f>
        <v>3.69895833333333</v>
      </c>
      <c r="X132" s="15" t="s">
        <v>21</v>
      </c>
      <c r="Y132" s="202">
        <v>6.084</v>
      </c>
      <c r="Z132" s="203">
        <v>9.5</v>
      </c>
      <c r="AA132" s="198">
        <f>H132-SUM(K132:P132)*H132-J132-I132/B132-Z132/B132</f>
        <v>-1.89949798426745</v>
      </c>
      <c r="AB132" s="201">
        <f>AA132/H132</f>
        <v>-0.131992077289101</v>
      </c>
      <c r="AC132" s="14"/>
      <c r="AD132" s="204">
        <f>J132/H132</f>
        <v>0.192481411993607</v>
      </c>
      <c r="AE132" s="200">
        <f>I132/7.4/H132</f>
        <v>0.40718797463887</v>
      </c>
      <c r="AF132" s="200">
        <f>Z132/7.4/H132</f>
        <v>0.089207406280577</v>
      </c>
      <c r="AG132" s="200">
        <v>0.15</v>
      </c>
      <c r="AH132" s="200">
        <f>N132</f>
        <v>0.138975748731846</v>
      </c>
      <c r="AI132" s="200">
        <v>0.02</v>
      </c>
      <c r="AJ132" s="200">
        <f>M132</f>
        <v>0.02</v>
      </c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</row>
    <row r="133" ht="11.4" spans="1:75">
      <c r="A133" s="207" t="s">
        <v>311</v>
      </c>
      <c r="B133" s="14">
        <v>9</v>
      </c>
      <c r="C133" s="15" t="s">
        <v>291</v>
      </c>
      <c r="D133" s="15" t="s">
        <v>86</v>
      </c>
      <c r="E133" s="15" t="s">
        <v>281</v>
      </c>
      <c r="F133" s="198">
        <f>IF(E133="有",(I133/B133+J133+Z133/B133)/(0.99999-K133-L133-M133-N133),(I133/B133+J133+Z133/B133)/(0.99999-K133-M133-N133))</f>
        <v>16.5321342868344</v>
      </c>
      <c r="G133" s="198">
        <f>IF(E133="有",(I133/B133+J133+Z133/B133)/(0.8-K133-L133-M133-N133-O133-P133),(I133/B133+J133+Z133/B133)/(0.8-K133-M133-N133-O133-P133))</f>
        <v>33.5066394513027</v>
      </c>
      <c r="H133" s="208">
        <f>H131*0.85</f>
        <v>13.5915</v>
      </c>
      <c r="I133" s="198">
        <f>49/1.13</f>
        <v>43.3628318584071</v>
      </c>
      <c r="J133" s="15">
        <v>2.77</v>
      </c>
      <c r="K133" s="200">
        <v>0.15</v>
      </c>
      <c r="L133" s="200">
        <v>0.16</v>
      </c>
      <c r="M133" s="200">
        <v>0.02</v>
      </c>
      <c r="N133" s="200">
        <f>Q133/H133</f>
        <v>0.147150792774896</v>
      </c>
      <c r="O133" s="201">
        <f>0.61/H133</f>
        <v>0.0448809917963433</v>
      </c>
      <c r="P133" s="200">
        <v>0.02</v>
      </c>
      <c r="Q133" s="198">
        <v>2</v>
      </c>
      <c r="R133" s="14">
        <v>33.5</v>
      </c>
      <c r="S133" s="14">
        <v>26.5</v>
      </c>
      <c r="T133" s="14">
        <v>25</v>
      </c>
      <c r="U133" s="14">
        <v>2.3</v>
      </c>
      <c r="V133" s="198">
        <f>R133*S133*T133/6000</f>
        <v>3.69895833333333</v>
      </c>
      <c r="W133" s="198">
        <f>MAX(U133:V133)</f>
        <v>3.69895833333333</v>
      </c>
      <c r="X133" s="15" t="s">
        <v>21</v>
      </c>
      <c r="Y133" s="202">
        <v>6.084</v>
      </c>
      <c r="Z133" s="203">
        <v>9.5</v>
      </c>
      <c r="AA133" s="198">
        <f>H133-SUM(K133:P133)*H133-J133-I133/B133-Z133/B133</f>
        <v>-2.41917298426745</v>
      </c>
      <c r="AB133" s="201">
        <f>AA133/H133</f>
        <v>-0.177991611247284</v>
      </c>
      <c r="AC133" s="14"/>
      <c r="AD133" s="204">
        <f>J133/H133</f>
        <v>0.203803847993231</v>
      </c>
      <c r="AE133" s="200">
        <f>I133/7.4/H133</f>
        <v>0.431140208441157</v>
      </c>
      <c r="AF133" s="200">
        <f>Z133/7.4/H133</f>
        <v>0.0944549007676698</v>
      </c>
      <c r="AG133" s="200">
        <v>0.15</v>
      </c>
      <c r="AH133" s="200">
        <f>N133</f>
        <v>0.147150792774896</v>
      </c>
      <c r="AI133" s="200">
        <v>0.02</v>
      </c>
      <c r="AJ133" s="200">
        <f>M133</f>
        <v>0.02</v>
      </c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</row>
    <row r="134" ht="11.4" spans="1:75">
      <c r="A134" s="207" t="s">
        <v>312</v>
      </c>
      <c r="B134" s="14">
        <v>9</v>
      </c>
      <c r="C134" s="15" t="s">
        <v>291</v>
      </c>
      <c r="D134" s="15" t="s">
        <v>86</v>
      </c>
      <c r="E134" s="15" t="s">
        <v>281</v>
      </c>
      <c r="F134" s="198">
        <f>IF(E134="有",(I134/B134+J134+Z134/B134)/(0.99999-K134-L134-M134-N134),(I134/B134+J134+Z134/B134)/(0.99999-K134-M134-N134))</f>
        <v>16.8281472841839</v>
      </c>
      <c r="G134" s="198">
        <f>IF(E134="有",(I134/B134+J134+Z134/B134)/(0.8-K134-L134-M134-N134-O134-P134),(I134/B134+J134+Z134/B134)/(0.8-K134-M134-N134-O134-P134))</f>
        <v>35.1416046957632</v>
      </c>
      <c r="H134" s="199">
        <f>H131*0.8</f>
        <v>12.792</v>
      </c>
      <c r="I134" s="198">
        <f>49/1.13</f>
        <v>43.3628318584071</v>
      </c>
      <c r="J134" s="15">
        <v>2.77</v>
      </c>
      <c r="K134" s="200">
        <v>0.15</v>
      </c>
      <c r="L134" s="200">
        <v>0.16</v>
      </c>
      <c r="M134" s="200">
        <v>0.02</v>
      </c>
      <c r="N134" s="200">
        <f>Q134/H134</f>
        <v>0.156347717323327</v>
      </c>
      <c r="O134" s="201">
        <f>0.61/H134</f>
        <v>0.0476860537836148</v>
      </c>
      <c r="P134" s="200">
        <v>0.02</v>
      </c>
      <c r="Q134" s="198">
        <v>2</v>
      </c>
      <c r="R134" s="14">
        <v>33.5</v>
      </c>
      <c r="S134" s="14">
        <v>26.5</v>
      </c>
      <c r="T134" s="14">
        <v>25</v>
      </c>
      <c r="U134" s="14">
        <v>2.3</v>
      </c>
      <c r="V134" s="198">
        <f>R134*S134*T134/6000</f>
        <v>3.69895833333333</v>
      </c>
      <c r="W134" s="198">
        <f>MAX(U134:V134)</f>
        <v>3.69895833333333</v>
      </c>
      <c r="X134" s="15" t="s">
        <v>21</v>
      </c>
      <c r="Y134" s="202">
        <v>6.084</v>
      </c>
      <c r="Z134" s="203">
        <v>9.5</v>
      </c>
      <c r="AA134" s="198">
        <f>H134-SUM(K134:P134)*H134-J134-I134/B134-Z134/B134</f>
        <v>-2.93884798426745</v>
      </c>
      <c r="AB134" s="201">
        <f>AA134/H134</f>
        <v>-0.229741086950239</v>
      </c>
      <c r="AC134" s="14"/>
      <c r="AD134" s="204">
        <f>J134/H134</f>
        <v>0.216541588492808</v>
      </c>
      <c r="AE134" s="200">
        <f>I134/7.4/H134</f>
        <v>0.458086471468729</v>
      </c>
      <c r="AF134" s="200">
        <f>Z134/7.4/H134</f>
        <v>0.100358332065649</v>
      </c>
      <c r="AG134" s="200">
        <v>0.15</v>
      </c>
      <c r="AH134" s="200">
        <f>N134</f>
        <v>0.156347717323327</v>
      </c>
      <c r="AI134" s="200">
        <v>0.02</v>
      </c>
      <c r="AJ134" s="200">
        <f>M134</f>
        <v>0.02</v>
      </c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</row>
    <row r="135" ht="11.4" spans="1:75">
      <c r="A135" s="1"/>
      <c r="B135" s="14"/>
      <c r="C135" s="15"/>
      <c r="D135" s="15"/>
      <c r="E135" s="15"/>
      <c r="F135" s="198"/>
      <c r="G135" s="198"/>
      <c r="H135" s="14"/>
      <c r="I135" s="198"/>
      <c r="J135" s="15"/>
      <c r="K135" s="200"/>
      <c r="L135" s="200"/>
      <c r="M135" s="200"/>
      <c r="N135" s="200"/>
      <c r="O135" s="201"/>
      <c r="P135" s="200"/>
      <c r="Q135" s="200"/>
      <c r="R135" s="14"/>
      <c r="S135" s="14"/>
      <c r="T135" s="14"/>
      <c r="U135" s="14"/>
      <c r="V135" s="198"/>
      <c r="W135" s="198"/>
      <c r="X135" s="14"/>
      <c r="Y135" s="202"/>
      <c r="Z135" s="198"/>
      <c r="AA135" s="198"/>
      <c r="AB135" s="201"/>
      <c r="AC135" s="14"/>
      <c r="AD135" s="204"/>
      <c r="AE135" s="200"/>
      <c r="AF135" s="200"/>
      <c r="AG135" s="200"/>
      <c r="AH135" s="200"/>
      <c r="AI135" s="200"/>
      <c r="AJ135" s="200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</row>
    <row r="136" ht="11.4" spans="1:75">
      <c r="A136" s="1" t="s">
        <v>313</v>
      </c>
      <c r="B136" s="14">
        <v>7.5</v>
      </c>
      <c r="C136" s="15" t="s">
        <v>279</v>
      </c>
      <c r="D136" s="15" t="s">
        <v>280</v>
      </c>
      <c r="E136" s="15" t="s">
        <v>281</v>
      </c>
      <c r="F136" s="198">
        <f>IF(E136="有",(I136/B136+J136+Z136/B136)/(0.99999-K136-L136-M136-N136),(I136/B136+J136+Z136/B136)/(0.99999-K136-M136-N136))</f>
        <v>119.785424993728</v>
      </c>
      <c r="G136" s="198">
        <f>IF(E136="有",(I136/B136+J136+Z136/B136)/(0.8-K136-L136-M136-N136-O136-P136),(I136/B136+J136+Z136/B136)/(0.8-K136-M136-N136-O136-P136))</f>
        <v>238.308041694678</v>
      </c>
      <c r="H136" s="52">
        <v>159.99</v>
      </c>
      <c r="I136" s="198">
        <f>380/1.13</f>
        <v>336.283185840708</v>
      </c>
      <c r="J136" s="15">
        <v>5.69</v>
      </c>
      <c r="K136" s="200">
        <v>0.15</v>
      </c>
      <c r="L136" s="200">
        <v>0.16</v>
      </c>
      <c r="M136" s="200">
        <v>0.09</v>
      </c>
      <c r="N136" s="200">
        <v>0.15</v>
      </c>
      <c r="O136" s="201">
        <f>0.61/H136</f>
        <v>0.00381273829614351</v>
      </c>
      <c r="P136" s="200">
        <v>0.02</v>
      </c>
      <c r="Q136" s="200"/>
      <c r="R136" s="14">
        <v>38.5</v>
      </c>
      <c r="S136" s="14">
        <v>32.5</v>
      </c>
      <c r="T136" s="14">
        <v>18.3</v>
      </c>
      <c r="U136" s="14">
        <v>2.3</v>
      </c>
      <c r="V136" s="198">
        <f>R136*S136*T136/6000</f>
        <v>3.8163125</v>
      </c>
      <c r="W136" s="198">
        <f>MAX(U136:V136)</f>
        <v>3.8163125</v>
      </c>
      <c r="X136" s="14" t="s">
        <v>21</v>
      </c>
      <c r="Y136" s="202">
        <v>6.6317</v>
      </c>
      <c r="Z136" s="198">
        <f>W136*Y136</f>
        <v>25.30863960625</v>
      </c>
      <c r="AA136" s="198">
        <f>H136-SUM(K136:P136)*H136-J136-I136/B136-Z136/B136</f>
        <v>14.2834566070723</v>
      </c>
      <c r="AB136" s="201">
        <f>AA136/H136</f>
        <v>0.0892771836181778</v>
      </c>
      <c r="AC136" s="14"/>
      <c r="AD136" s="204">
        <f>J136/H136</f>
        <v>0.0355647227951747</v>
      </c>
      <c r="AE136" s="200">
        <f>I136/7.4/H136</f>
        <v>0.284040713558709</v>
      </c>
      <c r="AF136" s="200">
        <f>Z136/7.4/H136</f>
        <v>0.0213768762627478</v>
      </c>
      <c r="AG136" s="200">
        <v>0.15</v>
      </c>
      <c r="AH136" s="200">
        <f>N136</f>
        <v>0.15</v>
      </c>
      <c r="AI136" s="200">
        <v>0.02</v>
      </c>
      <c r="AJ136" s="200">
        <f>M136</f>
        <v>0.09</v>
      </c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</row>
    <row r="137" ht="11.4" spans="1:75">
      <c r="A137" s="1" t="s">
        <v>314</v>
      </c>
      <c r="B137" s="14">
        <v>9</v>
      </c>
      <c r="C137" s="15" t="s">
        <v>291</v>
      </c>
      <c r="D137" s="15" t="s">
        <v>86</v>
      </c>
      <c r="E137" s="15" t="s">
        <v>281</v>
      </c>
      <c r="F137" s="198">
        <f>IF(E137="有",(I137/B137+J137+Z137/B137)/(0.99999-K137-L137-M137-N137),(I137/B137+J137+Z137/B137)/(0.99999-K137-M137-N137))</f>
        <v>100.817505931479</v>
      </c>
      <c r="G137" s="198">
        <f>IF(E137="有",(I137/B137+J137+Z137/B137)/(0.8-K137-L137-M137-N137-O137-P137),(I137/B137+J137+Z137/B137)/(0.8-K137-M137-N137-O137-P137))</f>
        <v>200.797833887252</v>
      </c>
      <c r="H137" s="14">
        <v>149.99</v>
      </c>
      <c r="I137" s="198">
        <f>380/1.13</f>
        <v>336.283185840708</v>
      </c>
      <c r="J137" s="15">
        <v>5.19</v>
      </c>
      <c r="K137" s="200">
        <v>0.15</v>
      </c>
      <c r="L137" s="200">
        <v>0.16</v>
      </c>
      <c r="M137" s="200">
        <v>0.09</v>
      </c>
      <c r="N137" s="200">
        <v>0.15</v>
      </c>
      <c r="O137" s="201">
        <f>0.61/H137</f>
        <v>0.00406693779585306</v>
      </c>
      <c r="P137" s="200">
        <v>0.02</v>
      </c>
      <c r="Q137" s="200"/>
      <c r="R137" s="15">
        <v>38.5</v>
      </c>
      <c r="S137" s="15">
        <v>32.5</v>
      </c>
      <c r="T137" s="15">
        <v>18.3</v>
      </c>
      <c r="U137" s="14">
        <v>2.3</v>
      </c>
      <c r="V137" s="198">
        <f>R137*S137*T137/6000</f>
        <v>3.8163125</v>
      </c>
      <c r="W137" s="198">
        <f>MAX(U137:V137)</f>
        <v>3.8163125</v>
      </c>
      <c r="X137" s="15" t="s">
        <v>21</v>
      </c>
      <c r="Y137" s="202">
        <v>6.6317</v>
      </c>
      <c r="Z137" s="198">
        <f>W137*Y137</f>
        <v>25.30863960625</v>
      </c>
      <c r="AA137" s="198">
        <f>H137-SUM(K137:P137)*H137-J137-I137/B137-Z137/B137</f>
        <v>18.5188305058935</v>
      </c>
      <c r="AB137" s="201">
        <f>AA137/H137</f>
        <v>0.123467101179369</v>
      </c>
      <c r="AC137" s="14"/>
      <c r="AD137" s="204">
        <f>J137/H137</f>
        <v>0.0346023068204547</v>
      </c>
      <c r="AE137" s="200">
        <f>I137/7.4/H137</f>
        <v>0.302978023616627</v>
      </c>
      <c r="AF137" s="200">
        <f>Z137/7.4/H137</f>
        <v>0.0228020963616043</v>
      </c>
      <c r="AG137" s="200">
        <v>0.15</v>
      </c>
      <c r="AH137" s="200">
        <f>N137</f>
        <v>0.15</v>
      </c>
      <c r="AI137" s="200">
        <v>0.02</v>
      </c>
      <c r="AJ137" s="200">
        <f>M137</f>
        <v>0.09</v>
      </c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</row>
    <row r="138" ht="11.4" spans="1:75">
      <c r="A138" s="1"/>
      <c r="B138" s="15"/>
      <c r="C138" s="15"/>
      <c r="D138" s="15"/>
      <c r="E138" s="15"/>
      <c r="F138" s="198"/>
      <c r="G138" s="198"/>
      <c r="H138" s="198"/>
      <c r="I138" s="198"/>
      <c r="J138" s="198"/>
      <c r="K138" s="200"/>
      <c r="L138" s="200"/>
      <c r="M138" s="200"/>
      <c r="N138" s="200"/>
      <c r="O138" s="201"/>
      <c r="P138" s="200"/>
      <c r="Q138" s="200"/>
      <c r="R138" s="14"/>
      <c r="S138" s="14"/>
      <c r="T138" s="14"/>
      <c r="U138" s="14"/>
      <c r="V138" s="198"/>
      <c r="W138" s="198"/>
      <c r="X138" s="14"/>
      <c r="Y138" s="202"/>
      <c r="Z138" s="198"/>
      <c r="AA138" s="198"/>
      <c r="AB138" s="201"/>
      <c r="AC138" s="14"/>
      <c r="AD138" s="204"/>
      <c r="AE138" s="200"/>
      <c r="AF138" s="200"/>
      <c r="AG138" s="200"/>
      <c r="AH138" s="200"/>
      <c r="AI138" s="200"/>
      <c r="AJ138" s="200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</row>
    <row r="139" ht="11.4" spans="1:75">
      <c r="A139" s="1"/>
      <c r="B139" s="15"/>
      <c r="C139" s="15"/>
      <c r="D139" s="15"/>
      <c r="E139" s="15"/>
      <c r="F139" s="198"/>
      <c r="G139" s="198"/>
      <c r="H139" s="198"/>
      <c r="I139" s="198"/>
      <c r="J139" s="198"/>
      <c r="K139" s="200"/>
      <c r="L139" s="200"/>
      <c r="M139" s="200"/>
      <c r="N139" s="200"/>
      <c r="O139" s="201"/>
      <c r="P139" s="200"/>
      <c r="Q139" s="200"/>
      <c r="R139" s="14"/>
      <c r="S139" s="14"/>
      <c r="T139" s="14"/>
      <c r="U139" s="14"/>
      <c r="V139" s="198"/>
      <c r="W139" s="198"/>
      <c r="X139" s="14"/>
      <c r="Y139" s="202"/>
      <c r="Z139" s="198"/>
      <c r="AA139" s="198"/>
      <c r="AB139" s="201"/>
      <c r="AC139" s="14"/>
      <c r="AD139" s="204"/>
      <c r="AE139" s="200"/>
      <c r="AF139" s="200"/>
      <c r="AG139" s="200"/>
      <c r="AH139" s="200"/>
      <c r="AI139" s="200"/>
      <c r="AJ139" s="200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</row>
    <row r="140" ht="11.4" spans="1:75">
      <c r="A140" s="1" t="s">
        <v>315</v>
      </c>
      <c r="B140" s="15">
        <v>7.4</v>
      </c>
      <c r="C140" s="15" t="s">
        <v>279</v>
      </c>
      <c r="D140" s="15" t="s">
        <v>280</v>
      </c>
      <c r="E140" s="15" t="s">
        <v>281</v>
      </c>
      <c r="F140" s="198">
        <f>IF(E140="有",(I140/B140+J140+Z140/B140)/(0.99999-K140-L140-M140-N140),(I140/B140+J140+Z140/B140)/(0.99999-K140-M140-N140))</f>
        <v>78.0059656983213</v>
      </c>
      <c r="G140" s="198">
        <f>IF(E140="有",(I140/B140+J140+Z140/B140)/(0.8-K140-L140-M140-N140-O140-P140),(I140/B140+J140+Z140/B140)/(0.8-K140-M140-N140-O140-P140))</f>
        <v>140.620192185669</v>
      </c>
      <c r="H140" s="52">
        <v>129.99</v>
      </c>
      <c r="I140" s="198">
        <f>240/1.13</f>
        <v>212.389380530973</v>
      </c>
      <c r="J140" s="14">
        <v>6.89</v>
      </c>
      <c r="K140" s="200">
        <v>0.15</v>
      </c>
      <c r="L140" s="200">
        <v>0.16</v>
      </c>
      <c r="M140" s="200">
        <v>0.07</v>
      </c>
      <c r="N140" s="200">
        <f>Q140/H140</f>
        <v>0.115393491807062</v>
      </c>
      <c r="O140" s="201">
        <f>0.61/H140</f>
        <v>0.00469266866682052</v>
      </c>
      <c r="P140" s="200">
        <v>0.02</v>
      </c>
      <c r="Q140" s="198">
        <v>15</v>
      </c>
      <c r="R140" s="14">
        <v>43.5</v>
      </c>
      <c r="S140" s="14">
        <v>34</v>
      </c>
      <c r="T140" s="14">
        <v>19</v>
      </c>
      <c r="U140" s="14">
        <v>4</v>
      </c>
      <c r="V140" s="198">
        <f>R140*S140*T140/5000</f>
        <v>5.6202</v>
      </c>
      <c r="W140" s="198">
        <f>MAX(U140:V140)</f>
        <v>5.6202</v>
      </c>
      <c r="X140" s="14" t="s">
        <v>21</v>
      </c>
      <c r="Y140" s="202">
        <v>6.6317</v>
      </c>
      <c r="Z140" s="198">
        <v>27.9</v>
      </c>
      <c r="AA140" s="198">
        <f>H140-SUM(K140:P140)*H140-J140-I140/B140-Z140/B140</f>
        <v>23.022462090409</v>
      </c>
      <c r="AB140" s="201">
        <f>AA140/H140</f>
        <v>0.177109486040534</v>
      </c>
      <c r="AC140" s="14"/>
      <c r="AD140" s="204">
        <f>J140/H140</f>
        <v>0.0530040772367105</v>
      </c>
      <c r="AE140" s="200">
        <f>I140/7.4/H140</f>
        <v>0.220795966146017</v>
      </c>
      <c r="AF140" s="200">
        <f>Z140/7.4/H140</f>
        <v>0.0290043101028561</v>
      </c>
      <c r="AG140" s="200">
        <v>0.15</v>
      </c>
      <c r="AH140" s="200">
        <f>N140</f>
        <v>0.115393491807062</v>
      </c>
      <c r="AI140" s="200">
        <v>0.02</v>
      </c>
      <c r="AJ140" s="200">
        <f>M140</f>
        <v>0.07</v>
      </c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</row>
    <row r="141" ht="11.4" spans="1:75">
      <c r="A141" s="1" t="s">
        <v>316</v>
      </c>
      <c r="B141" s="14">
        <v>9</v>
      </c>
      <c r="C141" s="15" t="s">
        <v>291</v>
      </c>
      <c r="D141" s="15" t="s">
        <v>86</v>
      </c>
      <c r="E141" s="15" t="s">
        <v>281</v>
      </c>
      <c r="F141" s="198">
        <f>IF(E141="有",(I141/B141+J141+Z141/B141)/(0.99999-K141-L141-M141-N141),(I141/B141+J141+Z141/B141)/(0.99999-K141-M141-N141))</f>
        <v>65.2235956583123</v>
      </c>
      <c r="G141" s="198">
        <f>IF(E141="有",(I141/B141+J141+Z141/B141)/(0.8-K141-L141-M141-N141-O141-P141),(I141/B141+J141+Z141/B141)/(0.8-K141-M141-N141-O141-P141))</f>
        <v>115.86114215798</v>
      </c>
      <c r="H141" s="52">
        <v>119.99</v>
      </c>
      <c r="I141" s="198">
        <f>240/1.13</f>
        <v>212.389380530973</v>
      </c>
      <c r="J141" s="14">
        <v>6.89</v>
      </c>
      <c r="K141" s="200">
        <v>0.15</v>
      </c>
      <c r="L141" s="200">
        <v>0.16</v>
      </c>
      <c r="M141" s="200">
        <v>0.05</v>
      </c>
      <c r="N141" s="200">
        <f>Q141/H141</f>
        <v>0.125010417534795</v>
      </c>
      <c r="O141" s="201">
        <f>0.61/H141</f>
        <v>0.00508375697974831</v>
      </c>
      <c r="P141" s="200">
        <v>0.02</v>
      </c>
      <c r="Q141" s="198">
        <v>15</v>
      </c>
      <c r="R141" s="14">
        <v>43.5</v>
      </c>
      <c r="S141" s="14">
        <v>34</v>
      </c>
      <c r="T141" s="14">
        <v>19</v>
      </c>
      <c r="U141" s="14">
        <v>4</v>
      </c>
      <c r="V141" s="198">
        <f>R141*S141*T141/5000</f>
        <v>5.6202</v>
      </c>
      <c r="W141" s="198">
        <f>MAX(U141:V141)</f>
        <v>5.6202</v>
      </c>
      <c r="X141" s="14" t="s">
        <v>21</v>
      </c>
      <c r="Y141" s="202">
        <v>6.6317</v>
      </c>
      <c r="Z141" s="198">
        <v>27.9</v>
      </c>
      <c r="AA141" s="198">
        <f>H141-SUM(K141:P141)*H141-J141-I141/B141-Z141/B141</f>
        <v>25.1949799410029</v>
      </c>
      <c r="AB141" s="201">
        <f>AA141/H141</f>
        <v>0.209975664147037</v>
      </c>
      <c r="AC141" s="14"/>
      <c r="AD141" s="204">
        <f>J141/H141</f>
        <v>0.057421451787649</v>
      </c>
      <c r="AE141" s="200">
        <f>I141/7.4/H141</f>
        <v>0.239197163424625</v>
      </c>
      <c r="AF141" s="200">
        <f>Z141/7.4/H141</f>
        <v>0.0314215373803673</v>
      </c>
      <c r="AG141" s="200">
        <v>0.15</v>
      </c>
      <c r="AH141" s="200">
        <f>N141</f>
        <v>0.125010417534795</v>
      </c>
      <c r="AI141" s="200">
        <v>0.02</v>
      </c>
      <c r="AJ141" s="200">
        <f>M141</f>
        <v>0.05</v>
      </c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</row>
    <row r="142" ht="11.4" spans="1:75">
      <c r="A142" s="1"/>
      <c r="B142" s="15"/>
      <c r="C142" s="15"/>
      <c r="D142" s="15"/>
      <c r="E142" s="15"/>
      <c r="F142" s="198"/>
      <c r="G142" s="198"/>
      <c r="H142" s="198"/>
      <c r="I142" s="198"/>
      <c r="J142" s="14"/>
      <c r="K142" s="200"/>
      <c r="L142" s="200"/>
      <c r="M142" s="200"/>
      <c r="N142" s="200"/>
      <c r="O142" s="201"/>
      <c r="P142" s="200"/>
      <c r="Q142" s="200"/>
      <c r="R142" s="15"/>
      <c r="S142" s="15"/>
      <c r="T142" s="15"/>
      <c r="U142" s="15"/>
      <c r="V142" s="198"/>
      <c r="W142" s="198"/>
      <c r="X142" s="15"/>
      <c r="Y142" s="202"/>
      <c r="Z142" s="198"/>
      <c r="AA142" s="198"/>
      <c r="AB142" s="201"/>
      <c r="AC142" s="14"/>
      <c r="AD142" s="204"/>
      <c r="AE142" s="200"/>
      <c r="AF142" s="200"/>
      <c r="AG142" s="200"/>
      <c r="AH142" s="200"/>
      <c r="AI142" s="200"/>
      <c r="AJ142" s="200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</row>
    <row r="143" ht="11.4" spans="1:75">
      <c r="A143" s="1" t="s">
        <v>317</v>
      </c>
      <c r="B143" s="15">
        <v>7.4</v>
      </c>
      <c r="C143" s="15" t="s">
        <v>279</v>
      </c>
      <c r="D143" s="15" t="s">
        <v>280</v>
      </c>
      <c r="E143" s="15" t="s">
        <v>281</v>
      </c>
      <c r="F143" s="198">
        <f>IF(E143="有",(I143/B143+J143+Z143/B143)/(0.99999-K143-L143-M143-N143),(I143/B143+J143+Z143/B143)/(0.99999-K143-M143-N143))</f>
        <v>88.8299673705953</v>
      </c>
      <c r="G143" s="198">
        <f>IF(E143="有",(I143/B143+J143+Z143/B143)/(0.8-K143-L143-M143-N143-O143-P143),(I143/B143+J143+Z143/B143)/(0.8-K143-M143-N143-O143-P143))</f>
        <v>170.888074798777</v>
      </c>
      <c r="H143" s="52">
        <v>129.99</v>
      </c>
      <c r="I143" s="198">
        <f>270/1.13</f>
        <v>238.938053097345</v>
      </c>
      <c r="J143" s="14">
        <v>5.69</v>
      </c>
      <c r="K143" s="200">
        <v>0.15</v>
      </c>
      <c r="L143" s="200">
        <v>0.16</v>
      </c>
      <c r="M143" s="200">
        <v>0.07</v>
      </c>
      <c r="N143" s="200">
        <v>0.15</v>
      </c>
      <c r="O143" s="201">
        <f>0.74/H143</f>
        <v>0.00569274559581506</v>
      </c>
      <c r="P143" s="200">
        <v>0.02</v>
      </c>
      <c r="Q143" s="200"/>
      <c r="R143" s="14">
        <v>43.5</v>
      </c>
      <c r="S143" s="14">
        <v>32.3</v>
      </c>
      <c r="T143" s="14">
        <v>19</v>
      </c>
      <c r="U143" s="14">
        <v>3.05</v>
      </c>
      <c r="V143" s="198">
        <f>R143*S143*T143/5000</f>
        <v>5.33919</v>
      </c>
      <c r="W143" s="198">
        <f>MAX(U143:V143)</f>
        <v>5.33919</v>
      </c>
      <c r="X143" s="15" t="s">
        <v>21</v>
      </c>
      <c r="Y143" s="202">
        <v>6.6317</v>
      </c>
      <c r="Z143" s="198">
        <v>27.9</v>
      </c>
      <c r="AA143" s="198">
        <f>H143-SUM(K143:P143)*H143-J143-I143/B143-Z143/B143</f>
        <v>16.0063036354939</v>
      </c>
      <c r="AB143" s="201">
        <f>AA143/H143</f>
        <v>0.123134884494914</v>
      </c>
      <c r="AC143" s="14"/>
      <c r="AD143" s="204">
        <f>J143/H143</f>
        <v>0.0437725978921455</v>
      </c>
      <c r="AE143" s="200">
        <f>I143/7.4/H143</f>
        <v>0.248395461914269</v>
      </c>
      <c r="AF143" s="200">
        <f>Z143/7.4/H143</f>
        <v>0.0290043101028561</v>
      </c>
      <c r="AG143" s="200">
        <v>0.15</v>
      </c>
      <c r="AH143" s="200">
        <f>N143</f>
        <v>0.15</v>
      </c>
      <c r="AI143" s="200">
        <v>0.02</v>
      </c>
      <c r="AJ143" s="200">
        <f>M143</f>
        <v>0.07</v>
      </c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</row>
    <row r="144" ht="11.4" spans="1:75">
      <c r="A144" s="1" t="s">
        <v>318</v>
      </c>
      <c r="B144" s="14">
        <v>9</v>
      </c>
      <c r="C144" s="15" t="s">
        <v>291</v>
      </c>
      <c r="D144" s="15" t="s">
        <v>86</v>
      </c>
      <c r="E144" s="15" t="s">
        <v>281</v>
      </c>
      <c r="F144" s="198">
        <f>IF(E144="有",(I144/B144+J144+Z144/B144)/(0.99999-K144-L144-M144-N144),(I144/B144+J144+Z144/B144)/(0.99999-K144-M144-N144))</f>
        <v>71.1007828044893</v>
      </c>
      <c r="G144" s="198">
        <f>IF(E144="有",(I144/B144+J144+Z144/B144)/(0.8-K144-L144-M144-N144-O144-P144),(I144/B144+J144+Z144/B144)/(0.8-K144-M144-N144-O144-P144))</f>
        <v>131.964918766402</v>
      </c>
      <c r="H144" s="52">
        <v>119.99</v>
      </c>
      <c r="I144" s="198">
        <f>270/1.13</f>
        <v>238.938053097345</v>
      </c>
      <c r="J144" s="14">
        <v>5.19</v>
      </c>
      <c r="K144" s="200">
        <v>0.15</v>
      </c>
      <c r="L144" s="200">
        <v>0.16</v>
      </c>
      <c r="M144" s="200">
        <v>0.05</v>
      </c>
      <c r="N144" s="200">
        <v>0.15</v>
      </c>
      <c r="O144" s="201">
        <f>0.72/H144</f>
        <v>0.00600050004167014</v>
      </c>
      <c r="P144" s="200">
        <v>0.02</v>
      </c>
      <c r="Q144" s="200"/>
      <c r="R144" s="14">
        <v>43.5</v>
      </c>
      <c r="S144" s="14">
        <v>32.3</v>
      </c>
      <c r="T144" s="14">
        <v>19</v>
      </c>
      <c r="U144" s="14">
        <v>3.05</v>
      </c>
      <c r="V144" s="198">
        <f>R144*S144*T144/5000</f>
        <v>5.33919</v>
      </c>
      <c r="W144" s="198">
        <f>MAX(U144:V144)</f>
        <v>5.33919</v>
      </c>
      <c r="X144" s="15" t="s">
        <v>21</v>
      </c>
      <c r="Y144" s="202">
        <v>6.6317</v>
      </c>
      <c r="Z144" s="198">
        <v>27.9</v>
      </c>
      <c r="AA144" s="198">
        <f>H144-SUM(K144:P144)*H144-J144-I144/B144-Z144/B144</f>
        <v>20.8366274336283</v>
      </c>
      <c r="AB144" s="201">
        <f>AA144/H144</f>
        <v>0.173653033032989</v>
      </c>
      <c r="AC144" s="14"/>
      <c r="AD144" s="204">
        <f>J144/H144</f>
        <v>0.0432536044670389</v>
      </c>
      <c r="AE144" s="200">
        <f>I144/7.4/H144</f>
        <v>0.269096808852703</v>
      </c>
      <c r="AF144" s="200">
        <f>Z144/7.4/H144</f>
        <v>0.0314215373803673</v>
      </c>
      <c r="AG144" s="200">
        <v>0.15</v>
      </c>
      <c r="AH144" s="200">
        <f>N144</f>
        <v>0.15</v>
      </c>
      <c r="AI144" s="200">
        <v>0.02</v>
      </c>
      <c r="AJ144" s="200">
        <f>M144</f>
        <v>0.05</v>
      </c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</row>
    <row r="145" ht="11.4" spans="1:75">
      <c r="A145" s="19"/>
      <c r="B145" s="15"/>
      <c r="C145" s="15"/>
      <c r="D145" s="15"/>
      <c r="E145" s="15"/>
      <c r="F145" s="198"/>
      <c r="G145" s="198"/>
      <c r="H145" s="198"/>
      <c r="I145" s="198"/>
      <c r="J145" s="14"/>
      <c r="K145" s="200"/>
      <c r="L145" s="200"/>
      <c r="M145" s="200"/>
      <c r="N145" s="200"/>
      <c r="O145" s="201"/>
      <c r="P145" s="200"/>
      <c r="Q145" s="200"/>
      <c r="R145" s="15"/>
      <c r="S145" s="15"/>
      <c r="T145" s="15"/>
      <c r="U145" s="15"/>
      <c r="V145" s="198"/>
      <c r="W145" s="198"/>
      <c r="X145" s="15"/>
      <c r="Y145" s="202"/>
      <c r="Z145" s="198"/>
      <c r="AA145" s="198"/>
      <c r="AB145" s="201"/>
      <c r="AC145" s="14"/>
      <c r="AD145" s="204"/>
      <c r="AE145" s="200"/>
      <c r="AF145" s="200"/>
      <c r="AG145" s="200"/>
      <c r="AH145" s="200"/>
      <c r="AI145" s="200"/>
      <c r="AJ145" s="200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</row>
    <row r="146" ht="11.4" spans="1:75">
      <c r="A146" s="197" t="s">
        <v>319</v>
      </c>
      <c r="B146" s="14">
        <v>7</v>
      </c>
      <c r="C146" s="15" t="s">
        <v>279</v>
      </c>
      <c r="D146" s="14" t="s">
        <v>84</v>
      </c>
      <c r="E146" s="14" t="s">
        <v>320</v>
      </c>
      <c r="F146" s="198">
        <f>IF(E146="有",(I146/B146+J146+Z146/B146)/(0.99999-K146-L146-M146-N146),(I146/B146+J146+Z146/B146)/(0.99999-K146-M146-N146))</f>
        <v>34.8772496613981</v>
      </c>
      <c r="G146" s="198">
        <f>IF(E146="有",(I146/B146+J146+Z146/B146)/(0.8-K146-L146-M146-N146-O146-P146),(I146/B146+J146+Z146/B146)/(0.8-K146-M146-N146-O146-P146))</f>
        <v>53.8158864058776</v>
      </c>
      <c r="H146" s="205">
        <v>49.99</v>
      </c>
      <c r="I146" s="198">
        <f>94.4/1.13</f>
        <v>83.5398230088496</v>
      </c>
      <c r="J146" s="17">
        <v>8.1</v>
      </c>
      <c r="K146" s="200">
        <v>0.15</v>
      </c>
      <c r="L146" s="200">
        <v>0</v>
      </c>
      <c r="M146" s="200">
        <v>0.05</v>
      </c>
      <c r="N146" s="200">
        <f>Q146/H146</f>
        <v>0.16003200640128</v>
      </c>
      <c r="O146" s="201">
        <f>0.261/H146</f>
        <v>0.00522104420884177</v>
      </c>
      <c r="P146" s="200">
        <v>0.02</v>
      </c>
      <c r="Q146" s="198">
        <v>8</v>
      </c>
      <c r="R146" s="15">
        <v>32</v>
      </c>
      <c r="S146" s="15">
        <v>17.3</v>
      </c>
      <c r="T146" s="15">
        <v>17.3</v>
      </c>
      <c r="U146" s="15">
        <v>1.6</v>
      </c>
      <c r="V146" s="198">
        <f>R146*S146*T146/5000</f>
        <v>1.915456</v>
      </c>
      <c r="W146" s="198">
        <f>MAX(U146:V146)</f>
        <v>1.915456</v>
      </c>
      <c r="X146" s="15" t="s">
        <v>21</v>
      </c>
      <c r="Y146" s="202">
        <v>6.6317</v>
      </c>
      <c r="Z146" s="198">
        <v>16</v>
      </c>
      <c r="AA146" s="198">
        <f>H146-SUM(K146:P146)*H146-J146-I146/B146-Z146/B146</f>
        <v>8.41122528445006</v>
      </c>
      <c r="AB146" s="201">
        <f>AA146/H146</f>
        <v>0.168258157320465</v>
      </c>
      <c r="AC146" s="14"/>
      <c r="AD146" s="204">
        <f>J146/H146</f>
        <v>0.162032406481296</v>
      </c>
      <c r="AE146" s="200">
        <f>I146/7.4/H146</f>
        <v>0.225828471123548</v>
      </c>
      <c r="AF146" s="200">
        <f>Z146/7.4/H146</f>
        <v>0.0432518936219676</v>
      </c>
      <c r="AG146" s="200">
        <v>0.15</v>
      </c>
      <c r="AH146" s="200">
        <f>N146</f>
        <v>0.16003200640128</v>
      </c>
      <c r="AI146" s="200">
        <v>0.02</v>
      </c>
      <c r="AJ146" s="200">
        <f>M146</f>
        <v>0.05</v>
      </c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</row>
    <row r="147" ht="11.4" spans="1:75">
      <c r="A147" s="197" t="s">
        <v>321</v>
      </c>
      <c r="B147" s="14">
        <v>7</v>
      </c>
      <c r="C147" s="15" t="s">
        <v>279</v>
      </c>
      <c r="D147" s="15" t="s">
        <v>84</v>
      </c>
      <c r="E147" s="15" t="s">
        <v>320</v>
      </c>
      <c r="F147" s="198">
        <f>IF(E147="有",(I147/B147+J147+Z147/B147)/(0.99999-K147-L147-M147-N147),(I147/B147+J147+Z147/B147)/(0.99999-K147-M147-N147))</f>
        <v>35.8740148361479</v>
      </c>
      <c r="G147" s="198">
        <f>IF(E147="有",(I147/B147+J147+Z147/B147)/(0.8-K147-L147-M147-N147-O147-P147),(I147/B147+J147+Z147/B147)/(0.8-K147-M147-N147-O147-P147))</f>
        <v>56.3087568887419</v>
      </c>
      <c r="H147" s="205">
        <f>H146*0.9</f>
        <v>44.991</v>
      </c>
      <c r="I147" s="198">
        <f>94.4/1.13</f>
        <v>83.5398230088496</v>
      </c>
      <c r="J147" s="17">
        <v>8.1</v>
      </c>
      <c r="K147" s="200">
        <v>0.15</v>
      </c>
      <c r="L147" s="200">
        <v>0</v>
      </c>
      <c r="M147" s="200">
        <v>0.05</v>
      </c>
      <c r="N147" s="200">
        <f>Q147/H147</f>
        <v>0.177813340445867</v>
      </c>
      <c r="O147" s="201">
        <f>0.261/H147</f>
        <v>0.00580116023204641</v>
      </c>
      <c r="P147" s="200">
        <v>0.02</v>
      </c>
      <c r="Q147" s="198">
        <v>8</v>
      </c>
      <c r="R147" s="15">
        <v>32</v>
      </c>
      <c r="S147" s="15">
        <v>17.3</v>
      </c>
      <c r="T147" s="15">
        <v>17.3</v>
      </c>
      <c r="U147" s="15">
        <v>1.6</v>
      </c>
      <c r="V147" s="198">
        <f>R147*S147*T147/5000</f>
        <v>1.915456</v>
      </c>
      <c r="W147" s="198">
        <f>MAX(U147:V147)</f>
        <v>1.915456</v>
      </c>
      <c r="X147" s="15" t="s">
        <v>21</v>
      </c>
      <c r="Y147" s="202">
        <v>6.6317</v>
      </c>
      <c r="Z147" s="198">
        <v>16</v>
      </c>
      <c r="AA147" s="198">
        <f>H147-SUM(K147:P147)*H147-J147-I147/B147-Z147/B147</f>
        <v>4.51200528445006</v>
      </c>
      <c r="AB147" s="201">
        <f>AA147/H147</f>
        <v>0.100286841467184</v>
      </c>
      <c r="AC147" s="14"/>
      <c r="AD147" s="204">
        <f>J147/H147</f>
        <v>0.18003600720144</v>
      </c>
      <c r="AE147" s="200">
        <f>I147/7.4/H147</f>
        <v>0.250920523470609</v>
      </c>
      <c r="AF147" s="200">
        <f>Z147/7.4/H147</f>
        <v>0.048057659579964</v>
      </c>
      <c r="AG147" s="200">
        <v>0.15</v>
      </c>
      <c r="AH147" s="200">
        <f>N147</f>
        <v>0.177813340445867</v>
      </c>
      <c r="AI147" s="200">
        <v>0.02</v>
      </c>
      <c r="AJ147" s="200">
        <f>M147</f>
        <v>0.05</v>
      </c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</row>
    <row r="148" ht="11.4" spans="1:75">
      <c r="A148" s="197" t="s">
        <v>322</v>
      </c>
      <c r="B148" s="14">
        <v>7</v>
      </c>
      <c r="C148" s="15" t="s">
        <v>279</v>
      </c>
      <c r="D148" s="15" t="s">
        <v>84</v>
      </c>
      <c r="E148" s="15" t="s">
        <v>320</v>
      </c>
      <c r="F148" s="198">
        <f>IF(E148="有",(I148/B148+J148+Z148/B148)/(0.99999-K148-L148-M148-N148),(I148/B148+J148+Z148/B148)/(0.99999-K148-M148-N148))</f>
        <v>37.2030586102741</v>
      </c>
      <c r="G148" s="198">
        <f>IF(E148="有",(I148/B148+J148+Z148/B148)/(0.8-K148-L148-M148-N148-O148-P148),(I148/B148+J148+Z148/B148)/(0.8-K148-M148-N148-O148-P148))</f>
        <v>59.7695802715532</v>
      </c>
      <c r="H148" s="205">
        <f>H146*0.8</f>
        <v>39.992</v>
      </c>
      <c r="I148" s="198">
        <f>94.4/1.13</f>
        <v>83.5398230088496</v>
      </c>
      <c r="J148" s="17">
        <v>8.1</v>
      </c>
      <c r="K148" s="200">
        <v>0.15</v>
      </c>
      <c r="L148" s="200">
        <v>0</v>
      </c>
      <c r="M148" s="200">
        <v>0.05</v>
      </c>
      <c r="N148" s="200">
        <f>Q148/H148</f>
        <v>0.2000400080016</v>
      </c>
      <c r="O148" s="201">
        <f>0.261/H148</f>
        <v>0.00652630526105221</v>
      </c>
      <c r="P148" s="200">
        <v>0.02</v>
      </c>
      <c r="Q148" s="198">
        <v>8</v>
      </c>
      <c r="R148" s="15">
        <v>32</v>
      </c>
      <c r="S148" s="15">
        <v>17.3</v>
      </c>
      <c r="T148" s="15">
        <v>17.3</v>
      </c>
      <c r="U148" s="15">
        <v>1.6</v>
      </c>
      <c r="V148" s="198">
        <f>R148*S148*T148/5000</f>
        <v>1.915456</v>
      </c>
      <c r="W148" s="198">
        <f>MAX(U148:V148)</f>
        <v>1.915456</v>
      </c>
      <c r="X148" s="15" t="s">
        <v>21</v>
      </c>
      <c r="Y148" s="202">
        <v>6.6317</v>
      </c>
      <c r="Z148" s="198">
        <v>16</v>
      </c>
      <c r="AA148" s="198">
        <f>H148-SUM(K148:P148)*H148-J148-I148/B148-Z148/B148</f>
        <v>0.612785284450065</v>
      </c>
      <c r="AB148" s="201">
        <f>AA148/H148</f>
        <v>0.0153226966505817</v>
      </c>
      <c r="AC148" s="14"/>
      <c r="AD148" s="204">
        <f>J148/H148</f>
        <v>0.20254050810162</v>
      </c>
      <c r="AE148" s="200">
        <f>I148/7.4/H148</f>
        <v>0.282285588904435</v>
      </c>
      <c r="AF148" s="200">
        <f>Z148/7.4/H148</f>
        <v>0.0540648670274595</v>
      </c>
      <c r="AG148" s="200">
        <v>0.15</v>
      </c>
      <c r="AH148" s="200">
        <f>N148</f>
        <v>0.2000400080016</v>
      </c>
      <c r="AI148" s="200">
        <v>0.02</v>
      </c>
      <c r="AJ148" s="200">
        <f>M148</f>
        <v>0.05</v>
      </c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</row>
    <row r="149" ht="11.4" spans="1:75">
      <c r="A149" s="1"/>
      <c r="B149" s="14"/>
      <c r="C149" s="15"/>
      <c r="D149" s="15"/>
      <c r="E149" s="15"/>
      <c r="F149" s="198"/>
      <c r="G149" s="198"/>
      <c r="H149" s="205"/>
      <c r="I149" s="198"/>
      <c r="J149" s="17"/>
      <c r="K149" s="200"/>
      <c r="L149" s="200"/>
      <c r="M149" s="200"/>
      <c r="N149" s="200"/>
      <c r="O149" s="201"/>
      <c r="P149" s="200"/>
      <c r="Q149" s="198"/>
      <c r="R149" s="15"/>
      <c r="S149" s="15"/>
      <c r="T149" s="15"/>
      <c r="U149" s="15"/>
      <c r="V149" s="198"/>
      <c r="W149" s="198"/>
      <c r="X149" s="15"/>
      <c r="Y149" s="202"/>
      <c r="Z149" s="198"/>
      <c r="AA149" s="198"/>
      <c r="AB149" s="201"/>
      <c r="AC149" s="14"/>
      <c r="AD149" s="204"/>
      <c r="AE149" s="200"/>
      <c r="AF149" s="200"/>
      <c r="AG149" s="200"/>
      <c r="AH149" s="200"/>
      <c r="AI149" s="200"/>
      <c r="AJ149" s="200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</row>
    <row r="150" ht="11.4" spans="1:75">
      <c r="A150" s="197" t="s">
        <v>323</v>
      </c>
      <c r="B150" s="14">
        <v>8</v>
      </c>
      <c r="C150" s="15" t="s">
        <v>279</v>
      </c>
      <c r="D150" s="15" t="s">
        <v>280</v>
      </c>
      <c r="E150" s="15" t="s">
        <v>281</v>
      </c>
      <c r="F150" s="198">
        <f>IF(E150="有",(I150/B150+J150+Z150/B150)/(0.99999-K150-L150-M150-N150),(I150/B150+J150+Z150/B150)/(0.99999-K150-M150-N150))</f>
        <v>33.4303474650317</v>
      </c>
      <c r="G150" s="198">
        <f>IF(E150="有",(I150/B150+J150+Z150/B150)/(0.8-K150-L150-M150-N150-O150-P150),(I150/B150+J150+Z150/B150)/(0.8-K150-M150-N150-O150-P150))</f>
        <v>57.9712148886283</v>
      </c>
      <c r="H150" s="205">
        <v>54.99</v>
      </c>
      <c r="I150" s="198">
        <f>94.4/1.13</f>
        <v>83.5398230088496</v>
      </c>
      <c r="J150" s="17">
        <v>5.18</v>
      </c>
      <c r="K150" s="200">
        <v>0.15</v>
      </c>
      <c r="L150" s="200">
        <v>0.16</v>
      </c>
      <c r="M150" s="200">
        <v>0.05</v>
      </c>
      <c r="N150" s="200">
        <f>Q150/H150</f>
        <v>0.10911074740862</v>
      </c>
      <c r="O150" s="201">
        <f>0.261/H150</f>
        <v>0.00474631751227496</v>
      </c>
      <c r="P150" s="200">
        <v>0.02</v>
      </c>
      <c r="Q150" s="198">
        <v>6</v>
      </c>
      <c r="R150" s="15">
        <v>32</v>
      </c>
      <c r="S150" s="15">
        <v>17.3</v>
      </c>
      <c r="T150" s="15">
        <v>17.3</v>
      </c>
      <c r="U150" s="15">
        <v>1.6</v>
      </c>
      <c r="V150" s="198">
        <f>R150*S150*T150/5000</f>
        <v>1.915456</v>
      </c>
      <c r="W150" s="198">
        <f>MAX(U150:V150)</f>
        <v>1.915456</v>
      </c>
      <c r="X150" s="15" t="s">
        <v>21</v>
      </c>
      <c r="Y150" s="202">
        <v>6.6317</v>
      </c>
      <c r="Z150" s="198">
        <v>17</v>
      </c>
      <c r="AA150" s="198">
        <f>H150-SUM(K150:P150)*H150-J150-I150/B150-Z150/B150</f>
        <v>10.0853221238938</v>
      </c>
      <c r="AB150" s="201">
        <f>AA150/H150</f>
        <v>0.183402839132457</v>
      </c>
      <c r="AC150" s="14"/>
      <c r="AD150" s="204">
        <f>J150/H150</f>
        <v>0.094198945262775</v>
      </c>
      <c r="AE150" s="200">
        <f>I150/7.4/H150</f>
        <v>0.205294876731518</v>
      </c>
      <c r="AF150" s="200">
        <f>Z150/7.4/H150</f>
        <v>0.0417766375213184</v>
      </c>
      <c r="AG150" s="200">
        <v>0.15</v>
      </c>
      <c r="AH150" s="200">
        <f>N150</f>
        <v>0.10911074740862</v>
      </c>
      <c r="AI150" s="200">
        <v>0.02</v>
      </c>
      <c r="AJ150" s="200">
        <f>M150</f>
        <v>0.05</v>
      </c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</row>
    <row r="151" ht="11.4" spans="1:75">
      <c r="A151" s="206" t="s">
        <v>321</v>
      </c>
      <c r="B151" s="15">
        <v>8</v>
      </c>
      <c r="C151" s="15" t="s">
        <v>279</v>
      </c>
      <c r="D151" s="15" t="s">
        <v>280</v>
      </c>
      <c r="E151" s="15" t="s">
        <v>281</v>
      </c>
      <c r="F151" s="198">
        <f>IF(E151="有",(I151/B151+J151+Z151/B151)/(0.99999-K151-L151-M151-N151),(I151/B151+J151+Z151/B151)/(0.99999-K151-M151-N151))</f>
        <v>34.211620645423</v>
      </c>
      <c r="G151" s="198">
        <f>IF(E151="有",(I151/B151+J151+Z151/B151)/(0.8-K151-L151-M151-N151-O151-P151),(I151/B151+J151+Z151/B151)/(0.8-K151-M151-N151-O151-P151))</f>
        <v>60.4700257597731</v>
      </c>
      <c r="H151" s="205">
        <f>H150*0.9</f>
        <v>49.491</v>
      </c>
      <c r="I151" s="198">
        <f>94.4/1.13</f>
        <v>83.5398230088496</v>
      </c>
      <c r="J151" s="17">
        <v>5.18</v>
      </c>
      <c r="K151" s="200">
        <v>0.15</v>
      </c>
      <c r="L151" s="200">
        <v>0.16</v>
      </c>
      <c r="M151" s="200">
        <v>0.05</v>
      </c>
      <c r="N151" s="200">
        <f>Q151/H151</f>
        <v>0.121234163787355</v>
      </c>
      <c r="O151" s="201">
        <f>0.261/H151</f>
        <v>0.00527368612474995</v>
      </c>
      <c r="P151" s="200">
        <v>0.02</v>
      </c>
      <c r="Q151" s="198">
        <v>6</v>
      </c>
      <c r="R151" s="15">
        <v>32</v>
      </c>
      <c r="S151" s="15">
        <v>17.3</v>
      </c>
      <c r="T151" s="15">
        <v>17.3</v>
      </c>
      <c r="U151" s="15">
        <v>1.6</v>
      </c>
      <c r="V151" s="198">
        <f>R151*S151*T151/5000</f>
        <v>1.915456</v>
      </c>
      <c r="W151" s="198">
        <f>MAX(U151:V151)</f>
        <v>1.915456</v>
      </c>
      <c r="X151" s="15" t="s">
        <v>21</v>
      </c>
      <c r="Y151" s="202">
        <v>6.6317</v>
      </c>
      <c r="Z151" s="198">
        <v>17</v>
      </c>
      <c r="AA151" s="198">
        <f>H151-SUM(K151:P151)*H151-J151-I151/B151-Z151/B151</f>
        <v>6.67594212389381</v>
      </c>
      <c r="AB151" s="201">
        <f>AA151/H151</f>
        <v>0.134892043480508</v>
      </c>
      <c r="AC151" s="14"/>
      <c r="AD151" s="204">
        <f>J151/H151</f>
        <v>0.104665494736417</v>
      </c>
      <c r="AE151" s="200">
        <f>I151/7.4/H151</f>
        <v>0.228105418590575</v>
      </c>
      <c r="AF151" s="200">
        <f>Z151/7.4/H151</f>
        <v>0.0464184861347982</v>
      </c>
      <c r="AG151" s="200">
        <v>0.15</v>
      </c>
      <c r="AH151" s="200">
        <f>N151</f>
        <v>0.121234163787355</v>
      </c>
      <c r="AI151" s="200">
        <v>0.02</v>
      </c>
      <c r="AJ151" s="200">
        <f>M151</f>
        <v>0.05</v>
      </c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</row>
    <row r="152" ht="11.4" spans="1:75">
      <c r="A152" s="206" t="s">
        <v>322</v>
      </c>
      <c r="B152" s="15">
        <v>8</v>
      </c>
      <c r="C152" s="15" t="s">
        <v>279</v>
      </c>
      <c r="D152" s="15" t="s">
        <v>280</v>
      </c>
      <c r="E152" s="15" t="s">
        <v>281</v>
      </c>
      <c r="F152" s="198">
        <f>IF(E152="有",(I152/B152+J152+Z152/B152)/(0.99999-K152-L152-M152-N152),(I152/B152+J152+Z152/B152)/(0.99999-K152-M152-N152))</f>
        <v>35.2411094077023</v>
      </c>
      <c r="G152" s="198">
        <f>IF(E152="有",(I152/B152+J152+Z152/B152)/(0.8-K152-L152-M152-N152-O152-P152),(I152/B152+J152+Z152/B152)/(0.8-K152-M152-N152-O152-P152))</f>
        <v>63.9137242686968</v>
      </c>
      <c r="H152" s="205">
        <f>H150*0.8</f>
        <v>43.992</v>
      </c>
      <c r="I152" s="198">
        <f>94.4/1.13</f>
        <v>83.5398230088496</v>
      </c>
      <c r="J152" s="17">
        <v>5.18</v>
      </c>
      <c r="K152" s="200">
        <v>0.15</v>
      </c>
      <c r="L152" s="200">
        <v>0.16</v>
      </c>
      <c r="M152" s="200">
        <v>0.05</v>
      </c>
      <c r="N152" s="200">
        <f>Q152/H152</f>
        <v>0.136388434260775</v>
      </c>
      <c r="O152" s="201">
        <f>0.261/H152</f>
        <v>0.0059328968903437</v>
      </c>
      <c r="P152" s="200">
        <v>0.02</v>
      </c>
      <c r="Q152" s="198">
        <v>6</v>
      </c>
      <c r="R152" s="15">
        <v>32</v>
      </c>
      <c r="S152" s="15">
        <v>17.3</v>
      </c>
      <c r="T152" s="15">
        <v>17.3</v>
      </c>
      <c r="U152" s="15">
        <v>1.6</v>
      </c>
      <c r="V152" s="198">
        <f>R152*S152*T152/5000</f>
        <v>1.915456</v>
      </c>
      <c r="W152" s="198">
        <f>MAX(U152:V152)</f>
        <v>1.915456</v>
      </c>
      <c r="X152" s="15" t="s">
        <v>21</v>
      </c>
      <c r="Y152" s="202">
        <v>6.6317</v>
      </c>
      <c r="Z152" s="198">
        <v>17</v>
      </c>
      <c r="AA152" s="198">
        <f>H152-SUM(K152:P152)*H152-J152-I152/B152-Z152/B152</f>
        <v>3.26656212389381</v>
      </c>
      <c r="AB152" s="201">
        <f>AA152/H152</f>
        <v>0.0742535489155712</v>
      </c>
      <c r="AC152" s="14"/>
      <c r="AD152" s="204">
        <f>J152/H152</f>
        <v>0.117748681578469</v>
      </c>
      <c r="AE152" s="200">
        <f>I152/7.4/H152</f>
        <v>0.256618595914397</v>
      </c>
      <c r="AF152" s="200">
        <f>Z152/7.4/H152</f>
        <v>0.052220796901648</v>
      </c>
      <c r="AG152" s="200">
        <v>0.15</v>
      </c>
      <c r="AH152" s="200">
        <f>N152</f>
        <v>0.136388434260775</v>
      </c>
      <c r="AI152" s="200">
        <v>0.02</v>
      </c>
      <c r="AJ152" s="200">
        <f>M152</f>
        <v>0.05</v>
      </c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</row>
    <row r="153" ht="11.4" spans="1:75">
      <c r="B153" s="14"/>
      <c r="C153" s="15"/>
      <c r="D153" s="15"/>
      <c r="E153" s="15"/>
      <c r="F153" s="198"/>
      <c r="G153" s="198"/>
      <c r="H153" s="198"/>
      <c r="I153" s="198"/>
      <c r="J153" s="17"/>
      <c r="K153" s="200"/>
      <c r="L153" s="200"/>
      <c r="M153" s="200"/>
      <c r="N153" s="200"/>
      <c r="O153" s="201"/>
      <c r="P153" s="200"/>
      <c r="Q153" s="200"/>
      <c r="R153" s="15"/>
      <c r="S153" s="15"/>
      <c r="T153" s="15"/>
      <c r="U153" s="15"/>
      <c r="V153" s="198"/>
      <c r="W153" s="198"/>
      <c r="X153" s="15"/>
      <c r="Y153" s="202"/>
      <c r="Z153" s="198"/>
      <c r="AA153" s="198"/>
      <c r="AB153" s="201"/>
      <c r="AC153" s="14"/>
      <c r="AD153" s="204"/>
      <c r="AE153" s="200"/>
      <c r="AF153" s="200"/>
      <c r="AG153" s="200"/>
      <c r="AH153" s="200"/>
      <c r="AI153" s="200"/>
      <c r="AJ153" s="200"/>
    </row>
    <row r="154" ht="11.4" spans="1:75">
      <c r="A154" s="206" t="s">
        <v>323</v>
      </c>
      <c r="B154" s="14">
        <v>8</v>
      </c>
      <c r="C154" s="15" t="s">
        <v>279</v>
      </c>
      <c r="D154" s="14" t="s">
        <v>285</v>
      </c>
      <c r="E154" s="15" t="s">
        <v>281</v>
      </c>
      <c r="F154" s="198">
        <f>IF(E154="有",(I154/B154+J154+Z154/B154)/(0.99999-K154-L154-M154-N154),(I154/B154+J154+Z154/B154)/(0.99999-K154-M154-N154))</f>
        <v>40.6084460755955</v>
      </c>
      <c r="G154" s="198">
        <f>IF(E154="有",(I154/B154+J154+Z154/B154)/(0.8-K154-L154-M154-N154-O154-P154),(I154/B154+J154+Z154/B154)/(0.8-K154-M154-N154-O154-P154))</f>
        <v>69.4715232158571</v>
      </c>
      <c r="H154" s="205">
        <v>59.99</v>
      </c>
      <c r="I154" s="198">
        <f>94.4/1.13</f>
        <v>83.5398230088496</v>
      </c>
      <c r="J154" s="17">
        <v>9.36</v>
      </c>
      <c r="K154" s="200">
        <v>0.15</v>
      </c>
      <c r="L154" s="200">
        <v>0.16</v>
      </c>
      <c r="M154" s="200">
        <v>0.05</v>
      </c>
      <c r="N154" s="200">
        <f>Q154/H154</f>
        <v>0.100016669444907</v>
      </c>
      <c r="O154" s="201">
        <f>0.261/H154</f>
        <v>0.00435072512085348</v>
      </c>
      <c r="P154" s="200">
        <v>0.02</v>
      </c>
      <c r="Q154" s="198">
        <v>6</v>
      </c>
      <c r="R154" s="15">
        <v>32</v>
      </c>
      <c r="S154" s="15">
        <v>17.3</v>
      </c>
      <c r="T154" s="15">
        <v>17.3</v>
      </c>
      <c r="U154" s="15">
        <v>1.6</v>
      </c>
      <c r="V154" s="198">
        <f>R154*S154*T154/5000</f>
        <v>1.915456</v>
      </c>
      <c r="W154" s="198">
        <f>MAX(U154:V154)</f>
        <v>1.915456</v>
      </c>
      <c r="X154" s="15" t="s">
        <v>21</v>
      </c>
      <c r="Y154" s="202">
        <v>6.6317</v>
      </c>
      <c r="Z154" s="198">
        <v>17</v>
      </c>
      <c r="AA154" s="198">
        <f>H154-SUM(K154:P154)*H154-J154-I154/B154-Z154/B154</f>
        <v>9.00532212389381</v>
      </c>
      <c r="AB154" s="201">
        <f>AA154/H154</f>
        <v>0.1501137210184</v>
      </c>
      <c r="AC154" s="14"/>
      <c r="AD154" s="204">
        <f>J154/H154</f>
        <v>0.156026004334056</v>
      </c>
      <c r="AE154" s="200">
        <f>I154/7.4/H154</f>
        <v>0.188184118544193</v>
      </c>
      <c r="AF154" s="200">
        <f>Z154/7.4/H154</f>
        <v>0.0382946707334105</v>
      </c>
      <c r="AG154" s="200">
        <v>0.15</v>
      </c>
      <c r="AH154" s="200">
        <f>N154</f>
        <v>0.100016669444907</v>
      </c>
      <c r="AI154" s="200">
        <v>0.02</v>
      </c>
      <c r="AJ154" s="200">
        <f>M154</f>
        <v>0.05</v>
      </c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</row>
    <row r="155" ht="11.4" spans="1:75">
      <c r="A155" s="206" t="s">
        <v>321</v>
      </c>
      <c r="B155" s="15">
        <v>8</v>
      </c>
      <c r="C155" s="15" t="s">
        <v>279</v>
      </c>
      <c r="D155" s="15" t="s">
        <v>285</v>
      </c>
      <c r="E155" s="15" t="s">
        <v>281</v>
      </c>
      <c r="F155" s="198">
        <f>IF(E155="有",(I155/B155+J155+Z155/B155)/(0.99999-K155-L155-M155-N155),(I155/B155+J155+Z155/B155)/(0.99999-K155-M155-N155))</f>
        <v>41.4617529173905</v>
      </c>
      <c r="G155" s="198">
        <f>IF(E155="有",(I155/B155+J155+Z155/B155)/(0.8-K155-L155-M155-N155-O155-P155),(I155/B155+J155+Z155/B155)/(0.8-K155-M155-N155-O155-P155))</f>
        <v>72.1212666055557</v>
      </c>
      <c r="H155" s="205">
        <f>H154*0.9</f>
        <v>53.991</v>
      </c>
      <c r="I155" s="198">
        <f>94.4/1.13</f>
        <v>83.5398230088496</v>
      </c>
      <c r="J155" s="17">
        <v>9.36</v>
      </c>
      <c r="K155" s="200">
        <v>0.15</v>
      </c>
      <c r="L155" s="200">
        <v>0.16</v>
      </c>
      <c r="M155" s="200">
        <v>0.05</v>
      </c>
      <c r="N155" s="200">
        <f>Q155/H155</f>
        <v>0.111129632716564</v>
      </c>
      <c r="O155" s="201">
        <f>0.261/H155</f>
        <v>0.00483413902317053</v>
      </c>
      <c r="P155" s="200">
        <v>0.02</v>
      </c>
      <c r="Q155" s="198">
        <v>6</v>
      </c>
      <c r="R155" s="15">
        <v>32</v>
      </c>
      <c r="S155" s="15">
        <v>17.3</v>
      </c>
      <c r="T155" s="15">
        <v>17.3</v>
      </c>
      <c r="U155" s="15">
        <v>1.6</v>
      </c>
      <c r="V155" s="198">
        <f>R155*S155*T155/5000</f>
        <v>1.915456</v>
      </c>
      <c r="W155" s="198">
        <f>MAX(U155:V155)</f>
        <v>1.915456</v>
      </c>
      <c r="X155" s="15" t="s">
        <v>21</v>
      </c>
      <c r="Y155" s="202">
        <v>6.6317</v>
      </c>
      <c r="Z155" s="198">
        <v>17</v>
      </c>
      <c r="AA155" s="198">
        <f>H155-SUM(K155:P155)*H155-J155-I155/B155-Z155/B155</f>
        <v>5.2859421238938</v>
      </c>
      <c r="AB155" s="201">
        <f>AA155/H155</f>
        <v>0.0979041344648887</v>
      </c>
      <c r="AC155" s="14"/>
      <c r="AD155" s="204">
        <f>J155/H155</f>
        <v>0.17336222703784</v>
      </c>
      <c r="AE155" s="200">
        <f>I155/7.4/H155</f>
        <v>0.209093465049104</v>
      </c>
      <c r="AF155" s="200">
        <f>Z155/7.4/H155</f>
        <v>0.0425496341482339</v>
      </c>
      <c r="AG155" s="200">
        <v>0.15</v>
      </c>
      <c r="AH155" s="200">
        <f>N155</f>
        <v>0.111129632716564</v>
      </c>
      <c r="AI155" s="200">
        <v>0.02</v>
      </c>
      <c r="AJ155" s="200">
        <f>M155</f>
        <v>0.05</v>
      </c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</row>
    <row r="156" ht="11.4" spans="1:75">
      <c r="A156" s="206" t="s">
        <v>322</v>
      </c>
      <c r="B156" s="15">
        <v>8</v>
      </c>
      <c r="C156" s="15" t="s">
        <v>279</v>
      </c>
      <c r="D156" s="15" t="s">
        <v>285</v>
      </c>
      <c r="E156" s="15" t="s">
        <v>281</v>
      </c>
      <c r="F156" s="198">
        <f>IF(E156="有",(I156/B156+J156+Z156/B156)/(0.99999-K156-L156-M156-N156),(I156/B156+J156+Z156/B156)/(0.99999-K156-M156-N156))</f>
        <v>42.5801765296214</v>
      </c>
      <c r="G156" s="198">
        <f>IF(E156="有",(I156/B156+J156+Z156/B156)/(0.8-K156-L156-M156-N156-O156-P156),(I156/B156+J156+Z156/B156)/(0.8-K156-M156-N156-O156-P156))</f>
        <v>75.7319215401441</v>
      </c>
      <c r="H156" s="205">
        <f>H154*0.8</f>
        <v>47.992</v>
      </c>
      <c r="I156" s="198">
        <f>94.4/1.13</f>
        <v>83.5398230088496</v>
      </c>
      <c r="J156" s="17">
        <v>9.36</v>
      </c>
      <c r="K156" s="200">
        <v>0.15</v>
      </c>
      <c r="L156" s="200">
        <v>0.16</v>
      </c>
      <c r="M156" s="200">
        <v>0.05</v>
      </c>
      <c r="N156" s="200">
        <f>Q156/H156</f>
        <v>0.125020836806134</v>
      </c>
      <c r="O156" s="201">
        <f>0.261/H156</f>
        <v>0.00543840640106684</v>
      </c>
      <c r="P156" s="200">
        <v>0.02</v>
      </c>
      <c r="Q156" s="198">
        <v>6</v>
      </c>
      <c r="R156" s="15">
        <v>32</v>
      </c>
      <c r="S156" s="15">
        <v>17.3</v>
      </c>
      <c r="T156" s="15">
        <v>17.3</v>
      </c>
      <c r="U156" s="15">
        <v>1.6</v>
      </c>
      <c r="V156" s="198">
        <f>R156*S156*T156/5000</f>
        <v>1.915456</v>
      </c>
      <c r="W156" s="198">
        <f>MAX(U156:V156)</f>
        <v>1.915456</v>
      </c>
      <c r="X156" s="15" t="s">
        <v>21</v>
      </c>
      <c r="Y156" s="202">
        <v>6.6317</v>
      </c>
      <c r="Z156" s="198">
        <v>17</v>
      </c>
      <c r="AA156" s="198">
        <f>H156-SUM(K156:P156)*H156-J156-I156/B156-Z156/B156</f>
        <v>1.56656212389381</v>
      </c>
      <c r="AB156" s="201">
        <f>AA156/H156</f>
        <v>0.0326421512729999</v>
      </c>
      <c r="AC156" s="14"/>
      <c r="AD156" s="204">
        <f>J156/H156</f>
        <v>0.19503250541757</v>
      </c>
      <c r="AE156" s="200">
        <f>I156/7.4/H156</f>
        <v>0.235230148180242</v>
      </c>
      <c r="AF156" s="200">
        <f>Z156/7.4/H156</f>
        <v>0.0478683384167631</v>
      </c>
      <c r="AG156" s="200">
        <v>0.15</v>
      </c>
      <c r="AH156" s="200">
        <f>N156</f>
        <v>0.125020836806134</v>
      </c>
      <c r="AI156" s="200">
        <v>0.02</v>
      </c>
      <c r="AJ156" s="200">
        <f>M156</f>
        <v>0.05</v>
      </c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</row>
    <row r="157" ht="11.4" spans="1:75">
      <c r="B157" s="14"/>
      <c r="C157" s="15"/>
      <c r="D157" s="15"/>
      <c r="E157" s="15"/>
      <c r="F157" s="198"/>
      <c r="G157" s="198"/>
      <c r="H157" s="198"/>
      <c r="I157" s="198"/>
      <c r="J157" s="17"/>
      <c r="K157" s="200"/>
      <c r="L157" s="200"/>
      <c r="M157" s="200"/>
      <c r="N157" s="200"/>
      <c r="O157" s="201"/>
      <c r="P157" s="200"/>
      <c r="Q157" s="200"/>
      <c r="R157" s="15"/>
      <c r="S157" s="15"/>
      <c r="T157" s="15"/>
      <c r="U157" s="15"/>
      <c r="V157" s="198"/>
      <c r="W157" s="198"/>
      <c r="X157" s="15"/>
      <c r="Y157" s="202"/>
      <c r="Z157" s="198"/>
      <c r="AA157" s="198"/>
      <c r="AB157" s="201"/>
      <c r="AC157" s="14"/>
      <c r="AD157" s="204"/>
      <c r="AE157" s="200"/>
      <c r="AF157" s="200"/>
      <c r="AG157" s="200"/>
      <c r="AH157" s="200"/>
      <c r="AI157" s="200"/>
      <c r="AJ157" s="200"/>
    </row>
    <row r="158" ht="11.4" spans="1:75">
      <c r="A158" s="206" t="s">
        <v>323</v>
      </c>
      <c r="B158" s="14">
        <v>8</v>
      </c>
      <c r="C158" s="15" t="s">
        <v>279</v>
      </c>
      <c r="D158" s="14" t="s">
        <v>287</v>
      </c>
      <c r="E158" s="15" t="s">
        <v>281</v>
      </c>
      <c r="F158" s="198">
        <f>IF(E158="有",(I158/B158+J158+Z158/B158)/(0.99999-K158-L158-M158-N158),(I158/B158+J158+Z158/B158)/(0.99999-K158-M158-N158))</f>
        <v>36.3123587557944</v>
      </c>
      <c r="G158" s="198">
        <f>IF(E158="有",(I158/B158+J158+Z158/B158)/(0.8-K158-L158-M158-N158-O158-P158),(I158/B158+J158+Z158/B158)/(0.8-K158-M158-N158-O158-P158))</f>
        <v>62.9688804385606</v>
      </c>
      <c r="H158" s="205">
        <v>54.99</v>
      </c>
      <c r="I158" s="198">
        <f>94.4/1.13</f>
        <v>83.5398230088496</v>
      </c>
      <c r="J158" s="17">
        <v>6.71</v>
      </c>
      <c r="K158" s="200">
        <v>0.15</v>
      </c>
      <c r="L158" s="200">
        <v>0.16</v>
      </c>
      <c r="M158" s="200">
        <v>0.05</v>
      </c>
      <c r="N158" s="200">
        <f>Q158/H158</f>
        <v>0.10911074740862</v>
      </c>
      <c r="O158" s="201">
        <f>0.261/H158</f>
        <v>0.00474631751227496</v>
      </c>
      <c r="P158" s="200">
        <v>0.02</v>
      </c>
      <c r="Q158" s="198">
        <v>6</v>
      </c>
      <c r="R158" s="15">
        <v>32</v>
      </c>
      <c r="S158" s="15">
        <v>17.3</v>
      </c>
      <c r="T158" s="15">
        <v>17.3</v>
      </c>
      <c r="U158" s="15">
        <v>1.6</v>
      </c>
      <c r="V158" s="198">
        <f>R158*S158*T158/5000</f>
        <v>1.915456</v>
      </c>
      <c r="W158" s="198">
        <f>MAX(U158:V158)</f>
        <v>1.915456</v>
      </c>
      <c r="X158" s="15" t="s">
        <v>21</v>
      </c>
      <c r="Y158" s="202">
        <v>6.6317</v>
      </c>
      <c r="Z158" s="198">
        <v>17</v>
      </c>
      <c r="AA158" s="198">
        <f>H158-SUM(K158:P158)*H158-J158-I158/B158-Z158/B158</f>
        <v>8.55532212389381</v>
      </c>
      <c r="AB158" s="201">
        <f>AA158/H158</f>
        <v>0.155579598543259</v>
      </c>
      <c r="AC158" s="14"/>
      <c r="AD158" s="204">
        <f>J158/H158</f>
        <v>0.122022185851973</v>
      </c>
      <c r="AE158" s="200">
        <f>I158/7.4/H158</f>
        <v>0.205294876731518</v>
      </c>
      <c r="AF158" s="200">
        <f>Z158/7.4/H158</f>
        <v>0.0417766375213184</v>
      </c>
      <c r="AG158" s="200">
        <v>0.15</v>
      </c>
      <c r="AH158" s="200">
        <f>N158</f>
        <v>0.10911074740862</v>
      </c>
      <c r="AI158" s="200">
        <v>0.02</v>
      </c>
      <c r="AJ158" s="200">
        <f>M158</f>
        <v>0.05</v>
      </c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</row>
    <row r="159" ht="11.4" spans="1:75">
      <c r="A159" s="206" t="s">
        <v>321</v>
      </c>
      <c r="B159" s="15">
        <v>8</v>
      </c>
      <c r="C159" s="15" t="s">
        <v>279</v>
      </c>
      <c r="D159" s="15" t="s">
        <v>287</v>
      </c>
      <c r="E159" s="15" t="s">
        <v>281</v>
      </c>
      <c r="F159" s="198">
        <f>IF(E159="有",(I159/B159+J159+Z159/B159)/(0.99999-K159-L159-M159-N159),(I159/B159+J159+Z159/B159)/(0.99999-K159-M159-N159))</f>
        <v>37.1609850538705</v>
      </c>
      <c r="G159" s="198">
        <f>IF(E159="有",(I159/B159+J159+Z159/B159)/(0.8-K159-L159-M159-N159-O159-P159),(I159/B159+J159+Z159/B159)/(0.8-K159-M159-N159-O159-P159))</f>
        <v>65.6831123773941</v>
      </c>
      <c r="H159" s="205">
        <f>H158*0.9</f>
        <v>49.491</v>
      </c>
      <c r="I159" s="198">
        <f>94.4/1.13</f>
        <v>83.5398230088496</v>
      </c>
      <c r="J159" s="17">
        <v>6.71</v>
      </c>
      <c r="K159" s="200">
        <v>0.15</v>
      </c>
      <c r="L159" s="200">
        <v>0.16</v>
      </c>
      <c r="M159" s="200">
        <v>0.05</v>
      </c>
      <c r="N159" s="200">
        <f>Q159/H159</f>
        <v>0.121234163787355</v>
      </c>
      <c r="O159" s="201">
        <f>0.261/H159</f>
        <v>0.00527368612474995</v>
      </c>
      <c r="P159" s="200">
        <v>0.02</v>
      </c>
      <c r="Q159" s="198">
        <v>6</v>
      </c>
      <c r="R159" s="15">
        <v>32</v>
      </c>
      <c r="S159" s="15">
        <v>17.3</v>
      </c>
      <c r="T159" s="15">
        <v>17.3</v>
      </c>
      <c r="U159" s="15">
        <v>1.6</v>
      </c>
      <c r="V159" s="198">
        <f>R159*S159*T159/5000</f>
        <v>1.915456</v>
      </c>
      <c r="W159" s="198">
        <f>MAX(U159:V159)</f>
        <v>1.915456</v>
      </c>
      <c r="X159" s="15" t="s">
        <v>21</v>
      </c>
      <c r="Y159" s="202">
        <v>6.6317</v>
      </c>
      <c r="Z159" s="198">
        <v>17</v>
      </c>
      <c r="AA159" s="198">
        <f>H159-SUM(K159:P159)*H159-J159-I159/B159-Z159/B159</f>
        <v>5.14594212389381</v>
      </c>
      <c r="AB159" s="201">
        <f>AA159/H159</f>
        <v>0.103977331714732</v>
      </c>
      <c r="AC159" s="14"/>
      <c r="AD159" s="204">
        <f>J159/H159</f>
        <v>0.135580206502192</v>
      </c>
      <c r="AE159" s="200">
        <f>I159/7.4/H159</f>
        <v>0.228105418590575</v>
      </c>
      <c r="AF159" s="200">
        <f>Z159/7.4/H159</f>
        <v>0.0464184861347982</v>
      </c>
      <c r="AG159" s="200">
        <v>0.15</v>
      </c>
      <c r="AH159" s="200">
        <f>N159</f>
        <v>0.121234163787355</v>
      </c>
      <c r="AI159" s="200">
        <v>0.02</v>
      </c>
      <c r="AJ159" s="200">
        <f>M159</f>
        <v>0.05</v>
      </c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</row>
    <row r="160" ht="11.4" spans="1:75">
      <c r="A160" s="206" t="s">
        <v>322</v>
      </c>
      <c r="B160" s="15">
        <v>8</v>
      </c>
      <c r="C160" s="15" t="s">
        <v>279</v>
      </c>
      <c r="D160" s="15" t="s">
        <v>287</v>
      </c>
      <c r="E160" s="15" t="s">
        <v>281</v>
      </c>
      <c r="F160" s="198">
        <f>IF(E160="有",(I160/B160+J160+Z160/B160)/(0.99999-K160-L160-M160-N160),(I160/B160+J160+Z160/B160)/(0.99999-K160-M160-N160))</f>
        <v>38.2792254583427</v>
      </c>
      <c r="G160" s="198">
        <f>IF(E160="有",(I160/B160+J160+Z160/B160)/(0.8-K160-L160-M160-N160-O160-P160),(I160/B160+J160+Z160/B160)/(0.8-K160-M160-N160-O160-P160))</f>
        <v>69.4236901812483</v>
      </c>
      <c r="H160" s="205">
        <f>H158*0.8</f>
        <v>43.992</v>
      </c>
      <c r="I160" s="198">
        <f>94.4/1.13</f>
        <v>83.5398230088496</v>
      </c>
      <c r="J160" s="17">
        <v>6.71</v>
      </c>
      <c r="K160" s="200">
        <v>0.15</v>
      </c>
      <c r="L160" s="200">
        <v>0.16</v>
      </c>
      <c r="M160" s="200">
        <v>0.05</v>
      </c>
      <c r="N160" s="200">
        <f>Q160/H160</f>
        <v>0.136388434260775</v>
      </c>
      <c r="O160" s="201">
        <f>0.261/H160</f>
        <v>0.0059328968903437</v>
      </c>
      <c r="P160" s="200">
        <v>0.02</v>
      </c>
      <c r="Q160" s="198">
        <v>6</v>
      </c>
      <c r="R160" s="15">
        <v>32</v>
      </c>
      <c r="S160" s="15">
        <v>17.3</v>
      </c>
      <c r="T160" s="15">
        <v>17.3</v>
      </c>
      <c r="U160" s="15">
        <v>1.6</v>
      </c>
      <c r="V160" s="198">
        <f>R160*S160*T160/5000</f>
        <v>1.915456</v>
      </c>
      <c r="W160" s="198">
        <f>MAX(U160:V160)</f>
        <v>1.915456</v>
      </c>
      <c r="X160" s="15" t="s">
        <v>21</v>
      </c>
      <c r="Y160" s="202">
        <v>6.6317</v>
      </c>
      <c r="Z160" s="198">
        <v>17</v>
      </c>
      <c r="AA160" s="198">
        <f>H160-SUM(K160:P160)*H160-J160-I160/B160-Z160/B160</f>
        <v>1.73656212389381</v>
      </c>
      <c r="AB160" s="201">
        <f>AA160/H160</f>
        <v>0.0394744981790736</v>
      </c>
      <c r="AC160" s="14"/>
      <c r="AD160" s="204">
        <f>J160/H160</f>
        <v>0.152527732314966</v>
      </c>
      <c r="AE160" s="200">
        <f>I160/7.4/H160</f>
        <v>0.256618595914397</v>
      </c>
      <c r="AF160" s="200">
        <f>Z160/7.4/H160</f>
        <v>0.052220796901648</v>
      </c>
      <c r="AG160" s="200">
        <v>0.15</v>
      </c>
      <c r="AH160" s="200">
        <f>N160</f>
        <v>0.136388434260775</v>
      </c>
      <c r="AI160" s="200">
        <v>0.02</v>
      </c>
      <c r="AJ160" s="200">
        <f>M160</f>
        <v>0.05</v>
      </c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</row>
    <row r="161" ht="11.4" spans="1:75">
      <c r="B161" s="14"/>
      <c r="C161" s="15"/>
      <c r="D161" s="15"/>
      <c r="E161" s="15"/>
      <c r="F161" s="198"/>
      <c r="G161" s="198"/>
      <c r="H161" s="198"/>
      <c r="I161" s="198"/>
      <c r="J161" s="17"/>
      <c r="K161" s="200"/>
      <c r="L161" s="200"/>
      <c r="M161" s="200"/>
      <c r="N161" s="200"/>
      <c r="O161" s="201"/>
      <c r="P161" s="200"/>
      <c r="Q161" s="200"/>
      <c r="R161" s="15"/>
      <c r="S161" s="15"/>
      <c r="T161" s="15"/>
      <c r="U161" s="15"/>
      <c r="V161" s="198"/>
      <c r="W161" s="198"/>
      <c r="X161" s="15"/>
      <c r="Y161" s="202"/>
      <c r="Z161" s="198"/>
      <c r="AA161" s="198"/>
      <c r="AB161" s="201"/>
      <c r="AC161" s="14"/>
      <c r="AD161" s="204"/>
      <c r="AE161" s="200"/>
      <c r="AF161" s="200"/>
      <c r="AG161" s="200"/>
      <c r="AH161" s="200"/>
      <c r="AI161" s="200"/>
      <c r="AJ161" s="200"/>
    </row>
    <row r="162" ht="11.4" spans="1:75">
      <c r="A162" s="206" t="s">
        <v>323</v>
      </c>
      <c r="B162" s="14">
        <v>8</v>
      </c>
      <c r="C162" s="15" t="s">
        <v>279</v>
      </c>
      <c r="D162" s="14" t="s">
        <v>290</v>
      </c>
      <c r="E162" s="15" t="s">
        <v>281</v>
      </c>
      <c r="F162" s="198">
        <f>IF(E162="有",(I162/B162+J162+Z162/B162)/(0.99999-K162-L162-M162-N162),(I162/B162+J162+Z162/B162)/(0.99999-K162-M162-N162))</f>
        <v>33.0536139629713</v>
      </c>
      <c r="G162" s="198">
        <f>IF(E162="有",(I162/B162+J162+Z162/B162)/(0.8-K162-L162-M162-N162-O162-P162),(I162/B162+J162+Z162/B162)/(0.8-K162-M162-N162-O162-P162))</f>
        <v>57.3179252742581</v>
      </c>
      <c r="H162" s="205">
        <v>54.99</v>
      </c>
      <c r="I162" s="198">
        <f>94.4/1.13</f>
        <v>83.5398230088496</v>
      </c>
      <c r="J162" s="17">
        <v>4.98</v>
      </c>
      <c r="K162" s="200">
        <v>0.15</v>
      </c>
      <c r="L162" s="200">
        <v>0.16</v>
      </c>
      <c r="M162" s="200">
        <v>0.05</v>
      </c>
      <c r="N162" s="200">
        <f>Q162/H162</f>
        <v>0.10911074740862</v>
      </c>
      <c r="O162" s="201">
        <f>0.261/H162</f>
        <v>0.00474631751227496</v>
      </c>
      <c r="P162" s="200">
        <v>0.02</v>
      </c>
      <c r="Q162" s="198">
        <v>6</v>
      </c>
      <c r="R162" s="15">
        <v>32</v>
      </c>
      <c r="S162" s="15">
        <v>17.3</v>
      </c>
      <c r="T162" s="15">
        <v>17.3</v>
      </c>
      <c r="U162" s="15">
        <v>1.6</v>
      </c>
      <c r="V162" s="198">
        <f>R162*S162*T162/5000</f>
        <v>1.915456</v>
      </c>
      <c r="W162" s="198">
        <f>MAX(U162:V162)</f>
        <v>1.915456</v>
      </c>
      <c r="X162" s="15" t="s">
        <v>21</v>
      </c>
      <c r="Y162" s="202">
        <v>6.6317</v>
      </c>
      <c r="Z162" s="198">
        <v>17</v>
      </c>
      <c r="AA162" s="198">
        <f>H162-SUM(K162:P162)*H162-J162-I162/B162-Z162/B162</f>
        <v>10.2853221238938</v>
      </c>
      <c r="AB162" s="201">
        <f>AA162/H162</f>
        <v>0.187039864046078</v>
      </c>
      <c r="AC162" s="14"/>
      <c r="AD162" s="204">
        <f>J162/H162</f>
        <v>0.0905619203491544</v>
      </c>
      <c r="AE162" s="200">
        <f>I162/7.4/H162</f>
        <v>0.205294876731518</v>
      </c>
      <c r="AF162" s="200">
        <f>Z162/7.4/H162</f>
        <v>0.0417766375213184</v>
      </c>
      <c r="AG162" s="200">
        <v>0.15</v>
      </c>
      <c r="AH162" s="200">
        <f>N162</f>
        <v>0.10911074740862</v>
      </c>
      <c r="AI162" s="200">
        <v>0.02</v>
      </c>
      <c r="AJ162" s="200">
        <f>M162</f>
        <v>0.05</v>
      </c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</row>
    <row r="163" ht="11.4" spans="1:75">
      <c r="A163" s="206" t="s">
        <v>321</v>
      </c>
      <c r="B163" s="15">
        <v>8</v>
      </c>
      <c r="C163" s="15" t="s">
        <v>279</v>
      </c>
      <c r="D163" s="15" t="s">
        <v>290</v>
      </c>
      <c r="E163" s="15" t="s">
        <v>281</v>
      </c>
      <c r="F163" s="198">
        <f>IF(E163="有",(I163/B163+J163+Z163/B163)/(0.99999-K163-L163-M163-N163),(I163/B163+J163+Z163/B163)/(0.99999-K163-M163-N163))</f>
        <v>33.8260828142534</v>
      </c>
      <c r="G163" s="198">
        <f>IF(E163="有",(I163/B163+J163+Z163/B163)/(0.8-K163-L163-M163-N163-O163-P163),(I163/B163+J163+Z163/B163)/(0.8-K163-M163-N163-O163-P163))</f>
        <v>59.7885765287116</v>
      </c>
      <c r="H163" s="205">
        <f>H162*0.9</f>
        <v>49.491</v>
      </c>
      <c r="I163" s="198">
        <f>94.4/1.13</f>
        <v>83.5398230088496</v>
      </c>
      <c r="J163" s="17">
        <v>4.98</v>
      </c>
      <c r="K163" s="200">
        <v>0.15</v>
      </c>
      <c r="L163" s="200">
        <v>0.16</v>
      </c>
      <c r="M163" s="200">
        <v>0.05</v>
      </c>
      <c r="N163" s="200">
        <f>Q163/H163</f>
        <v>0.121234163787355</v>
      </c>
      <c r="O163" s="201">
        <f>0.261/H163</f>
        <v>0.00527368612474995</v>
      </c>
      <c r="P163" s="200">
        <v>0.02</v>
      </c>
      <c r="Q163" s="198">
        <v>6</v>
      </c>
      <c r="R163" s="15">
        <v>32</v>
      </c>
      <c r="S163" s="15">
        <v>17.3</v>
      </c>
      <c r="T163" s="15">
        <v>17.3</v>
      </c>
      <c r="U163" s="15">
        <v>1.6</v>
      </c>
      <c r="V163" s="198">
        <f>R163*S163*T163/5000</f>
        <v>1.915456</v>
      </c>
      <c r="W163" s="198">
        <f>MAX(U163:V163)</f>
        <v>1.915456</v>
      </c>
      <c r="X163" s="15" t="s">
        <v>21</v>
      </c>
      <c r="Y163" s="202">
        <v>6.6317</v>
      </c>
      <c r="Z163" s="198">
        <v>17</v>
      </c>
      <c r="AA163" s="198">
        <f>H163-SUM(K163:P163)*H163-J163-I163/B163-Z163/B163</f>
        <v>6.87594212389381</v>
      </c>
      <c r="AB163" s="201">
        <f>AA163/H163</f>
        <v>0.13893318227342</v>
      </c>
      <c r="AC163" s="14"/>
      <c r="AD163" s="204">
        <f>J163/H163</f>
        <v>0.100624355943505</v>
      </c>
      <c r="AE163" s="200">
        <f>I163/7.4/H163</f>
        <v>0.228105418590575</v>
      </c>
      <c r="AF163" s="200">
        <f>Z163/7.4/H163</f>
        <v>0.0464184861347982</v>
      </c>
      <c r="AG163" s="200">
        <v>0.15</v>
      </c>
      <c r="AH163" s="200">
        <f>N163</f>
        <v>0.121234163787355</v>
      </c>
      <c r="AI163" s="200">
        <v>0.02</v>
      </c>
      <c r="AJ163" s="200">
        <f>M163</f>
        <v>0.05</v>
      </c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</row>
    <row r="164" ht="11.4" spans="1:75">
      <c r="A164" s="206" t="s">
        <v>322</v>
      </c>
      <c r="B164" s="15">
        <v>8</v>
      </c>
      <c r="C164" s="15" t="s">
        <v>279</v>
      </c>
      <c r="D164" s="15" t="s">
        <v>290</v>
      </c>
      <c r="E164" s="15" t="s">
        <v>281</v>
      </c>
      <c r="F164" s="198">
        <f>IF(E164="有",(I164/B164+J164+Z164/B164)/(0.99999-K164-L164-M164-N164),(I164/B164+J164+Z164/B164)/(0.99999-K164-M164-N164))</f>
        <v>34.8439700546774</v>
      </c>
      <c r="G164" s="198">
        <f>IF(E164="有",(I164/B164+J164+Z164/B164)/(0.8-K164-L164-M164-N164-O164-P164),(I164/B164+J164+Z164/B164)/(0.8-K164-M164-N164-O164-P164))</f>
        <v>63.193467286664</v>
      </c>
      <c r="H164" s="205">
        <f>H162*0.8</f>
        <v>43.992</v>
      </c>
      <c r="I164" s="198">
        <f>94.4/1.13</f>
        <v>83.5398230088496</v>
      </c>
      <c r="J164" s="17">
        <v>4.98</v>
      </c>
      <c r="K164" s="200">
        <v>0.15</v>
      </c>
      <c r="L164" s="200">
        <v>0.16</v>
      </c>
      <c r="M164" s="200">
        <v>0.05</v>
      </c>
      <c r="N164" s="200">
        <f>Q164/H164</f>
        <v>0.136388434260775</v>
      </c>
      <c r="O164" s="201">
        <f>0.261/H164</f>
        <v>0.0059328968903437</v>
      </c>
      <c r="P164" s="200">
        <v>0.02</v>
      </c>
      <c r="Q164" s="198">
        <v>6</v>
      </c>
      <c r="R164" s="15">
        <v>32</v>
      </c>
      <c r="S164" s="15">
        <v>17.3</v>
      </c>
      <c r="T164" s="15">
        <v>17.3</v>
      </c>
      <c r="U164" s="15">
        <v>1.6</v>
      </c>
      <c r="V164" s="198">
        <f>R164*S164*T164/5000</f>
        <v>1.915456</v>
      </c>
      <c r="W164" s="198">
        <f>MAX(U164:V164)</f>
        <v>1.915456</v>
      </c>
      <c r="X164" s="15" t="s">
        <v>21</v>
      </c>
      <c r="Y164" s="202">
        <v>6.6317</v>
      </c>
      <c r="Z164" s="198">
        <v>17</v>
      </c>
      <c r="AA164" s="198">
        <f>H164-SUM(K164:P164)*H164-J164-I164/B164-Z164/B164</f>
        <v>3.46656212389381</v>
      </c>
      <c r="AB164" s="201">
        <f>AA164/H164</f>
        <v>0.078799830057597</v>
      </c>
      <c r="AC164" s="14"/>
      <c r="AD164" s="204">
        <f>J164/H164</f>
        <v>0.113202400436443</v>
      </c>
      <c r="AE164" s="200">
        <f>I164/7.4/H164</f>
        <v>0.256618595914397</v>
      </c>
      <c r="AF164" s="200">
        <f>Z164/7.4/H164</f>
        <v>0.052220796901648</v>
      </c>
      <c r="AG164" s="200">
        <v>0.15</v>
      </c>
      <c r="AH164" s="200">
        <f>N164</f>
        <v>0.136388434260775</v>
      </c>
      <c r="AI164" s="200">
        <v>0.02</v>
      </c>
      <c r="AJ164" s="200">
        <f>M164</f>
        <v>0.05</v>
      </c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</row>
    <row r="165" ht="11.4" spans="1:75">
      <c r="B165" s="14"/>
      <c r="C165" s="15"/>
      <c r="D165" s="15"/>
      <c r="E165" s="15"/>
      <c r="F165" s="198"/>
      <c r="G165" s="198"/>
      <c r="H165" s="198"/>
      <c r="I165" s="198"/>
      <c r="J165" s="17"/>
      <c r="K165" s="200"/>
      <c r="L165" s="200"/>
      <c r="M165" s="200"/>
      <c r="N165" s="200"/>
      <c r="O165" s="201"/>
      <c r="P165" s="200"/>
      <c r="Q165" s="200"/>
      <c r="R165" s="15"/>
      <c r="S165" s="15"/>
      <c r="T165" s="15"/>
      <c r="U165" s="15"/>
      <c r="V165" s="198"/>
      <c r="W165" s="198"/>
      <c r="X165" s="15"/>
      <c r="Y165" s="202"/>
      <c r="Z165" s="198"/>
      <c r="AA165" s="198"/>
      <c r="AB165" s="201"/>
      <c r="AC165" s="14"/>
      <c r="AD165" s="204"/>
      <c r="AE165" s="200"/>
      <c r="AF165" s="200"/>
      <c r="AG165" s="200"/>
      <c r="AH165" s="200"/>
      <c r="AI165" s="200"/>
      <c r="AJ165" s="200"/>
    </row>
    <row r="166" ht="11.4" spans="1:75">
      <c r="A166" s="206" t="s">
        <v>319</v>
      </c>
      <c r="B166" s="14">
        <v>9</v>
      </c>
      <c r="C166" s="15" t="s">
        <v>291</v>
      </c>
      <c r="D166" s="15" t="s">
        <v>86</v>
      </c>
      <c r="E166" s="15" t="s">
        <v>281</v>
      </c>
      <c r="F166" s="198">
        <f>IF(E166="有",(I166/B166+J166+Z166/B166)/(0.99999-K166-L166-M166-N166),(I166/B166+J166+Z166/B166)/(0.99999-K166-M166-N166))</f>
        <v>30.6365810099153</v>
      </c>
      <c r="G166" s="198">
        <f>IF(E166="有",(I166/B166+J166+Z166/B166)/(0.8-K166-L166-M166-N166-O166-P166),(I166/B166+J166+Z166/B166)/(0.8-K166-M166-N166-O166-P166))</f>
        <v>54.044827002232</v>
      </c>
      <c r="H166" s="14">
        <v>49.99</v>
      </c>
      <c r="I166" s="198">
        <f>94.4/1.13</f>
        <v>83.5398230088496</v>
      </c>
      <c r="J166" s="17">
        <v>4.87</v>
      </c>
      <c r="K166" s="200">
        <v>0.15</v>
      </c>
      <c r="L166" s="200">
        <v>0.16</v>
      </c>
      <c r="M166" s="200">
        <v>0.05</v>
      </c>
      <c r="N166" s="200">
        <f>Q166/H166</f>
        <v>0.12002400480096</v>
      </c>
      <c r="O166" s="201">
        <f>0.261/H166</f>
        <v>0.00522104420884177</v>
      </c>
      <c r="P166" s="200">
        <v>0.02</v>
      </c>
      <c r="Q166" s="198">
        <v>6</v>
      </c>
      <c r="R166" s="15">
        <v>32</v>
      </c>
      <c r="S166" s="15">
        <v>17.3</v>
      </c>
      <c r="T166" s="15">
        <v>17.3</v>
      </c>
      <c r="U166" s="15">
        <v>1.6</v>
      </c>
      <c r="V166" s="198">
        <f>R166*S166*T166/6000</f>
        <v>1.59621333333333</v>
      </c>
      <c r="W166" s="198">
        <f>MAX(U166:V166)</f>
        <v>1.6</v>
      </c>
      <c r="X166" s="15" t="s">
        <v>21</v>
      </c>
      <c r="Y166" s="202">
        <v>6.6317</v>
      </c>
      <c r="Z166" s="198">
        <v>16</v>
      </c>
      <c r="AA166" s="198">
        <f>H166-SUM(K166:P166)*H166-J166-I166/B166-Z166/B166</f>
        <v>8.80281966568338</v>
      </c>
      <c r="AB166" s="201">
        <f>AA166/H166</f>
        <v>0.176091611635995</v>
      </c>
      <c r="AC166" s="14"/>
      <c r="AD166" s="204">
        <f>J166/H166</f>
        <v>0.0974194838967794</v>
      </c>
      <c r="AE166" s="200">
        <f>I166/7.4/H166</f>
        <v>0.225828471123548</v>
      </c>
      <c r="AF166" s="200">
        <f>Z166/7.4/H166</f>
        <v>0.0432518936219676</v>
      </c>
      <c r="AG166" s="200">
        <v>0.15</v>
      </c>
      <c r="AH166" s="200">
        <f>N166</f>
        <v>0.12002400480096</v>
      </c>
      <c r="AI166" s="200">
        <v>0.02</v>
      </c>
      <c r="AJ166" s="200">
        <f>M166</f>
        <v>0.05</v>
      </c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</row>
    <row r="167" ht="11.4" spans="1:75">
      <c r="A167" s="206" t="s">
        <v>321</v>
      </c>
      <c r="B167" s="14">
        <v>9</v>
      </c>
      <c r="C167" s="15" t="s">
        <v>291</v>
      </c>
      <c r="D167" s="15" t="s">
        <v>86</v>
      </c>
      <c r="E167" s="15" t="s">
        <v>281</v>
      </c>
      <c r="F167" s="198">
        <f>IF(E167="有",(I167/B167+J167+Z167/B167)/(0.99999-K167-L167-M167-N167),(I167/B167+J167+Z167/B167)/(0.99999-K167-M167-N167))</f>
        <v>31.4430264730598</v>
      </c>
      <c r="G167" s="198">
        <f>IF(E167="有",(I167/B167+J167+Z167/B167)/(0.8-K167-L167-M167-N167-O167-P167),(I167/B167+J167+Z167/B167)/(0.8-K167-M167-N167-O167-P167))</f>
        <v>56.7228544672146</v>
      </c>
      <c r="H167" s="205">
        <f>H166*0.9</f>
        <v>44.991</v>
      </c>
      <c r="I167" s="198">
        <f>94.4/1.13</f>
        <v>83.5398230088496</v>
      </c>
      <c r="J167" s="17">
        <v>4.87</v>
      </c>
      <c r="K167" s="200">
        <v>0.15</v>
      </c>
      <c r="L167" s="200">
        <v>0.16</v>
      </c>
      <c r="M167" s="200">
        <v>0.05</v>
      </c>
      <c r="N167" s="200">
        <f>Q167/H167</f>
        <v>0.1333600053344</v>
      </c>
      <c r="O167" s="201">
        <f>0.261/H167</f>
        <v>0.00580116023204641</v>
      </c>
      <c r="P167" s="200">
        <v>0.02</v>
      </c>
      <c r="Q167" s="198">
        <v>6</v>
      </c>
      <c r="R167" s="15">
        <v>32</v>
      </c>
      <c r="S167" s="15">
        <v>17.3</v>
      </c>
      <c r="T167" s="15">
        <v>17.3</v>
      </c>
      <c r="U167" s="15">
        <v>1.6</v>
      </c>
      <c r="V167" s="198">
        <f>R167*S167*T167/6000</f>
        <v>1.59621333333333</v>
      </c>
      <c r="W167" s="198">
        <f>MAX(U167:V167)</f>
        <v>1.6</v>
      </c>
      <c r="X167" s="15" t="s">
        <v>21</v>
      </c>
      <c r="Y167" s="202">
        <v>6.6317</v>
      </c>
      <c r="Z167" s="198">
        <v>16</v>
      </c>
      <c r="AA167" s="198">
        <f>H167-SUM(K167:P167)*H167-J167-I167/B167-Z167/B167</f>
        <v>5.70343966568338</v>
      </c>
      <c r="AB167" s="201">
        <f>AA167/H167</f>
        <v>0.126768457373328</v>
      </c>
      <c r="AC167" s="14"/>
      <c r="AD167" s="204">
        <f>J167/H167</f>
        <v>0.108243870996422</v>
      </c>
      <c r="AE167" s="200">
        <f>I167/7.4/H167</f>
        <v>0.250920523470609</v>
      </c>
      <c r="AF167" s="200">
        <f>Z167/7.4/H167</f>
        <v>0.048057659579964</v>
      </c>
      <c r="AG167" s="200">
        <v>0.15</v>
      </c>
      <c r="AH167" s="200">
        <f>N167</f>
        <v>0.1333600053344</v>
      </c>
      <c r="AI167" s="200">
        <v>0.02</v>
      </c>
      <c r="AJ167" s="200">
        <f>M167</f>
        <v>0.05</v>
      </c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</row>
    <row r="168" ht="11.4" spans="1:75">
      <c r="A168" s="206" t="s">
        <v>322</v>
      </c>
      <c r="B168" s="14">
        <v>9</v>
      </c>
      <c r="C168" s="15" t="s">
        <v>291</v>
      </c>
      <c r="D168" s="15" t="s">
        <v>86</v>
      </c>
      <c r="E168" s="15" t="s">
        <v>281</v>
      </c>
      <c r="F168" s="198">
        <f>IF(E168="有",(I168/B168+J168+Z168/B168)/(0.99999-K168-L168-M168-N168),(I168/B168+J168+Z168/B168)/(0.99999-K168-M168-N168))</f>
        <v>32.5128184534096</v>
      </c>
      <c r="G168" s="198">
        <f>IF(E168="有",(I168/B168+J168+Z168/B168)/(0.8-K168-L168-M168-N168-O168-P168),(I168/B168+J168+Z168/B168)/(0.8-K168-M168-N168-O168-P168))</f>
        <v>60.4682557044461</v>
      </c>
      <c r="H168" s="205">
        <f>H166*0.8</f>
        <v>39.992</v>
      </c>
      <c r="I168" s="198">
        <f>94.4/1.13</f>
        <v>83.5398230088496</v>
      </c>
      <c r="J168" s="17">
        <v>4.87</v>
      </c>
      <c r="K168" s="200">
        <v>0.15</v>
      </c>
      <c r="L168" s="200">
        <v>0.16</v>
      </c>
      <c r="M168" s="200">
        <v>0.05</v>
      </c>
      <c r="N168" s="200">
        <f>Q168/H168</f>
        <v>0.1500300060012</v>
      </c>
      <c r="O168" s="201">
        <f>0.261/H168</f>
        <v>0.00652630526105221</v>
      </c>
      <c r="P168" s="200">
        <v>0.02</v>
      </c>
      <c r="Q168" s="198">
        <v>6</v>
      </c>
      <c r="R168" s="15">
        <v>32</v>
      </c>
      <c r="S168" s="15">
        <v>17.3</v>
      </c>
      <c r="T168" s="15">
        <v>17.3</v>
      </c>
      <c r="U168" s="15">
        <v>1.6</v>
      </c>
      <c r="V168" s="198">
        <f>R168*S168*T168/6000</f>
        <v>1.59621333333333</v>
      </c>
      <c r="W168" s="198">
        <f>MAX(U168:V168)</f>
        <v>1.6</v>
      </c>
      <c r="X168" s="15" t="s">
        <v>21</v>
      </c>
      <c r="Y168" s="202">
        <v>6.6317</v>
      </c>
      <c r="Z168" s="198">
        <v>16</v>
      </c>
      <c r="AA168" s="198">
        <f>H168-SUM(K168:P168)*H168-J168-I168/B168-Z168/B168</f>
        <v>2.60405966568338</v>
      </c>
      <c r="AB168" s="201">
        <f>AA168/H168</f>
        <v>0.0651145145449935</v>
      </c>
      <c r="AC168" s="14"/>
      <c r="AD168" s="204">
        <f>J168/H168</f>
        <v>0.121774354870974</v>
      </c>
      <c r="AE168" s="200">
        <f>I168/7.4/H168</f>
        <v>0.282285588904435</v>
      </c>
      <c r="AF168" s="200">
        <f>Z168/7.4/H168</f>
        <v>0.0540648670274595</v>
      </c>
      <c r="AG168" s="200">
        <v>0.15</v>
      </c>
      <c r="AH168" s="200">
        <f>N168</f>
        <v>0.1500300060012</v>
      </c>
      <c r="AI168" s="200">
        <v>0.02</v>
      </c>
      <c r="AJ168" s="200">
        <f>M168</f>
        <v>0.05</v>
      </c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</row>
    <row r="169" ht="11.4" spans="1:75">
      <c r="B169" s="14"/>
      <c r="C169" s="15"/>
      <c r="D169" s="15"/>
      <c r="E169" s="15"/>
      <c r="F169" s="198"/>
      <c r="G169" s="198"/>
      <c r="H169" s="198"/>
      <c r="I169" s="198"/>
      <c r="J169" s="17"/>
      <c r="K169" s="200"/>
      <c r="L169" s="200"/>
      <c r="M169" s="200"/>
      <c r="N169" s="200"/>
      <c r="O169" s="201"/>
      <c r="P169" s="200"/>
      <c r="Q169" s="198"/>
      <c r="R169" s="15"/>
      <c r="S169" s="15"/>
      <c r="T169" s="15"/>
      <c r="U169" s="15"/>
      <c r="V169" s="198"/>
      <c r="W169" s="198"/>
      <c r="X169" s="15"/>
      <c r="Y169" s="202"/>
      <c r="Z169" s="198"/>
      <c r="AA169" s="198"/>
      <c r="AB169" s="201"/>
      <c r="AC169" s="14"/>
      <c r="AD169" s="204"/>
      <c r="AE169" s="200"/>
      <c r="AF169" s="200"/>
      <c r="AG169" s="200"/>
      <c r="AH169" s="200"/>
      <c r="AI169" s="200"/>
      <c r="AJ169" s="200"/>
    </row>
    <row r="170" ht="11.4" spans="1:75">
      <c r="A170" s="206" t="s">
        <v>324</v>
      </c>
      <c r="B170" s="14">
        <v>7</v>
      </c>
      <c r="C170" s="15" t="s">
        <v>279</v>
      </c>
      <c r="D170" s="14" t="s">
        <v>84</v>
      </c>
      <c r="E170" s="15" t="s">
        <v>320</v>
      </c>
      <c r="F170" s="198">
        <f>IF(E170="有",(I170/B170+J170+Z170/B170)/(0.99999-K170-L170-M170-N170),(I170/B170+J170+Z170/B170)/(0.99999-K170-M170-N170))</f>
        <v>12.0815353428327</v>
      </c>
      <c r="G170" s="198">
        <f>IF(E170="有",(I170/B170+J170+Z170/B170)/(0.8-K170-L170-M170-N170-O170-P170),(I170/B170+J170+Z170/B170)/(0.8-K170-M170-N170-O170-P170))</f>
        <v>17.0477445120236</v>
      </c>
      <c r="H170" s="205">
        <v>19.99</v>
      </c>
      <c r="I170" s="198">
        <f>16.9/1.13</f>
        <v>14.9557522123894</v>
      </c>
      <c r="J170" s="17">
        <v>6.1</v>
      </c>
      <c r="K170" s="200">
        <v>0.15</v>
      </c>
      <c r="L170" s="200">
        <v>0</v>
      </c>
      <c r="M170" s="200">
        <v>0.05</v>
      </c>
      <c r="N170" s="200">
        <f>Q170/H170</f>
        <v>0</v>
      </c>
      <c r="O170" s="201">
        <f>0.261/H170</f>
        <v>0.0130565282641321</v>
      </c>
      <c r="P170" s="200">
        <v>0.02</v>
      </c>
      <c r="Q170" s="198">
        <v>0</v>
      </c>
      <c r="R170" s="15">
        <v>32</v>
      </c>
      <c r="S170" s="15">
        <v>17.3</v>
      </c>
      <c r="T170" s="15">
        <v>17.3</v>
      </c>
      <c r="U170" s="15">
        <v>1.6</v>
      </c>
      <c r="V170" s="198">
        <f>R170*S170*T170/5000</f>
        <v>1.915456</v>
      </c>
      <c r="W170" s="198">
        <f>MAX(U170:V170)</f>
        <v>1.915456</v>
      </c>
      <c r="X170" s="15" t="s">
        <v>21</v>
      </c>
      <c r="Y170" s="202">
        <v>6.6317</v>
      </c>
      <c r="Z170" s="198">
        <v>10</v>
      </c>
      <c r="AA170" s="198">
        <f>H170-SUM(K170:P170)*H170-J170-I170/B170-Z170/B170</f>
        <v>5.66609254108723</v>
      </c>
      <c r="AB170" s="201">
        <f>AA170/H170</f>
        <v>0.283446350229476</v>
      </c>
      <c r="AC170" s="14"/>
      <c r="AD170" s="204">
        <f>J170/H170</f>
        <v>0.305152576288144</v>
      </c>
      <c r="AE170" s="200">
        <f>I170/7.4/H170</f>
        <v>0.101102931279081</v>
      </c>
      <c r="AF170" s="200">
        <f>Z170/7.4/H170</f>
        <v>0.0676013682516934</v>
      </c>
      <c r="AG170" s="200">
        <v>0.15</v>
      </c>
      <c r="AH170" s="200">
        <f>N170</f>
        <v>0</v>
      </c>
      <c r="AI170" s="200">
        <v>0.02</v>
      </c>
      <c r="AJ170" s="200">
        <f>M170</f>
        <v>0.05</v>
      </c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</row>
    <row r="171" ht="11.4" spans="1:75">
      <c r="A171" s="197" t="s">
        <v>325</v>
      </c>
      <c r="B171" s="14">
        <v>7</v>
      </c>
      <c r="C171" s="15" t="s">
        <v>279</v>
      </c>
      <c r="D171" s="15" t="s">
        <v>84</v>
      </c>
      <c r="E171" s="15" t="s">
        <v>320</v>
      </c>
      <c r="F171" s="198">
        <f>IF(E171="有",(I171/B171+J171+Z171/B171)/(0.99999-K171-L171-M171-N171),(I171/B171+J171+Z171/B171)/(0.99999-K171-M171-N171))</f>
        <v>12.0815353428327</v>
      </c>
      <c r="G171" s="198">
        <f>IF(E171="有",(I171/B171+J171+Z171/B171)/(0.8-K171-L171-M171-N171-O171-P171),(I171/B171+J171+Z171/B171)/(0.8-K171-M171-N171-O171-P171))</f>
        <v>17.0914791054357</v>
      </c>
      <c r="H171" s="205">
        <f>H170*0.9</f>
        <v>17.991</v>
      </c>
      <c r="I171" s="198">
        <f>16.9/1.13</f>
        <v>14.9557522123894</v>
      </c>
      <c r="J171" s="17">
        <v>6.1</v>
      </c>
      <c r="K171" s="200">
        <v>0.15</v>
      </c>
      <c r="L171" s="200">
        <v>0</v>
      </c>
      <c r="M171" s="200">
        <v>0.05</v>
      </c>
      <c r="N171" s="200">
        <f>Q171/H171</f>
        <v>0</v>
      </c>
      <c r="O171" s="201">
        <f>0.261/H171</f>
        <v>0.0145072536268134</v>
      </c>
      <c r="P171" s="200">
        <v>0.02</v>
      </c>
      <c r="Q171" s="198">
        <v>0</v>
      </c>
      <c r="R171" s="15">
        <v>32</v>
      </c>
      <c r="S171" s="15">
        <v>17.3</v>
      </c>
      <c r="T171" s="15">
        <v>17.3</v>
      </c>
      <c r="U171" s="15">
        <v>1.6</v>
      </c>
      <c r="V171" s="198">
        <f>R171*S171*T171/5000</f>
        <v>1.915456</v>
      </c>
      <c r="W171" s="198">
        <f>MAX(U171:V171)</f>
        <v>1.915456</v>
      </c>
      <c r="X171" s="15" t="s">
        <v>21</v>
      </c>
      <c r="Y171" s="202">
        <v>6.6317</v>
      </c>
      <c r="Z171" s="198">
        <v>10</v>
      </c>
      <c r="AA171" s="198">
        <f>H171-SUM(K171:P171)*H171-J171-I171/B171-Z171/B171</f>
        <v>4.10687254108723</v>
      </c>
      <c r="AB171" s="201">
        <f>AA171/H171</f>
        <v>0.228273722477196</v>
      </c>
      <c r="AC171" s="14"/>
      <c r="AD171" s="204">
        <f>J171/H171</f>
        <v>0.339058418097938</v>
      </c>
      <c r="AE171" s="200">
        <f>I171/7.4/H171</f>
        <v>0.11233659031009</v>
      </c>
      <c r="AF171" s="200">
        <f>Z171/7.4/H171</f>
        <v>0.0751126313907705</v>
      </c>
      <c r="AG171" s="200">
        <v>0.15</v>
      </c>
      <c r="AH171" s="200">
        <f>N171</f>
        <v>0</v>
      </c>
      <c r="AI171" s="200">
        <v>0.02</v>
      </c>
      <c r="AJ171" s="200">
        <f>M171</f>
        <v>0.05</v>
      </c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</row>
    <row r="172" ht="11.4" spans="1:75">
      <c r="A172" s="197" t="s">
        <v>326</v>
      </c>
      <c r="B172" s="14">
        <v>7</v>
      </c>
      <c r="C172" s="15" t="s">
        <v>279</v>
      </c>
      <c r="D172" s="15" t="s">
        <v>84</v>
      </c>
      <c r="E172" s="15" t="s">
        <v>320</v>
      </c>
      <c r="F172" s="198">
        <f>IF(E172="有",(I172/B172+J172+Z172/B172)/(0.99999-K172-L172-M172-N172),(I172/B172+J172+Z172/B172)/(0.99999-K172-M172-N172))</f>
        <v>12.0815353428327</v>
      </c>
      <c r="G172" s="198">
        <f>IF(E172="有",(I172/B172+J172+Z172/B172)/(0.8-K172-L172-M172-N172-O172-P172),(I172/B172+J172+Z172/B172)/(0.8-K172-M172-N172-O172-P172))</f>
        <v>17.1464639178969</v>
      </c>
      <c r="H172" s="205">
        <f>H170*0.8</f>
        <v>15.992</v>
      </c>
      <c r="I172" s="198">
        <f>16.9/1.13</f>
        <v>14.9557522123894</v>
      </c>
      <c r="J172" s="17">
        <v>6.1</v>
      </c>
      <c r="K172" s="200">
        <v>0.15</v>
      </c>
      <c r="L172" s="200">
        <v>0</v>
      </c>
      <c r="M172" s="200">
        <v>0.05</v>
      </c>
      <c r="N172" s="200">
        <f>Q172/H172</f>
        <v>0</v>
      </c>
      <c r="O172" s="201">
        <f>0.261/H172</f>
        <v>0.0163206603301651</v>
      </c>
      <c r="P172" s="200">
        <v>0.02</v>
      </c>
      <c r="Q172" s="198">
        <v>0</v>
      </c>
      <c r="R172" s="15">
        <v>32</v>
      </c>
      <c r="S172" s="15">
        <v>17.3</v>
      </c>
      <c r="T172" s="15">
        <v>17.3</v>
      </c>
      <c r="U172" s="15">
        <v>1.6</v>
      </c>
      <c r="V172" s="198">
        <f>R172*S172*T172/5000</f>
        <v>1.915456</v>
      </c>
      <c r="W172" s="198">
        <f>MAX(U172:V172)</f>
        <v>1.915456</v>
      </c>
      <c r="X172" s="15" t="s">
        <v>21</v>
      </c>
      <c r="Y172" s="202">
        <v>6.6317</v>
      </c>
      <c r="Z172" s="198">
        <v>10</v>
      </c>
      <c r="AA172" s="198">
        <f>H172-SUM(K172:P172)*H172-J172-I172/B172-Z172/B172</f>
        <v>2.54765254108723</v>
      </c>
      <c r="AB172" s="201">
        <f>AA172/H172</f>
        <v>0.159307937786845</v>
      </c>
      <c r="AC172" s="14"/>
      <c r="AD172" s="204">
        <f>J172/H172</f>
        <v>0.38144072036018</v>
      </c>
      <c r="AE172" s="200">
        <f>I172/7.4/H172</f>
        <v>0.126378664098852</v>
      </c>
      <c r="AF172" s="200">
        <f>Z172/7.4/H172</f>
        <v>0.0845017103146168</v>
      </c>
      <c r="AG172" s="200">
        <v>0.15</v>
      </c>
      <c r="AH172" s="200">
        <f>N172</f>
        <v>0</v>
      </c>
      <c r="AI172" s="200">
        <v>0.02</v>
      </c>
      <c r="AJ172" s="200">
        <f>M172</f>
        <v>0.05</v>
      </c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</row>
    <row r="173" ht="11.4" spans="1:75">
      <c r="A173" s="19"/>
      <c r="B173" s="14"/>
      <c r="C173" s="15"/>
      <c r="D173" s="15"/>
      <c r="E173" s="15"/>
      <c r="F173" s="198"/>
      <c r="G173" s="198"/>
      <c r="H173" s="205"/>
      <c r="I173" s="198"/>
      <c r="J173" s="17"/>
      <c r="K173" s="200"/>
      <c r="L173" s="200"/>
      <c r="M173" s="200"/>
      <c r="N173" s="200"/>
      <c r="O173" s="201"/>
      <c r="P173" s="200"/>
      <c r="Q173" s="198"/>
      <c r="R173" s="15"/>
      <c r="S173" s="15"/>
      <c r="T173" s="15"/>
      <c r="U173" s="15"/>
      <c r="V173" s="198"/>
      <c r="W173" s="198"/>
      <c r="X173" s="15"/>
      <c r="Y173" s="202"/>
      <c r="Z173" s="198"/>
      <c r="AA173" s="198"/>
      <c r="AB173" s="201"/>
      <c r="AC173" s="14"/>
      <c r="AD173" s="204"/>
      <c r="AE173" s="200"/>
      <c r="AF173" s="200"/>
      <c r="AG173" s="200"/>
      <c r="AH173" s="200"/>
      <c r="AI173" s="200"/>
      <c r="AJ173" s="200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</row>
    <row r="174" ht="11.4" spans="1:75">
      <c r="A174" s="206" t="s">
        <v>324</v>
      </c>
      <c r="B174" s="14">
        <v>8</v>
      </c>
      <c r="C174" s="15" t="s">
        <v>279</v>
      </c>
      <c r="D174" s="15" t="s">
        <v>280</v>
      </c>
      <c r="E174" s="15" t="s">
        <v>281</v>
      </c>
      <c r="F174" s="198">
        <f>IF(E174="有",(I174/B174+J174+Z174/B174)/(0.99999-K174-L174-M174-N174),(I174/B174+J174+Z174/B174)/(0.99999-K174-M174-N174))</f>
        <v>12.686868586304</v>
      </c>
      <c r="G174" s="198">
        <f>IF(E174="有",(I174/B174+J174+Z174/B174)/(0.8-K174-L174-M174-N174-O174-P174),(I174/B174+J174+Z174/B174)/(0.8-K174-M174-N174-O174-P174))</f>
        <v>19.9523265280902</v>
      </c>
      <c r="H174" s="205">
        <v>19.99</v>
      </c>
      <c r="I174" s="198">
        <f>16.9/1.13</f>
        <v>14.9557522123894</v>
      </c>
      <c r="J174" s="17">
        <v>5</v>
      </c>
      <c r="K174" s="200">
        <v>0.15</v>
      </c>
      <c r="L174" s="200">
        <v>0.16</v>
      </c>
      <c r="M174" s="200">
        <v>0.05</v>
      </c>
      <c r="N174" s="200">
        <f>Q174/H174</f>
        <v>0</v>
      </c>
      <c r="O174" s="201">
        <f>0.261/H174</f>
        <v>0.0130565282641321</v>
      </c>
      <c r="P174" s="200">
        <v>0.02</v>
      </c>
      <c r="Q174" s="198">
        <v>0</v>
      </c>
      <c r="R174" s="15">
        <v>32</v>
      </c>
      <c r="S174" s="15">
        <v>17.3</v>
      </c>
      <c r="T174" s="15">
        <v>17.3</v>
      </c>
      <c r="U174" s="15">
        <v>1.6</v>
      </c>
      <c r="V174" s="198">
        <f>R174*S174*T174/5000</f>
        <v>1.915456</v>
      </c>
      <c r="W174" s="198">
        <f>MAX(U174:V174)</f>
        <v>1.915456</v>
      </c>
      <c r="X174" s="15" t="s">
        <v>21</v>
      </c>
      <c r="Y174" s="202">
        <v>6.6317</v>
      </c>
      <c r="Z174" s="198">
        <v>10</v>
      </c>
      <c r="AA174" s="198">
        <f>H174-SUM(K174:P174)*H174-J174-I174/B174-Z174/B174</f>
        <v>4.01333097345133</v>
      </c>
      <c r="AB174" s="201">
        <f>AA174/H174</f>
        <v>0.200766932138636</v>
      </c>
      <c r="AC174" s="14"/>
      <c r="AD174" s="204">
        <f>J174/H174</f>
        <v>0.250125062531266</v>
      </c>
      <c r="AE174" s="200">
        <f>I174/7.4/H174</f>
        <v>0.101102931279081</v>
      </c>
      <c r="AF174" s="200">
        <f>Z174/7.4/H174</f>
        <v>0.0676013682516934</v>
      </c>
      <c r="AG174" s="200">
        <v>0.15</v>
      </c>
      <c r="AH174" s="200">
        <f>N174</f>
        <v>0</v>
      </c>
      <c r="AI174" s="200">
        <v>0.02</v>
      </c>
      <c r="AJ174" s="200">
        <f>M174</f>
        <v>0.05</v>
      </c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</row>
    <row r="175" ht="11.4" spans="1:75">
      <c r="A175" s="206" t="s">
        <v>325</v>
      </c>
      <c r="B175" s="15">
        <v>8</v>
      </c>
      <c r="C175" s="15" t="s">
        <v>279</v>
      </c>
      <c r="D175" s="15" t="s">
        <v>280</v>
      </c>
      <c r="E175" s="15" t="s">
        <v>281</v>
      </c>
      <c r="F175" s="198">
        <f>IF(E175="有",(I175/B175+J175+Z175/B175)/(0.99999-K175-L175-M175-N175),(I175/B175+J175+Z175/B175)/(0.99999-K175-M175-N175))</f>
        <v>12.686868586304</v>
      </c>
      <c r="G175" s="198">
        <f>IF(E175="有",(I175/B175+J175+Z175/B175)/(0.8-K175-L175-M175-N175-O175-P175),(I175/B175+J175+Z175/B175)/(0.8-K175-M175-N175-O175-P175))</f>
        <v>20.0237096697066</v>
      </c>
      <c r="H175" s="205">
        <f>H174*0.9</f>
        <v>17.991</v>
      </c>
      <c r="I175" s="198">
        <f>16.9/1.13</f>
        <v>14.9557522123894</v>
      </c>
      <c r="J175" s="17">
        <v>5</v>
      </c>
      <c r="K175" s="200">
        <v>0.15</v>
      </c>
      <c r="L175" s="200">
        <v>0.16</v>
      </c>
      <c r="M175" s="200">
        <v>0.05</v>
      </c>
      <c r="N175" s="200">
        <f>Q175/H175</f>
        <v>0</v>
      </c>
      <c r="O175" s="201">
        <f>0.261/H175</f>
        <v>0.0145072536268134</v>
      </c>
      <c r="P175" s="200">
        <v>0.02</v>
      </c>
      <c r="Q175" s="198">
        <v>0</v>
      </c>
      <c r="R175" s="15">
        <v>32</v>
      </c>
      <c r="S175" s="15">
        <v>17.3</v>
      </c>
      <c r="T175" s="15">
        <v>17.3</v>
      </c>
      <c r="U175" s="15">
        <v>1.6</v>
      </c>
      <c r="V175" s="198">
        <f>R175*S175*T175/5000</f>
        <v>1.915456</v>
      </c>
      <c r="W175" s="198">
        <f>MAX(U175:V175)</f>
        <v>1.915456</v>
      </c>
      <c r="X175" s="15" t="s">
        <v>21</v>
      </c>
      <c r="Y175" s="202">
        <v>6.6317</v>
      </c>
      <c r="Z175" s="198">
        <v>10</v>
      </c>
      <c r="AA175" s="198">
        <f>H175-SUM(K175:P175)*H175-J175-I175/B175-Z175/B175</f>
        <v>2.77395097345133</v>
      </c>
      <c r="AB175" s="201">
        <f>AA175/H175</f>
        <v>0.15418548015404</v>
      </c>
      <c r="AC175" s="14"/>
      <c r="AD175" s="204">
        <f>J175/H175</f>
        <v>0.277916736145851</v>
      </c>
      <c r="AE175" s="200">
        <f>I175/7.4/H175</f>
        <v>0.11233659031009</v>
      </c>
      <c r="AF175" s="200">
        <f>Z175/7.4/H175</f>
        <v>0.0751126313907705</v>
      </c>
      <c r="AG175" s="200">
        <v>0.15</v>
      </c>
      <c r="AH175" s="200">
        <f>N175</f>
        <v>0</v>
      </c>
      <c r="AI175" s="200">
        <v>0.02</v>
      </c>
      <c r="AJ175" s="200">
        <f>M175</f>
        <v>0.05</v>
      </c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</row>
    <row r="176" ht="11.4" spans="1:75">
      <c r="A176" s="206" t="s">
        <v>326</v>
      </c>
      <c r="B176" s="15">
        <v>8</v>
      </c>
      <c r="C176" s="15" t="s">
        <v>279</v>
      </c>
      <c r="D176" s="15" t="s">
        <v>280</v>
      </c>
      <c r="E176" s="15" t="s">
        <v>281</v>
      </c>
      <c r="F176" s="198">
        <f>IF(E176="有",(I176/B176+J176+Z176/B176)/(0.99999-K176-L176-M176-N176),(I176/B176+J176+Z176/B176)/(0.99999-K176-M176-N176))</f>
        <v>12.686868586304</v>
      </c>
      <c r="G176" s="198">
        <f>IF(E176="有",(I176/B176+J176+Z176/B176)/(0.8-K176-L176-M176-N176-O176-P176),(I176/B176+J176+Z176/B176)/(0.8-K176-M176-N176-O176-P176))</f>
        <v>20.1136600976149</v>
      </c>
      <c r="H176" s="205">
        <f>H174*0.8</f>
        <v>15.992</v>
      </c>
      <c r="I176" s="198">
        <f>16.9/1.13</f>
        <v>14.9557522123894</v>
      </c>
      <c r="J176" s="17">
        <v>5</v>
      </c>
      <c r="K176" s="200">
        <v>0.15</v>
      </c>
      <c r="L176" s="200">
        <v>0.16</v>
      </c>
      <c r="M176" s="200">
        <v>0.05</v>
      </c>
      <c r="N176" s="200">
        <f>Q176/H176</f>
        <v>0</v>
      </c>
      <c r="O176" s="201">
        <f>0.261/H176</f>
        <v>0.0163206603301651</v>
      </c>
      <c r="P176" s="200">
        <v>0.02</v>
      </c>
      <c r="Q176" s="198">
        <v>0</v>
      </c>
      <c r="R176" s="15">
        <v>32</v>
      </c>
      <c r="S176" s="15">
        <v>17.3</v>
      </c>
      <c r="T176" s="15">
        <v>17.3</v>
      </c>
      <c r="U176" s="15">
        <v>1.6</v>
      </c>
      <c r="V176" s="198">
        <f>R176*S176*T176/5000</f>
        <v>1.915456</v>
      </c>
      <c r="W176" s="198">
        <f>MAX(U176:V176)</f>
        <v>1.915456</v>
      </c>
      <c r="X176" s="15" t="s">
        <v>21</v>
      </c>
      <c r="Y176" s="202">
        <v>6.6317</v>
      </c>
      <c r="Z176" s="198">
        <v>10</v>
      </c>
      <c r="AA176" s="198">
        <f>H176-SUM(K176:P176)*H176-J176-I176/B176-Z176/B176</f>
        <v>1.53457097345133</v>
      </c>
      <c r="AB176" s="201">
        <f>AA176/H176</f>
        <v>0.0959586651732945</v>
      </c>
      <c r="AC176" s="14"/>
      <c r="AD176" s="204">
        <f>J176/H176</f>
        <v>0.312656328164082</v>
      </c>
      <c r="AE176" s="200">
        <f>I176/7.4/H176</f>
        <v>0.126378664098852</v>
      </c>
      <c r="AF176" s="200">
        <f>Z176/7.4/H176</f>
        <v>0.0845017103146168</v>
      </c>
      <c r="AG176" s="200">
        <v>0.15</v>
      </c>
      <c r="AH176" s="200">
        <f>N176</f>
        <v>0</v>
      </c>
      <c r="AI176" s="200">
        <v>0.02</v>
      </c>
      <c r="AJ176" s="200">
        <f>M176</f>
        <v>0.05</v>
      </c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</row>
    <row r="177" ht="11.4" spans="1:75">
      <c r="B177" s="14"/>
      <c r="C177" s="15"/>
      <c r="D177" s="15"/>
      <c r="E177" s="15"/>
      <c r="F177" s="198"/>
      <c r="G177" s="198"/>
      <c r="H177" s="198"/>
      <c r="I177" s="198"/>
      <c r="J177" s="17"/>
      <c r="K177" s="200"/>
      <c r="L177" s="200"/>
      <c r="M177" s="200"/>
      <c r="N177" s="200"/>
      <c r="O177" s="201"/>
      <c r="P177" s="200"/>
      <c r="Q177" s="198"/>
      <c r="R177" s="15"/>
      <c r="S177" s="15"/>
      <c r="T177" s="15"/>
      <c r="U177" s="15"/>
      <c r="V177" s="198"/>
      <c r="W177" s="198"/>
      <c r="X177" s="15"/>
      <c r="Y177" s="202"/>
      <c r="Z177" s="198"/>
      <c r="AA177" s="198"/>
      <c r="AB177" s="201"/>
      <c r="AC177" s="14"/>
      <c r="AD177" s="204"/>
      <c r="AE177" s="200"/>
      <c r="AF177" s="200"/>
      <c r="AG177" s="200"/>
      <c r="AH177" s="200"/>
      <c r="AI177" s="200"/>
      <c r="AJ177" s="200"/>
    </row>
    <row r="178" ht="11.4" spans="1:75">
      <c r="A178" s="206" t="s">
        <v>324</v>
      </c>
      <c r="B178" s="14">
        <v>9</v>
      </c>
      <c r="C178" s="15" t="s">
        <v>291</v>
      </c>
      <c r="D178" s="15" t="s">
        <v>86</v>
      </c>
      <c r="E178" s="15" t="s">
        <v>281</v>
      </c>
      <c r="F178" s="198">
        <f>IF(E178="有",(I178/B178+J178+Z178/B178)/(0.99999-K178-L178-M178-N178),(I178/B178+J178+Z178/B178)/(0.99999-K178-M178-N178))</f>
        <v>9.25461547357326</v>
      </c>
      <c r="G178" s="198">
        <f>IF(E178="有",(I178/B178+J178+Z178/B178)/(0.8-K178-L178-M178-N178-O178-P178),(I178/B178+J178+Z178/B178)/(0.8-K178-M178-N178-O178-P178))</f>
        <v>14.6066068721842</v>
      </c>
      <c r="H178" s="205">
        <v>17.99</v>
      </c>
      <c r="I178" s="198">
        <f>16.9/1.13</f>
        <v>14.9557522123894</v>
      </c>
      <c r="J178" s="17">
        <v>3.15</v>
      </c>
      <c r="K178" s="200">
        <v>0.15</v>
      </c>
      <c r="L178" s="200">
        <v>0.16</v>
      </c>
      <c r="M178" s="200">
        <v>0.05</v>
      </c>
      <c r="N178" s="200">
        <f>Q178/H178</f>
        <v>0</v>
      </c>
      <c r="O178" s="201">
        <f>0.261/H178</f>
        <v>0.0145080600333519</v>
      </c>
      <c r="P178" s="200">
        <v>0.02</v>
      </c>
      <c r="Q178" s="198">
        <v>0</v>
      </c>
      <c r="R178" s="15">
        <v>32</v>
      </c>
      <c r="S178" s="15">
        <v>17.3</v>
      </c>
      <c r="T178" s="15">
        <v>17.3</v>
      </c>
      <c r="U178" s="15">
        <v>1.6</v>
      </c>
      <c r="V178" s="198">
        <f>R178*S178*T178/6000</f>
        <v>1.59621333333333</v>
      </c>
      <c r="W178" s="198">
        <f>MAX(U178:V178)</f>
        <v>1.6</v>
      </c>
      <c r="X178" s="15" t="s">
        <v>21</v>
      </c>
      <c r="Y178" s="202">
        <v>6.6317</v>
      </c>
      <c r="Z178" s="198">
        <v>10</v>
      </c>
      <c r="AA178" s="198">
        <f>H178-SUM(K178:P178)*H178-J178-I178/B178-Z178/B178</f>
        <v>4.96993864306784</v>
      </c>
      <c r="AB178" s="201">
        <f>AA178/H178</f>
        <v>0.27626118082645</v>
      </c>
      <c r="AC178" s="14"/>
      <c r="AD178" s="204">
        <f>J178/H178</f>
        <v>0.175097276264591</v>
      </c>
      <c r="AE178" s="200">
        <f>I178/7.4/H178</f>
        <v>0.11234283470088</v>
      </c>
      <c r="AF178" s="200">
        <f>Z178/7.4/H178</f>
        <v>0.0751168066343164</v>
      </c>
      <c r="AG178" s="200">
        <v>0.15</v>
      </c>
      <c r="AH178" s="200">
        <f>N178</f>
        <v>0</v>
      </c>
      <c r="AI178" s="200">
        <v>0.02</v>
      </c>
      <c r="AJ178" s="200">
        <f>M178</f>
        <v>0.05</v>
      </c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</row>
    <row r="179" ht="11.4" spans="1:75">
      <c r="A179" s="206" t="s">
        <v>325</v>
      </c>
      <c r="B179" s="14">
        <v>9</v>
      </c>
      <c r="C179" s="15" t="s">
        <v>291</v>
      </c>
      <c r="D179" s="15" t="s">
        <v>86</v>
      </c>
      <c r="E179" s="15" t="s">
        <v>281</v>
      </c>
      <c r="F179" s="198">
        <f>IF(E179="有",(I179/B179+J179+Z179/B179)/(0.99999-K179-L179-M179-N179),(I179/B179+J179+Z179/B179)/(0.99999-K179-M179-N179))</f>
        <v>9.25461547357326</v>
      </c>
      <c r="G179" s="198">
        <f>IF(E179="有",(I179/B179+J179+Z179/B179)/(0.8-K179-L179-M179-N179-O179-P179),(I179/B179+J179+Z179/B179)/(0.8-K179-M179-N179-O179-P179))</f>
        <v>14.6649062472418</v>
      </c>
      <c r="H179" s="205">
        <f>H178*0.9</f>
        <v>16.191</v>
      </c>
      <c r="I179" s="198">
        <f>16.9/1.13</f>
        <v>14.9557522123894</v>
      </c>
      <c r="J179" s="17">
        <v>3.15</v>
      </c>
      <c r="K179" s="200">
        <v>0.15</v>
      </c>
      <c r="L179" s="200">
        <v>0.16</v>
      </c>
      <c r="M179" s="200">
        <v>0.05</v>
      </c>
      <c r="N179" s="200">
        <f>Q179/H179</f>
        <v>0</v>
      </c>
      <c r="O179" s="201">
        <f>0.261/H179</f>
        <v>0.0161200667037243</v>
      </c>
      <c r="P179" s="200">
        <v>0.02</v>
      </c>
      <c r="Q179" s="198">
        <v>0</v>
      </c>
      <c r="R179" s="15">
        <v>32</v>
      </c>
      <c r="S179" s="15">
        <v>17.3</v>
      </c>
      <c r="T179" s="15">
        <v>17.3</v>
      </c>
      <c r="U179" s="15">
        <v>1.6</v>
      </c>
      <c r="V179" s="198">
        <f>R179*S179*T179/6000</f>
        <v>1.59621333333333</v>
      </c>
      <c r="W179" s="198">
        <f>MAX(U179:V179)</f>
        <v>1.6</v>
      </c>
      <c r="X179" s="15" t="s">
        <v>21</v>
      </c>
      <c r="Y179" s="202">
        <v>6.6317</v>
      </c>
      <c r="Z179" s="198">
        <v>10</v>
      </c>
      <c r="AA179" s="198">
        <f>H179-SUM(K179:P179)*H179-J179-I179/B179-Z179/B179</f>
        <v>3.85455864306785</v>
      </c>
      <c r="AB179" s="201">
        <f>AA179/H179</f>
        <v>0.238067978696056</v>
      </c>
      <c r="AC179" s="14"/>
      <c r="AD179" s="204">
        <f>J179/H179</f>
        <v>0.194552529182879</v>
      </c>
      <c r="AE179" s="200">
        <f>I179/7.4/H179</f>
        <v>0.124825371889867</v>
      </c>
      <c r="AF179" s="200">
        <f>Z179/7.4/H179</f>
        <v>0.0834631184825737</v>
      </c>
      <c r="AG179" s="200">
        <v>0.15</v>
      </c>
      <c r="AH179" s="200">
        <f>N179</f>
        <v>0</v>
      </c>
      <c r="AI179" s="200">
        <v>0.02</v>
      </c>
      <c r="AJ179" s="200">
        <f>M179</f>
        <v>0.05</v>
      </c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</row>
    <row r="180" ht="11.4" spans="1:75">
      <c r="A180" s="206" t="s">
        <v>326</v>
      </c>
      <c r="B180" s="14">
        <v>9</v>
      </c>
      <c r="C180" s="15" t="s">
        <v>291</v>
      </c>
      <c r="D180" s="15" t="s">
        <v>86</v>
      </c>
      <c r="E180" s="15" t="s">
        <v>281</v>
      </c>
      <c r="F180" s="198">
        <f>IF(E180="有",(I180/B180+J180+Z180/B180)/(0.99999-K180-L180-M180-N180),(I180/B180+J180+Z180/B180)/(0.99999-K180-M180-N180))</f>
        <v>9.25461547357326</v>
      </c>
      <c r="G180" s="198">
        <f>IF(E180="有",(I180/B180+J180+Z180/B180)/(0.8-K180-L180-M180-N180-O180-P180),(I180/B180+J180+Z180/B180)/(0.8-K180-M180-N180-O180-P180))</f>
        <v>14.7384381892662</v>
      </c>
      <c r="H180" s="205">
        <f>H178*0.8</f>
        <v>14.392</v>
      </c>
      <c r="I180" s="198">
        <f>16.9/1.13</f>
        <v>14.9557522123894</v>
      </c>
      <c r="J180" s="17">
        <v>3.15</v>
      </c>
      <c r="K180" s="200">
        <v>0.15</v>
      </c>
      <c r="L180" s="200">
        <v>0.16</v>
      </c>
      <c r="M180" s="200">
        <v>0.05</v>
      </c>
      <c r="N180" s="200">
        <f>Q180/H180</f>
        <v>0</v>
      </c>
      <c r="O180" s="201">
        <f>0.261/H180</f>
        <v>0.0181350750416898</v>
      </c>
      <c r="P180" s="200">
        <v>0.02</v>
      </c>
      <c r="Q180" s="198">
        <v>0</v>
      </c>
      <c r="R180" s="15">
        <v>32</v>
      </c>
      <c r="S180" s="15">
        <v>17.3</v>
      </c>
      <c r="T180" s="15">
        <v>17.3</v>
      </c>
      <c r="U180" s="15">
        <v>1.6</v>
      </c>
      <c r="V180" s="198">
        <f>R180*S180*T180/6000</f>
        <v>1.59621333333333</v>
      </c>
      <c r="W180" s="198">
        <f>MAX(U180:V180)</f>
        <v>1.6</v>
      </c>
      <c r="X180" s="15" t="s">
        <v>21</v>
      </c>
      <c r="Y180" s="202">
        <v>6.6317</v>
      </c>
      <c r="Z180" s="198">
        <v>10</v>
      </c>
      <c r="AA180" s="198">
        <f>H180-SUM(K180:P180)*H180-J180-I180/B180-Z180/B180</f>
        <v>2.73917864306785</v>
      </c>
      <c r="AB180" s="201">
        <f>AA180/H180</f>
        <v>0.190326476033063</v>
      </c>
      <c r="AC180" s="14"/>
      <c r="AD180" s="204">
        <f>J180/H180</f>
        <v>0.218871595330739</v>
      </c>
      <c r="AE180" s="200">
        <f>I180/7.4/H180</f>
        <v>0.1404285433761</v>
      </c>
      <c r="AF180" s="200">
        <f>Z180/7.4/H180</f>
        <v>0.0938960082928954</v>
      </c>
      <c r="AG180" s="200">
        <v>0.15</v>
      </c>
      <c r="AH180" s="200">
        <f>N180</f>
        <v>0</v>
      </c>
      <c r="AI180" s="200">
        <v>0.02</v>
      </c>
      <c r="AJ180" s="200">
        <f>M180</f>
        <v>0.05</v>
      </c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</row>
    <row r="181" ht="11.4" spans="1:75">
      <c r="F181" s="211"/>
      <c r="G181" s="211"/>
      <c r="I181" s="211"/>
      <c r="O181" s="2"/>
      <c r="Q181" s="1"/>
      <c r="V181" s="211"/>
      <c r="W181" s="211"/>
      <c r="Y181" s="212"/>
      <c r="Z181" s="211"/>
      <c r="AA181" s="211"/>
      <c r="AB181" s="2"/>
      <c r="AD181" s="213"/>
      <c r="AE181" s="1"/>
      <c r="AF181" s="1"/>
      <c r="AH181" s="200"/>
    </row>
    <row r="182" ht="11.4" spans="1:75">
      <c r="A182" s="1" t="s">
        <v>327</v>
      </c>
      <c r="B182" s="1">
        <v>7.3</v>
      </c>
      <c r="C182" s="1" t="s">
        <v>328</v>
      </c>
      <c r="D182" s="14" t="s">
        <v>84</v>
      </c>
      <c r="E182" s="14" t="s">
        <v>320</v>
      </c>
      <c r="F182" s="198">
        <f>IF(E182="有",(I182/B182+J182+Z182/B182)/(0.99999-K182-L182-M182-N182),(I182/B182+J182+Z182/B182)/(0.99999-K182-M182-N182))</f>
        <v>31.3893687879915</v>
      </c>
      <c r="G182" s="198">
        <f>IF(E182="有",(I182/B182+J182+Z182/B182)/(0.8-K182-L182-M182-N182-O182-P182),(I182/B182+J182+Z182/B182)/(0.8-K182-M182-N182-O182-P182))</f>
        <v>46.1969634620362</v>
      </c>
      <c r="H182" s="14">
        <v>39.99</v>
      </c>
      <c r="I182" s="198">
        <f>134/1.13</f>
        <v>118.58407079646</v>
      </c>
      <c r="J182" s="14">
        <v>4.55</v>
      </c>
      <c r="K182" s="200">
        <v>0.15</v>
      </c>
      <c r="L182" s="200">
        <v>0</v>
      </c>
      <c r="M182" s="201">
        <v>0.0043</v>
      </c>
      <c r="N182" s="200">
        <v>0.15</v>
      </c>
      <c r="O182" s="201">
        <f>0.12/H182</f>
        <v>0.00300075018754689</v>
      </c>
      <c r="P182" s="200">
        <v>0.02</v>
      </c>
      <c r="Q182" s="200"/>
      <c r="R182" s="14">
        <v>19.3</v>
      </c>
      <c r="S182" s="14">
        <v>13.21</v>
      </c>
      <c r="T182" s="14">
        <v>5.08</v>
      </c>
      <c r="U182" s="14">
        <v>0.331</v>
      </c>
      <c r="V182" s="198">
        <f>R182*S182*T182/6000</f>
        <v>0.215860206666667</v>
      </c>
      <c r="W182" s="198">
        <f>MAX(U182:V182)</f>
        <v>0.331</v>
      </c>
      <c r="X182" s="14" t="s">
        <v>21</v>
      </c>
      <c r="Y182" s="202">
        <v>23</v>
      </c>
      <c r="Z182" s="198">
        <f>W182*Y182</f>
        <v>7.613</v>
      </c>
      <c r="AA182" s="198">
        <f>H182-SUM(K182:P182)*H182-J182-I182/B182-Z182/B182</f>
        <v>5.06397302788217</v>
      </c>
      <c r="AB182" s="201">
        <f>AA182/H182</f>
        <v>0.126630983442915</v>
      </c>
      <c r="AC182" s="14"/>
      <c r="AD182" s="204">
        <f>J182/H182</f>
        <v>0.113778444611153</v>
      </c>
      <c r="AE182" s="200">
        <f>I182/7.4/H182</f>
        <v>0.400722041309179</v>
      </c>
      <c r="AF182" s="200">
        <f>Z182/7.4/H182</f>
        <v>0.0257260261011199</v>
      </c>
      <c r="AG182" s="200">
        <v>0.15</v>
      </c>
      <c r="AH182" s="200">
        <f>N182</f>
        <v>0.15</v>
      </c>
      <c r="AI182" s="200">
        <v>0.02</v>
      </c>
      <c r="AJ182" s="200">
        <f>M182</f>
        <v>0.0043</v>
      </c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</row>
    <row r="183" ht="11.4" spans="1:75">
      <c r="A183" s="19" t="s">
        <v>327</v>
      </c>
      <c r="B183" s="1">
        <v>7.3</v>
      </c>
      <c r="C183" s="1" t="s">
        <v>328</v>
      </c>
      <c r="D183" s="14" t="s">
        <v>84</v>
      </c>
      <c r="E183" s="14" t="s">
        <v>320</v>
      </c>
      <c r="F183" s="198">
        <f>IF(E183="有",(I183/B183+J183+Z183/B183)/(0.99999-K183-L183-M183-N183),(I183/B183+J183+Z183/B183)/(0.99999-K183-M183-N183))</f>
        <v>31.3893687879915</v>
      </c>
      <c r="G183" s="198">
        <f>IF(E183="有",(I183/B183+J183+Z183/B183)/(0.8-K183-L183-M183-N183-O183-P183),(I183/B183+J183+Z183/B183)/(0.8-K183-M183-N183-O183-P183))</f>
        <v>46.2295803877888</v>
      </c>
      <c r="H183" s="14">
        <v>35.99</v>
      </c>
      <c r="I183" s="198">
        <f>134/1.13</f>
        <v>118.58407079646</v>
      </c>
      <c r="J183" s="15">
        <v>4.55</v>
      </c>
      <c r="K183" s="200">
        <v>0.15</v>
      </c>
      <c r="L183" s="200">
        <v>0</v>
      </c>
      <c r="M183" s="201">
        <v>0.0043</v>
      </c>
      <c r="N183" s="200">
        <v>0.15</v>
      </c>
      <c r="O183" s="201">
        <f>0.12/H183</f>
        <v>0.00333425951653237</v>
      </c>
      <c r="P183" s="200">
        <v>0.02</v>
      </c>
      <c r="Q183" s="200"/>
      <c r="R183" s="14">
        <v>19.3</v>
      </c>
      <c r="S183" s="14">
        <v>13.21</v>
      </c>
      <c r="T183" s="14">
        <v>5.08</v>
      </c>
      <c r="U183" s="14">
        <v>0.331</v>
      </c>
      <c r="V183" s="198">
        <f>R183*S183*T183/6000</f>
        <v>0.215860206666667</v>
      </c>
      <c r="W183" s="198">
        <f>MAX(U183:V183)</f>
        <v>0.331</v>
      </c>
      <c r="X183" s="14" t="s">
        <v>21</v>
      </c>
      <c r="Y183" s="202">
        <v>23</v>
      </c>
      <c r="Z183" s="198">
        <f>W183*Y183</f>
        <v>7.613</v>
      </c>
      <c r="AA183" s="198">
        <f>H183-SUM(K183:P183)*H183-J183-I183/B183-Z183/B183</f>
        <v>2.36117302788216</v>
      </c>
      <c r="AB183" s="201">
        <f>AA183/H183</f>
        <v>0.0656063636532971</v>
      </c>
      <c r="AC183" s="14"/>
      <c r="AD183" s="204">
        <f>J183/H183</f>
        <v>0.126424006668519</v>
      </c>
      <c r="AE183" s="200">
        <f>I183/7.4/H183</f>
        <v>0.445259083966493</v>
      </c>
      <c r="AF183" s="200">
        <f>Z183/7.4/H183</f>
        <v>0.0285852676794605</v>
      </c>
      <c r="AG183" s="200">
        <v>0.15</v>
      </c>
      <c r="AH183" s="200">
        <f>N183</f>
        <v>0.15</v>
      </c>
      <c r="AI183" s="200">
        <v>0.02</v>
      </c>
      <c r="AJ183" s="200">
        <f>M183</f>
        <v>0.0043</v>
      </c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</row>
    <row r="184" ht="11.4" spans="1:75">
      <c r="A184" s="19" t="s">
        <v>327</v>
      </c>
      <c r="B184" s="1">
        <v>7.3</v>
      </c>
      <c r="C184" s="1" t="s">
        <v>328</v>
      </c>
      <c r="D184" s="14" t="s">
        <v>84</v>
      </c>
      <c r="E184" s="14" t="s">
        <v>320</v>
      </c>
      <c r="F184" s="198">
        <f>IF(E184="有",(I184/B184+J184+Z184/B184)/(0.99999-K184-L184-M184-N184),(I184/B184+J184+Z184/B184)/(0.99999-K184-M184-N184))</f>
        <v>31.3893687879915</v>
      </c>
      <c r="G184" s="198">
        <f>IF(E184="有",(I184/B184+J184+Z184/B184)/(0.8-K184-L184-M184-N184-O184-P184),(I184/B184+J184+Z184/B184)/(0.8-K184-M184-N184-O184-P184))</f>
        <v>46.2592737076533</v>
      </c>
      <c r="H184" s="14">
        <v>32.99</v>
      </c>
      <c r="I184" s="198">
        <f>134/1.13</f>
        <v>118.58407079646</v>
      </c>
      <c r="J184" s="15">
        <v>4.55</v>
      </c>
      <c r="K184" s="200">
        <v>0.15</v>
      </c>
      <c r="L184" s="200">
        <v>0</v>
      </c>
      <c r="M184" s="201">
        <v>0.0043</v>
      </c>
      <c r="N184" s="200">
        <v>0.15</v>
      </c>
      <c r="O184" s="201">
        <f>0.12/H184</f>
        <v>0.0036374658987572</v>
      </c>
      <c r="P184" s="200">
        <v>0.02</v>
      </c>
      <c r="Q184" s="200"/>
      <c r="R184" s="14">
        <v>19.3</v>
      </c>
      <c r="S184" s="14">
        <v>13.21</v>
      </c>
      <c r="T184" s="14">
        <v>5.08</v>
      </c>
      <c r="U184" s="14">
        <v>0.331</v>
      </c>
      <c r="V184" s="198">
        <f>R184*S184*T184/6000</f>
        <v>0.215860206666667</v>
      </c>
      <c r="W184" s="198">
        <f>MAX(U184:V184)</f>
        <v>0.331</v>
      </c>
      <c r="X184" s="14" t="s">
        <v>21</v>
      </c>
      <c r="Y184" s="202">
        <v>23</v>
      </c>
      <c r="Z184" s="198">
        <f>W184*Y184</f>
        <v>7.613</v>
      </c>
      <c r="AA184" s="198">
        <f>H184-SUM(K184:P184)*H184-J184-I184/B184-Z184/B184</f>
        <v>0.334073027882165</v>
      </c>
      <c r="AB184" s="201">
        <f>AA184/H184</f>
        <v>0.0101264937217995</v>
      </c>
      <c r="AC184" s="14"/>
      <c r="AD184" s="204">
        <f>J184/H184</f>
        <v>0.137920581994544</v>
      </c>
      <c r="AE184" s="200">
        <f>I184/7.4/H184</f>
        <v>0.485749452317493</v>
      </c>
      <c r="AF184" s="200">
        <f>Z184/7.4/H184</f>
        <v>0.0311847160892326</v>
      </c>
      <c r="AG184" s="200">
        <v>0.15</v>
      </c>
      <c r="AH184" s="200">
        <f>N184</f>
        <v>0.15</v>
      </c>
      <c r="AI184" s="200">
        <v>0.02</v>
      </c>
      <c r="AJ184" s="200">
        <f>M184</f>
        <v>0.0043</v>
      </c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</row>
    <row r="185" ht="11.4" spans="1:75">
      <c r="A185" s="19" t="s">
        <v>327</v>
      </c>
      <c r="B185" s="1">
        <v>7.3</v>
      </c>
      <c r="C185" s="1" t="s">
        <v>328</v>
      </c>
      <c r="D185" s="14" t="s">
        <v>84</v>
      </c>
      <c r="E185" s="14" t="s">
        <v>320</v>
      </c>
      <c r="F185" s="198">
        <f>IF(E185="有",(I185/B185+J185+Z185/B185)/(0.99999-K185-L185-M185-N185),(I185/B185+J185+Z185/B185)/(0.99999-K185-M185-N185))</f>
        <v>31.3893687879915</v>
      </c>
      <c r="G185" s="198">
        <f>IF(E185="有",(I185/B185+J185+Z185/B185)/(0.8-K185-L185-M185-N185-O185-P185),(I185/B185+J185+Z185/B185)/(0.8-K185-M185-N185-O185-P185))</f>
        <v>46.294958065107</v>
      </c>
      <c r="H185" s="14">
        <v>29.99</v>
      </c>
      <c r="I185" s="198">
        <f>134/1.13</f>
        <v>118.58407079646</v>
      </c>
      <c r="J185" s="15">
        <v>4.55</v>
      </c>
      <c r="K185" s="200">
        <v>0.15</v>
      </c>
      <c r="L185" s="200">
        <v>0</v>
      </c>
      <c r="M185" s="201">
        <v>0.0043</v>
      </c>
      <c r="N185" s="200">
        <v>0.15</v>
      </c>
      <c r="O185" s="201">
        <f>0.12/H185</f>
        <v>0.00400133377792598</v>
      </c>
      <c r="P185" s="200">
        <v>0.02</v>
      </c>
      <c r="Q185" s="200"/>
      <c r="R185" s="14">
        <v>19.3</v>
      </c>
      <c r="S185" s="14">
        <v>13.21</v>
      </c>
      <c r="T185" s="14">
        <v>5.08</v>
      </c>
      <c r="U185" s="14">
        <v>0.331</v>
      </c>
      <c r="V185" s="198">
        <f>R185*S185*T185/6000</f>
        <v>0.215860206666667</v>
      </c>
      <c r="W185" s="198">
        <f>MAX(U185:V185)</f>
        <v>0.331</v>
      </c>
      <c r="X185" s="14" t="s">
        <v>21</v>
      </c>
      <c r="Y185" s="202">
        <v>23</v>
      </c>
      <c r="Z185" s="198">
        <f>W185*Y185</f>
        <v>7.613</v>
      </c>
      <c r="AA185" s="198">
        <f>H185-SUM(K185:P185)*H185-J185-I185/B185-Z185/B185</f>
        <v>-1.69302697211784</v>
      </c>
      <c r="AB185" s="201">
        <f>AA185/H185</f>
        <v>-0.0564530500872904</v>
      </c>
      <c r="AC185" s="14"/>
      <c r="AD185" s="204">
        <f>J185/H185</f>
        <v>0.151717239079693</v>
      </c>
      <c r="AE185" s="200">
        <f>I185/7.4/H185</f>
        <v>0.534340594596668</v>
      </c>
      <c r="AF185" s="200">
        <f>Z185/7.4/H185</f>
        <v>0.0343042275353046</v>
      </c>
      <c r="AG185" s="200">
        <v>0.15</v>
      </c>
      <c r="AH185" s="200">
        <f>N185</f>
        <v>0.15</v>
      </c>
      <c r="AI185" s="200">
        <v>0.02</v>
      </c>
      <c r="AJ185" s="200">
        <f>M185</f>
        <v>0.0043</v>
      </c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</row>
    <row r="186" ht="11.4" spans="1:75">
      <c r="F186" s="211"/>
      <c r="G186" s="211"/>
      <c r="I186" s="211"/>
      <c r="O186" s="2"/>
      <c r="V186" s="211"/>
      <c r="W186" s="211"/>
      <c r="Y186" s="212"/>
      <c r="Z186" s="211"/>
      <c r="AA186" s="211"/>
      <c r="AB186" s="2"/>
      <c r="AD186" s="213"/>
      <c r="AE186" s="1"/>
      <c r="AF186" s="1"/>
      <c r="AH186" s="200"/>
    </row>
    <row r="187" ht="11.4" spans="1:75">
      <c r="F187" s="211"/>
      <c r="G187" s="211"/>
      <c r="I187" s="211"/>
      <c r="O187" s="2"/>
      <c r="V187" s="211"/>
      <c r="W187" s="211"/>
      <c r="Y187" s="212"/>
      <c r="Z187" s="211"/>
      <c r="AA187" s="211"/>
      <c r="AB187" s="2"/>
      <c r="AD187" s="213"/>
      <c r="AE187" s="1"/>
      <c r="AF187" s="1"/>
      <c r="AH187" s="200"/>
    </row>
    <row r="188" ht="11.4" spans="1:75">
      <c r="A188" s="19" t="s">
        <v>329</v>
      </c>
      <c r="B188" s="14">
        <v>7</v>
      </c>
      <c r="C188" s="15" t="s">
        <v>279</v>
      </c>
      <c r="D188" s="14" t="s">
        <v>84</v>
      </c>
      <c r="E188" s="15" t="s">
        <v>281</v>
      </c>
      <c r="F188" s="198">
        <f>IF(E188="有",(I188/B188+J188+Z188/B188)/(0.99999-K188-L188-M188-N188),(I188/B188+J188+Z188/B188)/(0.99999-K188-M188-N188))</f>
        <v>28.6916790615529</v>
      </c>
      <c r="G188" s="198">
        <f>IF(E188="有",(I188/B188+J188+Z188/B188)/(0.8-K188-L188-M188-N188-O188-P188),(I188/B188+J188+Z188/B188)/(0.8-K188-M188-N188-O188-P188))</f>
        <v>45.7243558577919</v>
      </c>
      <c r="H188" s="199">
        <v>69.99</v>
      </c>
      <c r="I188" s="198">
        <f>80/1.13</f>
        <v>70.7964601769912</v>
      </c>
      <c r="J188" s="14">
        <v>6.62</v>
      </c>
      <c r="K188" s="200">
        <v>0.15</v>
      </c>
      <c r="L188" s="200">
        <v>0</v>
      </c>
      <c r="M188" s="200">
        <v>0.05</v>
      </c>
      <c r="N188" s="200">
        <f>Q188/H188</f>
        <v>0.171453064723532</v>
      </c>
      <c r="O188" s="201">
        <f>0.99/H188</f>
        <v>0.0141448778396914</v>
      </c>
      <c r="P188" s="200">
        <v>0.02</v>
      </c>
      <c r="Q188" s="198">
        <v>12</v>
      </c>
      <c r="R188" s="14">
        <v>33.5</v>
      </c>
      <c r="S188" s="14">
        <v>26.5</v>
      </c>
      <c r="T188" s="14">
        <v>25</v>
      </c>
      <c r="U188" s="14">
        <v>2.3</v>
      </c>
      <c r="V188" s="198">
        <f>R188*S188*T188/6000</f>
        <v>3.69895833333333</v>
      </c>
      <c r="W188" s="198">
        <f>MAX(U188:V188)</f>
        <v>3.69895833333333</v>
      </c>
      <c r="X188" s="14" t="s">
        <v>21</v>
      </c>
      <c r="Y188" s="202">
        <v>5.55136</v>
      </c>
      <c r="Z188" s="203">
        <v>9.1</v>
      </c>
      <c r="AA188" s="198">
        <f>H188-SUM(K188:P188)*H188-J188-I188/B188-Z188/B188</f>
        <v>23.5684199747155</v>
      </c>
      <c r="AB188" s="201">
        <f>AA188/H188</f>
        <v>0.336739819613024</v>
      </c>
      <c r="AC188" s="14"/>
      <c r="AD188" s="204">
        <f>J188/H188</f>
        <v>0.0945849407058151</v>
      </c>
      <c r="AE188" s="200">
        <f>I188/7.4/H188</f>
        <v>0.136692230505885</v>
      </c>
      <c r="AF188" s="200">
        <f>Z188/7.4/H188</f>
        <v>0.0175700775786502</v>
      </c>
      <c r="AG188" s="200">
        <v>0.15</v>
      </c>
      <c r="AH188" s="200">
        <f>N188</f>
        <v>0.171453064723532</v>
      </c>
      <c r="AI188" s="200">
        <v>0.02</v>
      </c>
      <c r="AJ188" s="200">
        <f>M188</f>
        <v>0.05</v>
      </c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</row>
    <row r="189" ht="11.4" spans="1:75">
      <c r="A189" s="19" t="s">
        <v>330</v>
      </c>
      <c r="B189" s="15">
        <v>7</v>
      </c>
      <c r="C189" s="15" t="s">
        <v>279</v>
      </c>
      <c r="D189" s="15" t="s">
        <v>84</v>
      </c>
      <c r="E189" s="15" t="s">
        <v>281</v>
      </c>
      <c r="F189" s="198">
        <f>IF(E189="有",(I189/B189+J189+Z189/B189)/(0.99999-K189-L189-M189-N189),(I189/B189+J189+Z189/B189)/(0.99999-K189-M189-N189))</f>
        <v>28.5390337261382</v>
      </c>
      <c r="G189" s="198">
        <f>IF(E189="有",(I189/B189+J189+Z189/B189)/(0.8-K189-L189-M189-N189-O189-P189),(I189/B189+J189+Z189/B189)/(0.8-K189-M189-N189-O189-P189))</f>
        <v>45.6242156359394</v>
      </c>
      <c r="H189" s="199">
        <f>H188*0.85</f>
        <v>59.4915</v>
      </c>
      <c r="I189" s="198">
        <f>80/1.13</f>
        <v>70.7964601769912</v>
      </c>
      <c r="J189" s="15">
        <v>6.62</v>
      </c>
      <c r="K189" s="200">
        <v>0.15</v>
      </c>
      <c r="L189" s="200">
        <v>0</v>
      </c>
      <c r="M189" s="200">
        <v>0.05</v>
      </c>
      <c r="N189" s="200">
        <f>Q189/H189</f>
        <v>0.168091239925031</v>
      </c>
      <c r="O189" s="201">
        <f>0.99/H189</f>
        <v>0.0166410327525781</v>
      </c>
      <c r="P189" s="200">
        <v>0.02</v>
      </c>
      <c r="Q189" s="198">
        <v>10</v>
      </c>
      <c r="R189" s="14">
        <v>33.5</v>
      </c>
      <c r="S189" s="14">
        <v>26.5</v>
      </c>
      <c r="T189" s="14">
        <v>25</v>
      </c>
      <c r="U189" s="14">
        <v>2.3</v>
      </c>
      <c r="V189" s="198">
        <f>R189*S189*T189/6000</f>
        <v>3.69895833333333</v>
      </c>
      <c r="W189" s="198">
        <f>MAX(U189:V189)</f>
        <v>3.69895833333333</v>
      </c>
      <c r="X189" s="15" t="s">
        <v>21</v>
      </c>
      <c r="Y189" s="202">
        <v>5.55136</v>
      </c>
      <c r="Z189" s="203">
        <v>9.1</v>
      </c>
      <c r="AA189" s="198">
        <f>H189-SUM(K189:P189)*H189-J189-I189/B189-Z189/B189</f>
        <v>17.3795899747155</v>
      </c>
      <c r="AB189" s="201">
        <f>AA189/H189</f>
        <v>0.292135682823858</v>
      </c>
      <c r="AC189" s="14"/>
      <c r="AD189" s="204">
        <f>J189/H189</f>
        <v>0.111276400830371</v>
      </c>
      <c r="AE189" s="200">
        <f>I189/B189/H189</f>
        <v>0.170003782477908</v>
      </c>
      <c r="AF189" s="200">
        <f>Z189/B189/H189</f>
        <v>0.0218518611902541</v>
      </c>
      <c r="AG189" s="200">
        <f>K189</f>
        <v>0.15</v>
      </c>
      <c r="AH189" s="200">
        <f>N189</f>
        <v>0.168091239925031</v>
      </c>
      <c r="AI189" s="200">
        <v>0.02</v>
      </c>
      <c r="AJ189" s="200">
        <f>M189</f>
        <v>0.05</v>
      </c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</row>
    <row r="190" ht="11.4" spans="1:75">
      <c r="A190" s="19" t="s">
        <v>331</v>
      </c>
      <c r="B190" s="15">
        <v>7</v>
      </c>
      <c r="C190" s="15" t="s">
        <v>279</v>
      </c>
      <c r="D190" s="15" t="s">
        <v>84</v>
      </c>
      <c r="E190" s="15" t="s">
        <v>281</v>
      </c>
      <c r="F190" s="198">
        <f>IF(E190="有",(I190/B190+J190+Z190/B190)/(0.99999-K190-L190-M190-N190),(I190/B190+J190+Z190/B190)/(0.99999-K190-M190-N190))</f>
        <v>27.4439787791443</v>
      </c>
      <c r="G190" s="198">
        <f>IF(E190="有",(I190/B190+J190+Z190/B190)/(0.8-K190-L190-M190-N190-O190-P190),(I190/B190+J190+Z190/B190)/(0.8-K190-M190-N190-O190-P190))</f>
        <v>42.9947597641989</v>
      </c>
      <c r="H190" s="199">
        <f>H188*0.8</f>
        <v>55.992</v>
      </c>
      <c r="I190" s="198">
        <f>80/1.13</f>
        <v>70.7964601769912</v>
      </c>
      <c r="J190" s="15">
        <v>6.62</v>
      </c>
      <c r="K190" s="200">
        <v>0.15</v>
      </c>
      <c r="L190" s="200">
        <v>0</v>
      </c>
      <c r="M190" s="200">
        <v>0.05</v>
      </c>
      <c r="N190" s="200">
        <f>Q190/H190</f>
        <v>0.142877553936277</v>
      </c>
      <c r="O190" s="201">
        <f>0.99/H190</f>
        <v>0.0176810972996142</v>
      </c>
      <c r="P190" s="200">
        <v>0.02</v>
      </c>
      <c r="Q190" s="198">
        <v>8</v>
      </c>
      <c r="R190" s="14">
        <v>33.5</v>
      </c>
      <c r="S190" s="14">
        <v>26.5</v>
      </c>
      <c r="T190" s="14">
        <v>25</v>
      </c>
      <c r="U190" s="14">
        <v>2.3</v>
      </c>
      <c r="V190" s="198">
        <f>R190*S190*T190/6000</f>
        <v>3.69895833333333</v>
      </c>
      <c r="W190" s="198">
        <f>MAX(U190:V190)</f>
        <v>3.69895833333333</v>
      </c>
      <c r="X190" s="15" t="s">
        <v>21</v>
      </c>
      <c r="Y190" s="202">
        <v>5.55136</v>
      </c>
      <c r="Z190" s="203">
        <v>9.1</v>
      </c>
      <c r="AA190" s="198">
        <f>H190-SUM(K190:P190)*H190-J190-I190/B190-Z190/B190</f>
        <v>16.6499799747155</v>
      </c>
      <c r="AB190" s="201">
        <f>AA190/H190</f>
        <v>0.297363551484418</v>
      </c>
      <c r="AC190" s="14"/>
      <c r="AD190" s="204">
        <f>J190/H190</f>
        <v>0.118231175882269</v>
      </c>
      <c r="AE190" s="200">
        <f>I190/7.4/H190</f>
        <v>0.170865288132357</v>
      </c>
      <c r="AF190" s="200">
        <f>Z190/7.4/H190</f>
        <v>0.0219625969733128</v>
      </c>
      <c r="AG190" s="200">
        <v>0.15</v>
      </c>
      <c r="AH190" s="200">
        <f>N190</f>
        <v>0.142877553936277</v>
      </c>
      <c r="AI190" s="200">
        <v>0.02</v>
      </c>
      <c r="AJ190" s="200">
        <f>M190</f>
        <v>0.05</v>
      </c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</row>
    <row r="191" ht="11.4" spans="1:75">
      <c r="A191" s="1"/>
      <c r="B191" s="14"/>
      <c r="C191" s="14"/>
      <c r="D191" s="14"/>
      <c r="E191" s="14"/>
      <c r="F191" s="198"/>
      <c r="G191" s="198"/>
      <c r="H191" s="205"/>
      <c r="I191" s="198"/>
      <c r="J191" s="15"/>
      <c r="K191" s="200"/>
      <c r="L191" s="200"/>
      <c r="M191" s="200"/>
      <c r="N191" s="200"/>
      <c r="O191" s="201"/>
      <c r="P191" s="200"/>
      <c r="Q191" s="198"/>
      <c r="R191" s="14"/>
      <c r="S191" s="14"/>
      <c r="T191" s="14"/>
      <c r="U191" s="14"/>
      <c r="V191" s="198"/>
      <c r="W191" s="198"/>
      <c r="X191" s="15"/>
      <c r="Y191" s="202"/>
      <c r="Z191" s="15"/>
      <c r="AA191" s="198"/>
      <c r="AB191" s="201"/>
      <c r="AC191" s="14"/>
      <c r="AD191" s="204"/>
      <c r="AE191" s="200"/>
      <c r="AF191" s="200"/>
      <c r="AG191" s="200"/>
      <c r="AH191" s="200"/>
      <c r="AI191" s="200"/>
      <c r="AJ191" s="200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</row>
    <row r="192" ht="11.4" spans="1:75">
      <c r="A192" s="1" t="s">
        <v>329</v>
      </c>
      <c r="B192" s="15">
        <v>8</v>
      </c>
      <c r="C192" s="15" t="s">
        <v>279</v>
      </c>
      <c r="D192" s="15" t="s">
        <v>280</v>
      </c>
      <c r="E192" s="15" t="s">
        <v>281</v>
      </c>
      <c r="F192" s="198">
        <f>IF(E192="有",(I192/B192+J192+Z192/B192)/(0.99999-K192-L192-M192-N192),(I192/B192+J192+Z192/B192)/(0.99999-K192-M192-N192))</f>
        <v>29.4574024515364</v>
      </c>
      <c r="G192" s="198">
        <f>IF(E192="有",(I192/B192+J192+Z192/B192)/(0.8-K192-L192-M192-N192-O192-P192),(I192/B192+J192+Z192/B192)/(0.8-K192-M192-N192-O192-P192))</f>
        <v>57.3423487743019</v>
      </c>
      <c r="H192" s="199">
        <v>59.99</v>
      </c>
      <c r="I192" s="198">
        <f>80/1.13</f>
        <v>70.7964601769912</v>
      </c>
      <c r="J192" s="14">
        <v>4.28</v>
      </c>
      <c r="K192" s="200">
        <v>0.15</v>
      </c>
      <c r="L192" s="200">
        <v>0.16</v>
      </c>
      <c r="M192" s="200">
        <v>0.05</v>
      </c>
      <c r="N192" s="200">
        <f>Q192/H192</f>
        <v>0.166694449074846</v>
      </c>
      <c r="O192" s="201">
        <f>0.61/H192</f>
        <v>0.0101683613935656</v>
      </c>
      <c r="P192" s="200">
        <v>0.02</v>
      </c>
      <c r="Q192" s="198">
        <v>10</v>
      </c>
      <c r="R192" s="14">
        <v>33.5</v>
      </c>
      <c r="S192" s="14">
        <v>26.5</v>
      </c>
      <c r="T192" s="14">
        <v>25</v>
      </c>
      <c r="U192" s="14">
        <v>2.3</v>
      </c>
      <c r="V192" s="198">
        <f>R192*S192*T192/6000</f>
        <v>3.69895833333333</v>
      </c>
      <c r="W192" s="198">
        <f>MAX(U192:V192)</f>
        <v>3.69895833333333</v>
      </c>
      <c r="X192" s="14" t="s">
        <v>21</v>
      </c>
      <c r="Y192" s="202">
        <v>5.55136</v>
      </c>
      <c r="Z192" s="203">
        <v>6.5</v>
      </c>
      <c r="AA192" s="198">
        <f>H192-SUM(K192:P192)*H192-J192-I192/B192-Z192/B192</f>
        <v>12.6417424778761</v>
      </c>
      <c r="AB192" s="201">
        <f>AA192/H192</f>
        <v>0.210730829769563</v>
      </c>
      <c r="AC192" s="14"/>
      <c r="AD192" s="204">
        <f>J192/H192</f>
        <v>0.071345224204034</v>
      </c>
      <c r="AE192" s="200">
        <f>I192/7.4/H192</f>
        <v>0.159478066562876</v>
      </c>
      <c r="AF192" s="200">
        <f>Z192/7.4/H192</f>
        <v>0.014642079986304</v>
      </c>
      <c r="AG192" s="200">
        <v>0.15</v>
      </c>
      <c r="AH192" s="200">
        <f>N192</f>
        <v>0.166694449074846</v>
      </c>
      <c r="AI192" s="200">
        <v>0.02</v>
      </c>
      <c r="AJ192" s="200">
        <f>M192</f>
        <v>0.05</v>
      </c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</row>
    <row r="193" ht="11.4" spans="1:75">
      <c r="A193" s="1" t="s">
        <v>330</v>
      </c>
      <c r="B193" s="15">
        <v>8</v>
      </c>
      <c r="C193" s="15" t="s">
        <v>279</v>
      </c>
      <c r="D193" s="15" t="s">
        <v>280</v>
      </c>
      <c r="E193" s="15" t="s">
        <v>281</v>
      </c>
      <c r="F193" s="198">
        <f>IF(E193="有",(I193/B193+J193+Z193/B193)/(0.99999-K193-L193-M193-N193),(I193/B193+J193+Z193/B193)/(0.99999-K193-M193-N193))</f>
        <v>30.0806008103787</v>
      </c>
      <c r="G193" s="198">
        <f>IF(E193="有",(I193/B193+J193+Z193/B193)/(0.8-K193-L193-M193-N193-O193-P193),(I193/B193+J193+Z193/B193)/(0.8-K193-M193-N193-O193-P193))</f>
        <v>60.2151900396124</v>
      </c>
      <c r="H193" s="199">
        <f>H192*0.85</f>
        <v>50.9915</v>
      </c>
      <c r="I193" s="198">
        <f>80/1.13</f>
        <v>70.7964601769912</v>
      </c>
      <c r="J193" s="15">
        <v>4.28</v>
      </c>
      <c r="K193" s="200">
        <v>0.15</v>
      </c>
      <c r="L193" s="200">
        <v>0.16</v>
      </c>
      <c r="M193" s="200">
        <v>0.05</v>
      </c>
      <c r="N193" s="200">
        <f>Q193/H193</f>
        <v>0.176500004902778</v>
      </c>
      <c r="O193" s="201">
        <f>0.61/H193</f>
        <v>0.0119627781100772</v>
      </c>
      <c r="P193" s="200">
        <v>0.02</v>
      </c>
      <c r="Q193" s="198">
        <v>9</v>
      </c>
      <c r="R193" s="14">
        <v>33.5</v>
      </c>
      <c r="S193" s="14">
        <v>26.5</v>
      </c>
      <c r="T193" s="14">
        <v>25</v>
      </c>
      <c r="U193" s="14">
        <v>2.3</v>
      </c>
      <c r="V193" s="198">
        <f>R193*S193*T193/6000</f>
        <v>3.69895833333333</v>
      </c>
      <c r="W193" s="198">
        <f>MAX(U193:V193)</f>
        <v>3.69895833333333</v>
      </c>
      <c r="X193" s="15" t="s">
        <v>21</v>
      </c>
      <c r="Y193" s="202">
        <v>5.55136</v>
      </c>
      <c r="Z193" s="203">
        <v>6.5</v>
      </c>
      <c r="AA193" s="198">
        <f>H193-SUM(K193:P193)*H193-J193-I193/B193-Z193/B193</f>
        <v>8.0626724778761</v>
      </c>
      <c r="AB193" s="201">
        <f>AA193/H193</f>
        <v>0.158117970208292</v>
      </c>
      <c r="AC193" s="14"/>
      <c r="AD193" s="204">
        <f>J193/H193</f>
        <v>0.0839355578870988</v>
      </c>
      <c r="AE193" s="200">
        <f>I193/B193/H193</f>
        <v>0.173549660671365</v>
      </c>
      <c r="AF193" s="200">
        <f>Z193/B193/H193</f>
        <v>0.0159340282203897</v>
      </c>
      <c r="AG193" s="200">
        <f>K193</f>
        <v>0.15</v>
      </c>
      <c r="AH193" s="200">
        <f>N193</f>
        <v>0.176500004902778</v>
      </c>
      <c r="AI193" s="200">
        <v>0.02</v>
      </c>
      <c r="AJ193" s="200">
        <f>M193</f>
        <v>0.05</v>
      </c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</row>
    <row r="194" ht="11.4" spans="1:75">
      <c r="A194" s="1" t="s">
        <v>331</v>
      </c>
      <c r="B194" s="15">
        <v>8</v>
      </c>
      <c r="C194" s="15" t="s">
        <v>279</v>
      </c>
      <c r="D194" s="15" t="s">
        <v>280</v>
      </c>
      <c r="E194" s="15" t="s">
        <v>281</v>
      </c>
      <c r="F194" s="198">
        <f>IF(E194="有",(I194/B194+J194+Z194/B194)/(0.99999-K194-L194-M194-N194),(I194/B194+J194+Z194/B194)/(0.99999-K194-M194-N194))</f>
        <v>29.4574024515364</v>
      </c>
      <c r="G194" s="198">
        <f>IF(E194="有",(I194/B194+J194+Z194/B194)/(0.8-K194-L194-M194-N194-O194-P194),(I194/B194+J194+Z194/B194)/(0.8-K194-M194-N194-O194-P194))</f>
        <v>57.9482191011212</v>
      </c>
      <c r="H194" s="199">
        <f>H192*0.8</f>
        <v>47.992</v>
      </c>
      <c r="I194" s="198">
        <f>80/1.13</f>
        <v>70.7964601769912</v>
      </c>
      <c r="J194" s="15">
        <v>4.28</v>
      </c>
      <c r="K194" s="200">
        <v>0.15</v>
      </c>
      <c r="L194" s="200">
        <v>0.16</v>
      </c>
      <c r="M194" s="200">
        <v>0.05</v>
      </c>
      <c r="N194" s="200">
        <f>Q194/H194</f>
        <v>0.166694449074846</v>
      </c>
      <c r="O194" s="201">
        <f>0.61/H194</f>
        <v>0.012710451741957</v>
      </c>
      <c r="P194" s="200">
        <v>0.02</v>
      </c>
      <c r="Q194" s="198">
        <v>8</v>
      </c>
      <c r="R194" s="14">
        <v>33.5</v>
      </c>
      <c r="S194" s="14">
        <v>26.5</v>
      </c>
      <c r="T194" s="14">
        <v>25</v>
      </c>
      <c r="U194" s="14">
        <v>2.3</v>
      </c>
      <c r="V194" s="198">
        <f>R194*S194*T194/6000</f>
        <v>3.69895833333333</v>
      </c>
      <c r="W194" s="198">
        <f>MAX(U194:V194)</f>
        <v>3.69895833333333</v>
      </c>
      <c r="X194" s="15" t="s">
        <v>21</v>
      </c>
      <c r="Y194" s="202">
        <v>5.55136</v>
      </c>
      <c r="Z194" s="203">
        <v>6.5</v>
      </c>
      <c r="AA194" s="198">
        <f>H194-SUM(K194:P194)*H194-J194-I194/B194-Z194/B194</f>
        <v>7.20298247787611</v>
      </c>
      <c r="AB194" s="201">
        <f>AA194/H194</f>
        <v>0.150087149480666</v>
      </c>
      <c r="AC194" s="14"/>
      <c r="AD194" s="204">
        <f>J194/H194</f>
        <v>0.0891815302550425</v>
      </c>
      <c r="AE194" s="200">
        <f>I194/7.4/H194</f>
        <v>0.199347583203595</v>
      </c>
      <c r="AF194" s="200">
        <f>Z194/7.4/H194</f>
        <v>0.01830259998288</v>
      </c>
      <c r="AG194" s="200">
        <v>0.15</v>
      </c>
      <c r="AH194" s="200">
        <f>N194</f>
        <v>0.166694449074846</v>
      </c>
      <c r="AI194" s="200">
        <v>0.02</v>
      </c>
      <c r="AJ194" s="200">
        <f>M194</f>
        <v>0.05</v>
      </c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</row>
    <row r="195" ht="11.4" spans="1:75">
      <c r="A195" s="1"/>
      <c r="B195" s="14"/>
      <c r="C195" s="14"/>
      <c r="D195" s="14"/>
      <c r="E195" s="14"/>
      <c r="F195" s="198"/>
      <c r="G195" s="198"/>
      <c r="H195" s="205"/>
      <c r="I195" s="198"/>
      <c r="J195" s="15"/>
      <c r="K195" s="200"/>
      <c r="L195" s="200"/>
      <c r="M195" s="200"/>
      <c r="N195" s="200"/>
      <c r="O195" s="201"/>
      <c r="P195" s="200"/>
      <c r="Q195" s="198"/>
      <c r="R195" s="14"/>
      <c r="S195" s="14"/>
      <c r="T195" s="14"/>
      <c r="U195" s="14"/>
      <c r="V195" s="198"/>
      <c r="W195" s="198"/>
      <c r="X195" s="15"/>
      <c r="Y195" s="202"/>
      <c r="Z195" s="15"/>
      <c r="AA195" s="198"/>
      <c r="AB195" s="201"/>
      <c r="AC195" s="14"/>
      <c r="AD195" s="204"/>
      <c r="AE195" s="200"/>
      <c r="AF195" s="200"/>
      <c r="AG195" s="200"/>
      <c r="AH195" s="200"/>
      <c r="AI195" s="200"/>
      <c r="AJ195" s="200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</row>
    <row r="196" ht="11.4" spans="1:75">
      <c r="A196" s="1" t="s">
        <v>329</v>
      </c>
      <c r="B196" s="15">
        <v>8</v>
      </c>
      <c r="C196" s="14" t="s">
        <v>284</v>
      </c>
      <c r="D196" s="14" t="s">
        <v>285</v>
      </c>
      <c r="E196" s="15" t="s">
        <v>281</v>
      </c>
      <c r="F196" s="198">
        <f>IF(E196="有",(I196/B196+J196+Z196/B196)/(0.99999-K196-L196-M196-N196),(I196/B196+J196+Z196/B196)/(0.99999-K196-M196-N196))</f>
        <v>33.9577616791616</v>
      </c>
      <c r="G196" s="198">
        <f>IF(E196="有",(I196/B196+J196+Z196/B196)/(0.8-K196-L196-M196-N196-O196-P196),(I196/B196+J196+Z196/B196)/(0.8-K196-M196-N196-O196-P196))</f>
        <v>66.1028350006316</v>
      </c>
      <c r="H196" s="199">
        <v>59.99</v>
      </c>
      <c r="I196" s="198">
        <f>80/1.13</f>
        <v>70.7964601769912</v>
      </c>
      <c r="J196" s="14">
        <v>6.41</v>
      </c>
      <c r="K196" s="200">
        <v>0.15</v>
      </c>
      <c r="L196" s="200">
        <v>0.16</v>
      </c>
      <c r="M196" s="200">
        <v>0.05</v>
      </c>
      <c r="N196" s="200">
        <f>Q196/H196</f>
        <v>0.166694449074846</v>
      </c>
      <c r="O196" s="201">
        <f>0.61/H196</f>
        <v>0.0101683613935656</v>
      </c>
      <c r="P196" s="200">
        <v>0.02</v>
      </c>
      <c r="Q196" s="198">
        <v>10</v>
      </c>
      <c r="R196" s="14">
        <v>33.5</v>
      </c>
      <c r="S196" s="14">
        <v>26.5</v>
      </c>
      <c r="T196" s="14">
        <v>25</v>
      </c>
      <c r="U196" s="14">
        <v>2.3</v>
      </c>
      <c r="V196" s="198">
        <f>R196*S196*T196/6000</f>
        <v>3.69895833333333</v>
      </c>
      <c r="W196" s="198">
        <f>MAX(U196:V196)</f>
        <v>3.69895833333333</v>
      </c>
      <c r="X196" s="14" t="s">
        <v>21</v>
      </c>
      <c r="Y196" s="202">
        <v>5.55136</v>
      </c>
      <c r="Z196" s="203">
        <v>6.5</v>
      </c>
      <c r="AA196" s="198">
        <f>H196-SUM(K196:P196)*H196-J196-I196/B196-Z196/B196</f>
        <v>10.5117424778761</v>
      </c>
      <c r="AB196" s="201">
        <f>AA196/H196</f>
        <v>0.175224912116621</v>
      </c>
      <c r="AC196" s="14"/>
      <c r="AD196" s="204">
        <f>J196/H196</f>
        <v>0.106851141856976</v>
      </c>
      <c r="AE196" s="200">
        <f>I196/7.4/H196</f>
        <v>0.159478066562876</v>
      </c>
      <c r="AF196" s="200">
        <f>Z196/7.4/H196</f>
        <v>0.014642079986304</v>
      </c>
      <c r="AG196" s="200">
        <v>0.15</v>
      </c>
      <c r="AH196" s="200">
        <f>N196</f>
        <v>0.166694449074846</v>
      </c>
      <c r="AI196" s="200">
        <v>0.02</v>
      </c>
      <c r="AJ196" s="200">
        <f>M196</f>
        <v>0.05</v>
      </c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</row>
    <row r="197" ht="11.4" spans="1:75">
      <c r="A197" s="1" t="s">
        <v>330</v>
      </c>
      <c r="B197" s="15">
        <v>8</v>
      </c>
      <c r="C197" s="15" t="s">
        <v>284</v>
      </c>
      <c r="D197" s="15" t="s">
        <v>285</v>
      </c>
      <c r="E197" s="15" t="s">
        <v>281</v>
      </c>
      <c r="F197" s="198">
        <f>IF(E197="有",(I197/B197+J197+Z197/B197)/(0.99999-K197-L197-M197-N197),(I197/B197+J197+Z197/B197)/(0.99999-K197-M197-N197))</f>
        <v>34.6761692639182</v>
      </c>
      <c r="G197" s="198">
        <f>IF(E197="有",(I197/B197+J197+Z197/B197)/(0.8-K197-L197-M197-N197-O197-P197),(I197/B197+J197+Z197/B197)/(0.8-K197-M197-N197-O197-P197))</f>
        <v>69.4145750357543</v>
      </c>
      <c r="H197" s="199">
        <f>H196*0.85</f>
        <v>50.9915</v>
      </c>
      <c r="I197" s="198">
        <f>80/1.13</f>
        <v>70.7964601769912</v>
      </c>
      <c r="J197" s="15">
        <v>6.41</v>
      </c>
      <c r="K197" s="200">
        <v>0.15</v>
      </c>
      <c r="L197" s="200">
        <v>0.16</v>
      </c>
      <c r="M197" s="200">
        <v>0.05</v>
      </c>
      <c r="N197" s="200">
        <f>Q197/H197</f>
        <v>0.176500004902778</v>
      </c>
      <c r="O197" s="201">
        <f>0.61/H197</f>
        <v>0.0119627781100772</v>
      </c>
      <c r="P197" s="200">
        <v>0.02</v>
      </c>
      <c r="Q197" s="198">
        <v>9</v>
      </c>
      <c r="R197" s="14">
        <v>33.5</v>
      </c>
      <c r="S197" s="14">
        <v>26.5</v>
      </c>
      <c r="T197" s="14">
        <v>25</v>
      </c>
      <c r="U197" s="14">
        <v>2.3</v>
      </c>
      <c r="V197" s="198">
        <f>R197*S197*T197/6000</f>
        <v>3.69895833333333</v>
      </c>
      <c r="W197" s="198">
        <f>MAX(U197:V197)</f>
        <v>3.69895833333333</v>
      </c>
      <c r="X197" s="15" t="s">
        <v>21</v>
      </c>
      <c r="Y197" s="202">
        <v>5.55136</v>
      </c>
      <c r="Z197" s="203">
        <v>6.5</v>
      </c>
      <c r="AA197" s="198">
        <f>H197-SUM(K197:P197)*H197-J197-I197/B197-Z197/B197</f>
        <v>5.9326724778761</v>
      </c>
      <c r="AB197" s="201">
        <f>AA197/H197</f>
        <v>0.116346302381301</v>
      </c>
      <c r="AC197" s="14"/>
      <c r="AD197" s="204">
        <f>J197/H197</f>
        <v>0.12570722571409</v>
      </c>
      <c r="AE197" s="200">
        <f>I197/7.4/H197</f>
        <v>0.187621254779854</v>
      </c>
      <c r="AF197" s="200">
        <f>Z197/7.4/H197</f>
        <v>0.0172259764544753</v>
      </c>
      <c r="AG197" s="200">
        <v>0.15</v>
      </c>
      <c r="AH197" s="200">
        <f>N197</f>
        <v>0.176500004902778</v>
      </c>
      <c r="AI197" s="200">
        <v>0.02</v>
      </c>
      <c r="AJ197" s="200">
        <f>M197</f>
        <v>0.05</v>
      </c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</row>
    <row r="198" ht="11.4" spans="1:75">
      <c r="A198" s="1" t="s">
        <v>331</v>
      </c>
      <c r="B198" s="15">
        <v>8</v>
      </c>
      <c r="C198" s="15" t="s">
        <v>284</v>
      </c>
      <c r="D198" s="15" t="s">
        <v>285</v>
      </c>
      <c r="E198" s="15" t="s">
        <v>281</v>
      </c>
      <c r="F198" s="198">
        <f>IF(E198="有",(I198/B198+J198+Z198/B198)/(0.99999-K198-L198-M198-N198),(I198/B198+J198+Z198/B198)/(0.99999-K198-M198-N198))</f>
        <v>34.2672205875679</v>
      </c>
      <c r="G198" s="198">
        <f>IF(E198="有",(I198/B198+J198+Z198/B198)/(0.8-K198-L198-M198-N198-O198-P198),(I198/B198+J198+Z198/B198)/(0.8-K198-M198-N198-O198-P198))</f>
        <v>68.1033891625586</v>
      </c>
      <c r="H198" s="199">
        <f>H196*0.78</f>
        <v>46.7922</v>
      </c>
      <c r="I198" s="198">
        <f>80/1.13</f>
        <v>70.7964601769912</v>
      </c>
      <c r="J198" s="15">
        <v>6.41</v>
      </c>
      <c r="K198" s="200">
        <v>0.15</v>
      </c>
      <c r="L198" s="200">
        <v>0.16</v>
      </c>
      <c r="M198" s="200">
        <v>0.05</v>
      </c>
      <c r="N198" s="200">
        <f>Q198/H198</f>
        <v>0.170968665717791</v>
      </c>
      <c r="O198" s="201">
        <f>0.61/H198</f>
        <v>0.0130363607609815</v>
      </c>
      <c r="P198" s="200">
        <v>0.02</v>
      </c>
      <c r="Q198" s="198">
        <v>8</v>
      </c>
      <c r="R198" s="14">
        <v>33.5</v>
      </c>
      <c r="S198" s="14">
        <v>26.5</v>
      </c>
      <c r="T198" s="14">
        <v>25</v>
      </c>
      <c r="U198" s="14">
        <v>2.3</v>
      </c>
      <c r="V198" s="198">
        <f>R198*S198*T198/6000</f>
        <v>3.69895833333333</v>
      </c>
      <c r="W198" s="198">
        <f>MAX(U198:V198)</f>
        <v>3.69895833333333</v>
      </c>
      <c r="X198" s="15" t="s">
        <v>21</v>
      </c>
      <c r="Y198" s="202">
        <v>5.55136</v>
      </c>
      <c r="Z198" s="203">
        <v>6.5</v>
      </c>
      <c r="AA198" s="198">
        <f>H198-SUM(K198:P198)*H198-J198-I198/B198-Z198/B198</f>
        <v>4.3291064778761</v>
      </c>
      <c r="AB198" s="201">
        <f>AA198/H198</f>
        <v>0.0925176947840901</v>
      </c>
      <c r="AC198" s="14"/>
      <c r="AD198" s="204">
        <f>J198/H198</f>
        <v>0.13698864340638</v>
      </c>
      <c r="AE198" s="200">
        <f>I198/7.4/H198</f>
        <v>0.204459059695994</v>
      </c>
      <c r="AF198" s="200">
        <f>Z198/7.4/H198</f>
        <v>0.0187718974183385</v>
      </c>
      <c r="AG198" s="200">
        <v>0.15</v>
      </c>
      <c r="AH198" s="200">
        <f>N198</f>
        <v>0.170968665717791</v>
      </c>
      <c r="AI198" s="200">
        <v>0.02</v>
      </c>
      <c r="AJ198" s="200">
        <f>M198</f>
        <v>0.05</v>
      </c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</row>
    <row r="199" ht="11.4" spans="1:75">
      <c r="A199" s="1"/>
      <c r="B199" s="14"/>
      <c r="C199" s="14"/>
      <c r="D199" s="14"/>
      <c r="E199" s="14"/>
      <c r="F199" s="198"/>
      <c r="G199" s="198"/>
      <c r="H199" s="205"/>
      <c r="I199" s="198"/>
      <c r="J199" s="15"/>
      <c r="K199" s="200"/>
      <c r="L199" s="200"/>
      <c r="M199" s="200"/>
      <c r="N199" s="200"/>
      <c r="O199" s="201"/>
      <c r="P199" s="200"/>
      <c r="Q199" s="200"/>
      <c r="R199" s="14"/>
      <c r="S199" s="14"/>
      <c r="T199" s="14"/>
      <c r="U199" s="14"/>
      <c r="V199" s="198"/>
      <c r="W199" s="198"/>
      <c r="X199" s="15"/>
      <c r="Y199" s="202"/>
      <c r="Z199" s="15"/>
      <c r="AA199" s="198"/>
      <c r="AB199" s="201"/>
      <c r="AC199" s="14"/>
      <c r="AD199" s="204"/>
      <c r="AE199" s="200"/>
      <c r="AF199" s="200"/>
      <c r="AG199" s="200"/>
      <c r="AH199" s="200"/>
      <c r="AI199" s="200"/>
      <c r="AJ199" s="200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</row>
    <row r="200" ht="11.4" spans="1:75">
      <c r="A200" s="1" t="s">
        <v>329</v>
      </c>
      <c r="B200" s="15">
        <v>8</v>
      </c>
      <c r="C200" s="14" t="s">
        <v>286</v>
      </c>
      <c r="D200" s="14" t="s">
        <v>287</v>
      </c>
      <c r="E200" s="15" t="s">
        <v>281</v>
      </c>
      <c r="F200" s="198">
        <f>IF(E200="有",(I200/B200+J200+Z200/B200)/(0.99999-K200-L200-M200-N200),(I200/B200+J200+Z200/B200)/(0.99999-K200-M200-N200))</f>
        <v>32.6900548544785</v>
      </c>
      <c r="G200" s="198">
        <f>IF(E200="有",(I200/B200+J200+Z200/B200)/(0.8-K200-L200-M200-N200-O200-P200),(I200/B200+J200+Z200/B200)/(0.8-K200-M200-N200-O200-P200))</f>
        <v>63.6350924016655</v>
      </c>
      <c r="H200" s="199">
        <v>59.99</v>
      </c>
      <c r="I200" s="198">
        <f>80/1.13</f>
        <v>70.7964601769912</v>
      </c>
      <c r="J200" s="14">
        <v>5.81</v>
      </c>
      <c r="K200" s="200">
        <v>0.15</v>
      </c>
      <c r="L200" s="200">
        <v>0.16</v>
      </c>
      <c r="M200" s="200">
        <v>0.05</v>
      </c>
      <c r="N200" s="200">
        <f>Q200/H200</f>
        <v>0.166694449074846</v>
      </c>
      <c r="O200" s="201">
        <f>0.61/H200</f>
        <v>0.0101683613935656</v>
      </c>
      <c r="P200" s="200">
        <v>0.02</v>
      </c>
      <c r="Q200" s="198">
        <v>10</v>
      </c>
      <c r="R200" s="14">
        <v>33.5</v>
      </c>
      <c r="S200" s="14">
        <v>26.5</v>
      </c>
      <c r="T200" s="14">
        <v>25</v>
      </c>
      <c r="U200" s="14">
        <v>2.3</v>
      </c>
      <c r="V200" s="198">
        <f>R200*S200*T200/6000</f>
        <v>3.69895833333333</v>
      </c>
      <c r="W200" s="198">
        <f>MAX(U200:V200)</f>
        <v>3.69895833333333</v>
      </c>
      <c r="X200" s="14" t="s">
        <v>21</v>
      </c>
      <c r="Y200" s="202">
        <v>5.55136</v>
      </c>
      <c r="Z200" s="203">
        <v>6.5</v>
      </c>
      <c r="AA200" s="198">
        <f>H200-SUM(K200:P200)*H200-J200-I200/B200-Z200/B200</f>
        <v>11.1117424778761</v>
      </c>
      <c r="AB200" s="201">
        <f>AA200/H200</f>
        <v>0.185226579061112</v>
      </c>
      <c r="AC200" s="14"/>
      <c r="AD200" s="204">
        <f>J200/H200</f>
        <v>0.0968494749124854</v>
      </c>
      <c r="AE200" s="200">
        <f>I200/7.4/H200</f>
        <v>0.159478066562876</v>
      </c>
      <c r="AF200" s="200">
        <f>Z200/7.4/H200</f>
        <v>0.014642079986304</v>
      </c>
      <c r="AG200" s="200">
        <v>0.15</v>
      </c>
      <c r="AH200" s="200">
        <f>N200</f>
        <v>0.166694449074846</v>
      </c>
      <c r="AI200" s="200">
        <v>0.02</v>
      </c>
      <c r="AJ200" s="200">
        <f>M200</f>
        <v>0.05</v>
      </c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</row>
    <row r="201" ht="11.4" spans="1:75">
      <c r="A201" s="1" t="s">
        <v>330</v>
      </c>
      <c r="B201" s="15">
        <v>8</v>
      </c>
      <c r="C201" s="15" t="s">
        <v>286</v>
      </c>
      <c r="D201" s="15" t="s">
        <v>287</v>
      </c>
      <c r="E201" s="15" t="s">
        <v>281</v>
      </c>
      <c r="F201" s="198">
        <f>IF(E201="有",(I201/B201+J201+Z201/B201)/(0.99999-K201-L201-M201-N201),(I201/B201+J201+Z201/B201)/(0.99999-K201-M201-N201))</f>
        <v>33.3816429389775</v>
      </c>
      <c r="G201" s="198">
        <f>IF(E201="有",(I201/B201+J201+Z201/B201)/(0.8-K201-L201-M201-N201-O201-P201),(I201/B201+J201+Z201/B201)/(0.8-K201-M201-N201-O201-P201))</f>
        <v>66.823198980503</v>
      </c>
      <c r="H201" s="199">
        <f>H200*0.85</f>
        <v>50.9915</v>
      </c>
      <c r="I201" s="198">
        <f>80/1.13</f>
        <v>70.7964601769912</v>
      </c>
      <c r="J201" s="15">
        <v>5.81</v>
      </c>
      <c r="K201" s="200">
        <v>0.15</v>
      </c>
      <c r="L201" s="200">
        <v>0.16</v>
      </c>
      <c r="M201" s="200">
        <v>0.05</v>
      </c>
      <c r="N201" s="200">
        <f>Q201/H201</f>
        <v>0.176500004902778</v>
      </c>
      <c r="O201" s="201">
        <f>0.61/H201</f>
        <v>0.0119627781100772</v>
      </c>
      <c r="P201" s="200">
        <v>0.02</v>
      </c>
      <c r="Q201" s="198">
        <v>9</v>
      </c>
      <c r="R201" s="14">
        <v>33.5</v>
      </c>
      <c r="S201" s="14">
        <v>26.5</v>
      </c>
      <c r="T201" s="14">
        <v>25</v>
      </c>
      <c r="U201" s="14">
        <v>2.3</v>
      </c>
      <c r="V201" s="198">
        <f>R201*S201*T201/6000</f>
        <v>3.69895833333333</v>
      </c>
      <c r="W201" s="198">
        <f>MAX(U201:V201)</f>
        <v>3.69895833333333</v>
      </c>
      <c r="X201" s="15" t="s">
        <v>21</v>
      </c>
      <c r="Y201" s="202">
        <v>5.55136</v>
      </c>
      <c r="Z201" s="203">
        <v>6.5</v>
      </c>
      <c r="AA201" s="198">
        <f>H201-SUM(K201:P201)*H201-J201-I201/B201-Z201/B201</f>
        <v>6.5326724778761</v>
      </c>
      <c r="AB201" s="201">
        <f>AA201/H201</f>
        <v>0.128112969374819</v>
      </c>
      <c r="AC201" s="14"/>
      <c r="AD201" s="204">
        <f>J201/H201</f>
        <v>0.113940558720571</v>
      </c>
      <c r="AE201" s="200">
        <f>I201/7.4/H201</f>
        <v>0.187621254779854</v>
      </c>
      <c r="AF201" s="200">
        <f>Z201/7.4/H201</f>
        <v>0.0172259764544753</v>
      </c>
      <c r="AG201" s="200">
        <v>0.15</v>
      </c>
      <c r="AH201" s="200">
        <f>N201</f>
        <v>0.176500004902778</v>
      </c>
      <c r="AI201" s="200">
        <v>0.02</v>
      </c>
      <c r="AJ201" s="200">
        <f>M201</f>
        <v>0.05</v>
      </c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</row>
    <row r="202" ht="11.4" spans="1:75">
      <c r="A202" s="1" t="s">
        <v>331</v>
      </c>
      <c r="B202" s="15">
        <v>8</v>
      </c>
      <c r="C202" s="15" t="s">
        <v>286</v>
      </c>
      <c r="D202" s="15" t="s">
        <v>287</v>
      </c>
      <c r="E202" s="15" t="s">
        <v>281</v>
      </c>
      <c r="F202" s="198">
        <f>IF(E202="有",(I202/B202+J202+Z202/B202)/(0.99999-K202-L202-M202-N202),(I202/B202+J202+Z202/B202)/(0.99999-K202-M202-N202))</f>
        <v>32.6900548544785</v>
      </c>
      <c r="G202" s="198">
        <f>IF(E202="有",(I202/B202+J202+Z202/B202)/(0.8-K202-L202-M202-N202-O202-P202),(I202/B202+J202+Z202/B202)/(0.8-K202-M202-N202-O202-P202))</f>
        <v>64.307450877638</v>
      </c>
      <c r="H202" s="199">
        <f>H200*0.8</f>
        <v>47.992</v>
      </c>
      <c r="I202" s="198">
        <f>80/1.13</f>
        <v>70.7964601769912</v>
      </c>
      <c r="J202" s="15">
        <v>5.81</v>
      </c>
      <c r="K202" s="200">
        <v>0.15</v>
      </c>
      <c r="L202" s="200">
        <v>0.16</v>
      </c>
      <c r="M202" s="200">
        <v>0.05</v>
      </c>
      <c r="N202" s="200">
        <f>Q202/H202</f>
        <v>0.166694449074846</v>
      </c>
      <c r="O202" s="201">
        <f>0.61/H202</f>
        <v>0.012710451741957</v>
      </c>
      <c r="P202" s="200">
        <v>0.02</v>
      </c>
      <c r="Q202" s="198">
        <v>8</v>
      </c>
      <c r="R202" s="14">
        <v>33.5</v>
      </c>
      <c r="S202" s="14">
        <v>26.5</v>
      </c>
      <c r="T202" s="14">
        <v>25</v>
      </c>
      <c r="U202" s="14">
        <v>2.3</v>
      </c>
      <c r="V202" s="198">
        <f>R202*S202*T202/6000</f>
        <v>3.69895833333333</v>
      </c>
      <c r="W202" s="198">
        <f>MAX(U202:V202)</f>
        <v>3.69895833333333</v>
      </c>
      <c r="X202" s="15" t="s">
        <v>21</v>
      </c>
      <c r="Y202" s="202">
        <v>5.55136</v>
      </c>
      <c r="Z202" s="203">
        <v>6.5</v>
      </c>
      <c r="AA202" s="198">
        <f>H202-SUM(K202:P202)*H202-J202-I202/B202-Z202/B202</f>
        <v>5.67298247787611</v>
      </c>
      <c r="AB202" s="201">
        <f>AA202/H202</f>
        <v>0.118206836095101</v>
      </c>
      <c r="AC202" s="14"/>
      <c r="AD202" s="204">
        <f>J202/H202</f>
        <v>0.121061843640607</v>
      </c>
      <c r="AE202" s="200">
        <f>I202/7.4/H202</f>
        <v>0.199347583203595</v>
      </c>
      <c r="AF202" s="200">
        <f>Z202/7.4/H202</f>
        <v>0.01830259998288</v>
      </c>
      <c r="AG202" s="200">
        <v>0.15</v>
      </c>
      <c r="AH202" s="200">
        <f>N202</f>
        <v>0.166694449074846</v>
      </c>
      <c r="AI202" s="200">
        <v>0.02</v>
      </c>
      <c r="AJ202" s="200">
        <f>M202</f>
        <v>0.05</v>
      </c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</row>
    <row r="203" ht="11.4" spans="1:75">
      <c r="A203" s="1" t="s">
        <v>332</v>
      </c>
      <c r="B203" s="15">
        <v>8</v>
      </c>
      <c r="C203" s="15" t="s">
        <v>286</v>
      </c>
      <c r="D203" s="15" t="s">
        <v>287</v>
      </c>
      <c r="E203" s="15" t="s">
        <v>281</v>
      </c>
      <c r="F203" s="198">
        <f>IF(E203="有",(I203/B203+J203+Z203/B203)/(0.99999-K203-L203-M203-N203),(I203/B203+J203+Z203/B203)/(0.99999-K203-M203-N203))</f>
        <v>35.1677640721043</v>
      </c>
      <c r="G203" s="198">
        <f>IF(E203="有",(I203/B203+J203+Z203/B203)/(0.8-K203-L203-M203-N203-O203-P203),(I203/B203+J203+Z203/B203)/(0.8-K203-M203-N203-O203-P203))</f>
        <v>74.4716974649015</v>
      </c>
      <c r="H203" s="199">
        <v>49.99</v>
      </c>
      <c r="I203" s="198">
        <f>80/1.13</f>
        <v>70.7964601769912</v>
      </c>
      <c r="J203" s="15">
        <v>5.81</v>
      </c>
      <c r="K203" s="200">
        <v>0.15</v>
      </c>
      <c r="L203" s="200">
        <v>0.16</v>
      </c>
      <c r="M203" s="200">
        <v>0.05</v>
      </c>
      <c r="N203" s="200">
        <f>Q203/H203</f>
        <v>0.2000400080016</v>
      </c>
      <c r="O203" s="201">
        <f>0.61/H203</f>
        <v>0.0122024404880976</v>
      </c>
      <c r="P203" s="200">
        <v>0.02</v>
      </c>
      <c r="Q203" s="198">
        <v>10</v>
      </c>
      <c r="R203" s="14">
        <v>33.5</v>
      </c>
      <c r="S203" s="14">
        <v>26.5</v>
      </c>
      <c r="T203" s="14">
        <v>25</v>
      </c>
      <c r="U203" s="14">
        <v>2.3</v>
      </c>
      <c r="V203" s="198">
        <f>R203*S203*T203/6000</f>
        <v>3.69895833333333</v>
      </c>
      <c r="W203" s="198">
        <f>MAX(U203:V203)</f>
        <v>3.69895833333333</v>
      </c>
      <c r="X203" s="15" t="s">
        <v>21</v>
      </c>
      <c r="Y203" s="202">
        <v>5.55136</v>
      </c>
      <c r="Z203" s="203">
        <v>6.5</v>
      </c>
      <c r="AA203" s="198">
        <f>H203-SUM(K203:P203)*H203-J203-I203/B203-Z203/B203</f>
        <v>4.9117424778761</v>
      </c>
      <c r="AB203" s="201">
        <f>AA203/H203</f>
        <v>0.0982545004576136</v>
      </c>
      <c r="AC203" s="14"/>
      <c r="AD203" s="204">
        <f>J203/H203</f>
        <v>0.11622324464893</v>
      </c>
      <c r="AE203" s="200">
        <f>I203/7.4/H203</f>
        <v>0.191380060274193</v>
      </c>
      <c r="AF203" s="200">
        <f>Z203/7.4/H203</f>
        <v>0.0175710817839244</v>
      </c>
      <c r="AG203" s="200">
        <v>0.15</v>
      </c>
      <c r="AH203" s="200">
        <f>N203</f>
        <v>0.2000400080016</v>
      </c>
      <c r="AI203" s="200">
        <v>0.02</v>
      </c>
      <c r="AJ203" s="200">
        <f>M203</f>
        <v>0.05</v>
      </c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</row>
    <row r="204" ht="11.4" spans="1:75">
      <c r="A204" s="1"/>
      <c r="B204" s="14"/>
      <c r="C204" s="14"/>
      <c r="D204" s="14"/>
      <c r="E204" s="14"/>
      <c r="F204" s="198"/>
      <c r="G204" s="198"/>
      <c r="H204" s="205"/>
      <c r="I204" s="198"/>
      <c r="J204" s="15"/>
      <c r="K204" s="200"/>
      <c r="L204" s="200"/>
      <c r="M204" s="200"/>
      <c r="N204" s="200"/>
      <c r="O204" s="201"/>
      <c r="P204" s="200"/>
      <c r="Q204" s="200"/>
      <c r="R204" s="14"/>
      <c r="S204" s="14"/>
      <c r="T204" s="14"/>
      <c r="U204" s="14"/>
      <c r="V204" s="198"/>
      <c r="W204" s="198"/>
      <c r="X204" s="15"/>
      <c r="Y204" s="202"/>
      <c r="Z204" s="15"/>
      <c r="AA204" s="198"/>
      <c r="AB204" s="201"/>
      <c r="AC204" s="14"/>
      <c r="AD204" s="204"/>
      <c r="AE204" s="200"/>
      <c r="AF204" s="200"/>
      <c r="AG204" s="200"/>
      <c r="AH204" s="200"/>
      <c r="AI204" s="200"/>
      <c r="AJ204" s="200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</row>
    <row r="205" ht="11.4" spans="1:75">
      <c r="A205" s="1" t="s">
        <v>329</v>
      </c>
      <c r="B205" s="15">
        <v>8</v>
      </c>
      <c r="C205" s="14" t="s">
        <v>289</v>
      </c>
      <c r="D205" s="14" t="s">
        <v>290</v>
      </c>
      <c r="E205" s="15" t="s">
        <v>281</v>
      </c>
      <c r="F205" s="198">
        <f>IF(E205="有",(I205/B205+J205+Z205/B205)/(0.99999-K205-L205-M205-N205),(I205/B205+J205+Z205/B205)/(0.99999-K205-M205-N205))</f>
        <v>30.6617239349854</v>
      </c>
      <c r="G205" s="198">
        <f>IF(E205="有",(I205/B205+J205+Z205/B205)/(0.8-K205-L205-M205-N205-O205-P205),(I205/B205+J205+Z205/B205)/(0.8-K205-M205-N205-O205-P205))</f>
        <v>59.6867042433197</v>
      </c>
      <c r="H205" s="199">
        <v>59.99</v>
      </c>
      <c r="I205" s="198">
        <f>80/1.13</f>
        <v>70.7964601769912</v>
      </c>
      <c r="J205" s="14">
        <v>4.85</v>
      </c>
      <c r="K205" s="200">
        <v>0.15</v>
      </c>
      <c r="L205" s="200">
        <v>0.16</v>
      </c>
      <c r="M205" s="200">
        <v>0.05</v>
      </c>
      <c r="N205" s="200">
        <f>Q205/H205</f>
        <v>0.166694449074846</v>
      </c>
      <c r="O205" s="201">
        <f>0.61/H205</f>
        <v>0.0101683613935656</v>
      </c>
      <c r="P205" s="200">
        <v>0.02</v>
      </c>
      <c r="Q205" s="198">
        <v>10</v>
      </c>
      <c r="R205" s="14">
        <v>33.5</v>
      </c>
      <c r="S205" s="14">
        <v>26.5</v>
      </c>
      <c r="T205" s="14">
        <v>25</v>
      </c>
      <c r="U205" s="14">
        <v>2.3</v>
      </c>
      <c r="V205" s="198">
        <f>R205*S205*T205/6000</f>
        <v>3.69895833333333</v>
      </c>
      <c r="W205" s="198">
        <f>MAX(U205:V205)</f>
        <v>3.69895833333333</v>
      </c>
      <c r="X205" s="14" t="s">
        <v>21</v>
      </c>
      <c r="Y205" s="202">
        <v>5.55136</v>
      </c>
      <c r="Z205" s="203">
        <v>6.5</v>
      </c>
      <c r="AA205" s="198">
        <f>H205-SUM(K205:P205)*H205-J205-I205/B205-Z205/B205</f>
        <v>12.0717424778761</v>
      </c>
      <c r="AB205" s="201">
        <f>AA205/H205</f>
        <v>0.201229246172297</v>
      </c>
      <c r="AC205" s="14"/>
      <c r="AD205" s="204">
        <f>J205/H205</f>
        <v>0.0808468078013002</v>
      </c>
      <c r="AE205" s="200">
        <f>I205/7.4/H205</f>
        <v>0.159478066562876</v>
      </c>
      <c r="AF205" s="200">
        <f>Z205/7.4/H205</f>
        <v>0.014642079986304</v>
      </c>
      <c r="AG205" s="200">
        <v>0.15</v>
      </c>
      <c r="AH205" s="200">
        <f>N205</f>
        <v>0.166694449074846</v>
      </c>
      <c r="AI205" s="200">
        <v>0.02</v>
      </c>
      <c r="AJ205" s="200">
        <f>M205</f>
        <v>0.05</v>
      </c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</row>
    <row r="206" ht="11.4" spans="1:75">
      <c r="A206" s="1" t="s">
        <v>330</v>
      </c>
      <c r="B206" s="15">
        <v>8</v>
      </c>
      <c r="C206" s="15" t="s">
        <v>289</v>
      </c>
      <c r="D206" s="15" t="s">
        <v>290</v>
      </c>
      <c r="E206" s="15" t="s">
        <v>281</v>
      </c>
      <c r="F206" s="198">
        <f>IF(E206="有",(I206/B206+J206+Z206/B206)/(0.99999-K206-L206-M206-N206),(I206/B206+J206+Z206/B206)/(0.99999-K206-M206-N206))</f>
        <v>31.3104008190723</v>
      </c>
      <c r="G206" s="198">
        <f>IF(E206="有",(I206/B206+J206+Z206/B206)/(0.8-K206-L206-M206-N206-O206-P206),(I206/B206+J206+Z206/B206)/(0.8-K206-M206-N206-O206-P206))</f>
        <v>62.676997292101</v>
      </c>
      <c r="H206" s="199">
        <f>H205*0.85</f>
        <v>50.9915</v>
      </c>
      <c r="I206" s="198">
        <f>80/1.13</f>
        <v>70.7964601769912</v>
      </c>
      <c r="J206" s="15">
        <v>4.85</v>
      </c>
      <c r="K206" s="200">
        <v>0.15</v>
      </c>
      <c r="L206" s="200">
        <v>0.16</v>
      </c>
      <c r="M206" s="200">
        <v>0.05</v>
      </c>
      <c r="N206" s="200">
        <f>Q206/H206</f>
        <v>0.176500004902778</v>
      </c>
      <c r="O206" s="201">
        <f>0.61/H206</f>
        <v>0.0119627781100772</v>
      </c>
      <c r="P206" s="200">
        <v>0.02</v>
      </c>
      <c r="Q206" s="198">
        <v>9</v>
      </c>
      <c r="R206" s="14">
        <v>33.5</v>
      </c>
      <c r="S206" s="14">
        <v>26.5</v>
      </c>
      <c r="T206" s="14">
        <v>25</v>
      </c>
      <c r="U206" s="14">
        <v>2.3</v>
      </c>
      <c r="V206" s="198">
        <f>R206*S206*T206/6000</f>
        <v>3.69895833333333</v>
      </c>
      <c r="W206" s="198">
        <f>MAX(U206:V206)</f>
        <v>3.69895833333333</v>
      </c>
      <c r="X206" s="15" t="s">
        <v>21</v>
      </c>
      <c r="Y206" s="202">
        <v>5.55136</v>
      </c>
      <c r="Z206" s="203">
        <v>6.5</v>
      </c>
      <c r="AA206" s="198">
        <f>H206-SUM(K206:P206)*H206-J206-I206/B206-Z206/B206</f>
        <v>7.49267247787611</v>
      </c>
      <c r="AB206" s="201">
        <f>AA206/H206</f>
        <v>0.146939636564449</v>
      </c>
      <c r="AC206" s="14"/>
      <c r="AD206" s="204">
        <f>J206/H206</f>
        <v>0.0951138915309414</v>
      </c>
      <c r="AE206" s="200">
        <f>I206/7.4/H206</f>
        <v>0.187621254779854</v>
      </c>
      <c r="AF206" s="200">
        <f>Z206/7.4/H206</f>
        <v>0.0172259764544753</v>
      </c>
      <c r="AG206" s="200">
        <v>0.15</v>
      </c>
      <c r="AH206" s="200">
        <f>N206</f>
        <v>0.176500004902778</v>
      </c>
      <c r="AI206" s="200">
        <v>0.02</v>
      </c>
      <c r="AJ206" s="200">
        <f>M206</f>
        <v>0.05</v>
      </c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</row>
    <row r="207" ht="11.4" spans="1:75">
      <c r="A207" s="1" t="s">
        <v>331</v>
      </c>
      <c r="B207" s="14">
        <v>8</v>
      </c>
      <c r="C207" s="15" t="s">
        <v>289</v>
      </c>
      <c r="D207" s="15" t="s">
        <v>290</v>
      </c>
      <c r="E207" s="15" t="s">
        <v>281</v>
      </c>
      <c r="F207" s="198">
        <f>IF(E207="有",(I207/B207+J207+Z207/B207)/(0.99999-K207-L207-M207-N207),(I207/B207+J207+Z207/B207)/(0.99999-K207-M207-N207))</f>
        <v>30.6617239349854</v>
      </c>
      <c r="G207" s="198">
        <f>IF(E207="有",(I207/B207+J207+Z207/B207)/(0.8-K207-L207-M207-N207-O207-P207),(I207/B207+J207+Z207/B207)/(0.8-K207-M207-N207-O207-P207))</f>
        <v>60.3173446649216</v>
      </c>
      <c r="H207" s="199">
        <f>H205*0.8</f>
        <v>47.992</v>
      </c>
      <c r="I207" s="198">
        <f>80/1.13</f>
        <v>70.7964601769912</v>
      </c>
      <c r="J207" s="15">
        <v>4.85</v>
      </c>
      <c r="K207" s="200">
        <v>0.15</v>
      </c>
      <c r="L207" s="200">
        <v>0.16</v>
      </c>
      <c r="M207" s="200">
        <v>0.05</v>
      </c>
      <c r="N207" s="200">
        <f>Q207/H207</f>
        <v>0.166694449074846</v>
      </c>
      <c r="O207" s="201">
        <f>0.61/H207</f>
        <v>0.012710451741957</v>
      </c>
      <c r="P207" s="200">
        <v>0.02</v>
      </c>
      <c r="Q207" s="198">
        <v>8</v>
      </c>
      <c r="R207" s="14">
        <v>33.5</v>
      </c>
      <c r="S207" s="14">
        <v>26.5</v>
      </c>
      <c r="T207" s="14">
        <v>25</v>
      </c>
      <c r="U207" s="14">
        <v>2.3</v>
      </c>
      <c r="V207" s="198">
        <f>R207*S207*T207/6000</f>
        <v>3.69895833333333</v>
      </c>
      <c r="W207" s="198">
        <f>MAX(U207:V207)</f>
        <v>3.69895833333333</v>
      </c>
      <c r="X207" s="15" t="s">
        <v>21</v>
      </c>
      <c r="Y207" s="202">
        <v>5.55136</v>
      </c>
      <c r="Z207" s="203">
        <v>6.5</v>
      </c>
      <c r="AA207" s="198">
        <f>H207-SUM(K207:P207)*H207-J207-I207/B207-Z207/B207</f>
        <v>6.63298247787611</v>
      </c>
      <c r="AB207" s="201">
        <f>AA207/H207</f>
        <v>0.138210169984083</v>
      </c>
      <c r="AC207" s="14"/>
      <c r="AD207" s="204">
        <f>J207/H207</f>
        <v>0.101058509751625</v>
      </c>
      <c r="AE207" s="200">
        <f>I207/7.4/H207</f>
        <v>0.199347583203595</v>
      </c>
      <c r="AF207" s="200">
        <f>Z207/7.4/H207</f>
        <v>0.01830259998288</v>
      </c>
      <c r="AG207" s="200">
        <v>0.15</v>
      </c>
      <c r="AH207" s="200">
        <f>N207</f>
        <v>0.166694449074846</v>
      </c>
      <c r="AI207" s="200">
        <v>0.02</v>
      </c>
      <c r="AJ207" s="200">
        <f>M207</f>
        <v>0.05</v>
      </c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</row>
    <row r="208" ht="11.4" spans="1:75">
      <c r="A208" s="1"/>
      <c r="B208" s="15"/>
      <c r="C208" s="15"/>
      <c r="D208" s="15"/>
      <c r="E208" s="15"/>
      <c r="F208" s="198"/>
      <c r="G208" s="198"/>
      <c r="H208" s="205"/>
      <c r="I208" s="198"/>
      <c r="J208" s="15"/>
      <c r="K208" s="200"/>
      <c r="L208" s="200"/>
      <c r="M208" s="200"/>
      <c r="N208" s="200"/>
      <c r="O208" s="201"/>
      <c r="P208" s="200"/>
      <c r="Q208" s="200"/>
      <c r="R208" s="14"/>
      <c r="S208" s="14"/>
      <c r="T208" s="14"/>
      <c r="U208" s="14"/>
      <c r="V208" s="198"/>
      <c r="W208" s="198"/>
      <c r="X208" s="15"/>
      <c r="Y208" s="202"/>
      <c r="Z208" s="15"/>
      <c r="AA208" s="198"/>
      <c r="AB208" s="201"/>
      <c r="AC208" s="14"/>
      <c r="AD208" s="204"/>
      <c r="AE208" s="200"/>
      <c r="AF208" s="200"/>
      <c r="AG208" s="200"/>
      <c r="AH208" s="200"/>
      <c r="AI208" s="200"/>
      <c r="AJ208" s="200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</row>
    <row r="209" ht="11.4" spans="1:75">
      <c r="A209" s="1" t="s">
        <v>329</v>
      </c>
      <c r="B209" s="14">
        <v>9</v>
      </c>
      <c r="C209" s="15" t="s">
        <v>291</v>
      </c>
      <c r="D209" s="15" t="s">
        <v>86</v>
      </c>
      <c r="E209" s="15" t="s">
        <v>281</v>
      </c>
      <c r="F209" s="198">
        <f>IF(E209="有",(I209/B209+J209+Z209/B209)/(0.99999-K209-L209-M209-N209),(I209/B209+J209+Z209/B209)/(0.99999-K209-M209-N209))</f>
        <v>25.0348621822618</v>
      </c>
      <c r="G209" s="198">
        <f>IF(E209="有",(I209/B209+J209+Z209/B209)/(0.8-K209-L209-M209-N209-O209-P209),(I209/B209+J209+Z209/B209)/(0.8-K209-M209-N209-O209-P209))</f>
        <v>48.733346435879</v>
      </c>
      <c r="H209" s="199">
        <v>59.99</v>
      </c>
      <c r="I209" s="198">
        <v>70.8</v>
      </c>
      <c r="J209" s="14">
        <v>3.26</v>
      </c>
      <c r="K209" s="200">
        <v>0.15</v>
      </c>
      <c r="L209" s="200">
        <v>0.16</v>
      </c>
      <c r="M209" s="200">
        <v>0.05</v>
      </c>
      <c r="N209" s="200">
        <f>Q209/H209</f>
        <v>0.166694449074846</v>
      </c>
      <c r="O209" s="201">
        <f>0.61/H209</f>
        <v>0.0101683613935656</v>
      </c>
      <c r="P209" s="200">
        <v>0.02</v>
      </c>
      <c r="Q209" s="198">
        <v>10</v>
      </c>
      <c r="R209" s="14">
        <v>33.5</v>
      </c>
      <c r="S209" s="14">
        <v>26.5</v>
      </c>
      <c r="T209" s="14">
        <v>25</v>
      </c>
      <c r="U209" s="14">
        <v>2.3</v>
      </c>
      <c r="V209" s="198">
        <f>R209*S209*T209/6000</f>
        <v>3.69895833333333</v>
      </c>
      <c r="W209" s="198">
        <f>MAX(U209:V209)</f>
        <v>3.69895833333333</v>
      </c>
      <c r="X209" s="15" t="s">
        <v>21</v>
      </c>
      <c r="Y209" s="202">
        <v>6.084</v>
      </c>
      <c r="Z209" s="203">
        <v>6.5</v>
      </c>
      <c r="AA209" s="198">
        <f>H209-SUM(K209:P209)*H209-J209-I209/B209-Z209/B209</f>
        <v>14.7349111111111</v>
      </c>
      <c r="AB209" s="201">
        <f>AA209/H209</f>
        <v>0.245622788983349</v>
      </c>
      <c r="AC209" s="14"/>
      <c r="AD209" s="204">
        <f>J209/H209</f>
        <v>0.0543423903983997</v>
      </c>
      <c r="AE209" s="200">
        <f>I209/7.4/H209</f>
        <v>0.159486040466204</v>
      </c>
      <c r="AF209" s="200">
        <f>Z209/7.4/H209</f>
        <v>0.014642079986304</v>
      </c>
      <c r="AG209" s="200">
        <v>0.15</v>
      </c>
      <c r="AH209" s="200">
        <f>N209</f>
        <v>0.166694449074846</v>
      </c>
      <c r="AI209" s="200">
        <v>0.02</v>
      </c>
      <c r="AJ209" s="200">
        <f>M209</f>
        <v>0.05</v>
      </c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</row>
    <row r="210" ht="11.4" spans="1:75">
      <c r="A210" s="1" t="s">
        <v>330</v>
      </c>
      <c r="B210" s="14">
        <v>9</v>
      </c>
      <c r="C210" s="15" t="s">
        <v>291</v>
      </c>
      <c r="D210" s="15" t="s">
        <v>86</v>
      </c>
      <c r="E210" s="15" t="s">
        <v>281</v>
      </c>
      <c r="F210" s="198">
        <f>IF(E210="有",(I210/B210+J210+Z210/B210)/(0.99999-K210-L210-M210-N210),(I210/B210+J210+Z210/B210)/(0.99999-K210-M210-N210))</f>
        <v>25.5636490551126</v>
      </c>
      <c r="G210" s="198">
        <f>IF(E210="有",(I210/B210+J210+Z210/B210)/(0.8-K210-L210-M210-N210-O210-P210),(I210/B210+J210+Z210/B210)/(0.8-K210-M210-N210-O210-P210))</f>
        <v>51.1731795406311</v>
      </c>
      <c r="H210" s="199">
        <f>H209*0.85</f>
        <v>50.9915</v>
      </c>
      <c r="I210" s="198">
        <f>80/1.13</f>
        <v>70.7964601769912</v>
      </c>
      <c r="J210" s="15">
        <v>3.26</v>
      </c>
      <c r="K210" s="200">
        <v>0.15</v>
      </c>
      <c r="L210" s="200">
        <v>0.16</v>
      </c>
      <c r="M210" s="200">
        <v>0.05</v>
      </c>
      <c r="N210" s="200">
        <f>Q210/H210</f>
        <v>0.176500004902778</v>
      </c>
      <c r="O210" s="201">
        <f>0.61/H210</f>
        <v>0.0119627781100772</v>
      </c>
      <c r="P210" s="200">
        <v>0.02</v>
      </c>
      <c r="Q210" s="198">
        <v>9</v>
      </c>
      <c r="R210" s="14">
        <v>33.5</v>
      </c>
      <c r="S210" s="14">
        <v>26.5</v>
      </c>
      <c r="T210" s="14">
        <v>25</v>
      </c>
      <c r="U210" s="14">
        <v>2.3</v>
      </c>
      <c r="V210" s="198">
        <f>R210*S210*T210/6000</f>
        <v>3.69895833333333</v>
      </c>
      <c r="W210" s="198">
        <f>MAX(U210:V210)</f>
        <v>3.69895833333333</v>
      </c>
      <c r="X210" s="15" t="s">
        <v>21</v>
      </c>
      <c r="Y210" s="202">
        <v>6.084</v>
      </c>
      <c r="Z210" s="203">
        <v>6.5</v>
      </c>
      <c r="AA210" s="198">
        <f>H210-SUM(K210:P210)*H210-J210-I210/B210-Z210/B210</f>
        <v>10.1562344247788</v>
      </c>
      <c r="AB210" s="201">
        <f>AA210/H210</f>
        <v>0.199175047307468</v>
      </c>
      <c r="AC210" s="14"/>
      <c r="AD210" s="204">
        <f>J210/H210</f>
        <v>0.0639322239981173</v>
      </c>
      <c r="AE210" s="200">
        <f>I210/7.4/H210</f>
        <v>0.187621254779854</v>
      </c>
      <c r="AF210" s="200">
        <f>Z210/7.4/H210</f>
        <v>0.0172259764544753</v>
      </c>
      <c r="AG210" s="200">
        <v>0.15</v>
      </c>
      <c r="AH210" s="200">
        <f>N210</f>
        <v>0.176500004902778</v>
      </c>
      <c r="AI210" s="200">
        <v>0.02</v>
      </c>
      <c r="AJ210" s="200">
        <f>M210</f>
        <v>0.05</v>
      </c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</row>
    <row r="211" ht="11.4" spans="1:75">
      <c r="A211" s="1" t="s">
        <v>331</v>
      </c>
      <c r="B211" s="14">
        <v>9</v>
      </c>
      <c r="C211" s="15" t="s">
        <v>291</v>
      </c>
      <c r="D211" s="15" t="s">
        <v>86</v>
      </c>
      <c r="E211" s="15" t="s">
        <v>281</v>
      </c>
      <c r="F211" s="198">
        <f>IF(E211="有",(I211/B211+J211+Z211/B211)/(0.99999-K211-L211-M211-N211),(I211/B211+J211+Z211/B211)/(0.99999-K211-M211-N211))</f>
        <v>25.0340311715606</v>
      </c>
      <c r="G211" s="198">
        <f>IF(E211="有",(I211/B211+J211+Z211/B211)/(0.8-K211-L211-M211-N211-O211-P211),(I211/B211+J211+Z211/B211)/(0.8-K211-M211-N211-O211-P211))</f>
        <v>49.2466206312847</v>
      </c>
      <c r="H211" s="199">
        <f>H209*0.8</f>
        <v>47.992</v>
      </c>
      <c r="I211" s="198">
        <f>80/1.13</f>
        <v>70.7964601769912</v>
      </c>
      <c r="J211" s="15">
        <v>3.26</v>
      </c>
      <c r="K211" s="200">
        <v>0.15</v>
      </c>
      <c r="L211" s="200">
        <v>0.16</v>
      </c>
      <c r="M211" s="200">
        <v>0.05</v>
      </c>
      <c r="N211" s="200">
        <f>Q211/H211</f>
        <v>0.166694449074846</v>
      </c>
      <c r="O211" s="201">
        <f>0.61/H211</f>
        <v>0.012710451741957</v>
      </c>
      <c r="P211" s="200">
        <v>0.02</v>
      </c>
      <c r="Q211" s="198">
        <v>8</v>
      </c>
      <c r="R211" s="14">
        <v>33.5</v>
      </c>
      <c r="S211" s="14">
        <v>26.5</v>
      </c>
      <c r="T211" s="14">
        <v>25</v>
      </c>
      <c r="U211" s="14">
        <v>2.3</v>
      </c>
      <c r="V211" s="198">
        <f>R211*S211*T211/6000</f>
        <v>3.69895833333333</v>
      </c>
      <c r="W211" s="198">
        <f>MAX(U211:V211)</f>
        <v>3.69895833333333</v>
      </c>
      <c r="X211" s="15" t="s">
        <v>21</v>
      </c>
      <c r="Y211" s="202">
        <v>6.084</v>
      </c>
      <c r="Z211" s="203">
        <v>6.5</v>
      </c>
      <c r="AA211" s="198">
        <f>H211-SUM(K211:P211)*H211-J211-I211/B211-Z211/B211</f>
        <v>9.29654442477876</v>
      </c>
      <c r="AB211" s="201">
        <f>AA211/H211</f>
        <v>0.193710293898541</v>
      </c>
      <c r="AC211" s="14"/>
      <c r="AD211" s="204">
        <f>J211/H211</f>
        <v>0.0679279879979997</v>
      </c>
      <c r="AE211" s="200">
        <f>I211/7.4/H211</f>
        <v>0.199347583203595</v>
      </c>
      <c r="AF211" s="200">
        <f>Z211/7.4/H211</f>
        <v>0.01830259998288</v>
      </c>
      <c r="AG211" s="200">
        <v>0.15</v>
      </c>
      <c r="AH211" s="200">
        <f>N211</f>
        <v>0.166694449074846</v>
      </c>
      <c r="AI211" s="200">
        <v>0.02</v>
      </c>
      <c r="AJ211" s="200">
        <f>M211</f>
        <v>0.05</v>
      </c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</row>
    <row r="212" ht="11.4" spans="1:75">
      <c r="B212" s="15"/>
      <c r="C212" s="15"/>
      <c r="D212" s="15"/>
      <c r="E212" s="15"/>
      <c r="F212" s="198"/>
      <c r="G212" s="198"/>
      <c r="H212" s="205"/>
      <c r="I212" s="198"/>
      <c r="J212" s="15"/>
      <c r="K212" s="200"/>
      <c r="L212" s="200"/>
      <c r="M212" s="200"/>
      <c r="N212" s="200"/>
      <c r="O212" s="201"/>
      <c r="P212" s="200"/>
      <c r="Q212" s="200"/>
      <c r="R212" s="14"/>
      <c r="S212" s="14"/>
      <c r="T212" s="14"/>
      <c r="U212" s="14"/>
      <c r="V212" s="198"/>
      <c r="W212" s="198"/>
      <c r="X212" s="15"/>
      <c r="Y212" s="202"/>
      <c r="Z212" s="198"/>
      <c r="AA212" s="198"/>
      <c r="AB212" s="201"/>
      <c r="AC212" s="14"/>
      <c r="AD212" s="204"/>
      <c r="AE212" s="200"/>
      <c r="AF212" s="200"/>
      <c r="AG212" s="200"/>
      <c r="AH212" s="200"/>
      <c r="AI212" s="200"/>
      <c r="AJ212" s="200"/>
    </row>
    <row r="213" ht="11.4" spans="1:75">
      <c r="A213" s="214" t="s">
        <v>333</v>
      </c>
      <c r="B213" s="15">
        <v>8</v>
      </c>
      <c r="C213" s="15" t="s">
        <v>279</v>
      </c>
      <c r="D213" s="15" t="s">
        <v>280</v>
      </c>
      <c r="E213" s="15" t="s">
        <v>281</v>
      </c>
      <c r="F213" s="198">
        <f>IF(E213="有",(I213/B213+J213+Z213/B213)/(0.99999-K213-L213-M213-N213),(I213/B213+J213+Z213/B213)/(0.99999-K213-M213-N213))</f>
        <v>52.0232313730272</v>
      </c>
      <c r="G213" s="198">
        <f>IF(E213="有",(I213/B213+J213+Z213/B213)/(0.8-K213-L213-M213-N213-O213-P213),(I213/B213+J213+Z213/B213)/(0.8-K213-M213-N213-O213-P213))</f>
        <v>89.4949157718978</v>
      </c>
      <c r="H213" s="205">
        <v>99.99</v>
      </c>
      <c r="I213" s="198">
        <f>180/1.13</f>
        <v>159.29203539823</v>
      </c>
      <c r="J213" s="14">
        <v>5.68</v>
      </c>
      <c r="K213" s="200">
        <v>0.15</v>
      </c>
      <c r="L213" s="200">
        <v>0.16</v>
      </c>
      <c r="M213" s="200">
        <v>0.05</v>
      </c>
      <c r="N213" s="200">
        <f>Q213/H213</f>
        <v>0.1000100010001</v>
      </c>
      <c r="O213" s="201">
        <f>0.61/H213</f>
        <v>0.0061006100610061</v>
      </c>
      <c r="P213" s="200">
        <v>0.02</v>
      </c>
      <c r="Q213" s="198">
        <v>10</v>
      </c>
      <c r="R213" s="14">
        <v>33.5</v>
      </c>
      <c r="S213" s="14">
        <v>26.5</v>
      </c>
      <c r="T213" s="14">
        <v>25</v>
      </c>
      <c r="U213" s="14">
        <v>2.3</v>
      </c>
      <c r="V213" s="198">
        <f>R213*S213*T213/6000</f>
        <v>3.69895833333333</v>
      </c>
      <c r="W213" s="198">
        <f>MAX(U213:V213)</f>
        <v>3.69895833333333</v>
      </c>
      <c r="X213" s="14" t="s">
        <v>21</v>
      </c>
      <c r="Y213" s="202">
        <v>5.55136</v>
      </c>
      <c r="Z213" s="198">
        <v>20</v>
      </c>
      <c r="AA213" s="198">
        <f>H213-SUM(K213:P213)*H213-J213-I213/B213-Z213/B213</f>
        <v>23.2922955752212</v>
      </c>
      <c r="AB213" s="201">
        <f>AA213/H213</f>
        <v>0.23294625037725</v>
      </c>
      <c r="AC213" s="14"/>
      <c r="AD213" s="204">
        <f>J213/H213</f>
        <v>0.0568056805680568</v>
      </c>
      <c r="AE213" s="200">
        <f>I213/7.4/H213</f>
        <v>0.215281035398445</v>
      </c>
      <c r="AF213" s="200">
        <f>Z213/7.4/H213</f>
        <v>0.027029730000027</v>
      </c>
      <c r="AG213" s="200">
        <v>0.15</v>
      </c>
      <c r="AH213" s="200">
        <f>N213</f>
        <v>0.1000100010001</v>
      </c>
      <c r="AI213" s="200">
        <v>0.02</v>
      </c>
      <c r="AJ213" s="200">
        <f>M213</f>
        <v>0.05</v>
      </c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</row>
    <row r="214" ht="11.4" spans="1:75">
      <c r="A214" s="214" t="s">
        <v>334</v>
      </c>
      <c r="B214" s="15">
        <v>8</v>
      </c>
      <c r="C214" s="15" t="s">
        <v>279</v>
      </c>
      <c r="D214" s="15" t="s">
        <v>280</v>
      </c>
      <c r="E214" s="15" t="s">
        <v>281</v>
      </c>
      <c r="F214" s="198">
        <f>IF(E214="有",(I214/B214+J214+Z214/B214)/(0.99999-K214-L214-M214-N214),(I214/B214+J214+Z214/B214)/(0.99999-K214-M214-N214))</f>
        <v>53.7810219904396</v>
      </c>
      <c r="G214" s="198">
        <f>IF(E214="有",(I214/B214+J214+Z214/B214)/(0.8-K214-L214-M214-N214-O214-P214),(I214/B214+J214+Z214/B214)/(0.8-K214-M214-N214-O214-P214))</f>
        <v>95.1725334500997</v>
      </c>
      <c r="H214" s="205">
        <f>H213*0.85</f>
        <v>84.9915</v>
      </c>
      <c r="I214" s="198">
        <f>180/1.13</f>
        <v>159.29203539823</v>
      </c>
      <c r="J214" s="15">
        <v>5.68</v>
      </c>
      <c r="K214" s="200">
        <v>0.15</v>
      </c>
      <c r="L214" s="200">
        <v>0.16</v>
      </c>
      <c r="M214" s="200">
        <v>0.05</v>
      </c>
      <c r="N214" s="200">
        <f>Q214/H214</f>
        <v>0.117658824706</v>
      </c>
      <c r="O214" s="201">
        <f>0.61/H214</f>
        <v>0.007177188307066</v>
      </c>
      <c r="P214" s="200">
        <v>0.02</v>
      </c>
      <c r="Q214" s="198">
        <v>10</v>
      </c>
      <c r="R214" s="14">
        <v>33.5</v>
      </c>
      <c r="S214" s="14">
        <v>26.5</v>
      </c>
      <c r="T214" s="14">
        <v>25</v>
      </c>
      <c r="U214" s="14">
        <v>2.3</v>
      </c>
      <c r="V214" s="198">
        <f>R214*S214*T214/6000</f>
        <v>3.69895833333333</v>
      </c>
      <c r="W214" s="198">
        <f>MAX(U214:V214)</f>
        <v>3.69895833333333</v>
      </c>
      <c r="X214" s="15" t="s">
        <v>21</v>
      </c>
      <c r="Y214" s="202">
        <v>5.55136</v>
      </c>
      <c r="Z214" s="198">
        <v>20</v>
      </c>
      <c r="AA214" s="198">
        <f>H214-SUM(K214:P214)*H214-J214-I214/B214-Z214/B214</f>
        <v>13.9932255752212</v>
      </c>
      <c r="AB214" s="201">
        <f>AA214/H214</f>
        <v>0.164642647502647</v>
      </c>
      <c r="AC214" s="14"/>
      <c r="AD214" s="204">
        <f>J214/H214</f>
        <v>0.066830212433008</v>
      </c>
      <c r="AE214" s="200">
        <f>I214/B214/H214</f>
        <v>0.234276420874779</v>
      </c>
      <c r="AF214" s="200">
        <f>Z214/B214/H214</f>
        <v>0.0294147061765</v>
      </c>
      <c r="AG214" s="200">
        <f>K214</f>
        <v>0.15</v>
      </c>
      <c r="AH214" s="200">
        <f>N214</f>
        <v>0.117658824706</v>
      </c>
      <c r="AI214" s="200">
        <v>0.02</v>
      </c>
      <c r="AJ214" s="200">
        <f>M214</f>
        <v>0.05</v>
      </c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</row>
    <row r="215" ht="11.4" spans="1:75">
      <c r="A215" s="1"/>
      <c r="B215" s="14"/>
      <c r="C215" s="14"/>
      <c r="D215" s="14"/>
      <c r="E215" s="14"/>
      <c r="F215" s="198"/>
      <c r="G215" s="198"/>
      <c r="H215" s="205"/>
      <c r="I215" s="198"/>
      <c r="J215" s="15"/>
      <c r="K215" s="200"/>
      <c r="L215" s="200"/>
      <c r="M215" s="200"/>
      <c r="N215" s="200"/>
      <c r="O215" s="201"/>
      <c r="P215" s="200"/>
      <c r="Q215" s="198"/>
      <c r="R215" s="14"/>
      <c r="S215" s="14"/>
      <c r="T215" s="14"/>
      <c r="U215" s="14"/>
      <c r="V215" s="198"/>
      <c r="W215" s="198"/>
      <c r="X215" s="15"/>
      <c r="Y215" s="202"/>
      <c r="Z215" s="15"/>
      <c r="AA215" s="198"/>
      <c r="AB215" s="201"/>
      <c r="AC215" s="14"/>
      <c r="AD215" s="204"/>
      <c r="AE215" s="200"/>
      <c r="AF215" s="200"/>
      <c r="AG215" s="200"/>
      <c r="AH215" s="200"/>
      <c r="AI215" s="200"/>
      <c r="AJ215" s="200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</row>
    <row r="216" ht="11.4" spans="1:75">
      <c r="A216" s="215" t="s">
        <v>333</v>
      </c>
      <c r="B216" s="15">
        <v>8</v>
      </c>
      <c r="C216" s="14" t="s">
        <v>284</v>
      </c>
      <c r="D216" s="14" t="s">
        <v>285</v>
      </c>
      <c r="E216" s="15" t="s">
        <v>281</v>
      </c>
      <c r="F216" s="198">
        <f>IF(E216="有",(I216/B216+J216+Z216/B216)/(0.99999-K216-L216-M216-N216),(I216/B216+J216+Z216/B216)/(0.99999-K216-M216-N216))</f>
        <v>59.1901634948977</v>
      </c>
      <c r="G216" s="198">
        <f>IF(E216="有",(I216/B216+J216+Z216/B216)/(0.8-K216-L216-M216-N216-O216-P216),(I216/B216+J216+Z216/B216)/(0.8-K216-M216-N216-O216-P216))</f>
        <v>101.824099670349</v>
      </c>
      <c r="H216" s="205">
        <v>99.99</v>
      </c>
      <c r="I216" s="198">
        <f>180/1.13</f>
        <v>159.29203539823</v>
      </c>
      <c r="J216" s="14">
        <v>9.55</v>
      </c>
      <c r="K216" s="200">
        <v>0.15</v>
      </c>
      <c r="L216" s="200">
        <v>0.16</v>
      </c>
      <c r="M216" s="200">
        <v>0.05</v>
      </c>
      <c r="N216" s="200">
        <f>Q216/H216</f>
        <v>0.1000100010001</v>
      </c>
      <c r="O216" s="201">
        <f>0.61/H216</f>
        <v>0.0061006100610061</v>
      </c>
      <c r="P216" s="200">
        <v>0.02</v>
      </c>
      <c r="Q216" s="198">
        <v>10</v>
      </c>
      <c r="R216" s="14">
        <v>33.5</v>
      </c>
      <c r="S216" s="14">
        <v>26.5</v>
      </c>
      <c r="T216" s="14">
        <v>25</v>
      </c>
      <c r="U216" s="14">
        <v>2.3</v>
      </c>
      <c r="V216" s="198">
        <f>R216*S216*T216/6000</f>
        <v>3.69895833333333</v>
      </c>
      <c r="W216" s="198">
        <f>MAX(U216:V216)</f>
        <v>3.69895833333333</v>
      </c>
      <c r="X216" s="14" t="s">
        <v>21</v>
      </c>
      <c r="Y216" s="202">
        <v>5.55136</v>
      </c>
      <c r="Z216" s="198">
        <v>20</v>
      </c>
      <c r="AA216" s="198">
        <f>H216-SUM(K216:P216)*H216-J216-I216/B216-Z216/B216</f>
        <v>19.4222955752212</v>
      </c>
      <c r="AB216" s="201">
        <f>AA216/H216</f>
        <v>0.194242379990211</v>
      </c>
      <c r="AC216" s="14"/>
      <c r="AD216" s="204">
        <f>J216/H216</f>
        <v>0.0955095509550955</v>
      </c>
      <c r="AE216" s="200">
        <f>I216/7.4/H216</f>
        <v>0.215281035398445</v>
      </c>
      <c r="AF216" s="200">
        <f>Z216/7.4/H216</f>
        <v>0.027029730000027</v>
      </c>
      <c r="AG216" s="200">
        <v>0.15</v>
      </c>
      <c r="AH216" s="200">
        <f>N216</f>
        <v>0.1000100010001</v>
      </c>
      <c r="AI216" s="200">
        <v>0.02</v>
      </c>
      <c r="AJ216" s="200">
        <f>M216</f>
        <v>0.05</v>
      </c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</row>
    <row r="217" ht="11.4" spans="1:75">
      <c r="A217" s="215" t="s">
        <v>334</v>
      </c>
      <c r="B217" s="15">
        <v>8</v>
      </c>
      <c r="C217" s="15" t="s">
        <v>284</v>
      </c>
      <c r="D217" s="15" t="s">
        <v>285</v>
      </c>
      <c r="E217" s="15" t="s">
        <v>281</v>
      </c>
      <c r="F217" s="198">
        <f>IF(E217="有",(I217/B217+J217+Z217/B217)/(0.99999-K217-L217-M217-N217),(I217/B217+J217+Z217/B217)/(0.99999-K217-M217-N217))</f>
        <v>61.1901145031002</v>
      </c>
      <c r="G217" s="198">
        <f>IF(E217="有",(I217/B217+J217+Z217/B217)/(0.8-K217-L217-M217-N217-O217-P217),(I217/B217+J217+Z217/B217)/(0.8-K217-M217-N217-O217-P217))</f>
        <v>108.283889071446</v>
      </c>
      <c r="H217" s="205">
        <f>H216*0.85</f>
        <v>84.9915</v>
      </c>
      <c r="I217" s="198">
        <f>180/1.13</f>
        <v>159.29203539823</v>
      </c>
      <c r="J217" s="15">
        <v>9.55</v>
      </c>
      <c r="K217" s="200">
        <v>0.15</v>
      </c>
      <c r="L217" s="200">
        <v>0.16</v>
      </c>
      <c r="M217" s="200">
        <v>0.05</v>
      </c>
      <c r="N217" s="200">
        <f>Q217/H217</f>
        <v>0.117658824706</v>
      </c>
      <c r="O217" s="201">
        <f>0.61/H217</f>
        <v>0.007177188307066</v>
      </c>
      <c r="P217" s="200">
        <v>0.02</v>
      </c>
      <c r="Q217" s="198">
        <v>10</v>
      </c>
      <c r="R217" s="14">
        <v>33.5</v>
      </c>
      <c r="S217" s="14">
        <v>26.5</v>
      </c>
      <c r="T217" s="14">
        <v>25</v>
      </c>
      <c r="U217" s="14">
        <v>2.3</v>
      </c>
      <c r="V217" s="198">
        <f>R217*S217*T217/6000</f>
        <v>3.69895833333333</v>
      </c>
      <c r="W217" s="198">
        <f>MAX(U217:V217)</f>
        <v>3.69895833333333</v>
      </c>
      <c r="X217" s="15" t="s">
        <v>21</v>
      </c>
      <c r="Y217" s="202">
        <v>5.55136</v>
      </c>
      <c r="Z217" s="198">
        <v>20</v>
      </c>
      <c r="AA217" s="198">
        <f>H217-SUM(K217:P217)*H217-J217-I217/B217-Z217/B217</f>
        <v>10.1232255752212</v>
      </c>
      <c r="AB217" s="201">
        <f>AA217/H217</f>
        <v>0.119108682341425</v>
      </c>
      <c r="AC217" s="14"/>
      <c r="AD217" s="204">
        <f>J217/H217</f>
        <v>0.11236417759423</v>
      </c>
      <c r="AE217" s="200">
        <f>I217/7.4/H217</f>
        <v>0.253271806351112</v>
      </c>
      <c r="AF217" s="200">
        <f>Z217/7.4/H217</f>
        <v>0.031799682352973</v>
      </c>
      <c r="AG217" s="200">
        <v>0.15</v>
      </c>
      <c r="AH217" s="200">
        <f>N217</f>
        <v>0.117658824706</v>
      </c>
      <c r="AI217" s="200">
        <v>0.02</v>
      </c>
      <c r="AJ217" s="200">
        <f>M217</f>
        <v>0.05</v>
      </c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</row>
    <row r="218" ht="11.4" spans="1:75">
      <c r="A218" s="1"/>
      <c r="B218" s="14"/>
      <c r="C218" s="14"/>
      <c r="D218" s="14"/>
      <c r="E218" s="14"/>
      <c r="F218" s="198"/>
      <c r="G218" s="198"/>
      <c r="H218" s="205"/>
      <c r="I218" s="198"/>
      <c r="J218" s="15"/>
      <c r="K218" s="200"/>
      <c r="L218" s="200"/>
      <c r="M218" s="200"/>
      <c r="N218" s="200"/>
      <c r="O218" s="201"/>
      <c r="P218" s="200"/>
      <c r="Q218" s="200"/>
      <c r="R218" s="14"/>
      <c r="S218" s="14"/>
      <c r="T218" s="14"/>
      <c r="U218" s="14"/>
      <c r="V218" s="198"/>
      <c r="W218" s="198"/>
      <c r="X218" s="15"/>
      <c r="Y218" s="202"/>
      <c r="Z218" s="15"/>
      <c r="AA218" s="198"/>
      <c r="AB218" s="201"/>
      <c r="AC218" s="14"/>
      <c r="AD218" s="204"/>
      <c r="AE218" s="200"/>
      <c r="AF218" s="200"/>
      <c r="AG218" s="200"/>
      <c r="AH218" s="200"/>
      <c r="AI218" s="200"/>
      <c r="AJ218" s="200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</row>
    <row r="219" ht="11.4" spans="1:75">
      <c r="A219" s="215" t="s">
        <v>333</v>
      </c>
      <c r="B219" s="15">
        <v>8</v>
      </c>
      <c r="C219" s="14" t="s">
        <v>286</v>
      </c>
      <c r="D219" s="14" t="s">
        <v>287</v>
      </c>
      <c r="E219" s="15" t="s">
        <v>281</v>
      </c>
      <c r="F219" s="198">
        <f>IF(E219="有",(I219/B219+J219+Z219/B219)/(0.99999-K219-L219-M219-N219),(I219/B219+J219+Z219/B219)/(0.99999-K219-M219-N219))</f>
        <v>54.3936895425347</v>
      </c>
      <c r="G219" s="198">
        <f>IF(E219="有",(I219/B219+J219+Z219/B219)/(0.8-K219-L219-M219-N219-O219-P219),(I219/B219+J219+Z219/B219)/(0.8-K219-M219-N219-O219-P219))</f>
        <v>93.5727853817213</v>
      </c>
      <c r="H219" s="205">
        <v>99.99</v>
      </c>
      <c r="I219" s="198">
        <f>180/1.13</f>
        <v>159.29203539823</v>
      </c>
      <c r="J219" s="15">
        <v>6.96</v>
      </c>
      <c r="K219" s="200">
        <v>0.15</v>
      </c>
      <c r="L219" s="200">
        <v>0.16</v>
      </c>
      <c r="M219" s="200">
        <v>0.05</v>
      </c>
      <c r="N219" s="200">
        <f>Q219/H219</f>
        <v>0.1000100010001</v>
      </c>
      <c r="O219" s="201">
        <f>0.61/H219</f>
        <v>0.0061006100610061</v>
      </c>
      <c r="P219" s="200">
        <v>0.02</v>
      </c>
      <c r="Q219" s="198">
        <v>10</v>
      </c>
      <c r="R219" s="14">
        <v>33.5</v>
      </c>
      <c r="S219" s="14">
        <v>26.5</v>
      </c>
      <c r="T219" s="14">
        <v>25</v>
      </c>
      <c r="U219" s="14">
        <v>2.3</v>
      </c>
      <c r="V219" s="198">
        <f>R219*S219*T219/6000</f>
        <v>3.69895833333333</v>
      </c>
      <c r="W219" s="198">
        <f>MAX(U219:V219)</f>
        <v>3.69895833333333</v>
      </c>
      <c r="X219" s="14" t="s">
        <v>21</v>
      </c>
      <c r="Y219" s="202">
        <v>5.55136</v>
      </c>
      <c r="Z219" s="198">
        <v>20</v>
      </c>
      <c r="AA219" s="198">
        <f>H219-SUM(K219:P219)*H219-J219-I219/B219-Z219/B219</f>
        <v>22.0122955752212</v>
      </c>
      <c r="AB219" s="201">
        <f>AA219/H219</f>
        <v>0.220144970249237</v>
      </c>
      <c r="AC219" s="14"/>
      <c r="AD219" s="204">
        <f>J219/H219</f>
        <v>0.0696069606960696</v>
      </c>
      <c r="AE219" s="200">
        <f>I219/7.4/H219</f>
        <v>0.215281035398445</v>
      </c>
      <c r="AF219" s="200">
        <f>Z219/7.4/H219</f>
        <v>0.027029730000027</v>
      </c>
      <c r="AG219" s="200">
        <v>0.15</v>
      </c>
      <c r="AH219" s="200">
        <f>N219</f>
        <v>0.1000100010001</v>
      </c>
      <c r="AI219" s="200">
        <v>0.02</v>
      </c>
      <c r="AJ219" s="200">
        <f>M219</f>
        <v>0.05</v>
      </c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</row>
    <row r="220" ht="11.4" spans="1:75">
      <c r="A220" s="215" t="s">
        <v>334</v>
      </c>
      <c r="B220" s="15">
        <v>8</v>
      </c>
      <c r="C220" s="15" t="s">
        <v>286</v>
      </c>
      <c r="D220" s="15" t="s">
        <v>287</v>
      </c>
      <c r="E220" s="15" t="s">
        <v>281</v>
      </c>
      <c r="F220" s="198">
        <f>IF(E220="有",(I220/B220+J220+Z220/B220)/(0.99999-K220-L220-M220-N220),(I220/B220+J220+Z220/B220)/(0.99999-K220-M220-N220))</f>
        <v>56.2315745527666</v>
      </c>
      <c r="G220" s="198">
        <f>IF(E220="有",(I220/B220+J220+Z220/B220)/(0.8-K220-L220-M220-N220-O220-P220),(I220/B220+J220+Z220/B220)/(0.8-K220-M220-N220-O220-P220))</f>
        <v>99.5091058519919</v>
      </c>
      <c r="H220" s="205">
        <f>H219*0.85</f>
        <v>84.9915</v>
      </c>
      <c r="I220" s="198">
        <f>180/1.13</f>
        <v>159.29203539823</v>
      </c>
      <c r="J220" s="15">
        <v>6.96</v>
      </c>
      <c r="K220" s="200">
        <v>0.15</v>
      </c>
      <c r="L220" s="200">
        <v>0.16</v>
      </c>
      <c r="M220" s="200">
        <v>0.05</v>
      </c>
      <c r="N220" s="200">
        <f>Q220/H220</f>
        <v>0.117658824706</v>
      </c>
      <c r="O220" s="201">
        <f>0.61/H220</f>
        <v>0.007177188307066</v>
      </c>
      <c r="P220" s="200">
        <v>0.02</v>
      </c>
      <c r="Q220" s="198">
        <v>10</v>
      </c>
      <c r="R220" s="14">
        <v>33.5</v>
      </c>
      <c r="S220" s="14">
        <v>26.5</v>
      </c>
      <c r="T220" s="14">
        <v>25</v>
      </c>
      <c r="U220" s="14">
        <v>2.3</v>
      </c>
      <c r="V220" s="198">
        <f>R220*S220*T220/6000</f>
        <v>3.69895833333333</v>
      </c>
      <c r="W220" s="198">
        <f>MAX(U220:V220)</f>
        <v>3.69895833333333</v>
      </c>
      <c r="X220" s="15" t="s">
        <v>21</v>
      </c>
      <c r="Y220" s="202">
        <v>5.55136</v>
      </c>
      <c r="Z220" s="198">
        <v>20</v>
      </c>
      <c r="AA220" s="198">
        <f>H220-SUM(K220:P220)*H220-J220-I220/B220-Z220/B220</f>
        <v>12.7132255752212</v>
      </c>
      <c r="AB220" s="201">
        <f>AA220/H220</f>
        <v>0.149582317940279</v>
      </c>
      <c r="AC220" s="14"/>
      <c r="AD220" s="204">
        <f>J220/H220</f>
        <v>0.081890541995376</v>
      </c>
      <c r="AE220" s="200">
        <f>I220/7.4/H220</f>
        <v>0.253271806351112</v>
      </c>
      <c r="AF220" s="200">
        <f>Z220/7.4/H220</f>
        <v>0.031799682352973</v>
      </c>
      <c r="AG220" s="200">
        <v>0.15</v>
      </c>
      <c r="AH220" s="200">
        <f>N220</f>
        <v>0.117658824706</v>
      </c>
      <c r="AI220" s="200">
        <v>0.02</v>
      </c>
      <c r="AJ220" s="200">
        <f>M220</f>
        <v>0.05</v>
      </c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</row>
    <row r="221" ht="11.4" spans="1:75">
      <c r="A221" s="1"/>
      <c r="B221" s="14"/>
      <c r="C221" s="14"/>
      <c r="D221" s="14"/>
      <c r="E221" s="14"/>
      <c r="F221" s="198"/>
      <c r="G221" s="198"/>
      <c r="H221" s="205"/>
      <c r="I221" s="198"/>
      <c r="J221" s="15"/>
      <c r="K221" s="200"/>
      <c r="L221" s="200"/>
      <c r="M221" s="200"/>
      <c r="N221" s="200"/>
      <c r="O221" s="201"/>
      <c r="P221" s="200"/>
      <c r="Q221" s="200"/>
      <c r="R221" s="14"/>
      <c r="S221" s="14"/>
      <c r="T221" s="14"/>
      <c r="U221" s="14"/>
      <c r="V221" s="198"/>
      <c r="W221" s="198"/>
      <c r="X221" s="15"/>
      <c r="Y221" s="202"/>
      <c r="Z221" s="15"/>
      <c r="AA221" s="198"/>
      <c r="AB221" s="201"/>
      <c r="AC221" s="14"/>
      <c r="AD221" s="204"/>
      <c r="AE221" s="200"/>
      <c r="AF221" s="200"/>
      <c r="AG221" s="200"/>
      <c r="AH221" s="200"/>
      <c r="AI221" s="200"/>
      <c r="AJ221" s="200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</row>
    <row r="222" ht="11.4" spans="1:75">
      <c r="A222" s="215" t="s">
        <v>333</v>
      </c>
      <c r="B222" s="15">
        <v>8</v>
      </c>
      <c r="C222" s="14" t="s">
        <v>289</v>
      </c>
      <c r="D222" s="14" t="s">
        <v>290</v>
      </c>
      <c r="E222" s="15" t="s">
        <v>281</v>
      </c>
      <c r="F222" s="198">
        <f>IF(E222="有",(I222/B222+J222+Z222/B222)/(0.99999-K222-L222-M222-N222),(I222/B222+J222+Z222/B222)/(0.99999-K222-M222-N222))</f>
        <v>51.745443306288</v>
      </c>
      <c r="G222" s="198">
        <f>IF(E222="有",(I222/B222+J222+Z222/B222)/(0.8-K222-L222-M222-N222-O222-P222),(I222/B222+J222+Z222/B222)/(0.8-K222-M222-N222-O222-P222))</f>
        <v>89.0170404269966</v>
      </c>
      <c r="H222" s="205">
        <v>99.99</v>
      </c>
      <c r="I222" s="198">
        <f>180/1.13</f>
        <v>159.29203539823</v>
      </c>
      <c r="J222" s="15">
        <v>5.53</v>
      </c>
      <c r="K222" s="200">
        <v>0.15</v>
      </c>
      <c r="L222" s="200">
        <v>0.16</v>
      </c>
      <c r="M222" s="200">
        <v>0.05</v>
      </c>
      <c r="N222" s="200">
        <f>Q222/H222</f>
        <v>0.1000100010001</v>
      </c>
      <c r="O222" s="201">
        <f>0.61/H222</f>
        <v>0.0061006100610061</v>
      </c>
      <c r="P222" s="200">
        <v>0.02</v>
      </c>
      <c r="Q222" s="198">
        <v>10</v>
      </c>
      <c r="R222" s="14">
        <v>33.5</v>
      </c>
      <c r="S222" s="14">
        <v>26.5</v>
      </c>
      <c r="T222" s="14">
        <v>25</v>
      </c>
      <c r="U222" s="14">
        <v>2.3</v>
      </c>
      <c r="V222" s="198">
        <f>R222*S222*T222/6000</f>
        <v>3.69895833333333</v>
      </c>
      <c r="W222" s="198">
        <f>MAX(U222:V222)</f>
        <v>3.69895833333333</v>
      </c>
      <c r="X222" s="14" t="s">
        <v>21</v>
      </c>
      <c r="Y222" s="202">
        <v>5.55136</v>
      </c>
      <c r="Z222" s="198">
        <v>20</v>
      </c>
      <c r="AA222" s="198">
        <f>H222-SUM(K222:P222)*H222-J222-I222/B222-Z222/B222</f>
        <v>23.4422955752212</v>
      </c>
      <c r="AB222" s="201">
        <f>AA222/H222</f>
        <v>0.234446400392252</v>
      </c>
      <c r="AC222" s="14"/>
      <c r="AD222" s="204">
        <f>J222/H222</f>
        <v>0.0553055305530553</v>
      </c>
      <c r="AE222" s="200">
        <f>I222/7.4/H222</f>
        <v>0.215281035398445</v>
      </c>
      <c r="AF222" s="200">
        <f>Z222/7.4/H222</f>
        <v>0.027029730000027</v>
      </c>
      <c r="AG222" s="200">
        <v>0.15</v>
      </c>
      <c r="AH222" s="200">
        <f>N222</f>
        <v>0.1000100010001</v>
      </c>
      <c r="AI222" s="200">
        <v>0.02</v>
      </c>
      <c r="AJ222" s="200">
        <f>M222</f>
        <v>0.05</v>
      </c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</row>
    <row r="223" ht="11.4" spans="1:75">
      <c r="A223" s="215" t="s">
        <v>334</v>
      </c>
      <c r="B223" s="15">
        <v>8</v>
      </c>
      <c r="C223" s="15" t="s">
        <v>289</v>
      </c>
      <c r="D223" s="15" t="s">
        <v>290</v>
      </c>
      <c r="E223" s="15" t="s">
        <v>281</v>
      </c>
      <c r="F223" s="198">
        <f>IF(E223="有",(I223/B223+J223+Z223/B223)/(0.99999-K223-L223-M223-N223),(I223/B223+J223+Z223/B223)/(0.99999-K223-M223-N223))</f>
        <v>53.4938478620419</v>
      </c>
      <c r="G223" s="198">
        <f>IF(E223="有",(I223/B223+J223+Z223/B223)/(0.8-K223-L223-M223-N223-O223-P223),(I223/B223+J223+Z223/B223)/(0.8-K223-M223-N223-O223-P223))</f>
        <v>94.664341371753</v>
      </c>
      <c r="H223" s="205">
        <f>H222*0.85</f>
        <v>84.9915</v>
      </c>
      <c r="I223" s="198">
        <f>180/1.13</f>
        <v>159.29203539823</v>
      </c>
      <c r="J223" s="15">
        <v>5.53</v>
      </c>
      <c r="K223" s="200">
        <v>0.15</v>
      </c>
      <c r="L223" s="200">
        <v>0.16</v>
      </c>
      <c r="M223" s="200">
        <v>0.05</v>
      </c>
      <c r="N223" s="200">
        <f>Q223/H223</f>
        <v>0.117658824706</v>
      </c>
      <c r="O223" s="201">
        <f>0.61/H223</f>
        <v>0.007177188307066</v>
      </c>
      <c r="P223" s="200">
        <v>0.02</v>
      </c>
      <c r="Q223" s="198">
        <v>10</v>
      </c>
      <c r="R223" s="14">
        <v>33.5</v>
      </c>
      <c r="S223" s="14">
        <v>26.5</v>
      </c>
      <c r="T223" s="14">
        <v>25</v>
      </c>
      <c r="U223" s="14">
        <v>2.3</v>
      </c>
      <c r="V223" s="198">
        <f>R223*S223*T223/6000</f>
        <v>3.69895833333333</v>
      </c>
      <c r="W223" s="198">
        <f>MAX(U223:V223)</f>
        <v>3.69895833333333</v>
      </c>
      <c r="X223" s="15" t="s">
        <v>21</v>
      </c>
      <c r="Y223" s="202">
        <v>5.55136</v>
      </c>
      <c r="Z223" s="198">
        <v>20</v>
      </c>
      <c r="AA223" s="198">
        <f>H223-SUM(K223:P223)*H223-J223-I223/B223-Z223/B223</f>
        <v>14.1432255752212</v>
      </c>
      <c r="AB223" s="201">
        <f>AA223/H223</f>
        <v>0.166407529873237</v>
      </c>
      <c r="AC223" s="14"/>
      <c r="AD223" s="204">
        <f>J223/H223</f>
        <v>0.065065330062418</v>
      </c>
      <c r="AE223" s="200">
        <f>I223/7.4/H223</f>
        <v>0.253271806351112</v>
      </c>
      <c r="AF223" s="200">
        <f>Z223/7.4/H223</f>
        <v>0.031799682352973</v>
      </c>
      <c r="AG223" s="200">
        <v>0.15</v>
      </c>
      <c r="AH223" s="200">
        <f>N223</f>
        <v>0.117658824706</v>
      </c>
      <c r="AI223" s="200">
        <v>0.02</v>
      </c>
      <c r="AJ223" s="200">
        <f>M223</f>
        <v>0.05</v>
      </c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</row>
    <row r="224" ht="11.4" spans="1:75">
      <c r="A224" s="1"/>
      <c r="B224" s="15"/>
      <c r="C224" s="15"/>
      <c r="D224" s="15"/>
      <c r="E224" s="15"/>
      <c r="F224" s="198"/>
      <c r="G224" s="198"/>
      <c r="H224" s="205"/>
      <c r="I224" s="198"/>
      <c r="J224" s="15"/>
      <c r="K224" s="200"/>
      <c r="L224" s="200"/>
      <c r="M224" s="200"/>
      <c r="N224" s="200"/>
      <c r="O224" s="201"/>
      <c r="P224" s="200"/>
      <c r="Q224" s="200"/>
      <c r="R224" s="14"/>
      <c r="S224" s="14"/>
      <c r="T224" s="14"/>
      <c r="U224" s="14"/>
      <c r="V224" s="198"/>
      <c r="W224" s="198"/>
      <c r="X224" s="15"/>
      <c r="Y224" s="202"/>
      <c r="Z224" s="15"/>
      <c r="AA224" s="198"/>
      <c r="AB224" s="201"/>
      <c r="AC224" s="14"/>
      <c r="AD224" s="204"/>
      <c r="AE224" s="200"/>
      <c r="AF224" s="200"/>
      <c r="AG224" s="200"/>
      <c r="AH224" s="200"/>
      <c r="AI224" s="200"/>
      <c r="AJ224" s="200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</row>
    <row r="225" ht="11.4" spans="1:75">
      <c r="A225" s="215" t="s">
        <v>333</v>
      </c>
      <c r="B225" s="14">
        <v>9</v>
      </c>
      <c r="C225" s="15" t="s">
        <v>291</v>
      </c>
      <c r="D225" s="15" t="s">
        <v>86</v>
      </c>
      <c r="E225" s="15" t="s">
        <v>281</v>
      </c>
      <c r="F225" s="198">
        <f>IF(E225="有",(I225/B225+J225+Z225/B225)/(0.99999-K225-L225-M225-N225),(I225/B225+J225+Z225/B225)/(0.99999-K225-M225-N225))</f>
        <v>47.2051492139408</v>
      </c>
      <c r="G225" s="198">
        <f>IF(E225="有",(I225/B225+J225+Z225/B225)/(0.8-K225-L225-M225-N225-O225-P225),(I225/B225+J225+Z225/B225)/(0.8-K225-M225-N225-O225-P225))</f>
        <v>81.8715769055988</v>
      </c>
      <c r="H225" s="205">
        <v>94.99</v>
      </c>
      <c r="I225" s="198">
        <f>180/1.13</f>
        <v>159.29203539823</v>
      </c>
      <c r="J225" s="14">
        <v>5.32</v>
      </c>
      <c r="K225" s="200">
        <v>0.15</v>
      </c>
      <c r="L225" s="200">
        <v>0.16</v>
      </c>
      <c r="M225" s="200">
        <v>0.05</v>
      </c>
      <c r="N225" s="200">
        <f>Q225/H225</f>
        <v>0.10527423939362</v>
      </c>
      <c r="O225" s="201">
        <f>0.61/H225</f>
        <v>0.00642172860301084</v>
      </c>
      <c r="P225" s="200">
        <v>0.02</v>
      </c>
      <c r="Q225" s="198">
        <v>10</v>
      </c>
      <c r="R225" s="14">
        <v>33.5</v>
      </c>
      <c r="S225" s="14">
        <v>26.5</v>
      </c>
      <c r="T225" s="14">
        <v>25</v>
      </c>
      <c r="U225" s="14">
        <v>2.3</v>
      </c>
      <c r="V225" s="198">
        <f>R225*S225*T225/6000</f>
        <v>3.69895833333333</v>
      </c>
      <c r="W225" s="198">
        <f>MAX(U225:V225)</f>
        <v>3.69895833333333</v>
      </c>
      <c r="X225" s="15" t="s">
        <v>21</v>
      </c>
      <c r="Y225" s="202">
        <v>6.084</v>
      </c>
      <c r="Z225" s="198">
        <v>20</v>
      </c>
      <c r="AA225" s="198">
        <f>H225-SUM(K225:P225)*H225-J225-I225/B225-Z225/B225</f>
        <v>23.04246273353</v>
      </c>
      <c r="AB225" s="201">
        <f>AA225/H225</f>
        <v>0.242577773802821</v>
      </c>
      <c r="AC225" s="14"/>
      <c r="AD225" s="204">
        <f>J225/H225</f>
        <v>0.056005895357406</v>
      </c>
      <c r="AE225" s="200">
        <f>I225/7.4/H225</f>
        <v>0.226612809027167</v>
      </c>
      <c r="AF225" s="200">
        <f>Z225/7.4/H225</f>
        <v>0.0284524971334109</v>
      </c>
      <c r="AG225" s="200">
        <v>0.15</v>
      </c>
      <c r="AH225" s="200">
        <f>N225</f>
        <v>0.10527423939362</v>
      </c>
      <c r="AI225" s="200">
        <v>0.02</v>
      </c>
      <c r="AJ225" s="200">
        <f>M225</f>
        <v>0.05</v>
      </c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</row>
    <row r="226" ht="11.4" spans="1:75">
      <c r="A226" s="215" t="s">
        <v>334</v>
      </c>
      <c r="B226" s="14">
        <v>9</v>
      </c>
      <c r="C226" s="15" t="s">
        <v>291</v>
      </c>
      <c r="D226" s="15" t="s">
        <v>86</v>
      </c>
      <c r="E226" s="15" t="s">
        <v>281</v>
      </c>
      <c r="F226" s="198">
        <f>IF(E226="有",(I226/B226+J226+Z226/B226)/(0.99999-K226-L226-M226-N226),(I226/B226+J226+Z226/B226)/(0.99999-K226-M226-N226))</f>
        <v>48.9042456338394</v>
      </c>
      <c r="G226" s="198">
        <f>IF(E226="有",(I226/B226+J226+Z226/B226)/(0.8-K226-L226-M226-N226-O226-P226),(I226/B226+J226+Z226/B226)/(0.8-K226-M226-N226-O226-P226))</f>
        <v>87.4634489342795</v>
      </c>
      <c r="H226" s="205">
        <f>H225*0.85</f>
        <v>80.7415</v>
      </c>
      <c r="I226" s="198">
        <f>180/1.13</f>
        <v>159.29203539823</v>
      </c>
      <c r="J226" s="15">
        <v>5.32</v>
      </c>
      <c r="K226" s="200">
        <v>0.15</v>
      </c>
      <c r="L226" s="200">
        <v>0.16</v>
      </c>
      <c r="M226" s="200">
        <v>0.05</v>
      </c>
      <c r="N226" s="200">
        <f>Q226/H226</f>
        <v>0.123852046345436</v>
      </c>
      <c r="O226" s="201">
        <f>0.61/H226</f>
        <v>0.00755497482707158</v>
      </c>
      <c r="P226" s="200">
        <v>0.02</v>
      </c>
      <c r="Q226" s="198">
        <v>10</v>
      </c>
      <c r="R226" s="14">
        <v>33.5</v>
      </c>
      <c r="S226" s="14">
        <v>26.5</v>
      </c>
      <c r="T226" s="14">
        <v>25</v>
      </c>
      <c r="U226" s="14">
        <v>2.3</v>
      </c>
      <c r="V226" s="198">
        <f>R226*S226*T226/6000</f>
        <v>3.69895833333333</v>
      </c>
      <c r="W226" s="198">
        <f>MAX(U226:V226)</f>
        <v>3.69895833333333</v>
      </c>
      <c r="X226" s="15" t="s">
        <v>21</v>
      </c>
      <c r="Y226" s="202">
        <v>6.084</v>
      </c>
      <c r="Z226" s="198">
        <v>20</v>
      </c>
      <c r="AA226" s="198">
        <f>H226-SUM(K226:P226)*H226-J226-I226/B226-Z226/B226</f>
        <v>14.20839273353</v>
      </c>
      <c r="AB226" s="201">
        <f>AA226/H226</f>
        <v>0.175973851532731</v>
      </c>
      <c r="AC226" s="14"/>
      <c r="AD226" s="204">
        <f>J226/H226</f>
        <v>0.0658892886557718</v>
      </c>
      <c r="AE226" s="200">
        <f>I226/7.4/H226</f>
        <v>0.266603304737843</v>
      </c>
      <c r="AF226" s="200">
        <f>Z226/7.4/H226</f>
        <v>0.033473526039307</v>
      </c>
      <c r="AG226" s="200">
        <v>0.15</v>
      </c>
      <c r="AH226" s="200">
        <f>N226</f>
        <v>0.123852046345436</v>
      </c>
      <c r="AI226" s="200">
        <v>0.02</v>
      </c>
      <c r="AJ226" s="200">
        <f>M226</f>
        <v>0.05</v>
      </c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</row>
    <row r="227" ht="11.4" spans="1:75">
      <c r="A227" s="1"/>
      <c r="B227" s="15"/>
      <c r="C227" s="15"/>
      <c r="D227" s="15"/>
      <c r="E227" s="15"/>
      <c r="F227" s="198"/>
      <c r="G227" s="198"/>
      <c r="H227" s="205"/>
      <c r="I227" s="198"/>
      <c r="J227" s="15"/>
      <c r="K227" s="200"/>
      <c r="L227" s="200"/>
      <c r="M227" s="200"/>
      <c r="N227" s="200"/>
      <c r="O227" s="201"/>
      <c r="P227" s="200"/>
      <c r="Q227" s="200"/>
      <c r="R227" s="14"/>
      <c r="S227" s="14"/>
      <c r="T227" s="14"/>
      <c r="U227" s="14"/>
      <c r="V227" s="198"/>
      <c r="W227" s="198"/>
      <c r="X227" s="15"/>
      <c r="Y227" s="202"/>
      <c r="Z227" s="198"/>
      <c r="AA227" s="198"/>
      <c r="AB227" s="201"/>
      <c r="AC227" s="14"/>
      <c r="AD227" s="204"/>
      <c r="AE227" s="200"/>
      <c r="AF227" s="200"/>
      <c r="AG227" s="200"/>
      <c r="AH227" s="200"/>
      <c r="AI227" s="200"/>
      <c r="AJ227" s="200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</row>
    <row r="228" ht="11.4" spans="1:75">
      <c r="A228" s="214" t="s">
        <v>335</v>
      </c>
      <c r="B228" s="15">
        <v>8</v>
      </c>
      <c r="C228" s="15" t="s">
        <v>279</v>
      </c>
      <c r="D228" s="15" t="s">
        <v>280</v>
      </c>
      <c r="E228" s="15" t="s">
        <v>281</v>
      </c>
      <c r="F228" s="198">
        <f>IF(E228="有",(I228/B228+J228+Z228/B228)/(0.99999-K228-L228-M228-N228),(I228/B228+J228+Z228/B228)/(0.99999-K228-M228-N228))</f>
        <v>35.3951126960211</v>
      </c>
      <c r="G228" s="198">
        <f>IF(E228="有",(I228/B228+J228+Z228/B228)/(0.8-K228-L228-M228-N228-O228-P228),(I228/B228+J228+Z228/B228)/(0.8-K228-M228-N228-O228-P228))</f>
        <v>62.6776558147065</v>
      </c>
      <c r="H228" s="205">
        <v>54.99</v>
      </c>
      <c r="I228" s="198">
        <f>130/1.13</f>
        <v>115.044247787611</v>
      </c>
      <c r="J228" s="14">
        <v>3.16</v>
      </c>
      <c r="K228" s="200">
        <v>0.15</v>
      </c>
      <c r="L228" s="200">
        <v>0.16</v>
      </c>
      <c r="M228" s="200">
        <v>0.05</v>
      </c>
      <c r="N228" s="200">
        <f>Q228/H228</f>
        <v>0.10911074740862</v>
      </c>
      <c r="O228" s="201">
        <f>0.61/H228</f>
        <v>0.011092925986543</v>
      </c>
      <c r="P228" s="200">
        <v>0.02</v>
      </c>
      <c r="Q228" s="198">
        <v>6</v>
      </c>
      <c r="R228" s="14">
        <v>33.5</v>
      </c>
      <c r="S228" s="14">
        <v>26.5</v>
      </c>
      <c r="T228" s="14">
        <v>25</v>
      </c>
      <c r="U228" s="14">
        <v>2.3</v>
      </c>
      <c r="V228" s="198">
        <f>R228*S228*T228/6000</f>
        <v>3.69895833333333</v>
      </c>
      <c r="W228" s="198">
        <f>MAX(U228:V228)</f>
        <v>3.69895833333333</v>
      </c>
      <c r="X228" s="14" t="s">
        <v>21</v>
      </c>
      <c r="Y228" s="202">
        <v>5.55136</v>
      </c>
      <c r="Z228" s="198">
        <v>10</v>
      </c>
      <c r="AA228" s="198">
        <f>H228-SUM(K228:P228)*H228-J228-I228/B228-Z228/B228</f>
        <v>8.69326902654868</v>
      </c>
      <c r="AB228" s="201">
        <f>AA228/H228</f>
        <v>0.158088180151822</v>
      </c>
      <c r="AC228" s="14"/>
      <c r="AD228" s="204">
        <f>J228/H228</f>
        <v>0.0574649936352064</v>
      </c>
      <c r="AE228" s="200">
        <f>I228/7.4/H228</f>
        <v>0.282715402278573</v>
      </c>
      <c r="AF228" s="200">
        <f>Z228/7.4/H228</f>
        <v>0.024574492659599</v>
      </c>
      <c r="AG228" s="200">
        <v>0.15</v>
      </c>
      <c r="AH228" s="200">
        <f>N228</f>
        <v>0.10911074740862</v>
      </c>
      <c r="AI228" s="200">
        <v>0.02</v>
      </c>
      <c r="AJ228" s="200">
        <f>M228</f>
        <v>0.05</v>
      </c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</row>
    <row r="229" ht="11.4" spans="1:75">
      <c r="A229" s="214" t="s">
        <v>336</v>
      </c>
      <c r="B229" s="15">
        <v>8</v>
      </c>
      <c r="C229" s="15" t="s">
        <v>279</v>
      </c>
      <c r="D229" s="15" t="s">
        <v>280</v>
      </c>
      <c r="E229" s="15" t="s">
        <v>281</v>
      </c>
      <c r="F229" s="198">
        <f>IF(E229="有",(I229/B229+J229+Z229/B229)/(0.99999-K229-L229-M229-N229),(I229/B229+J229+Z229/B229)/(0.99999-K229-M229-N229))</f>
        <v>36.7271975875214</v>
      </c>
      <c r="G229" s="198">
        <f>IF(E229="有",(I229/B229+J229+Z229/B229)/(0.8-K229-L229-M229-N229-O229-P229),(I229/B229+J229+Z229/B229)/(0.8-K229-M229-N229-O229-P229))</f>
        <v>67.4501651120941</v>
      </c>
      <c r="H229" s="205">
        <f>H228*0.85</f>
        <v>46.7415</v>
      </c>
      <c r="I229" s="198">
        <f>130/1.13</f>
        <v>115.044247787611</v>
      </c>
      <c r="J229" s="15">
        <v>3.16</v>
      </c>
      <c r="K229" s="200">
        <v>0.15</v>
      </c>
      <c r="L229" s="200">
        <v>0.16</v>
      </c>
      <c r="M229" s="200">
        <v>0.05</v>
      </c>
      <c r="N229" s="200">
        <f>Q229/H229</f>
        <v>0.128365585186611</v>
      </c>
      <c r="O229" s="201">
        <f>0.61/H229</f>
        <v>0.0130505011606388</v>
      </c>
      <c r="P229" s="200">
        <v>0.02</v>
      </c>
      <c r="Q229" s="198">
        <v>6</v>
      </c>
      <c r="R229" s="14">
        <v>33.5</v>
      </c>
      <c r="S229" s="14">
        <v>26.5</v>
      </c>
      <c r="T229" s="14">
        <v>25</v>
      </c>
      <c r="U229" s="14">
        <v>2.3</v>
      </c>
      <c r="V229" s="198">
        <f>R229*S229*T229/6000</f>
        <v>3.69895833333333</v>
      </c>
      <c r="W229" s="198">
        <f>MAX(U229:V229)</f>
        <v>3.69895833333333</v>
      </c>
      <c r="X229" s="15" t="s">
        <v>21</v>
      </c>
      <c r="Y229" s="202">
        <v>5.55136</v>
      </c>
      <c r="Z229" s="198">
        <v>10</v>
      </c>
      <c r="AA229" s="198">
        <f>H229-SUM(K229:P229)*H229-J229-I229/B229-Z229/B229</f>
        <v>3.57919902654867</v>
      </c>
      <c r="AB229" s="201">
        <f>AA229/H229</f>
        <v>0.0765743295903784</v>
      </c>
      <c r="AC229" s="14"/>
      <c r="AD229" s="204">
        <f>J229/H229</f>
        <v>0.0676058748649487</v>
      </c>
      <c r="AE229" s="200">
        <f>I229/B229/H229</f>
        <v>0.307660878950212</v>
      </c>
      <c r="AF229" s="200">
        <f>Z229/B229/H229</f>
        <v>0.0267428302472107</v>
      </c>
      <c r="AG229" s="200">
        <f>K229</f>
        <v>0.15</v>
      </c>
      <c r="AH229" s="200">
        <f>N229</f>
        <v>0.128365585186611</v>
      </c>
      <c r="AI229" s="200">
        <v>0.02</v>
      </c>
      <c r="AJ229" s="200">
        <f>M229</f>
        <v>0.05</v>
      </c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</row>
    <row r="230" ht="11.4" spans="1:75">
      <c r="A230" s="1"/>
      <c r="B230" s="14"/>
      <c r="C230" s="14"/>
      <c r="D230" s="14"/>
      <c r="E230" s="14"/>
      <c r="F230" s="198"/>
      <c r="G230" s="198"/>
      <c r="H230" s="205"/>
      <c r="I230" s="198"/>
      <c r="J230" s="15"/>
      <c r="K230" s="200"/>
      <c r="L230" s="200"/>
      <c r="M230" s="200"/>
      <c r="N230" s="200"/>
      <c r="O230" s="201"/>
      <c r="P230" s="200"/>
      <c r="Q230" s="198"/>
      <c r="R230" s="14"/>
      <c r="S230" s="14"/>
      <c r="T230" s="14"/>
      <c r="U230" s="14"/>
      <c r="V230" s="198"/>
      <c r="W230" s="198"/>
      <c r="X230" s="15"/>
      <c r="Y230" s="202"/>
      <c r="Z230" s="15"/>
      <c r="AA230" s="198"/>
      <c r="AB230" s="201"/>
      <c r="AC230" s="14"/>
      <c r="AD230" s="204"/>
      <c r="AE230" s="200"/>
      <c r="AF230" s="200"/>
      <c r="AG230" s="200"/>
      <c r="AH230" s="200"/>
      <c r="AI230" s="200"/>
      <c r="AJ230" s="200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</row>
    <row r="231" ht="11.4" spans="1:75">
      <c r="A231" s="215" t="s">
        <v>335</v>
      </c>
      <c r="B231" s="15">
        <v>8</v>
      </c>
      <c r="C231" s="14" t="s">
        <v>284</v>
      </c>
      <c r="D231" s="14" t="s">
        <v>285</v>
      </c>
      <c r="E231" s="15" t="s">
        <v>281</v>
      </c>
      <c r="F231" s="198">
        <f>IF(E231="有",(I231/B231+J231+Z231/B231)/(0.99999-K231-L231-M231-N231),(I231/B231+J231+Z231/B231)/(0.99999-K231-M231-N231))</f>
        <v>38.3336340120928</v>
      </c>
      <c r="G231" s="198">
        <f>IF(E231="有",(I231/B231+J231+Z231/B231)/(0.8-K231-L231-M231-N231-O231-P231),(I231/B231+J231+Z231/B231)/(0.8-K231-M231-N231-O231-P231))</f>
        <v>67.8811885519713</v>
      </c>
      <c r="H231" s="205">
        <v>54.99</v>
      </c>
      <c r="I231" s="198">
        <f>130/1.13</f>
        <v>115.044247787611</v>
      </c>
      <c r="J231" s="14">
        <v>4.72</v>
      </c>
      <c r="K231" s="200">
        <v>0.15</v>
      </c>
      <c r="L231" s="200">
        <v>0.16</v>
      </c>
      <c r="M231" s="200">
        <v>0.05</v>
      </c>
      <c r="N231" s="200">
        <f>Q231/H231</f>
        <v>0.10911074740862</v>
      </c>
      <c r="O231" s="201">
        <f>0.61/H231</f>
        <v>0.011092925986543</v>
      </c>
      <c r="P231" s="200">
        <v>0.02</v>
      </c>
      <c r="Q231" s="198">
        <v>6</v>
      </c>
      <c r="R231" s="14">
        <v>33.5</v>
      </c>
      <c r="S231" s="14">
        <v>26.5</v>
      </c>
      <c r="T231" s="14">
        <v>25</v>
      </c>
      <c r="U231" s="14">
        <v>2.3</v>
      </c>
      <c r="V231" s="198">
        <f>R231*S231*T231/6000</f>
        <v>3.69895833333333</v>
      </c>
      <c r="W231" s="198">
        <f>MAX(U231:V231)</f>
        <v>3.69895833333333</v>
      </c>
      <c r="X231" s="14" t="s">
        <v>21</v>
      </c>
      <c r="Y231" s="202">
        <v>5.55136</v>
      </c>
      <c r="Z231" s="198">
        <v>10</v>
      </c>
      <c r="AA231" s="198">
        <f>H231-SUM(K231:P231)*H231-J231-I231/B231-Z231/B231</f>
        <v>7.13326902654868</v>
      </c>
      <c r="AB231" s="201">
        <f>AA231/H231</f>
        <v>0.129719385825581</v>
      </c>
      <c r="AC231" s="14"/>
      <c r="AD231" s="204">
        <f>J231/H231</f>
        <v>0.0858337879614475</v>
      </c>
      <c r="AE231" s="200">
        <f>I231/7.4/H231</f>
        <v>0.282715402278573</v>
      </c>
      <c r="AF231" s="200">
        <f>Z231/7.4/H231</f>
        <v>0.024574492659599</v>
      </c>
      <c r="AG231" s="200">
        <v>0.15</v>
      </c>
      <c r="AH231" s="200">
        <f>N231</f>
        <v>0.10911074740862</v>
      </c>
      <c r="AI231" s="200">
        <v>0.02</v>
      </c>
      <c r="AJ231" s="200">
        <f>M231</f>
        <v>0.05</v>
      </c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</row>
    <row r="232" ht="11.4" spans="1:75">
      <c r="A232" s="215" t="s">
        <v>336</v>
      </c>
      <c r="B232" s="15">
        <v>8</v>
      </c>
      <c r="C232" s="15" t="s">
        <v>284</v>
      </c>
      <c r="D232" s="15" t="s">
        <v>285</v>
      </c>
      <c r="E232" s="15" t="s">
        <v>281</v>
      </c>
      <c r="F232" s="198">
        <f>IF(E232="有",(I232/B232+J232+Z232/B232)/(0.99999-K232-L232-M232-N232),(I232/B232+J232+Z232/B232)/(0.99999-K232-M232-N232))</f>
        <v>39.7763093086049</v>
      </c>
      <c r="G232" s="198">
        <f>IF(E232="有",(I232/B232+J232+Z232/B232)/(0.8-K232-L232-M232-N232-O232-P232),(I232/B232+J232+Z232/B232)/(0.8-K232-M232-N232-O232-P232))</f>
        <v>73.0499141411946</v>
      </c>
      <c r="H232" s="205">
        <f>H231*0.85</f>
        <v>46.7415</v>
      </c>
      <c r="I232" s="198">
        <f>130/1.13</f>
        <v>115.044247787611</v>
      </c>
      <c r="J232" s="15">
        <v>4.72</v>
      </c>
      <c r="K232" s="200">
        <v>0.15</v>
      </c>
      <c r="L232" s="200">
        <v>0.16</v>
      </c>
      <c r="M232" s="200">
        <v>0.05</v>
      </c>
      <c r="N232" s="200">
        <f>Q232/H232</f>
        <v>0.128365585186611</v>
      </c>
      <c r="O232" s="201">
        <f>0.61/H232</f>
        <v>0.0130505011606388</v>
      </c>
      <c r="P232" s="200">
        <v>0.02</v>
      </c>
      <c r="Q232" s="198">
        <v>6</v>
      </c>
      <c r="R232" s="14">
        <v>33.5</v>
      </c>
      <c r="S232" s="14">
        <v>26.5</v>
      </c>
      <c r="T232" s="14">
        <v>25</v>
      </c>
      <c r="U232" s="14">
        <v>2.3</v>
      </c>
      <c r="V232" s="198">
        <f>R232*S232*T232/6000</f>
        <v>3.69895833333333</v>
      </c>
      <c r="W232" s="198">
        <f>MAX(U232:V232)</f>
        <v>3.69895833333333</v>
      </c>
      <c r="X232" s="15" t="s">
        <v>21</v>
      </c>
      <c r="Y232" s="202">
        <v>5.55136</v>
      </c>
      <c r="Z232" s="198">
        <v>10</v>
      </c>
      <c r="AA232" s="198">
        <f>H232-SUM(K232:P232)*H232-J232-I232/B232-Z232/B232</f>
        <v>2.01919902654867</v>
      </c>
      <c r="AB232" s="201">
        <f>AA232/H232</f>
        <v>0.0431992774418594</v>
      </c>
      <c r="AC232" s="14"/>
      <c r="AD232" s="204">
        <f>J232/H232</f>
        <v>0.100980927013468</v>
      </c>
      <c r="AE232" s="200">
        <f>I232/7.4/H232</f>
        <v>0.332606355621851</v>
      </c>
      <c r="AF232" s="200">
        <f>Z232/7.4/H232</f>
        <v>0.0289111678348224</v>
      </c>
      <c r="AG232" s="200">
        <v>0.15</v>
      </c>
      <c r="AH232" s="200">
        <f>N232</f>
        <v>0.128365585186611</v>
      </c>
      <c r="AI232" s="200">
        <v>0.02</v>
      </c>
      <c r="AJ232" s="200">
        <f>M232</f>
        <v>0.05</v>
      </c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</row>
    <row r="233" ht="11.4" spans="1:75">
      <c r="A233" s="1"/>
      <c r="B233" s="14"/>
      <c r="C233" s="14"/>
      <c r="D233" s="14"/>
      <c r="E233" s="14"/>
      <c r="F233" s="198"/>
      <c r="G233" s="198"/>
      <c r="H233" s="205"/>
      <c r="I233" s="198"/>
      <c r="J233" s="15"/>
      <c r="K233" s="200"/>
      <c r="L233" s="200"/>
      <c r="M233" s="200"/>
      <c r="N233" s="200"/>
      <c r="O233" s="201"/>
      <c r="P233" s="200"/>
      <c r="Q233" s="200"/>
      <c r="R233" s="14"/>
      <c r="S233" s="14"/>
      <c r="T233" s="14"/>
      <c r="U233" s="14"/>
      <c r="V233" s="198"/>
      <c r="W233" s="198"/>
      <c r="X233" s="15"/>
      <c r="Y233" s="202"/>
      <c r="Z233" s="15"/>
      <c r="AA233" s="198"/>
      <c r="AB233" s="201"/>
      <c r="AC233" s="14"/>
      <c r="AD233" s="204"/>
      <c r="AE233" s="200"/>
      <c r="AF233" s="200"/>
      <c r="AG233" s="200"/>
      <c r="AH233" s="200"/>
      <c r="AI233" s="200"/>
      <c r="AJ233" s="200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</row>
    <row r="234" ht="11.4" spans="1:75">
      <c r="A234" s="215" t="s">
        <v>335</v>
      </c>
      <c r="B234" s="15">
        <v>8</v>
      </c>
      <c r="C234" s="14" t="s">
        <v>286</v>
      </c>
      <c r="D234" s="14" t="s">
        <v>287</v>
      </c>
      <c r="E234" s="15" t="s">
        <v>281</v>
      </c>
      <c r="F234" s="198">
        <f>IF(E234="有",(I234/B234+J234+Z234/B234)/(0.99999-K234-L234-M234-N234),(I234/B234+J234+Z234/B234)/(0.99999-K234-M234-N234))</f>
        <v>37.2976168814265</v>
      </c>
      <c r="G234" s="198">
        <f>IF(E234="有",(I234/B234+J234+Z234/B234)/(0.8-K234-L234-M234-N234-O234-P234),(I234/B234+J234+Z234/B234)/(0.8-K234-M234-N234-O234-P234))</f>
        <v>66.0466097022946</v>
      </c>
      <c r="H234" s="205">
        <v>54.99</v>
      </c>
      <c r="I234" s="198">
        <f>130/1.13</f>
        <v>115.044247787611</v>
      </c>
      <c r="J234" s="14">
        <v>4.17</v>
      </c>
      <c r="K234" s="200">
        <v>0.15</v>
      </c>
      <c r="L234" s="200">
        <v>0.16</v>
      </c>
      <c r="M234" s="200">
        <v>0.05</v>
      </c>
      <c r="N234" s="200">
        <f>Q234/H234</f>
        <v>0.10911074740862</v>
      </c>
      <c r="O234" s="201">
        <f>0.61/H234</f>
        <v>0.011092925986543</v>
      </c>
      <c r="P234" s="200">
        <v>0.02</v>
      </c>
      <c r="Q234" s="198">
        <v>6</v>
      </c>
      <c r="R234" s="14">
        <v>33.5</v>
      </c>
      <c r="S234" s="14">
        <v>26.5</v>
      </c>
      <c r="T234" s="14">
        <v>25</v>
      </c>
      <c r="U234" s="14">
        <v>2.3</v>
      </c>
      <c r="V234" s="198">
        <f>R234*S234*T234/6000</f>
        <v>3.69895833333333</v>
      </c>
      <c r="W234" s="198">
        <f>MAX(U234:V234)</f>
        <v>3.69895833333333</v>
      </c>
      <c r="X234" s="14" t="s">
        <v>21</v>
      </c>
      <c r="Y234" s="202">
        <v>5.55136</v>
      </c>
      <c r="Z234" s="198">
        <v>10</v>
      </c>
      <c r="AA234" s="198">
        <f>H234-SUM(K234:P234)*H234-J234-I234/B234-Z234/B234</f>
        <v>7.68326902654868</v>
      </c>
      <c r="AB234" s="201">
        <f>AA234/H234</f>
        <v>0.139721204338037</v>
      </c>
      <c r="AC234" s="14"/>
      <c r="AD234" s="204">
        <f>J234/H234</f>
        <v>0.0758319694489907</v>
      </c>
      <c r="AE234" s="200">
        <f>I234/7.4/H234</f>
        <v>0.282715402278573</v>
      </c>
      <c r="AF234" s="200">
        <f>Z234/7.4/H234</f>
        <v>0.024574492659599</v>
      </c>
      <c r="AG234" s="200">
        <v>0.15</v>
      </c>
      <c r="AH234" s="200">
        <f>N234</f>
        <v>0.10911074740862</v>
      </c>
      <c r="AI234" s="200">
        <v>0.02</v>
      </c>
      <c r="AJ234" s="200">
        <f>M234</f>
        <v>0.05</v>
      </c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</row>
    <row r="235" ht="11.4" spans="1:75">
      <c r="A235" s="215" t="s">
        <v>336</v>
      </c>
      <c r="B235" s="15">
        <v>8</v>
      </c>
      <c r="C235" s="15" t="s">
        <v>286</v>
      </c>
      <c r="D235" s="15" t="s">
        <v>287</v>
      </c>
      <c r="E235" s="15" t="s">
        <v>281</v>
      </c>
      <c r="F235" s="198">
        <f>IF(E235="有",(I235/B235+J235+Z235/B235)/(0.99999-K235-L235-M235-N235),(I235/B235+J235+Z235/B235)/(0.99999-K235-M235-N235))</f>
        <v>38.7013019710434</v>
      </c>
      <c r="G235" s="198">
        <f>IF(E235="有",(I235/B235+J235+Z235/B235)/(0.8-K235-L235-M235-N235-O235-P235),(I235/B235+J235+Z235/B235)/(0.8-K235-M235-N235-O235-P235))</f>
        <v>71.0756436501656</v>
      </c>
      <c r="H235" s="205">
        <f>H234*0.85</f>
        <v>46.7415</v>
      </c>
      <c r="I235" s="198">
        <f>130/1.13</f>
        <v>115.044247787611</v>
      </c>
      <c r="J235" s="15">
        <v>4.17</v>
      </c>
      <c r="K235" s="200">
        <v>0.15</v>
      </c>
      <c r="L235" s="200">
        <v>0.16</v>
      </c>
      <c r="M235" s="200">
        <v>0.05</v>
      </c>
      <c r="N235" s="200">
        <f>Q235/H235</f>
        <v>0.128365585186611</v>
      </c>
      <c r="O235" s="201">
        <f>0.61/H235</f>
        <v>0.0130505011606388</v>
      </c>
      <c r="P235" s="200">
        <v>0.02</v>
      </c>
      <c r="Q235" s="198">
        <v>6</v>
      </c>
      <c r="R235" s="14">
        <v>33.5</v>
      </c>
      <c r="S235" s="14">
        <v>26.5</v>
      </c>
      <c r="T235" s="14">
        <v>25</v>
      </c>
      <c r="U235" s="14">
        <v>2.3</v>
      </c>
      <c r="V235" s="198">
        <f>R235*S235*T235/6000</f>
        <v>3.69895833333333</v>
      </c>
      <c r="W235" s="198">
        <f>MAX(U235:V235)</f>
        <v>3.69895833333333</v>
      </c>
      <c r="X235" s="15" t="s">
        <v>21</v>
      </c>
      <c r="Y235" s="202">
        <v>5.55136</v>
      </c>
      <c r="Z235" s="198">
        <v>10</v>
      </c>
      <c r="AA235" s="198">
        <f>H235-SUM(K235:P235)*H235-J235-I235/B235-Z235/B235</f>
        <v>2.56919902654867</v>
      </c>
      <c r="AB235" s="201">
        <f>AA235/H235</f>
        <v>0.0549661227506322</v>
      </c>
      <c r="AC235" s="14"/>
      <c r="AD235" s="204">
        <f>J235/H235</f>
        <v>0.089214081704695</v>
      </c>
      <c r="AE235" s="200">
        <f>I235/7.4/H235</f>
        <v>0.332606355621851</v>
      </c>
      <c r="AF235" s="200">
        <f>Z235/7.4/H235</f>
        <v>0.0289111678348224</v>
      </c>
      <c r="AG235" s="200">
        <v>0.15</v>
      </c>
      <c r="AH235" s="200">
        <f>N235</f>
        <v>0.128365585186611</v>
      </c>
      <c r="AI235" s="200">
        <v>0.02</v>
      </c>
      <c r="AJ235" s="200">
        <f>M235</f>
        <v>0.05</v>
      </c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</row>
    <row r="236" ht="11.4" spans="1:75">
      <c r="A236" s="1"/>
      <c r="B236" s="14"/>
      <c r="C236" s="14"/>
      <c r="D236" s="14"/>
      <c r="E236" s="14"/>
      <c r="F236" s="198"/>
      <c r="G236" s="198"/>
      <c r="H236" s="205"/>
      <c r="I236" s="198"/>
      <c r="J236" s="15"/>
      <c r="K236" s="200"/>
      <c r="L236" s="200"/>
      <c r="M236" s="200"/>
      <c r="N236" s="200"/>
      <c r="O236" s="201"/>
      <c r="P236" s="200"/>
      <c r="Q236" s="200"/>
      <c r="R236" s="14"/>
      <c r="S236" s="14"/>
      <c r="T236" s="14"/>
      <c r="U236" s="14"/>
      <c r="V236" s="198"/>
      <c r="W236" s="198"/>
      <c r="X236" s="15"/>
      <c r="Y236" s="202"/>
      <c r="Z236" s="15"/>
      <c r="AA236" s="198"/>
      <c r="AB236" s="201"/>
      <c r="AC236" s="14"/>
      <c r="AD236" s="204"/>
      <c r="AE236" s="200"/>
      <c r="AF236" s="200"/>
      <c r="AG236" s="200"/>
      <c r="AH236" s="200"/>
      <c r="AI236" s="200"/>
      <c r="AJ236" s="200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</row>
    <row r="237" ht="11.4" spans="1:75">
      <c r="A237" s="215" t="s">
        <v>335</v>
      </c>
      <c r="B237" s="15">
        <v>8</v>
      </c>
      <c r="C237" s="14" t="s">
        <v>289</v>
      </c>
      <c r="D237" s="14" t="s">
        <v>290</v>
      </c>
      <c r="E237" s="15" t="s">
        <v>281</v>
      </c>
      <c r="F237" s="198">
        <f>IF(E237="有",(I237/B237+J237+Z237/B237)/(0.99999-K237-L237-M237-N237),(I237/B237+J237+Z237/B237)/(0.99999-K237-M237-N237))</f>
        <v>36.6948432781297</v>
      </c>
      <c r="G237" s="198">
        <f>IF(E237="有",(I237/B237+J237+Z237/B237)/(0.8-K237-L237-M237-N237-O237-P237),(I237/B237+J237+Z237/B237)/(0.8-K237-M237-N237-O237-P237))</f>
        <v>64.9792183715736</v>
      </c>
      <c r="H237" s="205">
        <v>54.99</v>
      </c>
      <c r="I237" s="198">
        <f>130/1.13</f>
        <v>115.044247787611</v>
      </c>
      <c r="J237" s="14">
        <v>3.85</v>
      </c>
      <c r="K237" s="200">
        <v>0.15</v>
      </c>
      <c r="L237" s="200">
        <v>0.16</v>
      </c>
      <c r="M237" s="200">
        <v>0.05</v>
      </c>
      <c r="N237" s="200">
        <f>Q237/H237</f>
        <v>0.10911074740862</v>
      </c>
      <c r="O237" s="201">
        <f>0.61/H237</f>
        <v>0.011092925986543</v>
      </c>
      <c r="P237" s="200">
        <v>0.02</v>
      </c>
      <c r="Q237" s="198">
        <v>6</v>
      </c>
      <c r="R237" s="14">
        <v>33.5</v>
      </c>
      <c r="S237" s="14">
        <v>26.5</v>
      </c>
      <c r="T237" s="14">
        <v>25</v>
      </c>
      <c r="U237" s="14">
        <v>2.3</v>
      </c>
      <c r="V237" s="198">
        <f>R237*S237*T237/6000</f>
        <v>3.69895833333333</v>
      </c>
      <c r="W237" s="198">
        <f>MAX(U237:V237)</f>
        <v>3.69895833333333</v>
      </c>
      <c r="X237" s="14" t="s">
        <v>21</v>
      </c>
      <c r="Y237" s="202">
        <v>5.55136</v>
      </c>
      <c r="Z237" s="198">
        <v>10</v>
      </c>
      <c r="AA237" s="198">
        <f>H237-SUM(K237:P237)*H237-J237-I237/B237-Z237/B237</f>
        <v>8.00326902654868</v>
      </c>
      <c r="AB237" s="201">
        <f>AA237/H237</f>
        <v>0.14554044419983</v>
      </c>
      <c r="AC237" s="14"/>
      <c r="AD237" s="204">
        <f>J237/H237</f>
        <v>0.0700127295871977</v>
      </c>
      <c r="AE237" s="200">
        <f>I237/7.4/H237</f>
        <v>0.282715402278573</v>
      </c>
      <c r="AF237" s="200">
        <f>Z237/7.4/H237</f>
        <v>0.024574492659599</v>
      </c>
      <c r="AG237" s="200">
        <v>0.15</v>
      </c>
      <c r="AH237" s="200">
        <f>N237</f>
        <v>0.10911074740862</v>
      </c>
      <c r="AI237" s="200">
        <v>0.02</v>
      </c>
      <c r="AJ237" s="200">
        <f>M237</f>
        <v>0.05</v>
      </c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</row>
    <row r="238" ht="11.4" spans="1:75">
      <c r="A238" s="215" t="s">
        <v>336</v>
      </c>
      <c r="B238" s="15">
        <v>8</v>
      </c>
      <c r="C238" s="15" t="s">
        <v>289</v>
      </c>
      <c r="D238" s="15" t="s">
        <v>290</v>
      </c>
      <c r="E238" s="15" t="s">
        <v>281</v>
      </c>
      <c r="F238" s="198">
        <f>IF(E238="有",(I238/B238+J238+Z238/B238)/(0.99999-K238-L238-M238-N238),(I238/B238+J238+Z238/B238)/(0.99999-K238-M238-N238))</f>
        <v>38.0758431564622</v>
      </c>
      <c r="G238" s="198">
        <f>IF(E238="有",(I238/B238+J238+Z238/B238)/(0.8-K238-L238-M238-N238-O238-P238),(I238/B238+J238+Z238/B238)/(0.8-K238-M238-N238-O238-P238))</f>
        <v>69.9269771826578</v>
      </c>
      <c r="H238" s="205">
        <f>H237*0.85</f>
        <v>46.7415</v>
      </c>
      <c r="I238" s="198">
        <f>130/1.13</f>
        <v>115.044247787611</v>
      </c>
      <c r="J238" s="15">
        <v>3.85</v>
      </c>
      <c r="K238" s="200">
        <v>0.15</v>
      </c>
      <c r="L238" s="200">
        <v>0.16</v>
      </c>
      <c r="M238" s="200">
        <v>0.05</v>
      </c>
      <c r="N238" s="200">
        <f>Q238/H238</f>
        <v>0.128365585186611</v>
      </c>
      <c r="O238" s="201">
        <f>0.61/H238</f>
        <v>0.0130505011606388</v>
      </c>
      <c r="P238" s="200">
        <v>0.02</v>
      </c>
      <c r="Q238" s="198">
        <v>6</v>
      </c>
      <c r="R238" s="14">
        <v>33.5</v>
      </c>
      <c r="S238" s="14">
        <v>26.5</v>
      </c>
      <c r="T238" s="14">
        <v>25</v>
      </c>
      <c r="U238" s="14">
        <v>2.3</v>
      </c>
      <c r="V238" s="198">
        <f>R238*S238*T238/6000</f>
        <v>3.69895833333333</v>
      </c>
      <c r="W238" s="198">
        <f>MAX(U238:V238)</f>
        <v>3.69895833333333</v>
      </c>
      <c r="X238" s="15" t="s">
        <v>21</v>
      </c>
      <c r="Y238" s="202">
        <v>5.55136</v>
      </c>
      <c r="Z238" s="198">
        <v>10</v>
      </c>
      <c r="AA238" s="198">
        <f>H238-SUM(K238:P238)*H238-J238-I238/B238-Z238/B238</f>
        <v>2.88919902654867</v>
      </c>
      <c r="AB238" s="201">
        <f>AA238/H238</f>
        <v>0.061812287293918</v>
      </c>
      <c r="AC238" s="14"/>
      <c r="AD238" s="204">
        <f>J238/H238</f>
        <v>0.082367917161409</v>
      </c>
      <c r="AE238" s="200">
        <f>I238/7.4/H238</f>
        <v>0.332606355621851</v>
      </c>
      <c r="AF238" s="200">
        <f>Z238/7.4/H238</f>
        <v>0.0289111678348224</v>
      </c>
      <c r="AG238" s="200">
        <v>0.15</v>
      </c>
      <c r="AH238" s="200">
        <f>N238</f>
        <v>0.128365585186611</v>
      </c>
      <c r="AI238" s="200">
        <v>0.02</v>
      </c>
      <c r="AJ238" s="200">
        <f>M238</f>
        <v>0.05</v>
      </c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</row>
    <row r="239" ht="11.4" spans="1:75">
      <c r="A239" s="1"/>
      <c r="B239" s="15"/>
      <c r="C239" s="15"/>
      <c r="D239" s="15"/>
      <c r="E239" s="15"/>
      <c r="F239" s="198"/>
      <c r="G239" s="198"/>
      <c r="H239" s="205"/>
      <c r="I239" s="198"/>
      <c r="J239" s="15"/>
      <c r="K239" s="200"/>
      <c r="L239" s="200"/>
      <c r="M239" s="200"/>
      <c r="N239" s="200"/>
      <c r="O239" s="201"/>
      <c r="P239" s="200"/>
      <c r="Q239" s="200"/>
      <c r="R239" s="14"/>
      <c r="S239" s="14"/>
      <c r="T239" s="14"/>
      <c r="U239" s="14"/>
      <c r="V239" s="198"/>
      <c r="W239" s="198"/>
      <c r="X239" s="15"/>
      <c r="Y239" s="202"/>
      <c r="Z239" s="15"/>
      <c r="AA239" s="198"/>
      <c r="AB239" s="201"/>
      <c r="AC239" s="14"/>
      <c r="AD239" s="204"/>
      <c r="AE239" s="200"/>
      <c r="AF239" s="200"/>
      <c r="AG239" s="200"/>
      <c r="AH239" s="200"/>
      <c r="AI239" s="200"/>
      <c r="AJ239" s="200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</row>
    <row r="240" ht="11.4" spans="1:75">
      <c r="A240" s="215" t="s">
        <v>335</v>
      </c>
      <c r="B240" s="14">
        <v>9</v>
      </c>
      <c r="C240" s="15" t="s">
        <v>291</v>
      </c>
      <c r="D240" s="15" t="s">
        <v>86</v>
      </c>
      <c r="E240" s="15" t="s">
        <v>281</v>
      </c>
      <c r="F240" s="198">
        <f>IF(E240="有",(I240/B240+J240+Z240/B240)/(0.99999-K240-L240-M240-N240),(I240/B240+J240+Z240/B240)/(0.99999-K240-M240-N240))</f>
        <v>32.3748196327543</v>
      </c>
      <c r="G240" s="198">
        <f>IF(E240="有",(I240/B240+J240+Z240/B240)/(0.8-K240-L240-M240-N240-O240-P240),(I240/B240+J240+Z240/B240)/(0.8-K240-M240-N240-O240-P240))</f>
        <v>58.4967069911738</v>
      </c>
      <c r="H240" s="205">
        <v>49.99</v>
      </c>
      <c r="I240" s="198">
        <f>130/1.13</f>
        <v>115.044247787611</v>
      </c>
      <c r="J240" s="14">
        <v>2.94</v>
      </c>
      <c r="K240" s="200">
        <v>0.15</v>
      </c>
      <c r="L240" s="200">
        <v>0.16</v>
      </c>
      <c r="M240" s="200">
        <v>0.05</v>
      </c>
      <c r="N240" s="200">
        <f>Q240/H240</f>
        <v>0.12002400480096</v>
      </c>
      <c r="O240" s="201">
        <f>0.61/H240</f>
        <v>0.0122024404880976</v>
      </c>
      <c r="P240" s="200">
        <v>0.02</v>
      </c>
      <c r="Q240" s="198">
        <v>6</v>
      </c>
      <c r="R240" s="14">
        <v>33.5</v>
      </c>
      <c r="S240" s="14">
        <v>26.5</v>
      </c>
      <c r="T240" s="14">
        <v>25</v>
      </c>
      <c r="U240" s="14">
        <v>2.3</v>
      </c>
      <c r="V240" s="198">
        <f>R240*S240*T240/6000</f>
        <v>3.69895833333333</v>
      </c>
      <c r="W240" s="198">
        <f>MAX(U240:V240)</f>
        <v>3.69895833333333</v>
      </c>
      <c r="X240" s="15" t="s">
        <v>21</v>
      </c>
      <c r="Y240" s="202">
        <v>6.084</v>
      </c>
      <c r="Z240" s="198">
        <v>10</v>
      </c>
      <c r="AA240" s="198">
        <f>H240-SUM(K240:P240)*H240-J240-I240/B240-Z240/B240</f>
        <v>7.54999469026549</v>
      </c>
      <c r="AB240" s="201">
        <f>AA240/H240</f>
        <v>0.151030099825275</v>
      </c>
      <c r="AC240" s="14"/>
      <c r="AD240" s="204">
        <f>J240/H240</f>
        <v>0.0588117623524705</v>
      </c>
      <c r="AE240" s="200">
        <f>I240/7.4/H240</f>
        <v>0.310992597945564</v>
      </c>
      <c r="AF240" s="200">
        <f>Z240/7.4/H240</f>
        <v>0.0270324335137298</v>
      </c>
      <c r="AG240" s="200">
        <v>0.15</v>
      </c>
      <c r="AH240" s="200">
        <f>N240</f>
        <v>0.12002400480096</v>
      </c>
      <c r="AI240" s="200">
        <v>0.02</v>
      </c>
      <c r="AJ240" s="200">
        <f>M240</f>
        <v>0.05</v>
      </c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</row>
    <row r="241" ht="11.4" spans="1:75">
      <c r="A241" s="215" t="s">
        <v>336</v>
      </c>
      <c r="B241" s="14">
        <v>9</v>
      </c>
      <c r="C241" s="15" t="s">
        <v>291</v>
      </c>
      <c r="D241" s="15" t="s">
        <v>86</v>
      </c>
      <c r="E241" s="15" t="s">
        <v>281</v>
      </c>
      <c r="F241" s="198">
        <f>IF(E241="有",(I241/B241+J241+Z241/B241)/(0.99999-K241-L241-M241-N241),(I241/B241+J241+Z241/B241)/(0.99999-K241-M241-N241))</f>
        <v>33.7496026825283</v>
      </c>
      <c r="G241" s="198">
        <f>IF(E241="有",(I241/B241+J241+Z241/B241)/(0.8-K241-L241-M241-N241-O241-P241),(I241/B241+J241+Z241/B241)/(0.8-K241-M241-N241-O241-P241))</f>
        <v>63.6584429679697</v>
      </c>
      <c r="H241" s="205">
        <f>H240*0.85</f>
        <v>42.4915</v>
      </c>
      <c r="I241" s="198">
        <f>130/1.13</f>
        <v>115.044247787611</v>
      </c>
      <c r="J241" s="15">
        <v>2.94</v>
      </c>
      <c r="K241" s="200">
        <v>0.15</v>
      </c>
      <c r="L241" s="200">
        <v>0.16</v>
      </c>
      <c r="M241" s="200">
        <v>0.05</v>
      </c>
      <c r="N241" s="200">
        <f>Q241/H241</f>
        <v>0.141204711530541</v>
      </c>
      <c r="O241" s="201">
        <f>0.61/H241</f>
        <v>0.0143558123389384</v>
      </c>
      <c r="P241" s="200">
        <v>0.02</v>
      </c>
      <c r="Q241" s="198">
        <v>6</v>
      </c>
      <c r="R241" s="14">
        <v>33.5</v>
      </c>
      <c r="S241" s="14">
        <v>26.5</v>
      </c>
      <c r="T241" s="14">
        <v>25</v>
      </c>
      <c r="U241" s="14">
        <v>2.3</v>
      </c>
      <c r="V241" s="198">
        <f>R241*S241*T241/6000</f>
        <v>3.69895833333333</v>
      </c>
      <c r="W241" s="198">
        <f>MAX(U241:V241)</f>
        <v>3.69895833333333</v>
      </c>
      <c r="X241" s="15" t="s">
        <v>21</v>
      </c>
      <c r="Y241" s="202">
        <v>6.084</v>
      </c>
      <c r="Z241" s="198">
        <v>10</v>
      </c>
      <c r="AA241" s="198">
        <f>H241-SUM(K241:P241)*H241-J241-I241/B241-Z241/B241</f>
        <v>2.90092469026549</v>
      </c>
      <c r="AB241" s="201">
        <f>AA241/H241</f>
        <v>0.0682707056767939</v>
      </c>
      <c r="AC241" s="14"/>
      <c r="AD241" s="204">
        <f>J241/H241</f>
        <v>0.0691903086499653</v>
      </c>
      <c r="AE241" s="200">
        <f>I241/7.4/H241</f>
        <v>0.36587364464184</v>
      </c>
      <c r="AF241" s="200">
        <f>Z241/7.4/H241</f>
        <v>0.0318028629573291</v>
      </c>
      <c r="AG241" s="200">
        <v>0.15</v>
      </c>
      <c r="AH241" s="200">
        <f>N241</f>
        <v>0.141204711530541</v>
      </c>
      <c r="AI241" s="200">
        <v>0.02</v>
      </c>
      <c r="AJ241" s="200">
        <f>M241</f>
        <v>0.05</v>
      </c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</row>
    <row r="242" ht="11.4" spans="1:75">
      <c r="F242" s="211"/>
      <c r="G242" s="211"/>
      <c r="I242" s="211"/>
      <c r="O242" s="2"/>
      <c r="Q242" s="1"/>
      <c r="V242" s="211"/>
      <c r="W242" s="211"/>
      <c r="Y242" s="212"/>
      <c r="Z242" s="211"/>
      <c r="AA242" s="211"/>
      <c r="AB242" s="2"/>
      <c r="AD242" s="213"/>
      <c r="AE242" s="1"/>
      <c r="AF242" s="1"/>
    </row>
    <row r="243" ht="11.4" spans="1:75">
      <c r="A243" s="214" t="s">
        <v>337</v>
      </c>
      <c r="B243" s="15">
        <v>8</v>
      </c>
      <c r="C243" s="15" t="s">
        <v>279</v>
      </c>
      <c r="D243" s="15" t="s">
        <v>280</v>
      </c>
      <c r="E243" s="15" t="s">
        <v>281</v>
      </c>
      <c r="F243" s="198">
        <f>IF(E243="有",(I243/B243+J243+Z243/B243)/(0.99999-K243-L243-M243-N243),(I243/B243+J243+Z243/B243)/(0.99999-K243-M243-N243))</f>
        <v>27.3700006769185</v>
      </c>
      <c r="G243" s="198">
        <f>IF(E243="有",(I243/B243+J243+Z243/B243)/(0.8-K243-L243-M243-N243-O243-P243),(I243/B243+J243+Z243/B243)/(0.8-K243-M243-N243-O243-P243))</f>
        <v>52.64838304306</v>
      </c>
      <c r="H243" s="205">
        <v>39.99</v>
      </c>
      <c r="I243" s="198">
        <v>67</v>
      </c>
      <c r="J243" s="15">
        <v>3.41</v>
      </c>
      <c r="K243" s="200">
        <v>0.15</v>
      </c>
      <c r="L243" s="200">
        <v>0.16</v>
      </c>
      <c r="M243" s="200">
        <v>0.05</v>
      </c>
      <c r="N243" s="200">
        <f>Q243/H243</f>
        <v>0.150037509377344</v>
      </c>
      <c r="O243" s="201">
        <f>0.61/H243</f>
        <v>0.0152538134533633</v>
      </c>
      <c r="P243" s="200">
        <v>0.02</v>
      </c>
      <c r="Q243" s="198">
        <v>6</v>
      </c>
      <c r="R243" s="14">
        <v>33.5</v>
      </c>
      <c r="S243" s="14">
        <v>26.5</v>
      </c>
      <c r="T243" s="14">
        <v>25</v>
      </c>
      <c r="U243" s="14">
        <v>2.3</v>
      </c>
      <c r="V243" s="198">
        <f>R243*S243*T243/6000</f>
        <v>3.69895833333333</v>
      </c>
      <c r="W243" s="198">
        <f>MAX(U243:V243)</f>
        <v>3.69895833333333</v>
      </c>
      <c r="X243" s="14" t="s">
        <v>21</v>
      </c>
      <c r="Y243" s="202">
        <v>5.55136</v>
      </c>
      <c r="Z243" s="198">
        <v>13</v>
      </c>
      <c r="AA243" s="198">
        <f>H243-SUM(K243:P243)*H243-J243-I243/B243-Z243/B243</f>
        <v>4.7738</v>
      </c>
      <c r="AB243" s="201">
        <f>AA243/H243</f>
        <v>0.119374843710928</v>
      </c>
      <c r="AC243" s="14"/>
      <c r="AD243" s="204">
        <f>J243/H243</f>
        <v>0.0852713178294574</v>
      </c>
      <c r="AE243" s="200">
        <f>I243/7.4/H243</f>
        <v>0.226407953339686</v>
      </c>
      <c r="AF243" s="200">
        <f>Z243/7.4/H243</f>
        <v>0.0439299013942675</v>
      </c>
      <c r="AG243" s="200">
        <v>0.15</v>
      </c>
      <c r="AH243" s="200">
        <f>N243</f>
        <v>0.150037509377344</v>
      </c>
      <c r="AI243" s="200">
        <v>0.02</v>
      </c>
      <c r="AJ243" s="200">
        <f>M243</f>
        <v>0.05</v>
      </c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</row>
    <row r="244" ht="11.4" spans="1:75">
      <c r="A244" s="214" t="s">
        <v>338</v>
      </c>
      <c r="B244" s="15">
        <v>8</v>
      </c>
      <c r="C244" s="15" t="s">
        <v>279</v>
      </c>
      <c r="D244" s="15" t="s">
        <v>280</v>
      </c>
      <c r="E244" s="15" t="s">
        <v>281</v>
      </c>
      <c r="F244" s="198">
        <f>IF(E244="有",(I244/B244+J244+Z244/B244)/(0.99999-K244-L244-M244-N244),(I244/B244+J244+Z244/B244)/(0.99999-K244-M244-N244))</f>
        <v>28.9335817667041</v>
      </c>
      <c r="G244" s="198">
        <f>IF(E244="有",(I244/B244+J244+Z244/B244)/(0.8-K244-L244-M244-N244-O244-P244),(I244/B244+J244+Z244/B244)/(0.8-K244-M244-N244-O244-P244))</f>
        <v>59.4574025980802</v>
      </c>
      <c r="H244" s="205">
        <f>H243*0.85</f>
        <v>33.9915</v>
      </c>
      <c r="I244" s="198">
        <v>67</v>
      </c>
      <c r="J244" s="15">
        <v>3.41</v>
      </c>
      <c r="K244" s="200">
        <v>0.15</v>
      </c>
      <c r="L244" s="200">
        <v>0.16</v>
      </c>
      <c r="M244" s="200">
        <v>0.05</v>
      </c>
      <c r="N244" s="200">
        <f>Q244/H244</f>
        <v>0.176514716914523</v>
      </c>
      <c r="O244" s="201">
        <f>0.61/H244</f>
        <v>0.0179456628863098</v>
      </c>
      <c r="P244" s="200">
        <v>0.02</v>
      </c>
      <c r="Q244" s="198">
        <v>6</v>
      </c>
      <c r="R244" s="14">
        <v>33.5</v>
      </c>
      <c r="S244" s="14">
        <v>26.5</v>
      </c>
      <c r="T244" s="14">
        <v>25</v>
      </c>
      <c r="U244" s="14">
        <v>2.3</v>
      </c>
      <c r="V244" s="198">
        <f>R244*S244*T244/6000</f>
        <v>3.69895833333333</v>
      </c>
      <c r="W244" s="198">
        <f>MAX(U244:V244)</f>
        <v>3.69895833333333</v>
      </c>
      <c r="X244" s="15" t="s">
        <v>21</v>
      </c>
      <c r="Y244" s="202">
        <v>5.55136</v>
      </c>
      <c r="Z244" s="198">
        <v>13</v>
      </c>
      <c r="AA244" s="198">
        <f>H244-SUM(K244:P244)*H244-J244-I244/B244-Z244/B244</f>
        <v>1.05473</v>
      </c>
      <c r="AB244" s="201">
        <f>AA244/H244</f>
        <v>0.0310292278952091</v>
      </c>
      <c r="AC244" s="14"/>
      <c r="AD244" s="204">
        <f>J244/H244</f>
        <v>0.10031919744642</v>
      </c>
      <c r="AE244" s="200">
        <f>I244/B244/H244</f>
        <v>0.246385125693188</v>
      </c>
      <c r="AF244" s="200">
        <f>Z244/B244/H244</f>
        <v>0.0478060691643499</v>
      </c>
      <c r="AG244" s="200">
        <f>K244</f>
        <v>0.15</v>
      </c>
      <c r="AH244" s="200">
        <f>N244</f>
        <v>0.176514716914523</v>
      </c>
      <c r="AI244" s="200">
        <v>0.02</v>
      </c>
      <c r="AJ244" s="200">
        <f>M244</f>
        <v>0.05</v>
      </c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</row>
    <row r="245" ht="11.4" spans="1:75">
      <c r="A245" s="214"/>
      <c r="B245" s="14"/>
      <c r="C245" s="14"/>
      <c r="D245" s="14"/>
      <c r="E245" s="14"/>
      <c r="F245" s="198"/>
      <c r="G245" s="198"/>
      <c r="H245" s="205"/>
      <c r="I245" s="198"/>
      <c r="J245" s="15"/>
      <c r="K245" s="200"/>
      <c r="L245" s="200"/>
      <c r="M245" s="200"/>
      <c r="N245" s="200"/>
      <c r="O245" s="201"/>
      <c r="P245" s="200"/>
      <c r="Q245" s="198"/>
      <c r="R245" s="14"/>
      <c r="S245" s="14"/>
      <c r="T245" s="14"/>
      <c r="U245" s="14"/>
      <c r="V245" s="198"/>
      <c r="W245" s="198"/>
      <c r="X245" s="15"/>
      <c r="Y245" s="202"/>
      <c r="Z245" s="15"/>
      <c r="AA245" s="198"/>
      <c r="AB245" s="201"/>
      <c r="AC245" s="14"/>
      <c r="AD245" s="204"/>
      <c r="AE245" s="200"/>
      <c r="AF245" s="200"/>
      <c r="AG245" s="200"/>
      <c r="AH245" s="200"/>
      <c r="AI245" s="200"/>
      <c r="AJ245" s="200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</row>
    <row r="246" ht="11.4" spans="1:75">
      <c r="A246" s="214" t="s">
        <v>337</v>
      </c>
      <c r="B246" s="15">
        <v>8</v>
      </c>
      <c r="C246" s="14" t="s">
        <v>284</v>
      </c>
      <c r="D246" s="14" t="s">
        <v>285</v>
      </c>
      <c r="E246" s="15" t="s">
        <v>281</v>
      </c>
      <c r="F246" s="198">
        <f>IF(E246="有",(I246/B246+J246+Z246/B246)/(0.99999-K246-L246-M246-N246),(I246/B246+J246+Z246/B246)/(0.99999-K246-M246-N246))</f>
        <v>32.2276145181613</v>
      </c>
      <c r="G246" s="198">
        <f>IF(E246="有",(I246/B246+J246+Z246/B246)/(0.8-K246-L246-M246-N246-O246-P246),(I246/B246+J246+Z246/B246)/(0.8-K246-M246-N246-O246-P246))</f>
        <v>61.9923913683756</v>
      </c>
      <c r="H246" s="205">
        <v>39.99</v>
      </c>
      <c r="I246" s="198">
        <v>67</v>
      </c>
      <c r="J246" s="15">
        <v>5.79</v>
      </c>
      <c r="K246" s="200">
        <v>0.15</v>
      </c>
      <c r="L246" s="200">
        <v>0.16</v>
      </c>
      <c r="M246" s="200">
        <v>0.05</v>
      </c>
      <c r="N246" s="200">
        <f>Q246/H246</f>
        <v>0.150037509377344</v>
      </c>
      <c r="O246" s="201">
        <f>0.61/H246</f>
        <v>0.0152538134533633</v>
      </c>
      <c r="P246" s="200">
        <v>0.02</v>
      </c>
      <c r="Q246" s="198">
        <v>6</v>
      </c>
      <c r="R246" s="14">
        <v>33.5</v>
      </c>
      <c r="S246" s="14">
        <v>26.5</v>
      </c>
      <c r="T246" s="14">
        <v>25</v>
      </c>
      <c r="U246" s="14">
        <v>2.3</v>
      </c>
      <c r="V246" s="198">
        <f>R246*S246*T246/6000</f>
        <v>3.69895833333333</v>
      </c>
      <c r="W246" s="198">
        <f>MAX(U246:V246)</f>
        <v>3.69895833333333</v>
      </c>
      <c r="X246" s="14" t="s">
        <v>21</v>
      </c>
      <c r="Y246" s="202">
        <v>5.55136</v>
      </c>
      <c r="Z246" s="198">
        <v>13</v>
      </c>
      <c r="AA246" s="198">
        <f>H246-SUM(K246:P246)*H246-J246-I246/B246-Z246/B246</f>
        <v>2.3938</v>
      </c>
      <c r="AB246" s="201">
        <f>AA246/H246</f>
        <v>0.0598599649912479</v>
      </c>
      <c r="AC246" s="14"/>
      <c r="AD246" s="204">
        <f>J246/H246</f>
        <v>0.144786196549137</v>
      </c>
      <c r="AE246" s="200">
        <f>I246/7.4/H246</f>
        <v>0.226407953339686</v>
      </c>
      <c r="AF246" s="200">
        <f>Z246/7.4/H246</f>
        <v>0.0439299013942675</v>
      </c>
      <c r="AG246" s="200">
        <v>0.15</v>
      </c>
      <c r="AH246" s="200">
        <f>N246</f>
        <v>0.150037509377344</v>
      </c>
      <c r="AI246" s="200">
        <v>0.02</v>
      </c>
      <c r="AJ246" s="200">
        <f>M246</f>
        <v>0.05</v>
      </c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</row>
    <row r="247" ht="11.4" spans="1:75">
      <c r="A247" s="214" t="s">
        <v>338</v>
      </c>
      <c r="B247" s="15">
        <v>8</v>
      </c>
      <c r="C247" s="15" t="s">
        <v>284</v>
      </c>
      <c r="D247" s="15" t="s">
        <v>285</v>
      </c>
      <c r="E247" s="15" t="s">
        <v>281</v>
      </c>
      <c r="F247" s="198">
        <f>IF(E247="有",(I247/B247+J247+Z247/B247)/(0.99999-K247-L247-M247-N247),(I247/B247+J247+Z247/B247)/(0.99999-K247-M247-N247))</f>
        <v>34.0686991868947</v>
      </c>
      <c r="G247" s="198">
        <f>IF(E247="有",(I247/B247+J247+Z247/B247)/(0.8-K247-L247-M247-N247-O247-P247),(I247/B247+J247+Z247/B247)/(0.8-K247-M247-N247-O247-P247))</f>
        <v>70.0098722612741</v>
      </c>
      <c r="H247" s="205">
        <f>H246*0.85</f>
        <v>33.9915</v>
      </c>
      <c r="I247" s="198">
        <v>67</v>
      </c>
      <c r="J247" s="15">
        <v>5.79</v>
      </c>
      <c r="K247" s="200">
        <v>0.15</v>
      </c>
      <c r="L247" s="200">
        <v>0.16</v>
      </c>
      <c r="M247" s="200">
        <v>0.05</v>
      </c>
      <c r="N247" s="200">
        <f>Q247/H247</f>
        <v>0.176514716914523</v>
      </c>
      <c r="O247" s="201">
        <f>0.61/H247</f>
        <v>0.0179456628863098</v>
      </c>
      <c r="P247" s="200">
        <v>0.02</v>
      </c>
      <c r="Q247" s="198">
        <v>6</v>
      </c>
      <c r="R247" s="14">
        <v>33.5</v>
      </c>
      <c r="S247" s="14">
        <v>26.5</v>
      </c>
      <c r="T247" s="14">
        <v>25</v>
      </c>
      <c r="U247" s="14">
        <v>2.3</v>
      </c>
      <c r="V247" s="198">
        <f>R247*S247*T247/6000</f>
        <v>3.69895833333333</v>
      </c>
      <c r="W247" s="198">
        <f>MAX(U247:V247)</f>
        <v>3.69895833333333</v>
      </c>
      <c r="X247" s="15" t="s">
        <v>21</v>
      </c>
      <c r="Y247" s="202">
        <v>5.55136</v>
      </c>
      <c r="Z247" s="198">
        <v>13</v>
      </c>
      <c r="AA247" s="198">
        <f>H247-SUM(K247:P247)*H247-J247-I247/B247-Z247/B247</f>
        <v>-1.32527</v>
      </c>
      <c r="AB247" s="201">
        <f>AA247/H247</f>
        <v>-0.0389882764808849</v>
      </c>
      <c r="AC247" s="14"/>
      <c r="AD247" s="204">
        <f>J247/H247</f>
        <v>0.170336701822514</v>
      </c>
      <c r="AE247" s="200">
        <f>I247/7.4/H247</f>
        <v>0.26636229804669</v>
      </c>
      <c r="AF247" s="200">
        <f>Z247/7.4/H247</f>
        <v>0.0516822369344323</v>
      </c>
      <c r="AG247" s="200">
        <v>0.15</v>
      </c>
      <c r="AH247" s="200">
        <f>N247</f>
        <v>0.176514716914523</v>
      </c>
      <c r="AI247" s="200">
        <v>0.02</v>
      </c>
      <c r="AJ247" s="200">
        <f>M247</f>
        <v>0.05</v>
      </c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</row>
    <row r="248" ht="11.4" spans="1:75">
      <c r="A248" s="214"/>
      <c r="B248" s="14"/>
      <c r="C248" s="14"/>
      <c r="D248" s="14"/>
      <c r="E248" s="14"/>
      <c r="F248" s="198"/>
      <c r="G248" s="198"/>
      <c r="H248" s="205"/>
      <c r="I248" s="198"/>
      <c r="J248" s="15"/>
      <c r="K248" s="200"/>
      <c r="L248" s="200"/>
      <c r="M248" s="200"/>
      <c r="N248" s="200"/>
      <c r="O248" s="201"/>
      <c r="P248" s="200"/>
      <c r="Q248" s="200"/>
      <c r="R248" s="14"/>
      <c r="S248" s="14"/>
      <c r="T248" s="14"/>
      <c r="U248" s="14"/>
      <c r="V248" s="198"/>
      <c r="W248" s="198"/>
      <c r="X248" s="15"/>
      <c r="Y248" s="202"/>
      <c r="Z248" s="15"/>
      <c r="AA248" s="198"/>
      <c r="AB248" s="201"/>
      <c r="AC248" s="14"/>
      <c r="AD248" s="204"/>
      <c r="AE248" s="200"/>
      <c r="AF248" s="200"/>
      <c r="AG248" s="200"/>
      <c r="AH248" s="200"/>
      <c r="AI248" s="200"/>
      <c r="AJ248" s="200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</row>
    <row r="249" ht="11.4" spans="1:75">
      <c r="A249" s="214" t="s">
        <v>337</v>
      </c>
      <c r="B249" s="15">
        <v>8</v>
      </c>
      <c r="C249" s="14" t="s">
        <v>286</v>
      </c>
      <c r="D249" s="14" t="s">
        <v>287</v>
      </c>
      <c r="E249" s="15" t="s">
        <v>281</v>
      </c>
      <c r="F249" s="198">
        <f>IF(E249="有",(I249/B249+J249+Z249/B249)/(0.99999-K249-L249-M249-N249),(I249/B249+J249+Z249/B249)/(0.99999-K249-M249-N249))</f>
        <v>30.5131625741933</v>
      </c>
      <c r="G249" s="198">
        <f>IF(E249="有",(I249/B249+J249+Z249/B249)/(0.8-K249-L249-M249-N249-O249-P249),(I249/B249+J249+Z249/B249)/(0.8-K249-M249-N249-O249-P249))</f>
        <v>58.6945060770877</v>
      </c>
      <c r="H249" s="205">
        <v>39.99</v>
      </c>
      <c r="I249" s="198">
        <v>67</v>
      </c>
      <c r="J249" s="15">
        <v>4.95</v>
      </c>
      <c r="K249" s="200">
        <v>0.15</v>
      </c>
      <c r="L249" s="200">
        <v>0.16</v>
      </c>
      <c r="M249" s="200">
        <v>0.05</v>
      </c>
      <c r="N249" s="200">
        <f>Q249/H249</f>
        <v>0.150037509377344</v>
      </c>
      <c r="O249" s="201">
        <f>0.61/H249</f>
        <v>0.0152538134533633</v>
      </c>
      <c r="P249" s="200">
        <v>0.02</v>
      </c>
      <c r="Q249" s="198">
        <v>6</v>
      </c>
      <c r="R249" s="14">
        <v>33.5</v>
      </c>
      <c r="S249" s="14">
        <v>26.5</v>
      </c>
      <c r="T249" s="14">
        <v>25</v>
      </c>
      <c r="U249" s="14">
        <v>2.3</v>
      </c>
      <c r="V249" s="198">
        <f>R249*S249*T249/6000</f>
        <v>3.69895833333333</v>
      </c>
      <c r="W249" s="198">
        <f>MAX(U249:V249)</f>
        <v>3.69895833333333</v>
      </c>
      <c r="X249" s="14" t="s">
        <v>21</v>
      </c>
      <c r="Y249" s="202">
        <v>5.55136</v>
      </c>
      <c r="Z249" s="198">
        <v>13</v>
      </c>
      <c r="AA249" s="198">
        <f>H249-SUM(K249:P249)*H249-J249-I249/B249-Z249/B249</f>
        <v>3.2338</v>
      </c>
      <c r="AB249" s="201">
        <f>AA249/H249</f>
        <v>0.0808652163040761</v>
      </c>
      <c r="AC249" s="14"/>
      <c r="AD249" s="204">
        <f>J249/H249</f>
        <v>0.123780945236309</v>
      </c>
      <c r="AE249" s="200">
        <f>I249/7.4/H249</f>
        <v>0.226407953339686</v>
      </c>
      <c r="AF249" s="200">
        <f>Z249/7.4/H249</f>
        <v>0.0439299013942675</v>
      </c>
      <c r="AG249" s="200">
        <v>0.15</v>
      </c>
      <c r="AH249" s="200">
        <f>N249</f>
        <v>0.150037509377344</v>
      </c>
      <c r="AI249" s="200">
        <v>0.02</v>
      </c>
      <c r="AJ249" s="200">
        <f>M249</f>
        <v>0.05</v>
      </c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</row>
    <row r="250" ht="11.4" spans="1:75">
      <c r="A250" s="214" t="s">
        <v>338</v>
      </c>
      <c r="B250" s="15">
        <v>8</v>
      </c>
      <c r="C250" s="15" t="s">
        <v>286</v>
      </c>
      <c r="D250" s="15" t="s">
        <v>287</v>
      </c>
      <c r="E250" s="15" t="s">
        <v>281</v>
      </c>
      <c r="F250" s="198">
        <f>IF(E250="有",(I250/B250+J250+Z250/B250)/(0.99999-K250-L250-M250-N250),(I250/B250+J250+Z250/B250)/(0.99999-K250-M250-N250))</f>
        <v>32.256304803298</v>
      </c>
      <c r="G250" s="198">
        <f>IF(E250="有",(I250/B250+J250+Z250/B250)/(0.8-K250-L250-M250-N250-O250-P250),(I250/B250+J250+Z250/B250)/(0.8-K250-M250-N250-O250-P250))</f>
        <v>66.2854712036763</v>
      </c>
      <c r="H250" s="205">
        <f>H249*0.85</f>
        <v>33.9915</v>
      </c>
      <c r="I250" s="198">
        <v>67</v>
      </c>
      <c r="J250" s="15">
        <v>4.95</v>
      </c>
      <c r="K250" s="200">
        <v>0.15</v>
      </c>
      <c r="L250" s="200">
        <v>0.16</v>
      </c>
      <c r="M250" s="200">
        <v>0.05</v>
      </c>
      <c r="N250" s="200">
        <f>Q250/H250</f>
        <v>0.176514716914523</v>
      </c>
      <c r="O250" s="201">
        <f>0.61/H250</f>
        <v>0.0179456628863098</v>
      </c>
      <c r="P250" s="200">
        <v>0.02</v>
      </c>
      <c r="Q250" s="198">
        <v>6</v>
      </c>
      <c r="R250" s="14">
        <v>33.5</v>
      </c>
      <c r="S250" s="14">
        <v>26.5</v>
      </c>
      <c r="T250" s="14">
        <v>25</v>
      </c>
      <c r="U250" s="14">
        <v>2.3</v>
      </c>
      <c r="V250" s="198">
        <f>R250*S250*T250/6000</f>
        <v>3.69895833333333</v>
      </c>
      <c r="W250" s="198">
        <f>MAX(U250:V250)</f>
        <v>3.69895833333333</v>
      </c>
      <c r="X250" s="15" t="s">
        <v>21</v>
      </c>
      <c r="Y250" s="202">
        <v>5.55136</v>
      </c>
      <c r="Z250" s="198">
        <v>13</v>
      </c>
      <c r="AA250" s="198">
        <f>H250-SUM(K250:P250)*H250-J250-I250/B250-Z250/B250</f>
        <v>-0.48527</v>
      </c>
      <c r="AB250" s="201">
        <f>AA250/H250</f>
        <v>-0.0142762161128517</v>
      </c>
      <c r="AC250" s="14"/>
      <c r="AD250" s="204">
        <f>J250/H250</f>
        <v>0.145624641454481</v>
      </c>
      <c r="AE250" s="200">
        <f>I250/7.4/H250</f>
        <v>0.26636229804669</v>
      </c>
      <c r="AF250" s="200">
        <f>Z250/7.4/H250</f>
        <v>0.0516822369344323</v>
      </c>
      <c r="AG250" s="200">
        <v>0.15</v>
      </c>
      <c r="AH250" s="200">
        <f>N250</f>
        <v>0.176514716914523</v>
      </c>
      <c r="AI250" s="200">
        <v>0.02</v>
      </c>
      <c r="AJ250" s="200">
        <f>M250</f>
        <v>0.05</v>
      </c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</row>
    <row r="251" ht="11.4" spans="1:75">
      <c r="A251" s="214"/>
      <c r="B251" s="14"/>
      <c r="C251" s="14"/>
      <c r="D251" s="14"/>
      <c r="E251" s="14"/>
      <c r="F251" s="198"/>
      <c r="G251" s="198"/>
      <c r="H251" s="205"/>
      <c r="I251" s="198"/>
      <c r="J251" s="15"/>
      <c r="K251" s="200"/>
      <c r="L251" s="200"/>
      <c r="M251" s="200"/>
      <c r="N251" s="200"/>
      <c r="O251" s="201"/>
      <c r="P251" s="200"/>
      <c r="Q251" s="200"/>
      <c r="R251" s="14"/>
      <c r="S251" s="14"/>
      <c r="T251" s="14"/>
      <c r="U251" s="14"/>
      <c r="V251" s="198"/>
      <c r="W251" s="198"/>
      <c r="X251" s="15"/>
      <c r="Y251" s="202"/>
      <c r="Z251" s="15"/>
      <c r="AA251" s="198"/>
      <c r="AB251" s="201"/>
      <c r="AC251" s="14"/>
      <c r="AD251" s="204"/>
      <c r="AE251" s="200"/>
      <c r="AF251" s="200"/>
      <c r="AG251" s="200"/>
      <c r="AH251" s="200"/>
      <c r="AI251" s="200"/>
      <c r="AJ251" s="200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</row>
    <row r="252" ht="11.4" spans="1:75">
      <c r="A252" s="214" t="s">
        <v>337</v>
      </c>
      <c r="B252" s="15">
        <v>8</v>
      </c>
      <c r="C252" s="14" t="s">
        <v>289</v>
      </c>
      <c r="D252" s="14" t="s">
        <v>290</v>
      </c>
      <c r="E252" s="15" t="s">
        <v>281</v>
      </c>
      <c r="F252" s="198">
        <f>IF(E252="有",(I252/B252+J252+Z252/B252)/(0.99999-K252-L252-M252-N252),(I252/B252+J252+Z252/B252)/(0.99999-K252-M252-N252))</f>
        <v>28.4721483551837</v>
      </c>
      <c r="G252" s="198">
        <f>IF(E252="有",(I252/B252+J252+Z252/B252)/(0.8-K252-L252-M252-N252-O252-P252),(I252/B252+J252+Z252/B252)/(0.8-K252-M252-N252-O252-P252))</f>
        <v>54.7684521588879</v>
      </c>
      <c r="H252" s="205">
        <v>39.99</v>
      </c>
      <c r="I252" s="198">
        <v>67</v>
      </c>
      <c r="J252" s="15">
        <v>3.95</v>
      </c>
      <c r="K252" s="200">
        <v>0.15</v>
      </c>
      <c r="L252" s="200">
        <v>0.16</v>
      </c>
      <c r="M252" s="200">
        <v>0.05</v>
      </c>
      <c r="N252" s="200">
        <f>Q252/H252</f>
        <v>0.150037509377344</v>
      </c>
      <c r="O252" s="201">
        <f>0.61/H252</f>
        <v>0.0152538134533633</v>
      </c>
      <c r="P252" s="200">
        <v>0.02</v>
      </c>
      <c r="Q252" s="198">
        <v>6</v>
      </c>
      <c r="R252" s="14">
        <v>33.5</v>
      </c>
      <c r="S252" s="14">
        <v>26.5</v>
      </c>
      <c r="T252" s="14">
        <v>25</v>
      </c>
      <c r="U252" s="14">
        <v>2.3</v>
      </c>
      <c r="V252" s="198">
        <f>R252*S252*T252/6000</f>
        <v>3.69895833333333</v>
      </c>
      <c r="W252" s="198">
        <f>MAX(U252:V252)</f>
        <v>3.69895833333333</v>
      </c>
      <c r="X252" s="14" t="s">
        <v>21</v>
      </c>
      <c r="Y252" s="202">
        <v>5.55136</v>
      </c>
      <c r="Z252" s="198">
        <v>13</v>
      </c>
      <c r="AA252" s="198">
        <f>H252-SUM(K252:P252)*H252-J252-I252/B252-Z252/B252</f>
        <v>4.2338</v>
      </c>
      <c r="AB252" s="201">
        <f>AA252/H252</f>
        <v>0.105871467866967</v>
      </c>
      <c r="AC252" s="14"/>
      <c r="AD252" s="204">
        <f>J252/H252</f>
        <v>0.0987746936734184</v>
      </c>
      <c r="AE252" s="200">
        <f>I252/7.4/H252</f>
        <v>0.226407953339686</v>
      </c>
      <c r="AF252" s="200">
        <f>Z252/7.4/H252</f>
        <v>0.0439299013942675</v>
      </c>
      <c r="AG252" s="200">
        <v>0.15</v>
      </c>
      <c r="AH252" s="200">
        <f>N252</f>
        <v>0.150037509377344</v>
      </c>
      <c r="AI252" s="200">
        <v>0.02</v>
      </c>
      <c r="AJ252" s="200">
        <f>M252</f>
        <v>0.05</v>
      </c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</row>
    <row r="253" ht="11.4" spans="1:75">
      <c r="A253" s="214" t="s">
        <v>338</v>
      </c>
      <c r="B253" s="15">
        <v>8</v>
      </c>
      <c r="C253" s="15" t="s">
        <v>289</v>
      </c>
      <c r="D253" s="15" t="s">
        <v>290</v>
      </c>
      <c r="E253" s="15" t="s">
        <v>281</v>
      </c>
      <c r="F253" s="198">
        <f>IF(E253="有",(I253/B253+J253+Z253/B253)/(0.99999-K253-L253-M253-N253),(I253/B253+J253+Z253/B253)/(0.99999-K253-M253-N253))</f>
        <v>30.0986924418734</v>
      </c>
      <c r="G253" s="198">
        <f>IF(E253="有",(I253/B253+J253+Z253/B253)/(0.8-K253-L253-M253-N253-O253-P253),(I253/B253+J253+Z253/B253)/(0.8-K253-M253-N253-O253-P253))</f>
        <v>61.8516604208217</v>
      </c>
      <c r="H253" s="205">
        <f>H252*0.85</f>
        <v>33.9915</v>
      </c>
      <c r="I253" s="198">
        <v>67</v>
      </c>
      <c r="J253" s="15">
        <v>3.95</v>
      </c>
      <c r="K253" s="200">
        <v>0.15</v>
      </c>
      <c r="L253" s="200">
        <v>0.16</v>
      </c>
      <c r="M253" s="200">
        <v>0.05</v>
      </c>
      <c r="N253" s="200">
        <f>Q253/H253</f>
        <v>0.176514716914523</v>
      </c>
      <c r="O253" s="201">
        <f>0.61/H253</f>
        <v>0.0179456628863098</v>
      </c>
      <c r="P253" s="200">
        <v>0.02</v>
      </c>
      <c r="Q253" s="198">
        <v>6</v>
      </c>
      <c r="R253" s="14">
        <v>33.5</v>
      </c>
      <c r="S253" s="14">
        <v>26.5</v>
      </c>
      <c r="T253" s="14">
        <v>25</v>
      </c>
      <c r="U253" s="14">
        <v>2.3</v>
      </c>
      <c r="V253" s="198">
        <f>R253*S253*T253/6000</f>
        <v>3.69895833333333</v>
      </c>
      <c r="W253" s="198">
        <f>MAX(U253:V253)</f>
        <v>3.69895833333333</v>
      </c>
      <c r="X253" s="15" t="s">
        <v>21</v>
      </c>
      <c r="Y253" s="202">
        <v>5.55136</v>
      </c>
      <c r="Z253" s="198">
        <v>13</v>
      </c>
      <c r="AA253" s="198">
        <f>H253-SUM(K253:P253)*H253-J253-I253/B253-Z253/B253</f>
        <v>0.51473</v>
      </c>
      <c r="AB253" s="201">
        <f>AA253/H253</f>
        <v>0.0151429033729021</v>
      </c>
      <c r="AC253" s="14"/>
      <c r="AD253" s="204">
        <f>J253/H253</f>
        <v>0.116205521968727</v>
      </c>
      <c r="AE253" s="200">
        <f>I253/7.4/H253</f>
        <v>0.26636229804669</v>
      </c>
      <c r="AF253" s="200">
        <f>Z253/7.4/H253</f>
        <v>0.0516822369344323</v>
      </c>
      <c r="AG253" s="200">
        <v>0.15</v>
      </c>
      <c r="AH253" s="200">
        <f>N253</f>
        <v>0.176514716914523</v>
      </c>
      <c r="AI253" s="200">
        <v>0.02</v>
      </c>
      <c r="AJ253" s="200">
        <f>M253</f>
        <v>0.05</v>
      </c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</row>
    <row r="254" ht="11.4" spans="1:75">
      <c r="A254" s="214"/>
      <c r="B254" s="15"/>
      <c r="C254" s="15"/>
      <c r="D254" s="15"/>
      <c r="E254" s="15"/>
      <c r="F254" s="198"/>
      <c r="G254" s="198"/>
      <c r="H254" s="205"/>
      <c r="I254" s="198"/>
      <c r="J254" s="15"/>
      <c r="K254" s="200"/>
      <c r="L254" s="200"/>
      <c r="M254" s="200"/>
      <c r="N254" s="200"/>
      <c r="O254" s="201"/>
      <c r="P254" s="200"/>
      <c r="Q254" s="200"/>
      <c r="R254" s="14"/>
      <c r="S254" s="14"/>
      <c r="T254" s="14"/>
      <c r="U254" s="14"/>
      <c r="V254" s="198"/>
      <c r="W254" s="198"/>
      <c r="X254" s="15"/>
      <c r="Y254" s="202"/>
      <c r="Z254" s="15"/>
      <c r="AA254" s="198"/>
      <c r="AB254" s="201"/>
      <c r="AC254" s="14"/>
      <c r="AD254" s="204"/>
      <c r="AE254" s="200"/>
      <c r="AF254" s="200"/>
      <c r="AG254" s="200"/>
      <c r="AH254" s="200"/>
      <c r="AI254" s="200"/>
      <c r="AJ254" s="200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</row>
    <row r="255" ht="11.4" spans="1:75">
      <c r="A255" s="214" t="s">
        <v>337</v>
      </c>
      <c r="B255" s="14">
        <v>9</v>
      </c>
      <c r="C255" s="15" t="s">
        <v>291</v>
      </c>
      <c r="D255" s="15" t="s">
        <v>86</v>
      </c>
      <c r="E255" s="15" t="s">
        <v>281</v>
      </c>
      <c r="F255" s="198">
        <f>IF(E255="有",(I255/B255+J255+Z255/B255)/(0.99999-K255-L255-M255-N255),(I255/B255+J255+Z255/B255)/(0.99999-K255-M255-N255))</f>
        <v>25.4612001693442</v>
      </c>
      <c r="G255" s="198">
        <f>IF(E255="有",(I255/B255+J255+Z255/B255)/(0.8-K255-L255-M255-N255-O255-P255),(I255/B255+J255+Z255/B255)/(0.8-K255-M255-N255-O255-P255))</f>
        <v>51.6203495290784</v>
      </c>
      <c r="H255" s="205">
        <v>34.99</v>
      </c>
      <c r="I255" s="198">
        <v>67</v>
      </c>
      <c r="J255" s="15">
        <v>3.04</v>
      </c>
      <c r="K255" s="200">
        <v>0.15</v>
      </c>
      <c r="L255" s="200">
        <v>0.16</v>
      </c>
      <c r="M255" s="200">
        <v>0.05</v>
      </c>
      <c r="N255" s="200">
        <f>Q255/H255</f>
        <v>0.171477565018577</v>
      </c>
      <c r="O255" s="201">
        <f>0.61/H255</f>
        <v>0.0174335524435553</v>
      </c>
      <c r="P255" s="200">
        <v>0.02</v>
      </c>
      <c r="Q255" s="198">
        <v>6</v>
      </c>
      <c r="R255" s="14">
        <v>33.5</v>
      </c>
      <c r="S255" s="14">
        <v>26.5</v>
      </c>
      <c r="T255" s="14">
        <v>25</v>
      </c>
      <c r="U255" s="14">
        <v>2.3</v>
      </c>
      <c r="V255" s="198">
        <f>R255*S255*T255/6000</f>
        <v>3.69895833333333</v>
      </c>
      <c r="W255" s="198">
        <f>MAX(U255:V255)</f>
        <v>3.69895833333333</v>
      </c>
      <c r="X255" s="15" t="s">
        <v>21</v>
      </c>
      <c r="Y255" s="202">
        <v>6.084</v>
      </c>
      <c r="Z255" s="198">
        <v>13</v>
      </c>
      <c r="AA255" s="198">
        <f>H255-SUM(K255:P255)*H255-J255-I255/B255-Z255/B255</f>
        <v>3.15491111111112</v>
      </c>
      <c r="AB255" s="201">
        <f>AA255/H255</f>
        <v>0.0901660791972311</v>
      </c>
      <c r="AC255" s="14"/>
      <c r="AD255" s="204">
        <f>J255/H255</f>
        <v>0.0868819662760789</v>
      </c>
      <c r="AE255" s="200">
        <f>I255/7.4/H255</f>
        <v>0.25876119045596</v>
      </c>
      <c r="AF255" s="200">
        <f>Z255/7.4/H255</f>
        <v>0.0502073951630968</v>
      </c>
      <c r="AG255" s="200">
        <v>0.15</v>
      </c>
      <c r="AH255" s="200">
        <f>N255</f>
        <v>0.171477565018577</v>
      </c>
      <c r="AI255" s="200">
        <v>0.02</v>
      </c>
      <c r="AJ255" s="200">
        <f>M255</f>
        <v>0.05</v>
      </c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</row>
    <row r="256" ht="11.4" spans="1:75">
      <c r="A256" s="214" t="s">
        <v>338</v>
      </c>
      <c r="B256" s="14">
        <v>9</v>
      </c>
      <c r="C256" s="15" t="s">
        <v>291</v>
      </c>
      <c r="D256" s="15" t="s">
        <v>86</v>
      </c>
      <c r="E256" s="15" t="s">
        <v>281</v>
      </c>
      <c r="F256" s="198">
        <f>IF(E256="有",(I256/B256+J256+Z256/B256)/(0.99999-K256-L256-M256-N256),(I256/B256+J256+Z256/B256)/(0.99999-K256-M256-N256))</f>
        <v>27.2192651157096</v>
      </c>
      <c r="G256" s="198">
        <f>IF(E256="有",(I256/B256+J256+Z256/B256)/(0.8-K256-L256-M256-N256-O256-P256),(I256/B256+J256+Z256/B256)/(0.8-K256-M256-N256-O256-P256))</f>
        <v>60.3225829243719</v>
      </c>
      <c r="H256" s="205">
        <f>H255*0.85</f>
        <v>29.7415</v>
      </c>
      <c r="I256" s="198">
        <v>67</v>
      </c>
      <c r="J256" s="15">
        <v>3.04</v>
      </c>
      <c r="K256" s="200">
        <v>0.15</v>
      </c>
      <c r="L256" s="200">
        <v>0.16</v>
      </c>
      <c r="M256" s="200">
        <v>0.05</v>
      </c>
      <c r="N256" s="200">
        <f>Q256/H256</f>
        <v>0.201738311786561</v>
      </c>
      <c r="O256" s="201">
        <f>0.61/H256</f>
        <v>0.0205100616983004</v>
      </c>
      <c r="P256" s="200">
        <v>0.02</v>
      </c>
      <c r="Q256" s="198">
        <v>6</v>
      </c>
      <c r="R256" s="14">
        <v>33.5</v>
      </c>
      <c r="S256" s="14">
        <v>26.5</v>
      </c>
      <c r="T256" s="14">
        <v>25</v>
      </c>
      <c r="U256" s="14">
        <v>2.3</v>
      </c>
      <c r="V256" s="198">
        <f>R256*S256*T256/6000</f>
        <v>3.69895833333333</v>
      </c>
      <c r="W256" s="198">
        <f>MAX(U256:V256)</f>
        <v>3.69895833333333</v>
      </c>
      <c r="X256" s="15" t="s">
        <v>21</v>
      </c>
      <c r="Y256" s="202">
        <v>6.084</v>
      </c>
      <c r="Z256" s="198">
        <v>13</v>
      </c>
      <c r="AA256" s="198">
        <f>H256-SUM(K256:P256)*H256-J256-I256/B256-Z256/B256</f>
        <v>-0.0991588888888904</v>
      </c>
      <c r="AB256" s="201">
        <f>AA256/H256</f>
        <v>-0.00333402447384598</v>
      </c>
      <c r="AC256" s="14"/>
      <c r="AD256" s="204">
        <f>J256/H256</f>
        <v>0.102214077971857</v>
      </c>
      <c r="AE256" s="200">
        <f>I256/7.4/H256</f>
        <v>0.304424929948189</v>
      </c>
      <c r="AF256" s="200">
        <f>Z256/7.4/H256</f>
        <v>0.0590675237212903</v>
      </c>
      <c r="AG256" s="200">
        <v>0.15</v>
      </c>
      <c r="AH256" s="200">
        <f>N256</f>
        <v>0.201738311786561</v>
      </c>
      <c r="AI256" s="200">
        <v>0.02</v>
      </c>
      <c r="AJ256" s="200">
        <f>M256</f>
        <v>0.05</v>
      </c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</row>
    <row r="257" ht="11.4" spans="1:75">
      <c r="F257" s="211"/>
      <c r="G257" s="211"/>
      <c r="I257" s="211"/>
      <c r="O257" s="2"/>
      <c r="Q257" s="1"/>
      <c r="V257" s="211"/>
      <c r="W257" s="211"/>
      <c r="Y257" s="212"/>
      <c r="Z257" s="211"/>
      <c r="AA257" s="211"/>
      <c r="AB257" s="2"/>
      <c r="AD257" s="213"/>
      <c r="AE257" s="1"/>
      <c r="AF257" s="1"/>
    </row>
    <row r="258" ht="11.4" spans="1:75">
      <c r="A258" s="214" t="s">
        <v>339</v>
      </c>
      <c r="B258" s="15">
        <v>8</v>
      </c>
      <c r="C258" s="15" t="s">
        <v>279</v>
      </c>
      <c r="D258" s="15" t="s">
        <v>280</v>
      </c>
      <c r="E258" s="15" t="s">
        <v>281</v>
      </c>
      <c r="F258" s="198">
        <f>IF(E258="有",(I258/B258+J258+Z258/B258)/(0.99999-K258-L258-M258-N258),(I258/B258+J258+Z258/B258)/(0.99999-K258-M258-N258))</f>
        <v>39.6501063820884</v>
      </c>
      <c r="G258" s="198">
        <f>IF(E258="有",(I258/B258+J258+Z258/B258)/(0.8-K258-L258-M258-N258-O258-P258),(I258/B258+J258+Z258/B258)/(0.8-K258-M258-N258-O258-P258))</f>
        <v>69.1057635399068</v>
      </c>
      <c r="H258" s="205">
        <v>59.99</v>
      </c>
      <c r="I258" s="198">
        <v>130</v>
      </c>
      <c r="J258" s="15">
        <v>3.41</v>
      </c>
      <c r="K258" s="200">
        <v>0.15</v>
      </c>
      <c r="L258" s="200">
        <v>0.16</v>
      </c>
      <c r="M258" s="200">
        <v>0.05</v>
      </c>
      <c r="N258" s="200">
        <f>Q258/H258</f>
        <v>0.100016669444907</v>
      </c>
      <c r="O258" s="201">
        <f>0.61/H258</f>
        <v>0.0101683613935656</v>
      </c>
      <c r="P258" s="200">
        <v>0.02</v>
      </c>
      <c r="Q258" s="198">
        <v>6</v>
      </c>
      <c r="R258" s="14">
        <v>33.5</v>
      </c>
      <c r="S258" s="14">
        <v>26.5</v>
      </c>
      <c r="T258" s="14">
        <v>25</v>
      </c>
      <c r="U258" s="14">
        <v>2.3</v>
      </c>
      <c r="V258" s="198">
        <f>R258*S258*T258/6000</f>
        <v>3.69895833333333</v>
      </c>
      <c r="W258" s="198">
        <f>MAX(U258:V258)</f>
        <v>3.69895833333333</v>
      </c>
      <c r="X258" s="14" t="s">
        <v>21</v>
      </c>
      <c r="Y258" s="202">
        <v>5.55136</v>
      </c>
      <c r="Z258" s="198">
        <v>14</v>
      </c>
      <c r="AA258" s="198">
        <f>H258-SUM(K258:P258)*H258-J258-I258/B258-Z258/B258</f>
        <v>9.1738</v>
      </c>
      <c r="AB258" s="201">
        <f>AA258/H258</f>
        <v>0.152922153692282</v>
      </c>
      <c r="AC258" s="14"/>
      <c r="AD258" s="204">
        <f>J258/H258</f>
        <v>0.0568428071345224</v>
      </c>
      <c r="AE258" s="200">
        <f>I258/7.4/H258</f>
        <v>0.29284159972608</v>
      </c>
      <c r="AF258" s="200">
        <f>Z258/7.4/H258</f>
        <v>0.0315367876628087</v>
      </c>
      <c r="AG258" s="200">
        <v>0.15</v>
      </c>
      <c r="AH258" s="200">
        <f>N258</f>
        <v>0.100016669444907</v>
      </c>
      <c r="AI258" s="200">
        <v>0.02</v>
      </c>
      <c r="AJ258" s="200">
        <f>M258</f>
        <v>0.05</v>
      </c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</row>
    <row r="259" ht="11.4" spans="1:75">
      <c r="A259" s="214" t="s">
        <v>340</v>
      </c>
      <c r="B259" s="15">
        <v>8</v>
      </c>
      <c r="C259" s="15" t="s">
        <v>279</v>
      </c>
      <c r="D259" s="15" t="s">
        <v>280</v>
      </c>
      <c r="E259" s="15" t="s">
        <v>281</v>
      </c>
      <c r="F259" s="198">
        <f>IF(E259="有",(I259/B259+J259+Z259/B259)/(0.99999-K259-L259-M259-N259),(I259/B259+J259+Z259/B259)/(0.99999-K259-M259-N259))</f>
        <v>40.9899362476175</v>
      </c>
      <c r="G259" s="198">
        <f>IF(E259="有",(I259/B259+J259+Z259/B259)/(0.8-K259-L259-M259-N259-O259-P259),(I259/B259+J259+Z259/B259)/(0.8-K259-M259-N259-O259-P259))</f>
        <v>73.7333722578636</v>
      </c>
      <c r="H259" s="205">
        <f>H258*0.85</f>
        <v>50.9915</v>
      </c>
      <c r="I259" s="198">
        <v>130</v>
      </c>
      <c r="J259" s="15">
        <v>3.41</v>
      </c>
      <c r="K259" s="200">
        <v>0.15</v>
      </c>
      <c r="L259" s="200">
        <v>0.16</v>
      </c>
      <c r="M259" s="200">
        <v>0.05</v>
      </c>
      <c r="N259" s="200">
        <f>Q259/H259</f>
        <v>0.117666669935185</v>
      </c>
      <c r="O259" s="201">
        <f>0.61/H259</f>
        <v>0.0119627781100772</v>
      </c>
      <c r="P259" s="200">
        <v>0.02</v>
      </c>
      <c r="Q259" s="198">
        <v>6</v>
      </c>
      <c r="R259" s="14">
        <v>33.5</v>
      </c>
      <c r="S259" s="14">
        <v>26.5</v>
      </c>
      <c r="T259" s="14">
        <v>25</v>
      </c>
      <c r="U259" s="14">
        <v>2.3</v>
      </c>
      <c r="V259" s="198">
        <f>R259*S259*T259/6000</f>
        <v>3.69895833333333</v>
      </c>
      <c r="W259" s="198">
        <f>MAX(U259:V259)</f>
        <v>3.69895833333333</v>
      </c>
      <c r="X259" s="15" t="s">
        <v>21</v>
      </c>
      <c r="Y259" s="202">
        <v>5.55136</v>
      </c>
      <c r="Z259" s="198">
        <v>14</v>
      </c>
      <c r="AA259" s="198">
        <f>H259-SUM(K259:P259)*H259-J259-I259/B259-Z259/B259</f>
        <v>3.59473</v>
      </c>
      <c r="AB259" s="201">
        <f>AA259/H259</f>
        <v>0.0704966514026848</v>
      </c>
      <c r="AC259" s="14"/>
      <c r="AD259" s="204">
        <f>J259/H259</f>
        <v>0.066873890746497</v>
      </c>
      <c r="AE259" s="200">
        <f>I259/B259/H259</f>
        <v>0.318680564407793</v>
      </c>
      <c r="AF259" s="200">
        <f>Z259/B259/H259</f>
        <v>0.0343194453977624</v>
      </c>
      <c r="AG259" s="200">
        <f>K259</f>
        <v>0.15</v>
      </c>
      <c r="AH259" s="200">
        <f>N259</f>
        <v>0.117666669935185</v>
      </c>
      <c r="AI259" s="200">
        <v>0.02</v>
      </c>
      <c r="AJ259" s="200">
        <f>M259</f>
        <v>0.05</v>
      </c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</row>
    <row r="260" ht="11.4" spans="1:75">
      <c r="A260" s="214"/>
      <c r="B260" s="14"/>
      <c r="C260" s="14"/>
      <c r="D260" s="14"/>
      <c r="E260" s="14"/>
      <c r="F260" s="198"/>
      <c r="G260" s="198"/>
      <c r="H260" s="205"/>
      <c r="I260" s="198"/>
      <c r="J260" s="15"/>
      <c r="K260" s="200"/>
      <c r="L260" s="200"/>
      <c r="M260" s="200"/>
      <c r="N260" s="200"/>
      <c r="O260" s="201"/>
      <c r="P260" s="200"/>
      <c r="Q260" s="198"/>
      <c r="R260" s="14"/>
      <c r="S260" s="14"/>
      <c r="T260" s="14"/>
      <c r="U260" s="14"/>
      <c r="V260" s="198"/>
      <c r="W260" s="198"/>
      <c r="X260" s="15"/>
      <c r="Y260" s="202"/>
      <c r="Z260" s="15"/>
      <c r="AA260" s="198"/>
      <c r="AB260" s="201"/>
      <c r="AC260" s="14"/>
      <c r="AD260" s="204"/>
      <c r="AE260" s="200"/>
      <c r="AF260" s="200"/>
      <c r="AG260" s="200"/>
      <c r="AH260" s="200"/>
      <c r="AI260" s="200"/>
      <c r="AJ260" s="200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</row>
    <row r="261" ht="11.4" spans="1:75">
      <c r="A261" s="214" t="s">
        <v>339</v>
      </c>
      <c r="B261" s="15">
        <v>8</v>
      </c>
      <c r="C261" s="14" t="s">
        <v>284</v>
      </c>
      <c r="D261" s="14" t="s">
        <v>285</v>
      </c>
      <c r="E261" s="15" t="s">
        <v>281</v>
      </c>
      <c r="F261" s="198">
        <f>IF(E261="有",(I261/B261+J261+Z261/B261)/(0.99999-K261-L261-M261-N261),(I261/B261+J261+Z261/B261)/(0.99999-K261-M261-N261))</f>
        <v>44.0577314726709</v>
      </c>
      <c r="G261" s="198">
        <f>IF(E261="有",(I261/B261+J261+Z261/B261)/(0.8-K261-L261-M261-N261-O261-P261),(I261/B261+J261+Z261/B261)/(0.8-K261-M261-N261-O261-P261))</f>
        <v>76.7877680810081</v>
      </c>
      <c r="H261" s="205">
        <v>59.99</v>
      </c>
      <c r="I261" s="198">
        <v>130</v>
      </c>
      <c r="J261" s="15">
        <v>5.79</v>
      </c>
      <c r="K261" s="200">
        <v>0.15</v>
      </c>
      <c r="L261" s="200">
        <v>0.16</v>
      </c>
      <c r="M261" s="200">
        <v>0.05</v>
      </c>
      <c r="N261" s="200">
        <f>Q261/H261</f>
        <v>0.100016669444907</v>
      </c>
      <c r="O261" s="201">
        <f>0.61/H261</f>
        <v>0.0101683613935656</v>
      </c>
      <c r="P261" s="200">
        <v>0.02</v>
      </c>
      <c r="Q261" s="198">
        <v>6</v>
      </c>
      <c r="R261" s="14">
        <v>33.5</v>
      </c>
      <c r="S261" s="14">
        <v>26.5</v>
      </c>
      <c r="T261" s="14">
        <v>25</v>
      </c>
      <c r="U261" s="14">
        <v>2.3</v>
      </c>
      <c r="V261" s="198">
        <f>R261*S261*T261/6000</f>
        <v>3.69895833333333</v>
      </c>
      <c r="W261" s="198">
        <f>MAX(U261:V261)</f>
        <v>3.69895833333333</v>
      </c>
      <c r="X261" s="14" t="s">
        <v>21</v>
      </c>
      <c r="Y261" s="202">
        <v>5.55136</v>
      </c>
      <c r="Z261" s="198">
        <v>14</v>
      </c>
      <c r="AA261" s="198">
        <f>H261-SUM(K261:P261)*H261-J261-I261/B261-Z261/B261</f>
        <v>6.7938</v>
      </c>
      <c r="AB261" s="201">
        <f>AA261/H261</f>
        <v>0.113248874812469</v>
      </c>
      <c r="AC261" s="14"/>
      <c r="AD261" s="204">
        <f>J261/H261</f>
        <v>0.0965160860143357</v>
      </c>
      <c r="AE261" s="200">
        <f>I261/7.4/H261</f>
        <v>0.29284159972608</v>
      </c>
      <c r="AF261" s="200">
        <f>Z261/7.4/H261</f>
        <v>0.0315367876628087</v>
      </c>
      <c r="AG261" s="200">
        <v>0.15</v>
      </c>
      <c r="AH261" s="200">
        <f>N261</f>
        <v>0.100016669444907</v>
      </c>
      <c r="AI261" s="200">
        <v>0.02</v>
      </c>
      <c r="AJ261" s="200">
        <f>M261</f>
        <v>0.05</v>
      </c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</row>
    <row r="262" ht="11.4" spans="1:75">
      <c r="A262" s="214" t="s">
        <v>340</v>
      </c>
      <c r="B262" s="15">
        <v>8</v>
      </c>
      <c r="C262" s="15" t="s">
        <v>284</v>
      </c>
      <c r="D262" s="15" t="s">
        <v>285</v>
      </c>
      <c r="E262" s="15" t="s">
        <v>281</v>
      </c>
      <c r="F262" s="198">
        <f>IF(E262="有",(I262/B262+J262+Z262/B262)/(0.99999-K262-L262-M262-N262),(I262/B262+J262+Z262/B262)/(0.99999-K262-M262-N262))</f>
        <v>45.5465008561802</v>
      </c>
      <c r="G262" s="198">
        <f>IF(E262="有",(I262/B262+J262+Z262/B262)/(0.8-K262-L262-M262-N262-O262-P262),(I262/B262+J262+Z262/B262)/(0.8-K262-M262-N262-O262-P262))</f>
        <v>81.9297957036234</v>
      </c>
      <c r="H262" s="205">
        <f>H261*0.85</f>
        <v>50.9915</v>
      </c>
      <c r="I262" s="198">
        <v>130</v>
      </c>
      <c r="J262" s="15">
        <v>5.79</v>
      </c>
      <c r="K262" s="200">
        <v>0.15</v>
      </c>
      <c r="L262" s="200">
        <v>0.16</v>
      </c>
      <c r="M262" s="200">
        <v>0.05</v>
      </c>
      <c r="N262" s="200">
        <f>Q262/H262</f>
        <v>0.117666669935185</v>
      </c>
      <c r="O262" s="201">
        <f>0.61/H262</f>
        <v>0.0119627781100772</v>
      </c>
      <c r="P262" s="200">
        <v>0.02</v>
      </c>
      <c r="Q262" s="198">
        <v>6</v>
      </c>
      <c r="R262" s="14">
        <v>33.5</v>
      </c>
      <c r="S262" s="14">
        <v>26.5</v>
      </c>
      <c r="T262" s="14">
        <v>25</v>
      </c>
      <c r="U262" s="14">
        <v>2.3</v>
      </c>
      <c r="V262" s="198">
        <f>R262*S262*T262/6000</f>
        <v>3.69895833333333</v>
      </c>
      <c r="W262" s="198">
        <f>MAX(U262:V262)</f>
        <v>3.69895833333333</v>
      </c>
      <c r="X262" s="15" t="s">
        <v>21</v>
      </c>
      <c r="Y262" s="202">
        <v>5.55136</v>
      </c>
      <c r="Z262" s="198">
        <v>14</v>
      </c>
      <c r="AA262" s="198">
        <f>H262-SUM(K262:P262)*H262-J262-I262/B262-Z262/B262</f>
        <v>1.21473</v>
      </c>
      <c r="AB262" s="201">
        <f>AA262/H262</f>
        <v>0.023822205661728</v>
      </c>
      <c r="AC262" s="14"/>
      <c r="AD262" s="204">
        <f>J262/H262</f>
        <v>0.113548336487454</v>
      </c>
      <c r="AE262" s="200">
        <f>I262/7.4/H262</f>
        <v>0.344519529089506</v>
      </c>
      <c r="AF262" s="200">
        <f>Z262/7.4/H262</f>
        <v>0.0371021031327161</v>
      </c>
      <c r="AG262" s="200">
        <v>0.15</v>
      </c>
      <c r="AH262" s="200">
        <f>N262</f>
        <v>0.117666669935185</v>
      </c>
      <c r="AI262" s="200">
        <v>0.02</v>
      </c>
      <c r="AJ262" s="200">
        <f>M262</f>
        <v>0.05</v>
      </c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</row>
    <row r="263" ht="11.4" spans="1:75">
      <c r="A263" s="214"/>
      <c r="B263" s="14"/>
      <c r="C263" s="14"/>
      <c r="D263" s="14"/>
      <c r="E263" s="14"/>
      <c r="F263" s="198"/>
      <c r="G263" s="198"/>
      <c r="H263" s="205"/>
      <c r="I263" s="198"/>
      <c r="J263" s="15"/>
      <c r="K263" s="200"/>
      <c r="L263" s="200"/>
      <c r="M263" s="200"/>
      <c r="N263" s="200"/>
      <c r="O263" s="201"/>
      <c r="P263" s="200"/>
      <c r="Q263" s="200"/>
      <c r="R263" s="14"/>
      <c r="S263" s="14"/>
      <c r="T263" s="14"/>
      <c r="U263" s="14"/>
      <c r="V263" s="198"/>
      <c r="W263" s="198"/>
      <c r="X263" s="15"/>
      <c r="Y263" s="202"/>
      <c r="Z263" s="15"/>
      <c r="AA263" s="198"/>
      <c r="AB263" s="201"/>
      <c r="AC263" s="14"/>
      <c r="AD263" s="204"/>
      <c r="AE263" s="200"/>
      <c r="AF263" s="200"/>
      <c r="AG263" s="200"/>
      <c r="AH263" s="200"/>
      <c r="AI263" s="200"/>
      <c r="AJ263" s="200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</row>
    <row r="264" ht="11.4" spans="1:75">
      <c r="A264" s="214" t="s">
        <v>339</v>
      </c>
      <c r="B264" s="15">
        <v>8</v>
      </c>
      <c r="C264" s="14" t="s">
        <v>286</v>
      </c>
      <c r="D264" s="14" t="s">
        <v>287</v>
      </c>
      <c r="E264" s="15" t="s">
        <v>281</v>
      </c>
      <c r="F264" s="198">
        <f>IF(E264="有",(I264/B264+J264+Z264/B264)/(0.99999-K264-L264-M264-N264),(I264/B264+J264+Z264/B264)/(0.99999-K264-M264-N264))</f>
        <v>42.5020990877594</v>
      </c>
      <c r="G264" s="198">
        <f>IF(E264="有",(I264/B264+J264+Z264/B264)/(0.8-K264-L264-M264-N264-O264-P264),(I264/B264+J264+Z264/B264)/(0.8-K264-M264-N264-O264-P264))</f>
        <v>74.0764723606194</v>
      </c>
      <c r="H264" s="205">
        <v>59.99</v>
      </c>
      <c r="I264" s="198">
        <v>130</v>
      </c>
      <c r="J264" s="15">
        <v>4.95</v>
      </c>
      <c r="K264" s="200">
        <v>0.15</v>
      </c>
      <c r="L264" s="200">
        <v>0.16</v>
      </c>
      <c r="M264" s="200">
        <v>0.05</v>
      </c>
      <c r="N264" s="200">
        <f>Q264/H264</f>
        <v>0.100016669444907</v>
      </c>
      <c r="O264" s="201">
        <f>0.61/H264</f>
        <v>0.0101683613935656</v>
      </c>
      <c r="P264" s="200">
        <v>0.02</v>
      </c>
      <c r="Q264" s="198">
        <v>6</v>
      </c>
      <c r="R264" s="14">
        <v>33.5</v>
      </c>
      <c r="S264" s="14">
        <v>26.5</v>
      </c>
      <c r="T264" s="14">
        <v>25</v>
      </c>
      <c r="U264" s="14">
        <v>2.3</v>
      </c>
      <c r="V264" s="198">
        <f>R264*S264*T264/6000</f>
        <v>3.69895833333333</v>
      </c>
      <c r="W264" s="198">
        <f>MAX(U264:V264)</f>
        <v>3.69895833333333</v>
      </c>
      <c r="X264" s="14" t="s">
        <v>21</v>
      </c>
      <c r="Y264" s="202">
        <v>5.55136</v>
      </c>
      <c r="Z264" s="198">
        <v>14</v>
      </c>
      <c r="AA264" s="198">
        <f>H264-SUM(K264:P264)*H264-J264-I264/B264-Z264/B264</f>
        <v>7.6338</v>
      </c>
      <c r="AB264" s="201">
        <f>AA264/H264</f>
        <v>0.127251208534756</v>
      </c>
      <c r="AC264" s="14"/>
      <c r="AD264" s="204">
        <f>J264/H264</f>
        <v>0.0825137522920487</v>
      </c>
      <c r="AE264" s="200">
        <f>I264/7.4/H264</f>
        <v>0.29284159972608</v>
      </c>
      <c r="AF264" s="200">
        <f>Z264/7.4/H264</f>
        <v>0.0315367876628087</v>
      </c>
      <c r="AG264" s="200">
        <v>0.15</v>
      </c>
      <c r="AH264" s="200">
        <f>N264</f>
        <v>0.100016669444907</v>
      </c>
      <c r="AI264" s="200">
        <v>0.02</v>
      </c>
      <c r="AJ264" s="200">
        <f>M264</f>
        <v>0.05</v>
      </c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</row>
    <row r="265" ht="11.4" spans="1:75">
      <c r="A265" s="214" t="s">
        <v>340</v>
      </c>
      <c r="B265" s="15">
        <v>8</v>
      </c>
      <c r="C265" s="15" t="s">
        <v>286</v>
      </c>
      <c r="D265" s="15" t="s">
        <v>287</v>
      </c>
      <c r="E265" s="15" t="s">
        <v>281</v>
      </c>
      <c r="F265" s="198">
        <f>IF(E265="有",(I265/B265+J265+Z265/B265)/(0.99999-K265-L265-M265-N265),(I265/B265+J265+Z265/B265)/(0.99999-K265-M265-N265))</f>
        <v>43.9383015825698</v>
      </c>
      <c r="G265" s="198">
        <f>IF(E265="有",(I265/B265+J265+Z265/B265)/(0.8-K265-L265-M265-N265-O265-P265),(I265/B265+J265+Z265/B265)/(0.8-K265-M265-N265-O265-P265))</f>
        <v>79.0369403698258</v>
      </c>
      <c r="H265" s="205">
        <f>H264*0.85</f>
        <v>50.9915</v>
      </c>
      <c r="I265" s="198">
        <v>130</v>
      </c>
      <c r="J265" s="15">
        <v>4.95</v>
      </c>
      <c r="K265" s="200">
        <v>0.15</v>
      </c>
      <c r="L265" s="200">
        <v>0.16</v>
      </c>
      <c r="M265" s="200">
        <v>0.05</v>
      </c>
      <c r="N265" s="200">
        <f>Q265/H265</f>
        <v>0.117666669935185</v>
      </c>
      <c r="O265" s="201">
        <f>0.61/H265</f>
        <v>0.0119627781100772</v>
      </c>
      <c r="P265" s="200">
        <v>0.02</v>
      </c>
      <c r="Q265" s="198">
        <v>6</v>
      </c>
      <c r="R265" s="14">
        <v>33.5</v>
      </c>
      <c r="S265" s="14">
        <v>26.5</v>
      </c>
      <c r="T265" s="14">
        <v>25</v>
      </c>
      <c r="U265" s="14">
        <v>2.3</v>
      </c>
      <c r="V265" s="198">
        <f>R265*S265*T265/6000</f>
        <v>3.69895833333333</v>
      </c>
      <c r="W265" s="198">
        <f>MAX(U265:V265)</f>
        <v>3.69895833333333</v>
      </c>
      <c r="X265" s="15" t="s">
        <v>21</v>
      </c>
      <c r="Y265" s="202">
        <v>5.55136</v>
      </c>
      <c r="Z265" s="198">
        <v>14</v>
      </c>
      <c r="AA265" s="198">
        <f>H265-SUM(K265:P265)*H265-J265-I265/B265-Z265/B265</f>
        <v>2.05473</v>
      </c>
      <c r="AB265" s="201">
        <f>AA265/H265</f>
        <v>0.0402955394526539</v>
      </c>
      <c r="AC265" s="14"/>
      <c r="AD265" s="204">
        <f>J265/H265</f>
        <v>0.0970750026965279</v>
      </c>
      <c r="AE265" s="200">
        <f>I265/7.4/H265</f>
        <v>0.344519529089506</v>
      </c>
      <c r="AF265" s="200">
        <f>Z265/7.4/H265</f>
        <v>0.0371021031327161</v>
      </c>
      <c r="AG265" s="200">
        <v>0.15</v>
      </c>
      <c r="AH265" s="200">
        <f>N265</f>
        <v>0.117666669935185</v>
      </c>
      <c r="AI265" s="200">
        <v>0.02</v>
      </c>
      <c r="AJ265" s="200">
        <f>M265</f>
        <v>0.05</v>
      </c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</row>
    <row r="266" ht="11.4" spans="1:75">
      <c r="A266" s="214"/>
      <c r="B266" s="14"/>
      <c r="C266" s="14"/>
      <c r="D266" s="14"/>
      <c r="E266" s="14"/>
      <c r="F266" s="198"/>
      <c r="G266" s="198"/>
      <c r="H266" s="205"/>
      <c r="I266" s="198"/>
      <c r="J266" s="15"/>
      <c r="K266" s="200"/>
      <c r="L266" s="200"/>
      <c r="M266" s="200"/>
      <c r="N266" s="200"/>
      <c r="O266" s="201"/>
      <c r="P266" s="200"/>
      <c r="Q266" s="200"/>
      <c r="R266" s="14"/>
      <c r="S266" s="14"/>
      <c r="T266" s="14"/>
      <c r="U266" s="14"/>
      <c r="V266" s="198"/>
      <c r="W266" s="198"/>
      <c r="X266" s="15"/>
      <c r="Y266" s="202"/>
      <c r="Z266" s="15"/>
      <c r="AA266" s="198"/>
      <c r="AB266" s="201"/>
      <c r="AC266" s="14"/>
      <c r="AD266" s="204"/>
      <c r="AE266" s="200"/>
      <c r="AF266" s="200"/>
      <c r="AG266" s="200"/>
      <c r="AH266" s="200"/>
      <c r="AI266" s="200"/>
      <c r="AJ266" s="200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</row>
    <row r="267" ht="11.4" spans="1:75">
      <c r="A267" s="214" t="s">
        <v>339</v>
      </c>
      <c r="B267" s="15">
        <v>8</v>
      </c>
      <c r="C267" s="14" t="s">
        <v>289</v>
      </c>
      <c r="D267" s="14" t="s">
        <v>290</v>
      </c>
      <c r="E267" s="15" t="s">
        <v>281</v>
      </c>
      <c r="F267" s="198">
        <f>IF(E267="有",(I267/B267+J267+Z267/B267)/(0.99999-K267-L267-M267-N267),(I267/B267+J267+Z267/B267)/(0.99999-K267-M267-N267))</f>
        <v>40.6501557723886</v>
      </c>
      <c r="G267" s="198">
        <f>IF(E267="有",(I267/B267+J267+Z267/B267)/(0.8-K267-L267-M267-N267-O267-P267),(I267/B267+J267+Z267/B267)/(0.8-K267-M267-N267-O267-P267))</f>
        <v>70.8487393601567</v>
      </c>
      <c r="H267" s="205">
        <v>59.99</v>
      </c>
      <c r="I267" s="198">
        <v>130</v>
      </c>
      <c r="J267" s="15">
        <v>3.95</v>
      </c>
      <c r="K267" s="200">
        <v>0.15</v>
      </c>
      <c r="L267" s="200">
        <v>0.16</v>
      </c>
      <c r="M267" s="200">
        <v>0.05</v>
      </c>
      <c r="N267" s="200">
        <f>Q267/H267</f>
        <v>0.100016669444907</v>
      </c>
      <c r="O267" s="201">
        <f>0.61/H267</f>
        <v>0.0101683613935656</v>
      </c>
      <c r="P267" s="200">
        <v>0.02</v>
      </c>
      <c r="Q267" s="198">
        <v>6</v>
      </c>
      <c r="R267" s="14">
        <v>33.5</v>
      </c>
      <c r="S267" s="14">
        <v>26.5</v>
      </c>
      <c r="T267" s="14">
        <v>25</v>
      </c>
      <c r="U267" s="14">
        <v>2.3</v>
      </c>
      <c r="V267" s="198">
        <f>R267*S267*T267/6000</f>
        <v>3.69895833333333</v>
      </c>
      <c r="W267" s="198">
        <f>MAX(U267:V267)</f>
        <v>3.69895833333333</v>
      </c>
      <c r="X267" s="14" t="s">
        <v>21</v>
      </c>
      <c r="Y267" s="202">
        <v>5.55136</v>
      </c>
      <c r="Z267" s="198">
        <v>14</v>
      </c>
      <c r="AA267" s="198">
        <f>H267-SUM(K267:P267)*H267-J267-I267/B267-Z267/B267</f>
        <v>8.6338</v>
      </c>
      <c r="AB267" s="201">
        <f>AA267/H267</f>
        <v>0.14392065344224</v>
      </c>
      <c r="AC267" s="14"/>
      <c r="AD267" s="204">
        <f>J267/H267</f>
        <v>0.0658443073845641</v>
      </c>
      <c r="AE267" s="200">
        <f>I267/7.4/H267</f>
        <v>0.29284159972608</v>
      </c>
      <c r="AF267" s="200">
        <f>Z267/7.4/H267</f>
        <v>0.0315367876628087</v>
      </c>
      <c r="AG267" s="200">
        <v>0.15</v>
      </c>
      <c r="AH267" s="200">
        <f>N267</f>
        <v>0.100016669444907</v>
      </c>
      <c r="AI267" s="200">
        <v>0.02</v>
      </c>
      <c r="AJ267" s="200">
        <f>M267</f>
        <v>0.05</v>
      </c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</row>
    <row r="268" ht="11.4" spans="1:75">
      <c r="A268" s="214" t="s">
        <v>340</v>
      </c>
      <c r="B268" s="15">
        <v>8</v>
      </c>
      <c r="C268" s="15" t="s">
        <v>289</v>
      </c>
      <c r="D268" s="15" t="s">
        <v>290</v>
      </c>
      <c r="E268" s="15" t="s">
        <v>281</v>
      </c>
      <c r="F268" s="198">
        <f>IF(E268="有",(I268/B268+J268+Z268/B268)/(0.99999-K268-L268-M268-N268),(I268/B268+J268+Z268/B268)/(0.99999-K268-M268-N268))</f>
        <v>42.0237786377956</v>
      </c>
      <c r="G268" s="198">
        <f>IF(E268="有",(I268/B268+J268+Z268/B268)/(0.8-K268-L268-M268-N268-O268-P268),(I268/B268+J268+Z268/B268)/(0.8-K268-M268-N268-O268-P268))</f>
        <v>75.5930649724478</v>
      </c>
      <c r="H268" s="205">
        <f>H267*0.85</f>
        <v>50.9915</v>
      </c>
      <c r="I268" s="198">
        <v>130</v>
      </c>
      <c r="J268" s="15">
        <v>3.95</v>
      </c>
      <c r="K268" s="200">
        <v>0.15</v>
      </c>
      <c r="L268" s="200">
        <v>0.16</v>
      </c>
      <c r="M268" s="200">
        <v>0.05</v>
      </c>
      <c r="N268" s="200">
        <f>Q268/H268</f>
        <v>0.117666669935185</v>
      </c>
      <c r="O268" s="201">
        <f>0.61/H268</f>
        <v>0.0119627781100772</v>
      </c>
      <c r="P268" s="200">
        <v>0.02</v>
      </c>
      <c r="Q268" s="198">
        <v>6</v>
      </c>
      <c r="R268" s="14">
        <v>33.5</v>
      </c>
      <c r="S268" s="14">
        <v>26.5</v>
      </c>
      <c r="T268" s="14">
        <v>25</v>
      </c>
      <c r="U268" s="14">
        <v>2.3</v>
      </c>
      <c r="V268" s="198">
        <f>R268*S268*T268/6000</f>
        <v>3.69895833333333</v>
      </c>
      <c r="W268" s="198">
        <f>MAX(U268:V268)</f>
        <v>3.69895833333333</v>
      </c>
      <c r="X268" s="15" t="s">
        <v>21</v>
      </c>
      <c r="Y268" s="202">
        <v>5.55136</v>
      </c>
      <c r="Z268" s="198">
        <v>14</v>
      </c>
      <c r="AA268" s="198">
        <f>H268-SUM(K268:P268)*H268-J268-I268/B268-Z268/B268</f>
        <v>3.05473</v>
      </c>
      <c r="AB268" s="201">
        <f>AA268/H268</f>
        <v>0.0599066511085181</v>
      </c>
      <c r="AC268" s="14"/>
      <c r="AD268" s="204">
        <f>J268/H268</f>
        <v>0.0774638910406636</v>
      </c>
      <c r="AE268" s="200">
        <f>I268/7.4/H268</f>
        <v>0.344519529089506</v>
      </c>
      <c r="AF268" s="200">
        <f>Z268/7.4/H268</f>
        <v>0.0371021031327161</v>
      </c>
      <c r="AG268" s="200">
        <v>0.15</v>
      </c>
      <c r="AH268" s="200">
        <f>N268</f>
        <v>0.117666669935185</v>
      </c>
      <c r="AI268" s="200">
        <v>0.02</v>
      </c>
      <c r="AJ268" s="200">
        <f>M268</f>
        <v>0.05</v>
      </c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</row>
    <row r="269" ht="11.4" spans="1:75">
      <c r="A269" s="214"/>
      <c r="B269" s="15"/>
      <c r="C269" s="15"/>
      <c r="D269" s="15"/>
      <c r="E269" s="15"/>
      <c r="F269" s="198"/>
      <c r="G269" s="198"/>
      <c r="H269" s="205"/>
      <c r="I269" s="198"/>
      <c r="J269" s="15"/>
      <c r="K269" s="200"/>
      <c r="L269" s="200"/>
      <c r="M269" s="200"/>
      <c r="N269" s="200"/>
      <c r="O269" s="201"/>
      <c r="P269" s="200"/>
      <c r="Q269" s="200"/>
      <c r="R269" s="14"/>
      <c r="S269" s="14"/>
      <c r="T269" s="14"/>
      <c r="U269" s="14"/>
      <c r="V269" s="198"/>
      <c r="W269" s="198"/>
      <c r="X269" s="15"/>
      <c r="Y269" s="202"/>
      <c r="Z269" s="15"/>
      <c r="AA269" s="198"/>
      <c r="AB269" s="201"/>
      <c r="AC269" s="14"/>
      <c r="AD269" s="204"/>
      <c r="AE269" s="200"/>
      <c r="AF269" s="200"/>
      <c r="AG269" s="200"/>
      <c r="AH269" s="200"/>
      <c r="AI269" s="200"/>
      <c r="AJ269" s="200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</row>
    <row r="270" ht="11.4" spans="1:75">
      <c r="A270" s="214" t="s">
        <v>339</v>
      </c>
      <c r="B270" s="14">
        <v>9</v>
      </c>
      <c r="C270" s="15" t="s">
        <v>291</v>
      </c>
      <c r="D270" s="15" t="s">
        <v>86</v>
      </c>
      <c r="E270" s="15" t="s">
        <v>281</v>
      </c>
      <c r="F270" s="198">
        <f>IF(E270="有",(I270/B270+J270+Z270/B270)/(0.99999-K270-L270-M270-N270),(I270/B270+J270+Z270/B270)/(0.99999-K270-M270-N270))</f>
        <v>35.2610007246597</v>
      </c>
      <c r="G270" s="198">
        <f>IF(E270="有",(I270/B270+J270+Z270/B270)/(0.8-K270-L270-M270-N270-O270-P270),(I270/B270+J270+Z270/B270)/(0.8-K270-M270-N270-O270-P270))</f>
        <v>61.4560363288102</v>
      </c>
      <c r="H270" s="205">
        <v>59.99</v>
      </c>
      <c r="I270" s="198">
        <v>130</v>
      </c>
      <c r="J270" s="15">
        <v>3.04</v>
      </c>
      <c r="K270" s="200">
        <v>0.15</v>
      </c>
      <c r="L270" s="200">
        <v>0.16</v>
      </c>
      <c r="M270" s="200">
        <v>0.05</v>
      </c>
      <c r="N270" s="200">
        <f>Q270/H270</f>
        <v>0.100016669444907</v>
      </c>
      <c r="O270" s="201">
        <f>0.61/H270</f>
        <v>0.0101683613935656</v>
      </c>
      <c r="P270" s="200">
        <v>0.02</v>
      </c>
      <c r="Q270" s="198">
        <v>6</v>
      </c>
      <c r="R270" s="14">
        <v>33.5</v>
      </c>
      <c r="S270" s="14">
        <v>26.5</v>
      </c>
      <c r="T270" s="14">
        <v>25</v>
      </c>
      <c r="U270" s="14">
        <v>2.3</v>
      </c>
      <c r="V270" s="198">
        <f>R270*S270*T270/6000</f>
        <v>3.69895833333333</v>
      </c>
      <c r="W270" s="198">
        <f>MAX(U270:V270)</f>
        <v>3.69895833333333</v>
      </c>
      <c r="X270" s="15" t="s">
        <v>21</v>
      </c>
      <c r="Y270" s="202">
        <v>6.084</v>
      </c>
      <c r="Z270" s="198">
        <v>14</v>
      </c>
      <c r="AA270" s="198">
        <f>H270-SUM(K270:P270)*H270-J270-I270/B270-Z270/B270</f>
        <v>11.5438</v>
      </c>
      <c r="AB270" s="201">
        <f>AA270/H270</f>
        <v>0.192428738123021</v>
      </c>
      <c r="AC270" s="14"/>
      <c r="AD270" s="204">
        <f>J270/H270</f>
        <v>0.0506751125187531</v>
      </c>
      <c r="AE270" s="200">
        <f>I270/7.4/H270</f>
        <v>0.29284159972608</v>
      </c>
      <c r="AF270" s="200">
        <f>Z270/7.4/H270</f>
        <v>0.0315367876628087</v>
      </c>
      <c r="AG270" s="200">
        <v>0.15</v>
      </c>
      <c r="AH270" s="200">
        <f>N270</f>
        <v>0.100016669444907</v>
      </c>
      <c r="AI270" s="200">
        <v>0.02</v>
      </c>
      <c r="AJ270" s="200">
        <f>M270</f>
        <v>0.05</v>
      </c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</row>
    <row r="271" ht="11.4" spans="1:75">
      <c r="A271" s="214" t="s">
        <v>340</v>
      </c>
      <c r="B271" s="14">
        <v>9</v>
      </c>
      <c r="C271" s="15" t="s">
        <v>291</v>
      </c>
      <c r="D271" s="15" t="s">
        <v>86</v>
      </c>
      <c r="E271" s="15" t="s">
        <v>281</v>
      </c>
      <c r="F271" s="198">
        <f>IF(E271="有",(I271/B271+J271+Z271/B271)/(0.99999-K271-L271-M271-N271),(I271/B271+J271+Z271/B271)/(0.99999-K271-M271-N271))</f>
        <v>36.4525168685024</v>
      </c>
      <c r="G271" s="198">
        <f>IF(E271="有",(I271/B271+J271+Z271/B271)/(0.8-K271-L271-M271-N271-O271-P271),(I271/B271+J271+Z271/B271)/(0.8-K271-M271-N271-O271-P271))</f>
        <v>65.5713875660777</v>
      </c>
      <c r="H271" s="205">
        <f>H270*0.85</f>
        <v>50.9915</v>
      </c>
      <c r="I271" s="198">
        <v>130</v>
      </c>
      <c r="J271" s="15">
        <v>3.04</v>
      </c>
      <c r="K271" s="200">
        <v>0.15</v>
      </c>
      <c r="L271" s="200">
        <v>0.16</v>
      </c>
      <c r="M271" s="200">
        <v>0.05</v>
      </c>
      <c r="N271" s="200">
        <f>Q271/H271</f>
        <v>0.117666669935185</v>
      </c>
      <c r="O271" s="201">
        <f>0.61/H271</f>
        <v>0.0119627781100772</v>
      </c>
      <c r="P271" s="200">
        <v>0.02</v>
      </c>
      <c r="Q271" s="198">
        <v>6</v>
      </c>
      <c r="R271" s="14">
        <v>33.5</v>
      </c>
      <c r="S271" s="14">
        <v>26.5</v>
      </c>
      <c r="T271" s="14">
        <v>25</v>
      </c>
      <c r="U271" s="14">
        <v>2.3</v>
      </c>
      <c r="V271" s="198">
        <f>R271*S271*T271/6000</f>
        <v>3.69895833333333</v>
      </c>
      <c r="W271" s="198">
        <f>MAX(U271:V271)</f>
        <v>3.69895833333333</v>
      </c>
      <c r="X271" s="15" t="s">
        <v>21</v>
      </c>
      <c r="Y271" s="202">
        <v>6.084</v>
      </c>
      <c r="Z271" s="198">
        <v>14</v>
      </c>
      <c r="AA271" s="198">
        <f>H271-SUM(K271:P271)*H271-J271-I271/B271-Z271/B271</f>
        <v>5.96473</v>
      </c>
      <c r="AB271" s="201">
        <f>AA271/H271</f>
        <v>0.116974986027083</v>
      </c>
      <c r="AC271" s="14"/>
      <c r="AD271" s="204">
        <f>J271/H271</f>
        <v>0.0596177794338272</v>
      </c>
      <c r="AE271" s="200">
        <f>I271/7.4/H271</f>
        <v>0.344519529089506</v>
      </c>
      <c r="AF271" s="200">
        <f>Z271/7.4/H271</f>
        <v>0.0371021031327161</v>
      </c>
      <c r="AG271" s="200">
        <v>0.15</v>
      </c>
      <c r="AH271" s="200">
        <f>N271</f>
        <v>0.117666669935185</v>
      </c>
      <c r="AI271" s="200">
        <v>0.02</v>
      </c>
      <c r="AJ271" s="200">
        <f>M271</f>
        <v>0.05</v>
      </c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</row>
    <row r="272" ht="11.4" spans="1:75">
      <c r="F272" s="211"/>
      <c r="G272" s="211"/>
      <c r="I272" s="211"/>
      <c r="O272" s="2"/>
      <c r="Q272" s="1"/>
      <c r="V272" s="211"/>
      <c r="W272" s="211"/>
      <c r="Y272" s="212"/>
      <c r="Z272" s="211"/>
      <c r="AA272" s="211"/>
      <c r="AB272" s="2"/>
      <c r="AD272" s="213"/>
      <c r="AE272" s="1"/>
      <c r="AF272" s="1"/>
    </row>
    <row r="273" ht="11.4" spans="1:75">
      <c r="A273" s="214" t="s">
        <v>341</v>
      </c>
      <c r="B273" s="15">
        <v>8</v>
      </c>
      <c r="C273" s="15" t="s">
        <v>279</v>
      </c>
      <c r="D273" s="15" t="s">
        <v>280</v>
      </c>
      <c r="E273" s="15" t="s">
        <v>281</v>
      </c>
      <c r="F273" s="198">
        <f>IF(E273="有",(I273/B273+J273+Z273/B273)/(0.99999-K273-L273-M273-N273),(I273/B273+J273+Z273/B273)/(0.99999-K273-M273-N273))</f>
        <v>33.5195353468268</v>
      </c>
      <c r="G273" s="198">
        <f>IF(E273="有",(I273/B273+J273+Z273/B273)/(0.8-K273-L273-M273-N273-O273-P273),(I273/B273+J273+Z273/B273)/(0.8-K273-M273-N273-O273-P273))</f>
        <v>62.186898732071</v>
      </c>
      <c r="H273" s="205">
        <v>44.99</v>
      </c>
      <c r="I273" s="198">
        <f>108/1.13</f>
        <v>95.5752212389381</v>
      </c>
      <c r="J273" s="14">
        <v>3.41</v>
      </c>
      <c r="K273" s="200">
        <v>0.15</v>
      </c>
      <c r="L273" s="200">
        <v>0.16</v>
      </c>
      <c r="M273" s="200">
        <v>0.05</v>
      </c>
      <c r="N273" s="200">
        <f>Q273/H273</f>
        <v>0.133362969548789</v>
      </c>
      <c r="O273" s="201">
        <f>0.61/H273</f>
        <v>0.0135585685707935</v>
      </c>
      <c r="P273" s="200">
        <v>0.02</v>
      </c>
      <c r="Q273" s="198">
        <v>6</v>
      </c>
      <c r="R273" s="14">
        <v>33.5</v>
      </c>
      <c r="S273" s="14">
        <v>26.5</v>
      </c>
      <c r="T273" s="14">
        <v>25</v>
      </c>
      <c r="U273" s="14">
        <v>2.3</v>
      </c>
      <c r="V273" s="198">
        <f>R273*S273*T273/6000</f>
        <v>3.69895833333333</v>
      </c>
      <c r="W273" s="198">
        <f>MAX(U273:V273)</f>
        <v>3.69895833333333</v>
      </c>
      <c r="X273" s="14" t="s">
        <v>21</v>
      </c>
      <c r="Y273" s="202">
        <v>5.55136</v>
      </c>
      <c r="Z273" s="198">
        <v>13</v>
      </c>
      <c r="AA273" s="198">
        <f>H273-SUM(K273:P273)*H273-J273-I273/B273-Z273/B273</f>
        <v>4.30189734513275</v>
      </c>
      <c r="AB273" s="201">
        <f>AA273/H273</f>
        <v>0.0956189674401588</v>
      </c>
      <c r="AC273" s="14"/>
      <c r="AD273" s="204">
        <f>J273/H273</f>
        <v>0.0757946210268949</v>
      </c>
      <c r="AE273" s="200">
        <f>I273/7.4/H273</f>
        <v>0.287076471164577</v>
      </c>
      <c r="AF273" s="200">
        <f>Z273/7.4/H273</f>
        <v>0.03904771630933</v>
      </c>
      <c r="AG273" s="200">
        <v>0.15</v>
      </c>
      <c r="AH273" s="200">
        <f>N273</f>
        <v>0.133362969548789</v>
      </c>
      <c r="AI273" s="200">
        <v>0.02</v>
      </c>
      <c r="AJ273" s="200">
        <f>M273</f>
        <v>0.05</v>
      </c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</row>
    <row r="274" ht="11.4" spans="1:75">
      <c r="A274" s="214" t="s">
        <v>342</v>
      </c>
      <c r="B274" s="15">
        <v>8</v>
      </c>
      <c r="C274" s="15" t="s">
        <v>279</v>
      </c>
      <c r="D274" s="15" t="s">
        <v>280</v>
      </c>
      <c r="E274" s="15" t="s">
        <v>281</v>
      </c>
      <c r="F274" s="198">
        <f>IF(E274="有",(I274/B274+J274+Z274/B274)/(0.99999-K274-L274-M274-N274),(I274/B274+J274+Z274/B274)/(0.99999-K274-M274-N274))</f>
        <v>35.1524947396518</v>
      </c>
      <c r="G274" s="198">
        <f>IF(E274="有",(I274/B274+J274+Z274/B274)/(0.8-K274-L274-M274-N274-O274-P274),(I274/B274+J274+Z274/B274)/(0.8-K274-M274-N274-O274-P274))</f>
        <v>68.7106004462929</v>
      </c>
      <c r="H274" s="205">
        <f>H273*0.85</f>
        <v>38.2415</v>
      </c>
      <c r="I274" s="198">
        <f>108/1.13</f>
        <v>95.5752212389381</v>
      </c>
      <c r="J274" s="15">
        <v>3.41</v>
      </c>
      <c r="K274" s="200">
        <v>0.15</v>
      </c>
      <c r="L274" s="200">
        <v>0.16</v>
      </c>
      <c r="M274" s="200">
        <v>0.05</v>
      </c>
      <c r="N274" s="200">
        <f>Q274/H274</f>
        <v>0.156897611233869</v>
      </c>
      <c r="O274" s="201">
        <f>0.61/H274</f>
        <v>0.01595125714211</v>
      </c>
      <c r="P274" s="200">
        <v>0.02</v>
      </c>
      <c r="Q274" s="198">
        <v>6</v>
      </c>
      <c r="R274" s="14">
        <v>33.5</v>
      </c>
      <c r="S274" s="14">
        <v>26.5</v>
      </c>
      <c r="T274" s="14">
        <v>25</v>
      </c>
      <c r="U274" s="14">
        <v>2.3</v>
      </c>
      <c r="V274" s="198">
        <f>R274*S274*T274/6000</f>
        <v>3.69895833333333</v>
      </c>
      <c r="W274" s="198">
        <f>MAX(U274:V274)</f>
        <v>3.69895833333333</v>
      </c>
      <c r="X274" s="15" t="s">
        <v>21</v>
      </c>
      <c r="Y274" s="202">
        <v>5.55136</v>
      </c>
      <c r="Z274" s="198">
        <v>13</v>
      </c>
      <c r="AA274" s="198">
        <f>H274-SUM(K274:P274)*H274-J274-I274/B274-Z274/B274</f>
        <v>0.117827345132747</v>
      </c>
      <c r="AB274" s="201">
        <f>AA274/H274</f>
        <v>0.00308113816489278</v>
      </c>
      <c r="AC274" s="14"/>
      <c r="AD274" s="204">
        <f>J274/H274</f>
        <v>0.0891701423845822</v>
      </c>
      <c r="AE274" s="200">
        <f>I274/B274/H274</f>
        <v>0.31240674803204</v>
      </c>
      <c r="AF274" s="200">
        <f>Z274/B274/H274</f>
        <v>0.0424931030425062</v>
      </c>
      <c r="AG274" s="200">
        <f>K274</f>
        <v>0.15</v>
      </c>
      <c r="AH274" s="200">
        <f>N274</f>
        <v>0.156897611233869</v>
      </c>
      <c r="AI274" s="200">
        <v>0.02</v>
      </c>
      <c r="AJ274" s="200">
        <f>M274</f>
        <v>0.05</v>
      </c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</row>
    <row r="275" ht="11.4" spans="1:75">
      <c r="A275" s="214"/>
      <c r="B275" s="14"/>
      <c r="C275" s="14"/>
      <c r="D275" s="14"/>
      <c r="E275" s="14"/>
      <c r="F275" s="198"/>
      <c r="G275" s="198"/>
      <c r="H275" s="205"/>
      <c r="I275" s="198"/>
      <c r="J275" s="15"/>
      <c r="K275" s="200"/>
      <c r="L275" s="200"/>
      <c r="M275" s="200"/>
      <c r="N275" s="200"/>
      <c r="O275" s="201"/>
      <c r="P275" s="200"/>
      <c r="Q275" s="198"/>
      <c r="R275" s="14"/>
      <c r="S275" s="14"/>
      <c r="T275" s="14"/>
      <c r="U275" s="14"/>
      <c r="V275" s="198"/>
      <c r="W275" s="198"/>
      <c r="X275" s="15"/>
      <c r="Y275" s="202"/>
      <c r="Z275" s="15"/>
      <c r="AA275" s="198"/>
      <c r="AB275" s="201"/>
      <c r="AC275" s="14"/>
      <c r="AD275" s="204"/>
      <c r="AE275" s="200"/>
      <c r="AF275" s="200"/>
      <c r="AG275" s="200"/>
      <c r="AH275" s="200"/>
      <c r="AI275" s="200"/>
      <c r="AJ275" s="200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</row>
    <row r="276" ht="11.4" spans="1:75">
      <c r="A276" s="214" t="s">
        <v>341</v>
      </c>
      <c r="B276" s="15">
        <v>8</v>
      </c>
      <c r="C276" s="14" t="s">
        <v>284</v>
      </c>
      <c r="D276" s="14" t="s">
        <v>285</v>
      </c>
      <c r="E276" s="15" t="s">
        <v>281</v>
      </c>
      <c r="F276" s="198">
        <f>IF(E276="有",(I276/B276+J276+Z276/B276)/(0.99999-K276-L276-M276-N276),(I276/B276+J276+Z276/B276)/(0.99999-K276-M276-N276))</f>
        <v>38.2172712688133</v>
      </c>
      <c r="G276" s="198">
        <f>IF(E276="有",(I276/B276+J276+Z276/B276)/(0.8-K276-L276-M276-N276-O276-P276),(I276/B276+J276+Z276/B276)/(0.8-K276-M276-N276-O276-P276))</f>
        <v>70.9023425778116</v>
      </c>
      <c r="H276" s="205">
        <v>44.99</v>
      </c>
      <c r="I276" s="198">
        <f>108/1.13</f>
        <v>95.5752212389381</v>
      </c>
      <c r="J276" s="14">
        <v>5.79</v>
      </c>
      <c r="K276" s="200">
        <v>0.15</v>
      </c>
      <c r="L276" s="200">
        <v>0.16</v>
      </c>
      <c r="M276" s="200">
        <v>0.05</v>
      </c>
      <c r="N276" s="200">
        <f>Q276/H276</f>
        <v>0.133362969548789</v>
      </c>
      <c r="O276" s="201">
        <f>0.61/H276</f>
        <v>0.0135585685707935</v>
      </c>
      <c r="P276" s="200">
        <v>0.02</v>
      </c>
      <c r="Q276" s="198">
        <v>6</v>
      </c>
      <c r="R276" s="14">
        <v>33.5</v>
      </c>
      <c r="S276" s="14">
        <v>26.5</v>
      </c>
      <c r="T276" s="14">
        <v>25</v>
      </c>
      <c r="U276" s="14">
        <v>2.3</v>
      </c>
      <c r="V276" s="198">
        <f>R276*S276*T276/6000</f>
        <v>3.69895833333333</v>
      </c>
      <c r="W276" s="198">
        <f>MAX(U276:V276)</f>
        <v>3.69895833333333</v>
      </c>
      <c r="X276" s="14" t="s">
        <v>21</v>
      </c>
      <c r="Y276" s="202">
        <v>5.55136</v>
      </c>
      <c r="Z276" s="198">
        <v>13</v>
      </c>
      <c r="AA276" s="198">
        <f>H276-SUM(K276:P276)*H276-J276-I276/B276-Z276/B276</f>
        <v>1.92189734513275</v>
      </c>
      <c r="AB276" s="201">
        <f>AA276/H276</f>
        <v>0.0427183228524727</v>
      </c>
      <c r="AC276" s="14"/>
      <c r="AD276" s="204">
        <f>J276/H276</f>
        <v>0.128695265614581</v>
      </c>
      <c r="AE276" s="200">
        <f>I276/7.4/H276</f>
        <v>0.287076471164577</v>
      </c>
      <c r="AF276" s="200">
        <f>Z276/7.4/H276</f>
        <v>0.03904771630933</v>
      </c>
      <c r="AG276" s="200">
        <v>0.15</v>
      </c>
      <c r="AH276" s="200">
        <f>N276</f>
        <v>0.133362969548789</v>
      </c>
      <c r="AI276" s="200">
        <v>0.02</v>
      </c>
      <c r="AJ276" s="200">
        <f>M276</f>
        <v>0.05</v>
      </c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</row>
    <row r="277" ht="11.4" spans="1:75">
      <c r="A277" s="214" t="s">
        <v>342</v>
      </c>
      <c r="B277" s="15">
        <v>8</v>
      </c>
      <c r="C277" s="15" t="s">
        <v>284</v>
      </c>
      <c r="D277" s="15" t="s">
        <v>285</v>
      </c>
      <c r="E277" s="15" t="s">
        <v>281</v>
      </c>
      <c r="F277" s="198">
        <f>IF(E277="有",(I277/B277+J277+Z277/B277)/(0.99999-K277-L277-M277-N277),(I277/B277+J277+Z277/B277)/(0.99999-K277-M277-N277))</f>
        <v>40.0790886072944</v>
      </c>
      <c r="G277" s="198">
        <f>IF(E277="有",(I277/B277+J277+Z277/B277)/(0.8-K277-L277-M277-N277-O277-P277),(I277/B277+J277+Z277/B277)/(0.8-K277-M277-N277-O277-P277))</f>
        <v>78.3403358408311</v>
      </c>
      <c r="H277" s="205">
        <f>H276*0.85</f>
        <v>38.2415</v>
      </c>
      <c r="I277" s="198">
        <f>108/1.13</f>
        <v>95.5752212389381</v>
      </c>
      <c r="J277" s="15">
        <v>5.79</v>
      </c>
      <c r="K277" s="200">
        <v>0.15</v>
      </c>
      <c r="L277" s="200">
        <v>0.16</v>
      </c>
      <c r="M277" s="200">
        <v>0.05</v>
      </c>
      <c r="N277" s="200">
        <f>Q277/H277</f>
        <v>0.156897611233869</v>
      </c>
      <c r="O277" s="201">
        <f>0.61/H277</f>
        <v>0.01595125714211</v>
      </c>
      <c r="P277" s="200">
        <v>0.02</v>
      </c>
      <c r="Q277" s="198">
        <v>6</v>
      </c>
      <c r="R277" s="14">
        <v>33.5</v>
      </c>
      <c r="S277" s="14">
        <v>26.5</v>
      </c>
      <c r="T277" s="14">
        <v>25</v>
      </c>
      <c r="U277" s="14">
        <v>2.3</v>
      </c>
      <c r="V277" s="198">
        <f>R277*S277*T277/6000</f>
        <v>3.69895833333333</v>
      </c>
      <c r="W277" s="198">
        <f>MAX(U277:V277)</f>
        <v>3.69895833333333</v>
      </c>
      <c r="X277" s="15" t="s">
        <v>21</v>
      </c>
      <c r="Y277" s="202">
        <v>5.55136</v>
      </c>
      <c r="Z277" s="198">
        <v>13</v>
      </c>
      <c r="AA277" s="198">
        <f>H277-SUM(K277:P277)*H277-J277-I277/B277-Z277/B277</f>
        <v>-2.26217265486725</v>
      </c>
      <c r="AB277" s="201">
        <f>AA277/H277</f>
        <v>-0.0591549142912085</v>
      </c>
      <c r="AC277" s="14"/>
      <c r="AD277" s="204">
        <f>J277/H277</f>
        <v>0.151406194840684</v>
      </c>
      <c r="AE277" s="200">
        <f>I277/7.4/H277</f>
        <v>0.337737024899503</v>
      </c>
      <c r="AF277" s="200">
        <f>Z277/7.4/H277</f>
        <v>0.0459384897756824</v>
      </c>
      <c r="AG277" s="200">
        <v>0.15</v>
      </c>
      <c r="AH277" s="200">
        <f>N277</f>
        <v>0.156897611233869</v>
      </c>
      <c r="AI277" s="200">
        <v>0.02</v>
      </c>
      <c r="AJ277" s="200">
        <f>M277</f>
        <v>0.05</v>
      </c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</row>
    <row r="278" ht="11.4" spans="1:75">
      <c r="A278" s="214"/>
      <c r="B278" s="14"/>
      <c r="C278" s="14"/>
      <c r="D278" s="14"/>
      <c r="E278" s="14"/>
      <c r="F278" s="198"/>
      <c r="G278" s="198"/>
      <c r="H278" s="205"/>
      <c r="I278" s="198"/>
      <c r="J278" s="15"/>
      <c r="K278" s="200"/>
      <c r="L278" s="200"/>
      <c r="M278" s="200"/>
      <c r="N278" s="200"/>
      <c r="O278" s="201"/>
      <c r="P278" s="200"/>
      <c r="Q278" s="200"/>
      <c r="R278" s="14"/>
      <c r="S278" s="14"/>
      <c r="T278" s="14"/>
      <c r="U278" s="14"/>
      <c r="V278" s="198"/>
      <c r="W278" s="198"/>
      <c r="X278" s="15"/>
      <c r="Y278" s="202"/>
      <c r="Z278" s="15"/>
      <c r="AA278" s="198"/>
      <c r="AB278" s="201"/>
      <c r="AC278" s="14"/>
      <c r="AD278" s="204"/>
      <c r="AE278" s="200"/>
      <c r="AF278" s="200"/>
      <c r="AG278" s="200"/>
      <c r="AH278" s="200"/>
      <c r="AI278" s="200"/>
      <c r="AJ278" s="200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</row>
    <row r="279" ht="11.4" spans="1:75">
      <c r="A279" s="215" t="s">
        <v>341</v>
      </c>
      <c r="B279" s="15">
        <v>8</v>
      </c>
      <c r="C279" s="14" t="s">
        <v>286</v>
      </c>
      <c r="D279" s="14" t="s">
        <v>287</v>
      </c>
      <c r="E279" s="15" t="s">
        <v>281</v>
      </c>
      <c r="F279" s="198">
        <f>IF(E279="有",(I279/B279+J279+Z279/B279)/(0.99999-K279-L279-M279-N279),(I279/B279+J279+Z279/B279)/(0.99999-K279-M279-N279))</f>
        <v>36.5592468257592</v>
      </c>
      <c r="G279" s="198">
        <f>IF(E279="有",(I279/B279+J279+Z279/B279)/(0.8-K279-L279-M279-N279-O279-P279),(I279/B279+J279+Z279/B279)/(0.8-K279-M279-N279-O279-P279))</f>
        <v>67.8263035734326</v>
      </c>
      <c r="H279" s="205">
        <v>44.99</v>
      </c>
      <c r="I279" s="198">
        <f>108/1.13</f>
        <v>95.5752212389381</v>
      </c>
      <c r="J279" s="14">
        <v>4.95</v>
      </c>
      <c r="K279" s="200">
        <v>0.15</v>
      </c>
      <c r="L279" s="200">
        <v>0.16</v>
      </c>
      <c r="M279" s="200">
        <v>0.05</v>
      </c>
      <c r="N279" s="200">
        <f>Q279/H279</f>
        <v>0.133362969548789</v>
      </c>
      <c r="O279" s="201">
        <f>0.61/H279</f>
        <v>0.0135585685707935</v>
      </c>
      <c r="P279" s="200">
        <v>0.02</v>
      </c>
      <c r="Q279" s="198">
        <v>6</v>
      </c>
      <c r="R279" s="14">
        <v>33.5</v>
      </c>
      <c r="S279" s="14">
        <v>26.5</v>
      </c>
      <c r="T279" s="14">
        <v>25</v>
      </c>
      <c r="U279" s="14">
        <v>2.3</v>
      </c>
      <c r="V279" s="198">
        <f>R279*S279*T279/6000</f>
        <v>3.69895833333333</v>
      </c>
      <c r="W279" s="198">
        <f>MAX(U279:V279)</f>
        <v>3.69895833333333</v>
      </c>
      <c r="X279" s="14" t="s">
        <v>21</v>
      </c>
      <c r="Y279" s="202">
        <v>5.55136</v>
      </c>
      <c r="Z279" s="198">
        <v>13</v>
      </c>
      <c r="AA279" s="198">
        <f>H279-SUM(K279:P279)*H279-J279-I279/B279-Z279/B279</f>
        <v>2.76189734513275</v>
      </c>
      <c r="AB279" s="201">
        <f>AA279/H279</f>
        <v>0.0613891385893031</v>
      </c>
      <c r="AC279" s="14"/>
      <c r="AD279" s="204">
        <f>J279/H279</f>
        <v>0.110024449877751</v>
      </c>
      <c r="AE279" s="200">
        <f>I279/7.4/H279</f>
        <v>0.287076471164577</v>
      </c>
      <c r="AF279" s="200">
        <f>Z279/7.4/H279</f>
        <v>0.03904771630933</v>
      </c>
      <c r="AG279" s="200">
        <v>0.15</v>
      </c>
      <c r="AH279" s="200">
        <f>N279</f>
        <v>0.133362969548789</v>
      </c>
      <c r="AI279" s="200">
        <v>0.02</v>
      </c>
      <c r="AJ279" s="200">
        <f>M279</f>
        <v>0.05</v>
      </c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</row>
    <row r="280" ht="11.4" spans="1:75">
      <c r="A280" s="215" t="s">
        <v>342</v>
      </c>
      <c r="B280" s="15">
        <v>8</v>
      </c>
      <c r="C280" s="15" t="s">
        <v>286</v>
      </c>
      <c r="D280" s="15" t="s">
        <v>287</v>
      </c>
      <c r="E280" s="15" t="s">
        <v>281</v>
      </c>
      <c r="F280" s="198">
        <f>IF(E280="有",(I280/B280+J280+Z280/B280)/(0.99999-K280-L280-M280-N280),(I280/B280+J280+Z280/B280)/(0.99999-K280-M280-N280))</f>
        <v>38.3402907716558</v>
      </c>
      <c r="G280" s="198">
        <f>IF(E280="有",(I280/B280+J280+Z280/B280)/(0.8-K280-L280-M280-N280-O280-P280),(I280/B280+J280+Z280/B280)/(0.8-K280-M280-N280-O280-P280))</f>
        <v>74.9416057015823</v>
      </c>
      <c r="H280" s="205">
        <f>H279*0.85</f>
        <v>38.2415</v>
      </c>
      <c r="I280" s="198">
        <f>108/1.13</f>
        <v>95.5752212389381</v>
      </c>
      <c r="J280" s="15">
        <v>4.95</v>
      </c>
      <c r="K280" s="200">
        <v>0.15</v>
      </c>
      <c r="L280" s="200">
        <v>0.16</v>
      </c>
      <c r="M280" s="200">
        <v>0.05</v>
      </c>
      <c r="N280" s="200">
        <f>Q280/H280</f>
        <v>0.156897611233869</v>
      </c>
      <c r="O280" s="201">
        <f>0.61/H280</f>
        <v>0.01595125714211</v>
      </c>
      <c r="P280" s="200">
        <v>0.02</v>
      </c>
      <c r="Q280" s="198">
        <v>6</v>
      </c>
      <c r="R280" s="14">
        <v>33.5</v>
      </c>
      <c r="S280" s="14">
        <v>26.5</v>
      </c>
      <c r="T280" s="14">
        <v>25</v>
      </c>
      <c r="U280" s="14">
        <v>2.3</v>
      </c>
      <c r="V280" s="198">
        <f>R280*S280*T280/6000</f>
        <v>3.69895833333333</v>
      </c>
      <c r="W280" s="198">
        <f>MAX(U280:V280)</f>
        <v>3.69895833333333</v>
      </c>
      <c r="X280" s="15" t="s">
        <v>21</v>
      </c>
      <c r="Y280" s="202">
        <v>5.55136</v>
      </c>
      <c r="Z280" s="198">
        <v>13</v>
      </c>
      <c r="AA280" s="198">
        <f>H280-SUM(K280:P280)*H280-J280-I280/B280-Z280/B280</f>
        <v>-1.42217265486725</v>
      </c>
      <c r="AB280" s="201">
        <f>AA280/H280</f>
        <v>-0.0371892487184669</v>
      </c>
      <c r="AC280" s="14"/>
      <c r="AD280" s="204">
        <f>J280/H280</f>
        <v>0.129440529267942</v>
      </c>
      <c r="AE280" s="200">
        <f>I280/7.4/H280</f>
        <v>0.337737024899503</v>
      </c>
      <c r="AF280" s="200">
        <f>Z280/7.4/H280</f>
        <v>0.0459384897756824</v>
      </c>
      <c r="AG280" s="200">
        <v>0.15</v>
      </c>
      <c r="AH280" s="200">
        <f>N280</f>
        <v>0.156897611233869</v>
      </c>
      <c r="AI280" s="200">
        <v>0.02</v>
      </c>
      <c r="AJ280" s="200">
        <f>M280</f>
        <v>0.05</v>
      </c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</row>
    <row r="281" ht="11.4" spans="1:75">
      <c r="A281" s="214"/>
      <c r="B281" s="14"/>
      <c r="C281" s="14"/>
      <c r="D281" s="14"/>
      <c r="E281" s="14"/>
      <c r="F281" s="198"/>
      <c r="G281" s="198"/>
      <c r="H281" s="205"/>
      <c r="I281" s="198"/>
      <c r="J281" s="15"/>
      <c r="K281" s="200"/>
      <c r="L281" s="200"/>
      <c r="M281" s="200"/>
      <c r="N281" s="200"/>
      <c r="O281" s="201"/>
      <c r="P281" s="200"/>
      <c r="Q281" s="200"/>
      <c r="R281" s="14"/>
      <c r="S281" s="14"/>
      <c r="T281" s="14"/>
      <c r="U281" s="14"/>
      <c r="V281" s="198"/>
      <c r="W281" s="198"/>
      <c r="X281" s="15"/>
      <c r="Y281" s="202"/>
      <c r="Z281" s="15"/>
      <c r="AA281" s="198"/>
      <c r="AB281" s="201"/>
      <c r="AC281" s="14"/>
      <c r="AD281" s="204"/>
      <c r="AE281" s="200"/>
      <c r="AF281" s="200"/>
      <c r="AG281" s="200"/>
      <c r="AH281" s="200"/>
      <c r="AI281" s="200"/>
      <c r="AJ281" s="200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</row>
    <row r="282" ht="11.4" spans="1:75">
      <c r="A282" s="215" t="s">
        <v>341</v>
      </c>
      <c r="B282" s="15">
        <v>8</v>
      </c>
      <c r="C282" s="14" t="s">
        <v>289</v>
      </c>
      <c r="D282" s="14" t="s">
        <v>290</v>
      </c>
      <c r="E282" s="15" t="s">
        <v>281</v>
      </c>
      <c r="F282" s="198">
        <f>IF(E282="有",(I282/B282+J282+Z282/B282)/(0.99999-K282-L282-M282-N282),(I282/B282+J282+Z282/B282)/(0.99999-K282-M282-N282))</f>
        <v>34.5854082030758</v>
      </c>
      <c r="G282" s="198">
        <f>IF(E282="有",(I282/B282+J282+Z282/B282)/(0.8-K282-L282-M282-N282-O282-P282),(I282/B282+J282+Z282/B282)/(0.8-K282-M282-N282-O282-P282))</f>
        <v>64.1643523777433</v>
      </c>
      <c r="H282" s="205">
        <v>44.99</v>
      </c>
      <c r="I282" s="198">
        <f>108/1.13</f>
        <v>95.5752212389381</v>
      </c>
      <c r="J282" s="14">
        <v>3.95</v>
      </c>
      <c r="K282" s="200">
        <v>0.15</v>
      </c>
      <c r="L282" s="200">
        <v>0.16</v>
      </c>
      <c r="M282" s="200">
        <v>0.05</v>
      </c>
      <c r="N282" s="200">
        <f>Q282/H282</f>
        <v>0.133362969548789</v>
      </c>
      <c r="O282" s="201">
        <f>0.61/H282</f>
        <v>0.0135585685707935</v>
      </c>
      <c r="P282" s="200">
        <v>0.02</v>
      </c>
      <c r="Q282" s="198">
        <v>6</v>
      </c>
      <c r="R282" s="14">
        <v>33.5</v>
      </c>
      <c r="S282" s="14">
        <v>26.5</v>
      </c>
      <c r="T282" s="14">
        <v>25</v>
      </c>
      <c r="U282" s="14">
        <v>2.3</v>
      </c>
      <c r="V282" s="198">
        <f>R282*S282*T282/6000</f>
        <v>3.69895833333333</v>
      </c>
      <c r="W282" s="198">
        <f>MAX(U282:V282)</f>
        <v>3.69895833333333</v>
      </c>
      <c r="X282" s="14" t="s">
        <v>21</v>
      </c>
      <c r="Y282" s="202">
        <v>5.55136</v>
      </c>
      <c r="Z282" s="198">
        <v>13</v>
      </c>
      <c r="AA282" s="198">
        <f>H282-SUM(K282:P282)*H282-J282-I282/B282-Z282/B282</f>
        <v>3.76189734513275</v>
      </c>
      <c r="AB282" s="201">
        <f>AA282/H282</f>
        <v>0.0836163001807679</v>
      </c>
      <c r="AC282" s="14"/>
      <c r="AD282" s="204">
        <f>J282/H282</f>
        <v>0.0877972882862858</v>
      </c>
      <c r="AE282" s="200">
        <f>I282/7.4/H282</f>
        <v>0.287076471164577</v>
      </c>
      <c r="AF282" s="200">
        <f>Z282/7.4/H282</f>
        <v>0.03904771630933</v>
      </c>
      <c r="AG282" s="200">
        <v>0.15</v>
      </c>
      <c r="AH282" s="200">
        <f>N282</f>
        <v>0.133362969548789</v>
      </c>
      <c r="AI282" s="200">
        <v>0.02</v>
      </c>
      <c r="AJ282" s="200">
        <f>M282</f>
        <v>0.05</v>
      </c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</row>
    <row r="283" ht="11.4" spans="1:75">
      <c r="A283" s="215" t="s">
        <v>342</v>
      </c>
      <c r="B283" s="15">
        <v>8</v>
      </c>
      <c r="C283" s="15" t="s">
        <v>289</v>
      </c>
      <c r="D283" s="15" t="s">
        <v>290</v>
      </c>
      <c r="E283" s="15" t="s">
        <v>281</v>
      </c>
      <c r="F283" s="198">
        <f>IF(E283="有",(I283/B283+J283+Z283/B283)/(0.99999-K283-L283-M283-N283),(I283/B283+J283+Z283/B283)/(0.99999-K283-M283-N283))</f>
        <v>36.2702933482766</v>
      </c>
      <c r="G283" s="198">
        <f>IF(E283="有",(I283/B283+J283+Z283/B283)/(0.8-K283-L283-M283-N283-O283-P283),(I283/B283+J283+Z283/B283)/(0.8-K283-M283-N283-O283-P283))</f>
        <v>70.8954983929528</v>
      </c>
      <c r="H283" s="205">
        <f>H282*0.85</f>
        <v>38.2415</v>
      </c>
      <c r="I283" s="198">
        <f>108/1.13</f>
        <v>95.5752212389381</v>
      </c>
      <c r="J283" s="15">
        <v>3.95</v>
      </c>
      <c r="K283" s="200">
        <v>0.15</v>
      </c>
      <c r="L283" s="200">
        <v>0.16</v>
      </c>
      <c r="M283" s="200">
        <v>0.05</v>
      </c>
      <c r="N283" s="200">
        <f>Q283/H283</f>
        <v>0.156897611233869</v>
      </c>
      <c r="O283" s="201">
        <f>0.61/H283</f>
        <v>0.01595125714211</v>
      </c>
      <c r="P283" s="200">
        <v>0.02</v>
      </c>
      <c r="Q283" s="198">
        <v>6</v>
      </c>
      <c r="R283" s="14">
        <v>33.5</v>
      </c>
      <c r="S283" s="14">
        <v>26.5</v>
      </c>
      <c r="T283" s="14">
        <v>25</v>
      </c>
      <c r="U283" s="14">
        <v>2.3</v>
      </c>
      <c r="V283" s="198">
        <f>R283*S283*T283/6000</f>
        <v>3.69895833333333</v>
      </c>
      <c r="W283" s="198">
        <f>MAX(U283:V283)</f>
        <v>3.69895833333333</v>
      </c>
      <c r="X283" s="15" t="s">
        <v>21</v>
      </c>
      <c r="Y283" s="202">
        <v>5.55136</v>
      </c>
      <c r="Z283" s="198">
        <v>13</v>
      </c>
      <c r="AA283" s="198">
        <f>H283-SUM(K283:P283)*H283-J283-I283/B283-Z283/B283</f>
        <v>-0.422172654867252</v>
      </c>
      <c r="AB283" s="201">
        <f>AA283/H283</f>
        <v>-0.0110396468461554</v>
      </c>
      <c r="AC283" s="14"/>
      <c r="AD283" s="204">
        <f>J283/H283</f>
        <v>0.10329092739563</v>
      </c>
      <c r="AE283" s="200">
        <f>I283/7.4/H283</f>
        <v>0.337737024899503</v>
      </c>
      <c r="AF283" s="200">
        <f>Z283/7.4/H283</f>
        <v>0.0459384897756824</v>
      </c>
      <c r="AG283" s="200">
        <v>0.15</v>
      </c>
      <c r="AH283" s="200">
        <f>N283</f>
        <v>0.156897611233869</v>
      </c>
      <c r="AI283" s="200">
        <v>0.02</v>
      </c>
      <c r="AJ283" s="200">
        <f>M283</f>
        <v>0.05</v>
      </c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</row>
    <row r="284" ht="11.4" spans="1:75">
      <c r="A284" s="214"/>
      <c r="B284" s="15"/>
      <c r="C284" s="15"/>
      <c r="D284" s="15"/>
      <c r="E284" s="15"/>
      <c r="F284" s="198"/>
      <c r="G284" s="198"/>
      <c r="H284" s="205"/>
      <c r="I284" s="198"/>
      <c r="J284" s="15"/>
      <c r="K284" s="200"/>
      <c r="L284" s="200"/>
      <c r="M284" s="200"/>
      <c r="N284" s="200"/>
      <c r="O284" s="201"/>
      <c r="P284" s="200"/>
      <c r="Q284" s="200"/>
      <c r="R284" s="14"/>
      <c r="S284" s="14"/>
      <c r="T284" s="14"/>
      <c r="U284" s="14"/>
      <c r="V284" s="198"/>
      <c r="W284" s="198"/>
      <c r="X284" s="15"/>
      <c r="Y284" s="202"/>
      <c r="Z284" s="15"/>
      <c r="AA284" s="198"/>
      <c r="AB284" s="201"/>
      <c r="AC284" s="14"/>
      <c r="AD284" s="204"/>
      <c r="AE284" s="200"/>
      <c r="AF284" s="200"/>
      <c r="AG284" s="200"/>
      <c r="AH284" s="200"/>
      <c r="AI284" s="200"/>
      <c r="AJ284" s="200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</row>
    <row r="285" ht="11.4" spans="1:75">
      <c r="A285" s="215" t="s">
        <v>341</v>
      </c>
      <c r="B285" s="14">
        <v>9</v>
      </c>
      <c r="C285" s="15" t="s">
        <v>291</v>
      </c>
      <c r="D285" s="15" t="s">
        <v>86</v>
      </c>
      <c r="E285" s="15" t="s">
        <v>281</v>
      </c>
      <c r="F285" s="198">
        <f>IF(E285="有",(I285/B285+J285+Z285/B285)/(0.99999-K285-L285-M285-N285),(I285/B285+J285+Z285/B285)/(0.99999-K285-M285-N285))</f>
        <v>30.8273021569874</v>
      </c>
      <c r="G285" s="198">
        <f>IF(E285="有",(I285/B285+J285+Z285/B285)/(0.8-K285-L285-M285-N285-O285-P285),(I285/B285+J285+Z285/B285)/(0.8-K285-M285-N285-O285-P285))</f>
        <v>59.298778662944</v>
      </c>
      <c r="H285" s="205">
        <v>39.99</v>
      </c>
      <c r="I285" s="198">
        <f>108/1.13</f>
        <v>95.5752212389381</v>
      </c>
      <c r="J285" s="14">
        <v>3.04</v>
      </c>
      <c r="K285" s="200">
        <v>0.15</v>
      </c>
      <c r="L285" s="200">
        <v>0.16</v>
      </c>
      <c r="M285" s="200">
        <v>0.05</v>
      </c>
      <c r="N285" s="200">
        <f>Q285/H285</f>
        <v>0.150037509377344</v>
      </c>
      <c r="O285" s="201">
        <f>0.61/H285</f>
        <v>0.0152538134533633</v>
      </c>
      <c r="P285" s="200">
        <v>0.02</v>
      </c>
      <c r="Q285" s="198">
        <v>6</v>
      </c>
      <c r="R285" s="14">
        <v>33.5</v>
      </c>
      <c r="S285" s="14">
        <v>26.5</v>
      </c>
      <c r="T285" s="14">
        <v>25</v>
      </c>
      <c r="U285" s="14">
        <v>2.3</v>
      </c>
      <c r="V285" s="198">
        <f>R285*S285*T285/6000</f>
        <v>3.69895833333333</v>
      </c>
      <c r="W285" s="198">
        <f>MAX(U285:V285)</f>
        <v>3.69895833333333</v>
      </c>
      <c r="X285" s="15" t="s">
        <v>21</v>
      </c>
      <c r="Y285" s="202">
        <v>6.084</v>
      </c>
      <c r="Z285" s="198">
        <v>13</v>
      </c>
      <c r="AA285" s="198">
        <f>H285-SUM(K285:P285)*H285-J285-I285/B285-Z285/B285</f>
        <v>3.07988652900688</v>
      </c>
      <c r="AB285" s="201">
        <f>AA285/H285</f>
        <v>0.0770164173295045</v>
      </c>
      <c r="AC285" s="14"/>
      <c r="AD285" s="204">
        <f>J285/H285</f>
        <v>0.0760190047511878</v>
      </c>
      <c r="AE285" s="200">
        <f>I285/7.4/H285</f>
        <v>0.322970003443219</v>
      </c>
      <c r="AF285" s="200">
        <f>Z285/7.4/H285</f>
        <v>0.0439299013942675</v>
      </c>
      <c r="AG285" s="200">
        <v>0.15</v>
      </c>
      <c r="AH285" s="200">
        <f>N285</f>
        <v>0.150037509377344</v>
      </c>
      <c r="AI285" s="200">
        <v>0.02</v>
      </c>
      <c r="AJ285" s="200">
        <f>M285</f>
        <v>0.05</v>
      </c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</row>
    <row r="286" ht="11.4" spans="1:75">
      <c r="A286" s="215" t="s">
        <v>342</v>
      </c>
      <c r="B286" s="14">
        <v>9</v>
      </c>
      <c r="C286" s="15" t="s">
        <v>291</v>
      </c>
      <c r="D286" s="15" t="s">
        <v>86</v>
      </c>
      <c r="E286" s="15" t="s">
        <v>281</v>
      </c>
      <c r="F286" s="198">
        <f>IF(E286="有",(I286/B286+J286+Z286/B286)/(0.99999-K286-L286-M286-N286),(I286/B286+J286+Z286/B286)/(0.99999-K286-M286-N286))</f>
        <v>32.5883904109026</v>
      </c>
      <c r="G286" s="198">
        <f>IF(E286="有",(I286/B286+J286+Z286/B286)/(0.8-K286-L286-M286-N286-O286-P286),(I286/B286+J286+Z286/B286)/(0.8-K286-M286-N286-O286-P286))</f>
        <v>66.9678944109921</v>
      </c>
      <c r="H286" s="205">
        <f>H285*0.85</f>
        <v>33.9915</v>
      </c>
      <c r="I286" s="198">
        <f>108/1.13</f>
        <v>95.5752212389381</v>
      </c>
      <c r="J286" s="15">
        <v>3.04</v>
      </c>
      <c r="K286" s="200">
        <v>0.15</v>
      </c>
      <c r="L286" s="200">
        <v>0.16</v>
      </c>
      <c r="M286" s="200">
        <v>0.05</v>
      </c>
      <c r="N286" s="200">
        <f>Q286/H286</f>
        <v>0.176514716914523</v>
      </c>
      <c r="O286" s="201">
        <f>0.61/H286</f>
        <v>0.0179456628863098</v>
      </c>
      <c r="P286" s="200">
        <v>0.02</v>
      </c>
      <c r="Q286" s="198">
        <v>6</v>
      </c>
      <c r="R286" s="14">
        <v>33.5</v>
      </c>
      <c r="S286" s="14">
        <v>26.5</v>
      </c>
      <c r="T286" s="14">
        <v>25</v>
      </c>
      <c r="U286" s="14">
        <v>2.3</v>
      </c>
      <c r="V286" s="198">
        <f>R286*S286*T286/6000</f>
        <v>3.69895833333333</v>
      </c>
      <c r="W286" s="198">
        <f>MAX(U286:V286)</f>
        <v>3.69895833333333</v>
      </c>
      <c r="X286" s="15" t="s">
        <v>21</v>
      </c>
      <c r="Y286" s="202">
        <v>6.084</v>
      </c>
      <c r="Z286" s="198">
        <v>13</v>
      </c>
      <c r="AA286" s="198">
        <f>H286-SUM(K286:P286)*H286-J286-I286/B286-Z286/B286</f>
        <v>-0.639183470993117</v>
      </c>
      <c r="AB286" s="201">
        <f>AA286/H286</f>
        <v>-0.0188042149064654</v>
      </c>
      <c r="AC286" s="14"/>
      <c r="AD286" s="204">
        <f>J286/H286</f>
        <v>0.0894341232366915</v>
      </c>
      <c r="AE286" s="200">
        <f>I286/7.4/H286</f>
        <v>0.379964709933199</v>
      </c>
      <c r="AF286" s="200">
        <f>Z286/7.4/H286</f>
        <v>0.0516822369344323</v>
      </c>
      <c r="AG286" s="200">
        <v>0.15</v>
      </c>
      <c r="AH286" s="200">
        <f>N286</f>
        <v>0.176514716914523</v>
      </c>
      <c r="AI286" s="200">
        <v>0.02</v>
      </c>
      <c r="AJ286" s="200">
        <f>M286</f>
        <v>0.05</v>
      </c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</row>
    <row r="287" ht="11.4" spans="1:75">
      <c r="F287" s="211"/>
      <c r="G287" s="211"/>
      <c r="I287" s="211"/>
      <c r="O287" s="2"/>
      <c r="Q287" s="1"/>
      <c r="V287" s="211"/>
      <c r="W287" s="211"/>
      <c r="Y287" s="212"/>
      <c r="Z287" s="211"/>
      <c r="AA287" s="211"/>
      <c r="AB287" s="2"/>
      <c r="AD287" s="213"/>
      <c r="AE287" s="1"/>
      <c r="AF287" s="1"/>
    </row>
    <row r="288" ht="11.4" spans="1:75">
      <c r="A288" s="214" t="s">
        <v>343</v>
      </c>
      <c r="B288" s="15">
        <v>8</v>
      </c>
      <c r="C288" s="15" t="s">
        <v>279</v>
      </c>
      <c r="D288" s="15" t="s">
        <v>280</v>
      </c>
      <c r="E288" s="15" t="s">
        <v>281</v>
      </c>
      <c r="F288" s="198">
        <f>IF(E288="有",(I288/B288+J288+Z288/B288)/(0.99999-K288-L288-M288-N288),(I288/B288+J288+Z288/B288)/(0.99999-K288-M288-N288))</f>
        <v>21.5737904917678</v>
      </c>
      <c r="G288" s="198">
        <f>IF(E288="有",(I288/B288+J288+Z288/B288)/(0.8-K288-L288-M288-N288-O288-P288),(I288/B288+J288+Z288/B288)/(0.8-K288-M288-N288-O288-P288))</f>
        <v>41.2994269770762</v>
      </c>
      <c r="H288" s="205">
        <v>34.99</v>
      </c>
      <c r="I288" s="198">
        <f>61.6/1.13</f>
        <v>54.5132743362832</v>
      </c>
      <c r="J288" s="15">
        <v>3.16</v>
      </c>
      <c r="K288" s="200">
        <v>0.15</v>
      </c>
      <c r="L288" s="200">
        <v>0.16</v>
      </c>
      <c r="M288" s="200">
        <v>0.05</v>
      </c>
      <c r="N288" s="200">
        <f>Q288/H288</f>
        <v>0.142897970848814</v>
      </c>
      <c r="O288" s="201">
        <f>0.61/H288</f>
        <v>0.0174335524435553</v>
      </c>
      <c r="P288" s="200">
        <v>0.02</v>
      </c>
      <c r="Q288" s="198">
        <v>5</v>
      </c>
      <c r="R288" s="14">
        <v>33.5</v>
      </c>
      <c r="S288" s="14">
        <v>26.5</v>
      </c>
      <c r="T288" s="14">
        <v>25</v>
      </c>
      <c r="U288" s="14">
        <v>2.3</v>
      </c>
      <c r="V288" s="198">
        <f>R288*S288*T288/6000</f>
        <v>3.69895833333333</v>
      </c>
      <c r="W288" s="198">
        <f>MAX(U288:V288)</f>
        <v>3.69895833333333</v>
      </c>
      <c r="X288" s="14" t="s">
        <v>21</v>
      </c>
      <c r="Y288" s="202">
        <v>5.55136</v>
      </c>
      <c r="Z288" s="198">
        <v>6</v>
      </c>
      <c r="AA288" s="198">
        <f>H288-SUM(K288:P288)*H288-J288-I288/B288-Z288/B288</f>
        <v>5.3596407079646</v>
      </c>
      <c r="AB288" s="201">
        <f>AA288/H288</f>
        <v>0.153176356329369</v>
      </c>
      <c r="AC288" s="14"/>
      <c r="AD288" s="204">
        <f>J288/H288</f>
        <v>0.0903115175764504</v>
      </c>
      <c r="AE288" s="200">
        <f>I288/7.4/H288</f>
        <v>0.210536115864313</v>
      </c>
      <c r="AF288" s="200">
        <f>Z288/7.4/H288</f>
        <v>0.0231726439214293</v>
      </c>
      <c r="AG288" s="200">
        <v>0.15</v>
      </c>
      <c r="AH288" s="200">
        <f>N288</f>
        <v>0.142897970848814</v>
      </c>
      <c r="AI288" s="200">
        <v>0.02</v>
      </c>
      <c r="AJ288" s="200">
        <f>M288</f>
        <v>0.05</v>
      </c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</row>
    <row r="289" ht="11.4" spans="1:75">
      <c r="A289" s="214" t="s">
        <v>344</v>
      </c>
      <c r="B289" s="15">
        <v>8</v>
      </c>
      <c r="C289" s="15" t="s">
        <v>279</v>
      </c>
      <c r="D289" s="15" t="s">
        <v>280</v>
      </c>
      <c r="E289" s="15" t="s">
        <v>281</v>
      </c>
      <c r="F289" s="198">
        <f>IF(E289="有",(I289/B289+J289+Z289/B289)/(0.99999-K289-L289-M289-N289),(I289/B289+J289+Z289/B289)/(0.99999-K289-M289-N289))</f>
        <v>22.7267077021183</v>
      </c>
      <c r="G289" s="198">
        <f>IF(E289="有",(I289/B289+J289+Z289/B289)/(0.8-K289-L289-M289-N289-O289-P289),(I289/B289+J289+Z289/B289)/(0.8-K289-M289-N289-O289-P289))</f>
        <v>46.349753406497</v>
      </c>
      <c r="H289" s="205">
        <f>H288*0.85</f>
        <v>29.7415</v>
      </c>
      <c r="I289" s="198">
        <f>61.6/1.13</f>
        <v>54.5132743362832</v>
      </c>
      <c r="J289" s="15">
        <v>3.16</v>
      </c>
      <c r="K289" s="200">
        <v>0.15</v>
      </c>
      <c r="L289" s="200">
        <v>0.16</v>
      </c>
      <c r="M289" s="200">
        <v>0.05</v>
      </c>
      <c r="N289" s="200">
        <f>Q289/H289</f>
        <v>0.168115259822134</v>
      </c>
      <c r="O289" s="201">
        <f>0.61/H289</f>
        <v>0.0205100616983004</v>
      </c>
      <c r="P289" s="200">
        <v>0.02</v>
      </c>
      <c r="Q289" s="198">
        <v>5</v>
      </c>
      <c r="R289" s="14">
        <v>33.5</v>
      </c>
      <c r="S289" s="14">
        <v>26.5</v>
      </c>
      <c r="T289" s="14">
        <v>25</v>
      </c>
      <c r="U289" s="14">
        <v>2.3</v>
      </c>
      <c r="V289" s="198">
        <f>R289*S289*T289/6000</f>
        <v>3.69895833333333</v>
      </c>
      <c r="W289" s="198">
        <f>MAX(U289:V289)</f>
        <v>3.69895833333333</v>
      </c>
      <c r="X289" s="15" t="s">
        <v>21</v>
      </c>
      <c r="Y289" s="202">
        <v>5.55136</v>
      </c>
      <c r="Z289" s="198">
        <v>6</v>
      </c>
      <c r="AA289" s="198">
        <f>H289-SUM(K289:P289)*H289-J289-I289/B289-Z289/B289</f>
        <v>2.1055707079646</v>
      </c>
      <c r="AB289" s="201">
        <f>AA289/H289</f>
        <v>0.0707957133286688</v>
      </c>
      <c r="AC289" s="14"/>
      <c r="AD289" s="204">
        <f>J289/H289</f>
        <v>0.106248844207589</v>
      </c>
      <c r="AE289" s="200">
        <f>I289/B289/H289</f>
        <v>0.229112831969988</v>
      </c>
      <c r="AF289" s="200">
        <f>Z289/B289/H289</f>
        <v>0.0252172889733201</v>
      </c>
      <c r="AG289" s="200">
        <f>K289</f>
        <v>0.15</v>
      </c>
      <c r="AH289" s="200">
        <f>N289</f>
        <v>0.168115259822134</v>
      </c>
      <c r="AI289" s="200">
        <v>0.02</v>
      </c>
      <c r="AJ289" s="200">
        <f>M289</f>
        <v>0.05</v>
      </c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</row>
    <row r="290" ht="11.4" spans="1:75">
      <c r="A290" s="214"/>
      <c r="B290" s="14"/>
      <c r="C290" s="14"/>
      <c r="D290" s="14"/>
      <c r="E290" s="14"/>
      <c r="F290" s="198"/>
      <c r="G290" s="198"/>
      <c r="H290" s="205"/>
      <c r="I290" s="198"/>
      <c r="J290" s="15"/>
      <c r="K290" s="200"/>
      <c r="L290" s="200"/>
      <c r="M290" s="200"/>
      <c r="N290" s="200"/>
      <c r="O290" s="201"/>
      <c r="P290" s="200"/>
      <c r="Q290" s="198"/>
      <c r="R290" s="14"/>
      <c r="S290" s="14"/>
      <c r="T290" s="14"/>
      <c r="U290" s="14"/>
      <c r="V290" s="198"/>
      <c r="W290" s="198"/>
      <c r="X290" s="15"/>
      <c r="Y290" s="202"/>
      <c r="Z290" s="15"/>
      <c r="AA290" s="198"/>
      <c r="AB290" s="201"/>
      <c r="AC290" s="14"/>
      <c r="AD290" s="204"/>
      <c r="AE290" s="200"/>
      <c r="AF290" s="200"/>
      <c r="AG290" s="200"/>
      <c r="AH290" s="200"/>
      <c r="AI290" s="200"/>
      <c r="AJ290" s="200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</row>
    <row r="291" ht="11.4" spans="1:75">
      <c r="A291" s="215" t="s">
        <v>343</v>
      </c>
      <c r="B291" s="15">
        <v>8</v>
      </c>
      <c r="C291" s="14" t="s">
        <v>284</v>
      </c>
      <c r="D291" s="14" t="s">
        <v>285</v>
      </c>
      <c r="E291" s="15" t="s">
        <v>281</v>
      </c>
      <c r="F291" s="198">
        <f>IF(E291="有",(I291/B291+J291+Z291/B291)/(0.99999-K291-L291-M291-N291),(I291/B291+J291+Z291/B291)/(0.99999-K291-M291-N291))</f>
        <v>24.7120423817926</v>
      </c>
      <c r="G291" s="198">
        <f>IF(E291="有",(I291/B291+J291+Z291/B291)/(0.8-K291-L291-M291-N291-O291-P291),(I291/B291+J291+Z291/B291)/(0.8-K291-M291-N291-O291-P291))</f>
        <v>47.3070872821676</v>
      </c>
      <c r="H291" s="205">
        <v>34.99</v>
      </c>
      <c r="I291" s="198">
        <f>61.6/1.13</f>
        <v>54.5132743362832</v>
      </c>
      <c r="J291" s="15">
        <v>4.72</v>
      </c>
      <c r="K291" s="200">
        <v>0.15</v>
      </c>
      <c r="L291" s="200">
        <v>0.16</v>
      </c>
      <c r="M291" s="200">
        <v>0.05</v>
      </c>
      <c r="N291" s="200">
        <f>Q291/H291</f>
        <v>0.142897970848814</v>
      </c>
      <c r="O291" s="201">
        <f>0.61/H291</f>
        <v>0.0174335524435553</v>
      </c>
      <c r="P291" s="200">
        <v>0.02</v>
      </c>
      <c r="Q291" s="198">
        <v>5</v>
      </c>
      <c r="R291" s="14">
        <v>33.5</v>
      </c>
      <c r="S291" s="14">
        <v>26.5</v>
      </c>
      <c r="T291" s="14">
        <v>25</v>
      </c>
      <c r="U291" s="14">
        <v>2.3</v>
      </c>
      <c r="V291" s="198">
        <f>R291*S291*T291/6000</f>
        <v>3.69895833333333</v>
      </c>
      <c r="W291" s="198">
        <f>MAX(U291:V291)</f>
        <v>3.69895833333333</v>
      </c>
      <c r="X291" s="14" t="s">
        <v>21</v>
      </c>
      <c r="Y291" s="202">
        <v>5.55136</v>
      </c>
      <c r="Z291" s="198">
        <v>6</v>
      </c>
      <c r="AA291" s="198">
        <f>H291-SUM(K291:P291)*H291-J291-I291/B291-Z291/B291</f>
        <v>3.79964070796461</v>
      </c>
      <c r="AB291" s="201">
        <f>AA291/H291</f>
        <v>0.108592189424539</v>
      </c>
      <c r="AC291" s="14"/>
      <c r="AD291" s="204">
        <f>J291/H291</f>
        <v>0.13489568448128</v>
      </c>
      <c r="AE291" s="200">
        <f>I291/7.4/H291</f>
        <v>0.210536115864313</v>
      </c>
      <c r="AF291" s="200">
        <f>Z291/7.4/H291</f>
        <v>0.0231726439214293</v>
      </c>
      <c r="AG291" s="200">
        <v>0.15</v>
      </c>
      <c r="AH291" s="200">
        <f>N291</f>
        <v>0.142897970848814</v>
      </c>
      <c r="AI291" s="200">
        <v>0.02</v>
      </c>
      <c r="AJ291" s="200">
        <f>M291</f>
        <v>0.05</v>
      </c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</row>
    <row r="292" ht="11.4" spans="1:75">
      <c r="A292" s="215" t="s">
        <v>344</v>
      </c>
      <c r="B292" s="15">
        <v>8</v>
      </c>
      <c r="C292" s="15" t="s">
        <v>284</v>
      </c>
      <c r="D292" s="15" t="s">
        <v>285</v>
      </c>
      <c r="E292" s="15" t="s">
        <v>281</v>
      </c>
      <c r="F292" s="198">
        <f>IF(E292="有",(I292/B292+J292+Z292/B292)/(0.99999-K292-L292-M292-N292),(I292/B292+J292+Z292/B292)/(0.99999-K292-M292-N292))</f>
        <v>26.0326697873361</v>
      </c>
      <c r="G292" s="198">
        <f>IF(E292="有",(I292/B292+J292+Z292/B292)/(0.8-K292-L292-M292-N292-O292-P292),(I292/B292+J292+Z292/B292)/(0.8-K292-M292-N292-O292-P292))</f>
        <v>53.0920642343337</v>
      </c>
      <c r="H292" s="205">
        <f>H291*0.85</f>
        <v>29.7415</v>
      </c>
      <c r="I292" s="198">
        <f>61.6/1.13</f>
        <v>54.5132743362832</v>
      </c>
      <c r="J292" s="15">
        <v>4.72</v>
      </c>
      <c r="K292" s="200">
        <v>0.15</v>
      </c>
      <c r="L292" s="200">
        <v>0.16</v>
      </c>
      <c r="M292" s="200">
        <v>0.05</v>
      </c>
      <c r="N292" s="200">
        <f>Q292/H292</f>
        <v>0.168115259822134</v>
      </c>
      <c r="O292" s="201">
        <f>0.61/H292</f>
        <v>0.0205100616983004</v>
      </c>
      <c r="P292" s="200">
        <v>0.02</v>
      </c>
      <c r="Q292" s="198">
        <v>5</v>
      </c>
      <c r="R292" s="14">
        <v>33.5</v>
      </c>
      <c r="S292" s="14">
        <v>26.5</v>
      </c>
      <c r="T292" s="14">
        <v>25</v>
      </c>
      <c r="U292" s="14">
        <v>2.3</v>
      </c>
      <c r="V292" s="198">
        <f>R292*S292*T292/6000</f>
        <v>3.69895833333333</v>
      </c>
      <c r="W292" s="198">
        <f>MAX(U292:V292)</f>
        <v>3.69895833333333</v>
      </c>
      <c r="X292" s="15" t="s">
        <v>21</v>
      </c>
      <c r="Y292" s="202">
        <v>5.55136</v>
      </c>
      <c r="Z292" s="198">
        <v>6</v>
      </c>
      <c r="AA292" s="198">
        <f>H292-SUM(K292:P292)*H292-J292-I292/B292-Z292/B292</f>
        <v>0.545570707964604</v>
      </c>
      <c r="AB292" s="201">
        <f>AA292/H292</f>
        <v>0.018343752264163</v>
      </c>
      <c r="AC292" s="14"/>
      <c r="AD292" s="204">
        <f>J292/H292</f>
        <v>0.158700805272095</v>
      </c>
      <c r="AE292" s="200">
        <f>I292/7.4/H292</f>
        <v>0.247689548075663</v>
      </c>
      <c r="AF292" s="200">
        <f>Z292/7.4/H292</f>
        <v>0.0272619340252109</v>
      </c>
      <c r="AG292" s="200">
        <v>0.15</v>
      </c>
      <c r="AH292" s="200">
        <f>N292</f>
        <v>0.168115259822134</v>
      </c>
      <c r="AI292" s="200">
        <v>0.02</v>
      </c>
      <c r="AJ292" s="200">
        <f>M292</f>
        <v>0.05</v>
      </c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</row>
    <row r="293" ht="11.4" spans="1:75">
      <c r="A293" s="214"/>
      <c r="B293" s="14"/>
      <c r="C293" s="14"/>
      <c r="D293" s="14"/>
      <c r="E293" s="14"/>
      <c r="F293" s="198"/>
      <c r="G293" s="198"/>
      <c r="H293" s="205"/>
      <c r="I293" s="198"/>
      <c r="J293" s="15"/>
      <c r="K293" s="200"/>
      <c r="L293" s="200"/>
      <c r="M293" s="200"/>
      <c r="N293" s="200"/>
      <c r="O293" s="201"/>
      <c r="P293" s="200"/>
      <c r="Q293" s="200"/>
      <c r="R293" s="14"/>
      <c r="S293" s="14"/>
      <c r="T293" s="14"/>
      <c r="U293" s="14"/>
      <c r="V293" s="198"/>
      <c r="W293" s="198"/>
      <c r="X293" s="15"/>
      <c r="Y293" s="202"/>
      <c r="Z293" s="15"/>
      <c r="AA293" s="198"/>
      <c r="AB293" s="201"/>
      <c r="AC293" s="14"/>
      <c r="AD293" s="204"/>
      <c r="AE293" s="200"/>
      <c r="AF293" s="200"/>
      <c r="AG293" s="200"/>
      <c r="AH293" s="200"/>
      <c r="AI293" s="200"/>
      <c r="AJ293" s="200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</row>
    <row r="294" ht="11.4" spans="1:75">
      <c r="A294" s="215" t="s">
        <v>343</v>
      </c>
      <c r="B294" s="15">
        <v>8</v>
      </c>
      <c r="C294" s="14" t="s">
        <v>286</v>
      </c>
      <c r="D294" s="14" t="s">
        <v>287</v>
      </c>
      <c r="E294" s="15" t="s">
        <v>281</v>
      </c>
      <c r="F294" s="198">
        <f>IF(E294="有",(I294/B294+J294+Z294/B294)/(0.99999-K294-L294-M294-N294),(I294/B294+J294+Z294/B294)/(0.99999-K294-M294-N294))</f>
        <v>23.6056074205659</v>
      </c>
      <c r="G294" s="198">
        <f>IF(E294="有",(I294/B294+J294+Z294/B294)/(0.8-K294-L294-M294-N294-O294-P294),(I294/B294+J294+Z294/B294)/(0.8-K294-M294-N294-O294-P294))</f>
        <v>45.1890019181931</v>
      </c>
      <c r="H294" s="205">
        <v>34.99</v>
      </c>
      <c r="I294" s="198">
        <f>61.6/1.13</f>
        <v>54.5132743362832</v>
      </c>
      <c r="J294" s="15">
        <v>4.17</v>
      </c>
      <c r="K294" s="200">
        <v>0.15</v>
      </c>
      <c r="L294" s="200">
        <v>0.16</v>
      </c>
      <c r="M294" s="200">
        <v>0.05</v>
      </c>
      <c r="N294" s="200">
        <f>Q294/H294</f>
        <v>0.142897970848814</v>
      </c>
      <c r="O294" s="201">
        <f>0.61/H294</f>
        <v>0.0174335524435553</v>
      </c>
      <c r="P294" s="200">
        <v>0.02</v>
      </c>
      <c r="Q294" s="198">
        <v>5</v>
      </c>
      <c r="R294" s="14">
        <v>33.5</v>
      </c>
      <c r="S294" s="14">
        <v>26.5</v>
      </c>
      <c r="T294" s="14">
        <v>25</v>
      </c>
      <c r="U294" s="14">
        <v>2.3</v>
      </c>
      <c r="V294" s="198">
        <f>R294*S294*T294/6000</f>
        <v>3.69895833333333</v>
      </c>
      <c r="W294" s="198">
        <f>MAX(U294:V294)</f>
        <v>3.69895833333333</v>
      </c>
      <c r="X294" s="14" t="s">
        <v>21</v>
      </c>
      <c r="Y294" s="202">
        <v>5.55136</v>
      </c>
      <c r="Z294" s="198">
        <v>6</v>
      </c>
      <c r="AA294" s="198">
        <f>H294-SUM(K294:P294)*H294-J294-I294/B294-Z294/B294</f>
        <v>4.34964070796461</v>
      </c>
      <c r="AB294" s="201">
        <f>AA294/H294</f>
        <v>0.124310966217908</v>
      </c>
      <c r="AC294" s="14"/>
      <c r="AD294" s="204">
        <f>J294/H294</f>
        <v>0.119176907687911</v>
      </c>
      <c r="AE294" s="200">
        <f>I294/7.4/H294</f>
        <v>0.210536115864313</v>
      </c>
      <c r="AF294" s="200">
        <f>Z294/7.4/H294</f>
        <v>0.0231726439214293</v>
      </c>
      <c r="AG294" s="200">
        <v>0.15</v>
      </c>
      <c r="AH294" s="200">
        <f>N294</f>
        <v>0.142897970848814</v>
      </c>
      <c r="AI294" s="200">
        <v>0.02</v>
      </c>
      <c r="AJ294" s="200">
        <f>M294</f>
        <v>0.05</v>
      </c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</row>
    <row r="295" ht="11.4" spans="1:75">
      <c r="A295" s="215" t="s">
        <v>344</v>
      </c>
      <c r="B295" s="15">
        <v>8</v>
      </c>
      <c r="C295" s="15" t="s">
        <v>286</v>
      </c>
      <c r="D295" s="15" t="s">
        <v>287</v>
      </c>
      <c r="E295" s="15" t="s">
        <v>281</v>
      </c>
      <c r="F295" s="198">
        <f>IF(E295="有",(I295/B295+J295+Z295/B295)/(0.99999-K295-L295-M295-N295),(I295/B295+J295+Z295/B295)/(0.99999-K295-M295-N295))</f>
        <v>24.8671062316504</v>
      </c>
      <c r="G295" s="198">
        <f>IF(E295="有",(I295/B295+J295+Z295/B295)/(0.8-K295-L295-M295-N295-O295-P295),(I295/B295+J295+Z295/B295)/(0.8-K295-M295-N295-O295-P295))</f>
        <v>50.7149674681092</v>
      </c>
      <c r="H295" s="205">
        <f>H294*0.85</f>
        <v>29.7415</v>
      </c>
      <c r="I295" s="198">
        <f>61.6/1.13</f>
        <v>54.5132743362832</v>
      </c>
      <c r="J295" s="15">
        <v>4.17</v>
      </c>
      <c r="K295" s="200">
        <v>0.15</v>
      </c>
      <c r="L295" s="200">
        <v>0.16</v>
      </c>
      <c r="M295" s="200">
        <v>0.05</v>
      </c>
      <c r="N295" s="200">
        <f>Q295/H295</f>
        <v>0.168115259822134</v>
      </c>
      <c r="O295" s="201">
        <f>0.61/H295</f>
        <v>0.0205100616983004</v>
      </c>
      <c r="P295" s="200">
        <v>0.02</v>
      </c>
      <c r="Q295" s="198">
        <v>5</v>
      </c>
      <c r="R295" s="14">
        <v>33.5</v>
      </c>
      <c r="S295" s="14">
        <v>26.5</v>
      </c>
      <c r="T295" s="14">
        <v>25</v>
      </c>
      <c r="U295" s="14">
        <v>2.3</v>
      </c>
      <c r="V295" s="198">
        <f>R295*S295*T295/6000</f>
        <v>3.69895833333333</v>
      </c>
      <c r="W295" s="198">
        <f>MAX(U295:V295)</f>
        <v>3.69895833333333</v>
      </c>
      <c r="X295" s="15" t="s">
        <v>21</v>
      </c>
      <c r="Y295" s="202">
        <v>5.55136</v>
      </c>
      <c r="Z295" s="198">
        <v>6</v>
      </c>
      <c r="AA295" s="198">
        <f>H295-SUM(K295:P295)*H295-J295-I295/B295-Z295/B295</f>
        <v>1.0955707079646</v>
      </c>
      <c r="AB295" s="201">
        <f>AA295/H295</f>
        <v>0.0368364308445977</v>
      </c>
      <c r="AC295" s="14"/>
      <c r="AD295" s="204">
        <f>J295/H295</f>
        <v>0.14020812669166</v>
      </c>
      <c r="AE295" s="200">
        <f>I295/7.4/H295</f>
        <v>0.247689548075663</v>
      </c>
      <c r="AF295" s="200">
        <f>Z295/7.4/H295</f>
        <v>0.0272619340252109</v>
      </c>
      <c r="AG295" s="200">
        <v>0.15</v>
      </c>
      <c r="AH295" s="200">
        <f>N295</f>
        <v>0.168115259822134</v>
      </c>
      <c r="AI295" s="200">
        <v>0.02</v>
      </c>
      <c r="AJ295" s="200">
        <f>M295</f>
        <v>0.05</v>
      </c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</row>
    <row r="296" ht="11.4" spans="1:75">
      <c r="A296" s="214"/>
      <c r="B296" s="14"/>
      <c r="C296" s="14"/>
      <c r="D296" s="14"/>
      <c r="E296" s="14"/>
      <c r="F296" s="198"/>
      <c r="G296" s="198"/>
      <c r="H296" s="205"/>
      <c r="I296" s="198"/>
      <c r="J296" s="15"/>
      <c r="K296" s="200"/>
      <c r="L296" s="200"/>
      <c r="M296" s="200"/>
      <c r="N296" s="200"/>
      <c r="O296" s="201"/>
      <c r="P296" s="200"/>
      <c r="Q296" s="200"/>
      <c r="R296" s="14"/>
      <c r="S296" s="14"/>
      <c r="T296" s="14"/>
      <c r="U296" s="14"/>
      <c r="V296" s="198"/>
      <c r="W296" s="198"/>
      <c r="X296" s="15"/>
      <c r="Y296" s="202"/>
      <c r="Z296" s="15"/>
      <c r="AA296" s="198"/>
      <c r="AB296" s="201"/>
      <c r="AC296" s="14"/>
      <c r="AD296" s="204"/>
      <c r="AE296" s="200"/>
      <c r="AF296" s="200"/>
      <c r="AG296" s="200"/>
      <c r="AH296" s="200"/>
      <c r="AI296" s="200"/>
      <c r="AJ296" s="200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</row>
    <row r="297" ht="11.4" spans="1:75">
      <c r="A297" s="215" t="s">
        <v>343</v>
      </c>
      <c r="B297" s="15">
        <v>8</v>
      </c>
      <c r="C297" s="14" t="s">
        <v>289</v>
      </c>
      <c r="D297" s="14" t="s">
        <v>290</v>
      </c>
      <c r="E297" s="15" t="s">
        <v>281</v>
      </c>
      <c r="F297" s="198">
        <f>IF(E297="有",(I297/B297+J297+Z297/B297)/(0.99999-K297-L297-M297-N297),(I297/B297+J297+Z297/B297)/(0.99999-K297-M297-N297))</f>
        <v>22.9618634431249</v>
      </c>
      <c r="G297" s="198">
        <f>IF(E297="有",(I297/B297+J297+Z297/B297)/(0.8-K297-L297-M297-N297-O297-P297),(I297/B297+J297+Z297/B297)/(0.8-K297-M297-N297-O297-P297))</f>
        <v>43.9566613427897</v>
      </c>
      <c r="H297" s="205">
        <v>34.99</v>
      </c>
      <c r="I297" s="198">
        <f>61.6/1.13</f>
        <v>54.5132743362832</v>
      </c>
      <c r="J297" s="15">
        <v>3.85</v>
      </c>
      <c r="K297" s="200">
        <v>0.15</v>
      </c>
      <c r="L297" s="200">
        <v>0.16</v>
      </c>
      <c r="M297" s="200">
        <v>0.05</v>
      </c>
      <c r="N297" s="200">
        <f>Q297/H297</f>
        <v>0.142897970848814</v>
      </c>
      <c r="O297" s="201">
        <f>0.61/H297</f>
        <v>0.0174335524435553</v>
      </c>
      <c r="P297" s="200">
        <v>0.02</v>
      </c>
      <c r="Q297" s="198">
        <v>5</v>
      </c>
      <c r="R297" s="14">
        <v>33.5</v>
      </c>
      <c r="S297" s="14">
        <v>26.5</v>
      </c>
      <c r="T297" s="14">
        <v>25</v>
      </c>
      <c r="U297" s="14">
        <v>2.3</v>
      </c>
      <c r="V297" s="198">
        <f>R297*S297*T297/6000</f>
        <v>3.69895833333333</v>
      </c>
      <c r="W297" s="198">
        <f>MAX(U297:V297)</f>
        <v>3.69895833333333</v>
      </c>
      <c r="X297" s="14" t="s">
        <v>21</v>
      </c>
      <c r="Y297" s="202">
        <v>5.55136</v>
      </c>
      <c r="Z297" s="198">
        <v>6</v>
      </c>
      <c r="AA297" s="198">
        <f>H297-SUM(K297:P297)*H297-J297-I297/B297-Z297/B297</f>
        <v>4.66964070796461</v>
      </c>
      <c r="AB297" s="201">
        <f>AA297/H297</f>
        <v>0.133456436352232</v>
      </c>
      <c r="AC297" s="14"/>
      <c r="AD297" s="204">
        <f>J297/H297</f>
        <v>0.110031437553587</v>
      </c>
      <c r="AE297" s="200">
        <f>I297/7.4/H297</f>
        <v>0.210536115864313</v>
      </c>
      <c r="AF297" s="200">
        <f>Z297/7.4/H297</f>
        <v>0.0231726439214293</v>
      </c>
      <c r="AG297" s="200">
        <v>0.15</v>
      </c>
      <c r="AH297" s="200">
        <f>N297</f>
        <v>0.142897970848814</v>
      </c>
      <c r="AI297" s="200">
        <v>0.02</v>
      </c>
      <c r="AJ297" s="200">
        <f>M297</f>
        <v>0.05</v>
      </c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</row>
    <row r="298" ht="11.4" spans="1:75">
      <c r="A298" s="215" t="s">
        <v>344</v>
      </c>
      <c r="B298" s="15">
        <v>8</v>
      </c>
      <c r="C298" s="15" t="s">
        <v>289</v>
      </c>
      <c r="D298" s="15" t="s">
        <v>290</v>
      </c>
      <c r="E298" s="15" t="s">
        <v>281</v>
      </c>
      <c r="F298" s="198">
        <f>IF(E298="有",(I298/B298+J298+Z298/B298)/(0.99999-K298-L298-M298-N298),(I298/B298+J298+Z298/B298)/(0.99999-K298-M298-N298))</f>
        <v>24.1889601628877</v>
      </c>
      <c r="G298" s="198">
        <f>IF(E298="有",(I298/B298+J298+Z298/B298)/(0.8-K298-L298-M298-N298-O298-P298),(I298/B298+J298+Z298/B298)/(0.8-K298-M298-N298-O298-P298))</f>
        <v>49.3319293495786</v>
      </c>
      <c r="H298" s="205">
        <f>H297*0.85</f>
        <v>29.7415</v>
      </c>
      <c r="I298" s="198">
        <f>61.6/1.13</f>
        <v>54.5132743362832</v>
      </c>
      <c r="J298" s="15">
        <v>3.85</v>
      </c>
      <c r="K298" s="200">
        <v>0.15</v>
      </c>
      <c r="L298" s="200">
        <v>0.16</v>
      </c>
      <c r="M298" s="200">
        <v>0.05</v>
      </c>
      <c r="N298" s="200">
        <f>Q298/H298</f>
        <v>0.168115259822134</v>
      </c>
      <c r="O298" s="201">
        <f>0.61/H298</f>
        <v>0.0205100616983004</v>
      </c>
      <c r="P298" s="200">
        <v>0.02</v>
      </c>
      <c r="Q298" s="198">
        <v>5</v>
      </c>
      <c r="R298" s="14">
        <v>33.5</v>
      </c>
      <c r="S298" s="14">
        <v>26.5</v>
      </c>
      <c r="T298" s="14">
        <v>25</v>
      </c>
      <c r="U298" s="14">
        <v>2.3</v>
      </c>
      <c r="V298" s="198">
        <f>R298*S298*T298/6000</f>
        <v>3.69895833333333</v>
      </c>
      <c r="W298" s="198">
        <f>MAX(U298:V298)</f>
        <v>3.69895833333333</v>
      </c>
      <c r="X298" s="15" t="s">
        <v>21</v>
      </c>
      <c r="Y298" s="202">
        <v>5.55136</v>
      </c>
      <c r="Z298" s="198">
        <v>6</v>
      </c>
      <c r="AA298" s="198">
        <f>H298-SUM(K298:P298)*H298-J298-I298/B298-Z298/B298</f>
        <v>1.4155707079646</v>
      </c>
      <c r="AB298" s="201">
        <f>AA298/H298</f>
        <v>0.0475958074732143</v>
      </c>
      <c r="AC298" s="14"/>
      <c r="AD298" s="204">
        <f>J298/H298</f>
        <v>0.129448750063043</v>
      </c>
      <c r="AE298" s="200">
        <f>I298/7.4/H298</f>
        <v>0.247689548075663</v>
      </c>
      <c r="AF298" s="200">
        <f>Z298/7.4/H298</f>
        <v>0.0272619340252109</v>
      </c>
      <c r="AG298" s="200">
        <v>0.15</v>
      </c>
      <c r="AH298" s="200">
        <f>N298</f>
        <v>0.168115259822134</v>
      </c>
      <c r="AI298" s="200">
        <v>0.02</v>
      </c>
      <c r="AJ298" s="200">
        <f>M298</f>
        <v>0.05</v>
      </c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</row>
    <row r="299" ht="11.4" spans="1:75">
      <c r="A299" s="214"/>
      <c r="B299" s="15"/>
      <c r="C299" s="15"/>
      <c r="D299" s="15"/>
      <c r="E299" s="15"/>
      <c r="F299" s="198"/>
      <c r="G299" s="198"/>
      <c r="H299" s="205"/>
      <c r="I299" s="198"/>
      <c r="J299" s="15"/>
      <c r="K299" s="200"/>
      <c r="L299" s="200"/>
      <c r="M299" s="200"/>
      <c r="N299" s="200"/>
      <c r="O299" s="201"/>
      <c r="P299" s="200"/>
      <c r="Q299" s="200"/>
      <c r="R299" s="14"/>
      <c r="S299" s="14"/>
      <c r="T299" s="14"/>
      <c r="U299" s="14"/>
      <c r="V299" s="198"/>
      <c r="W299" s="198"/>
      <c r="X299" s="15"/>
      <c r="Y299" s="202"/>
      <c r="Z299" s="15"/>
      <c r="AA299" s="198"/>
      <c r="AB299" s="201"/>
      <c r="AC299" s="14"/>
      <c r="AD299" s="204"/>
      <c r="AE299" s="200"/>
      <c r="AF299" s="200"/>
      <c r="AG299" s="200"/>
      <c r="AH299" s="200"/>
      <c r="AI299" s="200"/>
      <c r="AJ299" s="200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</row>
    <row r="300" ht="11.4" spans="1:75">
      <c r="A300" s="215" t="s">
        <v>343</v>
      </c>
      <c r="B300" s="14">
        <v>9</v>
      </c>
      <c r="C300" s="15" t="s">
        <v>291</v>
      </c>
      <c r="D300" s="15" t="s">
        <v>86</v>
      </c>
      <c r="E300" s="15" t="s">
        <v>281</v>
      </c>
      <c r="F300" s="198">
        <f>IF(E300="有",(I300/B300+J300+Z300/B300)/(0.99999-K300-L300-M300-N300),(I300/B300+J300+Z300/B300)/(0.99999-K300-M300-N300))</f>
        <v>20.4190903765075</v>
      </c>
      <c r="G300" s="198">
        <f>IF(E300="有",(I300/B300+J300+Z300/B300)/(0.8-K300-L300-M300-N300-O300-P300),(I300/B300+J300+Z300/B300)/(0.8-K300-M300-N300-O300-P300))</f>
        <v>41.4861973550334</v>
      </c>
      <c r="H300" s="205">
        <v>29.99</v>
      </c>
      <c r="I300" s="198">
        <f>61.6/1.13</f>
        <v>54.5132743362832</v>
      </c>
      <c r="J300" s="15">
        <v>2.94</v>
      </c>
      <c r="K300" s="200">
        <v>0.15</v>
      </c>
      <c r="L300" s="200">
        <v>0.16</v>
      </c>
      <c r="M300" s="200">
        <v>0.05</v>
      </c>
      <c r="N300" s="200">
        <f>Q300/H300</f>
        <v>0.166722240746916</v>
      </c>
      <c r="O300" s="201">
        <f>0.61/H300</f>
        <v>0.0203401133711237</v>
      </c>
      <c r="P300" s="200">
        <v>0.02</v>
      </c>
      <c r="Q300" s="198">
        <v>5</v>
      </c>
      <c r="R300" s="14">
        <v>33.5</v>
      </c>
      <c r="S300" s="14">
        <v>26.5</v>
      </c>
      <c r="T300" s="14">
        <v>25</v>
      </c>
      <c r="U300" s="14">
        <v>2.3</v>
      </c>
      <c r="V300" s="198">
        <f>R300*S300*T300/6000</f>
        <v>3.69895833333333</v>
      </c>
      <c r="W300" s="198">
        <f>MAX(U300:V300)</f>
        <v>3.69895833333333</v>
      </c>
      <c r="X300" s="15" t="s">
        <v>21</v>
      </c>
      <c r="Y300" s="202">
        <v>6.084</v>
      </c>
      <c r="Z300" s="198">
        <v>6</v>
      </c>
      <c r="AA300" s="198">
        <f>H300-SUM(K300:P300)*H300-J300-I300/B300-Z300/B300</f>
        <v>3.32010285152409</v>
      </c>
      <c r="AB300" s="201">
        <f>AA300/H300</f>
        <v>0.110706997383264</v>
      </c>
      <c r="AC300" s="14"/>
      <c r="AD300" s="204">
        <f>J300/H300</f>
        <v>0.0980326775591864</v>
      </c>
      <c r="AE300" s="200">
        <f>I300/7.4/H300</f>
        <v>0.245637168859364</v>
      </c>
      <c r="AF300" s="200">
        <f>Z300/7.4/H300</f>
        <v>0.0270360390400404</v>
      </c>
      <c r="AG300" s="200">
        <v>0.15</v>
      </c>
      <c r="AH300" s="200">
        <f>N300</f>
        <v>0.166722240746916</v>
      </c>
      <c r="AI300" s="200">
        <v>0.02</v>
      </c>
      <c r="AJ300" s="200">
        <f>M300</f>
        <v>0.05</v>
      </c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</row>
    <row r="301" ht="11.4" spans="1:75">
      <c r="A301" s="215" t="s">
        <v>344</v>
      </c>
      <c r="B301" s="14">
        <v>9</v>
      </c>
      <c r="C301" s="15" t="s">
        <v>291</v>
      </c>
      <c r="D301" s="15" t="s">
        <v>86</v>
      </c>
      <c r="E301" s="15" t="s">
        <v>281</v>
      </c>
      <c r="F301" s="198">
        <f>IF(E301="有",(I301/B301+J301+Z301/B301)/(0.99999-K301-L301-M301-N301),(I301/B301+J301+Z301/B301)/(0.99999-K301-M301-N301))</f>
        <v>21.7726262470121</v>
      </c>
      <c r="G301" s="198">
        <f>IF(E301="有",(I301/B301+J301+Z301/B301)/(0.8-K301-L301-M301-N301-O301-P301),(I301/B301+J301+Z301/B301)/(0.8-K301-M301-N301-O301-P301))</f>
        <v>48.3362149309171</v>
      </c>
      <c r="H301" s="205">
        <f>H300*0.85</f>
        <v>25.4915</v>
      </c>
      <c r="I301" s="198">
        <f>61.6/1.13</f>
        <v>54.5132743362832</v>
      </c>
      <c r="J301" s="15">
        <v>2.94</v>
      </c>
      <c r="K301" s="200">
        <v>0.15</v>
      </c>
      <c r="L301" s="200">
        <v>0.16</v>
      </c>
      <c r="M301" s="200">
        <v>0.05</v>
      </c>
      <c r="N301" s="200">
        <f>Q301/H301</f>
        <v>0.19614381264343</v>
      </c>
      <c r="O301" s="201">
        <f>0.61/H301</f>
        <v>0.0239295451424985</v>
      </c>
      <c r="P301" s="200">
        <v>0.02</v>
      </c>
      <c r="Q301" s="198">
        <v>5</v>
      </c>
      <c r="R301" s="14">
        <v>33.5</v>
      </c>
      <c r="S301" s="14">
        <v>26.5</v>
      </c>
      <c r="T301" s="14">
        <v>25</v>
      </c>
      <c r="U301" s="14">
        <v>2.3</v>
      </c>
      <c r="V301" s="198">
        <f>R301*S301*T301/6000</f>
        <v>3.69895833333333</v>
      </c>
      <c r="W301" s="198">
        <f>MAX(U301:V301)</f>
        <v>3.69895833333333</v>
      </c>
      <c r="X301" s="15" t="s">
        <v>21</v>
      </c>
      <c r="Y301" s="202">
        <v>6.084</v>
      </c>
      <c r="Z301" s="198">
        <v>6</v>
      </c>
      <c r="AA301" s="198">
        <f>H301-SUM(K301:P301)*H301-J301-I301/B301-Z301/B301</f>
        <v>0.53103285152409</v>
      </c>
      <c r="AB301" s="201">
        <f>AA301/H301</f>
        <v>0.0208317616273695</v>
      </c>
      <c r="AC301" s="14"/>
      <c r="AD301" s="204">
        <f>J301/H301</f>
        <v>0.115332561834337</v>
      </c>
      <c r="AE301" s="200">
        <f>I301/7.4/H301</f>
        <v>0.288984904540428</v>
      </c>
      <c r="AF301" s="200">
        <f>Z301/7.4/H301</f>
        <v>0.0318071047529887</v>
      </c>
      <c r="AG301" s="200">
        <v>0.15</v>
      </c>
      <c r="AH301" s="200">
        <f>N301</f>
        <v>0.19614381264343</v>
      </c>
      <c r="AI301" s="200">
        <v>0.02</v>
      </c>
      <c r="AJ301" s="200">
        <f>M301</f>
        <v>0.05</v>
      </c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322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C1" sqref="C1"/>
    </sheetView>
  </sheetViews>
  <sheetFormatPr defaultColWidth="17" defaultRowHeight="16.5" customHeight="1"/>
  <cols>
    <col min="1" max="1" width="9.42708333333333" customWidth="1"/>
    <col min="2" max="2" width="11.875" hidden="1" customWidth="1"/>
    <col min="3" max="3" width="16.59375" customWidth="1"/>
    <col min="4" max="4" width="35.2708333333333" customWidth="1"/>
    <col min="5" max="5" width="11.3541666666667" customWidth="1"/>
    <col min="6" max="6" width="16.2395833333333" customWidth="1"/>
    <col min="7" max="8" width="13.625" customWidth="1"/>
    <col min="9" max="10" width="11.6979166666667" customWidth="1"/>
    <col min="11" max="11" width="15.1875" customWidth="1"/>
    <col min="12" max="12" width="12.3958333333333" customWidth="1"/>
    <col min="13" max="13" width="13.96875" customWidth="1"/>
    <col min="14" max="14" width="10.3020833333333" customWidth="1"/>
    <col min="15" max="15" width="10.6458333333333" customWidth="1"/>
    <col min="16" max="16" width="8.89583333333333" customWidth="1"/>
    <col min="17" max="17" width="9.08333333333333" customWidth="1"/>
    <col min="18" max="18" width="9.25" customWidth="1"/>
    <col min="19" max="19" width="10.125" customWidth="1"/>
    <col min="20" max="20" width="9.42708333333333" customWidth="1"/>
    <col min="21" max="21" width="7.67708333333333" customWidth="1"/>
    <col min="22" max="22" width="8.72916666666667" customWidth="1"/>
    <col min="23" max="23" width="8.5625" customWidth="1"/>
    <col min="24" max="24" width="10.6458333333333" customWidth="1"/>
    <col min="25" max="25" width="9.25" customWidth="1"/>
    <col min="26" max="26" width="9.78125" customWidth="1"/>
    <col min="27" max="27" width="10.6458333333333" customWidth="1"/>
    <col min="28" max="28" width="10.8333333333333" customWidth="1"/>
    <col min="29" max="29" width="10.125" customWidth="1"/>
    <col min="30" max="30" width="12.3958333333333" customWidth="1"/>
    <col min="31" max="31" width="9.25" customWidth="1"/>
    <col min="32" max="32" width="11.6979166666667" customWidth="1"/>
    <col min="33" max="33" width="10.4791666666667" customWidth="1"/>
    <col min="34" max="34" width="9.94791666666667" customWidth="1"/>
    <col min="35" max="35" width="11.3541666666667" customWidth="1"/>
    <col min="36" max="71" width="16.59375" customWidth="1"/>
  </cols>
  <sheetData>
    <row r="1" customHeight="1" spans="1:71">
      <c r="A1" s="156" t="s">
        <v>345</v>
      </c>
      <c r="B1" s="157" t="s">
        <v>0</v>
      </c>
      <c r="C1" s="157" t="s">
        <v>1</v>
      </c>
      <c r="D1" s="156" t="s">
        <v>3</v>
      </c>
      <c r="E1" s="158" t="s">
        <v>346</v>
      </c>
      <c r="F1" s="159" t="s">
        <v>347</v>
      </c>
      <c r="G1" s="160" t="s">
        <v>348</v>
      </c>
      <c r="H1" s="160" t="s">
        <v>349</v>
      </c>
      <c r="I1" s="160" t="s">
        <v>107</v>
      </c>
      <c r="J1" s="161" t="s">
        <v>108</v>
      </c>
      <c r="K1" s="162" t="s">
        <v>350</v>
      </c>
      <c r="L1" s="163" t="s">
        <v>109</v>
      </c>
      <c r="M1" s="156" t="s">
        <v>111</v>
      </c>
      <c r="N1" s="164" t="s">
        <v>112</v>
      </c>
      <c r="O1" s="165" t="s">
        <v>351</v>
      </c>
      <c r="P1" s="159" t="s">
        <v>9</v>
      </c>
      <c r="Q1" s="166" t="s">
        <v>198</v>
      </c>
      <c r="R1" s="167" t="s">
        <v>352</v>
      </c>
      <c r="S1" s="167" t="s">
        <v>353</v>
      </c>
      <c r="T1" s="167" t="s">
        <v>354</v>
      </c>
      <c r="U1" s="168" t="s">
        <v>355</v>
      </c>
      <c r="V1" s="124" t="s">
        <v>356</v>
      </c>
      <c r="W1" s="124" t="s">
        <v>357</v>
      </c>
      <c r="X1" s="168" t="s">
        <v>358</v>
      </c>
      <c r="Y1" s="168" t="s">
        <v>118</v>
      </c>
      <c r="Z1" s="168" t="s">
        <v>119</v>
      </c>
      <c r="AA1" s="168" t="s">
        <v>120</v>
      </c>
      <c r="AB1" s="168" t="s">
        <v>121</v>
      </c>
      <c r="AC1" s="169" t="s">
        <v>236</v>
      </c>
      <c r="AD1" s="170" t="s">
        <v>237</v>
      </c>
      <c r="AE1" s="169" t="s">
        <v>359</v>
      </c>
      <c r="AF1" s="124" t="s">
        <v>239</v>
      </c>
      <c r="AG1" s="124" t="s">
        <v>214</v>
      </c>
      <c r="AH1" s="162" t="s">
        <v>238</v>
      </c>
      <c r="AI1" s="124" t="s">
        <v>234</v>
      </c>
      <c r="AJ1" s="124" t="s">
        <v>360</v>
      </c>
      <c r="AK1" s="124" t="s">
        <v>361</v>
      </c>
      <c r="AL1" s="124" t="s">
        <v>362</v>
      </c>
      <c r="AM1" s="124" t="s">
        <v>363</v>
      </c>
      <c r="AN1" s="124" t="s">
        <v>364</v>
      </c>
      <c r="AO1" s="124" t="s">
        <v>365</v>
      </c>
      <c r="AP1" s="124" t="s">
        <v>366</v>
      </c>
      <c r="AQ1" s="124" t="s">
        <v>367</v>
      </c>
      <c r="AR1" s="124" t="s">
        <v>368</v>
      </c>
      <c r="AS1" s="124" t="s">
        <v>369</v>
      </c>
      <c r="AT1" s="123" t="s">
        <v>370</v>
      </c>
      <c r="AU1" s="123" t="s">
        <v>371</v>
      </c>
      <c r="AV1" s="123" t="s">
        <v>372</v>
      </c>
      <c r="AW1" s="123" t="s">
        <v>361</v>
      </c>
      <c r="AX1" s="123" t="s">
        <v>362</v>
      </c>
      <c r="AY1" s="123" t="s">
        <v>363</v>
      </c>
      <c r="AZ1" s="124" t="s">
        <v>364</v>
      </c>
      <c r="BA1" s="124" t="s">
        <v>365</v>
      </c>
      <c r="BB1" s="124" t="s">
        <v>366</v>
      </c>
      <c r="BC1" s="124" t="s">
        <v>367</v>
      </c>
      <c r="BD1" s="124" t="s">
        <v>368</v>
      </c>
      <c r="BE1" s="124" t="s">
        <v>369</v>
      </c>
      <c r="BF1" s="123" t="s">
        <v>373</v>
      </c>
      <c r="BG1" s="123" t="s">
        <v>371</v>
      </c>
      <c r="BH1" s="123" t="s">
        <v>372</v>
      </c>
      <c r="BI1" s="123" t="s">
        <v>361</v>
      </c>
      <c r="BJ1" s="123" t="s">
        <v>362</v>
      </c>
      <c r="BK1" s="123" t="s">
        <v>363</v>
      </c>
      <c r="BL1" s="124" t="s">
        <v>364</v>
      </c>
      <c r="BM1" s="124" t="s">
        <v>365</v>
      </c>
      <c r="BN1" s="124" t="s">
        <v>366</v>
      </c>
      <c r="BO1" s="124" t="s">
        <v>367</v>
      </c>
      <c r="BP1" s="124" t="s">
        <v>368</v>
      </c>
      <c r="BQ1" s="124" t="s">
        <v>369</v>
      </c>
      <c r="BR1" s="123" t="s">
        <v>374</v>
      </c>
      <c r="BS1" s="171" t="s">
        <v>232</v>
      </c>
    </row>
    <row r="2" customHeight="1" spans="1:71">
      <c r="A2" s="142" t="s">
        <v>86</v>
      </c>
      <c r="B2" s="127" t="s">
        <v>29</v>
      </c>
      <c r="C2" s="127"/>
      <c r="D2" s="172" t="s">
        <v>375</v>
      </c>
      <c r="E2" s="173">
        <v>55.3</v>
      </c>
      <c r="F2" s="130">
        <v>79.99</v>
      </c>
      <c r="G2" s="133">
        <f t="shared" ref="G2:G25" si="0">(F2-Z2)</f>
        <v>79.99</v>
      </c>
      <c r="H2" s="133">
        <f t="shared" ref="H2:H25" si="1">(F2-Z2)/1.2</f>
        <v>66.6583333333333</v>
      </c>
      <c r="I2" s="133">
        <f t="shared" ref="I2:I25" si="2">E2-N2/Q2-AB2-Y2-O2-Z2-AA2</f>
        <v>18.2647253687316</v>
      </c>
      <c r="J2" s="134">
        <f t="shared" ref="J2:J25" si="3">I2/E2</f>
        <v>0.330284364714856</v>
      </c>
      <c r="K2" s="131">
        <f t="shared" ref="K2:K25" si="4">F2/1.2</f>
        <v>66.6583333333333</v>
      </c>
      <c r="L2" s="174">
        <f t="shared" ref="L2:L25" si="5">(K2-E2)/K2</f>
        <v>0.170396299537442</v>
      </c>
      <c r="M2" s="133">
        <f t="shared" ref="M2:M25" si="6">F2/1.2-E2</f>
        <v>11.3583333333333</v>
      </c>
      <c r="N2" s="131">
        <f t="shared" ref="N2:N25" si="7">AD2+AH2</f>
        <v>157.566371681416</v>
      </c>
      <c r="O2" s="131">
        <f t="shared" ref="O2:O25" si="8">IFERROR(IF(A2="UK",8.95/P2,IF(A2="DE",7.75/P2,IF(A2="FR",14.25/P2,IF(A2="IT",15.25/P2,IF(A2="ES",19.25/P2,IF(A2="NL",16.75/P2,IF(A2="PL",14.05/P2,IF(A2="SE",18.25/P2,IF(A2="BE",14.25/P2))))))))),0)</f>
        <v>2.2375</v>
      </c>
      <c r="P2" s="142">
        <v>4</v>
      </c>
      <c r="Q2" s="136">
        <v>9</v>
      </c>
      <c r="R2" s="137">
        <f t="shared" ref="R2:R25" si="9">Y2/E2</f>
        <v>0.144665461121157</v>
      </c>
      <c r="S2" s="134">
        <f>Y2/H2</f>
        <v>0.120015001875234</v>
      </c>
      <c r="T2" s="137">
        <f t="shared" ref="T2:T25" si="10">Z2/E2</f>
        <v>0</v>
      </c>
      <c r="U2" s="137">
        <v>0.01</v>
      </c>
      <c r="V2" s="137">
        <f t="shared" ref="V2:V25" si="11">N2/(E2*Q2)</f>
        <v>0.316589053006663</v>
      </c>
      <c r="W2" s="137">
        <f t="shared" ref="W2:W25" si="12">O2/E2</f>
        <v>0.0404611211573237</v>
      </c>
      <c r="X2" s="135">
        <v>0.158</v>
      </c>
      <c r="Y2" s="138">
        <v>8</v>
      </c>
      <c r="Z2" s="138">
        <f>F2*0</f>
        <v>0</v>
      </c>
      <c r="AA2" s="138">
        <f t="shared" ref="AA2:AA25" si="13">E2*U2</f>
        <v>0.553</v>
      </c>
      <c r="AB2" s="131">
        <f t="shared" ref="AB2:AB25" si="14">E2*X2</f>
        <v>8.7374</v>
      </c>
      <c r="AC2" s="131">
        <v>138.5</v>
      </c>
      <c r="AD2" s="139">
        <f t="shared" ref="AD2:AD25" si="15">AC2/1.13</f>
        <v>122.566371681416</v>
      </c>
      <c r="AE2" s="136">
        <f t="shared" ref="AE2:AE25" si="16">AH2/Q2</f>
        <v>3.88888888888889</v>
      </c>
      <c r="AF2" s="137">
        <f t="shared" ref="AF2:AF25" si="17">AD2/(E2*Q2)</f>
        <v>0.246265564961655</v>
      </c>
      <c r="AG2" s="137">
        <f t="shared" ref="AG2:AG25" si="18">AE2/E2</f>
        <v>0.070323488045007</v>
      </c>
      <c r="AH2" s="136">
        <v>35</v>
      </c>
      <c r="AI2" s="134">
        <f t="shared" ref="AI2:AI25" si="19">(K2-E2+AB2)/(K2-Z2)</f>
        <v>0.301473684210526</v>
      </c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40" t="s">
        <v>376</v>
      </c>
      <c r="AU2" s="140" t="s">
        <v>376</v>
      </c>
      <c r="AV2" s="140" t="s">
        <v>376</v>
      </c>
      <c r="AW2" s="140" t="s">
        <v>376</v>
      </c>
      <c r="AX2" s="140" t="s">
        <v>376</v>
      </c>
      <c r="AY2" s="140" t="s">
        <v>376</v>
      </c>
      <c r="AZ2" s="140" t="s">
        <v>376</v>
      </c>
      <c r="BA2" s="140" t="s">
        <v>376</v>
      </c>
      <c r="BB2" s="140" t="s">
        <v>376</v>
      </c>
      <c r="BC2" s="140" t="s">
        <v>376</v>
      </c>
      <c r="BD2" s="140" t="s">
        <v>376</v>
      </c>
      <c r="BE2" s="140" t="s">
        <v>376</v>
      </c>
      <c r="BF2" s="140" t="s">
        <v>376</v>
      </c>
      <c r="BG2" s="140" t="s">
        <v>376</v>
      </c>
      <c r="BH2" s="140" t="s">
        <v>376</v>
      </c>
      <c r="BI2" s="140" t="s">
        <v>376</v>
      </c>
      <c r="BJ2" s="140" t="s">
        <v>376</v>
      </c>
      <c r="BK2" s="140" t="s">
        <v>376</v>
      </c>
      <c r="BL2" s="140" t="s">
        <v>376</v>
      </c>
      <c r="BM2" s="140" t="s">
        <v>376</v>
      </c>
      <c r="BN2" s="140" t="s">
        <v>376</v>
      </c>
      <c r="BO2" s="140" t="s">
        <v>376</v>
      </c>
      <c r="BP2" s="140" t="s">
        <v>376</v>
      </c>
      <c r="BQ2" s="140" t="s">
        <v>376</v>
      </c>
      <c r="BR2" s="175"/>
      <c r="BS2" s="142" t="s">
        <v>377</v>
      </c>
    </row>
    <row r="3" customHeight="1" spans="1:71">
      <c r="A3" s="142" t="s">
        <v>86</v>
      </c>
      <c r="B3" s="127" t="s">
        <v>29</v>
      </c>
      <c r="C3" s="127"/>
      <c r="D3" s="172" t="s">
        <v>378</v>
      </c>
      <c r="E3" s="173">
        <v>55.3</v>
      </c>
      <c r="F3" s="130">
        <v>79.99</v>
      </c>
      <c r="G3" s="133">
        <f t="shared" si="0"/>
        <v>75.9905</v>
      </c>
      <c r="H3" s="133">
        <f t="shared" si="1"/>
        <v>63.3254166666667</v>
      </c>
      <c r="I3" s="176">
        <f t="shared" si="2"/>
        <v>14.2652253687316</v>
      </c>
      <c r="J3" s="134">
        <f t="shared" si="3"/>
        <v>0.257960675745598</v>
      </c>
      <c r="K3" s="131">
        <f t="shared" si="4"/>
        <v>66.6583333333333</v>
      </c>
      <c r="L3" s="174">
        <f t="shared" si="5"/>
        <v>0.170396299537442</v>
      </c>
      <c r="M3" s="133">
        <f t="shared" si="6"/>
        <v>11.3583333333333</v>
      </c>
      <c r="N3" s="131">
        <f t="shared" si="7"/>
        <v>157.566371681416</v>
      </c>
      <c r="O3" s="131">
        <f t="shared" si="8"/>
        <v>2.2375</v>
      </c>
      <c r="P3" s="142">
        <v>4</v>
      </c>
      <c r="Q3" s="136">
        <v>9</v>
      </c>
      <c r="R3" s="137">
        <f t="shared" si="9"/>
        <v>0.144665461121157</v>
      </c>
      <c r="S3" s="134">
        <f>Y3/H3</f>
        <v>0.126331580921299</v>
      </c>
      <c r="T3" s="137">
        <f t="shared" si="10"/>
        <v>0.0723236889692586</v>
      </c>
      <c r="U3" s="137">
        <v>0.01</v>
      </c>
      <c r="V3" s="137">
        <f t="shared" si="11"/>
        <v>0.316589053006663</v>
      </c>
      <c r="W3" s="137">
        <f t="shared" si="12"/>
        <v>0.0404611211573237</v>
      </c>
      <c r="X3" s="135">
        <v>0.158</v>
      </c>
      <c r="Y3" s="138">
        <v>8</v>
      </c>
      <c r="Z3" s="138">
        <f>F3*0.05</f>
        <v>3.9995</v>
      </c>
      <c r="AA3" s="138">
        <f t="shared" si="13"/>
        <v>0.553</v>
      </c>
      <c r="AB3" s="131">
        <f t="shared" si="14"/>
        <v>8.7374</v>
      </c>
      <c r="AC3" s="131">
        <v>138.5</v>
      </c>
      <c r="AD3" s="139">
        <f t="shared" si="15"/>
        <v>122.566371681416</v>
      </c>
      <c r="AE3" s="136">
        <f t="shared" si="16"/>
        <v>3.88888888888889</v>
      </c>
      <c r="AF3" s="137">
        <f t="shared" si="17"/>
        <v>0.246265564961655</v>
      </c>
      <c r="AG3" s="137">
        <f t="shared" si="18"/>
        <v>0.070323488045007</v>
      </c>
      <c r="AH3" s="136">
        <v>35</v>
      </c>
      <c r="AI3" s="134">
        <f t="shared" si="19"/>
        <v>0.320716685330347</v>
      </c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40" t="s">
        <v>376</v>
      </c>
      <c r="AU3" s="140" t="s">
        <v>376</v>
      </c>
      <c r="AV3" s="140" t="s">
        <v>376</v>
      </c>
      <c r="AW3" s="140" t="s">
        <v>376</v>
      </c>
      <c r="AX3" s="140" t="s">
        <v>376</v>
      </c>
      <c r="AY3" s="140" t="s">
        <v>376</v>
      </c>
      <c r="AZ3" s="140" t="s">
        <v>376</v>
      </c>
      <c r="BA3" s="140" t="s">
        <v>376</v>
      </c>
      <c r="BB3" s="140" t="s">
        <v>376</v>
      </c>
      <c r="BC3" s="140" t="s">
        <v>376</v>
      </c>
      <c r="BD3" s="140" t="s">
        <v>376</v>
      </c>
      <c r="BE3" s="140" t="s">
        <v>376</v>
      </c>
      <c r="BF3" s="140" t="s">
        <v>376</v>
      </c>
      <c r="BG3" s="140" t="s">
        <v>376</v>
      </c>
      <c r="BH3" s="140" t="s">
        <v>376</v>
      </c>
      <c r="BI3" s="140" t="s">
        <v>376</v>
      </c>
      <c r="BJ3" s="140" t="s">
        <v>376</v>
      </c>
      <c r="BK3" s="140" t="s">
        <v>376</v>
      </c>
      <c r="BL3" s="140" t="s">
        <v>376</v>
      </c>
      <c r="BM3" s="140" t="s">
        <v>376</v>
      </c>
      <c r="BN3" s="140" t="s">
        <v>376</v>
      </c>
      <c r="BO3" s="140" t="s">
        <v>376</v>
      </c>
      <c r="BP3" s="140" t="s">
        <v>376</v>
      </c>
      <c r="BQ3" s="140" t="s">
        <v>376</v>
      </c>
      <c r="BR3" s="175"/>
      <c r="BS3" s="142" t="s">
        <v>377</v>
      </c>
    </row>
    <row r="4" customHeight="1" spans="1:71">
      <c r="A4" s="142" t="s">
        <v>86</v>
      </c>
      <c r="B4" s="127" t="s">
        <v>29</v>
      </c>
      <c r="C4" s="127"/>
      <c r="D4" s="172" t="s">
        <v>379</v>
      </c>
      <c r="E4" s="173">
        <v>55.3</v>
      </c>
      <c r="F4" s="130">
        <v>79.99</v>
      </c>
      <c r="G4" s="133">
        <f t="shared" si="0"/>
        <v>71.991</v>
      </c>
      <c r="H4" s="133">
        <f t="shared" si="1"/>
        <v>59.9925</v>
      </c>
      <c r="I4" s="133">
        <f t="shared" si="2"/>
        <v>10.2657253687316</v>
      </c>
      <c r="J4" s="134">
        <f t="shared" si="3"/>
        <v>0.185636986776339</v>
      </c>
      <c r="K4" s="131">
        <f t="shared" si="4"/>
        <v>66.6583333333333</v>
      </c>
      <c r="L4" s="174">
        <f t="shared" si="5"/>
        <v>0.170396299537442</v>
      </c>
      <c r="M4" s="133">
        <f t="shared" si="6"/>
        <v>11.3583333333333</v>
      </c>
      <c r="N4" s="131">
        <f t="shared" si="7"/>
        <v>157.566371681416</v>
      </c>
      <c r="O4" s="131">
        <f t="shared" si="8"/>
        <v>2.2375</v>
      </c>
      <c r="P4" s="142">
        <v>4</v>
      </c>
      <c r="Q4" s="136">
        <v>9</v>
      </c>
      <c r="R4" s="137">
        <f t="shared" si="9"/>
        <v>0.144665461121157</v>
      </c>
      <c r="S4" s="134">
        <f>Y4/H4</f>
        <v>0.133350002083594</v>
      </c>
      <c r="T4" s="137">
        <f t="shared" si="10"/>
        <v>0.144647377938517</v>
      </c>
      <c r="U4" s="137">
        <v>0.01</v>
      </c>
      <c r="V4" s="137">
        <f t="shared" si="11"/>
        <v>0.316589053006663</v>
      </c>
      <c r="W4" s="137">
        <f t="shared" si="12"/>
        <v>0.0404611211573237</v>
      </c>
      <c r="X4" s="135">
        <v>0.158</v>
      </c>
      <c r="Y4" s="138">
        <v>8</v>
      </c>
      <c r="Z4" s="138">
        <f>F4*0.1</f>
        <v>7.999</v>
      </c>
      <c r="AA4" s="138">
        <f t="shared" si="13"/>
        <v>0.553</v>
      </c>
      <c r="AB4" s="131">
        <f t="shared" si="14"/>
        <v>8.7374</v>
      </c>
      <c r="AC4" s="131">
        <v>138.5</v>
      </c>
      <c r="AD4" s="139">
        <f t="shared" si="15"/>
        <v>122.566371681416</v>
      </c>
      <c r="AE4" s="136">
        <f t="shared" si="16"/>
        <v>3.88888888888889</v>
      </c>
      <c r="AF4" s="137">
        <f t="shared" si="17"/>
        <v>0.246265564961655</v>
      </c>
      <c r="AG4" s="137">
        <f t="shared" si="18"/>
        <v>0.070323488045007</v>
      </c>
      <c r="AH4" s="136">
        <v>35</v>
      </c>
      <c r="AI4" s="134">
        <f t="shared" si="19"/>
        <v>0.342583732057416</v>
      </c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40" t="s">
        <v>376</v>
      </c>
      <c r="AU4" s="140" t="s">
        <v>376</v>
      </c>
      <c r="AV4" s="140" t="s">
        <v>376</v>
      </c>
      <c r="AW4" s="140" t="s">
        <v>376</v>
      </c>
      <c r="AX4" s="140" t="s">
        <v>376</v>
      </c>
      <c r="AY4" s="140" t="s">
        <v>376</v>
      </c>
      <c r="AZ4" s="140" t="s">
        <v>376</v>
      </c>
      <c r="BA4" s="140" t="s">
        <v>376</v>
      </c>
      <c r="BB4" s="140" t="s">
        <v>376</v>
      </c>
      <c r="BC4" s="140" t="s">
        <v>376</v>
      </c>
      <c r="BD4" s="140" t="s">
        <v>376</v>
      </c>
      <c r="BE4" s="140" t="s">
        <v>376</v>
      </c>
      <c r="BF4" s="140" t="s">
        <v>376</v>
      </c>
      <c r="BG4" s="140" t="s">
        <v>376</v>
      </c>
      <c r="BH4" s="140" t="s">
        <v>376</v>
      </c>
      <c r="BI4" s="140" t="s">
        <v>376</v>
      </c>
      <c r="BJ4" s="140" t="s">
        <v>376</v>
      </c>
      <c r="BK4" s="140" t="s">
        <v>376</v>
      </c>
      <c r="BL4" s="140" t="s">
        <v>376</v>
      </c>
      <c r="BM4" s="140" t="s">
        <v>376</v>
      </c>
      <c r="BN4" s="140" t="s">
        <v>376</v>
      </c>
      <c r="BO4" s="140" t="s">
        <v>376</v>
      </c>
      <c r="BP4" s="140" t="s">
        <v>376</v>
      </c>
      <c r="BQ4" s="140" t="s">
        <v>376</v>
      </c>
      <c r="BR4" s="175"/>
      <c r="BS4" s="142" t="s">
        <v>377</v>
      </c>
    </row>
    <row r="5" customHeight="1" spans="1:71">
      <c r="A5" s="142" t="s">
        <v>86</v>
      </c>
      <c r="B5" s="127" t="s">
        <v>29</v>
      </c>
      <c r="C5" s="127"/>
      <c r="D5" s="172" t="s">
        <v>380</v>
      </c>
      <c r="E5" s="173">
        <v>55.3</v>
      </c>
      <c r="F5" s="173">
        <v>79.99</v>
      </c>
      <c r="G5" s="133">
        <f t="shared" si="0"/>
        <v>67.9915</v>
      </c>
      <c r="H5" s="133">
        <f t="shared" si="1"/>
        <v>56.6595833333333</v>
      </c>
      <c r="I5" s="133">
        <f t="shared" si="2"/>
        <v>6.26622536873156</v>
      </c>
      <c r="J5" s="134">
        <f t="shared" si="3"/>
        <v>0.113313297807081</v>
      </c>
      <c r="K5" s="131">
        <f t="shared" si="4"/>
        <v>66.6583333333333</v>
      </c>
      <c r="L5" s="174">
        <f t="shared" si="5"/>
        <v>0.170396299537442</v>
      </c>
      <c r="M5" s="133">
        <f t="shared" si="6"/>
        <v>11.3583333333333</v>
      </c>
      <c r="N5" s="131">
        <f t="shared" si="7"/>
        <v>157.566371681416</v>
      </c>
      <c r="O5" s="131">
        <f t="shared" si="8"/>
        <v>2.2375</v>
      </c>
      <c r="P5" s="142">
        <v>4</v>
      </c>
      <c r="Q5" s="136">
        <v>9</v>
      </c>
      <c r="R5" s="137">
        <f t="shared" si="9"/>
        <v>0.144665461121157</v>
      </c>
      <c r="S5" s="134">
        <f>Y5/H5</f>
        <v>0.141194119853217</v>
      </c>
      <c r="T5" s="137">
        <f t="shared" si="10"/>
        <v>0.216971066907776</v>
      </c>
      <c r="U5" s="137">
        <v>0.01</v>
      </c>
      <c r="V5" s="137">
        <f t="shared" si="11"/>
        <v>0.316589053006663</v>
      </c>
      <c r="W5" s="137">
        <f t="shared" si="12"/>
        <v>0.0404611211573237</v>
      </c>
      <c r="X5" s="135">
        <v>0.158</v>
      </c>
      <c r="Y5" s="138">
        <v>8</v>
      </c>
      <c r="Z5" s="138">
        <f>F5*0.15</f>
        <v>11.9985</v>
      </c>
      <c r="AA5" s="138">
        <f t="shared" si="13"/>
        <v>0.553</v>
      </c>
      <c r="AB5" s="131">
        <f t="shared" si="14"/>
        <v>8.7374</v>
      </c>
      <c r="AC5" s="131">
        <v>138.5</v>
      </c>
      <c r="AD5" s="139">
        <f t="shared" si="15"/>
        <v>122.566371681416</v>
      </c>
      <c r="AE5" s="136">
        <f t="shared" si="16"/>
        <v>3.88888888888889</v>
      </c>
      <c r="AF5" s="137">
        <f t="shared" si="17"/>
        <v>0.246265564961655</v>
      </c>
      <c r="AG5" s="137">
        <f t="shared" si="18"/>
        <v>0.070323488045007</v>
      </c>
      <c r="AH5" s="136">
        <v>35</v>
      </c>
      <c r="AI5" s="134">
        <f t="shared" si="19"/>
        <v>0.367650834403081</v>
      </c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40" t="s">
        <v>376</v>
      </c>
      <c r="AU5" s="140" t="s">
        <v>376</v>
      </c>
      <c r="AV5" s="140" t="s">
        <v>376</v>
      </c>
      <c r="AW5" s="140" t="s">
        <v>376</v>
      </c>
      <c r="AX5" s="140" t="s">
        <v>376</v>
      </c>
      <c r="AY5" s="140" t="s">
        <v>376</v>
      </c>
      <c r="AZ5" s="140" t="s">
        <v>376</v>
      </c>
      <c r="BA5" s="140" t="s">
        <v>376</v>
      </c>
      <c r="BB5" s="140" t="s">
        <v>376</v>
      </c>
      <c r="BC5" s="140" t="s">
        <v>376</v>
      </c>
      <c r="BD5" s="140" t="s">
        <v>376</v>
      </c>
      <c r="BE5" s="140" t="s">
        <v>376</v>
      </c>
      <c r="BF5" s="140" t="s">
        <v>376</v>
      </c>
      <c r="BG5" s="140" t="s">
        <v>376</v>
      </c>
      <c r="BH5" s="140" t="s">
        <v>376</v>
      </c>
      <c r="BI5" s="140" t="s">
        <v>376</v>
      </c>
      <c r="BJ5" s="140" t="s">
        <v>376</v>
      </c>
      <c r="BK5" s="140" t="s">
        <v>376</v>
      </c>
      <c r="BL5" s="140" t="s">
        <v>376</v>
      </c>
      <c r="BM5" s="140" t="s">
        <v>376</v>
      </c>
      <c r="BN5" s="140" t="s">
        <v>376</v>
      </c>
      <c r="BO5" s="140" t="s">
        <v>376</v>
      </c>
      <c r="BP5" s="140" t="s">
        <v>376</v>
      </c>
      <c r="BQ5" s="140" t="s">
        <v>376</v>
      </c>
      <c r="BR5" s="175"/>
      <c r="BS5" s="142" t="s">
        <v>377</v>
      </c>
    </row>
    <row r="6" customHeight="1" spans="1:71">
      <c r="A6" s="127" t="s">
        <v>280</v>
      </c>
      <c r="B6" s="127" t="s">
        <v>27</v>
      </c>
      <c r="C6" s="127"/>
      <c r="D6" s="177" t="s">
        <v>375</v>
      </c>
      <c r="E6" s="132">
        <v>55.85</v>
      </c>
      <c r="F6" s="130">
        <v>79.99</v>
      </c>
      <c r="G6" s="133">
        <f t="shared" si="0"/>
        <v>79.99</v>
      </c>
      <c r="H6" s="133">
        <f t="shared" si="1"/>
        <v>66.6583333333333</v>
      </c>
      <c r="I6" s="133">
        <f t="shared" si="2"/>
        <v>16.816628539823</v>
      </c>
      <c r="J6" s="134">
        <f t="shared" si="3"/>
        <v>0.301103465350457</v>
      </c>
      <c r="K6" s="131">
        <f t="shared" si="4"/>
        <v>66.6583333333333</v>
      </c>
      <c r="L6" s="174">
        <f t="shared" si="5"/>
        <v>0.16214526815852</v>
      </c>
      <c r="M6" s="133">
        <f t="shared" si="6"/>
        <v>10.8083333333333</v>
      </c>
      <c r="N6" s="131">
        <f t="shared" si="7"/>
        <v>152.566371681416</v>
      </c>
      <c r="O6" s="131">
        <f t="shared" si="8"/>
        <v>1.9375</v>
      </c>
      <c r="P6" s="127">
        <v>4</v>
      </c>
      <c r="Q6" s="136">
        <v>8</v>
      </c>
      <c r="R6" s="137">
        <f t="shared" si="9"/>
        <v>0.143240823634736</v>
      </c>
      <c r="S6" s="134">
        <f t="shared" ref="S6:S25" si="20">Y6/F6</f>
        <v>0.100012501562695</v>
      </c>
      <c r="T6" s="137">
        <f t="shared" si="10"/>
        <v>0</v>
      </c>
      <c r="U6" s="137">
        <v>0.01</v>
      </c>
      <c r="V6" s="137">
        <f t="shared" si="11"/>
        <v>0.34146457404077</v>
      </c>
      <c r="W6" s="137">
        <f t="shared" si="12"/>
        <v>0.0346911369740376</v>
      </c>
      <c r="X6" s="135">
        <v>0.1695</v>
      </c>
      <c r="Y6" s="138">
        <v>8</v>
      </c>
      <c r="Z6" s="138">
        <v>0</v>
      </c>
      <c r="AA6" s="138">
        <f t="shared" si="13"/>
        <v>0.5585</v>
      </c>
      <c r="AB6" s="131">
        <f t="shared" si="14"/>
        <v>9.466575</v>
      </c>
      <c r="AC6" s="131">
        <v>138.5</v>
      </c>
      <c r="AD6" s="139">
        <f t="shared" si="15"/>
        <v>122.566371681416</v>
      </c>
      <c r="AE6" s="136">
        <f t="shared" si="16"/>
        <v>3.75</v>
      </c>
      <c r="AF6" s="137">
        <f t="shared" si="17"/>
        <v>0.274320437961987</v>
      </c>
      <c r="AG6" s="137">
        <f t="shared" si="18"/>
        <v>0.0671441360787824</v>
      </c>
      <c r="AH6" s="136">
        <v>30</v>
      </c>
      <c r="AI6" s="134">
        <f t="shared" si="19"/>
        <v>0.304161645205651</v>
      </c>
      <c r="AJ6" s="137"/>
      <c r="AK6" s="137"/>
      <c r="AL6" s="137"/>
      <c r="AM6" s="137"/>
      <c r="AN6" s="140"/>
      <c r="AO6" s="140"/>
      <c r="AP6" s="140"/>
      <c r="AQ6" s="140"/>
      <c r="AR6" s="140"/>
      <c r="AS6" s="140"/>
      <c r="AT6" s="140" t="s">
        <v>376</v>
      </c>
      <c r="AU6" s="140" t="s">
        <v>376</v>
      </c>
      <c r="AV6" s="140" t="s">
        <v>376</v>
      </c>
      <c r="AW6" s="140" t="s">
        <v>376</v>
      </c>
      <c r="AX6" s="140" t="s">
        <v>376</v>
      </c>
      <c r="AY6" s="140" t="s">
        <v>376</v>
      </c>
      <c r="AZ6" s="140" t="s">
        <v>376</v>
      </c>
      <c r="BA6" s="140" t="s">
        <v>376</v>
      </c>
      <c r="BB6" s="140" t="s">
        <v>376</v>
      </c>
      <c r="BC6" s="140" t="s">
        <v>376</v>
      </c>
      <c r="BD6" s="140" t="s">
        <v>376</v>
      </c>
      <c r="BE6" s="140" t="s">
        <v>376</v>
      </c>
      <c r="BF6" s="140" t="s">
        <v>376</v>
      </c>
      <c r="BG6" s="140" t="s">
        <v>376</v>
      </c>
      <c r="BH6" s="140" t="s">
        <v>376</v>
      </c>
      <c r="BI6" s="140" t="s">
        <v>376</v>
      </c>
      <c r="BJ6" s="140" t="s">
        <v>376</v>
      </c>
      <c r="BK6" s="140" t="s">
        <v>376</v>
      </c>
      <c r="BL6" s="140" t="s">
        <v>376</v>
      </c>
      <c r="BM6" s="140" t="s">
        <v>376</v>
      </c>
      <c r="BN6" s="140" t="s">
        <v>376</v>
      </c>
      <c r="BO6" s="140" t="s">
        <v>376</v>
      </c>
      <c r="BP6" s="140" t="s">
        <v>376</v>
      </c>
      <c r="BQ6" s="140" t="s">
        <v>376</v>
      </c>
      <c r="BR6" s="175"/>
      <c r="BS6" s="142" t="s">
        <v>377</v>
      </c>
    </row>
    <row r="7" customHeight="1" spans="1:71">
      <c r="A7" s="127" t="s">
        <v>280</v>
      </c>
      <c r="B7" s="127" t="s">
        <v>27</v>
      </c>
      <c r="C7" s="127"/>
      <c r="D7" s="172" t="s">
        <v>378</v>
      </c>
      <c r="E7" s="132">
        <v>55.85</v>
      </c>
      <c r="F7" s="173">
        <v>79.99</v>
      </c>
      <c r="G7" s="133">
        <f t="shared" si="0"/>
        <v>75.9905</v>
      </c>
      <c r="H7" s="133">
        <f t="shared" si="1"/>
        <v>63.3254166666667</v>
      </c>
      <c r="I7" s="176">
        <f t="shared" si="2"/>
        <v>12.817128539823</v>
      </c>
      <c r="J7" s="134">
        <f t="shared" si="3"/>
        <v>0.229492006084566</v>
      </c>
      <c r="K7" s="131">
        <f t="shared" si="4"/>
        <v>66.6583333333333</v>
      </c>
      <c r="L7" s="174">
        <f t="shared" si="5"/>
        <v>0.16214526815852</v>
      </c>
      <c r="M7" s="133">
        <f t="shared" si="6"/>
        <v>10.8083333333333</v>
      </c>
      <c r="N7" s="131">
        <f t="shared" si="7"/>
        <v>152.566371681416</v>
      </c>
      <c r="O7" s="131">
        <f t="shared" si="8"/>
        <v>1.9375</v>
      </c>
      <c r="P7" s="127">
        <v>4</v>
      </c>
      <c r="Q7" s="136">
        <v>8</v>
      </c>
      <c r="R7" s="137">
        <f t="shared" si="9"/>
        <v>0.143240823634736</v>
      </c>
      <c r="S7" s="134">
        <f t="shared" si="20"/>
        <v>0.100012501562695</v>
      </c>
      <c r="T7" s="137">
        <f t="shared" si="10"/>
        <v>0.0716114592658908</v>
      </c>
      <c r="U7" s="137">
        <v>0.01</v>
      </c>
      <c r="V7" s="137">
        <f t="shared" si="11"/>
        <v>0.34146457404077</v>
      </c>
      <c r="W7" s="137">
        <f t="shared" si="12"/>
        <v>0.0346911369740376</v>
      </c>
      <c r="X7" s="135">
        <v>0.1695</v>
      </c>
      <c r="Y7" s="138">
        <v>8</v>
      </c>
      <c r="Z7" s="138">
        <f>F7*0.05</f>
        <v>3.9995</v>
      </c>
      <c r="AA7" s="138">
        <f t="shared" si="13"/>
        <v>0.5585</v>
      </c>
      <c r="AB7" s="131">
        <f t="shared" si="14"/>
        <v>9.466575</v>
      </c>
      <c r="AC7" s="131">
        <v>138.5</v>
      </c>
      <c r="AD7" s="139">
        <f t="shared" si="15"/>
        <v>122.566371681416</v>
      </c>
      <c r="AE7" s="136">
        <f t="shared" si="16"/>
        <v>3.75</v>
      </c>
      <c r="AF7" s="137">
        <f t="shared" si="17"/>
        <v>0.274320437961987</v>
      </c>
      <c r="AG7" s="137">
        <f t="shared" si="18"/>
        <v>0.0671441360787824</v>
      </c>
      <c r="AH7" s="136">
        <v>30</v>
      </c>
      <c r="AI7" s="134">
        <f t="shared" si="19"/>
        <v>0.323576218303884</v>
      </c>
      <c r="AJ7" s="137"/>
      <c r="AK7" s="137"/>
      <c r="AL7" s="137"/>
      <c r="AM7" s="137"/>
      <c r="AN7" s="140"/>
      <c r="AO7" s="140"/>
      <c r="AP7" s="140"/>
      <c r="AQ7" s="140"/>
      <c r="AR7" s="140"/>
      <c r="AS7" s="140"/>
      <c r="AT7" s="140" t="s">
        <v>376</v>
      </c>
      <c r="AU7" s="140" t="s">
        <v>376</v>
      </c>
      <c r="AV7" s="140" t="s">
        <v>376</v>
      </c>
      <c r="AW7" s="140" t="s">
        <v>376</v>
      </c>
      <c r="AX7" s="140" t="s">
        <v>376</v>
      </c>
      <c r="AY7" s="140" t="s">
        <v>376</v>
      </c>
      <c r="AZ7" s="140" t="s">
        <v>376</v>
      </c>
      <c r="BA7" s="140" t="s">
        <v>376</v>
      </c>
      <c r="BB7" s="140" t="s">
        <v>376</v>
      </c>
      <c r="BC7" s="140" t="s">
        <v>376</v>
      </c>
      <c r="BD7" s="140" t="s">
        <v>376</v>
      </c>
      <c r="BE7" s="140" t="s">
        <v>376</v>
      </c>
      <c r="BF7" s="140" t="s">
        <v>376</v>
      </c>
      <c r="BG7" s="140" t="s">
        <v>376</v>
      </c>
      <c r="BH7" s="140" t="s">
        <v>376</v>
      </c>
      <c r="BI7" s="140" t="s">
        <v>376</v>
      </c>
      <c r="BJ7" s="140" t="s">
        <v>376</v>
      </c>
      <c r="BK7" s="140" t="s">
        <v>376</v>
      </c>
      <c r="BL7" s="140" t="s">
        <v>376</v>
      </c>
      <c r="BM7" s="140" t="s">
        <v>376</v>
      </c>
      <c r="BN7" s="140" t="s">
        <v>376</v>
      </c>
      <c r="BO7" s="140" t="s">
        <v>376</v>
      </c>
      <c r="BP7" s="140" t="s">
        <v>376</v>
      </c>
      <c r="BQ7" s="140" t="s">
        <v>376</v>
      </c>
      <c r="BR7" s="175"/>
      <c r="BS7" s="142" t="s">
        <v>377</v>
      </c>
    </row>
    <row r="8" customHeight="1" spans="1:71">
      <c r="A8" s="127" t="s">
        <v>280</v>
      </c>
      <c r="B8" s="127" t="s">
        <v>27</v>
      </c>
      <c r="C8" s="127"/>
      <c r="D8" s="172" t="s">
        <v>379</v>
      </c>
      <c r="E8" s="132">
        <v>55.85</v>
      </c>
      <c r="F8" s="173">
        <v>79.99</v>
      </c>
      <c r="G8" s="133">
        <f t="shared" si="0"/>
        <v>71.991</v>
      </c>
      <c r="H8" s="133">
        <f t="shared" si="1"/>
        <v>59.9925</v>
      </c>
      <c r="I8" s="133">
        <f t="shared" si="2"/>
        <v>8.81762853982301</v>
      </c>
      <c r="J8" s="134">
        <f t="shared" si="3"/>
        <v>0.157880546818675</v>
      </c>
      <c r="K8" s="131">
        <f t="shared" si="4"/>
        <v>66.6583333333333</v>
      </c>
      <c r="L8" s="174">
        <f t="shared" si="5"/>
        <v>0.16214526815852</v>
      </c>
      <c r="M8" s="133">
        <f t="shared" si="6"/>
        <v>10.8083333333333</v>
      </c>
      <c r="N8" s="131">
        <f t="shared" si="7"/>
        <v>152.566371681416</v>
      </c>
      <c r="O8" s="131">
        <f t="shared" si="8"/>
        <v>1.9375</v>
      </c>
      <c r="P8" s="127">
        <v>4</v>
      </c>
      <c r="Q8" s="136">
        <v>8</v>
      </c>
      <c r="R8" s="137">
        <f t="shared" si="9"/>
        <v>0.143240823634736</v>
      </c>
      <c r="S8" s="134">
        <f t="shared" si="20"/>
        <v>0.100012501562695</v>
      </c>
      <c r="T8" s="137">
        <f t="shared" si="10"/>
        <v>0.143222918531782</v>
      </c>
      <c r="U8" s="137">
        <v>0.01</v>
      </c>
      <c r="V8" s="137">
        <f t="shared" si="11"/>
        <v>0.34146457404077</v>
      </c>
      <c r="W8" s="137">
        <f t="shared" si="12"/>
        <v>0.0346911369740376</v>
      </c>
      <c r="X8" s="135">
        <v>0.1695</v>
      </c>
      <c r="Y8" s="138">
        <v>8</v>
      </c>
      <c r="Z8" s="138">
        <f>F8*0.1</f>
        <v>7.999</v>
      </c>
      <c r="AA8" s="138">
        <f t="shared" si="13"/>
        <v>0.5585</v>
      </c>
      <c r="AB8" s="131">
        <f t="shared" si="14"/>
        <v>9.466575</v>
      </c>
      <c r="AC8" s="131">
        <v>138.5</v>
      </c>
      <c r="AD8" s="139">
        <f t="shared" si="15"/>
        <v>122.566371681416</v>
      </c>
      <c r="AE8" s="136">
        <f t="shared" si="16"/>
        <v>3.75</v>
      </c>
      <c r="AF8" s="137">
        <f t="shared" si="17"/>
        <v>0.274320437961987</v>
      </c>
      <c r="AG8" s="137">
        <f t="shared" si="18"/>
        <v>0.0671441360787824</v>
      </c>
      <c r="AH8" s="136">
        <v>30</v>
      </c>
      <c r="AI8" s="134">
        <f t="shared" si="19"/>
        <v>0.345638233188239</v>
      </c>
      <c r="AJ8" s="137"/>
      <c r="AK8" s="137"/>
      <c r="AL8" s="137"/>
      <c r="AM8" s="137"/>
      <c r="AN8" s="140"/>
      <c r="AO8" s="140"/>
      <c r="AP8" s="140"/>
      <c r="AQ8" s="140"/>
      <c r="AR8" s="140"/>
      <c r="AS8" s="140"/>
      <c r="AT8" s="140" t="s">
        <v>376</v>
      </c>
      <c r="AU8" s="140" t="s">
        <v>376</v>
      </c>
      <c r="AV8" s="140" t="s">
        <v>376</v>
      </c>
      <c r="AW8" s="140" t="s">
        <v>376</v>
      </c>
      <c r="AX8" s="140" t="s">
        <v>376</v>
      </c>
      <c r="AY8" s="140" t="s">
        <v>376</v>
      </c>
      <c r="AZ8" s="140" t="s">
        <v>376</v>
      </c>
      <c r="BA8" s="140" t="s">
        <v>376</v>
      </c>
      <c r="BB8" s="140" t="s">
        <v>376</v>
      </c>
      <c r="BC8" s="140" t="s">
        <v>376</v>
      </c>
      <c r="BD8" s="140" t="s">
        <v>376</v>
      </c>
      <c r="BE8" s="140" t="s">
        <v>376</v>
      </c>
      <c r="BF8" s="140" t="s">
        <v>376</v>
      </c>
      <c r="BG8" s="140" t="s">
        <v>376</v>
      </c>
      <c r="BH8" s="140" t="s">
        <v>376</v>
      </c>
      <c r="BI8" s="140" t="s">
        <v>376</v>
      </c>
      <c r="BJ8" s="140" t="s">
        <v>376</v>
      </c>
      <c r="BK8" s="140" t="s">
        <v>376</v>
      </c>
      <c r="BL8" s="140" t="s">
        <v>376</v>
      </c>
      <c r="BM8" s="140" t="s">
        <v>376</v>
      </c>
      <c r="BN8" s="140" t="s">
        <v>376</v>
      </c>
      <c r="BO8" s="140" t="s">
        <v>376</v>
      </c>
      <c r="BP8" s="140" t="s">
        <v>376</v>
      </c>
      <c r="BQ8" s="140" t="s">
        <v>376</v>
      </c>
      <c r="BR8" s="141"/>
      <c r="BS8" s="142" t="s">
        <v>377</v>
      </c>
    </row>
    <row r="9" customHeight="1" spans="1:71">
      <c r="A9" s="127" t="s">
        <v>280</v>
      </c>
      <c r="B9" s="127" t="s">
        <v>27</v>
      </c>
      <c r="C9" s="127"/>
      <c r="D9" s="177" t="s">
        <v>380</v>
      </c>
      <c r="E9" s="132">
        <v>55.85</v>
      </c>
      <c r="F9" s="130">
        <v>79.99</v>
      </c>
      <c r="G9" s="133">
        <f t="shared" si="0"/>
        <v>67.9915</v>
      </c>
      <c r="H9" s="133">
        <f t="shared" si="1"/>
        <v>56.6595833333333</v>
      </c>
      <c r="I9" s="133">
        <f t="shared" si="2"/>
        <v>4.81812853982301</v>
      </c>
      <c r="J9" s="134">
        <f t="shared" si="3"/>
        <v>0.0862690875527844</v>
      </c>
      <c r="K9" s="131">
        <f t="shared" si="4"/>
        <v>66.6583333333333</v>
      </c>
      <c r="L9" s="174">
        <f t="shared" si="5"/>
        <v>0.16214526815852</v>
      </c>
      <c r="M9" s="133">
        <f t="shared" si="6"/>
        <v>10.8083333333333</v>
      </c>
      <c r="N9" s="131">
        <f t="shared" si="7"/>
        <v>152.566371681416</v>
      </c>
      <c r="O9" s="131">
        <f t="shared" si="8"/>
        <v>1.9375</v>
      </c>
      <c r="P9" s="127">
        <v>4</v>
      </c>
      <c r="Q9" s="136">
        <v>8</v>
      </c>
      <c r="R9" s="137">
        <f t="shared" si="9"/>
        <v>0.143240823634736</v>
      </c>
      <c r="S9" s="134">
        <f t="shared" si="20"/>
        <v>0.100012501562695</v>
      </c>
      <c r="T9" s="137">
        <f t="shared" si="10"/>
        <v>0.214834377797672</v>
      </c>
      <c r="U9" s="137">
        <v>0.01</v>
      </c>
      <c r="V9" s="137">
        <f t="shared" si="11"/>
        <v>0.34146457404077</v>
      </c>
      <c r="W9" s="137">
        <f t="shared" si="12"/>
        <v>0.0346911369740376</v>
      </c>
      <c r="X9" s="135">
        <v>0.1695</v>
      </c>
      <c r="Y9" s="138">
        <v>8</v>
      </c>
      <c r="Z9" s="138">
        <f>F9*0.15</f>
        <v>11.9985</v>
      </c>
      <c r="AA9" s="138">
        <f t="shared" si="13"/>
        <v>0.5585</v>
      </c>
      <c r="AB9" s="131">
        <f t="shared" si="14"/>
        <v>9.466575</v>
      </c>
      <c r="AC9" s="131">
        <v>138.5</v>
      </c>
      <c r="AD9" s="139">
        <f t="shared" si="15"/>
        <v>122.566371681416</v>
      </c>
      <c r="AE9" s="136">
        <f t="shared" si="16"/>
        <v>3.75</v>
      </c>
      <c r="AF9" s="137">
        <f t="shared" si="17"/>
        <v>0.274320437961987</v>
      </c>
      <c r="AG9" s="137">
        <f t="shared" si="18"/>
        <v>0.0671441360787824</v>
      </c>
      <c r="AH9" s="136">
        <v>30</v>
      </c>
      <c r="AI9" s="134">
        <f t="shared" si="19"/>
        <v>0.370928835616647</v>
      </c>
      <c r="AJ9" s="137"/>
      <c r="AK9" s="137"/>
      <c r="AL9" s="137"/>
      <c r="AM9" s="137"/>
      <c r="AN9" s="140"/>
      <c r="AO9" s="140"/>
      <c r="AP9" s="140"/>
      <c r="AQ9" s="140"/>
      <c r="AR9" s="140"/>
      <c r="AS9" s="140"/>
      <c r="AT9" s="140" t="s">
        <v>376</v>
      </c>
      <c r="AU9" s="140" t="s">
        <v>376</v>
      </c>
      <c r="AV9" s="140" t="s">
        <v>376</v>
      </c>
      <c r="AW9" s="140" t="s">
        <v>376</v>
      </c>
      <c r="AX9" s="140" t="s">
        <v>376</v>
      </c>
      <c r="AY9" s="140" t="s">
        <v>376</v>
      </c>
      <c r="AZ9" s="140" t="s">
        <v>376</v>
      </c>
      <c r="BA9" s="140" t="s">
        <v>376</v>
      </c>
      <c r="BB9" s="140" t="s">
        <v>376</v>
      </c>
      <c r="BC9" s="140" t="s">
        <v>376</v>
      </c>
      <c r="BD9" s="140" t="s">
        <v>376</v>
      </c>
      <c r="BE9" s="140" t="s">
        <v>376</v>
      </c>
      <c r="BF9" s="140" t="s">
        <v>376</v>
      </c>
      <c r="BG9" s="140" t="s">
        <v>376</v>
      </c>
      <c r="BH9" s="140" t="s">
        <v>376</v>
      </c>
      <c r="BI9" s="140" t="s">
        <v>376</v>
      </c>
      <c r="BJ9" s="140" t="s">
        <v>376</v>
      </c>
      <c r="BK9" s="140" t="s">
        <v>376</v>
      </c>
      <c r="BL9" s="140" t="s">
        <v>376</v>
      </c>
      <c r="BM9" s="140" t="s">
        <v>376</v>
      </c>
      <c r="BN9" s="140" t="s">
        <v>376</v>
      </c>
      <c r="BO9" s="140" t="s">
        <v>376</v>
      </c>
      <c r="BP9" s="140" t="s">
        <v>376</v>
      </c>
      <c r="BQ9" s="140" t="s">
        <v>376</v>
      </c>
      <c r="BR9" s="175"/>
      <c r="BS9" s="142" t="s">
        <v>377</v>
      </c>
    </row>
    <row r="10" customHeight="1" spans="1:71">
      <c r="A10" s="127" t="s">
        <v>285</v>
      </c>
      <c r="B10" s="127" t="s">
        <v>27</v>
      </c>
      <c r="C10" s="127"/>
      <c r="D10" s="177" t="s">
        <v>375</v>
      </c>
      <c r="E10" s="132">
        <v>58</v>
      </c>
      <c r="F10" s="173">
        <v>84.99</v>
      </c>
      <c r="G10" s="133">
        <f t="shared" si="0"/>
        <v>84.99</v>
      </c>
      <c r="H10" s="133">
        <f t="shared" si="1"/>
        <v>70.825</v>
      </c>
      <c r="I10" s="133">
        <f t="shared" si="2"/>
        <v>15.302703539823</v>
      </c>
      <c r="J10" s="134">
        <f t="shared" si="3"/>
        <v>0.263839716203845</v>
      </c>
      <c r="K10" s="131">
        <f t="shared" si="4"/>
        <v>70.825</v>
      </c>
      <c r="L10" s="174">
        <f t="shared" si="5"/>
        <v>0.181080127073773</v>
      </c>
      <c r="M10" s="133">
        <f t="shared" si="6"/>
        <v>12.825</v>
      </c>
      <c r="N10" s="131">
        <f t="shared" si="7"/>
        <v>152.566371681416</v>
      </c>
      <c r="O10" s="131">
        <f t="shared" si="8"/>
        <v>3.5625</v>
      </c>
      <c r="P10" s="127">
        <v>4</v>
      </c>
      <c r="Q10" s="136">
        <v>8</v>
      </c>
      <c r="R10" s="137">
        <f t="shared" si="9"/>
        <v>0.137931034482759</v>
      </c>
      <c r="S10" s="134">
        <f t="shared" si="20"/>
        <v>0.0941287210260031</v>
      </c>
      <c r="T10" s="137">
        <f t="shared" si="10"/>
        <v>0</v>
      </c>
      <c r="U10" s="137">
        <v>0.01</v>
      </c>
      <c r="V10" s="137">
        <f t="shared" si="11"/>
        <v>0.328806835520293</v>
      </c>
      <c r="W10" s="137">
        <f t="shared" si="12"/>
        <v>0.0614224137931034</v>
      </c>
      <c r="X10" s="135">
        <v>0.198</v>
      </c>
      <c r="Y10" s="138">
        <v>8</v>
      </c>
      <c r="Z10" s="138">
        <v>0</v>
      </c>
      <c r="AA10" s="138">
        <f t="shared" si="13"/>
        <v>0.58</v>
      </c>
      <c r="AB10" s="131">
        <f t="shared" si="14"/>
        <v>11.484</v>
      </c>
      <c r="AC10" s="131">
        <v>138.5</v>
      </c>
      <c r="AD10" s="139">
        <f t="shared" si="15"/>
        <v>122.566371681416</v>
      </c>
      <c r="AE10" s="136">
        <f t="shared" si="16"/>
        <v>3.75</v>
      </c>
      <c r="AF10" s="137">
        <f t="shared" si="17"/>
        <v>0.2641516631065</v>
      </c>
      <c r="AG10" s="137">
        <f t="shared" si="18"/>
        <v>0.0646551724137931</v>
      </c>
      <c r="AH10" s="136">
        <v>30</v>
      </c>
      <c r="AI10" s="134">
        <f t="shared" si="19"/>
        <v>0.343226261913166</v>
      </c>
      <c r="AJ10" s="137"/>
      <c r="AK10" s="137"/>
      <c r="AL10" s="137"/>
      <c r="AM10" s="137"/>
      <c r="AN10" s="140"/>
      <c r="AO10" s="140"/>
      <c r="AP10" s="140"/>
      <c r="AQ10" s="140"/>
      <c r="AR10" s="140"/>
      <c r="AS10" s="140"/>
      <c r="AT10" s="140" t="s">
        <v>376</v>
      </c>
      <c r="AU10" s="140" t="s">
        <v>376</v>
      </c>
      <c r="AV10" s="140" t="s">
        <v>376</v>
      </c>
      <c r="AW10" s="140" t="s">
        <v>376</v>
      </c>
      <c r="AX10" s="140" t="s">
        <v>376</v>
      </c>
      <c r="AY10" s="140" t="s">
        <v>376</v>
      </c>
      <c r="AZ10" s="140" t="s">
        <v>376</v>
      </c>
      <c r="BA10" s="140" t="s">
        <v>376</v>
      </c>
      <c r="BB10" s="140" t="s">
        <v>376</v>
      </c>
      <c r="BC10" s="140" t="s">
        <v>376</v>
      </c>
      <c r="BD10" s="140" t="s">
        <v>376</v>
      </c>
      <c r="BE10" s="140" t="s">
        <v>376</v>
      </c>
      <c r="BF10" s="140" t="s">
        <v>376</v>
      </c>
      <c r="BG10" s="140" t="s">
        <v>376</v>
      </c>
      <c r="BH10" s="140" t="s">
        <v>376</v>
      </c>
      <c r="BI10" s="140" t="s">
        <v>376</v>
      </c>
      <c r="BJ10" s="140" t="s">
        <v>376</v>
      </c>
      <c r="BK10" s="140" t="s">
        <v>376</v>
      </c>
      <c r="BL10" s="140" t="s">
        <v>376</v>
      </c>
      <c r="BM10" s="140" t="s">
        <v>376</v>
      </c>
      <c r="BN10" s="140" t="s">
        <v>376</v>
      </c>
      <c r="BO10" s="140" t="s">
        <v>376</v>
      </c>
      <c r="BP10" s="140" t="s">
        <v>376</v>
      </c>
      <c r="BQ10" s="140" t="s">
        <v>376</v>
      </c>
      <c r="BR10" s="175"/>
      <c r="BS10" s="142" t="s">
        <v>377</v>
      </c>
    </row>
    <row r="11" customHeight="1" spans="1:71">
      <c r="A11" s="127" t="s">
        <v>285</v>
      </c>
      <c r="B11" s="127" t="s">
        <v>27</v>
      </c>
      <c r="C11" s="127"/>
      <c r="D11" s="172" t="s">
        <v>378</v>
      </c>
      <c r="E11" s="132">
        <v>58</v>
      </c>
      <c r="F11" s="173">
        <v>84.99</v>
      </c>
      <c r="G11" s="133">
        <f t="shared" si="0"/>
        <v>80.7405</v>
      </c>
      <c r="H11" s="133">
        <f t="shared" si="1"/>
        <v>67.28375</v>
      </c>
      <c r="I11" s="176">
        <f t="shared" si="2"/>
        <v>11.053203539823</v>
      </c>
      <c r="J11" s="134">
        <f t="shared" si="3"/>
        <v>0.190572474824535</v>
      </c>
      <c r="K11" s="131">
        <f t="shared" si="4"/>
        <v>70.825</v>
      </c>
      <c r="L11" s="174">
        <f t="shared" si="5"/>
        <v>0.181080127073773</v>
      </c>
      <c r="M11" s="133">
        <f t="shared" si="6"/>
        <v>12.825</v>
      </c>
      <c r="N11" s="131">
        <f t="shared" si="7"/>
        <v>152.566371681416</v>
      </c>
      <c r="O11" s="131">
        <f t="shared" si="8"/>
        <v>3.5625</v>
      </c>
      <c r="P11" s="127">
        <v>4</v>
      </c>
      <c r="Q11" s="136">
        <v>8</v>
      </c>
      <c r="R11" s="137">
        <f t="shared" si="9"/>
        <v>0.137931034482759</v>
      </c>
      <c r="S11" s="134">
        <f t="shared" si="20"/>
        <v>0.0941287210260031</v>
      </c>
      <c r="T11" s="137">
        <f t="shared" si="10"/>
        <v>0.0732672413793103</v>
      </c>
      <c r="U11" s="137">
        <v>0.01</v>
      </c>
      <c r="V11" s="137">
        <f t="shared" si="11"/>
        <v>0.328806835520293</v>
      </c>
      <c r="W11" s="137">
        <f t="shared" si="12"/>
        <v>0.0614224137931034</v>
      </c>
      <c r="X11" s="135">
        <v>0.198</v>
      </c>
      <c r="Y11" s="138">
        <v>8</v>
      </c>
      <c r="Z11" s="138">
        <f>F11*0.05</f>
        <v>4.2495</v>
      </c>
      <c r="AA11" s="138">
        <f t="shared" si="13"/>
        <v>0.58</v>
      </c>
      <c r="AB11" s="131">
        <f t="shared" si="14"/>
        <v>11.484</v>
      </c>
      <c r="AC11" s="131">
        <v>138.5</v>
      </c>
      <c r="AD11" s="139">
        <f t="shared" si="15"/>
        <v>122.566371681416</v>
      </c>
      <c r="AE11" s="136">
        <f t="shared" si="16"/>
        <v>3.75</v>
      </c>
      <c r="AF11" s="137">
        <f t="shared" si="17"/>
        <v>0.2641516631065</v>
      </c>
      <c r="AG11" s="137">
        <f t="shared" si="18"/>
        <v>0.0646551724137931</v>
      </c>
      <c r="AH11" s="136">
        <v>30</v>
      </c>
      <c r="AI11" s="134">
        <f t="shared" si="19"/>
        <v>0.365134321184219</v>
      </c>
      <c r="AJ11" s="137"/>
      <c r="AK11" s="137"/>
      <c r="AL11" s="137"/>
      <c r="AM11" s="137"/>
      <c r="AN11" s="140"/>
      <c r="AO11" s="140"/>
      <c r="AP11" s="140"/>
      <c r="AQ11" s="140"/>
      <c r="AR11" s="140"/>
      <c r="AS11" s="140"/>
      <c r="AT11" s="140" t="s">
        <v>376</v>
      </c>
      <c r="AU11" s="140" t="s">
        <v>376</v>
      </c>
      <c r="AV11" s="140" t="s">
        <v>376</v>
      </c>
      <c r="AW11" s="140" t="s">
        <v>376</v>
      </c>
      <c r="AX11" s="140" t="s">
        <v>376</v>
      </c>
      <c r="AY11" s="140" t="s">
        <v>376</v>
      </c>
      <c r="AZ11" s="140" t="s">
        <v>376</v>
      </c>
      <c r="BA11" s="140" t="s">
        <v>376</v>
      </c>
      <c r="BB11" s="140" t="s">
        <v>376</v>
      </c>
      <c r="BC11" s="140" t="s">
        <v>376</v>
      </c>
      <c r="BD11" s="140" t="s">
        <v>376</v>
      </c>
      <c r="BE11" s="140" t="s">
        <v>376</v>
      </c>
      <c r="BF11" s="140" t="s">
        <v>376</v>
      </c>
      <c r="BG11" s="140" t="s">
        <v>376</v>
      </c>
      <c r="BH11" s="140" t="s">
        <v>376</v>
      </c>
      <c r="BI11" s="140" t="s">
        <v>376</v>
      </c>
      <c r="BJ11" s="140" t="s">
        <v>376</v>
      </c>
      <c r="BK11" s="140" t="s">
        <v>376</v>
      </c>
      <c r="BL11" s="140" t="s">
        <v>376</v>
      </c>
      <c r="BM11" s="140" t="s">
        <v>376</v>
      </c>
      <c r="BN11" s="140" t="s">
        <v>376</v>
      </c>
      <c r="BO11" s="140" t="s">
        <v>376</v>
      </c>
      <c r="BP11" s="140" t="s">
        <v>376</v>
      </c>
      <c r="BQ11" s="140" t="s">
        <v>376</v>
      </c>
      <c r="BR11" s="175"/>
      <c r="BS11" s="142" t="s">
        <v>377</v>
      </c>
    </row>
    <row r="12" customHeight="1" spans="1:71">
      <c r="A12" s="127" t="s">
        <v>285</v>
      </c>
      <c r="B12" s="127" t="s">
        <v>27</v>
      </c>
      <c r="C12" s="127"/>
      <c r="D12" s="172" t="s">
        <v>379</v>
      </c>
      <c r="E12" s="132">
        <v>58</v>
      </c>
      <c r="F12" s="173">
        <v>84.99</v>
      </c>
      <c r="G12" s="133">
        <f t="shared" si="0"/>
        <v>76.491</v>
      </c>
      <c r="H12" s="133">
        <f t="shared" si="1"/>
        <v>63.7425</v>
      </c>
      <c r="I12" s="133">
        <f t="shared" si="2"/>
        <v>6.803703539823</v>
      </c>
      <c r="J12" s="134">
        <f t="shared" si="3"/>
        <v>0.117305233445224</v>
      </c>
      <c r="K12" s="131">
        <f t="shared" si="4"/>
        <v>70.825</v>
      </c>
      <c r="L12" s="174">
        <f t="shared" si="5"/>
        <v>0.181080127073773</v>
      </c>
      <c r="M12" s="133">
        <f t="shared" si="6"/>
        <v>12.825</v>
      </c>
      <c r="N12" s="131">
        <f t="shared" si="7"/>
        <v>152.566371681416</v>
      </c>
      <c r="O12" s="131">
        <f t="shared" si="8"/>
        <v>3.5625</v>
      </c>
      <c r="P12" s="127">
        <v>4</v>
      </c>
      <c r="Q12" s="136">
        <v>8</v>
      </c>
      <c r="R12" s="137">
        <f t="shared" si="9"/>
        <v>0.137931034482759</v>
      </c>
      <c r="S12" s="134">
        <f t="shared" si="20"/>
        <v>0.0941287210260031</v>
      </c>
      <c r="T12" s="137">
        <f t="shared" si="10"/>
        <v>0.146534482758621</v>
      </c>
      <c r="U12" s="137">
        <v>0.01</v>
      </c>
      <c r="V12" s="137">
        <f t="shared" si="11"/>
        <v>0.328806835520293</v>
      </c>
      <c r="W12" s="137">
        <f t="shared" si="12"/>
        <v>0.0614224137931034</v>
      </c>
      <c r="X12" s="135">
        <v>0.198</v>
      </c>
      <c r="Y12" s="138">
        <v>8</v>
      </c>
      <c r="Z12" s="138">
        <f>F12*0.1</f>
        <v>8.499</v>
      </c>
      <c r="AA12" s="138">
        <f t="shared" si="13"/>
        <v>0.58</v>
      </c>
      <c r="AB12" s="131">
        <f t="shared" si="14"/>
        <v>11.484</v>
      </c>
      <c r="AC12" s="131">
        <v>138.5</v>
      </c>
      <c r="AD12" s="139">
        <f t="shared" si="15"/>
        <v>122.566371681416</v>
      </c>
      <c r="AE12" s="136">
        <f t="shared" si="16"/>
        <v>3.75</v>
      </c>
      <c r="AF12" s="137">
        <f t="shared" si="17"/>
        <v>0.2641516631065</v>
      </c>
      <c r="AG12" s="137">
        <f t="shared" si="18"/>
        <v>0.0646551724137931</v>
      </c>
      <c r="AH12" s="136">
        <v>30</v>
      </c>
      <c r="AI12" s="134">
        <f t="shared" si="19"/>
        <v>0.390029843083144</v>
      </c>
      <c r="AJ12" s="137"/>
      <c r="AK12" s="137"/>
      <c r="AL12" s="137"/>
      <c r="AM12" s="137"/>
      <c r="AN12" s="140"/>
      <c r="AO12" s="140"/>
      <c r="AP12" s="140"/>
      <c r="AQ12" s="140"/>
      <c r="AR12" s="140"/>
      <c r="AS12" s="140"/>
      <c r="AT12" s="140" t="s">
        <v>376</v>
      </c>
      <c r="AU12" s="140" t="s">
        <v>376</v>
      </c>
      <c r="AV12" s="140" t="s">
        <v>376</v>
      </c>
      <c r="AW12" s="140" t="s">
        <v>376</v>
      </c>
      <c r="AX12" s="140" t="s">
        <v>376</v>
      </c>
      <c r="AY12" s="140" t="s">
        <v>376</v>
      </c>
      <c r="AZ12" s="140" t="s">
        <v>376</v>
      </c>
      <c r="BA12" s="140" t="s">
        <v>376</v>
      </c>
      <c r="BB12" s="140" t="s">
        <v>376</v>
      </c>
      <c r="BC12" s="140" t="s">
        <v>376</v>
      </c>
      <c r="BD12" s="140" t="s">
        <v>376</v>
      </c>
      <c r="BE12" s="140" t="s">
        <v>376</v>
      </c>
      <c r="BF12" s="140" t="s">
        <v>376</v>
      </c>
      <c r="BG12" s="140" t="s">
        <v>376</v>
      </c>
      <c r="BH12" s="140" t="s">
        <v>376</v>
      </c>
      <c r="BI12" s="140" t="s">
        <v>376</v>
      </c>
      <c r="BJ12" s="140" t="s">
        <v>376</v>
      </c>
      <c r="BK12" s="140" t="s">
        <v>376</v>
      </c>
      <c r="BL12" s="140" t="s">
        <v>376</v>
      </c>
      <c r="BM12" s="140" t="s">
        <v>376</v>
      </c>
      <c r="BN12" s="140" t="s">
        <v>376</v>
      </c>
      <c r="BO12" s="140" t="s">
        <v>376</v>
      </c>
      <c r="BP12" s="140" t="s">
        <v>376</v>
      </c>
      <c r="BQ12" s="140" t="s">
        <v>376</v>
      </c>
      <c r="BR12" s="175"/>
      <c r="BS12" s="142" t="s">
        <v>377</v>
      </c>
    </row>
    <row r="13" customHeight="1" spans="1:71">
      <c r="A13" s="127" t="s">
        <v>285</v>
      </c>
      <c r="B13" s="127" t="s">
        <v>27</v>
      </c>
      <c r="C13" s="127"/>
      <c r="D13" s="177" t="s">
        <v>380</v>
      </c>
      <c r="E13" s="132">
        <v>58</v>
      </c>
      <c r="F13" s="130">
        <v>84.99</v>
      </c>
      <c r="G13" s="133">
        <f t="shared" si="0"/>
        <v>72.2415</v>
      </c>
      <c r="H13" s="133">
        <f t="shared" si="1"/>
        <v>60.20125</v>
      </c>
      <c r="I13" s="133">
        <f t="shared" si="2"/>
        <v>2.55420353982301</v>
      </c>
      <c r="J13" s="134">
        <f t="shared" si="3"/>
        <v>0.0440379920659139</v>
      </c>
      <c r="K13" s="131">
        <f t="shared" si="4"/>
        <v>70.825</v>
      </c>
      <c r="L13" s="174">
        <f t="shared" si="5"/>
        <v>0.181080127073773</v>
      </c>
      <c r="M13" s="133">
        <f t="shared" si="6"/>
        <v>12.825</v>
      </c>
      <c r="N13" s="131">
        <f t="shared" si="7"/>
        <v>152.566371681416</v>
      </c>
      <c r="O13" s="131">
        <f t="shared" si="8"/>
        <v>3.5625</v>
      </c>
      <c r="P13" s="127">
        <v>4</v>
      </c>
      <c r="Q13" s="136">
        <v>8</v>
      </c>
      <c r="R13" s="137">
        <f t="shared" si="9"/>
        <v>0.137931034482759</v>
      </c>
      <c r="S13" s="134">
        <f t="shared" si="20"/>
        <v>0.0941287210260031</v>
      </c>
      <c r="T13" s="137">
        <f t="shared" si="10"/>
        <v>0.219801724137931</v>
      </c>
      <c r="U13" s="137">
        <v>0.01</v>
      </c>
      <c r="V13" s="137">
        <f t="shared" si="11"/>
        <v>0.328806835520293</v>
      </c>
      <c r="W13" s="137">
        <f t="shared" si="12"/>
        <v>0.0614224137931034</v>
      </c>
      <c r="X13" s="135">
        <v>0.198</v>
      </c>
      <c r="Y13" s="138">
        <v>8</v>
      </c>
      <c r="Z13" s="138">
        <f>F13*0.15</f>
        <v>12.7485</v>
      </c>
      <c r="AA13" s="138">
        <f t="shared" si="13"/>
        <v>0.58</v>
      </c>
      <c r="AB13" s="131">
        <f t="shared" si="14"/>
        <v>11.484</v>
      </c>
      <c r="AC13" s="131">
        <v>138.5</v>
      </c>
      <c r="AD13" s="139">
        <f t="shared" si="15"/>
        <v>122.566371681416</v>
      </c>
      <c r="AE13" s="136">
        <f t="shared" si="16"/>
        <v>3.75</v>
      </c>
      <c r="AF13" s="137">
        <f t="shared" si="17"/>
        <v>0.2641516631065</v>
      </c>
      <c r="AG13" s="137">
        <f t="shared" si="18"/>
        <v>0.0646551724137931</v>
      </c>
      <c r="AH13" s="136">
        <v>30</v>
      </c>
      <c r="AI13" s="134">
        <f t="shared" si="19"/>
        <v>0.418568612089227</v>
      </c>
      <c r="AJ13" s="137"/>
      <c r="AK13" s="137"/>
      <c r="AL13" s="137"/>
      <c r="AM13" s="137"/>
      <c r="AN13" s="140"/>
      <c r="AO13" s="140"/>
      <c r="AP13" s="140"/>
      <c r="AQ13" s="140"/>
      <c r="AR13" s="140"/>
      <c r="AS13" s="140"/>
      <c r="AT13" s="140" t="s">
        <v>376</v>
      </c>
      <c r="AU13" s="140" t="s">
        <v>376</v>
      </c>
      <c r="AV13" s="140" t="s">
        <v>376</v>
      </c>
      <c r="AW13" s="140" t="s">
        <v>376</v>
      </c>
      <c r="AX13" s="140" t="s">
        <v>376</v>
      </c>
      <c r="AY13" s="140" t="s">
        <v>376</v>
      </c>
      <c r="AZ13" s="140" t="s">
        <v>376</v>
      </c>
      <c r="BA13" s="140" t="s">
        <v>376</v>
      </c>
      <c r="BB13" s="140" t="s">
        <v>376</v>
      </c>
      <c r="BC13" s="140" t="s">
        <v>376</v>
      </c>
      <c r="BD13" s="140" t="s">
        <v>376</v>
      </c>
      <c r="BE13" s="140" t="s">
        <v>376</v>
      </c>
      <c r="BF13" s="140" t="s">
        <v>376</v>
      </c>
      <c r="BG13" s="140" t="s">
        <v>376</v>
      </c>
      <c r="BH13" s="140" t="s">
        <v>376</v>
      </c>
      <c r="BI13" s="140" t="s">
        <v>376</v>
      </c>
      <c r="BJ13" s="140" t="s">
        <v>376</v>
      </c>
      <c r="BK13" s="140" t="s">
        <v>376</v>
      </c>
      <c r="BL13" s="140" t="s">
        <v>376</v>
      </c>
      <c r="BM13" s="140" t="s">
        <v>376</v>
      </c>
      <c r="BN13" s="140" t="s">
        <v>376</v>
      </c>
      <c r="BO13" s="140" t="s">
        <v>376</v>
      </c>
      <c r="BP13" s="140" t="s">
        <v>376</v>
      </c>
      <c r="BQ13" s="140" t="s">
        <v>376</v>
      </c>
      <c r="BR13" s="141"/>
      <c r="BS13" s="142" t="s">
        <v>377</v>
      </c>
    </row>
    <row r="14" customHeight="1" spans="1:71">
      <c r="A14" s="127" t="s">
        <v>287</v>
      </c>
      <c r="B14" s="127" t="s">
        <v>27</v>
      </c>
      <c r="C14" s="127"/>
      <c r="D14" s="177" t="s">
        <v>375</v>
      </c>
      <c r="E14" s="132">
        <v>58.8</v>
      </c>
      <c r="F14" s="173">
        <v>84.99</v>
      </c>
      <c r="G14" s="133">
        <f t="shared" si="0"/>
        <v>84.99</v>
      </c>
      <c r="H14" s="133">
        <f t="shared" si="1"/>
        <v>70.825</v>
      </c>
      <c r="I14" s="133">
        <f t="shared" si="2"/>
        <v>16.474223539823</v>
      </c>
      <c r="J14" s="134">
        <f t="shared" si="3"/>
        <v>0.280173869724881</v>
      </c>
      <c r="K14" s="131">
        <f t="shared" si="4"/>
        <v>70.825</v>
      </c>
      <c r="L14" s="174">
        <f t="shared" si="5"/>
        <v>0.169784680550653</v>
      </c>
      <c r="M14" s="133">
        <f t="shared" si="6"/>
        <v>12.025</v>
      </c>
      <c r="N14" s="131">
        <f t="shared" si="7"/>
        <v>152.566371681416</v>
      </c>
      <c r="O14" s="131">
        <f t="shared" si="8"/>
        <v>3.8125</v>
      </c>
      <c r="P14" s="127">
        <v>4</v>
      </c>
      <c r="Q14" s="136">
        <v>8</v>
      </c>
      <c r="R14" s="137">
        <f t="shared" si="9"/>
        <v>0.136054421768707</v>
      </c>
      <c r="S14" s="134">
        <f t="shared" si="20"/>
        <v>0.0941287210260031</v>
      </c>
      <c r="T14" s="137">
        <f t="shared" si="10"/>
        <v>0</v>
      </c>
      <c r="U14" s="137">
        <v>0.01</v>
      </c>
      <c r="V14" s="137">
        <f t="shared" si="11"/>
        <v>0.324333273132262</v>
      </c>
      <c r="W14" s="137">
        <f t="shared" si="12"/>
        <v>0.0648384353741497</v>
      </c>
      <c r="X14" s="135">
        <v>0.1846</v>
      </c>
      <c r="Y14" s="138">
        <v>8</v>
      </c>
      <c r="Z14" s="138">
        <v>0</v>
      </c>
      <c r="AA14" s="138">
        <f t="shared" si="13"/>
        <v>0.588</v>
      </c>
      <c r="AB14" s="131">
        <f t="shared" si="14"/>
        <v>10.85448</v>
      </c>
      <c r="AC14" s="131">
        <v>138.5</v>
      </c>
      <c r="AD14" s="139">
        <f t="shared" si="15"/>
        <v>122.566371681416</v>
      </c>
      <c r="AE14" s="136">
        <f t="shared" si="16"/>
        <v>3.75</v>
      </c>
      <c r="AF14" s="137">
        <f t="shared" si="17"/>
        <v>0.26055776292818</v>
      </c>
      <c r="AG14" s="137">
        <f t="shared" si="18"/>
        <v>0.0637755102040816</v>
      </c>
      <c r="AH14" s="136">
        <v>30</v>
      </c>
      <c r="AI14" s="134">
        <f t="shared" si="19"/>
        <v>0.323042428521003</v>
      </c>
      <c r="AJ14" s="134"/>
      <c r="AK14" s="134"/>
      <c r="AL14" s="134"/>
      <c r="AM14" s="134"/>
      <c r="AN14" s="140"/>
      <c r="AO14" s="140"/>
      <c r="AP14" s="140"/>
      <c r="AQ14" s="140"/>
      <c r="AR14" s="140"/>
      <c r="AS14" s="140"/>
      <c r="AT14" s="140" t="s">
        <v>376</v>
      </c>
      <c r="AU14" s="140" t="s">
        <v>376</v>
      </c>
      <c r="AV14" s="140" t="s">
        <v>376</v>
      </c>
      <c r="AW14" s="140" t="s">
        <v>376</v>
      </c>
      <c r="AX14" s="140" t="s">
        <v>376</v>
      </c>
      <c r="AY14" s="140" t="s">
        <v>376</v>
      </c>
      <c r="AZ14" s="140" t="s">
        <v>376</v>
      </c>
      <c r="BA14" s="140" t="s">
        <v>376</v>
      </c>
      <c r="BB14" s="140" t="s">
        <v>376</v>
      </c>
      <c r="BC14" s="140" t="s">
        <v>376</v>
      </c>
      <c r="BD14" s="140" t="s">
        <v>376</v>
      </c>
      <c r="BE14" s="140" t="s">
        <v>376</v>
      </c>
      <c r="BF14" s="140" t="s">
        <v>376</v>
      </c>
      <c r="BG14" s="140" t="s">
        <v>376</v>
      </c>
      <c r="BH14" s="140" t="s">
        <v>376</v>
      </c>
      <c r="BI14" s="140" t="s">
        <v>376</v>
      </c>
      <c r="BJ14" s="140" t="s">
        <v>376</v>
      </c>
      <c r="BK14" s="140" t="s">
        <v>376</v>
      </c>
      <c r="BL14" s="140" t="s">
        <v>376</v>
      </c>
      <c r="BM14" s="140" t="s">
        <v>376</v>
      </c>
      <c r="BN14" s="140" t="s">
        <v>376</v>
      </c>
      <c r="BO14" s="140" t="s">
        <v>376</v>
      </c>
      <c r="BP14" s="140" t="s">
        <v>376</v>
      </c>
      <c r="BQ14" s="140" t="s">
        <v>376</v>
      </c>
      <c r="BR14" s="175"/>
      <c r="BS14" s="142" t="s">
        <v>377</v>
      </c>
    </row>
    <row r="15" customHeight="1" spans="1:71">
      <c r="A15" s="127" t="s">
        <v>287</v>
      </c>
      <c r="B15" s="127" t="s">
        <v>27</v>
      </c>
      <c r="C15" s="127"/>
      <c r="D15" s="172" t="s">
        <v>378</v>
      </c>
      <c r="E15" s="132">
        <v>58.8</v>
      </c>
      <c r="F15" s="130">
        <v>84.99</v>
      </c>
      <c r="G15" s="133">
        <f t="shared" si="0"/>
        <v>80.7405</v>
      </c>
      <c r="H15" s="133">
        <f t="shared" si="1"/>
        <v>67.28375</v>
      </c>
      <c r="I15" s="176">
        <f t="shared" si="2"/>
        <v>12.224723539823</v>
      </c>
      <c r="J15" s="134">
        <f t="shared" si="3"/>
        <v>0.207903461561616</v>
      </c>
      <c r="K15" s="131">
        <f t="shared" si="4"/>
        <v>70.825</v>
      </c>
      <c r="L15" s="174">
        <f t="shared" si="5"/>
        <v>0.169784680550653</v>
      </c>
      <c r="M15" s="133">
        <f t="shared" si="6"/>
        <v>12.025</v>
      </c>
      <c r="N15" s="131">
        <f t="shared" si="7"/>
        <v>152.566371681416</v>
      </c>
      <c r="O15" s="131">
        <f t="shared" si="8"/>
        <v>3.8125</v>
      </c>
      <c r="P15" s="127">
        <v>4</v>
      </c>
      <c r="Q15" s="136">
        <v>8</v>
      </c>
      <c r="R15" s="137">
        <f t="shared" si="9"/>
        <v>0.136054421768707</v>
      </c>
      <c r="S15" s="134">
        <f t="shared" si="20"/>
        <v>0.0941287210260031</v>
      </c>
      <c r="T15" s="137">
        <f t="shared" si="10"/>
        <v>0.0722704081632653</v>
      </c>
      <c r="U15" s="137">
        <v>0.01</v>
      </c>
      <c r="V15" s="137">
        <f t="shared" si="11"/>
        <v>0.324333273132262</v>
      </c>
      <c r="W15" s="137">
        <f t="shared" si="12"/>
        <v>0.0648384353741497</v>
      </c>
      <c r="X15" s="135">
        <v>0.1846</v>
      </c>
      <c r="Y15" s="138">
        <v>8</v>
      </c>
      <c r="Z15" s="138">
        <f>F15*0.05</f>
        <v>4.2495</v>
      </c>
      <c r="AA15" s="138">
        <f t="shared" si="13"/>
        <v>0.588</v>
      </c>
      <c r="AB15" s="131">
        <f t="shared" si="14"/>
        <v>10.85448</v>
      </c>
      <c r="AC15" s="131">
        <v>138.5</v>
      </c>
      <c r="AD15" s="139">
        <f t="shared" si="15"/>
        <v>122.566371681416</v>
      </c>
      <c r="AE15" s="136">
        <f t="shared" si="16"/>
        <v>3.75</v>
      </c>
      <c r="AF15" s="137">
        <f t="shared" si="17"/>
        <v>0.26055776292818</v>
      </c>
      <c r="AG15" s="137">
        <f t="shared" si="18"/>
        <v>0.0637755102040816</v>
      </c>
      <c r="AH15" s="136">
        <v>30</v>
      </c>
      <c r="AI15" s="134">
        <f t="shared" si="19"/>
        <v>0.343662158001066</v>
      </c>
      <c r="AJ15" s="134"/>
      <c r="AK15" s="134"/>
      <c r="AL15" s="134"/>
      <c r="AM15" s="134"/>
      <c r="AN15" s="140"/>
      <c r="AO15" s="140"/>
      <c r="AP15" s="140"/>
      <c r="AQ15" s="140"/>
      <c r="AR15" s="140"/>
      <c r="AS15" s="140"/>
      <c r="AT15" s="140" t="s">
        <v>376</v>
      </c>
      <c r="AU15" s="140" t="s">
        <v>376</v>
      </c>
      <c r="AV15" s="140" t="s">
        <v>376</v>
      </c>
      <c r="AW15" s="140" t="s">
        <v>376</v>
      </c>
      <c r="AX15" s="140" t="s">
        <v>376</v>
      </c>
      <c r="AY15" s="140" t="s">
        <v>376</v>
      </c>
      <c r="AZ15" s="140" t="s">
        <v>376</v>
      </c>
      <c r="BA15" s="140" t="s">
        <v>376</v>
      </c>
      <c r="BB15" s="140" t="s">
        <v>376</v>
      </c>
      <c r="BC15" s="140" t="s">
        <v>376</v>
      </c>
      <c r="BD15" s="140" t="s">
        <v>376</v>
      </c>
      <c r="BE15" s="140" t="s">
        <v>376</v>
      </c>
      <c r="BF15" s="140" t="s">
        <v>376</v>
      </c>
      <c r="BG15" s="140" t="s">
        <v>376</v>
      </c>
      <c r="BH15" s="140" t="s">
        <v>376</v>
      </c>
      <c r="BI15" s="140" t="s">
        <v>376</v>
      </c>
      <c r="BJ15" s="140" t="s">
        <v>376</v>
      </c>
      <c r="BK15" s="140" t="s">
        <v>376</v>
      </c>
      <c r="BL15" s="140" t="s">
        <v>376</v>
      </c>
      <c r="BM15" s="140" t="s">
        <v>376</v>
      </c>
      <c r="BN15" s="140" t="s">
        <v>376</v>
      </c>
      <c r="BO15" s="140" t="s">
        <v>376</v>
      </c>
      <c r="BP15" s="140" t="s">
        <v>376</v>
      </c>
      <c r="BQ15" s="140" t="s">
        <v>376</v>
      </c>
      <c r="BR15" s="175"/>
      <c r="BS15" s="142" t="s">
        <v>377</v>
      </c>
    </row>
    <row r="16" customHeight="1" spans="1:71">
      <c r="A16" s="127" t="s">
        <v>287</v>
      </c>
      <c r="B16" s="127" t="s">
        <v>27</v>
      </c>
      <c r="C16" s="127"/>
      <c r="D16" s="172" t="s">
        <v>379</v>
      </c>
      <c r="E16" s="132">
        <v>58.8</v>
      </c>
      <c r="F16" s="130">
        <v>84.99</v>
      </c>
      <c r="G16" s="133">
        <f t="shared" si="0"/>
        <v>76.491</v>
      </c>
      <c r="H16" s="133">
        <f t="shared" si="1"/>
        <v>63.7425</v>
      </c>
      <c r="I16" s="133">
        <f t="shared" si="2"/>
        <v>7.975223539823</v>
      </c>
      <c r="J16" s="134">
        <f t="shared" si="3"/>
        <v>0.13563305339835</v>
      </c>
      <c r="K16" s="131">
        <f t="shared" si="4"/>
        <v>70.825</v>
      </c>
      <c r="L16" s="174">
        <f t="shared" si="5"/>
        <v>0.169784680550653</v>
      </c>
      <c r="M16" s="133">
        <f t="shared" si="6"/>
        <v>12.025</v>
      </c>
      <c r="N16" s="131">
        <f t="shared" si="7"/>
        <v>152.566371681416</v>
      </c>
      <c r="O16" s="131">
        <f t="shared" si="8"/>
        <v>3.8125</v>
      </c>
      <c r="P16" s="127">
        <v>4</v>
      </c>
      <c r="Q16" s="136">
        <v>8</v>
      </c>
      <c r="R16" s="137">
        <f t="shared" si="9"/>
        <v>0.136054421768707</v>
      </c>
      <c r="S16" s="134">
        <f t="shared" si="20"/>
        <v>0.0941287210260031</v>
      </c>
      <c r="T16" s="137">
        <f t="shared" si="10"/>
        <v>0.144540816326531</v>
      </c>
      <c r="U16" s="137">
        <v>0.01</v>
      </c>
      <c r="V16" s="137">
        <f t="shared" si="11"/>
        <v>0.324333273132262</v>
      </c>
      <c r="W16" s="137">
        <f t="shared" si="12"/>
        <v>0.0648384353741497</v>
      </c>
      <c r="X16" s="135">
        <v>0.1846</v>
      </c>
      <c r="Y16" s="138">
        <v>8</v>
      </c>
      <c r="Z16" s="138">
        <f>F16*0.1</f>
        <v>8.499</v>
      </c>
      <c r="AA16" s="138">
        <f t="shared" si="13"/>
        <v>0.588</v>
      </c>
      <c r="AB16" s="131">
        <f t="shared" si="14"/>
        <v>10.85448</v>
      </c>
      <c r="AC16" s="131">
        <v>138.5</v>
      </c>
      <c r="AD16" s="139">
        <f t="shared" si="15"/>
        <v>122.566371681416</v>
      </c>
      <c r="AE16" s="136">
        <f t="shared" si="16"/>
        <v>3.75</v>
      </c>
      <c r="AF16" s="137">
        <f t="shared" si="17"/>
        <v>0.26055776292818</v>
      </c>
      <c r="AG16" s="137">
        <f t="shared" si="18"/>
        <v>0.0637755102040816</v>
      </c>
      <c r="AH16" s="136">
        <v>30</v>
      </c>
      <c r="AI16" s="134">
        <f t="shared" si="19"/>
        <v>0.367093668773867</v>
      </c>
      <c r="AJ16" s="134"/>
      <c r="AK16" s="134"/>
      <c r="AL16" s="134"/>
      <c r="AM16" s="134"/>
      <c r="AN16" s="140"/>
      <c r="AO16" s="140"/>
      <c r="AP16" s="140"/>
      <c r="AQ16" s="140"/>
      <c r="AR16" s="140"/>
      <c r="AS16" s="140"/>
      <c r="AT16" s="140" t="s">
        <v>376</v>
      </c>
      <c r="AU16" s="140" t="s">
        <v>376</v>
      </c>
      <c r="AV16" s="140" t="s">
        <v>376</v>
      </c>
      <c r="AW16" s="140" t="s">
        <v>376</v>
      </c>
      <c r="AX16" s="140" t="s">
        <v>376</v>
      </c>
      <c r="AY16" s="140" t="s">
        <v>376</v>
      </c>
      <c r="AZ16" s="140" t="s">
        <v>376</v>
      </c>
      <c r="BA16" s="140" t="s">
        <v>376</v>
      </c>
      <c r="BB16" s="140" t="s">
        <v>376</v>
      </c>
      <c r="BC16" s="140" t="s">
        <v>376</v>
      </c>
      <c r="BD16" s="140" t="s">
        <v>376</v>
      </c>
      <c r="BE16" s="140" t="s">
        <v>376</v>
      </c>
      <c r="BF16" s="140" t="s">
        <v>376</v>
      </c>
      <c r="BG16" s="140" t="s">
        <v>376</v>
      </c>
      <c r="BH16" s="140" t="s">
        <v>376</v>
      </c>
      <c r="BI16" s="140" t="s">
        <v>376</v>
      </c>
      <c r="BJ16" s="140" t="s">
        <v>376</v>
      </c>
      <c r="BK16" s="140" t="s">
        <v>376</v>
      </c>
      <c r="BL16" s="140" t="s">
        <v>376</v>
      </c>
      <c r="BM16" s="140" t="s">
        <v>376</v>
      </c>
      <c r="BN16" s="140" t="s">
        <v>376</v>
      </c>
      <c r="BO16" s="140" t="s">
        <v>376</v>
      </c>
      <c r="BP16" s="140" t="s">
        <v>376</v>
      </c>
      <c r="BQ16" s="140" t="s">
        <v>376</v>
      </c>
      <c r="BR16" s="175"/>
      <c r="BS16" s="142" t="s">
        <v>377</v>
      </c>
    </row>
    <row r="17" customHeight="1" spans="1:71">
      <c r="A17" s="127" t="s">
        <v>287</v>
      </c>
      <c r="B17" s="127" t="s">
        <v>27</v>
      </c>
      <c r="C17" s="127"/>
      <c r="D17" s="177" t="s">
        <v>380</v>
      </c>
      <c r="E17" s="132">
        <v>58.8</v>
      </c>
      <c r="F17" s="130">
        <v>84.99</v>
      </c>
      <c r="G17" s="133">
        <f t="shared" si="0"/>
        <v>72.2415</v>
      </c>
      <c r="H17" s="133">
        <f t="shared" si="1"/>
        <v>60.20125</v>
      </c>
      <c r="I17" s="133">
        <f t="shared" si="2"/>
        <v>3.72572353982301</v>
      </c>
      <c r="J17" s="134">
        <f t="shared" si="3"/>
        <v>0.0633626452350852</v>
      </c>
      <c r="K17" s="131">
        <f t="shared" si="4"/>
        <v>70.825</v>
      </c>
      <c r="L17" s="174">
        <f t="shared" si="5"/>
        <v>0.169784680550653</v>
      </c>
      <c r="M17" s="133">
        <f t="shared" si="6"/>
        <v>12.025</v>
      </c>
      <c r="N17" s="131">
        <f t="shared" si="7"/>
        <v>152.566371681416</v>
      </c>
      <c r="O17" s="131">
        <f t="shared" si="8"/>
        <v>3.8125</v>
      </c>
      <c r="P17" s="127">
        <v>4</v>
      </c>
      <c r="Q17" s="136">
        <v>8</v>
      </c>
      <c r="R17" s="137">
        <f t="shared" si="9"/>
        <v>0.136054421768707</v>
      </c>
      <c r="S17" s="134">
        <f t="shared" si="20"/>
        <v>0.0941287210260031</v>
      </c>
      <c r="T17" s="137">
        <f t="shared" si="10"/>
        <v>0.216811224489796</v>
      </c>
      <c r="U17" s="137">
        <v>0.01</v>
      </c>
      <c r="V17" s="137">
        <f t="shared" si="11"/>
        <v>0.324333273132262</v>
      </c>
      <c r="W17" s="137">
        <f t="shared" si="12"/>
        <v>0.0648384353741497</v>
      </c>
      <c r="X17" s="135">
        <v>0.1846</v>
      </c>
      <c r="Y17" s="138">
        <v>8</v>
      </c>
      <c r="Z17" s="138">
        <f>F17*0.15</f>
        <v>12.7485</v>
      </c>
      <c r="AA17" s="138">
        <f t="shared" si="13"/>
        <v>0.588</v>
      </c>
      <c r="AB17" s="131">
        <f t="shared" si="14"/>
        <v>10.85448</v>
      </c>
      <c r="AC17" s="131">
        <v>138.5</v>
      </c>
      <c r="AD17" s="139">
        <f t="shared" si="15"/>
        <v>122.566371681416</v>
      </c>
      <c r="AE17" s="136">
        <f t="shared" si="16"/>
        <v>3.75</v>
      </c>
      <c r="AF17" s="137">
        <f t="shared" si="17"/>
        <v>0.26055776292818</v>
      </c>
      <c r="AG17" s="137">
        <f t="shared" si="18"/>
        <v>0.0637755102040816</v>
      </c>
      <c r="AH17" s="136">
        <v>30</v>
      </c>
      <c r="AI17" s="134">
        <f t="shared" si="19"/>
        <v>0.393954181123174</v>
      </c>
      <c r="AJ17" s="134"/>
      <c r="AK17" s="134"/>
      <c r="AL17" s="134"/>
      <c r="AM17" s="134"/>
      <c r="AN17" s="140"/>
      <c r="AO17" s="140"/>
      <c r="AP17" s="140"/>
      <c r="AQ17" s="140"/>
      <c r="AR17" s="140"/>
      <c r="AS17" s="140"/>
      <c r="AT17" s="140" t="s">
        <v>376</v>
      </c>
      <c r="AU17" s="140" t="s">
        <v>376</v>
      </c>
      <c r="AV17" s="140" t="s">
        <v>376</v>
      </c>
      <c r="AW17" s="140" t="s">
        <v>376</v>
      </c>
      <c r="AX17" s="140" t="s">
        <v>376</v>
      </c>
      <c r="AY17" s="140" t="s">
        <v>376</v>
      </c>
      <c r="AZ17" s="140" t="s">
        <v>376</v>
      </c>
      <c r="BA17" s="140" t="s">
        <v>376</v>
      </c>
      <c r="BB17" s="140" t="s">
        <v>376</v>
      </c>
      <c r="BC17" s="140" t="s">
        <v>376</v>
      </c>
      <c r="BD17" s="140" t="s">
        <v>376</v>
      </c>
      <c r="BE17" s="140" t="s">
        <v>376</v>
      </c>
      <c r="BF17" s="140" t="s">
        <v>376</v>
      </c>
      <c r="BG17" s="140" t="s">
        <v>376</v>
      </c>
      <c r="BH17" s="140" t="s">
        <v>376</v>
      </c>
      <c r="BI17" s="140" t="s">
        <v>376</v>
      </c>
      <c r="BJ17" s="140" t="s">
        <v>376</v>
      </c>
      <c r="BK17" s="140" t="s">
        <v>376</v>
      </c>
      <c r="BL17" s="140" t="s">
        <v>376</v>
      </c>
      <c r="BM17" s="140" t="s">
        <v>376</v>
      </c>
      <c r="BN17" s="140" t="s">
        <v>376</v>
      </c>
      <c r="BO17" s="140" t="s">
        <v>376</v>
      </c>
      <c r="BP17" s="140" t="s">
        <v>376</v>
      </c>
      <c r="BQ17" s="140" t="s">
        <v>376</v>
      </c>
      <c r="BR17" s="141"/>
      <c r="BS17" s="142" t="s">
        <v>377</v>
      </c>
    </row>
    <row r="18" customHeight="1" spans="1:71">
      <c r="A18" s="127" t="s">
        <v>290</v>
      </c>
      <c r="B18" s="127" t="s">
        <v>27</v>
      </c>
      <c r="C18" s="127"/>
      <c r="D18" s="177" t="s">
        <v>375</v>
      </c>
      <c r="E18" s="132">
        <v>59.35</v>
      </c>
      <c r="F18" s="130">
        <v>84.99</v>
      </c>
      <c r="G18" s="133">
        <f t="shared" si="0"/>
        <v>84.99</v>
      </c>
      <c r="H18" s="133">
        <f t="shared" si="1"/>
        <v>70.825</v>
      </c>
      <c r="I18" s="133">
        <f t="shared" si="2"/>
        <v>17.104193539823</v>
      </c>
      <c r="J18" s="134">
        <f t="shared" si="3"/>
        <v>0.288191972027346</v>
      </c>
      <c r="K18" s="131">
        <f t="shared" si="4"/>
        <v>70.825</v>
      </c>
      <c r="L18" s="174">
        <f t="shared" si="5"/>
        <v>0.162019061066008</v>
      </c>
      <c r="M18" s="133">
        <f t="shared" si="6"/>
        <v>11.475</v>
      </c>
      <c r="N18" s="131">
        <f t="shared" si="7"/>
        <v>152.566371681416</v>
      </c>
      <c r="O18" s="131">
        <f t="shared" si="8"/>
        <v>4.8125</v>
      </c>
      <c r="P18" s="127">
        <v>4</v>
      </c>
      <c r="Q18" s="136">
        <v>8</v>
      </c>
      <c r="R18" s="137">
        <f t="shared" si="9"/>
        <v>0.134793597304128</v>
      </c>
      <c r="S18" s="134">
        <f t="shared" si="20"/>
        <v>0.0941287210260031</v>
      </c>
      <c r="T18" s="137">
        <f t="shared" si="10"/>
        <v>0</v>
      </c>
      <c r="U18" s="137">
        <v>0.01</v>
      </c>
      <c r="V18" s="137">
        <f t="shared" si="11"/>
        <v>0.321327657290261</v>
      </c>
      <c r="W18" s="137">
        <f t="shared" si="12"/>
        <v>0.0810867733782645</v>
      </c>
      <c r="X18" s="135">
        <v>0.1646</v>
      </c>
      <c r="Y18" s="138">
        <v>8</v>
      </c>
      <c r="Z18" s="138">
        <v>0</v>
      </c>
      <c r="AA18" s="138">
        <f t="shared" si="13"/>
        <v>0.5935</v>
      </c>
      <c r="AB18" s="131">
        <f t="shared" si="14"/>
        <v>9.76901</v>
      </c>
      <c r="AC18" s="131">
        <v>138.5</v>
      </c>
      <c r="AD18" s="139">
        <f t="shared" si="15"/>
        <v>122.566371681416</v>
      </c>
      <c r="AE18" s="136">
        <f t="shared" si="16"/>
        <v>3.75</v>
      </c>
      <c r="AF18" s="137">
        <f t="shared" si="17"/>
        <v>0.258143158553951</v>
      </c>
      <c r="AG18" s="137">
        <f t="shared" si="18"/>
        <v>0.06318449873631</v>
      </c>
      <c r="AH18" s="136">
        <v>30</v>
      </c>
      <c r="AI18" s="134">
        <f t="shared" si="19"/>
        <v>0.299950723614543</v>
      </c>
      <c r="AJ18" s="137"/>
      <c r="AK18" s="137"/>
      <c r="AL18" s="137"/>
      <c r="AM18" s="137"/>
      <c r="AN18" s="140"/>
      <c r="AO18" s="140"/>
      <c r="AP18" s="140"/>
      <c r="AQ18" s="140"/>
      <c r="AR18" s="140"/>
      <c r="AS18" s="140"/>
      <c r="AT18" s="140" t="s">
        <v>376</v>
      </c>
      <c r="AU18" s="140" t="s">
        <v>376</v>
      </c>
      <c r="AV18" s="140" t="s">
        <v>376</v>
      </c>
      <c r="AW18" s="140" t="s">
        <v>376</v>
      </c>
      <c r="AX18" s="140" t="s">
        <v>376</v>
      </c>
      <c r="AY18" s="140" t="s">
        <v>376</v>
      </c>
      <c r="AZ18" s="140" t="s">
        <v>376</v>
      </c>
      <c r="BA18" s="140" t="s">
        <v>376</v>
      </c>
      <c r="BB18" s="140" t="s">
        <v>376</v>
      </c>
      <c r="BC18" s="140" t="s">
        <v>376</v>
      </c>
      <c r="BD18" s="140" t="s">
        <v>376</v>
      </c>
      <c r="BE18" s="140" t="s">
        <v>376</v>
      </c>
      <c r="BF18" s="140" t="s">
        <v>376</v>
      </c>
      <c r="BG18" s="140" t="s">
        <v>376</v>
      </c>
      <c r="BH18" s="140" t="s">
        <v>376</v>
      </c>
      <c r="BI18" s="140" t="s">
        <v>376</v>
      </c>
      <c r="BJ18" s="140" t="s">
        <v>376</v>
      </c>
      <c r="BK18" s="140" t="s">
        <v>376</v>
      </c>
      <c r="BL18" s="140" t="s">
        <v>376</v>
      </c>
      <c r="BM18" s="140" t="s">
        <v>376</v>
      </c>
      <c r="BN18" s="140" t="s">
        <v>376</v>
      </c>
      <c r="BO18" s="140" t="s">
        <v>376</v>
      </c>
      <c r="BP18" s="140" t="s">
        <v>376</v>
      </c>
      <c r="BQ18" s="140" t="s">
        <v>376</v>
      </c>
      <c r="BR18" s="175"/>
      <c r="BS18" s="142" t="s">
        <v>377</v>
      </c>
    </row>
    <row r="19" customHeight="1" spans="1:71">
      <c r="A19" s="127" t="s">
        <v>290</v>
      </c>
      <c r="B19" s="127" t="s">
        <v>27</v>
      </c>
      <c r="C19" s="127"/>
      <c r="D19" s="172" t="s">
        <v>378</v>
      </c>
      <c r="E19" s="132">
        <v>59.35</v>
      </c>
      <c r="F19" s="130">
        <v>84.99</v>
      </c>
      <c r="G19" s="133">
        <f t="shared" si="0"/>
        <v>80.7405</v>
      </c>
      <c r="H19" s="133">
        <f t="shared" si="1"/>
        <v>67.28375</v>
      </c>
      <c r="I19" s="176">
        <f t="shared" si="2"/>
        <v>12.854693539823</v>
      </c>
      <c r="J19" s="134">
        <f t="shared" si="3"/>
        <v>0.21659129805936</v>
      </c>
      <c r="K19" s="131">
        <f t="shared" si="4"/>
        <v>70.825</v>
      </c>
      <c r="L19" s="174">
        <f t="shared" si="5"/>
        <v>0.162019061066008</v>
      </c>
      <c r="M19" s="133">
        <f t="shared" si="6"/>
        <v>11.475</v>
      </c>
      <c r="N19" s="131">
        <f t="shared" si="7"/>
        <v>152.566371681416</v>
      </c>
      <c r="O19" s="131">
        <f t="shared" si="8"/>
        <v>4.8125</v>
      </c>
      <c r="P19" s="127">
        <v>4</v>
      </c>
      <c r="Q19" s="136">
        <v>8</v>
      </c>
      <c r="R19" s="137">
        <f t="shared" si="9"/>
        <v>0.134793597304128</v>
      </c>
      <c r="S19" s="134">
        <f t="shared" si="20"/>
        <v>0.0941287210260031</v>
      </c>
      <c r="T19" s="137">
        <f t="shared" si="10"/>
        <v>0.0716006739679865</v>
      </c>
      <c r="U19" s="137">
        <v>0.01</v>
      </c>
      <c r="V19" s="137">
        <f t="shared" si="11"/>
        <v>0.321327657290261</v>
      </c>
      <c r="W19" s="137">
        <f t="shared" si="12"/>
        <v>0.0810867733782645</v>
      </c>
      <c r="X19" s="135">
        <v>0.1646</v>
      </c>
      <c r="Y19" s="138">
        <v>8</v>
      </c>
      <c r="Z19" s="138">
        <f>F19*0.05</f>
        <v>4.2495</v>
      </c>
      <c r="AA19" s="138">
        <f t="shared" si="13"/>
        <v>0.5935</v>
      </c>
      <c r="AB19" s="131">
        <f t="shared" si="14"/>
        <v>9.76901</v>
      </c>
      <c r="AC19" s="131">
        <v>138.5</v>
      </c>
      <c r="AD19" s="139">
        <f t="shared" si="15"/>
        <v>122.566371681416</v>
      </c>
      <c r="AE19" s="136">
        <f t="shared" si="16"/>
        <v>3.75</v>
      </c>
      <c r="AF19" s="137">
        <f t="shared" si="17"/>
        <v>0.258143158553951</v>
      </c>
      <c r="AG19" s="137">
        <f t="shared" si="18"/>
        <v>0.06318449873631</v>
      </c>
      <c r="AH19" s="136">
        <v>30</v>
      </c>
      <c r="AI19" s="134">
        <f t="shared" si="19"/>
        <v>0.319096514483556</v>
      </c>
      <c r="AJ19" s="137"/>
      <c r="AK19" s="137"/>
      <c r="AL19" s="137"/>
      <c r="AM19" s="137"/>
      <c r="AN19" s="140"/>
      <c r="AO19" s="140"/>
      <c r="AP19" s="140"/>
      <c r="AQ19" s="140"/>
      <c r="AR19" s="140"/>
      <c r="AS19" s="140"/>
      <c r="AT19" s="140" t="s">
        <v>376</v>
      </c>
      <c r="AU19" s="140" t="s">
        <v>376</v>
      </c>
      <c r="AV19" s="140" t="s">
        <v>376</v>
      </c>
      <c r="AW19" s="140" t="s">
        <v>376</v>
      </c>
      <c r="AX19" s="140" t="s">
        <v>376</v>
      </c>
      <c r="AY19" s="140" t="s">
        <v>376</v>
      </c>
      <c r="AZ19" s="140" t="s">
        <v>376</v>
      </c>
      <c r="BA19" s="140" t="s">
        <v>376</v>
      </c>
      <c r="BB19" s="140" t="s">
        <v>376</v>
      </c>
      <c r="BC19" s="140" t="s">
        <v>376</v>
      </c>
      <c r="BD19" s="140" t="s">
        <v>376</v>
      </c>
      <c r="BE19" s="140" t="s">
        <v>376</v>
      </c>
      <c r="BF19" s="140" t="s">
        <v>376</v>
      </c>
      <c r="BG19" s="140" t="s">
        <v>376</v>
      </c>
      <c r="BH19" s="140" t="s">
        <v>376</v>
      </c>
      <c r="BI19" s="140" t="s">
        <v>376</v>
      </c>
      <c r="BJ19" s="140" t="s">
        <v>376</v>
      </c>
      <c r="BK19" s="140" t="s">
        <v>376</v>
      </c>
      <c r="BL19" s="140" t="s">
        <v>376</v>
      </c>
      <c r="BM19" s="140" t="s">
        <v>376</v>
      </c>
      <c r="BN19" s="140" t="s">
        <v>376</v>
      </c>
      <c r="BO19" s="140" t="s">
        <v>376</v>
      </c>
      <c r="BP19" s="140" t="s">
        <v>376</v>
      </c>
      <c r="BQ19" s="140" t="s">
        <v>376</v>
      </c>
      <c r="BR19" s="175"/>
      <c r="BS19" s="142" t="s">
        <v>377</v>
      </c>
    </row>
    <row r="20" customHeight="1" spans="1:71">
      <c r="A20" s="127" t="s">
        <v>290</v>
      </c>
      <c r="B20" s="127" t="s">
        <v>27</v>
      </c>
      <c r="C20" s="127"/>
      <c r="D20" s="172" t="s">
        <v>379</v>
      </c>
      <c r="E20" s="132">
        <v>59.35</v>
      </c>
      <c r="F20" s="130">
        <v>84.99</v>
      </c>
      <c r="G20" s="133">
        <f t="shared" si="0"/>
        <v>76.491</v>
      </c>
      <c r="H20" s="133">
        <f t="shared" si="1"/>
        <v>63.7425</v>
      </c>
      <c r="I20" s="133">
        <f t="shared" si="2"/>
        <v>8.60519353982301</v>
      </c>
      <c r="J20" s="134">
        <f t="shared" si="3"/>
        <v>0.144990624091373</v>
      </c>
      <c r="K20" s="131">
        <f t="shared" si="4"/>
        <v>70.825</v>
      </c>
      <c r="L20" s="174">
        <f t="shared" si="5"/>
        <v>0.162019061066008</v>
      </c>
      <c r="M20" s="133">
        <f t="shared" si="6"/>
        <v>11.475</v>
      </c>
      <c r="N20" s="131">
        <f t="shared" si="7"/>
        <v>152.566371681416</v>
      </c>
      <c r="O20" s="131">
        <f t="shared" si="8"/>
        <v>4.8125</v>
      </c>
      <c r="P20" s="127">
        <v>4</v>
      </c>
      <c r="Q20" s="136">
        <v>8</v>
      </c>
      <c r="R20" s="137">
        <f t="shared" si="9"/>
        <v>0.134793597304128</v>
      </c>
      <c r="S20" s="134">
        <f t="shared" si="20"/>
        <v>0.0941287210260031</v>
      </c>
      <c r="T20" s="137">
        <f t="shared" si="10"/>
        <v>0.143201347935973</v>
      </c>
      <c r="U20" s="137">
        <v>0.01</v>
      </c>
      <c r="V20" s="137">
        <f t="shared" si="11"/>
        <v>0.321327657290261</v>
      </c>
      <c r="W20" s="137">
        <f t="shared" si="12"/>
        <v>0.0810867733782645</v>
      </c>
      <c r="X20" s="135">
        <v>0.1646</v>
      </c>
      <c r="Y20" s="138">
        <v>8</v>
      </c>
      <c r="Z20" s="138">
        <f>F20*0.1</f>
        <v>8.499</v>
      </c>
      <c r="AA20" s="138">
        <f t="shared" si="13"/>
        <v>0.5935</v>
      </c>
      <c r="AB20" s="131">
        <f t="shared" si="14"/>
        <v>9.76901</v>
      </c>
      <c r="AC20" s="131">
        <v>138.5</v>
      </c>
      <c r="AD20" s="139">
        <f t="shared" si="15"/>
        <v>122.566371681416</v>
      </c>
      <c r="AE20" s="136">
        <f t="shared" si="16"/>
        <v>3.75</v>
      </c>
      <c r="AF20" s="137">
        <f t="shared" si="17"/>
        <v>0.258143158553951</v>
      </c>
      <c r="AG20" s="137">
        <f t="shared" si="18"/>
        <v>0.06318449873631</v>
      </c>
      <c r="AH20" s="136">
        <v>30</v>
      </c>
      <c r="AI20" s="134">
        <f t="shared" si="19"/>
        <v>0.340853095016526</v>
      </c>
      <c r="AJ20" s="137"/>
      <c r="AK20" s="137"/>
      <c r="AL20" s="137"/>
      <c r="AM20" s="137"/>
      <c r="AN20" s="140"/>
      <c r="AO20" s="140"/>
      <c r="AP20" s="140"/>
      <c r="AQ20" s="140"/>
      <c r="AR20" s="140"/>
      <c r="AS20" s="140"/>
      <c r="AT20" s="140" t="s">
        <v>376</v>
      </c>
      <c r="AU20" s="140" t="s">
        <v>376</v>
      </c>
      <c r="AV20" s="140" t="s">
        <v>376</v>
      </c>
      <c r="AW20" s="140" t="s">
        <v>376</v>
      </c>
      <c r="AX20" s="140" t="s">
        <v>376</v>
      </c>
      <c r="AY20" s="140" t="s">
        <v>376</v>
      </c>
      <c r="AZ20" s="140" t="s">
        <v>376</v>
      </c>
      <c r="BA20" s="140" t="s">
        <v>376</v>
      </c>
      <c r="BB20" s="140" t="s">
        <v>376</v>
      </c>
      <c r="BC20" s="140" t="s">
        <v>376</v>
      </c>
      <c r="BD20" s="140" t="s">
        <v>376</v>
      </c>
      <c r="BE20" s="140" t="s">
        <v>376</v>
      </c>
      <c r="BF20" s="140" t="s">
        <v>376</v>
      </c>
      <c r="BG20" s="140" t="s">
        <v>376</v>
      </c>
      <c r="BH20" s="140" t="s">
        <v>376</v>
      </c>
      <c r="BI20" s="140" t="s">
        <v>376</v>
      </c>
      <c r="BJ20" s="140" t="s">
        <v>376</v>
      </c>
      <c r="BK20" s="140" t="s">
        <v>376</v>
      </c>
      <c r="BL20" s="140" t="s">
        <v>376</v>
      </c>
      <c r="BM20" s="140" t="s">
        <v>376</v>
      </c>
      <c r="BN20" s="140" t="s">
        <v>376</v>
      </c>
      <c r="BO20" s="140" t="s">
        <v>376</v>
      </c>
      <c r="BP20" s="140" t="s">
        <v>376</v>
      </c>
      <c r="BQ20" s="140" t="s">
        <v>376</v>
      </c>
      <c r="BR20" s="175"/>
      <c r="BS20" s="142" t="s">
        <v>377</v>
      </c>
    </row>
    <row r="21" customHeight="1" spans="1:71">
      <c r="A21" s="127" t="s">
        <v>290</v>
      </c>
      <c r="B21" s="127" t="s">
        <v>27</v>
      </c>
      <c r="C21" s="127"/>
      <c r="D21" s="177" t="s">
        <v>380</v>
      </c>
      <c r="E21" s="132">
        <v>59.35</v>
      </c>
      <c r="F21" s="130">
        <v>84.99</v>
      </c>
      <c r="G21" s="133">
        <f t="shared" si="0"/>
        <v>72.2415</v>
      </c>
      <c r="H21" s="133">
        <f t="shared" si="1"/>
        <v>60.20125</v>
      </c>
      <c r="I21" s="133">
        <f t="shared" si="2"/>
        <v>4.35569353982301</v>
      </c>
      <c r="J21" s="134">
        <f t="shared" si="3"/>
        <v>0.0733899501233868</v>
      </c>
      <c r="K21" s="131">
        <f t="shared" si="4"/>
        <v>70.825</v>
      </c>
      <c r="L21" s="174">
        <f t="shared" si="5"/>
        <v>0.162019061066008</v>
      </c>
      <c r="M21" s="133">
        <f t="shared" si="6"/>
        <v>11.475</v>
      </c>
      <c r="N21" s="131">
        <f t="shared" si="7"/>
        <v>152.566371681416</v>
      </c>
      <c r="O21" s="131">
        <f t="shared" si="8"/>
        <v>4.8125</v>
      </c>
      <c r="P21" s="127">
        <v>4</v>
      </c>
      <c r="Q21" s="136">
        <v>8</v>
      </c>
      <c r="R21" s="137">
        <f t="shared" si="9"/>
        <v>0.134793597304128</v>
      </c>
      <c r="S21" s="134">
        <f t="shared" si="20"/>
        <v>0.0941287210260031</v>
      </c>
      <c r="T21" s="137">
        <f t="shared" si="10"/>
        <v>0.21480202190396</v>
      </c>
      <c r="U21" s="137">
        <v>0.01</v>
      </c>
      <c r="V21" s="137">
        <f t="shared" si="11"/>
        <v>0.321327657290261</v>
      </c>
      <c r="W21" s="137">
        <f t="shared" si="12"/>
        <v>0.0810867733782645</v>
      </c>
      <c r="X21" s="135">
        <v>0.1646</v>
      </c>
      <c r="Y21" s="138">
        <v>8</v>
      </c>
      <c r="Z21" s="138">
        <f>F21*0.15</f>
        <v>12.7485</v>
      </c>
      <c r="AA21" s="138">
        <f t="shared" si="13"/>
        <v>0.5935</v>
      </c>
      <c r="AB21" s="131">
        <f t="shared" si="14"/>
        <v>9.76901</v>
      </c>
      <c r="AC21" s="131">
        <v>138.5</v>
      </c>
      <c r="AD21" s="139">
        <f t="shared" si="15"/>
        <v>122.566371681416</v>
      </c>
      <c r="AE21" s="136">
        <f t="shared" si="16"/>
        <v>3.75</v>
      </c>
      <c r="AF21" s="137">
        <f t="shared" si="17"/>
        <v>0.258143158553951</v>
      </c>
      <c r="AG21" s="137">
        <f t="shared" si="18"/>
        <v>0.06318449873631</v>
      </c>
      <c r="AH21" s="136">
        <v>30</v>
      </c>
      <c r="AI21" s="134">
        <f t="shared" si="19"/>
        <v>0.365793565383589</v>
      </c>
      <c r="AJ21" s="137"/>
      <c r="AK21" s="137"/>
      <c r="AL21" s="137"/>
      <c r="AM21" s="137"/>
      <c r="AN21" s="140"/>
      <c r="AO21" s="140"/>
      <c r="AP21" s="140"/>
      <c r="AQ21" s="140"/>
      <c r="AR21" s="140"/>
      <c r="AS21" s="140"/>
      <c r="AT21" s="140" t="s">
        <v>376</v>
      </c>
      <c r="AU21" s="140" t="s">
        <v>376</v>
      </c>
      <c r="AV21" s="140" t="s">
        <v>376</v>
      </c>
      <c r="AW21" s="140" t="s">
        <v>376</v>
      </c>
      <c r="AX21" s="140" t="s">
        <v>376</v>
      </c>
      <c r="AY21" s="140" t="s">
        <v>376</v>
      </c>
      <c r="AZ21" s="140" t="s">
        <v>376</v>
      </c>
      <c r="BA21" s="140" t="s">
        <v>376</v>
      </c>
      <c r="BB21" s="140" t="s">
        <v>376</v>
      </c>
      <c r="BC21" s="140" t="s">
        <v>376</v>
      </c>
      <c r="BD21" s="140" t="s">
        <v>376</v>
      </c>
      <c r="BE21" s="140" t="s">
        <v>376</v>
      </c>
      <c r="BF21" s="140" t="s">
        <v>376</v>
      </c>
      <c r="BG21" s="140" t="s">
        <v>376</v>
      </c>
      <c r="BH21" s="140" t="s">
        <v>376</v>
      </c>
      <c r="BI21" s="140" t="s">
        <v>376</v>
      </c>
      <c r="BJ21" s="140" t="s">
        <v>376</v>
      </c>
      <c r="BK21" s="140" t="s">
        <v>376</v>
      </c>
      <c r="BL21" s="140" t="s">
        <v>376</v>
      </c>
      <c r="BM21" s="140" t="s">
        <v>376</v>
      </c>
      <c r="BN21" s="140" t="s">
        <v>376</v>
      </c>
      <c r="BO21" s="140" t="s">
        <v>376</v>
      </c>
      <c r="BP21" s="140" t="s">
        <v>376</v>
      </c>
      <c r="BQ21" s="140" t="s">
        <v>376</v>
      </c>
      <c r="BR21" s="141"/>
      <c r="BS21" s="142" t="s">
        <v>377</v>
      </c>
    </row>
    <row r="22" customHeight="1" spans="1:71">
      <c r="A22" s="127" t="s">
        <v>381</v>
      </c>
      <c r="B22" s="127" t="s">
        <v>27</v>
      </c>
      <c r="C22" s="127"/>
      <c r="D22" s="178" t="s">
        <v>382</v>
      </c>
      <c r="E22" s="131">
        <v>60</v>
      </c>
      <c r="F22" s="143">
        <v>89.99</v>
      </c>
      <c r="G22" s="133">
        <f t="shared" si="0"/>
        <v>89.99</v>
      </c>
      <c r="H22" s="133">
        <f t="shared" si="1"/>
        <v>74.9916666666667</v>
      </c>
      <c r="I22" s="133">
        <f t="shared" si="2"/>
        <v>26.661703539823</v>
      </c>
      <c r="J22" s="134">
        <f t="shared" si="3"/>
        <v>0.444361725663717</v>
      </c>
      <c r="K22" s="131">
        <f t="shared" si="4"/>
        <v>74.9916666666667</v>
      </c>
      <c r="L22" s="174">
        <f t="shared" si="5"/>
        <v>0.19991110123347</v>
      </c>
      <c r="M22" s="133">
        <f t="shared" si="6"/>
        <v>14.9916666666667</v>
      </c>
      <c r="N22" s="131">
        <f t="shared" si="7"/>
        <v>152.566371681416</v>
      </c>
      <c r="O22" s="131">
        <f t="shared" si="8"/>
        <v>4.1875</v>
      </c>
      <c r="P22" s="127">
        <v>4</v>
      </c>
      <c r="Q22" s="136">
        <v>8</v>
      </c>
      <c r="R22" s="137">
        <f t="shared" si="9"/>
        <v>0</v>
      </c>
      <c r="S22" s="134">
        <f t="shared" si="20"/>
        <v>0</v>
      </c>
      <c r="T22" s="137">
        <f t="shared" si="10"/>
        <v>0</v>
      </c>
      <c r="U22" s="137">
        <v>0.01</v>
      </c>
      <c r="V22" s="137">
        <f t="shared" si="11"/>
        <v>0.317846607669617</v>
      </c>
      <c r="W22" s="137">
        <f t="shared" si="12"/>
        <v>0.0697916666666667</v>
      </c>
      <c r="X22" s="135">
        <v>0.158</v>
      </c>
      <c r="Y22" s="138">
        <v>0</v>
      </c>
      <c r="Z22" s="138">
        <f>F22*0</f>
        <v>0</v>
      </c>
      <c r="AA22" s="138">
        <f t="shared" si="13"/>
        <v>0.6</v>
      </c>
      <c r="AB22" s="131">
        <f t="shared" si="14"/>
        <v>9.48</v>
      </c>
      <c r="AC22" s="131">
        <v>138.5</v>
      </c>
      <c r="AD22" s="139">
        <f t="shared" si="15"/>
        <v>122.566371681416</v>
      </c>
      <c r="AE22" s="136">
        <f t="shared" si="16"/>
        <v>3.75</v>
      </c>
      <c r="AF22" s="137">
        <f t="shared" si="17"/>
        <v>0.255346607669617</v>
      </c>
      <c r="AG22" s="137">
        <f t="shared" si="18"/>
        <v>0.0625</v>
      </c>
      <c r="AH22" s="136">
        <v>30</v>
      </c>
      <c r="AI22" s="134">
        <f t="shared" si="19"/>
        <v>0.326325147238582</v>
      </c>
      <c r="AJ22" s="140"/>
      <c r="AK22" s="140"/>
      <c r="AL22" s="140"/>
      <c r="AM22" s="140"/>
      <c r="AN22" s="140"/>
      <c r="AO22" s="140"/>
      <c r="AP22" s="140"/>
      <c r="AQ22" s="140"/>
      <c r="AR22" s="140"/>
      <c r="AS22" s="140"/>
      <c r="AT22" s="140" t="s">
        <v>376</v>
      </c>
      <c r="AU22" s="140" t="s">
        <v>376</v>
      </c>
      <c r="AV22" s="140" t="s">
        <v>376</v>
      </c>
      <c r="AW22" s="140" t="s">
        <v>376</v>
      </c>
      <c r="AX22" s="140" t="s">
        <v>376</v>
      </c>
      <c r="AY22" s="140" t="s">
        <v>376</v>
      </c>
      <c r="AZ22" s="140" t="s">
        <v>376</v>
      </c>
      <c r="BA22" s="140" t="s">
        <v>376</v>
      </c>
      <c r="BB22" s="140" t="s">
        <v>376</v>
      </c>
      <c r="BC22" s="140" t="s">
        <v>376</v>
      </c>
      <c r="BD22" s="140" t="s">
        <v>376</v>
      </c>
      <c r="BE22" s="140" t="s">
        <v>376</v>
      </c>
      <c r="BF22" s="140" t="s">
        <v>376</v>
      </c>
      <c r="BG22" s="140" t="s">
        <v>376</v>
      </c>
      <c r="BH22" s="140" t="s">
        <v>376</v>
      </c>
      <c r="BI22" s="140" t="s">
        <v>376</v>
      </c>
      <c r="BJ22" s="140" t="s">
        <v>376</v>
      </c>
      <c r="BK22" s="140" t="s">
        <v>376</v>
      </c>
      <c r="BL22" s="140" t="s">
        <v>376</v>
      </c>
      <c r="BM22" s="140" t="s">
        <v>376</v>
      </c>
      <c r="BN22" s="140" t="s">
        <v>376</v>
      </c>
      <c r="BO22" s="140" t="s">
        <v>376</v>
      </c>
      <c r="BP22" s="140" t="s">
        <v>376</v>
      </c>
      <c r="BQ22" s="140" t="s">
        <v>376</v>
      </c>
      <c r="BR22" s="144" t="e">
        <f>IF(#REF!&lt;E22,1,0)</f>
        <v>#REF!</v>
      </c>
      <c r="BS22" s="142" t="s">
        <v>377</v>
      </c>
    </row>
    <row r="23" customHeight="1" spans="1:71">
      <c r="A23" s="127" t="s">
        <v>383</v>
      </c>
      <c r="B23" s="127" t="s">
        <v>27</v>
      </c>
      <c r="C23" s="127"/>
      <c r="D23" s="178" t="s">
        <v>384</v>
      </c>
      <c r="E23" s="131">
        <v>60</v>
      </c>
      <c r="F23" s="143">
        <v>89.99</v>
      </c>
      <c r="G23" s="133">
        <f t="shared" si="0"/>
        <v>89.99</v>
      </c>
      <c r="H23" s="133">
        <f t="shared" si="1"/>
        <v>74.9916666666667</v>
      </c>
      <c r="I23" s="133">
        <f t="shared" si="2"/>
        <v>23.436703539823</v>
      </c>
      <c r="J23" s="134">
        <f t="shared" si="3"/>
        <v>0.390611725663717</v>
      </c>
      <c r="K23" s="131">
        <f t="shared" si="4"/>
        <v>74.9916666666667</v>
      </c>
      <c r="L23" s="174">
        <f t="shared" si="5"/>
        <v>0.19991110123347</v>
      </c>
      <c r="M23" s="133">
        <f t="shared" si="6"/>
        <v>14.9916666666667</v>
      </c>
      <c r="N23" s="131">
        <f t="shared" si="7"/>
        <v>152.566371681416</v>
      </c>
      <c r="O23" s="131">
        <f t="shared" si="8"/>
        <v>3.5125</v>
      </c>
      <c r="P23" s="127">
        <v>4</v>
      </c>
      <c r="Q23" s="136">
        <v>8</v>
      </c>
      <c r="R23" s="137">
        <f t="shared" si="9"/>
        <v>0</v>
      </c>
      <c r="S23" s="134">
        <f t="shared" si="20"/>
        <v>0</v>
      </c>
      <c r="T23" s="137">
        <f t="shared" si="10"/>
        <v>0</v>
      </c>
      <c r="U23" s="137">
        <v>0.01</v>
      </c>
      <c r="V23" s="137">
        <f t="shared" si="11"/>
        <v>0.317846607669617</v>
      </c>
      <c r="W23" s="137">
        <f t="shared" si="12"/>
        <v>0.0585416666666667</v>
      </c>
      <c r="X23" s="135">
        <v>0.223</v>
      </c>
      <c r="Y23" s="138">
        <v>0</v>
      </c>
      <c r="Z23" s="138">
        <f>F23*0</f>
        <v>0</v>
      </c>
      <c r="AA23" s="138">
        <f t="shared" si="13"/>
        <v>0.6</v>
      </c>
      <c r="AB23" s="131">
        <f t="shared" si="14"/>
        <v>13.38</v>
      </c>
      <c r="AC23" s="131">
        <v>138.5</v>
      </c>
      <c r="AD23" s="139">
        <f t="shared" si="15"/>
        <v>122.566371681416</v>
      </c>
      <c r="AE23" s="136">
        <f t="shared" si="16"/>
        <v>3.75</v>
      </c>
      <c r="AF23" s="137">
        <f t="shared" si="17"/>
        <v>0.255346607669617</v>
      </c>
      <c r="AG23" s="137">
        <f t="shared" si="18"/>
        <v>0.0625</v>
      </c>
      <c r="AH23" s="136">
        <v>30</v>
      </c>
      <c r="AI23" s="134">
        <f t="shared" si="19"/>
        <v>0.378330925658406</v>
      </c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  <c r="AT23" s="140" t="s">
        <v>376</v>
      </c>
      <c r="AU23" s="140" t="s">
        <v>376</v>
      </c>
      <c r="AV23" s="140" t="s">
        <v>376</v>
      </c>
      <c r="AW23" s="140" t="s">
        <v>376</v>
      </c>
      <c r="AX23" s="140" t="s">
        <v>376</v>
      </c>
      <c r="AY23" s="140" t="s">
        <v>376</v>
      </c>
      <c r="AZ23" s="140" t="s">
        <v>376</v>
      </c>
      <c r="BA23" s="140" t="s">
        <v>376</v>
      </c>
      <c r="BB23" s="140" t="s">
        <v>376</v>
      </c>
      <c r="BC23" s="140" t="s">
        <v>376</v>
      </c>
      <c r="BD23" s="140" t="s">
        <v>376</v>
      </c>
      <c r="BE23" s="140" t="s">
        <v>376</v>
      </c>
      <c r="BF23" s="140" t="s">
        <v>376</v>
      </c>
      <c r="BG23" s="140" t="s">
        <v>376</v>
      </c>
      <c r="BH23" s="140" t="s">
        <v>376</v>
      </c>
      <c r="BI23" s="140" t="s">
        <v>376</v>
      </c>
      <c r="BJ23" s="140" t="s">
        <v>376</v>
      </c>
      <c r="BK23" s="140" t="s">
        <v>376</v>
      </c>
      <c r="BL23" s="140" t="s">
        <v>376</v>
      </c>
      <c r="BM23" s="140" t="s">
        <v>376</v>
      </c>
      <c r="BN23" s="140" t="s">
        <v>376</v>
      </c>
      <c r="BO23" s="140" t="s">
        <v>376</v>
      </c>
      <c r="BP23" s="140" t="s">
        <v>376</v>
      </c>
      <c r="BQ23" s="140" t="s">
        <v>376</v>
      </c>
      <c r="BR23" s="144" t="e">
        <f>IF(#REF!&lt;E23,1,0)</f>
        <v>#REF!</v>
      </c>
      <c r="BS23" s="142" t="s">
        <v>377</v>
      </c>
    </row>
    <row r="24" customHeight="1" spans="1:71">
      <c r="A24" s="127" t="s">
        <v>385</v>
      </c>
      <c r="B24" s="127" t="s">
        <v>27</v>
      </c>
      <c r="C24" s="127"/>
      <c r="D24" s="178" t="s">
        <v>386</v>
      </c>
      <c r="E24" s="131">
        <v>60</v>
      </c>
      <c r="F24" s="143">
        <v>89.99</v>
      </c>
      <c r="G24" s="133">
        <f t="shared" si="0"/>
        <v>89.99</v>
      </c>
      <c r="H24" s="133">
        <f t="shared" si="1"/>
        <v>74.9916666666667</v>
      </c>
      <c r="I24" s="133">
        <f t="shared" si="2"/>
        <v>22.386703539823</v>
      </c>
      <c r="J24" s="134">
        <f t="shared" si="3"/>
        <v>0.373111725663717</v>
      </c>
      <c r="K24" s="131">
        <f t="shared" si="4"/>
        <v>74.9916666666667</v>
      </c>
      <c r="L24" s="174">
        <f t="shared" si="5"/>
        <v>0.19991110123347</v>
      </c>
      <c r="M24" s="133">
        <f t="shared" si="6"/>
        <v>14.9916666666667</v>
      </c>
      <c r="N24" s="131">
        <f t="shared" si="7"/>
        <v>152.566371681416</v>
      </c>
      <c r="O24" s="131">
        <f t="shared" si="8"/>
        <v>4.5625</v>
      </c>
      <c r="P24" s="127">
        <v>4</v>
      </c>
      <c r="Q24" s="136">
        <v>8</v>
      </c>
      <c r="R24" s="137">
        <f t="shared" si="9"/>
        <v>0</v>
      </c>
      <c r="S24" s="134">
        <f t="shared" si="20"/>
        <v>0</v>
      </c>
      <c r="T24" s="137">
        <f t="shared" si="10"/>
        <v>0</v>
      </c>
      <c r="U24" s="137">
        <v>0.01</v>
      </c>
      <c r="V24" s="137">
        <f t="shared" si="11"/>
        <v>0.317846607669617</v>
      </c>
      <c r="W24" s="137">
        <f t="shared" si="12"/>
        <v>0.0760416666666667</v>
      </c>
      <c r="X24" s="135">
        <v>0.223</v>
      </c>
      <c r="Y24" s="138">
        <v>0</v>
      </c>
      <c r="Z24" s="138">
        <f>F24*0</f>
        <v>0</v>
      </c>
      <c r="AA24" s="138">
        <f t="shared" si="13"/>
        <v>0.6</v>
      </c>
      <c r="AB24" s="131">
        <f t="shared" si="14"/>
        <v>13.38</v>
      </c>
      <c r="AC24" s="131">
        <v>138.5</v>
      </c>
      <c r="AD24" s="139">
        <f t="shared" si="15"/>
        <v>122.566371681416</v>
      </c>
      <c r="AE24" s="136">
        <f t="shared" si="16"/>
        <v>3.75</v>
      </c>
      <c r="AF24" s="137">
        <f t="shared" si="17"/>
        <v>0.255346607669617</v>
      </c>
      <c r="AG24" s="137">
        <f t="shared" si="18"/>
        <v>0.0625</v>
      </c>
      <c r="AH24" s="136">
        <v>30</v>
      </c>
      <c r="AI24" s="134">
        <f t="shared" si="19"/>
        <v>0.378330925658406</v>
      </c>
      <c r="AJ24" s="140"/>
      <c r="AK24" s="140"/>
      <c r="AL24" s="140"/>
      <c r="AM24" s="140"/>
      <c r="AN24" s="140"/>
      <c r="AO24" s="140"/>
      <c r="AP24" s="140"/>
      <c r="AQ24" s="140"/>
      <c r="AR24" s="140"/>
      <c r="AS24" s="140"/>
      <c r="AT24" s="140" t="s">
        <v>376</v>
      </c>
      <c r="AU24" s="140" t="s">
        <v>376</v>
      </c>
      <c r="AV24" s="140" t="s">
        <v>376</v>
      </c>
      <c r="AW24" s="140" t="s">
        <v>376</v>
      </c>
      <c r="AX24" s="140" t="s">
        <v>376</v>
      </c>
      <c r="AY24" s="140" t="s">
        <v>376</v>
      </c>
      <c r="AZ24" s="140" t="s">
        <v>376</v>
      </c>
      <c r="BA24" s="140" t="s">
        <v>376</v>
      </c>
      <c r="BB24" s="140" t="s">
        <v>376</v>
      </c>
      <c r="BC24" s="140" t="s">
        <v>376</v>
      </c>
      <c r="BD24" s="140" t="s">
        <v>376</v>
      </c>
      <c r="BE24" s="140" t="s">
        <v>376</v>
      </c>
      <c r="BF24" s="140" t="s">
        <v>376</v>
      </c>
      <c r="BG24" s="140" t="s">
        <v>376</v>
      </c>
      <c r="BH24" s="140" t="s">
        <v>376</v>
      </c>
      <c r="BI24" s="140" t="s">
        <v>376</v>
      </c>
      <c r="BJ24" s="140" t="s">
        <v>376</v>
      </c>
      <c r="BK24" s="140" t="s">
        <v>376</v>
      </c>
      <c r="BL24" s="140" t="s">
        <v>376</v>
      </c>
      <c r="BM24" s="140" t="s">
        <v>376</v>
      </c>
      <c r="BN24" s="140" t="s">
        <v>376</v>
      </c>
      <c r="BO24" s="140" t="s">
        <v>376</v>
      </c>
      <c r="BP24" s="140" t="s">
        <v>376</v>
      </c>
      <c r="BQ24" s="140" t="s">
        <v>376</v>
      </c>
      <c r="BR24" s="144" t="e">
        <f>IF(#REF!&lt;E24,1,0)</f>
        <v>#REF!</v>
      </c>
      <c r="BS24" s="142" t="s">
        <v>377</v>
      </c>
    </row>
    <row r="25" customHeight="1" spans="1:71">
      <c r="A25" s="127" t="s">
        <v>387</v>
      </c>
      <c r="B25" s="127" t="s">
        <v>27</v>
      </c>
      <c r="C25" s="127"/>
      <c r="D25" s="178" t="s">
        <v>388</v>
      </c>
      <c r="E25" s="131">
        <v>60</v>
      </c>
      <c r="F25" s="143">
        <v>89.99</v>
      </c>
      <c r="G25" s="133">
        <f t="shared" si="0"/>
        <v>89.99</v>
      </c>
      <c r="H25" s="133">
        <f t="shared" si="1"/>
        <v>74.9916666666667</v>
      </c>
      <c r="I25" s="133">
        <f t="shared" si="2"/>
        <v>27.286703539823</v>
      </c>
      <c r="J25" s="134">
        <f t="shared" si="3"/>
        <v>0.454778392330383</v>
      </c>
      <c r="K25" s="131">
        <f t="shared" si="4"/>
        <v>74.9916666666667</v>
      </c>
      <c r="L25" s="174">
        <f t="shared" si="5"/>
        <v>0.19991110123347</v>
      </c>
      <c r="M25" s="133">
        <f t="shared" si="6"/>
        <v>14.9916666666667</v>
      </c>
      <c r="N25" s="131">
        <f t="shared" si="7"/>
        <v>152.566371681416</v>
      </c>
      <c r="O25" s="131">
        <f t="shared" si="8"/>
        <v>3.5625</v>
      </c>
      <c r="P25" s="127">
        <v>4</v>
      </c>
      <c r="Q25" s="136">
        <v>8</v>
      </c>
      <c r="R25" s="137">
        <f t="shared" si="9"/>
        <v>0</v>
      </c>
      <c r="S25" s="134">
        <f t="shared" si="20"/>
        <v>0</v>
      </c>
      <c r="T25" s="137">
        <f t="shared" si="10"/>
        <v>0</v>
      </c>
      <c r="U25" s="137">
        <v>0.01</v>
      </c>
      <c r="V25" s="137">
        <f t="shared" si="11"/>
        <v>0.317846607669617</v>
      </c>
      <c r="W25" s="137">
        <f t="shared" si="12"/>
        <v>0.059375</v>
      </c>
      <c r="X25" s="135">
        <v>0.158</v>
      </c>
      <c r="Y25" s="138">
        <v>0</v>
      </c>
      <c r="Z25" s="138">
        <f>F25*0</f>
        <v>0</v>
      </c>
      <c r="AA25" s="138">
        <f t="shared" si="13"/>
        <v>0.6</v>
      </c>
      <c r="AB25" s="131">
        <f t="shared" si="14"/>
        <v>9.48</v>
      </c>
      <c r="AC25" s="131">
        <v>138.5</v>
      </c>
      <c r="AD25" s="139">
        <f t="shared" si="15"/>
        <v>122.566371681416</v>
      </c>
      <c r="AE25" s="136">
        <f t="shared" si="16"/>
        <v>3.75</v>
      </c>
      <c r="AF25" s="137">
        <f t="shared" si="17"/>
        <v>0.255346607669617</v>
      </c>
      <c r="AG25" s="137">
        <f t="shared" si="18"/>
        <v>0.0625</v>
      </c>
      <c r="AH25" s="136">
        <v>30</v>
      </c>
      <c r="AI25" s="134">
        <f t="shared" si="19"/>
        <v>0.326325147238582</v>
      </c>
      <c r="AJ25" s="137"/>
      <c r="AK25" s="137"/>
      <c r="AL25" s="137"/>
      <c r="AM25" s="137"/>
      <c r="AN25" s="140"/>
      <c r="AO25" s="140"/>
      <c r="AP25" s="140"/>
      <c r="AQ25" s="140"/>
      <c r="AR25" s="140"/>
      <c r="AS25" s="140"/>
      <c r="AT25" s="140" t="s">
        <v>376</v>
      </c>
      <c r="AU25" s="140" t="s">
        <v>376</v>
      </c>
      <c r="AV25" s="140" t="s">
        <v>376</v>
      </c>
      <c r="AW25" s="140" t="s">
        <v>376</v>
      </c>
      <c r="AX25" s="140" t="s">
        <v>376</v>
      </c>
      <c r="AY25" s="140" t="s">
        <v>376</v>
      </c>
      <c r="AZ25" s="140" t="s">
        <v>376</v>
      </c>
      <c r="BA25" s="140" t="s">
        <v>376</v>
      </c>
      <c r="BB25" s="140" t="s">
        <v>376</v>
      </c>
      <c r="BC25" s="140" t="s">
        <v>376</v>
      </c>
      <c r="BD25" s="140" t="s">
        <v>376</v>
      </c>
      <c r="BE25" s="140" t="s">
        <v>376</v>
      </c>
      <c r="BF25" s="140" t="s">
        <v>376</v>
      </c>
      <c r="BG25" s="140" t="s">
        <v>376</v>
      </c>
      <c r="BH25" s="140" t="s">
        <v>376</v>
      </c>
      <c r="BI25" s="140" t="s">
        <v>376</v>
      </c>
      <c r="BJ25" s="140" t="s">
        <v>376</v>
      </c>
      <c r="BK25" s="140" t="s">
        <v>376</v>
      </c>
      <c r="BL25" s="140" t="s">
        <v>376</v>
      </c>
      <c r="BM25" s="140" t="s">
        <v>376</v>
      </c>
      <c r="BN25" s="140" t="s">
        <v>376</v>
      </c>
      <c r="BO25" s="140" t="s">
        <v>376</v>
      </c>
      <c r="BP25" s="140" t="s">
        <v>376</v>
      </c>
      <c r="BQ25" s="140" t="s">
        <v>376</v>
      </c>
      <c r="BR25" s="144" t="e">
        <f>IF(#REF!&lt;E25,1,0)</f>
        <v>#REF!</v>
      </c>
      <c r="BS25" s="142" t="s">
        <v>377</v>
      </c>
    </row>
    <row r="26" customHeight="1" spans="1:71">
      <c r="A26" s="1"/>
      <c r="B26" s="1"/>
      <c r="C26" s="1"/>
      <c r="D26" s="1"/>
      <c r="E26" s="131"/>
      <c r="F26" s="143"/>
      <c r="G26" s="133"/>
      <c r="H26" s="133"/>
      <c r="I26" s="133"/>
      <c r="J26" s="134"/>
      <c r="K26" s="131"/>
      <c r="L26" s="131"/>
      <c r="M26" s="131"/>
      <c r="N26" s="131"/>
      <c r="O26" s="131"/>
      <c r="P26" s="127"/>
      <c r="Q26" s="136"/>
      <c r="R26" s="137"/>
      <c r="S26" s="134"/>
      <c r="T26" s="137"/>
      <c r="U26" s="137"/>
      <c r="V26" s="137"/>
      <c r="W26" s="137"/>
      <c r="X26" s="135"/>
      <c r="Y26" s="138"/>
      <c r="Z26" s="138"/>
      <c r="AA26" s="138"/>
      <c r="AB26" s="131"/>
      <c r="AC26" s="131"/>
      <c r="AD26" s="139"/>
      <c r="AE26" s="136"/>
      <c r="AF26" s="137"/>
      <c r="AG26" s="137"/>
      <c r="AH26" s="136"/>
      <c r="AI26" s="137"/>
      <c r="AJ26" s="137"/>
      <c r="AK26" s="137"/>
      <c r="AL26" s="137"/>
      <c r="AM26" s="137"/>
      <c r="AN26" s="140"/>
      <c r="AO26" s="140"/>
      <c r="AP26" s="140"/>
      <c r="AQ26" s="140"/>
      <c r="AR26" s="140"/>
      <c r="AS26" s="140"/>
      <c r="AT26" s="140"/>
      <c r="AU26" s="140"/>
      <c r="AV26" s="140"/>
      <c r="AW26" s="140"/>
      <c r="AX26" s="140"/>
      <c r="AY26" s="140"/>
      <c r="AZ26" s="140"/>
      <c r="BA26" s="140"/>
      <c r="BB26" s="140"/>
      <c r="BC26" s="140"/>
      <c r="BD26" s="140"/>
      <c r="BE26" s="140"/>
      <c r="BF26" s="140"/>
      <c r="BG26" s="140"/>
      <c r="BH26" s="140"/>
      <c r="BI26" s="140"/>
      <c r="BJ26" s="140"/>
      <c r="BK26" s="140"/>
      <c r="BL26" s="140"/>
      <c r="BM26" s="140"/>
      <c r="BN26" s="140"/>
      <c r="BO26" s="140"/>
      <c r="BP26" s="140"/>
      <c r="BQ26" s="140"/>
      <c r="BR26" s="144"/>
      <c r="BS26" s="142"/>
    </row>
    <row r="27" customHeight="1" spans="1:71">
      <c r="A27" s="142" t="s">
        <v>86</v>
      </c>
      <c r="B27" s="127" t="s">
        <v>29</v>
      </c>
      <c r="C27" s="127"/>
      <c r="D27" s="172" t="s">
        <v>389</v>
      </c>
      <c r="E27" s="173">
        <v>13.1</v>
      </c>
      <c r="F27" s="173">
        <v>18.99</v>
      </c>
      <c r="G27" s="179">
        <f t="shared" ref="G27:G67" si="21">(F27-Z27)</f>
        <v>18.99</v>
      </c>
      <c r="H27" s="133">
        <f t="shared" ref="H27:H50" si="22">(F27-Z27)/1.2</f>
        <v>15.825</v>
      </c>
      <c r="I27" s="179">
        <f t="shared" ref="I27:I50" si="23">E27-N27/Q27-AB27-Y27-O27-Z27-AA27</f>
        <v>2.9021075712881</v>
      </c>
      <c r="J27" s="134">
        <f t="shared" ref="J27:J50" si="24">I27/E27</f>
        <v>0.221534929105962</v>
      </c>
      <c r="K27" s="131">
        <f t="shared" ref="K27:K50" si="25">F27/1.2</f>
        <v>15.825</v>
      </c>
      <c r="L27" s="174">
        <f t="shared" ref="L27:L50" si="26">(K27-E27)/K27</f>
        <v>0.172195892575039</v>
      </c>
      <c r="M27" s="133">
        <f t="shared" ref="M27:M50" si="27">F27/1.2-E27</f>
        <v>2.725</v>
      </c>
      <c r="N27" s="131">
        <f t="shared" ref="N27:N50" si="28">AD27+AH27</f>
        <v>52.3628318584071</v>
      </c>
      <c r="O27" s="131">
        <f t="shared" ref="O27:O50" si="29">IFERROR(IF(A27="UK",8.95/P27,IF(A27="DE",7.75/P27,IF(A27="FR",14.25/P27,IF(A27="IT",15.25/P27,IF(A27="ES",19.25/P27,IF(A27="NL",16.75/P27,IF(A27="PL",14.05/P27,IF(A27="SE",18.25/P27,IF(A27="BE",14.25/P27))))))))),0)</f>
        <v>0.179</v>
      </c>
      <c r="P27" s="142">
        <v>50</v>
      </c>
      <c r="Q27" s="136">
        <v>9</v>
      </c>
      <c r="R27" s="137">
        <f t="shared" ref="R27:R50" si="30">Y27/E27</f>
        <v>0.152671755725191</v>
      </c>
      <c r="S27" s="134">
        <f>Y27/H27</f>
        <v>0.126382306477093</v>
      </c>
      <c r="T27" s="137">
        <f t="shared" ref="T27:T50" si="31">Z27/E27</f>
        <v>0</v>
      </c>
      <c r="U27" s="137">
        <v>0.01</v>
      </c>
      <c r="V27" s="137">
        <f t="shared" ref="V27:V50" si="32">N27/(E27*Q27)</f>
        <v>0.444129193031443</v>
      </c>
      <c r="W27" s="137">
        <f t="shared" ref="W27:W50" si="33">O27/E27</f>
        <v>0.0136641221374046</v>
      </c>
      <c r="X27" s="135">
        <v>0.158</v>
      </c>
      <c r="Y27" s="138">
        <v>2</v>
      </c>
      <c r="Z27" s="138">
        <f>F27*0</f>
        <v>0</v>
      </c>
      <c r="AA27" s="138">
        <f t="shared" ref="AA27:AA50" si="34">E27*U27</f>
        <v>0.131</v>
      </c>
      <c r="AB27" s="131">
        <f t="shared" ref="AB27:AB50" si="35">E27*X27</f>
        <v>2.0698</v>
      </c>
      <c r="AC27" s="131">
        <v>49</v>
      </c>
      <c r="AD27" s="139">
        <f t="shared" ref="AD27:AD50" si="36">AC27/1.13</f>
        <v>43.3628318584071</v>
      </c>
      <c r="AE27" s="136">
        <f t="shared" ref="AE27:AE50" si="37">AH27/Q27</f>
        <v>1</v>
      </c>
      <c r="AF27" s="137">
        <f t="shared" ref="AF27:AF50" si="38">AD27/(E27*Q27)</f>
        <v>0.367793315168847</v>
      </c>
      <c r="AG27" s="137">
        <f t="shared" ref="AG27:AG50" si="39">AE27/E27</f>
        <v>0.0763358778625954</v>
      </c>
      <c r="AH27" s="136">
        <v>9</v>
      </c>
      <c r="AI27" s="137">
        <f t="shared" ref="AI27:AI37" si="40">(H27-E27+AB27)/H27</f>
        <v>0.302988941548183</v>
      </c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40" t="s">
        <v>376</v>
      </c>
      <c r="AU27" s="140" t="s">
        <v>376</v>
      </c>
      <c r="AV27" s="140" t="s">
        <v>376</v>
      </c>
      <c r="AW27" s="140" t="s">
        <v>376</v>
      </c>
      <c r="AX27" s="140" t="s">
        <v>376</v>
      </c>
      <c r="AY27" s="140" t="s">
        <v>376</v>
      </c>
      <c r="AZ27" s="140" t="s">
        <v>376</v>
      </c>
      <c r="BA27" s="140" t="s">
        <v>376</v>
      </c>
      <c r="BB27" s="140" t="s">
        <v>376</v>
      </c>
      <c r="BC27" s="140" t="s">
        <v>376</v>
      </c>
      <c r="BD27" s="140" t="s">
        <v>376</v>
      </c>
      <c r="BE27" s="140" t="s">
        <v>376</v>
      </c>
      <c r="BF27" s="140" t="s">
        <v>376</v>
      </c>
      <c r="BG27" s="140" t="s">
        <v>376</v>
      </c>
      <c r="BH27" s="140" t="s">
        <v>376</v>
      </c>
      <c r="BI27" s="140" t="s">
        <v>376</v>
      </c>
      <c r="BJ27" s="140" t="s">
        <v>376</v>
      </c>
      <c r="BK27" s="140" t="s">
        <v>376</v>
      </c>
      <c r="BL27" s="140" t="s">
        <v>376</v>
      </c>
      <c r="BM27" s="140" t="s">
        <v>376</v>
      </c>
      <c r="BN27" s="140" t="s">
        <v>376</v>
      </c>
      <c r="BO27" s="140" t="s">
        <v>376</v>
      </c>
      <c r="BP27" s="140" t="s">
        <v>376</v>
      </c>
      <c r="BQ27" s="140" t="s">
        <v>376</v>
      </c>
      <c r="BR27" s="175"/>
      <c r="BS27" s="142" t="s">
        <v>377</v>
      </c>
    </row>
    <row r="28" customHeight="1" spans="1:71">
      <c r="A28" s="142" t="s">
        <v>86</v>
      </c>
      <c r="B28" s="127" t="s">
        <v>29</v>
      </c>
      <c r="C28" s="127"/>
      <c r="D28" s="172" t="s">
        <v>390</v>
      </c>
      <c r="E28" s="130">
        <v>13.1</v>
      </c>
      <c r="F28" s="130">
        <v>18.99</v>
      </c>
      <c r="G28" s="133">
        <f t="shared" si="21"/>
        <v>18.0405</v>
      </c>
      <c r="H28" s="133">
        <f t="shared" si="22"/>
        <v>15.03375</v>
      </c>
      <c r="I28" s="133">
        <f t="shared" si="23"/>
        <v>1.9526075712881</v>
      </c>
      <c r="J28" s="134">
        <f t="shared" si="24"/>
        <v>0.149054013075428</v>
      </c>
      <c r="K28" s="131">
        <f t="shared" si="25"/>
        <v>15.825</v>
      </c>
      <c r="L28" s="174">
        <f t="shared" si="26"/>
        <v>0.172195892575039</v>
      </c>
      <c r="M28" s="133">
        <f t="shared" si="27"/>
        <v>2.725</v>
      </c>
      <c r="N28" s="131">
        <f t="shared" si="28"/>
        <v>52.3628318584071</v>
      </c>
      <c r="O28" s="131">
        <f t="shared" si="29"/>
        <v>0.179</v>
      </c>
      <c r="P28" s="127">
        <v>50</v>
      </c>
      <c r="Q28" s="136">
        <v>9</v>
      </c>
      <c r="R28" s="137">
        <f t="shared" si="30"/>
        <v>0.152671755725191</v>
      </c>
      <c r="S28" s="134">
        <f>Y28/H28</f>
        <v>0.133034006817993</v>
      </c>
      <c r="T28" s="137">
        <f t="shared" si="31"/>
        <v>0.0724809160305344</v>
      </c>
      <c r="U28" s="137">
        <v>0.01</v>
      </c>
      <c r="V28" s="137">
        <f t="shared" si="32"/>
        <v>0.444129193031443</v>
      </c>
      <c r="W28" s="137">
        <f t="shared" si="33"/>
        <v>0.0136641221374046</v>
      </c>
      <c r="X28" s="135">
        <v>0.158</v>
      </c>
      <c r="Y28" s="138">
        <v>2</v>
      </c>
      <c r="Z28" s="138">
        <f>F28*0.05</f>
        <v>0.9495</v>
      </c>
      <c r="AA28" s="138">
        <f t="shared" si="34"/>
        <v>0.131</v>
      </c>
      <c r="AB28" s="131">
        <f t="shared" si="35"/>
        <v>2.0698</v>
      </c>
      <c r="AC28" s="131">
        <v>49</v>
      </c>
      <c r="AD28" s="139">
        <f t="shared" si="36"/>
        <v>43.3628318584071</v>
      </c>
      <c r="AE28" s="136">
        <f t="shared" si="37"/>
        <v>1</v>
      </c>
      <c r="AF28" s="137">
        <f t="shared" si="38"/>
        <v>0.367793315168847</v>
      </c>
      <c r="AG28" s="137">
        <f t="shared" si="39"/>
        <v>0.0763358778625954</v>
      </c>
      <c r="AH28" s="136">
        <v>9</v>
      </c>
      <c r="AI28" s="137">
        <f t="shared" si="40"/>
        <v>0.266304148998088</v>
      </c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40" t="s">
        <v>376</v>
      </c>
      <c r="AU28" s="140" t="s">
        <v>376</v>
      </c>
      <c r="AV28" s="140" t="s">
        <v>376</v>
      </c>
      <c r="AW28" s="140" t="s">
        <v>376</v>
      </c>
      <c r="AX28" s="140" t="s">
        <v>376</v>
      </c>
      <c r="AY28" s="140" t="s">
        <v>376</v>
      </c>
      <c r="AZ28" s="140" t="s">
        <v>376</v>
      </c>
      <c r="BA28" s="140" t="s">
        <v>376</v>
      </c>
      <c r="BB28" s="140" t="s">
        <v>376</v>
      </c>
      <c r="BC28" s="140" t="s">
        <v>376</v>
      </c>
      <c r="BD28" s="140" t="s">
        <v>376</v>
      </c>
      <c r="BE28" s="140" t="s">
        <v>376</v>
      </c>
      <c r="BF28" s="140" t="s">
        <v>376</v>
      </c>
      <c r="BG28" s="140" t="s">
        <v>376</v>
      </c>
      <c r="BH28" s="140" t="s">
        <v>376</v>
      </c>
      <c r="BI28" s="140" t="s">
        <v>376</v>
      </c>
      <c r="BJ28" s="140" t="s">
        <v>376</v>
      </c>
      <c r="BK28" s="140" t="s">
        <v>376</v>
      </c>
      <c r="BL28" s="140" t="s">
        <v>376</v>
      </c>
      <c r="BM28" s="140" t="s">
        <v>376</v>
      </c>
      <c r="BN28" s="140" t="s">
        <v>376</v>
      </c>
      <c r="BO28" s="140" t="s">
        <v>376</v>
      </c>
      <c r="BP28" s="140" t="s">
        <v>376</v>
      </c>
      <c r="BQ28" s="140" t="s">
        <v>376</v>
      </c>
      <c r="BR28" s="175"/>
      <c r="BS28" s="142" t="s">
        <v>377</v>
      </c>
    </row>
    <row r="29" customHeight="1" spans="1:71">
      <c r="A29" s="142" t="s">
        <v>86</v>
      </c>
      <c r="B29" s="127" t="s">
        <v>29</v>
      </c>
      <c r="C29" s="127"/>
      <c r="D29" s="172" t="s">
        <v>391</v>
      </c>
      <c r="E29" s="130">
        <v>13.1</v>
      </c>
      <c r="F29" s="130">
        <v>18.99</v>
      </c>
      <c r="G29" s="133">
        <f t="shared" si="21"/>
        <v>17.091</v>
      </c>
      <c r="H29" s="133">
        <f t="shared" si="22"/>
        <v>14.2425</v>
      </c>
      <c r="I29" s="133">
        <f t="shared" si="23"/>
        <v>1.0031075712881</v>
      </c>
      <c r="J29" s="134">
        <f t="shared" si="24"/>
        <v>0.0765730970448933</v>
      </c>
      <c r="K29" s="131">
        <f t="shared" si="25"/>
        <v>15.825</v>
      </c>
      <c r="L29" s="174">
        <f t="shared" si="26"/>
        <v>0.172195892575039</v>
      </c>
      <c r="M29" s="133">
        <f t="shared" si="27"/>
        <v>2.725</v>
      </c>
      <c r="N29" s="131">
        <f t="shared" si="28"/>
        <v>52.3628318584071</v>
      </c>
      <c r="O29" s="131">
        <f t="shared" si="29"/>
        <v>0.179</v>
      </c>
      <c r="P29" s="127">
        <v>50</v>
      </c>
      <c r="Q29" s="136">
        <v>9</v>
      </c>
      <c r="R29" s="137">
        <f t="shared" si="30"/>
        <v>0.152671755725191</v>
      </c>
      <c r="S29" s="134">
        <f>Y29/H29</f>
        <v>0.140424784974548</v>
      </c>
      <c r="T29" s="137">
        <f t="shared" si="31"/>
        <v>0.144961832061069</v>
      </c>
      <c r="U29" s="137">
        <v>0.01</v>
      </c>
      <c r="V29" s="137">
        <f t="shared" si="32"/>
        <v>0.444129193031443</v>
      </c>
      <c r="W29" s="137">
        <f t="shared" si="33"/>
        <v>0.0136641221374046</v>
      </c>
      <c r="X29" s="135">
        <v>0.158</v>
      </c>
      <c r="Y29" s="138">
        <v>2</v>
      </c>
      <c r="Z29" s="138">
        <f>F29*0.1</f>
        <v>1.899</v>
      </c>
      <c r="AA29" s="138">
        <f t="shared" si="34"/>
        <v>0.131</v>
      </c>
      <c r="AB29" s="131">
        <f t="shared" si="35"/>
        <v>2.0698</v>
      </c>
      <c r="AC29" s="131">
        <v>49</v>
      </c>
      <c r="AD29" s="139">
        <f t="shared" si="36"/>
        <v>43.3628318584071</v>
      </c>
      <c r="AE29" s="136">
        <f t="shared" si="37"/>
        <v>1</v>
      </c>
      <c r="AF29" s="137">
        <f t="shared" si="38"/>
        <v>0.367793315168847</v>
      </c>
      <c r="AG29" s="137">
        <f t="shared" si="39"/>
        <v>0.0763358778625954</v>
      </c>
      <c r="AH29" s="136">
        <v>9</v>
      </c>
      <c r="AI29" s="137">
        <f t="shared" si="40"/>
        <v>0.22554326838687</v>
      </c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40" t="s">
        <v>376</v>
      </c>
      <c r="AU29" s="140" t="s">
        <v>376</v>
      </c>
      <c r="AV29" s="140" t="s">
        <v>376</v>
      </c>
      <c r="AW29" s="140" t="s">
        <v>376</v>
      </c>
      <c r="AX29" s="140" t="s">
        <v>376</v>
      </c>
      <c r="AY29" s="140" t="s">
        <v>376</v>
      </c>
      <c r="AZ29" s="140" t="s">
        <v>376</v>
      </c>
      <c r="BA29" s="140" t="s">
        <v>376</v>
      </c>
      <c r="BB29" s="140" t="s">
        <v>376</v>
      </c>
      <c r="BC29" s="140" t="s">
        <v>376</v>
      </c>
      <c r="BD29" s="140" t="s">
        <v>376</v>
      </c>
      <c r="BE29" s="140" t="s">
        <v>376</v>
      </c>
      <c r="BF29" s="140" t="s">
        <v>376</v>
      </c>
      <c r="BG29" s="140" t="s">
        <v>376</v>
      </c>
      <c r="BH29" s="140" t="s">
        <v>376</v>
      </c>
      <c r="BI29" s="140" t="s">
        <v>376</v>
      </c>
      <c r="BJ29" s="140" t="s">
        <v>376</v>
      </c>
      <c r="BK29" s="140" t="s">
        <v>376</v>
      </c>
      <c r="BL29" s="140" t="s">
        <v>376</v>
      </c>
      <c r="BM29" s="140" t="s">
        <v>376</v>
      </c>
      <c r="BN29" s="140" t="s">
        <v>376</v>
      </c>
      <c r="BO29" s="140" t="s">
        <v>376</v>
      </c>
      <c r="BP29" s="140" t="s">
        <v>376</v>
      </c>
      <c r="BQ29" s="140" t="s">
        <v>376</v>
      </c>
      <c r="BR29" s="175"/>
      <c r="BS29" s="142" t="s">
        <v>377</v>
      </c>
    </row>
    <row r="30" customHeight="1" spans="1:71">
      <c r="A30" s="142" t="s">
        <v>86</v>
      </c>
      <c r="B30" s="127" t="s">
        <v>29</v>
      </c>
      <c r="C30" s="127"/>
      <c r="D30" s="172" t="s">
        <v>392</v>
      </c>
      <c r="E30" s="130">
        <v>13.1</v>
      </c>
      <c r="F30" s="130">
        <v>18.99</v>
      </c>
      <c r="G30" s="179">
        <f t="shared" si="21"/>
        <v>16.1415</v>
      </c>
      <c r="H30" s="133">
        <f t="shared" si="22"/>
        <v>13.45125</v>
      </c>
      <c r="I30" s="179">
        <f t="shared" si="23"/>
        <v>0.275829793510325</v>
      </c>
      <c r="J30" s="134">
        <f t="shared" si="24"/>
        <v>0.0210557094282691</v>
      </c>
      <c r="K30" s="131">
        <f t="shared" si="25"/>
        <v>15.825</v>
      </c>
      <c r="L30" s="174">
        <f t="shared" si="26"/>
        <v>0.172195892575039</v>
      </c>
      <c r="M30" s="133">
        <f t="shared" si="27"/>
        <v>2.725</v>
      </c>
      <c r="N30" s="131">
        <f t="shared" si="28"/>
        <v>50.3628318584071</v>
      </c>
      <c r="O30" s="131">
        <f t="shared" si="29"/>
        <v>0.179</v>
      </c>
      <c r="P30" s="127">
        <v>50</v>
      </c>
      <c r="Q30" s="136">
        <v>9</v>
      </c>
      <c r="R30" s="137">
        <f t="shared" si="30"/>
        <v>0.152671755725191</v>
      </c>
      <c r="S30" s="134">
        <f>Y30/H30</f>
        <v>0.148685066443639</v>
      </c>
      <c r="T30" s="137">
        <f t="shared" si="31"/>
        <v>0.217442748091603</v>
      </c>
      <c r="U30" s="137">
        <v>0.01</v>
      </c>
      <c r="V30" s="137">
        <f t="shared" si="32"/>
        <v>0.427165664617533</v>
      </c>
      <c r="W30" s="137">
        <f t="shared" si="33"/>
        <v>0.0136641221374046</v>
      </c>
      <c r="X30" s="135">
        <v>0.158</v>
      </c>
      <c r="Y30" s="138">
        <v>2</v>
      </c>
      <c r="Z30" s="138">
        <f>F30*0.15</f>
        <v>2.8485</v>
      </c>
      <c r="AA30" s="138">
        <f t="shared" si="34"/>
        <v>0.131</v>
      </c>
      <c r="AB30" s="131">
        <f t="shared" si="35"/>
        <v>2.0698</v>
      </c>
      <c r="AC30" s="131">
        <v>49</v>
      </c>
      <c r="AD30" s="139">
        <f t="shared" si="36"/>
        <v>43.3628318584071</v>
      </c>
      <c r="AE30" s="136">
        <f t="shared" si="37"/>
        <v>0.777777777777778</v>
      </c>
      <c r="AF30" s="137">
        <f t="shared" si="38"/>
        <v>0.367793315168847</v>
      </c>
      <c r="AG30" s="137">
        <f t="shared" si="39"/>
        <v>0.0593723494486853</v>
      </c>
      <c r="AH30" s="136">
        <v>7</v>
      </c>
      <c r="AI30" s="137">
        <f t="shared" si="40"/>
        <v>0.179986990056686</v>
      </c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40" t="s">
        <v>376</v>
      </c>
      <c r="AU30" s="140" t="s">
        <v>376</v>
      </c>
      <c r="AV30" s="140" t="s">
        <v>376</v>
      </c>
      <c r="AW30" s="140" t="s">
        <v>376</v>
      </c>
      <c r="AX30" s="140" t="s">
        <v>376</v>
      </c>
      <c r="AY30" s="140" t="s">
        <v>376</v>
      </c>
      <c r="AZ30" s="140" t="s">
        <v>376</v>
      </c>
      <c r="BA30" s="140" t="s">
        <v>376</v>
      </c>
      <c r="BB30" s="140" t="s">
        <v>376</v>
      </c>
      <c r="BC30" s="140" t="s">
        <v>376</v>
      </c>
      <c r="BD30" s="140" t="s">
        <v>376</v>
      </c>
      <c r="BE30" s="140" t="s">
        <v>376</v>
      </c>
      <c r="BF30" s="140" t="s">
        <v>376</v>
      </c>
      <c r="BG30" s="140" t="s">
        <v>376</v>
      </c>
      <c r="BH30" s="140" t="s">
        <v>376</v>
      </c>
      <c r="BI30" s="140" t="s">
        <v>376</v>
      </c>
      <c r="BJ30" s="140" t="s">
        <v>376</v>
      </c>
      <c r="BK30" s="140" t="s">
        <v>376</v>
      </c>
      <c r="BL30" s="140" t="s">
        <v>376</v>
      </c>
      <c r="BM30" s="140" t="s">
        <v>376</v>
      </c>
      <c r="BN30" s="140" t="s">
        <v>376</v>
      </c>
      <c r="BO30" s="140" t="s">
        <v>376</v>
      </c>
      <c r="BP30" s="140" t="s">
        <v>376</v>
      </c>
      <c r="BQ30" s="140" t="s">
        <v>376</v>
      </c>
      <c r="BR30" s="175"/>
      <c r="BS30" s="142" t="s">
        <v>377</v>
      </c>
    </row>
    <row r="31" customHeight="1" spans="1:71">
      <c r="A31" s="127" t="s">
        <v>280</v>
      </c>
      <c r="B31" s="127" t="s">
        <v>27</v>
      </c>
      <c r="C31" s="127"/>
      <c r="D31" s="172" t="s">
        <v>389</v>
      </c>
      <c r="E31" s="173">
        <v>13.8</v>
      </c>
      <c r="F31" s="173">
        <v>19.99</v>
      </c>
      <c r="G31" s="179">
        <f t="shared" si="21"/>
        <v>19.99</v>
      </c>
      <c r="H31" s="133">
        <f t="shared" si="22"/>
        <v>16.6583333333333</v>
      </c>
      <c r="I31" s="179">
        <f t="shared" si="23"/>
        <v>2.87254601769912</v>
      </c>
      <c r="J31" s="134">
        <f t="shared" si="24"/>
        <v>0.208155508528921</v>
      </c>
      <c r="K31" s="131">
        <f t="shared" si="25"/>
        <v>16.6583333333333</v>
      </c>
      <c r="L31" s="174">
        <f t="shared" si="26"/>
        <v>0.171585792896448</v>
      </c>
      <c r="M31" s="133">
        <f t="shared" si="27"/>
        <v>2.85833333333333</v>
      </c>
      <c r="N31" s="131">
        <f t="shared" si="28"/>
        <v>50.3628318584071</v>
      </c>
      <c r="O31" s="131">
        <f t="shared" si="29"/>
        <v>0.155</v>
      </c>
      <c r="P31" s="127">
        <v>50</v>
      </c>
      <c r="Q31" s="136">
        <v>8</v>
      </c>
      <c r="R31" s="137">
        <f t="shared" si="30"/>
        <v>0.144927536231884</v>
      </c>
      <c r="S31" s="134">
        <f t="shared" ref="S31:S50" si="41">Y31/F31</f>
        <v>0.100050025012506</v>
      </c>
      <c r="T31" s="137">
        <f t="shared" si="31"/>
        <v>0</v>
      </c>
      <c r="U31" s="137">
        <v>0.01</v>
      </c>
      <c r="V31" s="137">
        <f t="shared" si="32"/>
        <v>0.456185071181224</v>
      </c>
      <c r="W31" s="137">
        <f t="shared" si="33"/>
        <v>0.011231884057971</v>
      </c>
      <c r="X31" s="135">
        <v>0.1695</v>
      </c>
      <c r="Y31" s="138">
        <v>2</v>
      </c>
      <c r="Z31" s="138">
        <v>0</v>
      </c>
      <c r="AA31" s="138">
        <f t="shared" si="34"/>
        <v>0.138</v>
      </c>
      <c r="AB31" s="131">
        <f t="shared" si="35"/>
        <v>2.3391</v>
      </c>
      <c r="AC31" s="131">
        <v>49</v>
      </c>
      <c r="AD31" s="139">
        <f t="shared" si="36"/>
        <v>43.3628318584071</v>
      </c>
      <c r="AE31" s="136">
        <f t="shared" si="37"/>
        <v>0.875</v>
      </c>
      <c r="AF31" s="137">
        <f t="shared" si="38"/>
        <v>0.392779274079774</v>
      </c>
      <c r="AG31" s="137">
        <f t="shared" si="39"/>
        <v>0.0634057971014493</v>
      </c>
      <c r="AH31" s="136">
        <v>7</v>
      </c>
      <c r="AI31" s="137">
        <f t="shared" si="40"/>
        <v>0.3120020010005</v>
      </c>
      <c r="AJ31" s="137"/>
      <c r="AK31" s="137"/>
      <c r="AL31" s="137"/>
      <c r="AM31" s="137"/>
      <c r="AN31" s="140"/>
      <c r="AO31" s="140"/>
      <c r="AP31" s="140"/>
      <c r="AQ31" s="140"/>
      <c r="AR31" s="140"/>
      <c r="AS31" s="140"/>
      <c r="AT31" s="140" t="s">
        <v>376</v>
      </c>
      <c r="AU31" s="140" t="s">
        <v>376</v>
      </c>
      <c r="AV31" s="140" t="s">
        <v>376</v>
      </c>
      <c r="AW31" s="140" t="s">
        <v>376</v>
      </c>
      <c r="AX31" s="140" t="s">
        <v>376</v>
      </c>
      <c r="AY31" s="140" t="s">
        <v>376</v>
      </c>
      <c r="AZ31" s="140" t="s">
        <v>376</v>
      </c>
      <c r="BA31" s="140" t="s">
        <v>376</v>
      </c>
      <c r="BB31" s="140" t="s">
        <v>376</v>
      </c>
      <c r="BC31" s="140" t="s">
        <v>376</v>
      </c>
      <c r="BD31" s="140" t="s">
        <v>376</v>
      </c>
      <c r="BE31" s="140" t="s">
        <v>376</v>
      </c>
      <c r="BF31" s="140" t="s">
        <v>376</v>
      </c>
      <c r="BG31" s="140" t="s">
        <v>376</v>
      </c>
      <c r="BH31" s="140" t="s">
        <v>376</v>
      </c>
      <c r="BI31" s="140" t="s">
        <v>376</v>
      </c>
      <c r="BJ31" s="140" t="s">
        <v>376</v>
      </c>
      <c r="BK31" s="140" t="s">
        <v>376</v>
      </c>
      <c r="BL31" s="140" t="s">
        <v>376</v>
      </c>
      <c r="BM31" s="140" t="s">
        <v>376</v>
      </c>
      <c r="BN31" s="140" t="s">
        <v>376</v>
      </c>
      <c r="BO31" s="140" t="s">
        <v>376</v>
      </c>
      <c r="BP31" s="140" t="s">
        <v>376</v>
      </c>
      <c r="BQ31" s="140" t="s">
        <v>376</v>
      </c>
      <c r="BR31" s="175"/>
      <c r="BS31" s="142" t="s">
        <v>377</v>
      </c>
    </row>
    <row r="32" customHeight="1" spans="1:71">
      <c r="A32" s="127" t="s">
        <v>280</v>
      </c>
      <c r="B32" s="127" t="s">
        <v>27</v>
      </c>
      <c r="C32" s="127"/>
      <c r="D32" s="172" t="s">
        <v>390</v>
      </c>
      <c r="E32" s="130">
        <v>13.8</v>
      </c>
      <c r="F32" s="130">
        <v>19.99</v>
      </c>
      <c r="G32" s="133">
        <f t="shared" si="21"/>
        <v>18.9905</v>
      </c>
      <c r="H32" s="133">
        <f t="shared" si="22"/>
        <v>15.8254166666667</v>
      </c>
      <c r="I32" s="133">
        <f t="shared" si="23"/>
        <v>1.87304601769912</v>
      </c>
      <c r="J32" s="134">
        <f t="shared" si="24"/>
        <v>0.135727972297037</v>
      </c>
      <c r="K32" s="131">
        <f t="shared" si="25"/>
        <v>16.6583333333333</v>
      </c>
      <c r="L32" s="174">
        <f t="shared" si="26"/>
        <v>0.171585792896448</v>
      </c>
      <c r="M32" s="133">
        <f t="shared" si="27"/>
        <v>2.85833333333333</v>
      </c>
      <c r="N32" s="131">
        <f t="shared" si="28"/>
        <v>50.3628318584071</v>
      </c>
      <c r="O32" s="131">
        <f t="shared" si="29"/>
        <v>0.155</v>
      </c>
      <c r="P32" s="127">
        <v>50</v>
      </c>
      <c r="Q32" s="136">
        <v>8</v>
      </c>
      <c r="R32" s="137">
        <f t="shared" si="30"/>
        <v>0.144927536231884</v>
      </c>
      <c r="S32" s="134">
        <f t="shared" si="41"/>
        <v>0.100050025012506</v>
      </c>
      <c r="T32" s="137">
        <f t="shared" si="31"/>
        <v>0.0724275362318841</v>
      </c>
      <c r="U32" s="137">
        <v>0.01</v>
      </c>
      <c r="V32" s="137">
        <f t="shared" si="32"/>
        <v>0.456185071181224</v>
      </c>
      <c r="W32" s="137">
        <f t="shared" si="33"/>
        <v>0.011231884057971</v>
      </c>
      <c r="X32" s="135">
        <v>0.1695</v>
      </c>
      <c r="Y32" s="138">
        <v>2</v>
      </c>
      <c r="Z32" s="138">
        <f>F32*0.05</f>
        <v>0.9995</v>
      </c>
      <c r="AA32" s="138">
        <f t="shared" si="34"/>
        <v>0.138</v>
      </c>
      <c r="AB32" s="131">
        <f t="shared" si="35"/>
        <v>2.3391</v>
      </c>
      <c r="AC32" s="131">
        <v>49</v>
      </c>
      <c r="AD32" s="139">
        <f t="shared" si="36"/>
        <v>43.3628318584071</v>
      </c>
      <c r="AE32" s="136">
        <f t="shared" si="37"/>
        <v>0.875</v>
      </c>
      <c r="AF32" s="137">
        <f t="shared" si="38"/>
        <v>0.392779274079774</v>
      </c>
      <c r="AG32" s="137">
        <f t="shared" si="39"/>
        <v>0.0634057971014493</v>
      </c>
      <c r="AH32" s="136">
        <v>7</v>
      </c>
      <c r="AI32" s="137">
        <f t="shared" si="40"/>
        <v>0.275791580000527</v>
      </c>
      <c r="AJ32" s="137"/>
      <c r="AK32" s="137"/>
      <c r="AL32" s="137"/>
      <c r="AM32" s="137"/>
      <c r="AN32" s="140"/>
      <c r="AO32" s="140"/>
      <c r="AP32" s="140"/>
      <c r="AQ32" s="140"/>
      <c r="AR32" s="140"/>
      <c r="AS32" s="140"/>
      <c r="AT32" s="140" t="s">
        <v>376</v>
      </c>
      <c r="AU32" s="140" t="s">
        <v>376</v>
      </c>
      <c r="AV32" s="140" t="s">
        <v>376</v>
      </c>
      <c r="AW32" s="140" t="s">
        <v>376</v>
      </c>
      <c r="AX32" s="140" t="s">
        <v>376</v>
      </c>
      <c r="AY32" s="140" t="s">
        <v>376</v>
      </c>
      <c r="AZ32" s="140" t="s">
        <v>376</v>
      </c>
      <c r="BA32" s="140" t="s">
        <v>376</v>
      </c>
      <c r="BB32" s="140" t="s">
        <v>376</v>
      </c>
      <c r="BC32" s="140" t="s">
        <v>376</v>
      </c>
      <c r="BD32" s="140" t="s">
        <v>376</v>
      </c>
      <c r="BE32" s="140" t="s">
        <v>376</v>
      </c>
      <c r="BF32" s="140" t="s">
        <v>376</v>
      </c>
      <c r="BG32" s="140" t="s">
        <v>376</v>
      </c>
      <c r="BH32" s="140" t="s">
        <v>376</v>
      </c>
      <c r="BI32" s="140" t="s">
        <v>376</v>
      </c>
      <c r="BJ32" s="140" t="s">
        <v>376</v>
      </c>
      <c r="BK32" s="140" t="s">
        <v>376</v>
      </c>
      <c r="BL32" s="140" t="s">
        <v>376</v>
      </c>
      <c r="BM32" s="140" t="s">
        <v>376</v>
      </c>
      <c r="BN32" s="140" t="s">
        <v>376</v>
      </c>
      <c r="BO32" s="140" t="s">
        <v>376</v>
      </c>
      <c r="BP32" s="140" t="s">
        <v>376</v>
      </c>
      <c r="BQ32" s="140" t="s">
        <v>376</v>
      </c>
      <c r="BR32" s="175"/>
      <c r="BS32" s="142" t="s">
        <v>377</v>
      </c>
    </row>
    <row r="33" customHeight="1" spans="1:71">
      <c r="A33" s="127" t="s">
        <v>280</v>
      </c>
      <c r="B33" s="127" t="s">
        <v>27</v>
      </c>
      <c r="C33" s="127"/>
      <c r="D33" s="172" t="s">
        <v>391</v>
      </c>
      <c r="E33" s="130">
        <v>13.8</v>
      </c>
      <c r="F33" s="130">
        <v>19.99</v>
      </c>
      <c r="G33" s="133">
        <f t="shared" si="21"/>
        <v>17.991</v>
      </c>
      <c r="H33" s="133">
        <f t="shared" si="22"/>
        <v>14.9925</v>
      </c>
      <c r="I33" s="133">
        <f t="shared" si="23"/>
        <v>0.873546017699115</v>
      </c>
      <c r="J33" s="134">
        <f t="shared" si="24"/>
        <v>0.0633004360651533</v>
      </c>
      <c r="K33" s="131">
        <f t="shared" si="25"/>
        <v>16.6583333333333</v>
      </c>
      <c r="L33" s="174">
        <f t="shared" si="26"/>
        <v>0.171585792896448</v>
      </c>
      <c r="M33" s="133">
        <f t="shared" si="27"/>
        <v>2.85833333333333</v>
      </c>
      <c r="N33" s="131">
        <f t="shared" si="28"/>
        <v>50.3628318584071</v>
      </c>
      <c r="O33" s="131">
        <f t="shared" si="29"/>
        <v>0.155</v>
      </c>
      <c r="P33" s="127">
        <v>50</v>
      </c>
      <c r="Q33" s="136">
        <v>8</v>
      </c>
      <c r="R33" s="137">
        <f t="shared" si="30"/>
        <v>0.144927536231884</v>
      </c>
      <c r="S33" s="134">
        <f t="shared" si="41"/>
        <v>0.100050025012506</v>
      </c>
      <c r="T33" s="137">
        <f t="shared" si="31"/>
        <v>0.144855072463768</v>
      </c>
      <c r="U33" s="137">
        <v>0.01</v>
      </c>
      <c r="V33" s="137">
        <f t="shared" si="32"/>
        <v>0.456185071181224</v>
      </c>
      <c r="W33" s="137">
        <f t="shared" si="33"/>
        <v>0.011231884057971</v>
      </c>
      <c r="X33" s="135">
        <v>0.1695</v>
      </c>
      <c r="Y33" s="138">
        <v>2</v>
      </c>
      <c r="Z33" s="138">
        <f>F33*0.1</f>
        <v>1.999</v>
      </c>
      <c r="AA33" s="138">
        <f t="shared" si="34"/>
        <v>0.138</v>
      </c>
      <c r="AB33" s="131">
        <f t="shared" si="35"/>
        <v>2.3391</v>
      </c>
      <c r="AC33" s="131">
        <v>49</v>
      </c>
      <c r="AD33" s="139">
        <f t="shared" si="36"/>
        <v>43.3628318584071</v>
      </c>
      <c r="AE33" s="136">
        <f t="shared" si="37"/>
        <v>0.875</v>
      </c>
      <c r="AF33" s="137">
        <f t="shared" si="38"/>
        <v>0.392779274079774</v>
      </c>
      <c r="AG33" s="137">
        <f t="shared" si="39"/>
        <v>0.0634057971014493</v>
      </c>
      <c r="AH33" s="136">
        <v>7</v>
      </c>
      <c r="AI33" s="137">
        <f t="shared" si="40"/>
        <v>0.235557778889445</v>
      </c>
      <c r="AJ33" s="137"/>
      <c r="AK33" s="137"/>
      <c r="AL33" s="137"/>
      <c r="AM33" s="137"/>
      <c r="AN33" s="140"/>
      <c r="AO33" s="140"/>
      <c r="AP33" s="140"/>
      <c r="AQ33" s="140"/>
      <c r="AR33" s="140"/>
      <c r="AS33" s="140"/>
      <c r="AT33" s="140" t="s">
        <v>376</v>
      </c>
      <c r="AU33" s="140" t="s">
        <v>376</v>
      </c>
      <c r="AV33" s="140" t="s">
        <v>376</v>
      </c>
      <c r="AW33" s="140" t="s">
        <v>376</v>
      </c>
      <c r="AX33" s="140" t="s">
        <v>376</v>
      </c>
      <c r="AY33" s="140" t="s">
        <v>376</v>
      </c>
      <c r="AZ33" s="140" t="s">
        <v>376</v>
      </c>
      <c r="BA33" s="140" t="s">
        <v>376</v>
      </c>
      <c r="BB33" s="140" t="s">
        <v>376</v>
      </c>
      <c r="BC33" s="140" t="s">
        <v>376</v>
      </c>
      <c r="BD33" s="140" t="s">
        <v>376</v>
      </c>
      <c r="BE33" s="140" t="s">
        <v>376</v>
      </c>
      <c r="BF33" s="140" t="s">
        <v>376</v>
      </c>
      <c r="BG33" s="140" t="s">
        <v>376</v>
      </c>
      <c r="BH33" s="140" t="s">
        <v>376</v>
      </c>
      <c r="BI33" s="140" t="s">
        <v>376</v>
      </c>
      <c r="BJ33" s="140" t="s">
        <v>376</v>
      </c>
      <c r="BK33" s="140" t="s">
        <v>376</v>
      </c>
      <c r="BL33" s="140" t="s">
        <v>376</v>
      </c>
      <c r="BM33" s="140" t="s">
        <v>376</v>
      </c>
      <c r="BN33" s="140" t="s">
        <v>376</v>
      </c>
      <c r="BO33" s="140" t="s">
        <v>376</v>
      </c>
      <c r="BP33" s="140" t="s">
        <v>376</v>
      </c>
      <c r="BQ33" s="140" t="s">
        <v>376</v>
      </c>
      <c r="BR33" s="175"/>
      <c r="BS33" s="142" t="s">
        <v>377</v>
      </c>
    </row>
    <row r="34" customHeight="1" spans="1:71">
      <c r="A34" s="127" t="s">
        <v>280</v>
      </c>
      <c r="B34" s="127" t="s">
        <v>27</v>
      </c>
      <c r="C34" s="127"/>
      <c r="D34" s="172" t="s">
        <v>392</v>
      </c>
      <c r="E34" s="130">
        <v>13.8</v>
      </c>
      <c r="F34" s="130">
        <v>19.99</v>
      </c>
      <c r="G34" s="179">
        <f t="shared" si="21"/>
        <v>16.9915</v>
      </c>
      <c r="H34" s="133">
        <f t="shared" si="22"/>
        <v>14.1595833333333</v>
      </c>
      <c r="I34" s="179">
        <f t="shared" si="23"/>
        <v>-0.125953982300884</v>
      </c>
      <c r="J34" s="134">
        <f t="shared" si="24"/>
        <v>-0.00912710016673074</v>
      </c>
      <c r="K34" s="131">
        <f t="shared" si="25"/>
        <v>16.6583333333333</v>
      </c>
      <c r="L34" s="174">
        <f t="shared" si="26"/>
        <v>0.171585792896448</v>
      </c>
      <c r="M34" s="133">
        <f t="shared" si="27"/>
        <v>2.85833333333333</v>
      </c>
      <c r="N34" s="131">
        <f t="shared" si="28"/>
        <v>50.3628318584071</v>
      </c>
      <c r="O34" s="131">
        <f t="shared" si="29"/>
        <v>0.155</v>
      </c>
      <c r="P34" s="127">
        <v>50</v>
      </c>
      <c r="Q34" s="136">
        <v>8</v>
      </c>
      <c r="R34" s="137">
        <f t="shared" si="30"/>
        <v>0.144927536231884</v>
      </c>
      <c r="S34" s="134">
        <f t="shared" si="41"/>
        <v>0.100050025012506</v>
      </c>
      <c r="T34" s="137">
        <f t="shared" si="31"/>
        <v>0.217282608695652</v>
      </c>
      <c r="U34" s="137">
        <v>0.01</v>
      </c>
      <c r="V34" s="137">
        <f t="shared" si="32"/>
        <v>0.456185071181224</v>
      </c>
      <c r="W34" s="137">
        <f t="shared" si="33"/>
        <v>0.011231884057971</v>
      </c>
      <c r="X34" s="135">
        <v>0.1695</v>
      </c>
      <c r="Y34" s="138">
        <v>2</v>
      </c>
      <c r="Z34" s="138">
        <f>F34*0.15</f>
        <v>2.9985</v>
      </c>
      <c r="AA34" s="138">
        <f t="shared" si="34"/>
        <v>0.138</v>
      </c>
      <c r="AB34" s="131">
        <f t="shared" si="35"/>
        <v>2.3391</v>
      </c>
      <c r="AC34" s="131">
        <v>49</v>
      </c>
      <c r="AD34" s="139">
        <f t="shared" si="36"/>
        <v>43.3628318584071</v>
      </c>
      <c r="AE34" s="136">
        <f t="shared" si="37"/>
        <v>0.875</v>
      </c>
      <c r="AF34" s="137">
        <f t="shared" si="38"/>
        <v>0.392779274079774</v>
      </c>
      <c r="AG34" s="137">
        <f t="shared" si="39"/>
        <v>0.0634057971014493</v>
      </c>
      <c r="AH34" s="136">
        <v>7</v>
      </c>
      <c r="AI34" s="137">
        <f t="shared" si="40"/>
        <v>0.190590589412353</v>
      </c>
      <c r="AJ34" s="137"/>
      <c r="AK34" s="137"/>
      <c r="AL34" s="137"/>
      <c r="AM34" s="137"/>
      <c r="AN34" s="140"/>
      <c r="AO34" s="140"/>
      <c r="AP34" s="140"/>
      <c r="AQ34" s="140"/>
      <c r="AR34" s="140"/>
      <c r="AS34" s="140"/>
      <c r="AT34" s="140" t="s">
        <v>376</v>
      </c>
      <c r="AU34" s="140" t="s">
        <v>376</v>
      </c>
      <c r="AV34" s="140" t="s">
        <v>376</v>
      </c>
      <c r="AW34" s="140" t="s">
        <v>376</v>
      </c>
      <c r="AX34" s="140" t="s">
        <v>376</v>
      </c>
      <c r="AY34" s="140" t="s">
        <v>376</v>
      </c>
      <c r="AZ34" s="140" t="s">
        <v>376</v>
      </c>
      <c r="BA34" s="140" t="s">
        <v>376</v>
      </c>
      <c r="BB34" s="140" t="s">
        <v>376</v>
      </c>
      <c r="BC34" s="140" t="s">
        <v>376</v>
      </c>
      <c r="BD34" s="140" t="s">
        <v>376</v>
      </c>
      <c r="BE34" s="140" t="s">
        <v>376</v>
      </c>
      <c r="BF34" s="140" t="s">
        <v>376</v>
      </c>
      <c r="BG34" s="140" t="s">
        <v>376</v>
      </c>
      <c r="BH34" s="140" t="s">
        <v>376</v>
      </c>
      <c r="BI34" s="140" t="s">
        <v>376</v>
      </c>
      <c r="BJ34" s="140" t="s">
        <v>376</v>
      </c>
      <c r="BK34" s="140" t="s">
        <v>376</v>
      </c>
      <c r="BL34" s="140" t="s">
        <v>376</v>
      </c>
      <c r="BM34" s="140" t="s">
        <v>376</v>
      </c>
      <c r="BN34" s="140" t="s">
        <v>376</v>
      </c>
      <c r="BO34" s="140" t="s">
        <v>376</v>
      </c>
      <c r="BP34" s="140" t="s">
        <v>376</v>
      </c>
      <c r="BQ34" s="140" t="s">
        <v>376</v>
      </c>
      <c r="BR34" s="175"/>
      <c r="BS34" s="142" t="s">
        <v>377</v>
      </c>
    </row>
    <row r="35" customHeight="1" spans="1:71">
      <c r="A35" s="127" t="s">
        <v>285</v>
      </c>
      <c r="B35" s="127" t="s">
        <v>27</v>
      </c>
      <c r="C35" s="127"/>
      <c r="D35" s="172" t="s">
        <v>389</v>
      </c>
      <c r="E35" s="130">
        <v>13.8</v>
      </c>
      <c r="F35" s="130">
        <v>19.99</v>
      </c>
      <c r="G35" s="179">
        <f t="shared" si="21"/>
        <v>19.99</v>
      </c>
      <c r="H35" s="133">
        <f t="shared" si="22"/>
        <v>16.6583333333333</v>
      </c>
      <c r="I35" s="179">
        <f t="shared" si="23"/>
        <v>2.34924601769911</v>
      </c>
      <c r="J35" s="134">
        <f t="shared" si="24"/>
        <v>0.170235218673849</v>
      </c>
      <c r="K35" s="131">
        <f t="shared" si="25"/>
        <v>16.6583333333333</v>
      </c>
      <c r="L35" s="174">
        <f t="shared" si="26"/>
        <v>0.171585792896448</v>
      </c>
      <c r="M35" s="133">
        <f t="shared" si="27"/>
        <v>2.85833333333333</v>
      </c>
      <c r="N35" s="131">
        <f t="shared" si="28"/>
        <v>50.3628318584071</v>
      </c>
      <c r="O35" s="131">
        <f t="shared" si="29"/>
        <v>0.285</v>
      </c>
      <c r="P35" s="127">
        <v>50</v>
      </c>
      <c r="Q35" s="136">
        <v>8</v>
      </c>
      <c r="R35" s="137">
        <f t="shared" si="30"/>
        <v>0.144927536231884</v>
      </c>
      <c r="S35" s="134">
        <f t="shared" si="41"/>
        <v>0.100050025012506</v>
      </c>
      <c r="T35" s="137">
        <f t="shared" si="31"/>
        <v>0</v>
      </c>
      <c r="U35" s="137">
        <v>0.01</v>
      </c>
      <c r="V35" s="137">
        <f t="shared" si="32"/>
        <v>0.456185071181224</v>
      </c>
      <c r="W35" s="137">
        <f t="shared" si="33"/>
        <v>0.0206521739130435</v>
      </c>
      <c r="X35" s="135">
        <v>0.198</v>
      </c>
      <c r="Y35" s="138">
        <v>2</v>
      </c>
      <c r="Z35" s="138">
        <v>0</v>
      </c>
      <c r="AA35" s="138">
        <f t="shared" si="34"/>
        <v>0.138</v>
      </c>
      <c r="AB35" s="131">
        <f t="shared" si="35"/>
        <v>2.7324</v>
      </c>
      <c r="AC35" s="131">
        <v>49</v>
      </c>
      <c r="AD35" s="139">
        <f t="shared" si="36"/>
        <v>43.3628318584071</v>
      </c>
      <c r="AE35" s="136">
        <f t="shared" si="37"/>
        <v>0.875</v>
      </c>
      <c r="AF35" s="137">
        <f t="shared" si="38"/>
        <v>0.392779274079774</v>
      </c>
      <c r="AG35" s="137">
        <f t="shared" si="39"/>
        <v>0.0634057971014493</v>
      </c>
      <c r="AH35" s="136">
        <v>7</v>
      </c>
      <c r="AI35" s="137">
        <f t="shared" si="40"/>
        <v>0.335611805902951</v>
      </c>
      <c r="AJ35" s="137"/>
      <c r="AK35" s="137"/>
      <c r="AL35" s="137"/>
      <c r="AM35" s="137"/>
      <c r="AN35" s="140"/>
      <c r="AO35" s="140"/>
      <c r="AP35" s="140"/>
      <c r="AQ35" s="140"/>
      <c r="AR35" s="140"/>
      <c r="AS35" s="140"/>
      <c r="AT35" s="140" t="s">
        <v>376</v>
      </c>
      <c r="AU35" s="140" t="s">
        <v>376</v>
      </c>
      <c r="AV35" s="140" t="s">
        <v>376</v>
      </c>
      <c r="AW35" s="140" t="s">
        <v>376</v>
      </c>
      <c r="AX35" s="140" t="s">
        <v>376</v>
      </c>
      <c r="AY35" s="140" t="s">
        <v>376</v>
      </c>
      <c r="AZ35" s="140" t="s">
        <v>376</v>
      </c>
      <c r="BA35" s="140" t="s">
        <v>376</v>
      </c>
      <c r="BB35" s="140" t="s">
        <v>376</v>
      </c>
      <c r="BC35" s="140" t="s">
        <v>376</v>
      </c>
      <c r="BD35" s="140" t="s">
        <v>376</v>
      </c>
      <c r="BE35" s="140" t="s">
        <v>376</v>
      </c>
      <c r="BF35" s="140" t="s">
        <v>376</v>
      </c>
      <c r="BG35" s="140" t="s">
        <v>376</v>
      </c>
      <c r="BH35" s="140" t="s">
        <v>376</v>
      </c>
      <c r="BI35" s="140" t="s">
        <v>376</v>
      </c>
      <c r="BJ35" s="140" t="s">
        <v>376</v>
      </c>
      <c r="BK35" s="140" t="s">
        <v>376</v>
      </c>
      <c r="BL35" s="140" t="s">
        <v>376</v>
      </c>
      <c r="BM35" s="140" t="s">
        <v>376</v>
      </c>
      <c r="BN35" s="140" t="s">
        <v>376</v>
      </c>
      <c r="BO35" s="140" t="s">
        <v>376</v>
      </c>
      <c r="BP35" s="140" t="s">
        <v>376</v>
      </c>
      <c r="BQ35" s="140" t="s">
        <v>376</v>
      </c>
      <c r="BR35" s="175"/>
      <c r="BS35" s="142" t="s">
        <v>377</v>
      </c>
    </row>
    <row r="36" customHeight="1" spans="1:71">
      <c r="A36" s="127" t="s">
        <v>285</v>
      </c>
      <c r="B36" s="127" t="s">
        <v>27</v>
      </c>
      <c r="C36" s="127"/>
      <c r="D36" s="172" t="s">
        <v>390</v>
      </c>
      <c r="E36" s="130">
        <v>13.8</v>
      </c>
      <c r="F36" s="130">
        <v>19.99</v>
      </c>
      <c r="G36" s="133">
        <f t="shared" si="21"/>
        <v>18.9905</v>
      </c>
      <c r="H36" s="133">
        <f t="shared" si="22"/>
        <v>15.8254166666667</v>
      </c>
      <c r="I36" s="133">
        <f t="shared" si="23"/>
        <v>1.34974601769912</v>
      </c>
      <c r="J36" s="134">
        <f t="shared" si="24"/>
        <v>0.0978076824419649</v>
      </c>
      <c r="K36" s="131">
        <f t="shared" si="25"/>
        <v>16.6583333333333</v>
      </c>
      <c r="L36" s="174">
        <f t="shared" si="26"/>
        <v>0.171585792896448</v>
      </c>
      <c r="M36" s="133">
        <f t="shared" si="27"/>
        <v>2.85833333333333</v>
      </c>
      <c r="N36" s="131">
        <f t="shared" si="28"/>
        <v>50.3628318584071</v>
      </c>
      <c r="O36" s="131">
        <f t="shared" si="29"/>
        <v>0.285</v>
      </c>
      <c r="P36" s="127">
        <v>50</v>
      </c>
      <c r="Q36" s="136">
        <v>8</v>
      </c>
      <c r="R36" s="137">
        <f t="shared" si="30"/>
        <v>0.144927536231884</v>
      </c>
      <c r="S36" s="134">
        <f t="shared" si="41"/>
        <v>0.100050025012506</v>
      </c>
      <c r="T36" s="137">
        <f t="shared" si="31"/>
        <v>0.0724275362318841</v>
      </c>
      <c r="U36" s="137">
        <v>0.01</v>
      </c>
      <c r="V36" s="137">
        <f t="shared" si="32"/>
        <v>0.456185071181224</v>
      </c>
      <c r="W36" s="137">
        <f t="shared" si="33"/>
        <v>0.0206521739130435</v>
      </c>
      <c r="X36" s="135">
        <v>0.198</v>
      </c>
      <c r="Y36" s="138">
        <v>2</v>
      </c>
      <c r="Z36" s="138">
        <f>F36*0.05</f>
        <v>0.9995</v>
      </c>
      <c r="AA36" s="138">
        <f t="shared" si="34"/>
        <v>0.138</v>
      </c>
      <c r="AB36" s="131">
        <f t="shared" si="35"/>
        <v>2.7324</v>
      </c>
      <c r="AC36" s="131">
        <v>49</v>
      </c>
      <c r="AD36" s="139">
        <f t="shared" si="36"/>
        <v>43.3628318584071</v>
      </c>
      <c r="AE36" s="136">
        <f t="shared" si="37"/>
        <v>0.875</v>
      </c>
      <c r="AF36" s="137">
        <f t="shared" si="38"/>
        <v>0.392779274079774</v>
      </c>
      <c r="AG36" s="137">
        <f t="shared" si="39"/>
        <v>0.0634057971014493</v>
      </c>
      <c r="AH36" s="136">
        <v>7</v>
      </c>
      <c r="AI36" s="137">
        <f t="shared" si="40"/>
        <v>0.300644006213633</v>
      </c>
      <c r="AJ36" s="137"/>
      <c r="AK36" s="137"/>
      <c r="AL36" s="137"/>
      <c r="AM36" s="137"/>
      <c r="AN36" s="140"/>
      <c r="AO36" s="140"/>
      <c r="AP36" s="140"/>
      <c r="AQ36" s="140"/>
      <c r="AR36" s="140"/>
      <c r="AS36" s="140"/>
      <c r="AT36" s="140" t="s">
        <v>376</v>
      </c>
      <c r="AU36" s="140" t="s">
        <v>376</v>
      </c>
      <c r="AV36" s="140" t="s">
        <v>376</v>
      </c>
      <c r="AW36" s="140" t="s">
        <v>376</v>
      </c>
      <c r="AX36" s="140" t="s">
        <v>376</v>
      </c>
      <c r="AY36" s="140" t="s">
        <v>376</v>
      </c>
      <c r="AZ36" s="140" t="s">
        <v>376</v>
      </c>
      <c r="BA36" s="140" t="s">
        <v>376</v>
      </c>
      <c r="BB36" s="140" t="s">
        <v>376</v>
      </c>
      <c r="BC36" s="140" t="s">
        <v>376</v>
      </c>
      <c r="BD36" s="140" t="s">
        <v>376</v>
      </c>
      <c r="BE36" s="140" t="s">
        <v>376</v>
      </c>
      <c r="BF36" s="140" t="s">
        <v>376</v>
      </c>
      <c r="BG36" s="140" t="s">
        <v>376</v>
      </c>
      <c r="BH36" s="140" t="s">
        <v>376</v>
      </c>
      <c r="BI36" s="140" t="s">
        <v>376</v>
      </c>
      <c r="BJ36" s="140" t="s">
        <v>376</v>
      </c>
      <c r="BK36" s="140" t="s">
        <v>376</v>
      </c>
      <c r="BL36" s="140" t="s">
        <v>376</v>
      </c>
      <c r="BM36" s="140" t="s">
        <v>376</v>
      </c>
      <c r="BN36" s="140" t="s">
        <v>376</v>
      </c>
      <c r="BO36" s="140" t="s">
        <v>376</v>
      </c>
      <c r="BP36" s="140" t="s">
        <v>376</v>
      </c>
      <c r="BQ36" s="140" t="s">
        <v>376</v>
      </c>
      <c r="BR36" s="175"/>
      <c r="BS36" s="142" t="s">
        <v>377</v>
      </c>
    </row>
    <row r="37" customHeight="1" spans="1:71">
      <c r="A37" s="127" t="s">
        <v>285</v>
      </c>
      <c r="B37" s="127" t="s">
        <v>27</v>
      </c>
      <c r="C37" s="127"/>
      <c r="D37" s="172" t="s">
        <v>391</v>
      </c>
      <c r="E37" s="130">
        <v>13.8</v>
      </c>
      <c r="F37" s="130">
        <v>19.99</v>
      </c>
      <c r="G37" s="133">
        <f t="shared" si="21"/>
        <v>17.991</v>
      </c>
      <c r="H37" s="133">
        <f t="shared" si="22"/>
        <v>14.9925</v>
      </c>
      <c r="I37" s="133">
        <f t="shared" si="23"/>
        <v>0.350246017699115</v>
      </c>
      <c r="J37" s="134">
        <f t="shared" si="24"/>
        <v>0.0253801462100808</v>
      </c>
      <c r="K37" s="131">
        <f t="shared" si="25"/>
        <v>16.6583333333333</v>
      </c>
      <c r="L37" s="174">
        <f t="shared" si="26"/>
        <v>0.171585792896448</v>
      </c>
      <c r="M37" s="133">
        <f t="shared" si="27"/>
        <v>2.85833333333333</v>
      </c>
      <c r="N37" s="131">
        <f t="shared" si="28"/>
        <v>50.3628318584071</v>
      </c>
      <c r="O37" s="131">
        <f t="shared" si="29"/>
        <v>0.285</v>
      </c>
      <c r="P37" s="127">
        <v>50</v>
      </c>
      <c r="Q37" s="136">
        <v>8</v>
      </c>
      <c r="R37" s="137">
        <f t="shared" si="30"/>
        <v>0.144927536231884</v>
      </c>
      <c r="S37" s="134">
        <f t="shared" si="41"/>
        <v>0.100050025012506</v>
      </c>
      <c r="T37" s="137">
        <f t="shared" si="31"/>
        <v>0.144855072463768</v>
      </c>
      <c r="U37" s="137">
        <v>0.01</v>
      </c>
      <c r="V37" s="137">
        <f t="shared" si="32"/>
        <v>0.456185071181224</v>
      </c>
      <c r="W37" s="137">
        <f t="shared" si="33"/>
        <v>0.0206521739130435</v>
      </c>
      <c r="X37" s="135">
        <v>0.198</v>
      </c>
      <c r="Y37" s="138">
        <v>2</v>
      </c>
      <c r="Z37" s="138">
        <f>F37*0.1</f>
        <v>1.999</v>
      </c>
      <c r="AA37" s="138">
        <f t="shared" si="34"/>
        <v>0.138</v>
      </c>
      <c r="AB37" s="131">
        <f t="shared" si="35"/>
        <v>2.7324</v>
      </c>
      <c r="AC37" s="131">
        <v>49</v>
      </c>
      <c r="AD37" s="139">
        <f t="shared" si="36"/>
        <v>43.3628318584071</v>
      </c>
      <c r="AE37" s="136">
        <f t="shared" si="37"/>
        <v>0.875</v>
      </c>
      <c r="AF37" s="137">
        <f t="shared" si="38"/>
        <v>0.392779274079774</v>
      </c>
      <c r="AG37" s="137">
        <f t="shared" si="39"/>
        <v>0.0634057971014493</v>
      </c>
      <c r="AH37" s="136">
        <v>7</v>
      </c>
      <c r="AI37" s="137">
        <f t="shared" si="40"/>
        <v>0.261790895447724</v>
      </c>
      <c r="AJ37" s="137"/>
      <c r="AK37" s="137"/>
      <c r="AL37" s="137"/>
      <c r="AM37" s="137"/>
      <c r="AN37" s="140"/>
      <c r="AO37" s="140"/>
      <c r="AP37" s="140"/>
      <c r="AQ37" s="140"/>
      <c r="AR37" s="140"/>
      <c r="AS37" s="140"/>
      <c r="AT37" s="140" t="s">
        <v>376</v>
      </c>
      <c r="AU37" s="140" t="s">
        <v>376</v>
      </c>
      <c r="AV37" s="140" t="s">
        <v>376</v>
      </c>
      <c r="AW37" s="140" t="s">
        <v>376</v>
      </c>
      <c r="AX37" s="140" t="s">
        <v>376</v>
      </c>
      <c r="AY37" s="140" t="s">
        <v>376</v>
      </c>
      <c r="AZ37" s="140" t="s">
        <v>376</v>
      </c>
      <c r="BA37" s="140" t="s">
        <v>376</v>
      </c>
      <c r="BB37" s="140" t="s">
        <v>376</v>
      </c>
      <c r="BC37" s="140" t="s">
        <v>376</v>
      </c>
      <c r="BD37" s="140" t="s">
        <v>376</v>
      </c>
      <c r="BE37" s="140" t="s">
        <v>376</v>
      </c>
      <c r="BF37" s="140" t="s">
        <v>376</v>
      </c>
      <c r="BG37" s="140" t="s">
        <v>376</v>
      </c>
      <c r="BH37" s="140" t="s">
        <v>376</v>
      </c>
      <c r="BI37" s="140" t="s">
        <v>376</v>
      </c>
      <c r="BJ37" s="140" t="s">
        <v>376</v>
      </c>
      <c r="BK37" s="140" t="s">
        <v>376</v>
      </c>
      <c r="BL37" s="140" t="s">
        <v>376</v>
      </c>
      <c r="BM37" s="140" t="s">
        <v>376</v>
      </c>
      <c r="BN37" s="140" t="s">
        <v>376</v>
      </c>
      <c r="BO37" s="140" t="s">
        <v>376</v>
      </c>
      <c r="BP37" s="140" t="s">
        <v>376</v>
      </c>
      <c r="BQ37" s="140" t="s">
        <v>376</v>
      </c>
      <c r="BR37" s="175"/>
      <c r="BS37" s="142" t="s">
        <v>377</v>
      </c>
    </row>
    <row r="38" customHeight="1" spans="1:71">
      <c r="A38" s="127" t="s">
        <v>285</v>
      </c>
      <c r="B38" s="127" t="s">
        <v>27</v>
      </c>
      <c r="C38" s="127"/>
      <c r="D38" s="172" t="s">
        <v>392</v>
      </c>
      <c r="E38" s="130">
        <v>13.8</v>
      </c>
      <c r="F38" s="130">
        <v>19.99</v>
      </c>
      <c r="G38" s="179">
        <f t="shared" si="21"/>
        <v>16.9915</v>
      </c>
      <c r="H38" s="133">
        <f t="shared" si="22"/>
        <v>14.1595833333333</v>
      </c>
      <c r="I38" s="179">
        <f t="shared" si="23"/>
        <v>-0.649253982300885</v>
      </c>
      <c r="J38" s="134">
        <f t="shared" si="24"/>
        <v>-0.0470473900218032</v>
      </c>
      <c r="K38" s="131">
        <f t="shared" si="25"/>
        <v>16.6583333333333</v>
      </c>
      <c r="L38" s="174">
        <f t="shared" si="26"/>
        <v>0.171585792896448</v>
      </c>
      <c r="M38" s="133">
        <f t="shared" si="27"/>
        <v>2.85833333333333</v>
      </c>
      <c r="N38" s="131">
        <f t="shared" si="28"/>
        <v>50.3628318584071</v>
      </c>
      <c r="O38" s="131">
        <f t="shared" si="29"/>
        <v>0.285</v>
      </c>
      <c r="P38" s="127">
        <v>50</v>
      </c>
      <c r="Q38" s="136">
        <v>8</v>
      </c>
      <c r="R38" s="137">
        <f t="shared" si="30"/>
        <v>0.144927536231884</v>
      </c>
      <c r="S38" s="134">
        <f t="shared" si="41"/>
        <v>0.100050025012506</v>
      </c>
      <c r="T38" s="137">
        <f t="shared" si="31"/>
        <v>0.217282608695652</v>
      </c>
      <c r="U38" s="137">
        <v>0.01</v>
      </c>
      <c r="V38" s="137">
        <f t="shared" si="32"/>
        <v>0.456185071181224</v>
      </c>
      <c r="W38" s="137">
        <f t="shared" si="33"/>
        <v>0.0206521739130435</v>
      </c>
      <c r="X38" s="135">
        <v>0.198</v>
      </c>
      <c r="Y38" s="138">
        <v>2</v>
      </c>
      <c r="Z38" s="138">
        <f>F38*0.15</f>
        <v>2.9985</v>
      </c>
      <c r="AA38" s="138">
        <f t="shared" si="34"/>
        <v>0.138</v>
      </c>
      <c r="AB38" s="131">
        <f t="shared" si="35"/>
        <v>2.7324</v>
      </c>
      <c r="AC38" s="131">
        <v>49</v>
      </c>
      <c r="AD38" s="139">
        <f t="shared" si="36"/>
        <v>43.3628318584071</v>
      </c>
      <c r="AE38" s="136">
        <f t="shared" si="37"/>
        <v>0.875</v>
      </c>
      <c r="AF38" s="137">
        <f t="shared" si="38"/>
        <v>0.392779274079774</v>
      </c>
      <c r="AG38" s="137">
        <f t="shared" si="39"/>
        <v>0.0634057971014493</v>
      </c>
      <c r="AH38" s="136">
        <v>7</v>
      </c>
      <c r="AI38" s="137">
        <f t="shared" ref="AI38:AI50" si="42">(K38-E38+AB38)/(K38-Z38)</f>
        <v>0.40928269012555</v>
      </c>
      <c r="AJ38" s="137"/>
      <c r="AK38" s="137"/>
      <c r="AL38" s="137"/>
      <c r="AM38" s="137"/>
      <c r="AN38" s="140"/>
      <c r="AO38" s="140"/>
      <c r="AP38" s="140"/>
      <c r="AQ38" s="140"/>
      <c r="AR38" s="140"/>
      <c r="AS38" s="140"/>
      <c r="AT38" s="140" t="s">
        <v>376</v>
      </c>
      <c r="AU38" s="140" t="s">
        <v>376</v>
      </c>
      <c r="AV38" s="140" t="s">
        <v>376</v>
      </c>
      <c r="AW38" s="140" t="s">
        <v>376</v>
      </c>
      <c r="AX38" s="140" t="s">
        <v>376</v>
      </c>
      <c r="AY38" s="140" t="s">
        <v>376</v>
      </c>
      <c r="AZ38" s="140" t="s">
        <v>376</v>
      </c>
      <c r="BA38" s="140" t="s">
        <v>376</v>
      </c>
      <c r="BB38" s="140" t="s">
        <v>376</v>
      </c>
      <c r="BC38" s="140" t="s">
        <v>376</v>
      </c>
      <c r="BD38" s="140" t="s">
        <v>376</v>
      </c>
      <c r="BE38" s="140" t="s">
        <v>376</v>
      </c>
      <c r="BF38" s="140" t="s">
        <v>376</v>
      </c>
      <c r="BG38" s="140" t="s">
        <v>376</v>
      </c>
      <c r="BH38" s="140" t="s">
        <v>376</v>
      </c>
      <c r="BI38" s="140" t="s">
        <v>376</v>
      </c>
      <c r="BJ38" s="140" t="s">
        <v>376</v>
      </c>
      <c r="BK38" s="140" t="s">
        <v>376</v>
      </c>
      <c r="BL38" s="140" t="s">
        <v>376</v>
      </c>
      <c r="BM38" s="140" t="s">
        <v>376</v>
      </c>
      <c r="BN38" s="140" t="s">
        <v>376</v>
      </c>
      <c r="BO38" s="140" t="s">
        <v>376</v>
      </c>
      <c r="BP38" s="140" t="s">
        <v>376</v>
      </c>
      <c r="BQ38" s="140" t="s">
        <v>376</v>
      </c>
      <c r="BR38" s="175"/>
      <c r="BS38" s="142" t="s">
        <v>377</v>
      </c>
    </row>
    <row r="39" customHeight="1" spans="1:71">
      <c r="A39" s="127" t="s">
        <v>287</v>
      </c>
      <c r="B39" s="127" t="s">
        <v>27</v>
      </c>
      <c r="C39" s="127"/>
      <c r="D39" s="172" t="s">
        <v>389</v>
      </c>
      <c r="E39" s="130">
        <v>13.8</v>
      </c>
      <c r="F39" s="130">
        <v>19.99</v>
      </c>
      <c r="G39" s="179">
        <f t="shared" si="21"/>
        <v>19.99</v>
      </c>
      <c r="H39" s="133">
        <f t="shared" si="22"/>
        <v>16.6583333333333</v>
      </c>
      <c r="I39" s="179">
        <f t="shared" si="23"/>
        <v>2.51416601769912</v>
      </c>
      <c r="J39" s="134">
        <f t="shared" si="24"/>
        <v>0.18218594331153</v>
      </c>
      <c r="K39" s="131">
        <f t="shared" si="25"/>
        <v>16.6583333333333</v>
      </c>
      <c r="L39" s="174">
        <f t="shared" si="26"/>
        <v>0.171585792896448</v>
      </c>
      <c r="M39" s="133">
        <f t="shared" si="27"/>
        <v>2.85833333333333</v>
      </c>
      <c r="N39" s="131">
        <f t="shared" si="28"/>
        <v>50.3628318584071</v>
      </c>
      <c r="O39" s="131">
        <f t="shared" si="29"/>
        <v>0.305</v>
      </c>
      <c r="P39" s="127">
        <v>50</v>
      </c>
      <c r="Q39" s="136">
        <v>8</v>
      </c>
      <c r="R39" s="137">
        <f t="shared" si="30"/>
        <v>0.144927536231884</v>
      </c>
      <c r="S39" s="134">
        <f t="shared" si="41"/>
        <v>0.100050025012506</v>
      </c>
      <c r="T39" s="137">
        <f t="shared" si="31"/>
        <v>0</v>
      </c>
      <c r="U39" s="137">
        <v>0.01</v>
      </c>
      <c r="V39" s="137">
        <f t="shared" si="32"/>
        <v>0.456185071181224</v>
      </c>
      <c r="W39" s="137">
        <f t="shared" si="33"/>
        <v>0.0221014492753623</v>
      </c>
      <c r="X39" s="135">
        <v>0.1846</v>
      </c>
      <c r="Y39" s="138">
        <v>2</v>
      </c>
      <c r="Z39" s="138">
        <v>0</v>
      </c>
      <c r="AA39" s="138">
        <f t="shared" si="34"/>
        <v>0.138</v>
      </c>
      <c r="AB39" s="131">
        <f t="shared" si="35"/>
        <v>2.54748</v>
      </c>
      <c r="AC39" s="131">
        <v>49</v>
      </c>
      <c r="AD39" s="139">
        <f t="shared" si="36"/>
        <v>43.3628318584071</v>
      </c>
      <c r="AE39" s="136">
        <f t="shared" si="37"/>
        <v>0.875</v>
      </c>
      <c r="AF39" s="137">
        <f t="shared" si="38"/>
        <v>0.392779274079774</v>
      </c>
      <c r="AG39" s="137">
        <f t="shared" si="39"/>
        <v>0.0634057971014493</v>
      </c>
      <c r="AH39" s="136">
        <v>7</v>
      </c>
      <c r="AI39" s="134">
        <f t="shared" si="42"/>
        <v>0.324511055527764</v>
      </c>
      <c r="AJ39" s="134"/>
      <c r="AK39" s="134"/>
      <c r="AL39" s="134"/>
      <c r="AM39" s="134"/>
      <c r="AN39" s="140"/>
      <c r="AO39" s="140"/>
      <c r="AP39" s="140"/>
      <c r="AQ39" s="140"/>
      <c r="AR39" s="140"/>
      <c r="AS39" s="140"/>
      <c r="AT39" s="140" t="s">
        <v>376</v>
      </c>
      <c r="AU39" s="140" t="s">
        <v>376</v>
      </c>
      <c r="AV39" s="140" t="s">
        <v>376</v>
      </c>
      <c r="AW39" s="140" t="s">
        <v>376</v>
      </c>
      <c r="AX39" s="140" t="s">
        <v>376</v>
      </c>
      <c r="AY39" s="140" t="s">
        <v>376</v>
      </c>
      <c r="AZ39" s="140" t="s">
        <v>376</v>
      </c>
      <c r="BA39" s="140" t="s">
        <v>376</v>
      </c>
      <c r="BB39" s="140" t="s">
        <v>376</v>
      </c>
      <c r="BC39" s="140" t="s">
        <v>376</v>
      </c>
      <c r="BD39" s="140" t="s">
        <v>376</v>
      </c>
      <c r="BE39" s="140" t="s">
        <v>376</v>
      </c>
      <c r="BF39" s="140" t="s">
        <v>376</v>
      </c>
      <c r="BG39" s="140" t="s">
        <v>376</v>
      </c>
      <c r="BH39" s="140" t="s">
        <v>376</v>
      </c>
      <c r="BI39" s="140" t="s">
        <v>376</v>
      </c>
      <c r="BJ39" s="140" t="s">
        <v>376</v>
      </c>
      <c r="BK39" s="140" t="s">
        <v>376</v>
      </c>
      <c r="BL39" s="140" t="s">
        <v>376</v>
      </c>
      <c r="BM39" s="140" t="s">
        <v>376</v>
      </c>
      <c r="BN39" s="140" t="s">
        <v>376</v>
      </c>
      <c r="BO39" s="140" t="s">
        <v>376</v>
      </c>
      <c r="BP39" s="140" t="s">
        <v>376</v>
      </c>
      <c r="BQ39" s="140" t="s">
        <v>376</v>
      </c>
      <c r="BR39" s="175"/>
      <c r="BS39" s="142" t="s">
        <v>377</v>
      </c>
    </row>
    <row r="40" customHeight="1" spans="1:71">
      <c r="A40" s="127" t="s">
        <v>287</v>
      </c>
      <c r="B40" s="127" t="s">
        <v>27</v>
      </c>
      <c r="C40" s="127"/>
      <c r="D40" s="172" t="s">
        <v>390</v>
      </c>
      <c r="E40" s="130">
        <v>13.8</v>
      </c>
      <c r="F40" s="130">
        <v>19.99</v>
      </c>
      <c r="G40" s="133">
        <f t="shared" si="21"/>
        <v>18.9905</v>
      </c>
      <c r="H40" s="133">
        <f t="shared" si="22"/>
        <v>15.8254166666667</v>
      </c>
      <c r="I40" s="133">
        <f t="shared" si="23"/>
        <v>1.51466601769912</v>
      </c>
      <c r="J40" s="134">
        <f t="shared" si="24"/>
        <v>0.109758407079646</v>
      </c>
      <c r="K40" s="131">
        <f t="shared" si="25"/>
        <v>16.6583333333333</v>
      </c>
      <c r="L40" s="174">
        <f t="shared" si="26"/>
        <v>0.171585792896448</v>
      </c>
      <c r="M40" s="133">
        <f t="shared" si="27"/>
        <v>2.85833333333333</v>
      </c>
      <c r="N40" s="131">
        <f t="shared" si="28"/>
        <v>50.3628318584071</v>
      </c>
      <c r="O40" s="131">
        <f t="shared" si="29"/>
        <v>0.305</v>
      </c>
      <c r="P40" s="127">
        <v>50</v>
      </c>
      <c r="Q40" s="136">
        <v>8</v>
      </c>
      <c r="R40" s="137">
        <f t="shared" si="30"/>
        <v>0.144927536231884</v>
      </c>
      <c r="S40" s="134">
        <f t="shared" si="41"/>
        <v>0.100050025012506</v>
      </c>
      <c r="T40" s="137">
        <f t="shared" si="31"/>
        <v>0.0724275362318841</v>
      </c>
      <c r="U40" s="137">
        <v>0.01</v>
      </c>
      <c r="V40" s="137">
        <f t="shared" si="32"/>
        <v>0.456185071181224</v>
      </c>
      <c r="W40" s="137">
        <f t="shared" si="33"/>
        <v>0.0221014492753623</v>
      </c>
      <c r="X40" s="135">
        <v>0.1846</v>
      </c>
      <c r="Y40" s="138">
        <v>2</v>
      </c>
      <c r="Z40" s="138">
        <f>F40*0.05</f>
        <v>0.9995</v>
      </c>
      <c r="AA40" s="138">
        <f t="shared" si="34"/>
        <v>0.138</v>
      </c>
      <c r="AB40" s="131">
        <f t="shared" si="35"/>
        <v>2.54748</v>
      </c>
      <c r="AC40" s="131">
        <v>49</v>
      </c>
      <c r="AD40" s="139">
        <f t="shared" si="36"/>
        <v>43.3628318584071</v>
      </c>
      <c r="AE40" s="136">
        <f t="shared" si="37"/>
        <v>0.875</v>
      </c>
      <c r="AF40" s="137">
        <f t="shared" si="38"/>
        <v>0.392779274079774</v>
      </c>
      <c r="AG40" s="137">
        <f t="shared" si="39"/>
        <v>0.0634057971014493</v>
      </c>
      <c r="AH40" s="136">
        <v>7</v>
      </c>
      <c r="AI40" s="134">
        <f t="shared" si="42"/>
        <v>0.345224527157195</v>
      </c>
      <c r="AJ40" s="134"/>
      <c r="AK40" s="134"/>
      <c r="AL40" s="134"/>
      <c r="AM40" s="134"/>
      <c r="AN40" s="140"/>
      <c r="AO40" s="140"/>
      <c r="AP40" s="140"/>
      <c r="AQ40" s="140"/>
      <c r="AR40" s="140"/>
      <c r="AS40" s="140"/>
      <c r="AT40" s="140" t="s">
        <v>376</v>
      </c>
      <c r="AU40" s="140" t="s">
        <v>376</v>
      </c>
      <c r="AV40" s="140" t="s">
        <v>376</v>
      </c>
      <c r="AW40" s="140" t="s">
        <v>376</v>
      </c>
      <c r="AX40" s="140" t="s">
        <v>376</v>
      </c>
      <c r="AY40" s="140" t="s">
        <v>376</v>
      </c>
      <c r="AZ40" s="140" t="s">
        <v>376</v>
      </c>
      <c r="BA40" s="140" t="s">
        <v>376</v>
      </c>
      <c r="BB40" s="140" t="s">
        <v>376</v>
      </c>
      <c r="BC40" s="140" t="s">
        <v>376</v>
      </c>
      <c r="BD40" s="140" t="s">
        <v>376</v>
      </c>
      <c r="BE40" s="140" t="s">
        <v>376</v>
      </c>
      <c r="BF40" s="140" t="s">
        <v>376</v>
      </c>
      <c r="BG40" s="140" t="s">
        <v>376</v>
      </c>
      <c r="BH40" s="140" t="s">
        <v>376</v>
      </c>
      <c r="BI40" s="140" t="s">
        <v>376</v>
      </c>
      <c r="BJ40" s="140" t="s">
        <v>376</v>
      </c>
      <c r="BK40" s="140" t="s">
        <v>376</v>
      </c>
      <c r="BL40" s="140" t="s">
        <v>376</v>
      </c>
      <c r="BM40" s="140" t="s">
        <v>376</v>
      </c>
      <c r="BN40" s="140" t="s">
        <v>376</v>
      </c>
      <c r="BO40" s="140" t="s">
        <v>376</v>
      </c>
      <c r="BP40" s="140" t="s">
        <v>376</v>
      </c>
      <c r="BQ40" s="140" t="s">
        <v>376</v>
      </c>
      <c r="BR40" s="175"/>
      <c r="BS40" s="142" t="s">
        <v>377</v>
      </c>
    </row>
    <row r="41" customHeight="1" spans="1:71">
      <c r="A41" s="127" t="s">
        <v>287</v>
      </c>
      <c r="B41" s="127" t="s">
        <v>27</v>
      </c>
      <c r="C41" s="127"/>
      <c r="D41" s="172" t="s">
        <v>391</v>
      </c>
      <c r="E41" s="130">
        <v>13.8</v>
      </c>
      <c r="F41" s="130">
        <v>19.99</v>
      </c>
      <c r="G41" s="133">
        <f t="shared" si="21"/>
        <v>17.991</v>
      </c>
      <c r="H41" s="133">
        <f t="shared" si="22"/>
        <v>14.9925</v>
      </c>
      <c r="I41" s="133">
        <f t="shared" si="23"/>
        <v>0.515166017699116</v>
      </c>
      <c r="J41" s="134">
        <f t="shared" si="24"/>
        <v>0.037330870847762</v>
      </c>
      <c r="K41" s="131">
        <f t="shared" si="25"/>
        <v>16.6583333333333</v>
      </c>
      <c r="L41" s="174">
        <f t="shared" si="26"/>
        <v>0.171585792896448</v>
      </c>
      <c r="M41" s="133">
        <f t="shared" si="27"/>
        <v>2.85833333333333</v>
      </c>
      <c r="N41" s="131">
        <f t="shared" si="28"/>
        <v>50.3628318584071</v>
      </c>
      <c r="O41" s="131">
        <f t="shared" si="29"/>
        <v>0.305</v>
      </c>
      <c r="P41" s="127">
        <v>50</v>
      </c>
      <c r="Q41" s="136">
        <v>8</v>
      </c>
      <c r="R41" s="137">
        <f t="shared" si="30"/>
        <v>0.144927536231884</v>
      </c>
      <c r="S41" s="134">
        <f t="shared" si="41"/>
        <v>0.100050025012506</v>
      </c>
      <c r="T41" s="137">
        <f t="shared" si="31"/>
        <v>0.144855072463768</v>
      </c>
      <c r="U41" s="137">
        <v>0.01</v>
      </c>
      <c r="V41" s="137">
        <f t="shared" si="32"/>
        <v>0.456185071181224</v>
      </c>
      <c r="W41" s="137">
        <f t="shared" si="33"/>
        <v>0.0221014492753623</v>
      </c>
      <c r="X41" s="135">
        <v>0.1846</v>
      </c>
      <c r="Y41" s="138">
        <v>2</v>
      </c>
      <c r="Z41" s="138">
        <f>F41*0.1</f>
        <v>1.999</v>
      </c>
      <c r="AA41" s="138">
        <f t="shared" si="34"/>
        <v>0.138</v>
      </c>
      <c r="AB41" s="131">
        <f t="shared" si="35"/>
        <v>2.54748</v>
      </c>
      <c r="AC41" s="131">
        <v>49</v>
      </c>
      <c r="AD41" s="139">
        <f t="shared" si="36"/>
        <v>43.3628318584071</v>
      </c>
      <c r="AE41" s="136">
        <f t="shared" si="37"/>
        <v>0.875</v>
      </c>
      <c r="AF41" s="137">
        <f t="shared" si="38"/>
        <v>0.392779274079774</v>
      </c>
      <c r="AG41" s="137">
        <f t="shared" si="39"/>
        <v>0.0634057971014493</v>
      </c>
      <c r="AH41" s="136">
        <v>7</v>
      </c>
      <c r="AI41" s="134">
        <f t="shared" si="42"/>
        <v>0.368762563099732</v>
      </c>
      <c r="AJ41" s="134"/>
      <c r="AK41" s="134"/>
      <c r="AL41" s="134"/>
      <c r="AM41" s="134"/>
      <c r="AN41" s="140"/>
      <c r="AO41" s="140"/>
      <c r="AP41" s="140"/>
      <c r="AQ41" s="140"/>
      <c r="AR41" s="140"/>
      <c r="AS41" s="140"/>
      <c r="AT41" s="140" t="s">
        <v>376</v>
      </c>
      <c r="AU41" s="140" t="s">
        <v>376</v>
      </c>
      <c r="AV41" s="140" t="s">
        <v>376</v>
      </c>
      <c r="AW41" s="140" t="s">
        <v>376</v>
      </c>
      <c r="AX41" s="140" t="s">
        <v>376</v>
      </c>
      <c r="AY41" s="140" t="s">
        <v>376</v>
      </c>
      <c r="AZ41" s="140" t="s">
        <v>376</v>
      </c>
      <c r="BA41" s="140" t="s">
        <v>376</v>
      </c>
      <c r="BB41" s="140" t="s">
        <v>376</v>
      </c>
      <c r="BC41" s="140" t="s">
        <v>376</v>
      </c>
      <c r="BD41" s="140" t="s">
        <v>376</v>
      </c>
      <c r="BE41" s="140" t="s">
        <v>376</v>
      </c>
      <c r="BF41" s="140" t="s">
        <v>376</v>
      </c>
      <c r="BG41" s="140" t="s">
        <v>376</v>
      </c>
      <c r="BH41" s="140" t="s">
        <v>376</v>
      </c>
      <c r="BI41" s="140" t="s">
        <v>376</v>
      </c>
      <c r="BJ41" s="140" t="s">
        <v>376</v>
      </c>
      <c r="BK41" s="140" t="s">
        <v>376</v>
      </c>
      <c r="BL41" s="140" t="s">
        <v>376</v>
      </c>
      <c r="BM41" s="140" t="s">
        <v>376</v>
      </c>
      <c r="BN41" s="140" t="s">
        <v>376</v>
      </c>
      <c r="BO41" s="140" t="s">
        <v>376</v>
      </c>
      <c r="BP41" s="140" t="s">
        <v>376</v>
      </c>
      <c r="BQ41" s="140" t="s">
        <v>376</v>
      </c>
      <c r="BR41" s="175"/>
      <c r="BS41" s="142" t="s">
        <v>377</v>
      </c>
    </row>
    <row r="42" customHeight="1" spans="1:71">
      <c r="A42" s="127" t="s">
        <v>287</v>
      </c>
      <c r="B42" s="127" t="s">
        <v>27</v>
      </c>
      <c r="C42" s="127"/>
      <c r="D42" s="172" t="s">
        <v>392</v>
      </c>
      <c r="E42" s="130">
        <v>13.8</v>
      </c>
      <c r="F42" s="130">
        <v>19.99</v>
      </c>
      <c r="G42" s="179">
        <f t="shared" si="21"/>
        <v>16.9915</v>
      </c>
      <c r="H42" s="133">
        <f t="shared" si="22"/>
        <v>14.1595833333333</v>
      </c>
      <c r="I42" s="179">
        <f t="shared" si="23"/>
        <v>-0.484333982300884</v>
      </c>
      <c r="J42" s="134">
        <f t="shared" si="24"/>
        <v>-0.035096665384122</v>
      </c>
      <c r="K42" s="131">
        <f t="shared" si="25"/>
        <v>16.6583333333333</v>
      </c>
      <c r="L42" s="174">
        <f t="shared" si="26"/>
        <v>0.171585792896448</v>
      </c>
      <c r="M42" s="133">
        <f t="shared" si="27"/>
        <v>2.85833333333333</v>
      </c>
      <c r="N42" s="131">
        <f t="shared" si="28"/>
        <v>50.3628318584071</v>
      </c>
      <c r="O42" s="131">
        <f t="shared" si="29"/>
        <v>0.305</v>
      </c>
      <c r="P42" s="127">
        <v>50</v>
      </c>
      <c r="Q42" s="136">
        <v>8</v>
      </c>
      <c r="R42" s="137">
        <f t="shared" si="30"/>
        <v>0.144927536231884</v>
      </c>
      <c r="S42" s="134">
        <f t="shared" si="41"/>
        <v>0.100050025012506</v>
      </c>
      <c r="T42" s="137">
        <f t="shared" si="31"/>
        <v>0.217282608695652</v>
      </c>
      <c r="U42" s="137">
        <v>0.01</v>
      </c>
      <c r="V42" s="137">
        <f t="shared" si="32"/>
        <v>0.456185071181224</v>
      </c>
      <c r="W42" s="137">
        <f t="shared" si="33"/>
        <v>0.0221014492753623</v>
      </c>
      <c r="X42" s="135">
        <v>0.1846</v>
      </c>
      <c r="Y42" s="138">
        <v>2</v>
      </c>
      <c r="Z42" s="138">
        <f>F42*0.15</f>
        <v>2.9985</v>
      </c>
      <c r="AA42" s="138">
        <f t="shared" si="34"/>
        <v>0.138</v>
      </c>
      <c r="AB42" s="131">
        <f t="shared" si="35"/>
        <v>2.54748</v>
      </c>
      <c r="AC42" s="131">
        <v>49</v>
      </c>
      <c r="AD42" s="139">
        <f t="shared" si="36"/>
        <v>43.3628318584071</v>
      </c>
      <c r="AE42" s="136">
        <f t="shared" si="37"/>
        <v>0.875</v>
      </c>
      <c r="AF42" s="137">
        <f t="shared" si="38"/>
        <v>0.392779274079774</v>
      </c>
      <c r="AG42" s="137">
        <f t="shared" si="39"/>
        <v>0.0634057971014493</v>
      </c>
      <c r="AH42" s="136">
        <v>7</v>
      </c>
      <c r="AI42" s="134">
        <f t="shared" si="42"/>
        <v>0.395745189668005</v>
      </c>
      <c r="AJ42" s="134"/>
      <c r="AK42" s="134"/>
      <c r="AL42" s="134"/>
      <c r="AM42" s="134"/>
      <c r="AN42" s="140"/>
      <c r="AO42" s="140"/>
      <c r="AP42" s="140"/>
      <c r="AQ42" s="140"/>
      <c r="AR42" s="140"/>
      <c r="AS42" s="140"/>
      <c r="AT42" s="140" t="s">
        <v>376</v>
      </c>
      <c r="AU42" s="140" t="s">
        <v>376</v>
      </c>
      <c r="AV42" s="140" t="s">
        <v>376</v>
      </c>
      <c r="AW42" s="140" t="s">
        <v>376</v>
      </c>
      <c r="AX42" s="140" t="s">
        <v>376</v>
      </c>
      <c r="AY42" s="140" t="s">
        <v>376</v>
      </c>
      <c r="AZ42" s="140" t="s">
        <v>376</v>
      </c>
      <c r="BA42" s="140" t="s">
        <v>376</v>
      </c>
      <c r="BB42" s="140" t="s">
        <v>376</v>
      </c>
      <c r="BC42" s="140" t="s">
        <v>376</v>
      </c>
      <c r="BD42" s="140" t="s">
        <v>376</v>
      </c>
      <c r="BE42" s="140" t="s">
        <v>376</v>
      </c>
      <c r="BF42" s="140" t="s">
        <v>376</v>
      </c>
      <c r="BG42" s="140" t="s">
        <v>376</v>
      </c>
      <c r="BH42" s="140" t="s">
        <v>376</v>
      </c>
      <c r="BI42" s="140" t="s">
        <v>376</v>
      </c>
      <c r="BJ42" s="140" t="s">
        <v>376</v>
      </c>
      <c r="BK42" s="140" t="s">
        <v>376</v>
      </c>
      <c r="BL42" s="140" t="s">
        <v>376</v>
      </c>
      <c r="BM42" s="140" t="s">
        <v>376</v>
      </c>
      <c r="BN42" s="140" t="s">
        <v>376</v>
      </c>
      <c r="BO42" s="140" t="s">
        <v>376</v>
      </c>
      <c r="BP42" s="140" t="s">
        <v>376</v>
      </c>
      <c r="BQ42" s="140" t="s">
        <v>376</v>
      </c>
      <c r="BR42" s="175"/>
      <c r="BS42" s="142" t="s">
        <v>377</v>
      </c>
    </row>
    <row r="43" customHeight="1" spans="1:71">
      <c r="A43" s="127" t="s">
        <v>290</v>
      </c>
      <c r="B43" s="127" t="s">
        <v>27</v>
      </c>
      <c r="C43" s="127"/>
      <c r="D43" s="172" t="s">
        <v>389</v>
      </c>
      <c r="E43" s="130">
        <v>13.8</v>
      </c>
      <c r="F43" s="130">
        <v>19.99</v>
      </c>
      <c r="G43" s="133">
        <f t="shared" si="21"/>
        <v>19.99</v>
      </c>
      <c r="H43" s="133">
        <f t="shared" si="22"/>
        <v>16.6583333333333</v>
      </c>
      <c r="I43" s="133">
        <f t="shared" si="23"/>
        <v>2.71016601769912</v>
      </c>
      <c r="J43" s="134">
        <f t="shared" si="24"/>
        <v>0.196388841862255</v>
      </c>
      <c r="K43" s="131">
        <f t="shared" si="25"/>
        <v>16.6583333333333</v>
      </c>
      <c r="L43" s="174">
        <f t="shared" si="26"/>
        <v>0.171585792896448</v>
      </c>
      <c r="M43" s="133">
        <f t="shared" si="27"/>
        <v>2.85833333333333</v>
      </c>
      <c r="N43" s="131">
        <f t="shared" si="28"/>
        <v>50.3628318584071</v>
      </c>
      <c r="O43" s="131">
        <f t="shared" si="29"/>
        <v>0.385</v>
      </c>
      <c r="P43" s="127">
        <v>50</v>
      </c>
      <c r="Q43" s="136">
        <v>8</v>
      </c>
      <c r="R43" s="137">
        <f t="shared" si="30"/>
        <v>0.144927536231884</v>
      </c>
      <c r="S43" s="134">
        <f t="shared" si="41"/>
        <v>0.100050025012506</v>
      </c>
      <c r="T43" s="137">
        <f t="shared" si="31"/>
        <v>0</v>
      </c>
      <c r="U43" s="137">
        <v>0.01</v>
      </c>
      <c r="V43" s="137">
        <f t="shared" si="32"/>
        <v>0.456185071181224</v>
      </c>
      <c r="W43" s="137">
        <f t="shared" si="33"/>
        <v>0.0278985507246377</v>
      </c>
      <c r="X43" s="135">
        <v>0.1646</v>
      </c>
      <c r="Y43" s="138">
        <v>2</v>
      </c>
      <c r="Z43" s="138">
        <v>0</v>
      </c>
      <c r="AA43" s="138">
        <f t="shared" si="34"/>
        <v>0.138</v>
      </c>
      <c r="AB43" s="131">
        <f t="shared" si="35"/>
        <v>2.27148</v>
      </c>
      <c r="AC43" s="131">
        <v>49</v>
      </c>
      <c r="AD43" s="139">
        <f t="shared" si="36"/>
        <v>43.3628318584071</v>
      </c>
      <c r="AE43" s="136">
        <f t="shared" si="37"/>
        <v>0.875</v>
      </c>
      <c r="AF43" s="137">
        <f t="shared" si="38"/>
        <v>0.392779274079774</v>
      </c>
      <c r="AG43" s="137">
        <f t="shared" si="39"/>
        <v>0.0634057971014493</v>
      </c>
      <c r="AH43" s="136">
        <v>7</v>
      </c>
      <c r="AI43" s="137">
        <f t="shared" si="42"/>
        <v>0.307942771385693</v>
      </c>
      <c r="AJ43" s="137"/>
      <c r="AK43" s="137"/>
      <c r="AL43" s="137"/>
      <c r="AM43" s="137"/>
      <c r="AN43" s="140"/>
      <c r="AO43" s="140"/>
      <c r="AP43" s="140"/>
      <c r="AQ43" s="140"/>
      <c r="AR43" s="140"/>
      <c r="AS43" s="140"/>
      <c r="AT43" s="140" t="s">
        <v>376</v>
      </c>
      <c r="AU43" s="140" t="s">
        <v>376</v>
      </c>
      <c r="AV43" s="140" t="s">
        <v>376</v>
      </c>
      <c r="AW43" s="140" t="s">
        <v>376</v>
      </c>
      <c r="AX43" s="140" t="s">
        <v>376</v>
      </c>
      <c r="AY43" s="140" t="s">
        <v>376</v>
      </c>
      <c r="AZ43" s="140" t="s">
        <v>376</v>
      </c>
      <c r="BA43" s="140" t="s">
        <v>376</v>
      </c>
      <c r="BB43" s="140" t="s">
        <v>376</v>
      </c>
      <c r="BC43" s="140" t="s">
        <v>376</v>
      </c>
      <c r="BD43" s="140" t="s">
        <v>376</v>
      </c>
      <c r="BE43" s="140" t="s">
        <v>376</v>
      </c>
      <c r="BF43" s="140" t="s">
        <v>376</v>
      </c>
      <c r="BG43" s="140" t="s">
        <v>376</v>
      </c>
      <c r="BH43" s="140" t="s">
        <v>376</v>
      </c>
      <c r="BI43" s="140" t="s">
        <v>376</v>
      </c>
      <c r="BJ43" s="140" t="s">
        <v>376</v>
      </c>
      <c r="BK43" s="140" t="s">
        <v>376</v>
      </c>
      <c r="BL43" s="140" t="s">
        <v>376</v>
      </c>
      <c r="BM43" s="140" t="s">
        <v>376</v>
      </c>
      <c r="BN43" s="140" t="s">
        <v>376</v>
      </c>
      <c r="BO43" s="140" t="s">
        <v>376</v>
      </c>
      <c r="BP43" s="140" t="s">
        <v>376</v>
      </c>
      <c r="BQ43" s="140" t="s">
        <v>376</v>
      </c>
      <c r="BR43" s="175"/>
      <c r="BS43" s="142" t="s">
        <v>377</v>
      </c>
    </row>
    <row r="44" customHeight="1" spans="1:71">
      <c r="A44" s="127" t="s">
        <v>290</v>
      </c>
      <c r="B44" s="127" t="s">
        <v>27</v>
      </c>
      <c r="C44" s="127"/>
      <c r="D44" s="172" t="s">
        <v>390</v>
      </c>
      <c r="E44" s="130">
        <v>13.8</v>
      </c>
      <c r="F44" s="130">
        <v>19.99</v>
      </c>
      <c r="G44" s="133">
        <f t="shared" si="21"/>
        <v>18.9905</v>
      </c>
      <c r="H44" s="133">
        <f t="shared" si="22"/>
        <v>15.8254166666667</v>
      </c>
      <c r="I44" s="133">
        <f t="shared" si="23"/>
        <v>1.71066601769912</v>
      </c>
      <c r="J44" s="134">
        <f t="shared" si="24"/>
        <v>0.123961305630371</v>
      </c>
      <c r="K44" s="131">
        <f t="shared" si="25"/>
        <v>16.6583333333333</v>
      </c>
      <c r="L44" s="174">
        <f t="shared" si="26"/>
        <v>0.171585792896448</v>
      </c>
      <c r="M44" s="133">
        <f t="shared" si="27"/>
        <v>2.85833333333333</v>
      </c>
      <c r="N44" s="131">
        <f t="shared" si="28"/>
        <v>50.3628318584071</v>
      </c>
      <c r="O44" s="131">
        <f t="shared" si="29"/>
        <v>0.385</v>
      </c>
      <c r="P44" s="127">
        <v>50</v>
      </c>
      <c r="Q44" s="136">
        <v>8</v>
      </c>
      <c r="R44" s="137">
        <f t="shared" si="30"/>
        <v>0.144927536231884</v>
      </c>
      <c r="S44" s="134">
        <f t="shared" si="41"/>
        <v>0.100050025012506</v>
      </c>
      <c r="T44" s="137">
        <f t="shared" si="31"/>
        <v>0.0724275362318841</v>
      </c>
      <c r="U44" s="137">
        <v>0.01</v>
      </c>
      <c r="V44" s="137">
        <f t="shared" si="32"/>
        <v>0.456185071181224</v>
      </c>
      <c r="W44" s="137">
        <f t="shared" si="33"/>
        <v>0.0278985507246377</v>
      </c>
      <c r="X44" s="135">
        <v>0.1646</v>
      </c>
      <c r="Y44" s="138">
        <v>2</v>
      </c>
      <c r="Z44" s="138">
        <f>F44*0.05</f>
        <v>0.9995</v>
      </c>
      <c r="AA44" s="138">
        <f t="shared" si="34"/>
        <v>0.138</v>
      </c>
      <c r="AB44" s="131">
        <f t="shared" si="35"/>
        <v>2.27148</v>
      </c>
      <c r="AC44" s="131">
        <v>49</v>
      </c>
      <c r="AD44" s="139">
        <f t="shared" si="36"/>
        <v>43.3628318584071</v>
      </c>
      <c r="AE44" s="136">
        <f t="shared" si="37"/>
        <v>0.875</v>
      </c>
      <c r="AF44" s="137">
        <f t="shared" si="38"/>
        <v>0.392779274079774</v>
      </c>
      <c r="AG44" s="137">
        <f t="shared" si="39"/>
        <v>0.0634057971014493</v>
      </c>
      <c r="AH44" s="136">
        <v>7</v>
      </c>
      <c r="AI44" s="137">
        <f t="shared" si="42"/>
        <v>0.327598692963503</v>
      </c>
      <c r="AJ44" s="137"/>
      <c r="AK44" s="137"/>
      <c r="AL44" s="137"/>
      <c r="AM44" s="137"/>
      <c r="AN44" s="140"/>
      <c r="AO44" s="140"/>
      <c r="AP44" s="140"/>
      <c r="AQ44" s="140"/>
      <c r="AR44" s="140"/>
      <c r="AS44" s="140"/>
      <c r="AT44" s="140" t="s">
        <v>376</v>
      </c>
      <c r="AU44" s="140" t="s">
        <v>376</v>
      </c>
      <c r="AV44" s="140" t="s">
        <v>376</v>
      </c>
      <c r="AW44" s="140" t="s">
        <v>376</v>
      </c>
      <c r="AX44" s="140" t="s">
        <v>376</v>
      </c>
      <c r="AY44" s="140" t="s">
        <v>376</v>
      </c>
      <c r="AZ44" s="140" t="s">
        <v>376</v>
      </c>
      <c r="BA44" s="140" t="s">
        <v>376</v>
      </c>
      <c r="BB44" s="140" t="s">
        <v>376</v>
      </c>
      <c r="BC44" s="140" t="s">
        <v>376</v>
      </c>
      <c r="BD44" s="140" t="s">
        <v>376</v>
      </c>
      <c r="BE44" s="140" t="s">
        <v>376</v>
      </c>
      <c r="BF44" s="140" t="s">
        <v>376</v>
      </c>
      <c r="BG44" s="140" t="s">
        <v>376</v>
      </c>
      <c r="BH44" s="140" t="s">
        <v>376</v>
      </c>
      <c r="BI44" s="140" t="s">
        <v>376</v>
      </c>
      <c r="BJ44" s="140" t="s">
        <v>376</v>
      </c>
      <c r="BK44" s="140" t="s">
        <v>376</v>
      </c>
      <c r="BL44" s="140" t="s">
        <v>376</v>
      </c>
      <c r="BM44" s="140" t="s">
        <v>376</v>
      </c>
      <c r="BN44" s="140" t="s">
        <v>376</v>
      </c>
      <c r="BO44" s="140" t="s">
        <v>376</v>
      </c>
      <c r="BP44" s="140" t="s">
        <v>376</v>
      </c>
      <c r="BQ44" s="140" t="s">
        <v>376</v>
      </c>
      <c r="BR44" s="175"/>
      <c r="BS44" s="142" t="s">
        <v>377</v>
      </c>
    </row>
    <row r="45" customHeight="1" spans="1:71">
      <c r="A45" s="127" t="s">
        <v>290</v>
      </c>
      <c r="B45" s="127" t="s">
        <v>27</v>
      </c>
      <c r="C45" s="127"/>
      <c r="D45" s="172" t="s">
        <v>391</v>
      </c>
      <c r="E45" s="130">
        <v>13.8</v>
      </c>
      <c r="F45" s="130">
        <v>19.99</v>
      </c>
      <c r="G45" s="133">
        <f t="shared" si="21"/>
        <v>17.991</v>
      </c>
      <c r="H45" s="133">
        <f t="shared" si="22"/>
        <v>14.9925</v>
      </c>
      <c r="I45" s="133">
        <f t="shared" si="23"/>
        <v>0.711166017699116</v>
      </c>
      <c r="J45" s="134">
        <f t="shared" si="24"/>
        <v>0.0515337693984867</v>
      </c>
      <c r="K45" s="131">
        <f t="shared" si="25"/>
        <v>16.6583333333333</v>
      </c>
      <c r="L45" s="174">
        <f t="shared" si="26"/>
        <v>0.171585792896448</v>
      </c>
      <c r="M45" s="133">
        <f t="shared" si="27"/>
        <v>2.85833333333333</v>
      </c>
      <c r="N45" s="131">
        <f t="shared" si="28"/>
        <v>50.3628318584071</v>
      </c>
      <c r="O45" s="131">
        <f t="shared" si="29"/>
        <v>0.385</v>
      </c>
      <c r="P45" s="127">
        <v>50</v>
      </c>
      <c r="Q45" s="136">
        <v>8</v>
      </c>
      <c r="R45" s="137">
        <f t="shared" si="30"/>
        <v>0.144927536231884</v>
      </c>
      <c r="S45" s="134">
        <f t="shared" si="41"/>
        <v>0.100050025012506</v>
      </c>
      <c r="T45" s="137">
        <f t="shared" si="31"/>
        <v>0.144855072463768</v>
      </c>
      <c r="U45" s="137">
        <v>0.01</v>
      </c>
      <c r="V45" s="137">
        <f t="shared" si="32"/>
        <v>0.456185071181224</v>
      </c>
      <c r="W45" s="137">
        <f t="shared" si="33"/>
        <v>0.0278985507246377</v>
      </c>
      <c r="X45" s="135">
        <v>0.1646</v>
      </c>
      <c r="Y45" s="138">
        <v>2</v>
      </c>
      <c r="Z45" s="138">
        <f>F45*0.1</f>
        <v>1.999</v>
      </c>
      <c r="AA45" s="138">
        <f t="shared" si="34"/>
        <v>0.138</v>
      </c>
      <c r="AB45" s="131">
        <f t="shared" si="35"/>
        <v>2.27148</v>
      </c>
      <c r="AC45" s="131">
        <v>49</v>
      </c>
      <c r="AD45" s="139">
        <f t="shared" si="36"/>
        <v>43.3628318584071</v>
      </c>
      <c r="AE45" s="136">
        <f t="shared" si="37"/>
        <v>0.875</v>
      </c>
      <c r="AF45" s="137">
        <f t="shared" si="38"/>
        <v>0.392779274079774</v>
      </c>
      <c r="AG45" s="137">
        <f t="shared" si="39"/>
        <v>0.0634057971014493</v>
      </c>
      <c r="AH45" s="136">
        <v>7</v>
      </c>
      <c r="AI45" s="137">
        <f t="shared" si="42"/>
        <v>0.349934967483742</v>
      </c>
      <c r="AJ45" s="137"/>
      <c r="AK45" s="137"/>
      <c r="AL45" s="137"/>
      <c r="AM45" s="137"/>
      <c r="AN45" s="140"/>
      <c r="AO45" s="140"/>
      <c r="AP45" s="140"/>
      <c r="AQ45" s="140"/>
      <c r="AR45" s="140"/>
      <c r="AS45" s="140"/>
      <c r="AT45" s="140" t="s">
        <v>376</v>
      </c>
      <c r="AU45" s="140" t="s">
        <v>376</v>
      </c>
      <c r="AV45" s="140" t="s">
        <v>376</v>
      </c>
      <c r="AW45" s="140" t="s">
        <v>376</v>
      </c>
      <c r="AX45" s="140" t="s">
        <v>376</v>
      </c>
      <c r="AY45" s="140" t="s">
        <v>376</v>
      </c>
      <c r="AZ45" s="140" t="s">
        <v>376</v>
      </c>
      <c r="BA45" s="140" t="s">
        <v>376</v>
      </c>
      <c r="BB45" s="140" t="s">
        <v>376</v>
      </c>
      <c r="BC45" s="140" t="s">
        <v>376</v>
      </c>
      <c r="BD45" s="140" t="s">
        <v>376</v>
      </c>
      <c r="BE45" s="140" t="s">
        <v>376</v>
      </c>
      <c r="BF45" s="140" t="s">
        <v>376</v>
      </c>
      <c r="BG45" s="140" t="s">
        <v>376</v>
      </c>
      <c r="BH45" s="140" t="s">
        <v>376</v>
      </c>
      <c r="BI45" s="140" t="s">
        <v>376</v>
      </c>
      <c r="BJ45" s="140" t="s">
        <v>376</v>
      </c>
      <c r="BK45" s="140" t="s">
        <v>376</v>
      </c>
      <c r="BL45" s="140" t="s">
        <v>376</v>
      </c>
      <c r="BM45" s="140" t="s">
        <v>376</v>
      </c>
      <c r="BN45" s="140" t="s">
        <v>376</v>
      </c>
      <c r="BO45" s="140" t="s">
        <v>376</v>
      </c>
      <c r="BP45" s="140" t="s">
        <v>376</v>
      </c>
      <c r="BQ45" s="140" t="s">
        <v>376</v>
      </c>
      <c r="BR45" s="175"/>
      <c r="BS45" s="142" t="s">
        <v>377</v>
      </c>
    </row>
    <row r="46" customHeight="1" spans="1:71">
      <c r="A46" s="127" t="s">
        <v>290</v>
      </c>
      <c r="B46" s="127" t="s">
        <v>27</v>
      </c>
      <c r="C46" s="127"/>
      <c r="D46" s="172" t="s">
        <v>392</v>
      </c>
      <c r="E46" s="130">
        <v>13.8</v>
      </c>
      <c r="F46" s="130">
        <v>19.99</v>
      </c>
      <c r="G46" s="179">
        <f t="shared" si="21"/>
        <v>16.9915</v>
      </c>
      <c r="H46" s="133">
        <f t="shared" si="22"/>
        <v>14.1595833333333</v>
      </c>
      <c r="I46" s="179">
        <f t="shared" si="23"/>
        <v>-0.288333982300884</v>
      </c>
      <c r="J46" s="134">
        <f t="shared" si="24"/>
        <v>-0.0208937668333974</v>
      </c>
      <c r="K46" s="131">
        <f t="shared" si="25"/>
        <v>16.6583333333333</v>
      </c>
      <c r="L46" s="174">
        <f t="shared" si="26"/>
        <v>0.171585792896448</v>
      </c>
      <c r="M46" s="133">
        <f t="shared" si="27"/>
        <v>2.85833333333333</v>
      </c>
      <c r="N46" s="131">
        <f t="shared" si="28"/>
        <v>50.3628318584071</v>
      </c>
      <c r="O46" s="131">
        <f t="shared" si="29"/>
        <v>0.385</v>
      </c>
      <c r="P46" s="127">
        <v>50</v>
      </c>
      <c r="Q46" s="136">
        <v>8</v>
      </c>
      <c r="R46" s="137">
        <f t="shared" si="30"/>
        <v>0.144927536231884</v>
      </c>
      <c r="S46" s="134">
        <f t="shared" si="41"/>
        <v>0.100050025012506</v>
      </c>
      <c r="T46" s="137">
        <f t="shared" si="31"/>
        <v>0.217282608695652</v>
      </c>
      <c r="U46" s="137">
        <v>0.01</v>
      </c>
      <c r="V46" s="137">
        <f t="shared" si="32"/>
        <v>0.456185071181224</v>
      </c>
      <c r="W46" s="137">
        <f t="shared" si="33"/>
        <v>0.0278985507246377</v>
      </c>
      <c r="X46" s="135">
        <v>0.1646</v>
      </c>
      <c r="Y46" s="138">
        <v>2</v>
      </c>
      <c r="Z46" s="138">
        <f>F46*0.15</f>
        <v>2.9985</v>
      </c>
      <c r="AA46" s="138">
        <f t="shared" si="34"/>
        <v>0.138</v>
      </c>
      <c r="AB46" s="131">
        <f t="shared" si="35"/>
        <v>2.27148</v>
      </c>
      <c r="AC46" s="131">
        <v>49</v>
      </c>
      <c r="AD46" s="139">
        <f t="shared" si="36"/>
        <v>43.3628318584071</v>
      </c>
      <c r="AE46" s="136">
        <f t="shared" si="37"/>
        <v>0.875</v>
      </c>
      <c r="AF46" s="137">
        <f t="shared" si="38"/>
        <v>0.392779274079774</v>
      </c>
      <c r="AG46" s="137">
        <f t="shared" si="39"/>
        <v>0.0634057971014493</v>
      </c>
      <c r="AH46" s="136">
        <v>7</v>
      </c>
      <c r="AI46" s="137">
        <f t="shared" si="42"/>
        <v>0.375539965104503</v>
      </c>
      <c r="AJ46" s="137"/>
      <c r="AK46" s="137"/>
      <c r="AL46" s="137"/>
      <c r="AM46" s="137"/>
      <c r="AN46" s="140"/>
      <c r="AO46" s="140"/>
      <c r="AP46" s="140"/>
      <c r="AQ46" s="140"/>
      <c r="AR46" s="140"/>
      <c r="AS46" s="140"/>
      <c r="AT46" s="140" t="s">
        <v>376</v>
      </c>
      <c r="AU46" s="140" t="s">
        <v>376</v>
      </c>
      <c r="AV46" s="140" t="s">
        <v>376</v>
      </c>
      <c r="AW46" s="140" t="s">
        <v>376</v>
      </c>
      <c r="AX46" s="140" t="s">
        <v>376</v>
      </c>
      <c r="AY46" s="140" t="s">
        <v>376</v>
      </c>
      <c r="AZ46" s="140" t="s">
        <v>376</v>
      </c>
      <c r="BA46" s="140" t="s">
        <v>376</v>
      </c>
      <c r="BB46" s="140" t="s">
        <v>376</v>
      </c>
      <c r="BC46" s="140" t="s">
        <v>376</v>
      </c>
      <c r="BD46" s="140" t="s">
        <v>376</v>
      </c>
      <c r="BE46" s="140" t="s">
        <v>376</v>
      </c>
      <c r="BF46" s="140" t="s">
        <v>376</v>
      </c>
      <c r="BG46" s="140" t="s">
        <v>376</v>
      </c>
      <c r="BH46" s="140" t="s">
        <v>376</v>
      </c>
      <c r="BI46" s="140" t="s">
        <v>376</v>
      </c>
      <c r="BJ46" s="140" t="s">
        <v>376</v>
      </c>
      <c r="BK46" s="140" t="s">
        <v>376</v>
      </c>
      <c r="BL46" s="140" t="s">
        <v>376</v>
      </c>
      <c r="BM46" s="140" t="s">
        <v>376</v>
      </c>
      <c r="BN46" s="140" t="s">
        <v>376</v>
      </c>
      <c r="BO46" s="140" t="s">
        <v>376</v>
      </c>
      <c r="BP46" s="140" t="s">
        <v>376</v>
      </c>
      <c r="BQ46" s="140" t="s">
        <v>376</v>
      </c>
      <c r="BR46" s="175"/>
      <c r="BS46" s="142" t="s">
        <v>377</v>
      </c>
    </row>
    <row r="47" customHeight="1" spans="1:71">
      <c r="A47" s="127" t="s">
        <v>381</v>
      </c>
      <c r="B47" s="127" t="s">
        <v>27</v>
      </c>
      <c r="C47" s="127"/>
      <c r="D47" s="178" t="s">
        <v>393</v>
      </c>
      <c r="E47" s="130">
        <v>20.5</v>
      </c>
      <c r="F47" s="130">
        <v>29.99</v>
      </c>
      <c r="G47" s="133">
        <f t="shared" si="21"/>
        <v>29.99</v>
      </c>
      <c r="H47" s="133">
        <f t="shared" si="22"/>
        <v>24.9916666666667</v>
      </c>
      <c r="I47" s="133">
        <f t="shared" si="23"/>
        <v>10.4256460176991</v>
      </c>
      <c r="J47" s="134">
        <f t="shared" si="24"/>
        <v>0.508568098424347</v>
      </c>
      <c r="K47" s="131">
        <f t="shared" si="25"/>
        <v>24.9916666666667</v>
      </c>
      <c r="L47" s="174">
        <f t="shared" si="26"/>
        <v>0.179726575525175</v>
      </c>
      <c r="M47" s="133">
        <f t="shared" si="27"/>
        <v>4.49166666666667</v>
      </c>
      <c r="N47" s="131">
        <f t="shared" si="28"/>
        <v>50.3628318584071</v>
      </c>
      <c r="O47" s="131">
        <f t="shared" si="29"/>
        <v>0.335</v>
      </c>
      <c r="P47" s="127">
        <v>50</v>
      </c>
      <c r="Q47" s="136">
        <v>8</v>
      </c>
      <c r="R47" s="137">
        <f t="shared" si="30"/>
        <v>0</v>
      </c>
      <c r="S47" s="134">
        <f t="shared" si="41"/>
        <v>0</v>
      </c>
      <c r="T47" s="137">
        <f t="shared" si="31"/>
        <v>0</v>
      </c>
      <c r="U47" s="137">
        <v>0.01</v>
      </c>
      <c r="V47" s="137">
        <f t="shared" si="32"/>
        <v>0.307090438161019</v>
      </c>
      <c r="W47" s="137">
        <f t="shared" si="33"/>
        <v>0.0163414634146341</v>
      </c>
      <c r="X47" s="135">
        <v>0.158</v>
      </c>
      <c r="Y47" s="138">
        <v>0</v>
      </c>
      <c r="Z47" s="138">
        <f>F47*0</f>
        <v>0</v>
      </c>
      <c r="AA47" s="138">
        <f t="shared" si="34"/>
        <v>0.205</v>
      </c>
      <c r="AB47" s="131">
        <f t="shared" si="35"/>
        <v>3.239</v>
      </c>
      <c r="AC47" s="131">
        <v>49</v>
      </c>
      <c r="AD47" s="139">
        <f t="shared" si="36"/>
        <v>43.3628318584071</v>
      </c>
      <c r="AE47" s="136">
        <f t="shared" si="37"/>
        <v>0.875</v>
      </c>
      <c r="AF47" s="137">
        <f t="shared" si="38"/>
        <v>0.26440751133175</v>
      </c>
      <c r="AG47" s="137">
        <f t="shared" si="39"/>
        <v>0.0426829268292683</v>
      </c>
      <c r="AH47" s="136">
        <v>7</v>
      </c>
      <c r="AI47" s="137">
        <f t="shared" si="42"/>
        <v>0.309329776592197</v>
      </c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 t="s">
        <v>376</v>
      </c>
      <c r="AU47" s="140" t="s">
        <v>376</v>
      </c>
      <c r="AV47" s="140" t="s">
        <v>376</v>
      </c>
      <c r="AW47" s="140" t="s">
        <v>376</v>
      </c>
      <c r="AX47" s="140" t="s">
        <v>376</v>
      </c>
      <c r="AY47" s="140" t="s">
        <v>376</v>
      </c>
      <c r="AZ47" s="140" t="s">
        <v>376</v>
      </c>
      <c r="BA47" s="140" t="s">
        <v>376</v>
      </c>
      <c r="BB47" s="140" t="s">
        <v>376</v>
      </c>
      <c r="BC47" s="140" t="s">
        <v>376</v>
      </c>
      <c r="BD47" s="140" t="s">
        <v>376</v>
      </c>
      <c r="BE47" s="140" t="s">
        <v>376</v>
      </c>
      <c r="BF47" s="140" t="s">
        <v>376</v>
      </c>
      <c r="BG47" s="140" t="s">
        <v>376</v>
      </c>
      <c r="BH47" s="140" t="s">
        <v>376</v>
      </c>
      <c r="BI47" s="140" t="s">
        <v>376</v>
      </c>
      <c r="BJ47" s="140" t="s">
        <v>376</v>
      </c>
      <c r="BK47" s="140" t="s">
        <v>376</v>
      </c>
      <c r="BL47" s="140" t="s">
        <v>376</v>
      </c>
      <c r="BM47" s="140" t="s">
        <v>376</v>
      </c>
      <c r="BN47" s="140" t="s">
        <v>376</v>
      </c>
      <c r="BO47" s="140" t="s">
        <v>376</v>
      </c>
      <c r="BP47" s="140" t="s">
        <v>376</v>
      </c>
      <c r="BQ47" s="140" t="s">
        <v>376</v>
      </c>
      <c r="BR47" s="144" t="e">
        <f>IF(E47&lt;#REF!,1,0)</f>
        <v>#REF!</v>
      </c>
      <c r="BS47" s="142" t="s">
        <v>377</v>
      </c>
    </row>
    <row r="48" customHeight="1" spans="1:71">
      <c r="A48" s="127" t="s">
        <v>383</v>
      </c>
      <c r="B48" s="127" t="s">
        <v>27</v>
      </c>
      <c r="C48" s="127"/>
      <c r="D48" s="178" t="s">
        <v>394</v>
      </c>
      <c r="E48" s="130">
        <v>20.5</v>
      </c>
      <c r="F48" s="130">
        <v>29.99</v>
      </c>
      <c r="G48" s="133">
        <f t="shared" si="21"/>
        <v>29.99</v>
      </c>
      <c r="H48" s="133">
        <f t="shared" si="22"/>
        <v>24.9916666666667</v>
      </c>
      <c r="I48" s="133">
        <f t="shared" si="23"/>
        <v>9.14714601769911</v>
      </c>
      <c r="J48" s="134">
        <f t="shared" si="24"/>
        <v>0.44620224476581</v>
      </c>
      <c r="K48" s="131">
        <f t="shared" si="25"/>
        <v>24.9916666666667</v>
      </c>
      <c r="L48" s="174">
        <f t="shared" si="26"/>
        <v>0.179726575525175</v>
      </c>
      <c r="M48" s="133">
        <f t="shared" si="27"/>
        <v>4.49166666666667</v>
      </c>
      <c r="N48" s="131">
        <f t="shared" si="28"/>
        <v>50.3628318584071</v>
      </c>
      <c r="O48" s="131">
        <f t="shared" si="29"/>
        <v>0.281</v>
      </c>
      <c r="P48" s="127">
        <v>50</v>
      </c>
      <c r="Q48" s="136">
        <v>8</v>
      </c>
      <c r="R48" s="137">
        <f t="shared" si="30"/>
        <v>0</v>
      </c>
      <c r="S48" s="134">
        <f t="shared" si="41"/>
        <v>0</v>
      </c>
      <c r="T48" s="137">
        <f t="shared" si="31"/>
        <v>0</v>
      </c>
      <c r="U48" s="137">
        <v>0.01</v>
      </c>
      <c r="V48" s="137">
        <f t="shared" si="32"/>
        <v>0.307090438161019</v>
      </c>
      <c r="W48" s="137">
        <f t="shared" si="33"/>
        <v>0.0137073170731707</v>
      </c>
      <c r="X48" s="135">
        <v>0.223</v>
      </c>
      <c r="Y48" s="138">
        <v>0</v>
      </c>
      <c r="Z48" s="138">
        <f>F48*0</f>
        <v>0</v>
      </c>
      <c r="AA48" s="138">
        <f t="shared" si="34"/>
        <v>0.205</v>
      </c>
      <c r="AB48" s="131">
        <f t="shared" si="35"/>
        <v>4.5715</v>
      </c>
      <c r="AC48" s="131">
        <v>49</v>
      </c>
      <c r="AD48" s="139">
        <f t="shared" si="36"/>
        <v>43.3628318584071</v>
      </c>
      <c r="AE48" s="136">
        <f t="shared" si="37"/>
        <v>0.875</v>
      </c>
      <c r="AF48" s="137">
        <f t="shared" si="38"/>
        <v>0.26440751133175</v>
      </c>
      <c r="AG48" s="137">
        <f t="shared" si="39"/>
        <v>0.0426829268292683</v>
      </c>
      <c r="AH48" s="136">
        <v>7</v>
      </c>
      <c r="AI48" s="137">
        <f t="shared" si="42"/>
        <v>0.362647549183061</v>
      </c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 t="s">
        <v>376</v>
      </c>
      <c r="AU48" s="140" t="s">
        <v>376</v>
      </c>
      <c r="AV48" s="140" t="s">
        <v>376</v>
      </c>
      <c r="AW48" s="140" t="s">
        <v>376</v>
      </c>
      <c r="AX48" s="140" t="s">
        <v>376</v>
      </c>
      <c r="AY48" s="140" t="s">
        <v>376</v>
      </c>
      <c r="AZ48" s="140" t="s">
        <v>376</v>
      </c>
      <c r="BA48" s="140" t="s">
        <v>376</v>
      </c>
      <c r="BB48" s="140" t="s">
        <v>376</v>
      </c>
      <c r="BC48" s="140" t="s">
        <v>376</v>
      </c>
      <c r="BD48" s="140" t="s">
        <v>376</v>
      </c>
      <c r="BE48" s="140" t="s">
        <v>376</v>
      </c>
      <c r="BF48" s="140" t="s">
        <v>376</v>
      </c>
      <c r="BG48" s="140" t="s">
        <v>376</v>
      </c>
      <c r="BH48" s="140" t="s">
        <v>376</v>
      </c>
      <c r="BI48" s="140" t="s">
        <v>376</v>
      </c>
      <c r="BJ48" s="140" t="s">
        <v>376</v>
      </c>
      <c r="BK48" s="140" t="s">
        <v>376</v>
      </c>
      <c r="BL48" s="140" t="s">
        <v>376</v>
      </c>
      <c r="BM48" s="140" t="s">
        <v>376</v>
      </c>
      <c r="BN48" s="140" t="s">
        <v>376</v>
      </c>
      <c r="BO48" s="140" t="s">
        <v>376</v>
      </c>
      <c r="BP48" s="140" t="s">
        <v>376</v>
      </c>
      <c r="BQ48" s="140" t="s">
        <v>376</v>
      </c>
      <c r="BR48" s="144" t="e">
        <f>IF(E48&lt;#REF!,1,0)</f>
        <v>#REF!</v>
      </c>
      <c r="BS48" s="142" t="s">
        <v>377</v>
      </c>
    </row>
    <row r="49" customHeight="1" spans="1:71">
      <c r="A49" s="127" t="s">
        <v>385</v>
      </c>
      <c r="B49" s="127" t="s">
        <v>27</v>
      </c>
      <c r="C49" s="127"/>
      <c r="D49" s="178" t="s">
        <v>395</v>
      </c>
      <c r="E49" s="130">
        <v>20.5</v>
      </c>
      <c r="F49" s="130">
        <v>29.99</v>
      </c>
      <c r="G49" s="133">
        <f t="shared" si="21"/>
        <v>29.99</v>
      </c>
      <c r="H49" s="133">
        <f t="shared" si="22"/>
        <v>24.9916666666667</v>
      </c>
      <c r="I49" s="133">
        <f t="shared" si="23"/>
        <v>9.06314601769911</v>
      </c>
      <c r="J49" s="134">
        <f t="shared" si="24"/>
        <v>0.442104683790201</v>
      </c>
      <c r="K49" s="131">
        <f t="shared" si="25"/>
        <v>24.9916666666667</v>
      </c>
      <c r="L49" s="174">
        <f t="shared" si="26"/>
        <v>0.179726575525175</v>
      </c>
      <c r="M49" s="133">
        <f t="shared" si="27"/>
        <v>4.49166666666667</v>
      </c>
      <c r="N49" s="131">
        <f t="shared" si="28"/>
        <v>50.3628318584071</v>
      </c>
      <c r="O49" s="131">
        <f t="shared" si="29"/>
        <v>0.365</v>
      </c>
      <c r="P49" s="127">
        <v>50</v>
      </c>
      <c r="Q49" s="136">
        <v>8</v>
      </c>
      <c r="R49" s="137">
        <f t="shared" si="30"/>
        <v>0</v>
      </c>
      <c r="S49" s="134">
        <f t="shared" si="41"/>
        <v>0</v>
      </c>
      <c r="T49" s="137">
        <f t="shared" si="31"/>
        <v>0</v>
      </c>
      <c r="U49" s="137">
        <v>0.01</v>
      </c>
      <c r="V49" s="137">
        <f t="shared" si="32"/>
        <v>0.307090438161019</v>
      </c>
      <c r="W49" s="137">
        <f t="shared" si="33"/>
        <v>0.0178048780487805</v>
      </c>
      <c r="X49" s="135">
        <v>0.223</v>
      </c>
      <c r="Y49" s="138">
        <v>0</v>
      </c>
      <c r="Z49" s="138">
        <f>F49*0</f>
        <v>0</v>
      </c>
      <c r="AA49" s="138">
        <f t="shared" si="34"/>
        <v>0.205</v>
      </c>
      <c r="AB49" s="131">
        <f t="shared" si="35"/>
        <v>4.5715</v>
      </c>
      <c r="AC49" s="131">
        <v>49</v>
      </c>
      <c r="AD49" s="139">
        <f t="shared" si="36"/>
        <v>43.3628318584071</v>
      </c>
      <c r="AE49" s="136">
        <f t="shared" si="37"/>
        <v>0.875</v>
      </c>
      <c r="AF49" s="137">
        <f t="shared" si="38"/>
        <v>0.26440751133175</v>
      </c>
      <c r="AG49" s="137">
        <f t="shared" si="39"/>
        <v>0.0426829268292683</v>
      </c>
      <c r="AH49" s="136">
        <v>7</v>
      </c>
      <c r="AI49" s="137">
        <f t="shared" si="42"/>
        <v>0.362647549183061</v>
      </c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 t="s">
        <v>376</v>
      </c>
      <c r="AU49" s="140" t="s">
        <v>376</v>
      </c>
      <c r="AV49" s="140" t="s">
        <v>376</v>
      </c>
      <c r="AW49" s="140" t="s">
        <v>376</v>
      </c>
      <c r="AX49" s="140" t="s">
        <v>376</v>
      </c>
      <c r="AY49" s="140" t="s">
        <v>376</v>
      </c>
      <c r="AZ49" s="140" t="s">
        <v>376</v>
      </c>
      <c r="BA49" s="140" t="s">
        <v>376</v>
      </c>
      <c r="BB49" s="140" t="s">
        <v>376</v>
      </c>
      <c r="BC49" s="140" t="s">
        <v>376</v>
      </c>
      <c r="BD49" s="140" t="s">
        <v>376</v>
      </c>
      <c r="BE49" s="140" t="s">
        <v>376</v>
      </c>
      <c r="BF49" s="140" t="s">
        <v>376</v>
      </c>
      <c r="BG49" s="140" t="s">
        <v>376</v>
      </c>
      <c r="BH49" s="140" t="s">
        <v>376</v>
      </c>
      <c r="BI49" s="140" t="s">
        <v>376</v>
      </c>
      <c r="BJ49" s="140" t="s">
        <v>376</v>
      </c>
      <c r="BK49" s="140" t="s">
        <v>376</v>
      </c>
      <c r="BL49" s="140" t="s">
        <v>376</v>
      </c>
      <c r="BM49" s="140" t="s">
        <v>376</v>
      </c>
      <c r="BN49" s="140" t="s">
        <v>376</v>
      </c>
      <c r="BO49" s="140" t="s">
        <v>376</v>
      </c>
      <c r="BP49" s="140" t="s">
        <v>376</v>
      </c>
      <c r="BQ49" s="140" t="s">
        <v>376</v>
      </c>
      <c r="BR49" s="144" t="e">
        <f>IF(E49&lt;#REF!,1,0)</f>
        <v>#REF!</v>
      </c>
      <c r="BS49" s="142" t="s">
        <v>377</v>
      </c>
    </row>
    <row r="50" customHeight="1" spans="1:71">
      <c r="A50" s="127" t="s">
        <v>387</v>
      </c>
      <c r="B50" s="127" t="s">
        <v>27</v>
      </c>
      <c r="C50" s="127"/>
      <c r="D50" s="178" t="s">
        <v>396</v>
      </c>
      <c r="E50" s="130">
        <v>20.5</v>
      </c>
      <c r="F50" s="130">
        <v>29.99</v>
      </c>
      <c r="G50" s="133">
        <f t="shared" si="21"/>
        <v>29.99</v>
      </c>
      <c r="H50" s="133">
        <f t="shared" si="22"/>
        <v>24.9916666666667</v>
      </c>
      <c r="I50" s="133">
        <f t="shared" si="23"/>
        <v>10.4756460176991</v>
      </c>
      <c r="J50" s="134">
        <f t="shared" si="24"/>
        <v>0.511007122814591</v>
      </c>
      <c r="K50" s="131">
        <f t="shared" si="25"/>
        <v>24.9916666666667</v>
      </c>
      <c r="L50" s="174">
        <f t="shared" si="26"/>
        <v>0.179726575525175</v>
      </c>
      <c r="M50" s="133">
        <f t="shared" si="27"/>
        <v>4.49166666666667</v>
      </c>
      <c r="N50" s="131">
        <f t="shared" si="28"/>
        <v>50.3628318584071</v>
      </c>
      <c r="O50" s="131">
        <f t="shared" si="29"/>
        <v>0.285</v>
      </c>
      <c r="P50" s="127">
        <v>50</v>
      </c>
      <c r="Q50" s="136">
        <v>8</v>
      </c>
      <c r="R50" s="137">
        <f t="shared" si="30"/>
        <v>0</v>
      </c>
      <c r="S50" s="134">
        <f t="shared" si="41"/>
        <v>0</v>
      </c>
      <c r="T50" s="137">
        <f t="shared" si="31"/>
        <v>0</v>
      </c>
      <c r="U50" s="137">
        <v>0.01</v>
      </c>
      <c r="V50" s="137">
        <f t="shared" si="32"/>
        <v>0.307090438161019</v>
      </c>
      <c r="W50" s="137">
        <f t="shared" si="33"/>
        <v>0.0139024390243902</v>
      </c>
      <c r="X50" s="135">
        <v>0.158</v>
      </c>
      <c r="Y50" s="138">
        <v>0</v>
      </c>
      <c r="Z50" s="138">
        <f>F50*0</f>
        <v>0</v>
      </c>
      <c r="AA50" s="138">
        <f t="shared" si="34"/>
        <v>0.205</v>
      </c>
      <c r="AB50" s="131">
        <f t="shared" si="35"/>
        <v>3.239</v>
      </c>
      <c r="AC50" s="131">
        <v>49</v>
      </c>
      <c r="AD50" s="139">
        <f t="shared" si="36"/>
        <v>43.3628318584071</v>
      </c>
      <c r="AE50" s="136">
        <f t="shared" si="37"/>
        <v>0.875</v>
      </c>
      <c r="AF50" s="137">
        <f t="shared" si="38"/>
        <v>0.26440751133175</v>
      </c>
      <c r="AG50" s="137">
        <f t="shared" si="39"/>
        <v>0.0426829268292683</v>
      </c>
      <c r="AH50" s="136">
        <v>7</v>
      </c>
      <c r="AI50" s="137">
        <f t="shared" si="42"/>
        <v>0.309329776592197</v>
      </c>
      <c r="AJ50" s="137"/>
      <c r="AK50" s="137"/>
      <c r="AL50" s="137"/>
      <c r="AM50" s="137"/>
      <c r="AN50" s="140"/>
      <c r="AO50" s="140"/>
      <c r="AP50" s="140"/>
      <c r="AQ50" s="140"/>
      <c r="AR50" s="140"/>
      <c r="AS50" s="140"/>
      <c r="AT50" s="140" t="s">
        <v>376</v>
      </c>
      <c r="AU50" s="140" t="s">
        <v>376</v>
      </c>
      <c r="AV50" s="140" t="s">
        <v>376</v>
      </c>
      <c r="AW50" s="140" t="s">
        <v>376</v>
      </c>
      <c r="AX50" s="140" t="s">
        <v>376</v>
      </c>
      <c r="AY50" s="140" t="s">
        <v>376</v>
      </c>
      <c r="AZ50" s="140" t="s">
        <v>376</v>
      </c>
      <c r="BA50" s="140" t="s">
        <v>376</v>
      </c>
      <c r="BB50" s="140" t="s">
        <v>376</v>
      </c>
      <c r="BC50" s="140" t="s">
        <v>376</v>
      </c>
      <c r="BD50" s="140" t="s">
        <v>376</v>
      </c>
      <c r="BE50" s="140" t="s">
        <v>376</v>
      </c>
      <c r="BF50" s="140" t="s">
        <v>376</v>
      </c>
      <c r="BG50" s="140" t="s">
        <v>376</v>
      </c>
      <c r="BH50" s="140" t="s">
        <v>376</v>
      </c>
      <c r="BI50" s="140" t="s">
        <v>376</v>
      </c>
      <c r="BJ50" s="140" t="s">
        <v>376</v>
      </c>
      <c r="BK50" s="140" t="s">
        <v>376</v>
      </c>
      <c r="BL50" s="140" t="s">
        <v>376</v>
      </c>
      <c r="BM50" s="140" t="s">
        <v>376</v>
      </c>
      <c r="BN50" s="140" t="s">
        <v>376</v>
      </c>
      <c r="BO50" s="140" t="s">
        <v>376</v>
      </c>
      <c r="BP50" s="140" t="s">
        <v>376</v>
      </c>
      <c r="BQ50" s="140" t="s">
        <v>376</v>
      </c>
      <c r="BR50" s="144" t="e">
        <f>IF(E50&lt;#REF!,1,0)</f>
        <v>#REF!</v>
      </c>
      <c r="BS50" s="142" t="s">
        <v>377</v>
      </c>
    </row>
    <row r="51" customHeight="1" spans="1:71">
      <c r="A51" s="1"/>
      <c r="B51" s="1"/>
      <c r="C51" s="1"/>
      <c r="D51" s="1"/>
      <c r="E51" s="131"/>
      <c r="F51" s="143"/>
      <c r="G51" s="133">
        <f t="shared" si="21"/>
        <v>0</v>
      </c>
      <c r="H51" s="133"/>
      <c r="I51" s="133"/>
      <c r="J51" s="134"/>
      <c r="K51" s="131"/>
      <c r="L51" s="131"/>
      <c r="M51" s="131"/>
      <c r="N51" s="131"/>
      <c r="O51" s="131"/>
      <c r="P51" s="127"/>
      <c r="Q51" s="136"/>
      <c r="R51" s="137"/>
      <c r="S51" s="134"/>
      <c r="T51" s="137"/>
      <c r="U51" s="137"/>
      <c r="V51" s="137"/>
      <c r="W51" s="137"/>
      <c r="X51" s="135"/>
      <c r="Y51" s="138"/>
      <c r="Z51" s="138"/>
      <c r="AA51" s="138"/>
      <c r="AB51" s="131"/>
      <c r="AC51" s="131"/>
      <c r="AD51" s="139"/>
      <c r="AE51" s="136"/>
      <c r="AF51" s="137"/>
      <c r="AG51" s="137"/>
      <c r="AH51" s="136"/>
      <c r="AI51" s="137"/>
      <c r="AJ51" s="137"/>
      <c r="AK51" s="137"/>
      <c r="AL51" s="137"/>
      <c r="AM51" s="137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0"/>
      <c r="BC51" s="140"/>
      <c r="BD51" s="140"/>
      <c r="BE51" s="140"/>
      <c r="BF51" s="140"/>
      <c r="BG51" s="140"/>
      <c r="BH51" s="140"/>
      <c r="BI51" s="140"/>
      <c r="BJ51" s="140"/>
      <c r="BK51" s="140"/>
      <c r="BL51" s="140"/>
      <c r="BM51" s="140"/>
      <c r="BN51" s="140"/>
      <c r="BO51" s="140"/>
      <c r="BP51" s="140"/>
      <c r="BQ51" s="140"/>
      <c r="BR51" s="144"/>
      <c r="BS51" s="142"/>
    </row>
    <row r="52" customHeight="1" spans="1:71">
      <c r="A52" s="127" t="s">
        <v>280</v>
      </c>
      <c r="B52" s="127" t="s">
        <v>27</v>
      </c>
      <c r="C52" s="127"/>
      <c r="D52" s="172" t="s">
        <v>397</v>
      </c>
      <c r="E52" s="132">
        <v>24</v>
      </c>
      <c r="F52" s="173">
        <v>34.99</v>
      </c>
      <c r="G52" s="133">
        <f t="shared" si="21"/>
        <v>34.99</v>
      </c>
      <c r="H52" s="133">
        <f t="shared" ref="H52:H67" si="43">(F52-Z52)/1.2</f>
        <v>29.1583333333333</v>
      </c>
      <c r="I52" s="133">
        <f t="shared" ref="I52:I67" si="44">E52-N52/Q52-AB52-Y52-O52-Z52-AA52</f>
        <v>5.23149115044248</v>
      </c>
      <c r="J52" s="134">
        <f t="shared" ref="J52:J67" si="45">I52/E52</f>
        <v>0.217978797935103</v>
      </c>
      <c r="K52" s="131">
        <f t="shared" ref="K52:K67" si="46">F52/1.2</f>
        <v>29.1583333333333</v>
      </c>
      <c r="L52" s="174">
        <f t="shared" ref="L52:L67" si="47">(K52-E52)/K52</f>
        <v>0.176907687910832</v>
      </c>
      <c r="M52" s="133">
        <f t="shared" ref="M52:M67" si="48">F52/1.2-E52</f>
        <v>5.15833333333333</v>
      </c>
      <c r="N52" s="131">
        <f t="shared" ref="N52:N67" si="49">AD52+AH52</f>
        <v>96.5840707964602</v>
      </c>
      <c r="O52" s="131">
        <f t="shared" ref="O52:O67" si="50">IFERROR(IF(A52="UK",8.95/P52,IF(A52="DE",7.75/P52,IF(A52="FR",14.25/P52,IF(A52="IT",15.25/P52,IF(A52="ES",19.25/P52,IF(A52="NL",16.75/P52,IF(A52="PL",14.05/P52,IF(A52="SE",18.25/P52,IF(A52="BE",14.25/P52))))))))),0)</f>
        <v>0.3875</v>
      </c>
      <c r="P52" s="142">
        <v>20</v>
      </c>
      <c r="Q52" s="136">
        <v>8</v>
      </c>
      <c r="R52" s="137">
        <f t="shared" ref="R52:R67" si="51">Y52/E52</f>
        <v>0.0833333333333333</v>
      </c>
      <c r="S52" s="134">
        <f t="shared" ref="S52:S67" si="52">Y52/F52</f>
        <v>0.0571591883395256</v>
      </c>
      <c r="T52" s="137">
        <f t="shared" ref="T52:T67" si="53">Z52/E52</f>
        <v>0</v>
      </c>
      <c r="U52" s="137">
        <v>0.01</v>
      </c>
      <c r="V52" s="137">
        <f t="shared" ref="V52:V67" si="54">N52/(E52*Q52)</f>
        <v>0.50304203539823</v>
      </c>
      <c r="W52" s="137">
        <f t="shared" ref="W52:W67" si="55">O52/E52</f>
        <v>0.0161458333333333</v>
      </c>
      <c r="X52" s="135">
        <v>0.1695</v>
      </c>
      <c r="Y52" s="138">
        <v>2</v>
      </c>
      <c r="Z52" s="138">
        <v>0</v>
      </c>
      <c r="AA52" s="138">
        <f t="shared" ref="AA52:AA67" si="56">E52*U52</f>
        <v>0.24</v>
      </c>
      <c r="AB52" s="131">
        <f t="shared" ref="AB52:AB67" si="57">E52*X52</f>
        <v>4.068</v>
      </c>
      <c r="AC52" s="131">
        <v>100.1</v>
      </c>
      <c r="AD52" s="139">
        <f t="shared" ref="AD52:AD67" si="58">AC52/1.13</f>
        <v>88.5840707964602</v>
      </c>
      <c r="AE52" s="136">
        <f t="shared" ref="AE52:AE67" si="59">AH52/Q52</f>
        <v>1</v>
      </c>
      <c r="AF52" s="137">
        <f t="shared" ref="AF52:AF67" si="60">AD52/(E52*Q52)</f>
        <v>0.461375368731563</v>
      </c>
      <c r="AG52" s="137">
        <f t="shared" ref="AG52:AG67" si="61">AE52/Q52/E52</f>
        <v>0.00520833333333333</v>
      </c>
      <c r="AH52" s="136">
        <v>8</v>
      </c>
      <c r="AI52" s="137">
        <f>(H52-E52+AB52)/H52</f>
        <v>0.316421834809946</v>
      </c>
      <c r="AJ52" s="137"/>
      <c r="AK52" s="137"/>
      <c r="AL52" s="137"/>
      <c r="AM52" s="137"/>
      <c r="AN52" s="140"/>
      <c r="AO52" s="140"/>
      <c r="AP52" s="140"/>
      <c r="AQ52" s="140"/>
      <c r="AR52" s="140"/>
      <c r="AS52" s="140"/>
      <c r="AT52" s="140" t="s">
        <v>376</v>
      </c>
      <c r="AU52" s="140" t="s">
        <v>376</v>
      </c>
      <c r="AV52" s="140" t="s">
        <v>376</v>
      </c>
      <c r="AW52" s="140" t="s">
        <v>376</v>
      </c>
      <c r="AX52" s="140" t="s">
        <v>376</v>
      </c>
      <c r="AY52" s="140" t="s">
        <v>376</v>
      </c>
      <c r="AZ52" s="140" t="s">
        <v>376</v>
      </c>
      <c r="BA52" s="140" t="s">
        <v>376</v>
      </c>
      <c r="BB52" s="140" t="s">
        <v>376</v>
      </c>
      <c r="BC52" s="140" t="s">
        <v>376</v>
      </c>
      <c r="BD52" s="140" t="s">
        <v>376</v>
      </c>
      <c r="BE52" s="140" t="s">
        <v>376</v>
      </c>
      <c r="BF52" s="140" t="s">
        <v>376</v>
      </c>
      <c r="BG52" s="140" t="s">
        <v>376</v>
      </c>
      <c r="BH52" s="140" t="s">
        <v>376</v>
      </c>
      <c r="BI52" s="140" t="s">
        <v>376</v>
      </c>
      <c r="BJ52" s="140" t="s">
        <v>376</v>
      </c>
      <c r="BK52" s="140" t="s">
        <v>376</v>
      </c>
      <c r="BL52" s="140" t="s">
        <v>376</v>
      </c>
      <c r="BM52" s="140" t="s">
        <v>376</v>
      </c>
      <c r="BN52" s="140" t="s">
        <v>376</v>
      </c>
      <c r="BO52" s="140" t="s">
        <v>376</v>
      </c>
      <c r="BP52" s="140" t="s">
        <v>376</v>
      </c>
      <c r="BQ52" s="140" t="s">
        <v>376</v>
      </c>
      <c r="BR52" s="175"/>
      <c r="BS52" s="142" t="s">
        <v>377</v>
      </c>
    </row>
    <row r="53" customHeight="1" spans="1:71">
      <c r="A53" s="127" t="s">
        <v>280</v>
      </c>
      <c r="B53" s="127" t="s">
        <v>27</v>
      </c>
      <c r="C53" s="127"/>
      <c r="D53" s="172" t="s">
        <v>398</v>
      </c>
      <c r="E53" s="132">
        <v>24</v>
      </c>
      <c r="F53" s="130">
        <v>34.99</v>
      </c>
      <c r="G53" s="133">
        <f t="shared" si="21"/>
        <v>31.491</v>
      </c>
      <c r="H53" s="133">
        <f t="shared" si="43"/>
        <v>26.2425</v>
      </c>
      <c r="I53" s="176">
        <f t="shared" si="44"/>
        <v>1.73249115044248</v>
      </c>
      <c r="J53" s="134">
        <f t="shared" si="45"/>
        <v>0.0721871312684365</v>
      </c>
      <c r="K53" s="131">
        <f t="shared" si="46"/>
        <v>29.1583333333333</v>
      </c>
      <c r="L53" s="174">
        <f t="shared" si="47"/>
        <v>0.176907687910832</v>
      </c>
      <c r="M53" s="133">
        <f t="shared" si="48"/>
        <v>5.15833333333333</v>
      </c>
      <c r="N53" s="131">
        <f t="shared" si="49"/>
        <v>96.5840707964602</v>
      </c>
      <c r="O53" s="131">
        <f t="shared" si="50"/>
        <v>0.3875</v>
      </c>
      <c r="P53" s="127">
        <v>20</v>
      </c>
      <c r="Q53" s="136">
        <v>8</v>
      </c>
      <c r="R53" s="137">
        <f t="shared" si="51"/>
        <v>0.0833333333333333</v>
      </c>
      <c r="S53" s="134">
        <f t="shared" si="52"/>
        <v>0.0571591883395256</v>
      </c>
      <c r="T53" s="137">
        <f t="shared" si="53"/>
        <v>0.145791666666667</v>
      </c>
      <c r="U53" s="137">
        <v>0.01</v>
      </c>
      <c r="V53" s="137">
        <f t="shared" si="54"/>
        <v>0.50304203539823</v>
      </c>
      <c r="W53" s="137">
        <f t="shared" si="55"/>
        <v>0.0161458333333333</v>
      </c>
      <c r="X53" s="135">
        <v>0.1695</v>
      </c>
      <c r="Y53" s="138">
        <v>2</v>
      </c>
      <c r="Z53" s="138">
        <f>F53*0.1</f>
        <v>3.499</v>
      </c>
      <c r="AA53" s="138">
        <f t="shared" si="56"/>
        <v>0.24</v>
      </c>
      <c r="AB53" s="131">
        <f t="shared" si="57"/>
        <v>4.068</v>
      </c>
      <c r="AC53" s="131">
        <v>100.1</v>
      </c>
      <c r="AD53" s="139">
        <f t="shared" si="58"/>
        <v>88.5840707964602</v>
      </c>
      <c r="AE53" s="136">
        <f t="shared" si="59"/>
        <v>1</v>
      </c>
      <c r="AF53" s="137">
        <f t="shared" si="60"/>
        <v>0.461375368731563</v>
      </c>
      <c r="AG53" s="137">
        <f t="shared" si="61"/>
        <v>0.00520833333333333</v>
      </c>
      <c r="AH53" s="136">
        <v>8</v>
      </c>
      <c r="AI53" s="137">
        <f>(H53-E53+AB53)/H53</f>
        <v>0.240468705344384</v>
      </c>
      <c r="AJ53" s="137"/>
      <c r="AK53" s="137"/>
      <c r="AL53" s="137"/>
      <c r="AM53" s="137"/>
      <c r="AN53" s="140"/>
      <c r="AO53" s="140"/>
      <c r="AP53" s="140"/>
      <c r="AQ53" s="140"/>
      <c r="AR53" s="140"/>
      <c r="AS53" s="140"/>
      <c r="AT53" s="140" t="s">
        <v>376</v>
      </c>
      <c r="AU53" s="140" t="s">
        <v>376</v>
      </c>
      <c r="AV53" s="140" t="s">
        <v>376</v>
      </c>
      <c r="AW53" s="140" t="s">
        <v>376</v>
      </c>
      <c r="AX53" s="140" t="s">
        <v>376</v>
      </c>
      <c r="AY53" s="140" t="s">
        <v>376</v>
      </c>
      <c r="AZ53" s="140" t="s">
        <v>376</v>
      </c>
      <c r="BA53" s="140" t="s">
        <v>376</v>
      </c>
      <c r="BB53" s="140" t="s">
        <v>376</v>
      </c>
      <c r="BC53" s="140" t="s">
        <v>376</v>
      </c>
      <c r="BD53" s="140" t="s">
        <v>376</v>
      </c>
      <c r="BE53" s="140" t="s">
        <v>376</v>
      </c>
      <c r="BF53" s="140" t="s">
        <v>376</v>
      </c>
      <c r="BG53" s="140" t="s">
        <v>376</v>
      </c>
      <c r="BH53" s="140" t="s">
        <v>376</v>
      </c>
      <c r="BI53" s="140" t="s">
        <v>376</v>
      </c>
      <c r="BJ53" s="140" t="s">
        <v>376</v>
      </c>
      <c r="BK53" s="140" t="s">
        <v>376</v>
      </c>
      <c r="BL53" s="140" t="s">
        <v>376</v>
      </c>
      <c r="BM53" s="140" t="s">
        <v>376</v>
      </c>
      <c r="BN53" s="140" t="s">
        <v>376</v>
      </c>
      <c r="BO53" s="140" t="s">
        <v>376</v>
      </c>
      <c r="BP53" s="140" t="s">
        <v>376</v>
      </c>
      <c r="BQ53" s="140" t="s">
        <v>376</v>
      </c>
      <c r="BR53" s="175"/>
      <c r="BS53" s="142" t="s">
        <v>377</v>
      </c>
    </row>
    <row r="54" customHeight="1" spans="1:71">
      <c r="A54" s="127" t="s">
        <v>280</v>
      </c>
      <c r="B54" s="127" t="s">
        <v>27</v>
      </c>
      <c r="C54" s="127"/>
      <c r="D54" s="172" t="s">
        <v>399</v>
      </c>
      <c r="E54" s="132">
        <v>24</v>
      </c>
      <c r="F54" s="130">
        <v>34.99</v>
      </c>
      <c r="G54" s="133">
        <f t="shared" si="21"/>
        <v>29.7415</v>
      </c>
      <c r="H54" s="133">
        <f t="shared" si="43"/>
        <v>24.7845833333333</v>
      </c>
      <c r="I54" s="133">
        <f t="shared" si="44"/>
        <v>-0.0170088495575234</v>
      </c>
      <c r="J54" s="134">
        <f t="shared" si="45"/>
        <v>-0.000708702064896806</v>
      </c>
      <c r="K54" s="131">
        <f t="shared" si="46"/>
        <v>29.1583333333333</v>
      </c>
      <c r="L54" s="174">
        <f t="shared" si="47"/>
        <v>0.176907687910832</v>
      </c>
      <c r="M54" s="133">
        <f t="shared" si="48"/>
        <v>5.15833333333333</v>
      </c>
      <c r="N54" s="131">
        <f t="shared" si="49"/>
        <v>96.5840707964602</v>
      </c>
      <c r="O54" s="131">
        <f t="shared" si="50"/>
        <v>0.3875</v>
      </c>
      <c r="P54" s="127">
        <v>20</v>
      </c>
      <c r="Q54" s="136">
        <v>8</v>
      </c>
      <c r="R54" s="137">
        <f t="shared" si="51"/>
        <v>0.0833333333333333</v>
      </c>
      <c r="S54" s="134">
        <f t="shared" si="52"/>
        <v>0.0571591883395256</v>
      </c>
      <c r="T54" s="137">
        <f t="shared" si="53"/>
        <v>0.2186875</v>
      </c>
      <c r="U54" s="137">
        <v>0.01</v>
      </c>
      <c r="V54" s="137">
        <f t="shared" si="54"/>
        <v>0.50304203539823</v>
      </c>
      <c r="W54" s="137">
        <f t="shared" si="55"/>
        <v>0.0161458333333333</v>
      </c>
      <c r="X54" s="135">
        <v>0.1695</v>
      </c>
      <c r="Y54" s="138">
        <v>2</v>
      </c>
      <c r="Z54" s="138">
        <f>F54*0.15</f>
        <v>5.2485</v>
      </c>
      <c r="AA54" s="138">
        <f t="shared" si="56"/>
        <v>0.24</v>
      </c>
      <c r="AB54" s="131">
        <f t="shared" si="57"/>
        <v>4.068</v>
      </c>
      <c r="AC54" s="131">
        <v>100.1</v>
      </c>
      <c r="AD54" s="139">
        <f t="shared" si="58"/>
        <v>88.5840707964602</v>
      </c>
      <c r="AE54" s="136">
        <f t="shared" si="59"/>
        <v>1</v>
      </c>
      <c r="AF54" s="137">
        <f t="shared" si="60"/>
        <v>0.461375368731563</v>
      </c>
      <c r="AG54" s="137">
        <f t="shared" si="61"/>
        <v>0.00520833333333333</v>
      </c>
      <c r="AH54" s="136">
        <v>8</v>
      </c>
      <c r="AI54" s="137">
        <f>(H54-E54+AB54)/H54</f>
        <v>0.195790393894054</v>
      </c>
      <c r="AJ54" s="137"/>
      <c r="AK54" s="137"/>
      <c r="AL54" s="137"/>
      <c r="AM54" s="137"/>
      <c r="AN54" s="140"/>
      <c r="AO54" s="140"/>
      <c r="AP54" s="140"/>
      <c r="AQ54" s="140"/>
      <c r="AR54" s="140"/>
      <c r="AS54" s="140"/>
      <c r="AT54" s="140" t="s">
        <v>376</v>
      </c>
      <c r="AU54" s="140" t="s">
        <v>376</v>
      </c>
      <c r="AV54" s="140" t="s">
        <v>376</v>
      </c>
      <c r="AW54" s="140" t="s">
        <v>376</v>
      </c>
      <c r="AX54" s="140" t="s">
        <v>376</v>
      </c>
      <c r="AY54" s="140" t="s">
        <v>376</v>
      </c>
      <c r="AZ54" s="140" t="s">
        <v>376</v>
      </c>
      <c r="BA54" s="140" t="s">
        <v>376</v>
      </c>
      <c r="BB54" s="140" t="s">
        <v>376</v>
      </c>
      <c r="BC54" s="140" t="s">
        <v>376</v>
      </c>
      <c r="BD54" s="140" t="s">
        <v>376</v>
      </c>
      <c r="BE54" s="140" t="s">
        <v>376</v>
      </c>
      <c r="BF54" s="140" t="s">
        <v>376</v>
      </c>
      <c r="BG54" s="140" t="s">
        <v>376</v>
      </c>
      <c r="BH54" s="140" t="s">
        <v>376</v>
      </c>
      <c r="BI54" s="140" t="s">
        <v>376</v>
      </c>
      <c r="BJ54" s="140" t="s">
        <v>376</v>
      </c>
      <c r="BK54" s="140" t="s">
        <v>376</v>
      </c>
      <c r="BL54" s="140" t="s">
        <v>376</v>
      </c>
      <c r="BM54" s="140" t="s">
        <v>376</v>
      </c>
      <c r="BN54" s="140" t="s">
        <v>376</v>
      </c>
      <c r="BO54" s="140" t="s">
        <v>376</v>
      </c>
      <c r="BP54" s="140" t="s">
        <v>376</v>
      </c>
      <c r="BQ54" s="140" t="s">
        <v>376</v>
      </c>
      <c r="BR54" s="175"/>
      <c r="BS54" s="142" t="s">
        <v>377</v>
      </c>
    </row>
    <row r="55" customHeight="1" spans="1:71">
      <c r="A55" s="127" t="s">
        <v>285</v>
      </c>
      <c r="B55" s="127" t="s">
        <v>27</v>
      </c>
      <c r="C55" s="127"/>
      <c r="D55" s="172" t="s">
        <v>397</v>
      </c>
      <c r="E55" s="132">
        <v>24</v>
      </c>
      <c r="F55" s="130">
        <v>34.99</v>
      </c>
      <c r="G55" s="133">
        <f t="shared" si="21"/>
        <v>34.99</v>
      </c>
      <c r="H55" s="133">
        <f t="shared" si="43"/>
        <v>29.1583333333333</v>
      </c>
      <c r="I55" s="133">
        <f t="shared" si="44"/>
        <v>4.22249115044248</v>
      </c>
      <c r="J55" s="134">
        <f t="shared" si="45"/>
        <v>0.175937131268436</v>
      </c>
      <c r="K55" s="131">
        <f t="shared" si="46"/>
        <v>29.1583333333333</v>
      </c>
      <c r="L55" s="174">
        <f t="shared" si="47"/>
        <v>0.176907687910832</v>
      </c>
      <c r="M55" s="133">
        <f t="shared" si="48"/>
        <v>5.15833333333333</v>
      </c>
      <c r="N55" s="131">
        <f t="shared" si="49"/>
        <v>96.5840707964602</v>
      </c>
      <c r="O55" s="131">
        <f t="shared" si="50"/>
        <v>0.7125</v>
      </c>
      <c r="P55" s="127">
        <v>20</v>
      </c>
      <c r="Q55" s="136">
        <v>8</v>
      </c>
      <c r="R55" s="137">
        <f t="shared" si="51"/>
        <v>0.0833333333333333</v>
      </c>
      <c r="S55" s="134">
        <f t="shared" si="52"/>
        <v>0.0571591883395256</v>
      </c>
      <c r="T55" s="137">
        <f t="shared" si="53"/>
        <v>0</v>
      </c>
      <c r="U55" s="137">
        <v>0.01</v>
      </c>
      <c r="V55" s="137">
        <f t="shared" si="54"/>
        <v>0.50304203539823</v>
      </c>
      <c r="W55" s="137">
        <f t="shared" si="55"/>
        <v>0.0296875</v>
      </c>
      <c r="X55" s="135">
        <v>0.198</v>
      </c>
      <c r="Y55" s="138">
        <v>2</v>
      </c>
      <c r="Z55" s="138">
        <v>0</v>
      </c>
      <c r="AA55" s="138">
        <f t="shared" si="56"/>
        <v>0.24</v>
      </c>
      <c r="AB55" s="131">
        <f t="shared" si="57"/>
        <v>4.752</v>
      </c>
      <c r="AC55" s="131">
        <v>100.1</v>
      </c>
      <c r="AD55" s="139">
        <f t="shared" si="58"/>
        <v>88.5840707964602</v>
      </c>
      <c r="AE55" s="136">
        <f t="shared" si="59"/>
        <v>1</v>
      </c>
      <c r="AF55" s="137">
        <f t="shared" si="60"/>
        <v>0.461375368731563</v>
      </c>
      <c r="AG55" s="137">
        <f t="shared" si="61"/>
        <v>0.00520833333333333</v>
      </c>
      <c r="AH55" s="136">
        <v>8</v>
      </c>
      <c r="AI55" s="137">
        <f>(H55-E55+AB55)/H55</f>
        <v>0.339879965704487</v>
      </c>
      <c r="AJ55" s="137"/>
      <c r="AK55" s="137"/>
      <c r="AL55" s="137"/>
      <c r="AM55" s="137"/>
      <c r="AN55" s="140"/>
      <c r="AO55" s="140"/>
      <c r="AP55" s="140"/>
      <c r="AQ55" s="140"/>
      <c r="AR55" s="140"/>
      <c r="AS55" s="140"/>
      <c r="AT55" s="140" t="s">
        <v>376</v>
      </c>
      <c r="AU55" s="140" t="s">
        <v>376</v>
      </c>
      <c r="AV55" s="140" t="s">
        <v>376</v>
      </c>
      <c r="AW55" s="140" t="s">
        <v>376</v>
      </c>
      <c r="AX55" s="140" t="s">
        <v>376</v>
      </c>
      <c r="AY55" s="140" t="s">
        <v>376</v>
      </c>
      <c r="AZ55" s="140" t="s">
        <v>376</v>
      </c>
      <c r="BA55" s="140" t="s">
        <v>376</v>
      </c>
      <c r="BB55" s="140" t="s">
        <v>376</v>
      </c>
      <c r="BC55" s="140" t="s">
        <v>376</v>
      </c>
      <c r="BD55" s="140" t="s">
        <v>376</v>
      </c>
      <c r="BE55" s="140" t="s">
        <v>376</v>
      </c>
      <c r="BF55" s="140" t="s">
        <v>376</v>
      </c>
      <c r="BG55" s="140" t="s">
        <v>376</v>
      </c>
      <c r="BH55" s="140" t="s">
        <v>376</v>
      </c>
      <c r="BI55" s="140" t="s">
        <v>376</v>
      </c>
      <c r="BJ55" s="140" t="s">
        <v>376</v>
      </c>
      <c r="BK55" s="140" t="s">
        <v>376</v>
      </c>
      <c r="BL55" s="140" t="s">
        <v>376</v>
      </c>
      <c r="BM55" s="140" t="s">
        <v>376</v>
      </c>
      <c r="BN55" s="140" t="s">
        <v>376</v>
      </c>
      <c r="BO55" s="140" t="s">
        <v>376</v>
      </c>
      <c r="BP55" s="140" t="s">
        <v>376</v>
      </c>
      <c r="BQ55" s="140" t="s">
        <v>376</v>
      </c>
      <c r="BR55" s="175"/>
      <c r="BS55" s="142" t="s">
        <v>377</v>
      </c>
    </row>
    <row r="56" customHeight="1" spans="1:71">
      <c r="A56" s="127" t="s">
        <v>285</v>
      </c>
      <c r="B56" s="127" t="s">
        <v>27</v>
      </c>
      <c r="C56" s="127"/>
      <c r="D56" s="172" t="s">
        <v>398</v>
      </c>
      <c r="E56" s="132">
        <v>24</v>
      </c>
      <c r="F56" s="130">
        <v>34.99</v>
      </c>
      <c r="G56" s="133">
        <f t="shared" si="21"/>
        <v>31.491</v>
      </c>
      <c r="H56" s="133">
        <f t="shared" si="43"/>
        <v>26.2425</v>
      </c>
      <c r="I56" s="176">
        <f t="shared" si="44"/>
        <v>0.723491150442476</v>
      </c>
      <c r="J56" s="134">
        <f t="shared" si="45"/>
        <v>0.0301454646017698</v>
      </c>
      <c r="K56" s="131">
        <f t="shared" si="46"/>
        <v>29.1583333333333</v>
      </c>
      <c r="L56" s="174">
        <f t="shared" si="47"/>
        <v>0.176907687910832</v>
      </c>
      <c r="M56" s="133">
        <f t="shared" si="48"/>
        <v>5.15833333333333</v>
      </c>
      <c r="N56" s="131">
        <f t="shared" si="49"/>
        <v>96.5840707964602</v>
      </c>
      <c r="O56" s="131">
        <f t="shared" si="50"/>
        <v>0.7125</v>
      </c>
      <c r="P56" s="127">
        <v>20</v>
      </c>
      <c r="Q56" s="136">
        <v>8</v>
      </c>
      <c r="R56" s="137">
        <f t="shared" si="51"/>
        <v>0.0833333333333333</v>
      </c>
      <c r="S56" s="134">
        <f t="shared" si="52"/>
        <v>0.0571591883395256</v>
      </c>
      <c r="T56" s="137">
        <f t="shared" si="53"/>
        <v>0.145791666666667</v>
      </c>
      <c r="U56" s="137">
        <v>0.01</v>
      </c>
      <c r="V56" s="137">
        <f t="shared" si="54"/>
        <v>0.50304203539823</v>
      </c>
      <c r="W56" s="137">
        <f t="shared" si="55"/>
        <v>0.0296875</v>
      </c>
      <c r="X56" s="135">
        <v>0.198</v>
      </c>
      <c r="Y56" s="138">
        <v>2</v>
      </c>
      <c r="Z56" s="138">
        <f>F56*0.1</f>
        <v>3.499</v>
      </c>
      <c r="AA56" s="138">
        <f t="shared" si="56"/>
        <v>0.24</v>
      </c>
      <c r="AB56" s="131">
        <f t="shared" si="57"/>
        <v>4.752</v>
      </c>
      <c r="AC56" s="131">
        <v>100.1</v>
      </c>
      <c r="AD56" s="139">
        <f t="shared" si="58"/>
        <v>88.5840707964602</v>
      </c>
      <c r="AE56" s="136">
        <f t="shared" si="59"/>
        <v>1</v>
      </c>
      <c r="AF56" s="137">
        <f t="shared" si="60"/>
        <v>0.461375368731563</v>
      </c>
      <c r="AG56" s="137">
        <f t="shared" si="61"/>
        <v>0.00520833333333333</v>
      </c>
      <c r="AH56" s="136">
        <v>8</v>
      </c>
      <c r="AI56" s="137">
        <f>(H56-E56+AB56)/H56</f>
        <v>0.266533295227208</v>
      </c>
      <c r="AJ56" s="137"/>
      <c r="AK56" s="137"/>
      <c r="AL56" s="137"/>
      <c r="AM56" s="137"/>
      <c r="AN56" s="140"/>
      <c r="AO56" s="140"/>
      <c r="AP56" s="140"/>
      <c r="AQ56" s="140"/>
      <c r="AR56" s="140"/>
      <c r="AS56" s="140"/>
      <c r="AT56" s="140" t="s">
        <v>376</v>
      </c>
      <c r="AU56" s="140" t="s">
        <v>376</v>
      </c>
      <c r="AV56" s="140" t="s">
        <v>376</v>
      </c>
      <c r="AW56" s="140" t="s">
        <v>376</v>
      </c>
      <c r="AX56" s="140" t="s">
        <v>376</v>
      </c>
      <c r="AY56" s="140" t="s">
        <v>376</v>
      </c>
      <c r="AZ56" s="140" t="s">
        <v>376</v>
      </c>
      <c r="BA56" s="140" t="s">
        <v>376</v>
      </c>
      <c r="BB56" s="140" t="s">
        <v>376</v>
      </c>
      <c r="BC56" s="140" t="s">
        <v>376</v>
      </c>
      <c r="BD56" s="140" t="s">
        <v>376</v>
      </c>
      <c r="BE56" s="140" t="s">
        <v>376</v>
      </c>
      <c r="BF56" s="140" t="s">
        <v>376</v>
      </c>
      <c r="BG56" s="140" t="s">
        <v>376</v>
      </c>
      <c r="BH56" s="140" t="s">
        <v>376</v>
      </c>
      <c r="BI56" s="140" t="s">
        <v>376</v>
      </c>
      <c r="BJ56" s="140" t="s">
        <v>376</v>
      </c>
      <c r="BK56" s="140" t="s">
        <v>376</v>
      </c>
      <c r="BL56" s="140" t="s">
        <v>376</v>
      </c>
      <c r="BM56" s="140" t="s">
        <v>376</v>
      </c>
      <c r="BN56" s="140" t="s">
        <v>376</v>
      </c>
      <c r="BO56" s="140" t="s">
        <v>376</v>
      </c>
      <c r="BP56" s="140" t="s">
        <v>376</v>
      </c>
      <c r="BQ56" s="140" t="s">
        <v>376</v>
      </c>
      <c r="BR56" s="175"/>
      <c r="BS56" s="142" t="s">
        <v>377</v>
      </c>
    </row>
    <row r="57" customHeight="1" spans="1:71">
      <c r="A57" s="127" t="s">
        <v>285</v>
      </c>
      <c r="B57" s="127" t="s">
        <v>27</v>
      </c>
      <c r="C57" s="127"/>
      <c r="D57" s="172" t="s">
        <v>399</v>
      </c>
      <c r="E57" s="132">
        <v>24</v>
      </c>
      <c r="F57" s="130">
        <v>34.99</v>
      </c>
      <c r="G57" s="133">
        <f t="shared" si="21"/>
        <v>29.7415</v>
      </c>
      <c r="H57" s="133">
        <f t="shared" si="43"/>
        <v>24.7845833333333</v>
      </c>
      <c r="I57" s="133">
        <f t="shared" si="44"/>
        <v>-1.02600884955752</v>
      </c>
      <c r="J57" s="134">
        <f t="shared" si="45"/>
        <v>-0.0427503687315635</v>
      </c>
      <c r="K57" s="131">
        <f t="shared" si="46"/>
        <v>29.1583333333333</v>
      </c>
      <c r="L57" s="174">
        <f t="shared" si="47"/>
        <v>0.176907687910832</v>
      </c>
      <c r="M57" s="133">
        <f t="shared" si="48"/>
        <v>5.15833333333333</v>
      </c>
      <c r="N57" s="131">
        <f t="shared" si="49"/>
        <v>96.5840707964602</v>
      </c>
      <c r="O57" s="131">
        <f t="shared" si="50"/>
        <v>0.7125</v>
      </c>
      <c r="P57" s="127">
        <v>20</v>
      </c>
      <c r="Q57" s="136">
        <v>8</v>
      </c>
      <c r="R57" s="137">
        <f t="shared" si="51"/>
        <v>0.0833333333333333</v>
      </c>
      <c r="S57" s="134">
        <f t="shared" si="52"/>
        <v>0.0571591883395256</v>
      </c>
      <c r="T57" s="137">
        <f t="shared" si="53"/>
        <v>0.2186875</v>
      </c>
      <c r="U57" s="137">
        <v>0.01</v>
      </c>
      <c r="V57" s="137">
        <f t="shared" si="54"/>
        <v>0.50304203539823</v>
      </c>
      <c r="W57" s="137">
        <f t="shared" si="55"/>
        <v>0.0296875</v>
      </c>
      <c r="X57" s="135">
        <v>0.198</v>
      </c>
      <c r="Y57" s="138">
        <v>2</v>
      </c>
      <c r="Z57" s="138">
        <f>F57*0.15</f>
        <v>5.2485</v>
      </c>
      <c r="AA57" s="138">
        <f t="shared" si="56"/>
        <v>0.24</v>
      </c>
      <c r="AB57" s="131">
        <f t="shared" si="57"/>
        <v>4.752</v>
      </c>
      <c r="AC57" s="131">
        <v>100.1</v>
      </c>
      <c r="AD57" s="139">
        <f t="shared" si="58"/>
        <v>88.5840707964602</v>
      </c>
      <c r="AE57" s="136">
        <f t="shared" si="59"/>
        <v>1</v>
      </c>
      <c r="AF57" s="137">
        <f t="shared" si="60"/>
        <v>0.461375368731563</v>
      </c>
      <c r="AG57" s="137">
        <f t="shared" si="61"/>
        <v>0.00520833333333333</v>
      </c>
      <c r="AH57" s="136">
        <v>8</v>
      </c>
      <c r="AI57" s="137">
        <f t="shared" ref="AI57:AI67" si="62">(K57-E57+AB57)/(K57-Z57)</f>
        <v>0.414487763054253</v>
      </c>
      <c r="AJ57" s="137"/>
      <c r="AK57" s="137"/>
      <c r="AL57" s="137"/>
      <c r="AM57" s="137"/>
      <c r="AN57" s="140"/>
      <c r="AO57" s="140"/>
      <c r="AP57" s="140"/>
      <c r="AQ57" s="140"/>
      <c r="AR57" s="140"/>
      <c r="AS57" s="140"/>
      <c r="AT57" s="140" t="s">
        <v>376</v>
      </c>
      <c r="AU57" s="140" t="s">
        <v>376</v>
      </c>
      <c r="AV57" s="140" t="s">
        <v>376</v>
      </c>
      <c r="AW57" s="140" t="s">
        <v>376</v>
      </c>
      <c r="AX57" s="140" t="s">
        <v>376</v>
      </c>
      <c r="AY57" s="140" t="s">
        <v>376</v>
      </c>
      <c r="AZ57" s="140" t="s">
        <v>376</v>
      </c>
      <c r="BA57" s="140" t="s">
        <v>376</v>
      </c>
      <c r="BB57" s="140" t="s">
        <v>376</v>
      </c>
      <c r="BC57" s="140" t="s">
        <v>376</v>
      </c>
      <c r="BD57" s="140" t="s">
        <v>376</v>
      </c>
      <c r="BE57" s="140" t="s">
        <v>376</v>
      </c>
      <c r="BF57" s="140" t="s">
        <v>376</v>
      </c>
      <c r="BG57" s="140" t="s">
        <v>376</v>
      </c>
      <c r="BH57" s="140" t="s">
        <v>376</v>
      </c>
      <c r="BI57" s="140" t="s">
        <v>376</v>
      </c>
      <c r="BJ57" s="140" t="s">
        <v>376</v>
      </c>
      <c r="BK57" s="140" t="s">
        <v>376</v>
      </c>
      <c r="BL57" s="140" t="s">
        <v>376</v>
      </c>
      <c r="BM57" s="140" t="s">
        <v>376</v>
      </c>
      <c r="BN57" s="140" t="s">
        <v>376</v>
      </c>
      <c r="BO57" s="140" t="s">
        <v>376</v>
      </c>
      <c r="BP57" s="140" t="s">
        <v>376</v>
      </c>
      <c r="BQ57" s="140" t="s">
        <v>376</v>
      </c>
      <c r="BR57" s="175"/>
      <c r="BS57" s="142" t="s">
        <v>377</v>
      </c>
    </row>
    <row r="58" customHeight="1" spans="1:71">
      <c r="A58" s="127" t="s">
        <v>287</v>
      </c>
      <c r="B58" s="127" t="s">
        <v>27</v>
      </c>
      <c r="C58" s="127"/>
      <c r="D58" s="172" t="s">
        <v>397</v>
      </c>
      <c r="E58" s="132">
        <v>24</v>
      </c>
      <c r="F58" s="130">
        <v>34.99</v>
      </c>
      <c r="G58" s="133">
        <f t="shared" si="21"/>
        <v>34.99</v>
      </c>
      <c r="H58" s="133">
        <f t="shared" si="43"/>
        <v>29.1583333333333</v>
      </c>
      <c r="I58" s="133">
        <f t="shared" si="44"/>
        <v>4.49409115044248</v>
      </c>
      <c r="J58" s="134">
        <f t="shared" si="45"/>
        <v>0.187253797935103</v>
      </c>
      <c r="K58" s="131">
        <f t="shared" si="46"/>
        <v>29.1583333333333</v>
      </c>
      <c r="L58" s="174">
        <f t="shared" si="47"/>
        <v>0.176907687910832</v>
      </c>
      <c r="M58" s="133">
        <f t="shared" si="48"/>
        <v>5.15833333333333</v>
      </c>
      <c r="N58" s="131">
        <f t="shared" si="49"/>
        <v>96.5840707964602</v>
      </c>
      <c r="O58" s="131">
        <f t="shared" si="50"/>
        <v>0.7625</v>
      </c>
      <c r="P58" s="127">
        <v>20</v>
      </c>
      <c r="Q58" s="136">
        <v>8</v>
      </c>
      <c r="R58" s="137">
        <f t="shared" si="51"/>
        <v>0.0833333333333333</v>
      </c>
      <c r="S58" s="134">
        <f t="shared" si="52"/>
        <v>0.0571591883395256</v>
      </c>
      <c r="T58" s="137">
        <f t="shared" si="53"/>
        <v>0</v>
      </c>
      <c r="U58" s="137">
        <v>0.01</v>
      </c>
      <c r="V58" s="137">
        <f t="shared" si="54"/>
        <v>0.50304203539823</v>
      </c>
      <c r="W58" s="137">
        <f t="shared" si="55"/>
        <v>0.0317708333333333</v>
      </c>
      <c r="X58" s="135">
        <v>0.1846</v>
      </c>
      <c r="Y58" s="138">
        <v>2</v>
      </c>
      <c r="Z58" s="138">
        <v>0</v>
      </c>
      <c r="AA58" s="138">
        <f t="shared" si="56"/>
        <v>0.24</v>
      </c>
      <c r="AB58" s="131">
        <f t="shared" si="57"/>
        <v>4.4304</v>
      </c>
      <c r="AC58" s="131">
        <v>100.1</v>
      </c>
      <c r="AD58" s="139">
        <f t="shared" si="58"/>
        <v>88.5840707964602</v>
      </c>
      <c r="AE58" s="136">
        <f t="shared" si="59"/>
        <v>1</v>
      </c>
      <c r="AF58" s="137">
        <f t="shared" si="60"/>
        <v>0.461375368731563</v>
      </c>
      <c r="AG58" s="137">
        <f t="shared" si="61"/>
        <v>0.00520833333333333</v>
      </c>
      <c r="AH58" s="136">
        <v>8</v>
      </c>
      <c r="AI58" s="134">
        <f t="shared" si="62"/>
        <v>0.328850528722492</v>
      </c>
      <c r="AJ58" s="134"/>
      <c r="AK58" s="134"/>
      <c r="AL58" s="134"/>
      <c r="AM58" s="134"/>
      <c r="AN58" s="140"/>
      <c r="AO58" s="140"/>
      <c r="AP58" s="140"/>
      <c r="AQ58" s="140"/>
      <c r="AR58" s="140"/>
      <c r="AS58" s="140"/>
      <c r="AT58" s="140" t="s">
        <v>376</v>
      </c>
      <c r="AU58" s="140" t="s">
        <v>376</v>
      </c>
      <c r="AV58" s="140" t="s">
        <v>376</v>
      </c>
      <c r="AW58" s="140" t="s">
        <v>376</v>
      </c>
      <c r="AX58" s="140" t="s">
        <v>376</v>
      </c>
      <c r="AY58" s="140" t="s">
        <v>376</v>
      </c>
      <c r="AZ58" s="140" t="s">
        <v>376</v>
      </c>
      <c r="BA58" s="140" t="s">
        <v>376</v>
      </c>
      <c r="BB58" s="140" t="s">
        <v>376</v>
      </c>
      <c r="BC58" s="140" t="s">
        <v>376</v>
      </c>
      <c r="BD58" s="140" t="s">
        <v>376</v>
      </c>
      <c r="BE58" s="140" t="s">
        <v>376</v>
      </c>
      <c r="BF58" s="140" t="s">
        <v>376</v>
      </c>
      <c r="BG58" s="140" t="s">
        <v>376</v>
      </c>
      <c r="BH58" s="140" t="s">
        <v>376</v>
      </c>
      <c r="BI58" s="140" t="s">
        <v>376</v>
      </c>
      <c r="BJ58" s="140" t="s">
        <v>376</v>
      </c>
      <c r="BK58" s="140" t="s">
        <v>376</v>
      </c>
      <c r="BL58" s="140" t="s">
        <v>376</v>
      </c>
      <c r="BM58" s="140" t="s">
        <v>376</v>
      </c>
      <c r="BN58" s="140" t="s">
        <v>376</v>
      </c>
      <c r="BO58" s="140" t="s">
        <v>376</v>
      </c>
      <c r="BP58" s="140" t="s">
        <v>376</v>
      </c>
      <c r="BQ58" s="140" t="s">
        <v>376</v>
      </c>
      <c r="BR58" s="175"/>
      <c r="BS58" s="142" t="s">
        <v>377</v>
      </c>
    </row>
    <row r="59" customHeight="1" spans="1:71">
      <c r="A59" s="127" t="s">
        <v>287</v>
      </c>
      <c r="B59" s="127" t="s">
        <v>27</v>
      </c>
      <c r="C59" s="127"/>
      <c r="D59" s="172" t="s">
        <v>398</v>
      </c>
      <c r="E59" s="132">
        <v>24</v>
      </c>
      <c r="F59" s="130">
        <v>34.99</v>
      </c>
      <c r="G59" s="133">
        <f t="shared" si="21"/>
        <v>31.491</v>
      </c>
      <c r="H59" s="133">
        <f t="shared" si="43"/>
        <v>26.2425</v>
      </c>
      <c r="I59" s="176">
        <f t="shared" si="44"/>
        <v>0.995091150442477</v>
      </c>
      <c r="J59" s="134">
        <f t="shared" si="45"/>
        <v>0.0414621312684365</v>
      </c>
      <c r="K59" s="131">
        <f t="shared" si="46"/>
        <v>29.1583333333333</v>
      </c>
      <c r="L59" s="174">
        <f t="shared" si="47"/>
        <v>0.176907687910832</v>
      </c>
      <c r="M59" s="133">
        <f t="shared" si="48"/>
        <v>5.15833333333333</v>
      </c>
      <c r="N59" s="131">
        <f t="shared" si="49"/>
        <v>96.5840707964602</v>
      </c>
      <c r="O59" s="131">
        <f t="shared" si="50"/>
        <v>0.7625</v>
      </c>
      <c r="P59" s="127">
        <v>20</v>
      </c>
      <c r="Q59" s="136">
        <v>8</v>
      </c>
      <c r="R59" s="137">
        <f t="shared" si="51"/>
        <v>0.0833333333333333</v>
      </c>
      <c r="S59" s="134">
        <f t="shared" si="52"/>
        <v>0.0571591883395256</v>
      </c>
      <c r="T59" s="137">
        <f t="shared" si="53"/>
        <v>0.145791666666667</v>
      </c>
      <c r="U59" s="137">
        <v>0.01</v>
      </c>
      <c r="V59" s="137">
        <f t="shared" si="54"/>
        <v>0.50304203539823</v>
      </c>
      <c r="W59" s="137">
        <f t="shared" si="55"/>
        <v>0.0317708333333333</v>
      </c>
      <c r="X59" s="135">
        <v>0.1846</v>
      </c>
      <c r="Y59" s="138">
        <v>2</v>
      </c>
      <c r="Z59" s="138">
        <f>F59*0.1</f>
        <v>3.499</v>
      </c>
      <c r="AA59" s="138">
        <f t="shared" si="56"/>
        <v>0.24</v>
      </c>
      <c r="AB59" s="131">
        <f t="shared" si="57"/>
        <v>4.4304</v>
      </c>
      <c r="AC59" s="131">
        <v>100.1</v>
      </c>
      <c r="AD59" s="139">
        <f t="shared" si="58"/>
        <v>88.5840707964602</v>
      </c>
      <c r="AE59" s="136">
        <f t="shared" si="59"/>
        <v>1</v>
      </c>
      <c r="AF59" s="137">
        <f t="shared" si="60"/>
        <v>0.461375368731563</v>
      </c>
      <c r="AG59" s="137">
        <f t="shared" si="61"/>
        <v>0.00520833333333333</v>
      </c>
      <c r="AH59" s="136">
        <v>8</v>
      </c>
      <c r="AI59" s="134">
        <f t="shared" si="62"/>
        <v>0.373693782639196</v>
      </c>
      <c r="AJ59" s="134"/>
      <c r="AK59" s="134"/>
      <c r="AL59" s="134"/>
      <c r="AM59" s="134"/>
      <c r="AN59" s="140"/>
      <c r="AO59" s="140"/>
      <c r="AP59" s="140"/>
      <c r="AQ59" s="140"/>
      <c r="AR59" s="140"/>
      <c r="AS59" s="140"/>
      <c r="AT59" s="140" t="s">
        <v>376</v>
      </c>
      <c r="AU59" s="140" t="s">
        <v>376</v>
      </c>
      <c r="AV59" s="140" t="s">
        <v>376</v>
      </c>
      <c r="AW59" s="140" t="s">
        <v>376</v>
      </c>
      <c r="AX59" s="140" t="s">
        <v>376</v>
      </c>
      <c r="AY59" s="140" t="s">
        <v>376</v>
      </c>
      <c r="AZ59" s="140" t="s">
        <v>376</v>
      </c>
      <c r="BA59" s="140" t="s">
        <v>376</v>
      </c>
      <c r="BB59" s="140" t="s">
        <v>376</v>
      </c>
      <c r="BC59" s="140" t="s">
        <v>376</v>
      </c>
      <c r="BD59" s="140" t="s">
        <v>376</v>
      </c>
      <c r="BE59" s="140" t="s">
        <v>376</v>
      </c>
      <c r="BF59" s="140" t="s">
        <v>376</v>
      </c>
      <c r="BG59" s="140" t="s">
        <v>376</v>
      </c>
      <c r="BH59" s="140" t="s">
        <v>376</v>
      </c>
      <c r="BI59" s="140" t="s">
        <v>376</v>
      </c>
      <c r="BJ59" s="140" t="s">
        <v>376</v>
      </c>
      <c r="BK59" s="140" t="s">
        <v>376</v>
      </c>
      <c r="BL59" s="140" t="s">
        <v>376</v>
      </c>
      <c r="BM59" s="140" t="s">
        <v>376</v>
      </c>
      <c r="BN59" s="140" t="s">
        <v>376</v>
      </c>
      <c r="BO59" s="140" t="s">
        <v>376</v>
      </c>
      <c r="BP59" s="140" t="s">
        <v>376</v>
      </c>
      <c r="BQ59" s="140" t="s">
        <v>376</v>
      </c>
      <c r="BR59" s="175"/>
      <c r="BS59" s="142" t="s">
        <v>377</v>
      </c>
    </row>
    <row r="60" customHeight="1" spans="1:71">
      <c r="A60" s="127" t="s">
        <v>287</v>
      </c>
      <c r="B60" s="127" t="s">
        <v>27</v>
      </c>
      <c r="C60" s="127"/>
      <c r="D60" s="172" t="s">
        <v>399</v>
      </c>
      <c r="E60" s="132">
        <v>24</v>
      </c>
      <c r="F60" s="130">
        <v>34.99</v>
      </c>
      <c r="G60" s="133">
        <f t="shared" si="21"/>
        <v>29.7415</v>
      </c>
      <c r="H60" s="133">
        <f t="shared" si="43"/>
        <v>24.7845833333333</v>
      </c>
      <c r="I60" s="133">
        <f t="shared" si="44"/>
        <v>-0.754408849557523</v>
      </c>
      <c r="J60" s="134">
        <f t="shared" si="45"/>
        <v>-0.0314337020648968</v>
      </c>
      <c r="K60" s="131">
        <f t="shared" si="46"/>
        <v>29.1583333333333</v>
      </c>
      <c r="L60" s="174">
        <f t="shared" si="47"/>
        <v>0.176907687910832</v>
      </c>
      <c r="M60" s="133">
        <f t="shared" si="48"/>
        <v>5.15833333333333</v>
      </c>
      <c r="N60" s="131">
        <f t="shared" si="49"/>
        <v>96.5840707964602</v>
      </c>
      <c r="O60" s="131">
        <f t="shared" si="50"/>
        <v>0.7625</v>
      </c>
      <c r="P60" s="127">
        <v>20</v>
      </c>
      <c r="Q60" s="136">
        <v>8</v>
      </c>
      <c r="R60" s="137">
        <f t="shared" si="51"/>
        <v>0.0833333333333333</v>
      </c>
      <c r="S60" s="134">
        <f t="shared" si="52"/>
        <v>0.0571591883395256</v>
      </c>
      <c r="T60" s="137">
        <f t="shared" si="53"/>
        <v>0.2186875</v>
      </c>
      <c r="U60" s="137">
        <v>0.01</v>
      </c>
      <c r="V60" s="137">
        <f t="shared" si="54"/>
        <v>0.50304203539823</v>
      </c>
      <c r="W60" s="137">
        <f t="shared" si="55"/>
        <v>0.0317708333333333</v>
      </c>
      <c r="X60" s="135">
        <v>0.1846</v>
      </c>
      <c r="Y60" s="138">
        <v>2</v>
      </c>
      <c r="Z60" s="138">
        <f>F60*0.15</f>
        <v>5.2485</v>
      </c>
      <c r="AA60" s="138">
        <f t="shared" si="56"/>
        <v>0.24</v>
      </c>
      <c r="AB60" s="131">
        <f t="shared" si="57"/>
        <v>4.4304</v>
      </c>
      <c r="AC60" s="131">
        <v>100.1</v>
      </c>
      <c r="AD60" s="139">
        <f t="shared" si="58"/>
        <v>88.5840707964602</v>
      </c>
      <c r="AE60" s="136">
        <f t="shared" si="59"/>
        <v>1</v>
      </c>
      <c r="AF60" s="137">
        <f t="shared" si="60"/>
        <v>0.461375368731563</v>
      </c>
      <c r="AG60" s="137">
        <f t="shared" si="61"/>
        <v>0.00520833333333333</v>
      </c>
      <c r="AH60" s="136">
        <v>8</v>
      </c>
      <c r="AI60" s="134">
        <f t="shared" si="62"/>
        <v>0.401037230149381</v>
      </c>
      <c r="AJ60" s="134"/>
      <c r="AK60" s="134"/>
      <c r="AL60" s="134"/>
      <c r="AM60" s="134"/>
      <c r="AN60" s="140"/>
      <c r="AO60" s="140"/>
      <c r="AP60" s="140"/>
      <c r="AQ60" s="140"/>
      <c r="AR60" s="140"/>
      <c r="AS60" s="140"/>
      <c r="AT60" s="140" t="s">
        <v>376</v>
      </c>
      <c r="AU60" s="140" t="s">
        <v>376</v>
      </c>
      <c r="AV60" s="140" t="s">
        <v>376</v>
      </c>
      <c r="AW60" s="140" t="s">
        <v>376</v>
      </c>
      <c r="AX60" s="140" t="s">
        <v>376</v>
      </c>
      <c r="AY60" s="140" t="s">
        <v>376</v>
      </c>
      <c r="AZ60" s="140" t="s">
        <v>376</v>
      </c>
      <c r="BA60" s="140" t="s">
        <v>376</v>
      </c>
      <c r="BB60" s="140" t="s">
        <v>376</v>
      </c>
      <c r="BC60" s="140" t="s">
        <v>376</v>
      </c>
      <c r="BD60" s="140" t="s">
        <v>376</v>
      </c>
      <c r="BE60" s="140" t="s">
        <v>376</v>
      </c>
      <c r="BF60" s="140" t="s">
        <v>376</v>
      </c>
      <c r="BG60" s="140" t="s">
        <v>376</v>
      </c>
      <c r="BH60" s="140" t="s">
        <v>376</v>
      </c>
      <c r="BI60" s="140" t="s">
        <v>376</v>
      </c>
      <c r="BJ60" s="140" t="s">
        <v>376</v>
      </c>
      <c r="BK60" s="140" t="s">
        <v>376</v>
      </c>
      <c r="BL60" s="140" t="s">
        <v>376</v>
      </c>
      <c r="BM60" s="140" t="s">
        <v>376</v>
      </c>
      <c r="BN60" s="140" t="s">
        <v>376</v>
      </c>
      <c r="BO60" s="140" t="s">
        <v>376</v>
      </c>
      <c r="BP60" s="140" t="s">
        <v>376</v>
      </c>
      <c r="BQ60" s="140" t="s">
        <v>376</v>
      </c>
      <c r="BR60" s="175"/>
      <c r="BS60" s="142" t="s">
        <v>377</v>
      </c>
    </row>
    <row r="61" customHeight="1" spans="1:71">
      <c r="A61" s="127" t="s">
        <v>290</v>
      </c>
      <c r="B61" s="127" t="s">
        <v>27</v>
      </c>
      <c r="C61" s="127"/>
      <c r="D61" s="172" t="s">
        <v>397</v>
      </c>
      <c r="E61" s="132">
        <v>24</v>
      </c>
      <c r="F61" s="130">
        <v>34.99</v>
      </c>
      <c r="G61" s="133">
        <f t="shared" si="21"/>
        <v>34.99</v>
      </c>
      <c r="H61" s="133">
        <f t="shared" si="43"/>
        <v>29.1583333333333</v>
      </c>
      <c r="I61" s="133">
        <f t="shared" si="44"/>
        <v>4.77409115044248</v>
      </c>
      <c r="J61" s="134">
        <f t="shared" si="45"/>
        <v>0.19892046460177</v>
      </c>
      <c r="K61" s="131">
        <f t="shared" si="46"/>
        <v>29.1583333333333</v>
      </c>
      <c r="L61" s="174">
        <f t="shared" si="47"/>
        <v>0.176907687910832</v>
      </c>
      <c r="M61" s="133">
        <f t="shared" si="48"/>
        <v>5.15833333333333</v>
      </c>
      <c r="N61" s="131">
        <f t="shared" si="49"/>
        <v>96.5840707964602</v>
      </c>
      <c r="O61" s="131">
        <f t="shared" si="50"/>
        <v>0.9625</v>
      </c>
      <c r="P61" s="127">
        <v>20</v>
      </c>
      <c r="Q61" s="136">
        <v>8</v>
      </c>
      <c r="R61" s="137">
        <f t="shared" si="51"/>
        <v>0.0833333333333333</v>
      </c>
      <c r="S61" s="134">
        <f t="shared" si="52"/>
        <v>0.0571591883395256</v>
      </c>
      <c r="T61" s="137">
        <f t="shared" si="53"/>
        <v>0</v>
      </c>
      <c r="U61" s="137">
        <v>0.01</v>
      </c>
      <c r="V61" s="137">
        <f t="shared" si="54"/>
        <v>0.50304203539823</v>
      </c>
      <c r="W61" s="137">
        <f t="shared" si="55"/>
        <v>0.0401041666666667</v>
      </c>
      <c r="X61" s="135">
        <v>0.1646</v>
      </c>
      <c r="Y61" s="138">
        <v>2</v>
      </c>
      <c r="Z61" s="138">
        <v>0</v>
      </c>
      <c r="AA61" s="138">
        <f t="shared" si="56"/>
        <v>0.24</v>
      </c>
      <c r="AB61" s="131">
        <f t="shared" si="57"/>
        <v>3.9504</v>
      </c>
      <c r="AC61" s="131">
        <v>100.1</v>
      </c>
      <c r="AD61" s="139">
        <f t="shared" si="58"/>
        <v>88.5840707964602</v>
      </c>
      <c r="AE61" s="136">
        <f t="shared" si="59"/>
        <v>1</v>
      </c>
      <c r="AF61" s="137">
        <f t="shared" si="60"/>
        <v>0.461375368731563</v>
      </c>
      <c r="AG61" s="137">
        <f t="shared" si="61"/>
        <v>0.00520833333333333</v>
      </c>
      <c r="AH61" s="136">
        <v>8</v>
      </c>
      <c r="AI61" s="137">
        <f t="shared" si="62"/>
        <v>0.312388682480709</v>
      </c>
      <c r="AJ61" s="137"/>
      <c r="AK61" s="137"/>
      <c r="AL61" s="137"/>
      <c r="AM61" s="137"/>
      <c r="AN61" s="140"/>
      <c r="AO61" s="140"/>
      <c r="AP61" s="140"/>
      <c r="AQ61" s="140"/>
      <c r="AR61" s="140"/>
      <c r="AS61" s="140"/>
      <c r="AT61" s="140" t="s">
        <v>376</v>
      </c>
      <c r="AU61" s="140" t="s">
        <v>376</v>
      </c>
      <c r="AV61" s="140" t="s">
        <v>376</v>
      </c>
      <c r="AW61" s="140" t="s">
        <v>376</v>
      </c>
      <c r="AX61" s="140" t="s">
        <v>376</v>
      </c>
      <c r="AY61" s="140" t="s">
        <v>376</v>
      </c>
      <c r="AZ61" s="140" t="s">
        <v>376</v>
      </c>
      <c r="BA61" s="140" t="s">
        <v>376</v>
      </c>
      <c r="BB61" s="140" t="s">
        <v>376</v>
      </c>
      <c r="BC61" s="140" t="s">
        <v>376</v>
      </c>
      <c r="BD61" s="140" t="s">
        <v>376</v>
      </c>
      <c r="BE61" s="140" t="s">
        <v>376</v>
      </c>
      <c r="BF61" s="140" t="s">
        <v>376</v>
      </c>
      <c r="BG61" s="140" t="s">
        <v>376</v>
      </c>
      <c r="BH61" s="140" t="s">
        <v>376</v>
      </c>
      <c r="BI61" s="140" t="s">
        <v>376</v>
      </c>
      <c r="BJ61" s="140" t="s">
        <v>376</v>
      </c>
      <c r="BK61" s="140" t="s">
        <v>376</v>
      </c>
      <c r="BL61" s="140" t="s">
        <v>376</v>
      </c>
      <c r="BM61" s="140" t="s">
        <v>376</v>
      </c>
      <c r="BN61" s="140" t="s">
        <v>376</v>
      </c>
      <c r="BO61" s="140" t="s">
        <v>376</v>
      </c>
      <c r="BP61" s="140" t="s">
        <v>376</v>
      </c>
      <c r="BQ61" s="140" t="s">
        <v>376</v>
      </c>
      <c r="BR61" s="175"/>
      <c r="BS61" s="142" t="s">
        <v>377</v>
      </c>
    </row>
    <row r="62" customHeight="1" spans="1:71">
      <c r="A62" s="127" t="s">
        <v>290</v>
      </c>
      <c r="B62" s="127" t="s">
        <v>27</v>
      </c>
      <c r="C62" s="127"/>
      <c r="D62" s="172" t="s">
        <v>398</v>
      </c>
      <c r="E62" s="132">
        <v>24</v>
      </c>
      <c r="F62" s="130">
        <v>34.99</v>
      </c>
      <c r="G62" s="133">
        <f t="shared" si="21"/>
        <v>31.491</v>
      </c>
      <c r="H62" s="133">
        <f t="shared" si="43"/>
        <v>26.2425</v>
      </c>
      <c r="I62" s="176">
        <f t="shared" si="44"/>
        <v>1.27509115044248</v>
      </c>
      <c r="J62" s="134">
        <f t="shared" si="45"/>
        <v>0.0531287979351032</v>
      </c>
      <c r="K62" s="131">
        <f t="shared" si="46"/>
        <v>29.1583333333333</v>
      </c>
      <c r="L62" s="174">
        <f t="shared" si="47"/>
        <v>0.176907687910832</v>
      </c>
      <c r="M62" s="133">
        <f t="shared" si="48"/>
        <v>5.15833333333333</v>
      </c>
      <c r="N62" s="131">
        <f t="shared" si="49"/>
        <v>96.5840707964602</v>
      </c>
      <c r="O62" s="131">
        <f t="shared" si="50"/>
        <v>0.9625</v>
      </c>
      <c r="P62" s="127">
        <v>20</v>
      </c>
      <c r="Q62" s="136">
        <v>8</v>
      </c>
      <c r="R62" s="137">
        <f t="shared" si="51"/>
        <v>0.0833333333333333</v>
      </c>
      <c r="S62" s="134">
        <f t="shared" si="52"/>
        <v>0.0571591883395256</v>
      </c>
      <c r="T62" s="137">
        <f t="shared" si="53"/>
        <v>0.145791666666667</v>
      </c>
      <c r="U62" s="137">
        <v>0.01</v>
      </c>
      <c r="V62" s="137">
        <f t="shared" si="54"/>
        <v>0.50304203539823</v>
      </c>
      <c r="W62" s="137">
        <f t="shared" si="55"/>
        <v>0.0401041666666667</v>
      </c>
      <c r="X62" s="135">
        <v>0.1646</v>
      </c>
      <c r="Y62" s="138">
        <v>2</v>
      </c>
      <c r="Z62" s="138">
        <f>F62*0.1</f>
        <v>3.499</v>
      </c>
      <c r="AA62" s="138">
        <f t="shared" si="56"/>
        <v>0.24</v>
      </c>
      <c r="AB62" s="131">
        <f t="shared" si="57"/>
        <v>3.9504</v>
      </c>
      <c r="AC62" s="131">
        <v>100.1</v>
      </c>
      <c r="AD62" s="139">
        <f t="shared" si="58"/>
        <v>88.5840707964602</v>
      </c>
      <c r="AE62" s="136">
        <f t="shared" si="59"/>
        <v>1</v>
      </c>
      <c r="AF62" s="137">
        <f t="shared" si="60"/>
        <v>0.461375368731563</v>
      </c>
      <c r="AG62" s="137">
        <f t="shared" si="61"/>
        <v>0.00520833333333333</v>
      </c>
      <c r="AH62" s="136">
        <v>8</v>
      </c>
      <c r="AI62" s="137">
        <f t="shared" si="62"/>
        <v>0.354987139182624</v>
      </c>
      <c r="AJ62" s="137"/>
      <c r="AK62" s="137"/>
      <c r="AL62" s="137"/>
      <c r="AM62" s="137"/>
      <c r="AN62" s="140"/>
      <c r="AO62" s="140"/>
      <c r="AP62" s="140"/>
      <c r="AQ62" s="140"/>
      <c r="AR62" s="140"/>
      <c r="AS62" s="140"/>
      <c r="AT62" s="140" t="s">
        <v>376</v>
      </c>
      <c r="AU62" s="140" t="s">
        <v>376</v>
      </c>
      <c r="AV62" s="140" t="s">
        <v>376</v>
      </c>
      <c r="AW62" s="140" t="s">
        <v>376</v>
      </c>
      <c r="AX62" s="140" t="s">
        <v>376</v>
      </c>
      <c r="AY62" s="140" t="s">
        <v>376</v>
      </c>
      <c r="AZ62" s="140" t="s">
        <v>376</v>
      </c>
      <c r="BA62" s="140" t="s">
        <v>376</v>
      </c>
      <c r="BB62" s="140" t="s">
        <v>376</v>
      </c>
      <c r="BC62" s="140" t="s">
        <v>376</v>
      </c>
      <c r="BD62" s="140" t="s">
        <v>376</v>
      </c>
      <c r="BE62" s="140" t="s">
        <v>376</v>
      </c>
      <c r="BF62" s="140" t="s">
        <v>376</v>
      </c>
      <c r="BG62" s="140" t="s">
        <v>376</v>
      </c>
      <c r="BH62" s="140" t="s">
        <v>376</v>
      </c>
      <c r="BI62" s="140" t="s">
        <v>376</v>
      </c>
      <c r="BJ62" s="140" t="s">
        <v>376</v>
      </c>
      <c r="BK62" s="140" t="s">
        <v>376</v>
      </c>
      <c r="BL62" s="140" t="s">
        <v>376</v>
      </c>
      <c r="BM62" s="140" t="s">
        <v>376</v>
      </c>
      <c r="BN62" s="140" t="s">
        <v>376</v>
      </c>
      <c r="BO62" s="140" t="s">
        <v>376</v>
      </c>
      <c r="BP62" s="140" t="s">
        <v>376</v>
      </c>
      <c r="BQ62" s="140" t="s">
        <v>376</v>
      </c>
      <c r="BR62" s="175"/>
      <c r="BS62" s="142" t="s">
        <v>377</v>
      </c>
    </row>
    <row r="63" customHeight="1" spans="1:71">
      <c r="A63" s="127" t="s">
        <v>290</v>
      </c>
      <c r="B63" s="127" t="s">
        <v>27</v>
      </c>
      <c r="C63" s="127"/>
      <c r="D63" s="172" t="s">
        <v>399</v>
      </c>
      <c r="E63" s="132">
        <v>24</v>
      </c>
      <c r="F63" s="130">
        <v>34.99</v>
      </c>
      <c r="G63" s="133">
        <f t="shared" si="21"/>
        <v>29.7415</v>
      </c>
      <c r="H63" s="133">
        <f t="shared" si="43"/>
        <v>24.7845833333333</v>
      </c>
      <c r="I63" s="133">
        <f t="shared" si="44"/>
        <v>-0.474408849557523</v>
      </c>
      <c r="J63" s="134">
        <f t="shared" si="45"/>
        <v>-0.0197670353982301</v>
      </c>
      <c r="K63" s="131">
        <f t="shared" si="46"/>
        <v>29.1583333333333</v>
      </c>
      <c r="L63" s="174">
        <f t="shared" si="47"/>
        <v>0.176907687910832</v>
      </c>
      <c r="M63" s="133">
        <f t="shared" si="48"/>
        <v>5.15833333333333</v>
      </c>
      <c r="N63" s="131">
        <f t="shared" si="49"/>
        <v>96.5840707964602</v>
      </c>
      <c r="O63" s="131">
        <f t="shared" si="50"/>
        <v>0.9625</v>
      </c>
      <c r="P63" s="127">
        <v>20</v>
      </c>
      <c r="Q63" s="136">
        <v>8</v>
      </c>
      <c r="R63" s="137">
        <f t="shared" si="51"/>
        <v>0.0833333333333333</v>
      </c>
      <c r="S63" s="134">
        <f t="shared" si="52"/>
        <v>0.0571591883395256</v>
      </c>
      <c r="T63" s="137">
        <f t="shared" si="53"/>
        <v>0.2186875</v>
      </c>
      <c r="U63" s="137">
        <v>0.01</v>
      </c>
      <c r="V63" s="137">
        <f t="shared" si="54"/>
        <v>0.50304203539823</v>
      </c>
      <c r="W63" s="137">
        <f t="shared" si="55"/>
        <v>0.0401041666666667</v>
      </c>
      <c r="X63" s="135">
        <v>0.1646</v>
      </c>
      <c r="Y63" s="138">
        <v>2</v>
      </c>
      <c r="Z63" s="138">
        <f>F63*0.15</f>
        <v>5.2485</v>
      </c>
      <c r="AA63" s="138">
        <f t="shared" si="56"/>
        <v>0.24</v>
      </c>
      <c r="AB63" s="131">
        <f t="shared" si="57"/>
        <v>3.9504</v>
      </c>
      <c r="AC63" s="131">
        <v>100.1</v>
      </c>
      <c r="AD63" s="139">
        <f t="shared" si="58"/>
        <v>88.5840707964602</v>
      </c>
      <c r="AE63" s="136">
        <f t="shared" si="59"/>
        <v>1</v>
      </c>
      <c r="AF63" s="137">
        <f t="shared" si="60"/>
        <v>0.461375368731563</v>
      </c>
      <c r="AG63" s="137">
        <f t="shared" si="61"/>
        <v>0.00520833333333333</v>
      </c>
      <c r="AH63" s="136">
        <v>8</v>
      </c>
      <c r="AI63" s="137">
        <f t="shared" si="62"/>
        <v>0.380961807903303</v>
      </c>
      <c r="AJ63" s="137"/>
      <c r="AK63" s="137"/>
      <c r="AL63" s="137"/>
      <c r="AM63" s="137"/>
      <c r="AN63" s="140"/>
      <c r="AO63" s="140"/>
      <c r="AP63" s="140"/>
      <c r="AQ63" s="140"/>
      <c r="AR63" s="140"/>
      <c r="AS63" s="140"/>
      <c r="AT63" s="140" t="s">
        <v>376</v>
      </c>
      <c r="AU63" s="140" t="s">
        <v>376</v>
      </c>
      <c r="AV63" s="140" t="s">
        <v>376</v>
      </c>
      <c r="AW63" s="140" t="s">
        <v>376</v>
      </c>
      <c r="AX63" s="140" t="s">
        <v>376</v>
      </c>
      <c r="AY63" s="140" t="s">
        <v>376</v>
      </c>
      <c r="AZ63" s="140" t="s">
        <v>376</v>
      </c>
      <c r="BA63" s="140" t="s">
        <v>376</v>
      </c>
      <c r="BB63" s="140" t="s">
        <v>376</v>
      </c>
      <c r="BC63" s="140" t="s">
        <v>376</v>
      </c>
      <c r="BD63" s="140" t="s">
        <v>376</v>
      </c>
      <c r="BE63" s="140" t="s">
        <v>376</v>
      </c>
      <c r="BF63" s="140" t="s">
        <v>376</v>
      </c>
      <c r="BG63" s="140" t="s">
        <v>376</v>
      </c>
      <c r="BH63" s="140" t="s">
        <v>376</v>
      </c>
      <c r="BI63" s="140" t="s">
        <v>376</v>
      </c>
      <c r="BJ63" s="140" t="s">
        <v>376</v>
      </c>
      <c r="BK63" s="140" t="s">
        <v>376</v>
      </c>
      <c r="BL63" s="140" t="s">
        <v>376</v>
      </c>
      <c r="BM63" s="140" t="s">
        <v>376</v>
      </c>
      <c r="BN63" s="140" t="s">
        <v>376</v>
      </c>
      <c r="BO63" s="140" t="s">
        <v>376</v>
      </c>
      <c r="BP63" s="140" t="s">
        <v>376</v>
      </c>
      <c r="BQ63" s="140" t="s">
        <v>376</v>
      </c>
      <c r="BR63" s="175"/>
      <c r="BS63" s="142" t="s">
        <v>377</v>
      </c>
    </row>
    <row r="64" customHeight="1" spans="1:71">
      <c r="A64" s="127" t="s">
        <v>381</v>
      </c>
      <c r="B64" s="127" t="s">
        <v>27</v>
      </c>
      <c r="C64" s="127"/>
      <c r="D64" s="178" t="s">
        <v>400</v>
      </c>
      <c r="E64" s="132">
        <v>37.8</v>
      </c>
      <c r="F64" s="173">
        <v>54.99</v>
      </c>
      <c r="G64" s="133">
        <f t="shared" si="21"/>
        <v>54.99</v>
      </c>
      <c r="H64" s="133">
        <f t="shared" si="43"/>
        <v>45.825</v>
      </c>
      <c r="I64" s="133">
        <f t="shared" si="44"/>
        <v>18.5390911504425</v>
      </c>
      <c r="J64" s="134">
        <f t="shared" si="45"/>
        <v>0.490452146837103</v>
      </c>
      <c r="K64" s="131">
        <f t="shared" si="46"/>
        <v>45.825</v>
      </c>
      <c r="L64" s="174">
        <f t="shared" si="47"/>
        <v>0.175122749590835</v>
      </c>
      <c r="M64" s="133">
        <f t="shared" si="48"/>
        <v>8.02500000000001</v>
      </c>
      <c r="N64" s="131">
        <f t="shared" si="49"/>
        <v>96.5840707964602</v>
      </c>
      <c r="O64" s="131">
        <f t="shared" si="50"/>
        <v>0.8375</v>
      </c>
      <c r="P64" s="127">
        <v>20</v>
      </c>
      <c r="Q64" s="136">
        <v>8</v>
      </c>
      <c r="R64" s="137">
        <f t="shared" si="51"/>
        <v>0</v>
      </c>
      <c r="S64" s="134">
        <f t="shared" si="52"/>
        <v>0</v>
      </c>
      <c r="T64" s="137">
        <f t="shared" si="53"/>
        <v>0</v>
      </c>
      <c r="U64" s="137">
        <v>0.01</v>
      </c>
      <c r="V64" s="137">
        <f t="shared" si="54"/>
        <v>0.319391768506813</v>
      </c>
      <c r="W64" s="137">
        <f t="shared" si="55"/>
        <v>0.0221560846560847</v>
      </c>
      <c r="X64" s="135">
        <v>0.158</v>
      </c>
      <c r="Y64" s="138">
        <v>0</v>
      </c>
      <c r="Z64" s="138">
        <f>F64*0</f>
        <v>0</v>
      </c>
      <c r="AA64" s="138">
        <f t="shared" si="56"/>
        <v>0.378</v>
      </c>
      <c r="AB64" s="131">
        <f t="shared" si="57"/>
        <v>5.9724</v>
      </c>
      <c r="AC64" s="131">
        <v>100.1</v>
      </c>
      <c r="AD64" s="139">
        <f t="shared" si="58"/>
        <v>88.5840707964602</v>
      </c>
      <c r="AE64" s="136">
        <f t="shared" si="59"/>
        <v>1</v>
      </c>
      <c r="AF64" s="137">
        <f t="shared" si="60"/>
        <v>0.292936742051786</v>
      </c>
      <c r="AG64" s="137">
        <f t="shared" si="61"/>
        <v>0.00330687830687831</v>
      </c>
      <c r="AH64" s="136">
        <v>8</v>
      </c>
      <c r="AI64" s="137">
        <f t="shared" si="62"/>
        <v>0.305453355155483</v>
      </c>
      <c r="AJ64" s="140"/>
      <c r="AK64" s="140"/>
      <c r="AL64" s="140"/>
      <c r="AM64" s="140"/>
      <c r="AN64" s="140"/>
      <c r="AO64" s="140"/>
      <c r="AP64" s="140"/>
      <c r="AQ64" s="140"/>
      <c r="AR64" s="140"/>
      <c r="AS64" s="140"/>
      <c r="AT64" s="140" t="s">
        <v>376</v>
      </c>
      <c r="AU64" s="140" t="s">
        <v>376</v>
      </c>
      <c r="AV64" s="140" t="s">
        <v>376</v>
      </c>
      <c r="AW64" s="140" t="s">
        <v>376</v>
      </c>
      <c r="AX64" s="140" t="s">
        <v>376</v>
      </c>
      <c r="AY64" s="140" t="s">
        <v>376</v>
      </c>
      <c r="AZ64" s="140" t="s">
        <v>376</v>
      </c>
      <c r="BA64" s="140" t="s">
        <v>376</v>
      </c>
      <c r="BB64" s="140" t="s">
        <v>376</v>
      </c>
      <c r="BC64" s="140" t="s">
        <v>376</v>
      </c>
      <c r="BD64" s="140" t="s">
        <v>376</v>
      </c>
      <c r="BE64" s="140" t="s">
        <v>376</v>
      </c>
      <c r="BF64" s="140" t="s">
        <v>376</v>
      </c>
      <c r="BG64" s="140" t="s">
        <v>376</v>
      </c>
      <c r="BH64" s="140" t="s">
        <v>376</v>
      </c>
      <c r="BI64" s="140" t="s">
        <v>376</v>
      </c>
      <c r="BJ64" s="140" t="s">
        <v>376</v>
      </c>
      <c r="BK64" s="140" t="s">
        <v>376</v>
      </c>
      <c r="BL64" s="140" t="s">
        <v>376</v>
      </c>
      <c r="BM64" s="140" t="s">
        <v>376</v>
      </c>
      <c r="BN64" s="140" t="s">
        <v>376</v>
      </c>
      <c r="BO64" s="140" t="s">
        <v>376</v>
      </c>
      <c r="BP64" s="140" t="s">
        <v>376</v>
      </c>
      <c r="BQ64" s="140" t="s">
        <v>376</v>
      </c>
      <c r="BR64" s="144" t="e">
        <f>IF(E64&lt;#REF!,1,0)</f>
        <v>#REF!</v>
      </c>
      <c r="BS64" s="142" t="s">
        <v>377</v>
      </c>
    </row>
    <row r="65" customHeight="1" spans="1:71">
      <c r="A65" s="127" t="s">
        <v>383</v>
      </c>
      <c r="B65" s="127" t="s">
        <v>27</v>
      </c>
      <c r="C65" s="127"/>
      <c r="D65" s="178" t="s">
        <v>401</v>
      </c>
      <c r="E65" s="132">
        <v>37.8</v>
      </c>
      <c r="F65" s="130">
        <v>54.99</v>
      </c>
      <c r="G65" s="133">
        <f t="shared" si="21"/>
        <v>54.99</v>
      </c>
      <c r="H65" s="133">
        <f t="shared" si="43"/>
        <v>45.825</v>
      </c>
      <c r="I65" s="133">
        <f t="shared" si="44"/>
        <v>16.2170911504425</v>
      </c>
      <c r="J65" s="134">
        <f t="shared" si="45"/>
        <v>0.429023575408531</v>
      </c>
      <c r="K65" s="131">
        <f t="shared" si="46"/>
        <v>45.825</v>
      </c>
      <c r="L65" s="174">
        <f t="shared" si="47"/>
        <v>0.175122749590835</v>
      </c>
      <c r="M65" s="133">
        <f t="shared" si="48"/>
        <v>8.02500000000001</v>
      </c>
      <c r="N65" s="131">
        <f t="shared" si="49"/>
        <v>96.5840707964602</v>
      </c>
      <c r="O65" s="131">
        <f t="shared" si="50"/>
        <v>0.7025</v>
      </c>
      <c r="P65" s="127">
        <v>20</v>
      </c>
      <c r="Q65" s="136">
        <v>8</v>
      </c>
      <c r="R65" s="137">
        <f t="shared" si="51"/>
        <v>0</v>
      </c>
      <c r="S65" s="134">
        <f t="shared" si="52"/>
        <v>0</v>
      </c>
      <c r="T65" s="137">
        <f t="shared" si="53"/>
        <v>0</v>
      </c>
      <c r="U65" s="137">
        <v>0.01</v>
      </c>
      <c r="V65" s="137">
        <f t="shared" si="54"/>
        <v>0.319391768506813</v>
      </c>
      <c r="W65" s="137">
        <f t="shared" si="55"/>
        <v>0.0185846560846561</v>
      </c>
      <c r="X65" s="135">
        <v>0.223</v>
      </c>
      <c r="Y65" s="138">
        <v>0</v>
      </c>
      <c r="Z65" s="138">
        <f>F65*0</f>
        <v>0</v>
      </c>
      <c r="AA65" s="138">
        <f t="shared" si="56"/>
        <v>0.378</v>
      </c>
      <c r="AB65" s="131">
        <f t="shared" si="57"/>
        <v>8.4294</v>
      </c>
      <c r="AC65" s="131">
        <v>100.1</v>
      </c>
      <c r="AD65" s="139">
        <f t="shared" si="58"/>
        <v>88.5840707964602</v>
      </c>
      <c r="AE65" s="136">
        <f t="shared" si="59"/>
        <v>1</v>
      </c>
      <c r="AF65" s="137">
        <f t="shared" si="60"/>
        <v>0.292936742051786</v>
      </c>
      <c r="AG65" s="137">
        <f t="shared" si="61"/>
        <v>0.00330687830687831</v>
      </c>
      <c r="AH65" s="136">
        <v>8</v>
      </c>
      <c r="AI65" s="137">
        <f t="shared" si="62"/>
        <v>0.359070376432079</v>
      </c>
      <c r="AJ65" s="140"/>
      <c r="AK65" s="140"/>
      <c r="AL65" s="140"/>
      <c r="AM65" s="140"/>
      <c r="AN65" s="140"/>
      <c r="AO65" s="140"/>
      <c r="AP65" s="140"/>
      <c r="AQ65" s="140"/>
      <c r="AR65" s="140"/>
      <c r="AS65" s="140"/>
      <c r="AT65" s="140" t="s">
        <v>376</v>
      </c>
      <c r="AU65" s="140" t="s">
        <v>376</v>
      </c>
      <c r="AV65" s="140" t="s">
        <v>376</v>
      </c>
      <c r="AW65" s="140" t="s">
        <v>376</v>
      </c>
      <c r="AX65" s="140" t="s">
        <v>376</v>
      </c>
      <c r="AY65" s="140" t="s">
        <v>376</v>
      </c>
      <c r="AZ65" s="140" t="s">
        <v>376</v>
      </c>
      <c r="BA65" s="140" t="s">
        <v>376</v>
      </c>
      <c r="BB65" s="140" t="s">
        <v>376</v>
      </c>
      <c r="BC65" s="140" t="s">
        <v>376</v>
      </c>
      <c r="BD65" s="140" t="s">
        <v>376</v>
      </c>
      <c r="BE65" s="140" t="s">
        <v>376</v>
      </c>
      <c r="BF65" s="140" t="s">
        <v>376</v>
      </c>
      <c r="BG65" s="140" t="s">
        <v>376</v>
      </c>
      <c r="BH65" s="140" t="s">
        <v>376</v>
      </c>
      <c r="BI65" s="140" t="s">
        <v>376</v>
      </c>
      <c r="BJ65" s="140" t="s">
        <v>376</v>
      </c>
      <c r="BK65" s="140" t="s">
        <v>376</v>
      </c>
      <c r="BL65" s="140" t="s">
        <v>376</v>
      </c>
      <c r="BM65" s="140" t="s">
        <v>376</v>
      </c>
      <c r="BN65" s="140" t="s">
        <v>376</v>
      </c>
      <c r="BO65" s="140" t="s">
        <v>376</v>
      </c>
      <c r="BP65" s="140" t="s">
        <v>376</v>
      </c>
      <c r="BQ65" s="140" t="s">
        <v>376</v>
      </c>
      <c r="BR65" s="144" t="e">
        <f>IF(E65&lt;#REF!,1,0)</f>
        <v>#REF!</v>
      </c>
      <c r="BS65" s="142" t="s">
        <v>377</v>
      </c>
    </row>
    <row r="66" customHeight="1" spans="1:71">
      <c r="A66" s="127" t="s">
        <v>385</v>
      </c>
      <c r="B66" s="127" t="s">
        <v>27</v>
      </c>
      <c r="C66" s="127"/>
      <c r="D66" s="178" t="s">
        <v>402</v>
      </c>
      <c r="E66" s="132">
        <v>37.8</v>
      </c>
      <c r="F66" s="130">
        <v>54.99</v>
      </c>
      <c r="G66" s="133">
        <f t="shared" si="21"/>
        <v>54.99</v>
      </c>
      <c r="H66" s="133">
        <f t="shared" si="43"/>
        <v>45.825</v>
      </c>
      <c r="I66" s="133">
        <f t="shared" si="44"/>
        <v>16.0070911504425</v>
      </c>
      <c r="J66" s="134">
        <f t="shared" si="45"/>
        <v>0.423468019852975</v>
      </c>
      <c r="K66" s="131">
        <f t="shared" si="46"/>
        <v>45.825</v>
      </c>
      <c r="L66" s="174">
        <f t="shared" si="47"/>
        <v>0.175122749590835</v>
      </c>
      <c r="M66" s="133">
        <f t="shared" si="48"/>
        <v>8.02500000000001</v>
      </c>
      <c r="N66" s="131">
        <f t="shared" si="49"/>
        <v>96.5840707964602</v>
      </c>
      <c r="O66" s="131">
        <f t="shared" si="50"/>
        <v>0.9125</v>
      </c>
      <c r="P66" s="127">
        <v>20</v>
      </c>
      <c r="Q66" s="136">
        <v>8</v>
      </c>
      <c r="R66" s="137">
        <f t="shared" si="51"/>
        <v>0</v>
      </c>
      <c r="S66" s="134">
        <f t="shared" si="52"/>
        <v>0</v>
      </c>
      <c r="T66" s="137">
        <f t="shared" si="53"/>
        <v>0</v>
      </c>
      <c r="U66" s="137">
        <v>0.01</v>
      </c>
      <c r="V66" s="137">
        <f t="shared" si="54"/>
        <v>0.319391768506813</v>
      </c>
      <c r="W66" s="137">
        <f t="shared" si="55"/>
        <v>0.0241402116402116</v>
      </c>
      <c r="X66" s="135">
        <v>0.223</v>
      </c>
      <c r="Y66" s="138">
        <v>0</v>
      </c>
      <c r="Z66" s="138">
        <f>F66*0</f>
        <v>0</v>
      </c>
      <c r="AA66" s="138">
        <f t="shared" si="56"/>
        <v>0.378</v>
      </c>
      <c r="AB66" s="131">
        <f t="shared" si="57"/>
        <v>8.4294</v>
      </c>
      <c r="AC66" s="131">
        <v>100.1</v>
      </c>
      <c r="AD66" s="139">
        <f t="shared" si="58"/>
        <v>88.5840707964602</v>
      </c>
      <c r="AE66" s="136">
        <f t="shared" si="59"/>
        <v>1</v>
      </c>
      <c r="AF66" s="137">
        <f t="shared" si="60"/>
        <v>0.292936742051786</v>
      </c>
      <c r="AG66" s="137">
        <f t="shared" si="61"/>
        <v>0.00330687830687831</v>
      </c>
      <c r="AH66" s="136">
        <v>8</v>
      </c>
      <c r="AI66" s="137">
        <f t="shared" si="62"/>
        <v>0.359070376432079</v>
      </c>
      <c r="AJ66" s="140"/>
      <c r="AK66" s="140"/>
      <c r="AL66" s="140"/>
      <c r="AM66" s="140"/>
      <c r="AN66" s="140"/>
      <c r="AO66" s="140"/>
      <c r="AP66" s="140"/>
      <c r="AQ66" s="140"/>
      <c r="AR66" s="140"/>
      <c r="AS66" s="140"/>
      <c r="AT66" s="140" t="s">
        <v>376</v>
      </c>
      <c r="AU66" s="140" t="s">
        <v>376</v>
      </c>
      <c r="AV66" s="140" t="s">
        <v>376</v>
      </c>
      <c r="AW66" s="140" t="s">
        <v>376</v>
      </c>
      <c r="AX66" s="140" t="s">
        <v>376</v>
      </c>
      <c r="AY66" s="140" t="s">
        <v>376</v>
      </c>
      <c r="AZ66" s="140" t="s">
        <v>376</v>
      </c>
      <c r="BA66" s="140" t="s">
        <v>376</v>
      </c>
      <c r="BB66" s="140" t="s">
        <v>376</v>
      </c>
      <c r="BC66" s="140" t="s">
        <v>376</v>
      </c>
      <c r="BD66" s="140" t="s">
        <v>376</v>
      </c>
      <c r="BE66" s="140" t="s">
        <v>376</v>
      </c>
      <c r="BF66" s="140" t="s">
        <v>376</v>
      </c>
      <c r="BG66" s="140" t="s">
        <v>376</v>
      </c>
      <c r="BH66" s="140" t="s">
        <v>376</v>
      </c>
      <c r="BI66" s="140" t="s">
        <v>376</v>
      </c>
      <c r="BJ66" s="140" t="s">
        <v>376</v>
      </c>
      <c r="BK66" s="140" t="s">
        <v>376</v>
      </c>
      <c r="BL66" s="140" t="s">
        <v>376</v>
      </c>
      <c r="BM66" s="140" t="s">
        <v>376</v>
      </c>
      <c r="BN66" s="140" t="s">
        <v>376</v>
      </c>
      <c r="BO66" s="140" t="s">
        <v>376</v>
      </c>
      <c r="BP66" s="140" t="s">
        <v>376</v>
      </c>
      <c r="BQ66" s="140" t="s">
        <v>376</v>
      </c>
      <c r="BR66" s="144" t="e">
        <f>IF(E66&lt;#REF!,1,0)</f>
        <v>#REF!</v>
      </c>
      <c r="BS66" s="142" t="s">
        <v>377</v>
      </c>
    </row>
    <row r="67" customHeight="1" spans="1:71">
      <c r="A67" s="127" t="s">
        <v>387</v>
      </c>
      <c r="B67" s="127" t="s">
        <v>27</v>
      </c>
      <c r="C67" s="127"/>
      <c r="D67" s="178" t="s">
        <v>403</v>
      </c>
      <c r="E67" s="132">
        <v>37.8</v>
      </c>
      <c r="F67" s="130">
        <v>54.99</v>
      </c>
      <c r="G67" s="133">
        <f t="shared" si="21"/>
        <v>54.99</v>
      </c>
      <c r="H67" s="133">
        <f t="shared" si="43"/>
        <v>45.825</v>
      </c>
      <c r="I67" s="133">
        <f t="shared" si="44"/>
        <v>18.6640911504425</v>
      </c>
      <c r="J67" s="134">
        <f t="shared" si="45"/>
        <v>0.493759025143981</v>
      </c>
      <c r="K67" s="131">
        <f t="shared" si="46"/>
        <v>45.825</v>
      </c>
      <c r="L67" s="174">
        <f t="shared" si="47"/>
        <v>0.175122749590835</v>
      </c>
      <c r="M67" s="133">
        <f t="shared" si="48"/>
        <v>8.02500000000001</v>
      </c>
      <c r="N67" s="131">
        <f t="shared" si="49"/>
        <v>96.5840707964602</v>
      </c>
      <c r="O67" s="131">
        <f t="shared" si="50"/>
        <v>0.7125</v>
      </c>
      <c r="P67" s="127">
        <v>20</v>
      </c>
      <c r="Q67" s="136">
        <v>8</v>
      </c>
      <c r="R67" s="137">
        <f t="shared" si="51"/>
        <v>0</v>
      </c>
      <c r="S67" s="134">
        <f t="shared" si="52"/>
        <v>0</v>
      </c>
      <c r="T67" s="137">
        <f t="shared" si="53"/>
        <v>0</v>
      </c>
      <c r="U67" s="137">
        <v>0.01</v>
      </c>
      <c r="V67" s="137">
        <f t="shared" si="54"/>
        <v>0.319391768506813</v>
      </c>
      <c r="W67" s="137">
        <f t="shared" si="55"/>
        <v>0.0188492063492064</v>
      </c>
      <c r="X67" s="135">
        <v>0.158</v>
      </c>
      <c r="Y67" s="138">
        <v>0</v>
      </c>
      <c r="Z67" s="138">
        <f>F67*0</f>
        <v>0</v>
      </c>
      <c r="AA67" s="138">
        <f t="shared" si="56"/>
        <v>0.378</v>
      </c>
      <c r="AB67" s="131">
        <f t="shared" si="57"/>
        <v>5.9724</v>
      </c>
      <c r="AC67" s="131">
        <v>100.1</v>
      </c>
      <c r="AD67" s="139">
        <f t="shared" si="58"/>
        <v>88.5840707964602</v>
      </c>
      <c r="AE67" s="136">
        <f t="shared" si="59"/>
        <v>1</v>
      </c>
      <c r="AF67" s="137">
        <f t="shared" si="60"/>
        <v>0.292936742051786</v>
      </c>
      <c r="AG67" s="137">
        <f t="shared" si="61"/>
        <v>0.00330687830687831</v>
      </c>
      <c r="AH67" s="136">
        <v>8</v>
      </c>
      <c r="AI67" s="137">
        <f t="shared" si="62"/>
        <v>0.305453355155483</v>
      </c>
      <c r="AJ67" s="137"/>
      <c r="AK67" s="137"/>
      <c r="AL67" s="137"/>
      <c r="AM67" s="137"/>
      <c r="AN67" s="140"/>
      <c r="AO67" s="140"/>
      <c r="AP67" s="140"/>
      <c r="AQ67" s="140"/>
      <c r="AR67" s="140"/>
      <c r="AS67" s="140"/>
      <c r="AT67" s="140" t="s">
        <v>376</v>
      </c>
      <c r="AU67" s="140" t="s">
        <v>376</v>
      </c>
      <c r="AV67" s="140" t="s">
        <v>376</v>
      </c>
      <c r="AW67" s="140" t="s">
        <v>376</v>
      </c>
      <c r="AX67" s="140" t="s">
        <v>376</v>
      </c>
      <c r="AY67" s="140" t="s">
        <v>376</v>
      </c>
      <c r="AZ67" s="140" t="s">
        <v>376</v>
      </c>
      <c r="BA67" s="140" t="s">
        <v>376</v>
      </c>
      <c r="BB67" s="140" t="s">
        <v>376</v>
      </c>
      <c r="BC67" s="140" t="s">
        <v>376</v>
      </c>
      <c r="BD67" s="140" t="s">
        <v>376</v>
      </c>
      <c r="BE67" s="140" t="s">
        <v>376</v>
      </c>
      <c r="BF67" s="140" t="s">
        <v>376</v>
      </c>
      <c r="BG67" s="140" t="s">
        <v>376</v>
      </c>
      <c r="BH67" s="140" t="s">
        <v>376</v>
      </c>
      <c r="BI67" s="140" t="s">
        <v>376</v>
      </c>
      <c r="BJ67" s="140" t="s">
        <v>376</v>
      </c>
      <c r="BK67" s="140" t="s">
        <v>376</v>
      </c>
      <c r="BL67" s="140" t="s">
        <v>376</v>
      </c>
      <c r="BM67" s="140" t="s">
        <v>376</v>
      </c>
      <c r="BN67" s="140" t="s">
        <v>376</v>
      </c>
      <c r="BO67" s="140" t="s">
        <v>376</v>
      </c>
      <c r="BP67" s="140" t="s">
        <v>376</v>
      </c>
      <c r="BQ67" s="140" t="s">
        <v>376</v>
      </c>
      <c r="BR67" s="144" t="e">
        <f>IF(E67&lt;#REF!,1,0)</f>
        <v>#REF!</v>
      </c>
      <c r="BS67" s="142" t="s">
        <v>377</v>
      </c>
    </row>
    <row r="68" customHeight="1" spans="1:71">
      <c r="A68" s="1"/>
      <c r="B68" s="1"/>
      <c r="C68" s="1"/>
      <c r="D68" s="1"/>
      <c r="E68" s="131"/>
      <c r="F68" s="143"/>
      <c r="G68" s="133"/>
      <c r="H68" s="133"/>
      <c r="I68" s="133"/>
      <c r="J68" s="134"/>
      <c r="K68" s="131"/>
      <c r="L68" s="131"/>
      <c r="M68" s="131"/>
      <c r="N68" s="131"/>
      <c r="O68" s="131"/>
      <c r="P68" s="127"/>
      <c r="Q68" s="136"/>
      <c r="R68" s="137"/>
      <c r="S68" s="134"/>
      <c r="T68" s="137"/>
      <c r="U68" s="137"/>
      <c r="V68" s="137"/>
      <c r="W68" s="137"/>
      <c r="X68" s="135"/>
      <c r="Y68" s="138"/>
      <c r="Z68" s="138"/>
      <c r="AA68" s="138"/>
      <c r="AB68" s="131"/>
      <c r="AC68" s="131"/>
      <c r="AD68" s="139"/>
      <c r="AE68" s="136"/>
      <c r="AF68" s="137"/>
      <c r="AG68" s="137"/>
      <c r="AH68" s="136"/>
      <c r="AI68" s="137"/>
      <c r="AJ68" s="137"/>
      <c r="AK68" s="137"/>
      <c r="AL68" s="137"/>
      <c r="AM68" s="137"/>
      <c r="AN68" s="140"/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  <c r="BA68" s="140"/>
      <c r="BB68" s="140"/>
      <c r="BC68" s="140"/>
      <c r="BD68" s="140"/>
      <c r="BE68" s="140"/>
      <c r="BF68" s="140"/>
      <c r="BG68" s="140"/>
      <c r="BH68" s="140"/>
      <c r="BI68" s="140"/>
      <c r="BJ68" s="140"/>
      <c r="BK68" s="140"/>
      <c r="BL68" s="140"/>
      <c r="BM68" s="140"/>
      <c r="BN68" s="140"/>
      <c r="BO68" s="140"/>
      <c r="BP68" s="140"/>
      <c r="BQ68" s="140"/>
      <c r="BR68" s="144"/>
      <c r="BS68" s="142"/>
    </row>
    <row r="69" customHeight="1" spans="1:71">
      <c r="A69" s="142" t="s">
        <v>86</v>
      </c>
      <c r="B69" s="127" t="s">
        <v>27</v>
      </c>
      <c r="C69" s="180"/>
      <c r="D69" s="172" t="s">
        <v>404</v>
      </c>
      <c r="E69" s="181">
        <v>51.5</v>
      </c>
      <c r="F69" s="182">
        <v>74.99</v>
      </c>
      <c r="G69" s="133">
        <f t="shared" ref="G69:G87" si="63">(F69-Z69)</f>
        <v>74.99</v>
      </c>
      <c r="H69" s="133">
        <f t="shared" ref="H69:H87" si="64">(F69-Z69)/1.2</f>
        <v>62.4916666666667</v>
      </c>
      <c r="I69" s="133">
        <f t="shared" ref="I69:I87" si="65">E69-N69/Q69-AB69-Y69-O69-Z69-AA69</f>
        <v>11.6498559488692</v>
      </c>
      <c r="J69" s="134">
        <f t="shared" ref="J69:J87" si="66">I69/E69</f>
        <v>0.226210795123674</v>
      </c>
      <c r="K69" s="131">
        <f t="shared" ref="K69:K87" si="67">F69/1.2</f>
        <v>62.4916666666667</v>
      </c>
      <c r="L69" s="174">
        <f t="shared" ref="L69:L87" si="68">(K69-E69)/K69</f>
        <v>0.175890118682491</v>
      </c>
      <c r="M69" s="133">
        <f t="shared" ref="M69:M87" si="69">F69/1.2-E69</f>
        <v>10.9916666666667</v>
      </c>
      <c r="N69" s="131">
        <f>AD69+AH70</f>
        <v>202.070796460177</v>
      </c>
      <c r="O69" s="131">
        <f t="shared" ref="O69:O87" si="70">IFERROR(IF(A69="UK",8.95/P69,IF(A69="DE",7.75/P69,IF(A69="FR",14.25/P69,IF(A69="IT",15.25/P69,IF(A69="ES",19.25/P69,IF(A69="NL",16.75/P69,IF(A69="PL",14.05/P69,IF(A69="SE",18.25/P69,IF(A69="BE",14.25/P69))))))))),0)</f>
        <v>0.745833333333333</v>
      </c>
      <c r="P69" s="142">
        <v>12</v>
      </c>
      <c r="Q69" s="136">
        <v>9</v>
      </c>
      <c r="R69" s="137">
        <f t="shared" ref="R69:R87" si="71">Y69/E69</f>
        <v>0.155339805825243</v>
      </c>
      <c r="S69" s="134">
        <f t="shared" ref="S69:S87" si="72">Y69/F69</f>
        <v>0.106680890785438</v>
      </c>
      <c r="T69" s="137">
        <f t="shared" ref="T69:T87" si="73">Z69/E69</f>
        <v>0</v>
      </c>
      <c r="U69" s="137">
        <v>0.01</v>
      </c>
      <c r="V69" s="137">
        <f t="shared" ref="V69:V87" si="74">N69/(E69*Q69)</f>
        <v>0.435967198403834</v>
      </c>
      <c r="W69" s="137">
        <f t="shared" ref="W69:W87" si="75">O69/E69</f>
        <v>0.0144822006472492</v>
      </c>
      <c r="X69" s="135">
        <v>0.158</v>
      </c>
      <c r="Y69" s="138">
        <v>8</v>
      </c>
      <c r="Z69" s="138">
        <v>0</v>
      </c>
      <c r="AA69" s="138">
        <f t="shared" ref="AA69:AA87" si="76">E69*U69</f>
        <v>0.515</v>
      </c>
      <c r="AB69" s="131">
        <f t="shared" ref="AB69:AB87" si="77">E69*X69</f>
        <v>8.137</v>
      </c>
      <c r="AC69" s="131">
        <v>208</v>
      </c>
      <c r="AD69" s="139">
        <f t="shared" ref="AD69:AD87" si="78">AC69/1.13</f>
        <v>184.070796460177</v>
      </c>
      <c r="AE69" s="136">
        <f>AH70/Q69</f>
        <v>2</v>
      </c>
      <c r="AF69" s="137">
        <f t="shared" ref="AF69:AF87" si="79">AD69/(E69*Q69)</f>
        <v>0.397132246947523</v>
      </c>
      <c r="AG69" s="137">
        <f t="shared" ref="AG69:AG87" si="80">AE69/Q69/E69</f>
        <v>0.00431499460625674</v>
      </c>
      <c r="AH69" s="136">
        <v>18</v>
      </c>
      <c r="AI69" s="137">
        <f t="shared" ref="AI69:AI76" si="81">(H69-E69+AB69)/H69</f>
        <v>0.306099479930657</v>
      </c>
      <c r="AJ69" s="137"/>
      <c r="AK69" s="137"/>
      <c r="AL69" s="137"/>
      <c r="AM69" s="137"/>
      <c r="AN69" s="140"/>
      <c r="AO69" s="140"/>
      <c r="AP69" s="140"/>
      <c r="AQ69" s="140"/>
      <c r="AR69" s="140"/>
      <c r="AS69" s="140"/>
      <c r="AT69" s="140" t="s">
        <v>376</v>
      </c>
      <c r="AU69" s="140" t="s">
        <v>376</v>
      </c>
      <c r="AV69" s="140" t="s">
        <v>376</v>
      </c>
      <c r="AW69" s="140" t="s">
        <v>376</v>
      </c>
      <c r="AX69" s="140" t="s">
        <v>376</v>
      </c>
      <c r="AY69" s="140" t="s">
        <v>376</v>
      </c>
      <c r="AZ69" s="140" t="s">
        <v>376</v>
      </c>
      <c r="BA69" s="140" t="s">
        <v>376</v>
      </c>
      <c r="BB69" s="140" t="s">
        <v>376</v>
      </c>
      <c r="BC69" s="140" t="s">
        <v>376</v>
      </c>
      <c r="BD69" s="140" t="s">
        <v>376</v>
      </c>
      <c r="BE69" s="140" t="s">
        <v>376</v>
      </c>
      <c r="BF69" s="140" t="s">
        <v>376</v>
      </c>
      <c r="BG69" s="140" t="s">
        <v>376</v>
      </c>
      <c r="BH69" s="140" t="s">
        <v>376</v>
      </c>
      <c r="BI69" s="140" t="s">
        <v>376</v>
      </c>
      <c r="BJ69" s="140" t="s">
        <v>376</v>
      </c>
      <c r="BK69" s="140" t="s">
        <v>376</v>
      </c>
      <c r="BL69" s="140" t="s">
        <v>376</v>
      </c>
      <c r="BM69" s="140" t="s">
        <v>376</v>
      </c>
      <c r="BN69" s="140" t="s">
        <v>376</v>
      </c>
      <c r="BO69" s="140" t="s">
        <v>376</v>
      </c>
      <c r="BP69" s="140" t="s">
        <v>376</v>
      </c>
      <c r="BQ69" s="140" t="s">
        <v>376</v>
      </c>
      <c r="BR69" s="175"/>
      <c r="BS69" s="142" t="s">
        <v>377</v>
      </c>
    </row>
    <row r="70" customHeight="1" spans="1:71">
      <c r="A70" s="142" t="s">
        <v>86</v>
      </c>
      <c r="B70" s="127" t="s">
        <v>27</v>
      </c>
      <c r="C70" s="180"/>
      <c r="D70" s="172" t="s">
        <v>405</v>
      </c>
      <c r="E70" s="181">
        <v>51.5</v>
      </c>
      <c r="F70" s="183">
        <v>74.99</v>
      </c>
      <c r="G70" s="133">
        <f t="shared" si="63"/>
        <v>67.491</v>
      </c>
      <c r="H70" s="133">
        <f t="shared" si="64"/>
        <v>56.2425</v>
      </c>
      <c r="I70" s="176">
        <f t="shared" si="65"/>
        <v>4.15085594886922</v>
      </c>
      <c r="J70" s="134">
        <f t="shared" si="66"/>
        <v>0.0805991446382373</v>
      </c>
      <c r="K70" s="131">
        <f t="shared" si="67"/>
        <v>62.4916666666667</v>
      </c>
      <c r="L70" s="174">
        <f t="shared" si="68"/>
        <v>0.175890118682491</v>
      </c>
      <c r="M70" s="133">
        <f t="shared" si="69"/>
        <v>10.9916666666667</v>
      </c>
      <c r="N70" s="131">
        <f>AD70+AH70</f>
        <v>202.070796460177</v>
      </c>
      <c r="O70" s="131">
        <f t="shared" si="70"/>
        <v>0.745833333333333</v>
      </c>
      <c r="P70" s="127">
        <v>12</v>
      </c>
      <c r="Q70" s="136">
        <v>9</v>
      </c>
      <c r="R70" s="137">
        <f t="shared" si="71"/>
        <v>0.155339805825243</v>
      </c>
      <c r="S70" s="134">
        <f t="shared" si="72"/>
        <v>0.106680890785438</v>
      </c>
      <c r="T70" s="137">
        <f t="shared" si="73"/>
        <v>0.145611650485437</v>
      </c>
      <c r="U70" s="137">
        <v>0.01</v>
      </c>
      <c r="V70" s="137">
        <f t="shared" si="74"/>
        <v>0.435967198403834</v>
      </c>
      <c r="W70" s="137">
        <f t="shared" si="75"/>
        <v>0.0144822006472492</v>
      </c>
      <c r="X70" s="135">
        <v>0.158</v>
      </c>
      <c r="Y70" s="138">
        <v>8</v>
      </c>
      <c r="Z70" s="138">
        <f>F70*0.1</f>
        <v>7.499</v>
      </c>
      <c r="AA70" s="138">
        <f t="shared" si="76"/>
        <v>0.515</v>
      </c>
      <c r="AB70" s="131">
        <f t="shared" si="77"/>
        <v>8.137</v>
      </c>
      <c r="AC70" s="131">
        <v>208</v>
      </c>
      <c r="AD70" s="139">
        <f t="shared" si="78"/>
        <v>184.070796460177</v>
      </c>
      <c r="AE70" s="136">
        <f>AH70/Q70</f>
        <v>2</v>
      </c>
      <c r="AF70" s="137">
        <f t="shared" si="79"/>
        <v>0.397132246947523</v>
      </c>
      <c r="AG70" s="137">
        <f t="shared" si="80"/>
        <v>0.00431499460625674</v>
      </c>
      <c r="AH70" s="136">
        <v>18</v>
      </c>
      <c r="AI70" s="137">
        <f t="shared" si="81"/>
        <v>0.228999422145175</v>
      </c>
      <c r="AJ70" s="137"/>
      <c r="AK70" s="137"/>
      <c r="AL70" s="137"/>
      <c r="AM70" s="137"/>
      <c r="AN70" s="140"/>
      <c r="AO70" s="140"/>
      <c r="AP70" s="140"/>
      <c r="AQ70" s="140"/>
      <c r="AR70" s="140"/>
      <c r="AS70" s="140"/>
      <c r="AT70" s="140" t="s">
        <v>376</v>
      </c>
      <c r="AU70" s="140" t="s">
        <v>376</v>
      </c>
      <c r="AV70" s="140" t="s">
        <v>376</v>
      </c>
      <c r="AW70" s="140" t="s">
        <v>376</v>
      </c>
      <c r="AX70" s="140" t="s">
        <v>376</v>
      </c>
      <c r="AY70" s="140" t="s">
        <v>376</v>
      </c>
      <c r="AZ70" s="140" t="s">
        <v>376</v>
      </c>
      <c r="BA70" s="140" t="s">
        <v>376</v>
      </c>
      <c r="BB70" s="140" t="s">
        <v>376</v>
      </c>
      <c r="BC70" s="140" t="s">
        <v>376</v>
      </c>
      <c r="BD70" s="140" t="s">
        <v>376</v>
      </c>
      <c r="BE70" s="140" t="s">
        <v>376</v>
      </c>
      <c r="BF70" s="140" t="s">
        <v>376</v>
      </c>
      <c r="BG70" s="140" t="s">
        <v>376</v>
      </c>
      <c r="BH70" s="140" t="s">
        <v>376</v>
      </c>
      <c r="BI70" s="140" t="s">
        <v>376</v>
      </c>
      <c r="BJ70" s="140" t="s">
        <v>376</v>
      </c>
      <c r="BK70" s="140" t="s">
        <v>376</v>
      </c>
      <c r="BL70" s="140" t="s">
        <v>376</v>
      </c>
      <c r="BM70" s="140" t="s">
        <v>376</v>
      </c>
      <c r="BN70" s="140" t="s">
        <v>376</v>
      </c>
      <c r="BO70" s="140" t="s">
        <v>376</v>
      </c>
      <c r="BP70" s="140" t="s">
        <v>376</v>
      </c>
      <c r="BQ70" s="140" t="s">
        <v>376</v>
      </c>
      <c r="BR70" s="175"/>
      <c r="BS70" s="142" t="s">
        <v>377</v>
      </c>
    </row>
    <row r="71" customHeight="1" spans="1:71">
      <c r="A71" s="142" t="s">
        <v>86</v>
      </c>
      <c r="B71" s="127" t="s">
        <v>27</v>
      </c>
      <c r="C71" s="180"/>
      <c r="D71" s="172" t="s">
        <v>406</v>
      </c>
      <c r="E71" s="181">
        <v>51.5</v>
      </c>
      <c r="F71" s="183">
        <v>74.99</v>
      </c>
      <c r="G71" s="133">
        <f t="shared" si="63"/>
        <v>63.7415</v>
      </c>
      <c r="H71" s="133">
        <f t="shared" si="64"/>
        <v>53.1179166666667</v>
      </c>
      <c r="I71" s="133">
        <f t="shared" si="65"/>
        <v>0.401355948869223</v>
      </c>
      <c r="J71" s="134">
        <f t="shared" si="66"/>
        <v>0.00779331939551888</v>
      </c>
      <c r="K71" s="131">
        <f t="shared" si="67"/>
        <v>62.4916666666667</v>
      </c>
      <c r="L71" s="174">
        <f t="shared" si="68"/>
        <v>0.175890118682491</v>
      </c>
      <c r="M71" s="133">
        <f t="shared" si="69"/>
        <v>10.9916666666667</v>
      </c>
      <c r="N71" s="131">
        <f>AD71+AH71</f>
        <v>202.070796460177</v>
      </c>
      <c r="O71" s="131">
        <f t="shared" si="70"/>
        <v>0.745833333333333</v>
      </c>
      <c r="P71" s="127">
        <v>12</v>
      </c>
      <c r="Q71" s="136">
        <v>9</v>
      </c>
      <c r="R71" s="137">
        <f t="shared" si="71"/>
        <v>0.155339805825243</v>
      </c>
      <c r="S71" s="134">
        <f t="shared" si="72"/>
        <v>0.106680890785438</v>
      </c>
      <c r="T71" s="137">
        <f t="shared" si="73"/>
        <v>0.218417475728155</v>
      </c>
      <c r="U71" s="137">
        <v>0.01</v>
      </c>
      <c r="V71" s="137">
        <f t="shared" si="74"/>
        <v>0.435967198403834</v>
      </c>
      <c r="W71" s="137">
        <f t="shared" si="75"/>
        <v>0.0144822006472492</v>
      </c>
      <c r="X71" s="135">
        <v>0.158</v>
      </c>
      <c r="Y71" s="138">
        <v>8</v>
      </c>
      <c r="Z71" s="138">
        <f>F71*0.15</f>
        <v>11.2485</v>
      </c>
      <c r="AA71" s="138">
        <f t="shared" si="76"/>
        <v>0.515</v>
      </c>
      <c r="AB71" s="131">
        <f t="shared" si="77"/>
        <v>8.137</v>
      </c>
      <c r="AC71" s="131">
        <v>208</v>
      </c>
      <c r="AD71" s="139">
        <f t="shared" si="78"/>
        <v>184.070796460177</v>
      </c>
      <c r="AE71" s="136">
        <f>AH71/Q71</f>
        <v>2</v>
      </c>
      <c r="AF71" s="137">
        <f t="shared" si="79"/>
        <v>0.397132246947523</v>
      </c>
      <c r="AG71" s="137">
        <f t="shared" si="80"/>
        <v>0.00431499460625674</v>
      </c>
      <c r="AH71" s="136">
        <v>18</v>
      </c>
      <c r="AI71" s="137">
        <f t="shared" si="81"/>
        <v>0.183646446977244</v>
      </c>
      <c r="AJ71" s="137"/>
      <c r="AK71" s="137"/>
      <c r="AL71" s="137"/>
      <c r="AM71" s="137"/>
      <c r="AN71" s="140"/>
      <c r="AO71" s="140"/>
      <c r="AP71" s="140"/>
      <c r="AQ71" s="140"/>
      <c r="AR71" s="140"/>
      <c r="AS71" s="140"/>
      <c r="AT71" s="140" t="s">
        <v>376</v>
      </c>
      <c r="AU71" s="140" t="s">
        <v>376</v>
      </c>
      <c r="AV71" s="140" t="s">
        <v>376</v>
      </c>
      <c r="AW71" s="140" t="s">
        <v>376</v>
      </c>
      <c r="AX71" s="140" t="s">
        <v>376</v>
      </c>
      <c r="AY71" s="140" t="s">
        <v>376</v>
      </c>
      <c r="AZ71" s="140" t="s">
        <v>376</v>
      </c>
      <c r="BA71" s="140" t="s">
        <v>376</v>
      </c>
      <c r="BB71" s="140" t="s">
        <v>376</v>
      </c>
      <c r="BC71" s="140" t="s">
        <v>376</v>
      </c>
      <c r="BD71" s="140" t="s">
        <v>376</v>
      </c>
      <c r="BE71" s="140" t="s">
        <v>376</v>
      </c>
      <c r="BF71" s="140" t="s">
        <v>376</v>
      </c>
      <c r="BG71" s="140" t="s">
        <v>376</v>
      </c>
      <c r="BH71" s="140" t="s">
        <v>376</v>
      </c>
      <c r="BI71" s="140" t="s">
        <v>376</v>
      </c>
      <c r="BJ71" s="140" t="s">
        <v>376</v>
      </c>
      <c r="BK71" s="140" t="s">
        <v>376</v>
      </c>
      <c r="BL71" s="140" t="s">
        <v>376</v>
      </c>
      <c r="BM71" s="140" t="s">
        <v>376</v>
      </c>
      <c r="BN71" s="140" t="s">
        <v>376</v>
      </c>
      <c r="BO71" s="140" t="s">
        <v>376</v>
      </c>
      <c r="BP71" s="140" t="s">
        <v>376</v>
      </c>
      <c r="BQ71" s="140" t="s">
        <v>376</v>
      </c>
      <c r="BR71" s="175"/>
      <c r="BS71" s="142" t="s">
        <v>377</v>
      </c>
    </row>
    <row r="72" customHeight="1" spans="1:71">
      <c r="A72" s="127" t="s">
        <v>280</v>
      </c>
      <c r="B72" s="127" t="s">
        <v>27</v>
      </c>
      <c r="C72" s="180"/>
      <c r="D72" s="172" t="s">
        <v>404</v>
      </c>
      <c r="E72" s="181">
        <v>56.5</v>
      </c>
      <c r="F72" s="182">
        <v>81.99</v>
      </c>
      <c r="G72" s="133">
        <f t="shared" si="63"/>
        <v>81.99</v>
      </c>
      <c r="H72" s="133">
        <f t="shared" si="64"/>
        <v>68.325</v>
      </c>
      <c r="I72" s="133">
        <f t="shared" si="65"/>
        <v>13.0785671091445</v>
      </c>
      <c r="J72" s="134">
        <f t="shared" si="66"/>
        <v>0.231479063878664</v>
      </c>
      <c r="K72" s="131">
        <f t="shared" si="67"/>
        <v>68.325</v>
      </c>
      <c r="L72" s="174">
        <f t="shared" si="68"/>
        <v>0.173069886571533</v>
      </c>
      <c r="M72" s="133">
        <f t="shared" si="69"/>
        <v>11.825</v>
      </c>
      <c r="N72" s="131">
        <f>AD72+AH73</f>
        <v>197.070796460177</v>
      </c>
      <c r="O72" s="131">
        <f t="shared" si="70"/>
        <v>0.645833333333333</v>
      </c>
      <c r="P72" s="142">
        <v>12</v>
      </c>
      <c r="Q72" s="136">
        <v>8</v>
      </c>
      <c r="R72" s="137">
        <f t="shared" si="71"/>
        <v>0.141592920353982</v>
      </c>
      <c r="S72" s="134">
        <f t="shared" si="72"/>
        <v>0.0975728747408221</v>
      </c>
      <c r="T72" s="137">
        <f t="shared" si="73"/>
        <v>0</v>
      </c>
      <c r="U72" s="137">
        <v>0.01</v>
      </c>
      <c r="V72" s="137">
        <f t="shared" si="74"/>
        <v>0.435997337301277</v>
      </c>
      <c r="W72" s="137">
        <f t="shared" si="75"/>
        <v>0.0114306784660767</v>
      </c>
      <c r="X72" s="135">
        <v>0.1695</v>
      </c>
      <c r="Y72" s="138">
        <v>8</v>
      </c>
      <c r="Z72" s="138">
        <v>0</v>
      </c>
      <c r="AA72" s="138">
        <f t="shared" si="76"/>
        <v>0.565</v>
      </c>
      <c r="AB72" s="131">
        <f t="shared" si="77"/>
        <v>9.57675</v>
      </c>
      <c r="AC72" s="131">
        <v>208</v>
      </c>
      <c r="AD72" s="139">
        <f t="shared" si="78"/>
        <v>184.070796460177</v>
      </c>
      <c r="AE72" s="136">
        <f>AH73/Q72</f>
        <v>1.625</v>
      </c>
      <c r="AF72" s="137">
        <f t="shared" si="79"/>
        <v>0.407236275354374</v>
      </c>
      <c r="AG72" s="137">
        <f t="shared" si="80"/>
        <v>0.00359513274336283</v>
      </c>
      <c r="AH72" s="136">
        <v>13</v>
      </c>
      <c r="AI72" s="137">
        <f t="shared" si="81"/>
        <v>0.313234540797658</v>
      </c>
      <c r="AJ72" s="137"/>
      <c r="AK72" s="137"/>
      <c r="AL72" s="137"/>
      <c r="AM72" s="137"/>
      <c r="AN72" s="140"/>
      <c r="AO72" s="140"/>
      <c r="AP72" s="140"/>
      <c r="AQ72" s="140"/>
      <c r="AR72" s="140"/>
      <c r="AS72" s="140"/>
      <c r="AT72" s="140" t="s">
        <v>376</v>
      </c>
      <c r="AU72" s="140" t="s">
        <v>376</v>
      </c>
      <c r="AV72" s="140" t="s">
        <v>376</v>
      </c>
      <c r="AW72" s="140" t="s">
        <v>376</v>
      </c>
      <c r="AX72" s="140" t="s">
        <v>376</v>
      </c>
      <c r="AY72" s="140" t="s">
        <v>376</v>
      </c>
      <c r="AZ72" s="140" t="s">
        <v>376</v>
      </c>
      <c r="BA72" s="140" t="s">
        <v>376</v>
      </c>
      <c r="BB72" s="140" t="s">
        <v>376</v>
      </c>
      <c r="BC72" s="140" t="s">
        <v>376</v>
      </c>
      <c r="BD72" s="140" t="s">
        <v>376</v>
      </c>
      <c r="BE72" s="140" t="s">
        <v>376</v>
      </c>
      <c r="BF72" s="140" t="s">
        <v>376</v>
      </c>
      <c r="BG72" s="140" t="s">
        <v>376</v>
      </c>
      <c r="BH72" s="140" t="s">
        <v>376</v>
      </c>
      <c r="BI72" s="140" t="s">
        <v>376</v>
      </c>
      <c r="BJ72" s="140" t="s">
        <v>376</v>
      </c>
      <c r="BK72" s="140" t="s">
        <v>376</v>
      </c>
      <c r="BL72" s="140" t="s">
        <v>376</v>
      </c>
      <c r="BM72" s="140" t="s">
        <v>376</v>
      </c>
      <c r="BN72" s="140" t="s">
        <v>376</v>
      </c>
      <c r="BO72" s="140" t="s">
        <v>376</v>
      </c>
      <c r="BP72" s="140" t="s">
        <v>376</v>
      </c>
      <c r="BQ72" s="140" t="s">
        <v>376</v>
      </c>
      <c r="BR72" s="175"/>
      <c r="BS72" s="142" t="s">
        <v>377</v>
      </c>
    </row>
    <row r="73" customHeight="1" spans="1:71">
      <c r="A73" s="127" t="s">
        <v>280</v>
      </c>
      <c r="B73" s="127" t="s">
        <v>27</v>
      </c>
      <c r="C73" s="180"/>
      <c r="D73" s="172" t="s">
        <v>405</v>
      </c>
      <c r="E73" s="181">
        <v>56.5</v>
      </c>
      <c r="F73" s="182">
        <v>81.99</v>
      </c>
      <c r="G73" s="133">
        <f t="shared" si="63"/>
        <v>73.791</v>
      </c>
      <c r="H73" s="133">
        <f t="shared" si="64"/>
        <v>61.4925</v>
      </c>
      <c r="I73" s="176">
        <f t="shared" si="65"/>
        <v>4.87956710914454</v>
      </c>
      <c r="J73" s="134">
        <f t="shared" si="66"/>
        <v>0.0863640196308768</v>
      </c>
      <c r="K73" s="131">
        <f t="shared" si="67"/>
        <v>68.325</v>
      </c>
      <c r="L73" s="174">
        <f t="shared" si="68"/>
        <v>0.173069886571533</v>
      </c>
      <c r="M73" s="133">
        <f t="shared" si="69"/>
        <v>11.825</v>
      </c>
      <c r="N73" s="131">
        <f t="shared" ref="N73:N87" si="82">AD73+AH73</f>
        <v>197.070796460177</v>
      </c>
      <c r="O73" s="131">
        <f t="shared" si="70"/>
        <v>0.645833333333333</v>
      </c>
      <c r="P73" s="127">
        <v>12</v>
      </c>
      <c r="Q73" s="136">
        <v>8</v>
      </c>
      <c r="R73" s="137">
        <f t="shared" si="71"/>
        <v>0.141592920353982</v>
      </c>
      <c r="S73" s="134">
        <f t="shared" si="72"/>
        <v>0.0975728747408221</v>
      </c>
      <c r="T73" s="137">
        <f t="shared" si="73"/>
        <v>0.145115044247788</v>
      </c>
      <c r="U73" s="137">
        <v>0.01</v>
      </c>
      <c r="V73" s="137">
        <f t="shared" si="74"/>
        <v>0.435997337301277</v>
      </c>
      <c r="W73" s="137">
        <f t="shared" si="75"/>
        <v>0.0114306784660767</v>
      </c>
      <c r="X73" s="135">
        <v>0.1695</v>
      </c>
      <c r="Y73" s="138">
        <v>8</v>
      </c>
      <c r="Z73" s="138">
        <f>F73*0.1</f>
        <v>8.199</v>
      </c>
      <c r="AA73" s="138">
        <f t="shared" si="76"/>
        <v>0.565</v>
      </c>
      <c r="AB73" s="131">
        <f t="shared" si="77"/>
        <v>9.57675</v>
      </c>
      <c r="AC73" s="131">
        <v>208</v>
      </c>
      <c r="AD73" s="139">
        <f t="shared" si="78"/>
        <v>184.070796460177</v>
      </c>
      <c r="AE73" s="136">
        <f t="shared" ref="AE73:AE87" si="83">AH73/Q73</f>
        <v>1.625</v>
      </c>
      <c r="AF73" s="137">
        <f t="shared" si="79"/>
        <v>0.407236275354374</v>
      </c>
      <c r="AG73" s="137">
        <f t="shared" si="80"/>
        <v>0.00359513274336283</v>
      </c>
      <c r="AH73" s="136">
        <v>13</v>
      </c>
      <c r="AI73" s="137">
        <f t="shared" si="81"/>
        <v>0.236927267552954</v>
      </c>
      <c r="AJ73" s="137"/>
      <c r="AK73" s="137"/>
      <c r="AL73" s="137"/>
      <c r="AM73" s="137"/>
      <c r="AN73" s="140"/>
      <c r="AO73" s="140"/>
      <c r="AP73" s="140"/>
      <c r="AQ73" s="140"/>
      <c r="AR73" s="140"/>
      <c r="AS73" s="140"/>
      <c r="AT73" s="140" t="s">
        <v>376</v>
      </c>
      <c r="AU73" s="140" t="s">
        <v>376</v>
      </c>
      <c r="AV73" s="140" t="s">
        <v>376</v>
      </c>
      <c r="AW73" s="140" t="s">
        <v>376</v>
      </c>
      <c r="AX73" s="140" t="s">
        <v>376</v>
      </c>
      <c r="AY73" s="140" t="s">
        <v>376</v>
      </c>
      <c r="AZ73" s="140" t="s">
        <v>376</v>
      </c>
      <c r="BA73" s="140" t="s">
        <v>376</v>
      </c>
      <c r="BB73" s="140" t="s">
        <v>376</v>
      </c>
      <c r="BC73" s="140" t="s">
        <v>376</v>
      </c>
      <c r="BD73" s="140" t="s">
        <v>376</v>
      </c>
      <c r="BE73" s="140" t="s">
        <v>376</v>
      </c>
      <c r="BF73" s="140" t="s">
        <v>376</v>
      </c>
      <c r="BG73" s="140" t="s">
        <v>376</v>
      </c>
      <c r="BH73" s="140" t="s">
        <v>376</v>
      </c>
      <c r="BI73" s="140" t="s">
        <v>376</v>
      </c>
      <c r="BJ73" s="140" t="s">
        <v>376</v>
      </c>
      <c r="BK73" s="140" t="s">
        <v>376</v>
      </c>
      <c r="BL73" s="140" t="s">
        <v>376</v>
      </c>
      <c r="BM73" s="140" t="s">
        <v>376</v>
      </c>
      <c r="BN73" s="140" t="s">
        <v>376</v>
      </c>
      <c r="BO73" s="140" t="s">
        <v>376</v>
      </c>
      <c r="BP73" s="140" t="s">
        <v>376</v>
      </c>
      <c r="BQ73" s="140" t="s">
        <v>376</v>
      </c>
      <c r="BR73" s="175"/>
      <c r="BS73" s="142" t="s">
        <v>377</v>
      </c>
    </row>
    <row r="74" customHeight="1" spans="1:71">
      <c r="A74" s="127" t="s">
        <v>280</v>
      </c>
      <c r="B74" s="127" t="s">
        <v>27</v>
      </c>
      <c r="C74" s="180"/>
      <c r="D74" s="172" t="s">
        <v>406</v>
      </c>
      <c r="E74" s="181">
        <v>56.5</v>
      </c>
      <c r="F74" s="182">
        <v>81.99</v>
      </c>
      <c r="G74" s="133">
        <f t="shared" si="63"/>
        <v>69.6915</v>
      </c>
      <c r="H74" s="133">
        <f t="shared" si="64"/>
        <v>58.07625</v>
      </c>
      <c r="I74" s="133">
        <f t="shared" si="65"/>
        <v>0.780067109144541</v>
      </c>
      <c r="J74" s="134">
        <f t="shared" si="66"/>
        <v>0.013806497506983</v>
      </c>
      <c r="K74" s="131">
        <f t="shared" si="67"/>
        <v>68.325</v>
      </c>
      <c r="L74" s="174">
        <f t="shared" si="68"/>
        <v>0.173069886571533</v>
      </c>
      <c r="M74" s="133">
        <f t="shared" si="69"/>
        <v>11.825</v>
      </c>
      <c r="N74" s="131">
        <f t="shared" si="82"/>
        <v>197.070796460177</v>
      </c>
      <c r="O74" s="131">
        <f t="shared" si="70"/>
        <v>0.645833333333333</v>
      </c>
      <c r="P74" s="127">
        <v>12</v>
      </c>
      <c r="Q74" s="136">
        <v>8</v>
      </c>
      <c r="R74" s="137">
        <f t="shared" si="71"/>
        <v>0.141592920353982</v>
      </c>
      <c r="S74" s="134">
        <f t="shared" si="72"/>
        <v>0.0975728747408221</v>
      </c>
      <c r="T74" s="137">
        <f t="shared" si="73"/>
        <v>0.217672566371681</v>
      </c>
      <c r="U74" s="137">
        <v>0.01</v>
      </c>
      <c r="V74" s="137">
        <f t="shared" si="74"/>
        <v>0.435997337301277</v>
      </c>
      <c r="W74" s="137">
        <f t="shared" si="75"/>
        <v>0.0114306784660767</v>
      </c>
      <c r="X74" s="135">
        <v>0.1695</v>
      </c>
      <c r="Y74" s="138">
        <v>8</v>
      </c>
      <c r="Z74" s="138">
        <f>F74*0.15</f>
        <v>12.2985</v>
      </c>
      <c r="AA74" s="138">
        <f t="shared" si="76"/>
        <v>0.565</v>
      </c>
      <c r="AB74" s="131">
        <f t="shared" si="77"/>
        <v>9.57675</v>
      </c>
      <c r="AC74" s="131">
        <v>208</v>
      </c>
      <c r="AD74" s="139">
        <f t="shared" si="78"/>
        <v>184.070796460177</v>
      </c>
      <c r="AE74" s="136">
        <f t="shared" si="83"/>
        <v>1.625</v>
      </c>
      <c r="AF74" s="137">
        <f t="shared" si="79"/>
        <v>0.407236275354374</v>
      </c>
      <c r="AG74" s="137">
        <f t="shared" si="80"/>
        <v>0.00359513274336283</v>
      </c>
      <c r="AH74" s="136">
        <v>13</v>
      </c>
      <c r="AI74" s="137">
        <f t="shared" si="81"/>
        <v>0.192040636232539</v>
      </c>
      <c r="AJ74" s="137"/>
      <c r="AK74" s="137"/>
      <c r="AL74" s="137"/>
      <c r="AM74" s="137"/>
      <c r="AN74" s="140"/>
      <c r="AO74" s="140"/>
      <c r="AP74" s="140"/>
      <c r="AQ74" s="140"/>
      <c r="AR74" s="140"/>
      <c r="AS74" s="140"/>
      <c r="AT74" s="140" t="s">
        <v>376</v>
      </c>
      <c r="AU74" s="140" t="s">
        <v>376</v>
      </c>
      <c r="AV74" s="140" t="s">
        <v>376</v>
      </c>
      <c r="AW74" s="140" t="s">
        <v>376</v>
      </c>
      <c r="AX74" s="140" t="s">
        <v>376</v>
      </c>
      <c r="AY74" s="140" t="s">
        <v>376</v>
      </c>
      <c r="AZ74" s="140" t="s">
        <v>376</v>
      </c>
      <c r="BA74" s="140" t="s">
        <v>376</v>
      </c>
      <c r="BB74" s="140" t="s">
        <v>376</v>
      </c>
      <c r="BC74" s="140" t="s">
        <v>376</v>
      </c>
      <c r="BD74" s="140" t="s">
        <v>376</v>
      </c>
      <c r="BE74" s="140" t="s">
        <v>376</v>
      </c>
      <c r="BF74" s="140" t="s">
        <v>376</v>
      </c>
      <c r="BG74" s="140" t="s">
        <v>376</v>
      </c>
      <c r="BH74" s="140" t="s">
        <v>376</v>
      </c>
      <c r="BI74" s="140" t="s">
        <v>376</v>
      </c>
      <c r="BJ74" s="140" t="s">
        <v>376</v>
      </c>
      <c r="BK74" s="140" t="s">
        <v>376</v>
      </c>
      <c r="BL74" s="140" t="s">
        <v>376</v>
      </c>
      <c r="BM74" s="140" t="s">
        <v>376</v>
      </c>
      <c r="BN74" s="140" t="s">
        <v>376</v>
      </c>
      <c r="BO74" s="140" t="s">
        <v>376</v>
      </c>
      <c r="BP74" s="140" t="s">
        <v>376</v>
      </c>
      <c r="BQ74" s="140" t="s">
        <v>376</v>
      </c>
      <c r="BR74" s="175"/>
      <c r="BS74" s="142" t="s">
        <v>377</v>
      </c>
    </row>
    <row r="75" customHeight="1" spans="1:71">
      <c r="A75" s="127" t="s">
        <v>285</v>
      </c>
      <c r="B75" s="127" t="s">
        <v>27</v>
      </c>
      <c r="C75" s="180"/>
      <c r="D75" s="172" t="s">
        <v>404</v>
      </c>
      <c r="E75" s="181">
        <v>56.5</v>
      </c>
      <c r="F75" s="182">
        <v>81.99</v>
      </c>
      <c r="G75" s="133">
        <f t="shared" si="63"/>
        <v>81.99</v>
      </c>
      <c r="H75" s="133">
        <f t="shared" si="64"/>
        <v>68.325</v>
      </c>
      <c r="I75" s="133">
        <f t="shared" si="65"/>
        <v>10.9266504424779</v>
      </c>
      <c r="J75" s="134">
        <f t="shared" si="66"/>
        <v>0.193392043229697</v>
      </c>
      <c r="K75" s="131">
        <f t="shared" si="67"/>
        <v>68.325</v>
      </c>
      <c r="L75" s="174">
        <f t="shared" si="68"/>
        <v>0.173069886571533</v>
      </c>
      <c r="M75" s="133">
        <f t="shared" si="69"/>
        <v>11.825</v>
      </c>
      <c r="N75" s="131">
        <f t="shared" si="82"/>
        <v>197.070796460177</v>
      </c>
      <c r="O75" s="131">
        <f t="shared" si="70"/>
        <v>1.1875</v>
      </c>
      <c r="P75" s="127">
        <v>12</v>
      </c>
      <c r="Q75" s="136">
        <v>8</v>
      </c>
      <c r="R75" s="137">
        <f t="shared" si="71"/>
        <v>0.141592920353982</v>
      </c>
      <c r="S75" s="134">
        <f t="shared" si="72"/>
        <v>0.0975728747408221</v>
      </c>
      <c r="T75" s="137">
        <f t="shared" si="73"/>
        <v>0</v>
      </c>
      <c r="U75" s="137">
        <v>0.01</v>
      </c>
      <c r="V75" s="137">
        <f t="shared" si="74"/>
        <v>0.435997337301277</v>
      </c>
      <c r="W75" s="137">
        <f t="shared" si="75"/>
        <v>0.0210176991150442</v>
      </c>
      <c r="X75" s="135">
        <v>0.198</v>
      </c>
      <c r="Y75" s="138">
        <v>8</v>
      </c>
      <c r="Z75" s="138">
        <v>0</v>
      </c>
      <c r="AA75" s="138">
        <f t="shared" si="76"/>
        <v>0.565</v>
      </c>
      <c r="AB75" s="131">
        <f t="shared" si="77"/>
        <v>11.187</v>
      </c>
      <c r="AC75" s="131">
        <v>208</v>
      </c>
      <c r="AD75" s="139">
        <f t="shared" si="78"/>
        <v>184.070796460177</v>
      </c>
      <c r="AE75" s="136">
        <f t="shared" si="83"/>
        <v>1.625</v>
      </c>
      <c r="AF75" s="137">
        <f t="shared" si="79"/>
        <v>0.407236275354374</v>
      </c>
      <c r="AG75" s="137">
        <f t="shared" si="80"/>
        <v>0.00359513274336283</v>
      </c>
      <c r="AH75" s="136">
        <v>13</v>
      </c>
      <c r="AI75" s="137">
        <f t="shared" si="81"/>
        <v>0.33680204903037</v>
      </c>
      <c r="AJ75" s="137"/>
      <c r="AK75" s="137"/>
      <c r="AL75" s="137"/>
      <c r="AM75" s="137"/>
      <c r="AN75" s="140"/>
      <c r="AO75" s="140"/>
      <c r="AP75" s="140"/>
      <c r="AQ75" s="140"/>
      <c r="AR75" s="140"/>
      <c r="AS75" s="140"/>
      <c r="AT75" s="140" t="s">
        <v>376</v>
      </c>
      <c r="AU75" s="140" t="s">
        <v>376</v>
      </c>
      <c r="AV75" s="140" t="s">
        <v>376</v>
      </c>
      <c r="AW75" s="140" t="s">
        <v>376</v>
      </c>
      <c r="AX75" s="140" t="s">
        <v>376</v>
      </c>
      <c r="AY75" s="140" t="s">
        <v>376</v>
      </c>
      <c r="AZ75" s="140" t="s">
        <v>376</v>
      </c>
      <c r="BA75" s="140" t="s">
        <v>376</v>
      </c>
      <c r="BB75" s="140" t="s">
        <v>376</v>
      </c>
      <c r="BC75" s="140" t="s">
        <v>376</v>
      </c>
      <c r="BD75" s="140" t="s">
        <v>376</v>
      </c>
      <c r="BE75" s="140" t="s">
        <v>376</v>
      </c>
      <c r="BF75" s="140" t="s">
        <v>376</v>
      </c>
      <c r="BG75" s="140" t="s">
        <v>376</v>
      </c>
      <c r="BH75" s="140" t="s">
        <v>376</v>
      </c>
      <c r="BI75" s="140" t="s">
        <v>376</v>
      </c>
      <c r="BJ75" s="140" t="s">
        <v>376</v>
      </c>
      <c r="BK75" s="140" t="s">
        <v>376</v>
      </c>
      <c r="BL75" s="140" t="s">
        <v>376</v>
      </c>
      <c r="BM75" s="140" t="s">
        <v>376</v>
      </c>
      <c r="BN75" s="140" t="s">
        <v>376</v>
      </c>
      <c r="BO75" s="140" t="s">
        <v>376</v>
      </c>
      <c r="BP75" s="140" t="s">
        <v>376</v>
      </c>
      <c r="BQ75" s="140" t="s">
        <v>376</v>
      </c>
      <c r="BR75" s="175"/>
      <c r="BS75" s="142" t="s">
        <v>377</v>
      </c>
    </row>
    <row r="76" customHeight="1" spans="1:71">
      <c r="A76" s="127" t="s">
        <v>285</v>
      </c>
      <c r="B76" s="127" t="s">
        <v>27</v>
      </c>
      <c r="C76" s="180"/>
      <c r="D76" s="172" t="s">
        <v>405</v>
      </c>
      <c r="E76" s="181">
        <v>56.5</v>
      </c>
      <c r="F76" s="182">
        <v>81.99</v>
      </c>
      <c r="G76" s="133">
        <f t="shared" si="63"/>
        <v>73.791</v>
      </c>
      <c r="H76" s="133">
        <f t="shared" si="64"/>
        <v>61.4925</v>
      </c>
      <c r="I76" s="176">
        <f t="shared" si="65"/>
        <v>2.72765044247787</v>
      </c>
      <c r="J76" s="134">
        <f t="shared" si="66"/>
        <v>0.0482769989819093</v>
      </c>
      <c r="K76" s="131">
        <f t="shared" si="67"/>
        <v>68.325</v>
      </c>
      <c r="L76" s="174">
        <f t="shared" si="68"/>
        <v>0.173069886571533</v>
      </c>
      <c r="M76" s="133">
        <f t="shared" si="69"/>
        <v>11.825</v>
      </c>
      <c r="N76" s="131">
        <f t="shared" si="82"/>
        <v>197.070796460177</v>
      </c>
      <c r="O76" s="131">
        <f t="shared" si="70"/>
        <v>1.1875</v>
      </c>
      <c r="P76" s="127">
        <v>12</v>
      </c>
      <c r="Q76" s="136">
        <v>8</v>
      </c>
      <c r="R76" s="137">
        <f t="shared" si="71"/>
        <v>0.141592920353982</v>
      </c>
      <c r="S76" s="134">
        <f t="shared" si="72"/>
        <v>0.0975728747408221</v>
      </c>
      <c r="T76" s="137">
        <f t="shared" si="73"/>
        <v>0.145115044247788</v>
      </c>
      <c r="U76" s="137">
        <v>0.01</v>
      </c>
      <c r="V76" s="137">
        <f t="shared" si="74"/>
        <v>0.435997337301277</v>
      </c>
      <c r="W76" s="137">
        <f t="shared" si="75"/>
        <v>0.0210176991150442</v>
      </c>
      <c r="X76" s="135">
        <v>0.198</v>
      </c>
      <c r="Y76" s="138">
        <v>8</v>
      </c>
      <c r="Z76" s="138">
        <f>F76*0.1</f>
        <v>8.199</v>
      </c>
      <c r="AA76" s="138">
        <f t="shared" si="76"/>
        <v>0.565</v>
      </c>
      <c r="AB76" s="131">
        <f t="shared" si="77"/>
        <v>11.187</v>
      </c>
      <c r="AC76" s="131">
        <v>208</v>
      </c>
      <c r="AD76" s="139">
        <f t="shared" si="78"/>
        <v>184.070796460177</v>
      </c>
      <c r="AE76" s="136">
        <f t="shared" si="83"/>
        <v>1.625</v>
      </c>
      <c r="AF76" s="137">
        <f t="shared" si="79"/>
        <v>0.407236275354374</v>
      </c>
      <c r="AG76" s="137">
        <f t="shared" si="80"/>
        <v>0.00359513274336283</v>
      </c>
      <c r="AH76" s="136">
        <v>13</v>
      </c>
      <c r="AI76" s="137">
        <f t="shared" si="81"/>
        <v>0.263113387811522</v>
      </c>
      <c r="AJ76" s="137"/>
      <c r="AK76" s="137"/>
      <c r="AL76" s="137"/>
      <c r="AM76" s="137"/>
      <c r="AN76" s="140"/>
      <c r="AO76" s="140"/>
      <c r="AP76" s="140"/>
      <c r="AQ76" s="140"/>
      <c r="AR76" s="140"/>
      <c r="AS76" s="140"/>
      <c r="AT76" s="140" t="s">
        <v>376</v>
      </c>
      <c r="AU76" s="140" t="s">
        <v>376</v>
      </c>
      <c r="AV76" s="140" t="s">
        <v>376</v>
      </c>
      <c r="AW76" s="140" t="s">
        <v>376</v>
      </c>
      <c r="AX76" s="140" t="s">
        <v>376</v>
      </c>
      <c r="AY76" s="140" t="s">
        <v>376</v>
      </c>
      <c r="AZ76" s="140" t="s">
        <v>376</v>
      </c>
      <c r="BA76" s="140" t="s">
        <v>376</v>
      </c>
      <c r="BB76" s="140" t="s">
        <v>376</v>
      </c>
      <c r="BC76" s="140" t="s">
        <v>376</v>
      </c>
      <c r="BD76" s="140" t="s">
        <v>376</v>
      </c>
      <c r="BE76" s="140" t="s">
        <v>376</v>
      </c>
      <c r="BF76" s="140" t="s">
        <v>376</v>
      </c>
      <c r="BG76" s="140" t="s">
        <v>376</v>
      </c>
      <c r="BH76" s="140" t="s">
        <v>376</v>
      </c>
      <c r="BI76" s="140" t="s">
        <v>376</v>
      </c>
      <c r="BJ76" s="140" t="s">
        <v>376</v>
      </c>
      <c r="BK76" s="140" t="s">
        <v>376</v>
      </c>
      <c r="BL76" s="140" t="s">
        <v>376</v>
      </c>
      <c r="BM76" s="140" t="s">
        <v>376</v>
      </c>
      <c r="BN76" s="140" t="s">
        <v>376</v>
      </c>
      <c r="BO76" s="140" t="s">
        <v>376</v>
      </c>
      <c r="BP76" s="140" t="s">
        <v>376</v>
      </c>
      <c r="BQ76" s="140" t="s">
        <v>376</v>
      </c>
      <c r="BR76" s="175"/>
      <c r="BS76" s="142" t="s">
        <v>377</v>
      </c>
    </row>
    <row r="77" customHeight="1" spans="1:71">
      <c r="A77" s="127" t="s">
        <v>285</v>
      </c>
      <c r="B77" s="127" t="s">
        <v>27</v>
      </c>
      <c r="C77" s="180"/>
      <c r="D77" s="172" t="s">
        <v>406</v>
      </c>
      <c r="E77" s="181">
        <v>56.5</v>
      </c>
      <c r="F77" s="182">
        <v>81.99</v>
      </c>
      <c r="G77" s="133">
        <f t="shared" si="63"/>
        <v>69.6915</v>
      </c>
      <c r="H77" s="133">
        <f t="shared" si="64"/>
        <v>58.07625</v>
      </c>
      <c r="I77" s="133">
        <f t="shared" si="65"/>
        <v>-1.37184955752213</v>
      </c>
      <c r="J77" s="134">
        <f t="shared" si="66"/>
        <v>-0.0242805231419845</v>
      </c>
      <c r="K77" s="131">
        <f t="shared" si="67"/>
        <v>68.325</v>
      </c>
      <c r="L77" s="174">
        <f t="shared" si="68"/>
        <v>0.173069886571533</v>
      </c>
      <c r="M77" s="133">
        <f t="shared" si="69"/>
        <v>11.825</v>
      </c>
      <c r="N77" s="131">
        <f t="shared" si="82"/>
        <v>197.070796460177</v>
      </c>
      <c r="O77" s="131">
        <f t="shared" si="70"/>
        <v>1.1875</v>
      </c>
      <c r="P77" s="127">
        <v>12</v>
      </c>
      <c r="Q77" s="136">
        <v>8</v>
      </c>
      <c r="R77" s="137">
        <f t="shared" si="71"/>
        <v>0.141592920353982</v>
      </c>
      <c r="S77" s="134">
        <f t="shared" si="72"/>
        <v>0.0975728747408221</v>
      </c>
      <c r="T77" s="137">
        <f t="shared" si="73"/>
        <v>0.217672566371681</v>
      </c>
      <c r="U77" s="137">
        <v>0.01</v>
      </c>
      <c r="V77" s="137">
        <f t="shared" si="74"/>
        <v>0.435997337301277</v>
      </c>
      <c r="W77" s="137">
        <f t="shared" si="75"/>
        <v>0.0210176991150442</v>
      </c>
      <c r="X77" s="135">
        <v>0.198</v>
      </c>
      <c r="Y77" s="138">
        <v>8</v>
      </c>
      <c r="Z77" s="138">
        <f>F77*0.15</f>
        <v>12.2985</v>
      </c>
      <c r="AA77" s="138">
        <f t="shared" si="76"/>
        <v>0.565</v>
      </c>
      <c r="AB77" s="131">
        <f t="shared" si="77"/>
        <v>11.187</v>
      </c>
      <c r="AC77" s="131">
        <v>208</v>
      </c>
      <c r="AD77" s="139">
        <f t="shared" si="78"/>
        <v>184.070796460177</v>
      </c>
      <c r="AE77" s="136">
        <f t="shared" si="83"/>
        <v>1.625</v>
      </c>
      <c r="AF77" s="137">
        <f t="shared" si="79"/>
        <v>0.407236275354374</v>
      </c>
      <c r="AG77" s="137">
        <f t="shared" si="80"/>
        <v>0.00359513274336283</v>
      </c>
      <c r="AH77" s="136">
        <v>13</v>
      </c>
      <c r="AI77" s="137">
        <f t="shared" ref="AI77:AI87" si="84">(K77-E77+AB77)/(K77-Z77)</f>
        <v>0.410734206134597</v>
      </c>
      <c r="AJ77" s="137"/>
      <c r="AK77" s="137"/>
      <c r="AL77" s="137"/>
      <c r="AM77" s="137"/>
      <c r="AN77" s="140"/>
      <c r="AO77" s="140"/>
      <c r="AP77" s="140"/>
      <c r="AQ77" s="140"/>
      <c r="AR77" s="140"/>
      <c r="AS77" s="140"/>
      <c r="AT77" s="140" t="s">
        <v>376</v>
      </c>
      <c r="AU77" s="140" t="s">
        <v>376</v>
      </c>
      <c r="AV77" s="140" t="s">
        <v>376</v>
      </c>
      <c r="AW77" s="140" t="s">
        <v>376</v>
      </c>
      <c r="AX77" s="140" t="s">
        <v>376</v>
      </c>
      <c r="AY77" s="140" t="s">
        <v>376</v>
      </c>
      <c r="AZ77" s="140" t="s">
        <v>376</v>
      </c>
      <c r="BA77" s="140" t="s">
        <v>376</v>
      </c>
      <c r="BB77" s="140" t="s">
        <v>376</v>
      </c>
      <c r="BC77" s="140" t="s">
        <v>376</v>
      </c>
      <c r="BD77" s="140" t="s">
        <v>376</v>
      </c>
      <c r="BE77" s="140" t="s">
        <v>376</v>
      </c>
      <c r="BF77" s="140" t="s">
        <v>376</v>
      </c>
      <c r="BG77" s="140" t="s">
        <v>376</v>
      </c>
      <c r="BH77" s="140" t="s">
        <v>376</v>
      </c>
      <c r="BI77" s="140" t="s">
        <v>376</v>
      </c>
      <c r="BJ77" s="140" t="s">
        <v>376</v>
      </c>
      <c r="BK77" s="140" t="s">
        <v>376</v>
      </c>
      <c r="BL77" s="140" t="s">
        <v>376</v>
      </c>
      <c r="BM77" s="140" t="s">
        <v>376</v>
      </c>
      <c r="BN77" s="140" t="s">
        <v>376</v>
      </c>
      <c r="BO77" s="140" t="s">
        <v>376</v>
      </c>
      <c r="BP77" s="140" t="s">
        <v>376</v>
      </c>
      <c r="BQ77" s="140" t="s">
        <v>376</v>
      </c>
      <c r="BR77" s="175"/>
      <c r="BS77" s="142" t="s">
        <v>377</v>
      </c>
    </row>
    <row r="78" customHeight="1" spans="1:71">
      <c r="A78" s="127" t="s">
        <v>287</v>
      </c>
      <c r="B78" s="127" t="s">
        <v>27</v>
      </c>
      <c r="C78" s="180"/>
      <c r="D78" s="172" t="s">
        <v>404</v>
      </c>
      <c r="E78" s="181">
        <v>56.5</v>
      </c>
      <c r="F78" s="182">
        <v>81.99</v>
      </c>
      <c r="G78" s="133">
        <f t="shared" si="63"/>
        <v>81.99</v>
      </c>
      <c r="H78" s="133">
        <f t="shared" si="64"/>
        <v>68.325</v>
      </c>
      <c r="I78" s="133">
        <f t="shared" si="65"/>
        <v>11.6004171091445</v>
      </c>
      <c r="J78" s="134">
        <f t="shared" si="66"/>
        <v>0.20531711697601</v>
      </c>
      <c r="K78" s="131">
        <f t="shared" si="67"/>
        <v>68.325</v>
      </c>
      <c r="L78" s="174">
        <f t="shared" si="68"/>
        <v>0.173069886571533</v>
      </c>
      <c r="M78" s="133">
        <f t="shared" si="69"/>
        <v>11.825</v>
      </c>
      <c r="N78" s="131">
        <f t="shared" si="82"/>
        <v>197.070796460177</v>
      </c>
      <c r="O78" s="131">
        <f t="shared" si="70"/>
        <v>1.27083333333333</v>
      </c>
      <c r="P78" s="127">
        <v>12</v>
      </c>
      <c r="Q78" s="136">
        <v>8</v>
      </c>
      <c r="R78" s="137">
        <f t="shared" si="71"/>
        <v>0.141592920353982</v>
      </c>
      <c r="S78" s="134">
        <f t="shared" si="72"/>
        <v>0.0975728747408221</v>
      </c>
      <c r="T78" s="137">
        <f t="shared" si="73"/>
        <v>0</v>
      </c>
      <c r="U78" s="137">
        <v>0.01</v>
      </c>
      <c r="V78" s="137">
        <f t="shared" si="74"/>
        <v>0.435997337301277</v>
      </c>
      <c r="W78" s="137">
        <f t="shared" si="75"/>
        <v>0.0224926253687316</v>
      </c>
      <c r="X78" s="135">
        <v>0.1846</v>
      </c>
      <c r="Y78" s="138">
        <v>8</v>
      </c>
      <c r="Z78" s="138">
        <v>0</v>
      </c>
      <c r="AA78" s="138">
        <f t="shared" si="76"/>
        <v>0.565</v>
      </c>
      <c r="AB78" s="131">
        <f t="shared" si="77"/>
        <v>10.4299</v>
      </c>
      <c r="AC78" s="131">
        <v>208</v>
      </c>
      <c r="AD78" s="139">
        <f t="shared" si="78"/>
        <v>184.070796460177</v>
      </c>
      <c r="AE78" s="136">
        <f t="shared" si="83"/>
        <v>1.625</v>
      </c>
      <c r="AF78" s="137">
        <f t="shared" si="79"/>
        <v>0.407236275354374</v>
      </c>
      <c r="AG78" s="137">
        <f t="shared" si="80"/>
        <v>0.00359513274336283</v>
      </c>
      <c r="AH78" s="136">
        <v>13</v>
      </c>
      <c r="AI78" s="134">
        <f t="shared" si="84"/>
        <v>0.325721185510428</v>
      </c>
      <c r="AJ78" s="134"/>
      <c r="AK78" s="134"/>
      <c r="AL78" s="134"/>
      <c r="AM78" s="134"/>
      <c r="AN78" s="140"/>
      <c r="AO78" s="140"/>
      <c r="AP78" s="140"/>
      <c r="AQ78" s="140"/>
      <c r="AR78" s="140"/>
      <c r="AS78" s="140"/>
      <c r="AT78" s="140" t="s">
        <v>376</v>
      </c>
      <c r="AU78" s="140" t="s">
        <v>376</v>
      </c>
      <c r="AV78" s="140" t="s">
        <v>376</v>
      </c>
      <c r="AW78" s="140" t="s">
        <v>376</v>
      </c>
      <c r="AX78" s="140" t="s">
        <v>376</v>
      </c>
      <c r="AY78" s="140" t="s">
        <v>376</v>
      </c>
      <c r="AZ78" s="140" t="s">
        <v>376</v>
      </c>
      <c r="BA78" s="140" t="s">
        <v>376</v>
      </c>
      <c r="BB78" s="140" t="s">
        <v>376</v>
      </c>
      <c r="BC78" s="140" t="s">
        <v>376</v>
      </c>
      <c r="BD78" s="140" t="s">
        <v>376</v>
      </c>
      <c r="BE78" s="140" t="s">
        <v>376</v>
      </c>
      <c r="BF78" s="140" t="s">
        <v>376</v>
      </c>
      <c r="BG78" s="140" t="s">
        <v>376</v>
      </c>
      <c r="BH78" s="140" t="s">
        <v>376</v>
      </c>
      <c r="BI78" s="140" t="s">
        <v>376</v>
      </c>
      <c r="BJ78" s="140" t="s">
        <v>376</v>
      </c>
      <c r="BK78" s="140" t="s">
        <v>376</v>
      </c>
      <c r="BL78" s="140" t="s">
        <v>376</v>
      </c>
      <c r="BM78" s="140" t="s">
        <v>376</v>
      </c>
      <c r="BN78" s="140" t="s">
        <v>376</v>
      </c>
      <c r="BO78" s="140" t="s">
        <v>376</v>
      </c>
      <c r="BP78" s="140" t="s">
        <v>376</v>
      </c>
      <c r="BQ78" s="140" t="s">
        <v>376</v>
      </c>
      <c r="BR78" s="175"/>
      <c r="BS78" s="142" t="s">
        <v>377</v>
      </c>
    </row>
    <row r="79" customHeight="1" spans="1:71">
      <c r="A79" s="127" t="s">
        <v>287</v>
      </c>
      <c r="B79" s="127" t="s">
        <v>27</v>
      </c>
      <c r="C79" s="180"/>
      <c r="D79" s="172" t="s">
        <v>405</v>
      </c>
      <c r="E79" s="181">
        <v>56.5</v>
      </c>
      <c r="F79" s="182">
        <v>81.99</v>
      </c>
      <c r="G79" s="133">
        <f t="shared" si="63"/>
        <v>73.791</v>
      </c>
      <c r="H79" s="133">
        <f t="shared" si="64"/>
        <v>61.4925</v>
      </c>
      <c r="I79" s="176">
        <f t="shared" si="65"/>
        <v>3.40141710914454</v>
      </c>
      <c r="J79" s="134">
        <f t="shared" si="66"/>
        <v>0.060202072728222</v>
      </c>
      <c r="K79" s="131">
        <f t="shared" si="67"/>
        <v>68.325</v>
      </c>
      <c r="L79" s="174">
        <f t="shared" si="68"/>
        <v>0.173069886571533</v>
      </c>
      <c r="M79" s="133">
        <f t="shared" si="69"/>
        <v>11.825</v>
      </c>
      <c r="N79" s="131">
        <f t="shared" si="82"/>
        <v>197.070796460177</v>
      </c>
      <c r="O79" s="131">
        <f t="shared" si="70"/>
        <v>1.27083333333333</v>
      </c>
      <c r="P79" s="127">
        <v>12</v>
      </c>
      <c r="Q79" s="136">
        <v>8</v>
      </c>
      <c r="R79" s="137">
        <f t="shared" si="71"/>
        <v>0.141592920353982</v>
      </c>
      <c r="S79" s="134">
        <f t="shared" si="72"/>
        <v>0.0975728747408221</v>
      </c>
      <c r="T79" s="137">
        <f t="shared" si="73"/>
        <v>0.145115044247788</v>
      </c>
      <c r="U79" s="137">
        <v>0.01</v>
      </c>
      <c r="V79" s="137">
        <f t="shared" si="74"/>
        <v>0.435997337301277</v>
      </c>
      <c r="W79" s="137">
        <f t="shared" si="75"/>
        <v>0.0224926253687316</v>
      </c>
      <c r="X79" s="135">
        <v>0.1846</v>
      </c>
      <c r="Y79" s="138">
        <v>8</v>
      </c>
      <c r="Z79" s="138">
        <f>F79*0.1</f>
        <v>8.199</v>
      </c>
      <c r="AA79" s="138">
        <f t="shared" si="76"/>
        <v>0.565</v>
      </c>
      <c r="AB79" s="131">
        <f t="shared" si="77"/>
        <v>10.4299</v>
      </c>
      <c r="AC79" s="131">
        <v>208</v>
      </c>
      <c r="AD79" s="139">
        <f t="shared" si="78"/>
        <v>184.070796460177</v>
      </c>
      <c r="AE79" s="136">
        <f t="shared" si="83"/>
        <v>1.625</v>
      </c>
      <c r="AF79" s="137">
        <f t="shared" si="79"/>
        <v>0.407236275354374</v>
      </c>
      <c r="AG79" s="137">
        <f t="shared" si="80"/>
        <v>0.00359513274336283</v>
      </c>
      <c r="AH79" s="136">
        <v>13</v>
      </c>
      <c r="AI79" s="134">
        <f t="shared" si="84"/>
        <v>0.370137710807305</v>
      </c>
      <c r="AJ79" s="134"/>
      <c r="AK79" s="134"/>
      <c r="AL79" s="134"/>
      <c r="AM79" s="134"/>
      <c r="AN79" s="140"/>
      <c r="AO79" s="140"/>
      <c r="AP79" s="140"/>
      <c r="AQ79" s="140"/>
      <c r="AR79" s="140"/>
      <c r="AS79" s="140"/>
      <c r="AT79" s="140" t="s">
        <v>376</v>
      </c>
      <c r="AU79" s="140" t="s">
        <v>376</v>
      </c>
      <c r="AV79" s="140" t="s">
        <v>376</v>
      </c>
      <c r="AW79" s="140" t="s">
        <v>376</v>
      </c>
      <c r="AX79" s="140" t="s">
        <v>376</v>
      </c>
      <c r="AY79" s="140" t="s">
        <v>376</v>
      </c>
      <c r="AZ79" s="140" t="s">
        <v>376</v>
      </c>
      <c r="BA79" s="140" t="s">
        <v>376</v>
      </c>
      <c r="BB79" s="140" t="s">
        <v>376</v>
      </c>
      <c r="BC79" s="140" t="s">
        <v>376</v>
      </c>
      <c r="BD79" s="140" t="s">
        <v>376</v>
      </c>
      <c r="BE79" s="140" t="s">
        <v>376</v>
      </c>
      <c r="BF79" s="140" t="s">
        <v>376</v>
      </c>
      <c r="BG79" s="140" t="s">
        <v>376</v>
      </c>
      <c r="BH79" s="140" t="s">
        <v>376</v>
      </c>
      <c r="BI79" s="140" t="s">
        <v>376</v>
      </c>
      <c r="BJ79" s="140" t="s">
        <v>376</v>
      </c>
      <c r="BK79" s="140" t="s">
        <v>376</v>
      </c>
      <c r="BL79" s="140" t="s">
        <v>376</v>
      </c>
      <c r="BM79" s="140" t="s">
        <v>376</v>
      </c>
      <c r="BN79" s="140" t="s">
        <v>376</v>
      </c>
      <c r="BO79" s="140" t="s">
        <v>376</v>
      </c>
      <c r="BP79" s="140" t="s">
        <v>376</v>
      </c>
      <c r="BQ79" s="140" t="s">
        <v>376</v>
      </c>
      <c r="BR79" s="175"/>
      <c r="BS79" s="142" t="s">
        <v>377</v>
      </c>
    </row>
    <row r="80" customHeight="1" spans="1:71">
      <c r="A80" s="127" t="s">
        <v>287</v>
      </c>
      <c r="B80" s="127" t="s">
        <v>27</v>
      </c>
      <c r="C80" s="180"/>
      <c r="D80" s="172" t="s">
        <v>406</v>
      </c>
      <c r="E80" s="181">
        <v>56.5</v>
      </c>
      <c r="F80" s="182">
        <v>81.99</v>
      </c>
      <c r="G80" s="133">
        <f t="shared" si="63"/>
        <v>69.6915</v>
      </c>
      <c r="H80" s="133">
        <f t="shared" si="64"/>
        <v>58.07625</v>
      </c>
      <c r="I80" s="133">
        <f t="shared" si="65"/>
        <v>-0.698082890855459</v>
      </c>
      <c r="J80" s="134">
        <f t="shared" si="66"/>
        <v>-0.0123554493956718</v>
      </c>
      <c r="K80" s="131">
        <f t="shared" si="67"/>
        <v>68.325</v>
      </c>
      <c r="L80" s="174">
        <f t="shared" si="68"/>
        <v>0.173069886571533</v>
      </c>
      <c r="M80" s="133">
        <f t="shared" si="69"/>
        <v>11.825</v>
      </c>
      <c r="N80" s="131">
        <f t="shared" si="82"/>
        <v>197.070796460177</v>
      </c>
      <c r="O80" s="131">
        <f t="shared" si="70"/>
        <v>1.27083333333333</v>
      </c>
      <c r="P80" s="127">
        <v>12</v>
      </c>
      <c r="Q80" s="136">
        <v>8</v>
      </c>
      <c r="R80" s="137">
        <f t="shared" si="71"/>
        <v>0.141592920353982</v>
      </c>
      <c r="S80" s="134">
        <f t="shared" si="72"/>
        <v>0.0975728747408221</v>
      </c>
      <c r="T80" s="137">
        <f t="shared" si="73"/>
        <v>0.217672566371681</v>
      </c>
      <c r="U80" s="137">
        <v>0.01</v>
      </c>
      <c r="V80" s="137">
        <f t="shared" si="74"/>
        <v>0.435997337301277</v>
      </c>
      <c r="W80" s="137">
        <f t="shared" si="75"/>
        <v>0.0224926253687316</v>
      </c>
      <c r="X80" s="135">
        <v>0.1846</v>
      </c>
      <c r="Y80" s="138">
        <v>8</v>
      </c>
      <c r="Z80" s="138">
        <f>F80*0.15</f>
        <v>12.2985</v>
      </c>
      <c r="AA80" s="138">
        <f t="shared" si="76"/>
        <v>0.565</v>
      </c>
      <c r="AB80" s="131">
        <f t="shared" si="77"/>
        <v>10.4299</v>
      </c>
      <c r="AC80" s="131">
        <v>208</v>
      </c>
      <c r="AD80" s="139">
        <f t="shared" si="78"/>
        <v>184.070796460177</v>
      </c>
      <c r="AE80" s="136">
        <f t="shared" si="83"/>
        <v>1.625</v>
      </c>
      <c r="AF80" s="137">
        <f t="shared" si="79"/>
        <v>0.407236275354374</v>
      </c>
      <c r="AG80" s="137">
        <f t="shared" si="80"/>
        <v>0.00359513274336283</v>
      </c>
      <c r="AH80" s="136">
        <v>13</v>
      </c>
      <c r="AI80" s="134">
        <f t="shared" si="84"/>
        <v>0.397220957939546</v>
      </c>
      <c r="AJ80" s="134"/>
      <c r="AK80" s="134"/>
      <c r="AL80" s="134"/>
      <c r="AM80" s="134"/>
      <c r="AN80" s="140"/>
      <c r="AO80" s="140"/>
      <c r="AP80" s="140"/>
      <c r="AQ80" s="140"/>
      <c r="AR80" s="140"/>
      <c r="AS80" s="140"/>
      <c r="AT80" s="140" t="s">
        <v>376</v>
      </c>
      <c r="AU80" s="140" t="s">
        <v>376</v>
      </c>
      <c r="AV80" s="140" t="s">
        <v>376</v>
      </c>
      <c r="AW80" s="140" t="s">
        <v>376</v>
      </c>
      <c r="AX80" s="140" t="s">
        <v>376</v>
      </c>
      <c r="AY80" s="140" t="s">
        <v>376</v>
      </c>
      <c r="AZ80" s="140" t="s">
        <v>376</v>
      </c>
      <c r="BA80" s="140" t="s">
        <v>376</v>
      </c>
      <c r="BB80" s="140" t="s">
        <v>376</v>
      </c>
      <c r="BC80" s="140" t="s">
        <v>376</v>
      </c>
      <c r="BD80" s="140" t="s">
        <v>376</v>
      </c>
      <c r="BE80" s="140" t="s">
        <v>376</v>
      </c>
      <c r="BF80" s="140" t="s">
        <v>376</v>
      </c>
      <c r="BG80" s="140" t="s">
        <v>376</v>
      </c>
      <c r="BH80" s="140" t="s">
        <v>376</v>
      </c>
      <c r="BI80" s="140" t="s">
        <v>376</v>
      </c>
      <c r="BJ80" s="140" t="s">
        <v>376</v>
      </c>
      <c r="BK80" s="140" t="s">
        <v>376</v>
      </c>
      <c r="BL80" s="140" t="s">
        <v>376</v>
      </c>
      <c r="BM80" s="140" t="s">
        <v>376</v>
      </c>
      <c r="BN80" s="140" t="s">
        <v>376</v>
      </c>
      <c r="BO80" s="140" t="s">
        <v>376</v>
      </c>
      <c r="BP80" s="140" t="s">
        <v>376</v>
      </c>
      <c r="BQ80" s="140" t="s">
        <v>376</v>
      </c>
      <c r="BR80" s="175"/>
      <c r="BS80" s="142" t="s">
        <v>377</v>
      </c>
    </row>
    <row r="81" customHeight="1" spans="1:71">
      <c r="A81" s="127" t="s">
        <v>290</v>
      </c>
      <c r="B81" s="127" t="s">
        <v>27</v>
      </c>
      <c r="C81" s="180"/>
      <c r="D81" s="172" t="s">
        <v>404</v>
      </c>
      <c r="E81" s="181">
        <v>56.5</v>
      </c>
      <c r="F81" s="182">
        <v>81.99</v>
      </c>
      <c r="G81" s="133">
        <f t="shared" si="63"/>
        <v>81.99</v>
      </c>
      <c r="H81" s="133">
        <f t="shared" si="64"/>
        <v>68.325</v>
      </c>
      <c r="I81" s="133">
        <f t="shared" si="65"/>
        <v>12.3970837758112</v>
      </c>
      <c r="J81" s="134">
        <f t="shared" si="66"/>
        <v>0.21941741196126</v>
      </c>
      <c r="K81" s="131">
        <f t="shared" si="67"/>
        <v>68.325</v>
      </c>
      <c r="L81" s="174">
        <f t="shared" si="68"/>
        <v>0.173069886571533</v>
      </c>
      <c r="M81" s="133">
        <f t="shared" si="69"/>
        <v>11.825</v>
      </c>
      <c r="N81" s="131">
        <f t="shared" si="82"/>
        <v>197.070796460177</v>
      </c>
      <c r="O81" s="131">
        <f t="shared" si="70"/>
        <v>1.60416666666667</v>
      </c>
      <c r="P81" s="127">
        <v>12</v>
      </c>
      <c r="Q81" s="136">
        <v>8</v>
      </c>
      <c r="R81" s="137">
        <f t="shared" si="71"/>
        <v>0.141592920353982</v>
      </c>
      <c r="S81" s="134">
        <f t="shared" si="72"/>
        <v>0.0975728747408221</v>
      </c>
      <c r="T81" s="137">
        <f t="shared" si="73"/>
        <v>0</v>
      </c>
      <c r="U81" s="137">
        <v>0.01</v>
      </c>
      <c r="V81" s="137">
        <f t="shared" si="74"/>
        <v>0.435997337301277</v>
      </c>
      <c r="W81" s="137">
        <f t="shared" si="75"/>
        <v>0.0283923303834808</v>
      </c>
      <c r="X81" s="135">
        <v>0.1646</v>
      </c>
      <c r="Y81" s="138">
        <v>8</v>
      </c>
      <c r="Z81" s="138">
        <v>0</v>
      </c>
      <c r="AA81" s="138">
        <f t="shared" si="76"/>
        <v>0.565</v>
      </c>
      <c r="AB81" s="131">
        <f t="shared" si="77"/>
        <v>9.2999</v>
      </c>
      <c r="AC81" s="131">
        <v>208</v>
      </c>
      <c r="AD81" s="139">
        <f t="shared" si="78"/>
        <v>184.070796460177</v>
      </c>
      <c r="AE81" s="136">
        <f t="shared" si="83"/>
        <v>1.625</v>
      </c>
      <c r="AF81" s="137">
        <f t="shared" si="79"/>
        <v>0.407236275354374</v>
      </c>
      <c r="AG81" s="137">
        <f t="shared" si="80"/>
        <v>0.00359513274336283</v>
      </c>
      <c r="AH81" s="136">
        <v>13</v>
      </c>
      <c r="AI81" s="137">
        <f t="shared" si="84"/>
        <v>0.309182583241859</v>
      </c>
      <c r="AJ81" s="137"/>
      <c r="AK81" s="137"/>
      <c r="AL81" s="137"/>
      <c r="AM81" s="137"/>
      <c r="AN81" s="140"/>
      <c r="AO81" s="140"/>
      <c r="AP81" s="140"/>
      <c r="AQ81" s="140"/>
      <c r="AR81" s="140"/>
      <c r="AS81" s="140"/>
      <c r="AT81" s="140" t="s">
        <v>376</v>
      </c>
      <c r="AU81" s="140" t="s">
        <v>376</v>
      </c>
      <c r="AV81" s="140" t="s">
        <v>376</v>
      </c>
      <c r="AW81" s="140" t="s">
        <v>376</v>
      </c>
      <c r="AX81" s="140" t="s">
        <v>376</v>
      </c>
      <c r="AY81" s="140" t="s">
        <v>376</v>
      </c>
      <c r="AZ81" s="140" t="s">
        <v>376</v>
      </c>
      <c r="BA81" s="140" t="s">
        <v>376</v>
      </c>
      <c r="BB81" s="140" t="s">
        <v>376</v>
      </c>
      <c r="BC81" s="140" t="s">
        <v>376</v>
      </c>
      <c r="BD81" s="140" t="s">
        <v>376</v>
      </c>
      <c r="BE81" s="140" t="s">
        <v>376</v>
      </c>
      <c r="BF81" s="140" t="s">
        <v>376</v>
      </c>
      <c r="BG81" s="140" t="s">
        <v>376</v>
      </c>
      <c r="BH81" s="140" t="s">
        <v>376</v>
      </c>
      <c r="BI81" s="140" t="s">
        <v>376</v>
      </c>
      <c r="BJ81" s="140" t="s">
        <v>376</v>
      </c>
      <c r="BK81" s="140" t="s">
        <v>376</v>
      </c>
      <c r="BL81" s="140" t="s">
        <v>376</v>
      </c>
      <c r="BM81" s="140" t="s">
        <v>376</v>
      </c>
      <c r="BN81" s="140" t="s">
        <v>376</v>
      </c>
      <c r="BO81" s="140" t="s">
        <v>376</v>
      </c>
      <c r="BP81" s="140" t="s">
        <v>376</v>
      </c>
      <c r="BQ81" s="140" t="s">
        <v>376</v>
      </c>
      <c r="BR81" s="175"/>
      <c r="BS81" s="142" t="s">
        <v>377</v>
      </c>
    </row>
    <row r="82" customHeight="1" spans="1:71">
      <c r="A82" s="127" t="s">
        <v>290</v>
      </c>
      <c r="B82" s="127" t="s">
        <v>27</v>
      </c>
      <c r="C82" s="180"/>
      <c r="D82" s="172" t="s">
        <v>405</v>
      </c>
      <c r="E82" s="181">
        <v>56.5</v>
      </c>
      <c r="F82" s="182">
        <v>81.99</v>
      </c>
      <c r="G82" s="133">
        <f t="shared" si="63"/>
        <v>73.791</v>
      </c>
      <c r="H82" s="133">
        <f t="shared" si="64"/>
        <v>61.4925</v>
      </c>
      <c r="I82" s="176">
        <f t="shared" si="65"/>
        <v>4.19808377581121</v>
      </c>
      <c r="J82" s="134">
        <f t="shared" si="66"/>
        <v>0.0743023677134727</v>
      </c>
      <c r="K82" s="131">
        <f t="shared" si="67"/>
        <v>68.325</v>
      </c>
      <c r="L82" s="174">
        <f t="shared" si="68"/>
        <v>0.173069886571533</v>
      </c>
      <c r="M82" s="133">
        <f t="shared" si="69"/>
        <v>11.825</v>
      </c>
      <c r="N82" s="131">
        <f t="shared" si="82"/>
        <v>197.070796460177</v>
      </c>
      <c r="O82" s="131">
        <f t="shared" si="70"/>
        <v>1.60416666666667</v>
      </c>
      <c r="P82" s="127">
        <v>12</v>
      </c>
      <c r="Q82" s="136">
        <v>8</v>
      </c>
      <c r="R82" s="137">
        <f t="shared" si="71"/>
        <v>0.141592920353982</v>
      </c>
      <c r="S82" s="134">
        <f t="shared" si="72"/>
        <v>0.0975728747408221</v>
      </c>
      <c r="T82" s="137">
        <f t="shared" si="73"/>
        <v>0.145115044247788</v>
      </c>
      <c r="U82" s="137">
        <v>0.01</v>
      </c>
      <c r="V82" s="137">
        <f t="shared" si="74"/>
        <v>0.435997337301277</v>
      </c>
      <c r="W82" s="137">
        <f t="shared" si="75"/>
        <v>0.0283923303834808</v>
      </c>
      <c r="X82" s="135">
        <v>0.1646</v>
      </c>
      <c r="Y82" s="138">
        <v>8</v>
      </c>
      <c r="Z82" s="138">
        <f>F82*0.1</f>
        <v>8.199</v>
      </c>
      <c r="AA82" s="138">
        <f t="shared" si="76"/>
        <v>0.565</v>
      </c>
      <c r="AB82" s="131">
        <f t="shared" si="77"/>
        <v>9.2999</v>
      </c>
      <c r="AC82" s="131">
        <v>208</v>
      </c>
      <c r="AD82" s="139">
        <f t="shared" si="78"/>
        <v>184.070796460177</v>
      </c>
      <c r="AE82" s="136">
        <f t="shared" si="83"/>
        <v>1.625</v>
      </c>
      <c r="AF82" s="137">
        <f t="shared" si="79"/>
        <v>0.407236275354374</v>
      </c>
      <c r="AG82" s="137">
        <f t="shared" si="80"/>
        <v>0.00359513274336283</v>
      </c>
      <c r="AH82" s="136">
        <v>13</v>
      </c>
      <c r="AI82" s="137">
        <f t="shared" si="84"/>
        <v>0.351343844593021</v>
      </c>
      <c r="AJ82" s="137"/>
      <c r="AK82" s="137"/>
      <c r="AL82" s="137"/>
      <c r="AM82" s="137"/>
      <c r="AN82" s="140"/>
      <c r="AO82" s="140"/>
      <c r="AP82" s="140"/>
      <c r="AQ82" s="140"/>
      <c r="AR82" s="140"/>
      <c r="AS82" s="140"/>
      <c r="AT82" s="140" t="s">
        <v>376</v>
      </c>
      <c r="AU82" s="140" t="s">
        <v>376</v>
      </c>
      <c r="AV82" s="140" t="s">
        <v>376</v>
      </c>
      <c r="AW82" s="140" t="s">
        <v>376</v>
      </c>
      <c r="AX82" s="140" t="s">
        <v>376</v>
      </c>
      <c r="AY82" s="140" t="s">
        <v>376</v>
      </c>
      <c r="AZ82" s="140" t="s">
        <v>376</v>
      </c>
      <c r="BA82" s="140" t="s">
        <v>376</v>
      </c>
      <c r="BB82" s="140" t="s">
        <v>376</v>
      </c>
      <c r="BC82" s="140" t="s">
        <v>376</v>
      </c>
      <c r="BD82" s="140" t="s">
        <v>376</v>
      </c>
      <c r="BE82" s="140" t="s">
        <v>376</v>
      </c>
      <c r="BF82" s="140" t="s">
        <v>376</v>
      </c>
      <c r="BG82" s="140" t="s">
        <v>376</v>
      </c>
      <c r="BH82" s="140" t="s">
        <v>376</v>
      </c>
      <c r="BI82" s="140" t="s">
        <v>376</v>
      </c>
      <c r="BJ82" s="140" t="s">
        <v>376</v>
      </c>
      <c r="BK82" s="140" t="s">
        <v>376</v>
      </c>
      <c r="BL82" s="140" t="s">
        <v>376</v>
      </c>
      <c r="BM82" s="140" t="s">
        <v>376</v>
      </c>
      <c r="BN82" s="140" t="s">
        <v>376</v>
      </c>
      <c r="BO82" s="140" t="s">
        <v>376</v>
      </c>
      <c r="BP82" s="140" t="s">
        <v>376</v>
      </c>
      <c r="BQ82" s="140" t="s">
        <v>376</v>
      </c>
      <c r="BR82" s="175"/>
      <c r="BS82" s="142" t="s">
        <v>377</v>
      </c>
    </row>
    <row r="83" customHeight="1" spans="1:71">
      <c r="A83" s="127" t="s">
        <v>290</v>
      </c>
      <c r="B83" s="127" t="s">
        <v>27</v>
      </c>
      <c r="C83" s="180"/>
      <c r="D83" s="172" t="s">
        <v>406</v>
      </c>
      <c r="E83" s="181">
        <v>56.5</v>
      </c>
      <c r="F83" s="182">
        <v>81.99</v>
      </c>
      <c r="G83" s="133">
        <f t="shared" si="63"/>
        <v>69.6915</v>
      </c>
      <c r="H83" s="133">
        <f t="shared" si="64"/>
        <v>58.07625</v>
      </c>
      <c r="I83" s="133">
        <f t="shared" si="65"/>
        <v>0.0985837758112081</v>
      </c>
      <c r="J83" s="134">
        <f t="shared" si="66"/>
        <v>0.00174484558957891</v>
      </c>
      <c r="K83" s="131">
        <f t="shared" si="67"/>
        <v>68.325</v>
      </c>
      <c r="L83" s="174">
        <f t="shared" si="68"/>
        <v>0.173069886571533</v>
      </c>
      <c r="M83" s="133">
        <f t="shared" si="69"/>
        <v>11.825</v>
      </c>
      <c r="N83" s="131">
        <f t="shared" si="82"/>
        <v>197.070796460177</v>
      </c>
      <c r="O83" s="131">
        <f t="shared" si="70"/>
        <v>1.60416666666667</v>
      </c>
      <c r="P83" s="127">
        <v>12</v>
      </c>
      <c r="Q83" s="136">
        <v>8</v>
      </c>
      <c r="R83" s="137">
        <f t="shared" si="71"/>
        <v>0.141592920353982</v>
      </c>
      <c r="S83" s="134">
        <f t="shared" si="72"/>
        <v>0.0975728747408221</v>
      </c>
      <c r="T83" s="137">
        <f t="shared" si="73"/>
        <v>0.217672566371681</v>
      </c>
      <c r="U83" s="137">
        <v>0.01</v>
      </c>
      <c r="V83" s="137">
        <f t="shared" si="74"/>
        <v>0.435997337301277</v>
      </c>
      <c r="W83" s="137">
        <f t="shared" si="75"/>
        <v>0.0283923303834808</v>
      </c>
      <c r="X83" s="135">
        <v>0.1646</v>
      </c>
      <c r="Y83" s="138">
        <v>8</v>
      </c>
      <c r="Z83" s="138">
        <f>F83*0.15</f>
        <v>12.2985</v>
      </c>
      <c r="AA83" s="138">
        <f t="shared" si="76"/>
        <v>0.565</v>
      </c>
      <c r="AB83" s="131">
        <f t="shared" si="77"/>
        <v>9.2999</v>
      </c>
      <c r="AC83" s="131">
        <v>208</v>
      </c>
      <c r="AD83" s="139">
        <f t="shared" si="78"/>
        <v>184.070796460177</v>
      </c>
      <c r="AE83" s="136">
        <f t="shared" si="83"/>
        <v>1.625</v>
      </c>
      <c r="AF83" s="137">
        <f t="shared" si="79"/>
        <v>0.407236275354374</v>
      </c>
      <c r="AG83" s="137">
        <f t="shared" si="80"/>
        <v>0.00359513274336283</v>
      </c>
      <c r="AH83" s="136">
        <v>13</v>
      </c>
      <c r="AI83" s="137">
        <f t="shared" si="84"/>
        <v>0.377051930782755</v>
      </c>
      <c r="AJ83" s="137"/>
      <c r="AK83" s="137"/>
      <c r="AL83" s="137"/>
      <c r="AM83" s="137"/>
      <c r="AN83" s="140"/>
      <c r="AO83" s="140"/>
      <c r="AP83" s="140"/>
      <c r="AQ83" s="140"/>
      <c r="AR83" s="140"/>
      <c r="AS83" s="140"/>
      <c r="AT83" s="140" t="s">
        <v>376</v>
      </c>
      <c r="AU83" s="140" t="s">
        <v>376</v>
      </c>
      <c r="AV83" s="140" t="s">
        <v>376</v>
      </c>
      <c r="AW83" s="140" t="s">
        <v>376</v>
      </c>
      <c r="AX83" s="140" t="s">
        <v>376</v>
      </c>
      <c r="AY83" s="140" t="s">
        <v>376</v>
      </c>
      <c r="AZ83" s="140" t="s">
        <v>376</v>
      </c>
      <c r="BA83" s="140" t="s">
        <v>376</v>
      </c>
      <c r="BB83" s="140" t="s">
        <v>376</v>
      </c>
      <c r="BC83" s="140" t="s">
        <v>376</v>
      </c>
      <c r="BD83" s="140" t="s">
        <v>376</v>
      </c>
      <c r="BE83" s="140" t="s">
        <v>376</v>
      </c>
      <c r="BF83" s="140" t="s">
        <v>376</v>
      </c>
      <c r="BG83" s="140" t="s">
        <v>376</v>
      </c>
      <c r="BH83" s="140" t="s">
        <v>376</v>
      </c>
      <c r="BI83" s="140" t="s">
        <v>376</v>
      </c>
      <c r="BJ83" s="140" t="s">
        <v>376</v>
      </c>
      <c r="BK83" s="140" t="s">
        <v>376</v>
      </c>
      <c r="BL83" s="140" t="s">
        <v>376</v>
      </c>
      <c r="BM83" s="140" t="s">
        <v>376</v>
      </c>
      <c r="BN83" s="140" t="s">
        <v>376</v>
      </c>
      <c r="BO83" s="140" t="s">
        <v>376</v>
      </c>
      <c r="BP83" s="140" t="s">
        <v>376</v>
      </c>
      <c r="BQ83" s="140" t="s">
        <v>376</v>
      </c>
      <c r="BR83" s="175"/>
      <c r="BS83" s="142" t="s">
        <v>377</v>
      </c>
    </row>
    <row r="84" customHeight="1" spans="1:71">
      <c r="A84" s="127" t="s">
        <v>381</v>
      </c>
      <c r="B84" s="127" t="s">
        <v>27</v>
      </c>
      <c r="C84" s="180"/>
      <c r="D84" s="178" t="s">
        <v>407</v>
      </c>
      <c r="E84" s="184">
        <v>68.5</v>
      </c>
      <c r="F84" s="173">
        <v>99.99</v>
      </c>
      <c r="G84" s="133">
        <f t="shared" si="63"/>
        <v>99.99</v>
      </c>
      <c r="H84" s="133">
        <f t="shared" si="64"/>
        <v>83.325</v>
      </c>
      <c r="I84" s="133">
        <f t="shared" si="65"/>
        <v>30.9623171091445</v>
      </c>
      <c r="J84" s="134">
        <f t="shared" si="66"/>
        <v>0.452004629330577</v>
      </c>
      <c r="K84" s="131">
        <f t="shared" si="67"/>
        <v>83.325</v>
      </c>
      <c r="L84" s="174">
        <f t="shared" si="68"/>
        <v>0.177917791779178</v>
      </c>
      <c r="M84" s="133">
        <f t="shared" si="69"/>
        <v>14.825</v>
      </c>
      <c r="N84" s="131">
        <f t="shared" si="82"/>
        <v>197.070796460177</v>
      </c>
      <c r="O84" s="131">
        <f t="shared" si="70"/>
        <v>1.39583333333333</v>
      </c>
      <c r="P84" s="127">
        <v>12</v>
      </c>
      <c r="Q84" s="136">
        <v>8</v>
      </c>
      <c r="R84" s="137">
        <f t="shared" si="71"/>
        <v>0</v>
      </c>
      <c r="S84" s="134">
        <f t="shared" si="72"/>
        <v>0</v>
      </c>
      <c r="T84" s="137">
        <f t="shared" si="73"/>
        <v>0</v>
      </c>
      <c r="U84" s="137">
        <v>0.01</v>
      </c>
      <c r="V84" s="137">
        <f t="shared" si="74"/>
        <v>0.359618241715651</v>
      </c>
      <c r="W84" s="137">
        <f t="shared" si="75"/>
        <v>0.0203771289537713</v>
      </c>
      <c r="X84" s="135">
        <v>0.158</v>
      </c>
      <c r="Y84" s="138">
        <v>0</v>
      </c>
      <c r="Z84" s="138">
        <f>F84*0</f>
        <v>0</v>
      </c>
      <c r="AA84" s="138">
        <f t="shared" si="76"/>
        <v>0.685</v>
      </c>
      <c r="AB84" s="131">
        <f t="shared" si="77"/>
        <v>10.823</v>
      </c>
      <c r="AC84" s="131">
        <v>208</v>
      </c>
      <c r="AD84" s="139">
        <f t="shared" si="78"/>
        <v>184.070796460177</v>
      </c>
      <c r="AE84" s="136">
        <f t="shared" si="83"/>
        <v>1.625</v>
      </c>
      <c r="AF84" s="137">
        <f t="shared" si="79"/>
        <v>0.335895613978425</v>
      </c>
      <c r="AG84" s="137">
        <f t="shared" si="80"/>
        <v>0.00296532846715328</v>
      </c>
      <c r="AH84" s="136">
        <v>13</v>
      </c>
      <c r="AI84" s="137">
        <f t="shared" si="84"/>
        <v>0.307806780678068</v>
      </c>
      <c r="AJ84" s="140"/>
      <c r="AK84" s="140"/>
      <c r="AL84" s="140"/>
      <c r="AM84" s="140"/>
      <c r="AN84" s="140"/>
      <c r="AO84" s="140"/>
      <c r="AP84" s="140"/>
      <c r="AQ84" s="140"/>
      <c r="AR84" s="140"/>
      <c r="AS84" s="140"/>
      <c r="AT84" s="140" t="s">
        <v>376</v>
      </c>
      <c r="AU84" s="140" t="s">
        <v>376</v>
      </c>
      <c r="AV84" s="140" t="s">
        <v>376</v>
      </c>
      <c r="AW84" s="140" t="s">
        <v>376</v>
      </c>
      <c r="AX84" s="140" t="s">
        <v>376</v>
      </c>
      <c r="AY84" s="140" t="s">
        <v>376</v>
      </c>
      <c r="AZ84" s="140" t="s">
        <v>376</v>
      </c>
      <c r="BA84" s="140" t="s">
        <v>376</v>
      </c>
      <c r="BB84" s="140" t="s">
        <v>376</v>
      </c>
      <c r="BC84" s="140" t="s">
        <v>376</v>
      </c>
      <c r="BD84" s="140" t="s">
        <v>376</v>
      </c>
      <c r="BE84" s="140" t="s">
        <v>376</v>
      </c>
      <c r="BF84" s="140" t="s">
        <v>376</v>
      </c>
      <c r="BG84" s="140" t="s">
        <v>376</v>
      </c>
      <c r="BH84" s="140" t="s">
        <v>376</v>
      </c>
      <c r="BI84" s="140" t="s">
        <v>376</v>
      </c>
      <c r="BJ84" s="140" t="s">
        <v>376</v>
      </c>
      <c r="BK84" s="140" t="s">
        <v>376</v>
      </c>
      <c r="BL84" s="140" t="s">
        <v>376</v>
      </c>
      <c r="BM84" s="140" t="s">
        <v>376</v>
      </c>
      <c r="BN84" s="140" t="s">
        <v>376</v>
      </c>
      <c r="BO84" s="140" t="s">
        <v>376</v>
      </c>
      <c r="BP84" s="140" t="s">
        <v>376</v>
      </c>
      <c r="BQ84" s="140" t="s">
        <v>376</v>
      </c>
      <c r="BR84" s="144" t="e">
        <f>IF(E84&lt;#REF!,1,0)</f>
        <v>#REF!</v>
      </c>
      <c r="BS84" s="142" t="s">
        <v>377</v>
      </c>
    </row>
    <row r="85" customHeight="1" spans="1:71">
      <c r="A85" s="127" t="s">
        <v>383</v>
      </c>
      <c r="B85" s="127" t="s">
        <v>27</v>
      </c>
      <c r="C85" s="180"/>
      <c r="D85" s="178" t="s">
        <v>408</v>
      </c>
      <c r="E85" s="184">
        <v>68.5</v>
      </c>
      <c r="F85" s="130">
        <v>99.99</v>
      </c>
      <c r="G85" s="133">
        <f t="shared" si="63"/>
        <v>99.99</v>
      </c>
      <c r="H85" s="133">
        <f t="shared" si="64"/>
        <v>83.325</v>
      </c>
      <c r="I85" s="133">
        <f t="shared" si="65"/>
        <v>26.7348171091445</v>
      </c>
      <c r="J85" s="134">
        <f t="shared" si="66"/>
        <v>0.390289300863424</v>
      </c>
      <c r="K85" s="131">
        <f t="shared" si="67"/>
        <v>83.325</v>
      </c>
      <c r="L85" s="174">
        <f t="shared" si="68"/>
        <v>0.177917791779178</v>
      </c>
      <c r="M85" s="133">
        <f t="shared" si="69"/>
        <v>14.825</v>
      </c>
      <c r="N85" s="131">
        <f t="shared" si="82"/>
        <v>197.070796460177</v>
      </c>
      <c r="O85" s="131">
        <f t="shared" si="70"/>
        <v>1.17083333333333</v>
      </c>
      <c r="P85" s="127">
        <v>12</v>
      </c>
      <c r="Q85" s="136">
        <v>8</v>
      </c>
      <c r="R85" s="137">
        <f t="shared" si="71"/>
        <v>0</v>
      </c>
      <c r="S85" s="134">
        <f t="shared" si="72"/>
        <v>0</v>
      </c>
      <c r="T85" s="137">
        <f t="shared" si="73"/>
        <v>0</v>
      </c>
      <c r="U85" s="137">
        <v>0.01</v>
      </c>
      <c r="V85" s="137">
        <f t="shared" si="74"/>
        <v>0.359618241715651</v>
      </c>
      <c r="W85" s="137">
        <f t="shared" si="75"/>
        <v>0.0170924574209246</v>
      </c>
      <c r="X85" s="135">
        <v>0.223</v>
      </c>
      <c r="Y85" s="138">
        <v>0</v>
      </c>
      <c r="Z85" s="138">
        <f>F85*0</f>
        <v>0</v>
      </c>
      <c r="AA85" s="138">
        <f t="shared" si="76"/>
        <v>0.685</v>
      </c>
      <c r="AB85" s="131">
        <f t="shared" si="77"/>
        <v>15.2755</v>
      </c>
      <c r="AC85" s="131">
        <v>208</v>
      </c>
      <c r="AD85" s="139">
        <f t="shared" si="78"/>
        <v>184.070796460177</v>
      </c>
      <c r="AE85" s="136">
        <f t="shared" si="83"/>
        <v>1.625</v>
      </c>
      <c r="AF85" s="137">
        <f t="shared" si="79"/>
        <v>0.335895613978425</v>
      </c>
      <c r="AG85" s="137">
        <f t="shared" si="80"/>
        <v>0.00296532846715328</v>
      </c>
      <c r="AH85" s="136">
        <v>13</v>
      </c>
      <c r="AI85" s="137">
        <f t="shared" si="84"/>
        <v>0.361242124212421</v>
      </c>
      <c r="AJ85" s="140"/>
      <c r="AK85" s="140"/>
      <c r="AL85" s="140"/>
      <c r="AM85" s="140"/>
      <c r="AN85" s="140"/>
      <c r="AO85" s="140"/>
      <c r="AP85" s="140"/>
      <c r="AQ85" s="140"/>
      <c r="AR85" s="140"/>
      <c r="AS85" s="140"/>
      <c r="AT85" s="140" t="s">
        <v>376</v>
      </c>
      <c r="AU85" s="140" t="s">
        <v>376</v>
      </c>
      <c r="AV85" s="140" t="s">
        <v>376</v>
      </c>
      <c r="AW85" s="140" t="s">
        <v>376</v>
      </c>
      <c r="AX85" s="140" t="s">
        <v>376</v>
      </c>
      <c r="AY85" s="140" t="s">
        <v>376</v>
      </c>
      <c r="AZ85" s="140" t="s">
        <v>376</v>
      </c>
      <c r="BA85" s="140" t="s">
        <v>376</v>
      </c>
      <c r="BB85" s="140" t="s">
        <v>376</v>
      </c>
      <c r="BC85" s="140" t="s">
        <v>376</v>
      </c>
      <c r="BD85" s="140" t="s">
        <v>376</v>
      </c>
      <c r="BE85" s="140" t="s">
        <v>376</v>
      </c>
      <c r="BF85" s="140" t="s">
        <v>376</v>
      </c>
      <c r="BG85" s="140" t="s">
        <v>376</v>
      </c>
      <c r="BH85" s="140" t="s">
        <v>376</v>
      </c>
      <c r="BI85" s="140" t="s">
        <v>376</v>
      </c>
      <c r="BJ85" s="140" t="s">
        <v>376</v>
      </c>
      <c r="BK85" s="140" t="s">
        <v>376</v>
      </c>
      <c r="BL85" s="140" t="s">
        <v>376</v>
      </c>
      <c r="BM85" s="140" t="s">
        <v>376</v>
      </c>
      <c r="BN85" s="140" t="s">
        <v>376</v>
      </c>
      <c r="BO85" s="140" t="s">
        <v>376</v>
      </c>
      <c r="BP85" s="140" t="s">
        <v>376</v>
      </c>
      <c r="BQ85" s="140" t="s">
        <v>376</v>
      </c>
      <c r="BR85" s="144" t="e">
        <f>IF(E85&lt;#REF!,1,0)</f>
        <v>#REF!</v>
      </c>
      <c r="BS85" s="142" t="s">
        <v>377</v>
      </c>
    </row>
    <row r="86" customHeight="1" spans="1:71">
      <c r="A86" s="127" t="s">
        <v>385</v>
      </c>
      <c r="B86" s="127" t="s">
        <v>27</v>
      </c>
      <c r="C86" s="180"/>
      <c r="D86" s="178" t="s">
        <v>409</v>
      </c>
      <c r="E86" s="184">
        <v>68.5</v>
      </c>
      <c r="F86" s="130">
        <v>99.99</v>
      </c>
      <c r="G86" s="133">
        <f t="shared" si="63"/>
        <v>99.99</v>
      </c>
      <c r="H86" s="133">
        <f t="shared" si="64"/>
        <v>83.325</v>
      </c>
      <c r="I86" s="133">
        <f t="shared" si="65"/>
        <v>26.3848171091445</v>
      </c>
      <c r="J86" s="134">
        <f t="shared" si="66"/>
        <v>0.385179811812329</v>
      </c>
      <c r="K86" s="131">
        <f t="shared" si="67"/>
        <v>83.325</v>
      </c>
      <c r="L86" s="174">
        <f t="shared" si="68"/>
        <v>0.177917791779178</v>
      </c>
      <c r="M86" s="133">
        <f t="shared" si="69"/>
        <v>14.825</v>
      </c>
      <c r="N86" s="131">
        <f t="shared" si="82"/>
        <v>197.070796460177</v>
      </c>
      <c r="O86" s="131">
        <f t="shared" si="70"/>
        <v>1.52083333333333</v>
      </c>
      <c r="P86" s="127">
        <v>12</v>
      </c>
      <c r="Q86" s="136">
        <v>8</v>
      </c>
      <c r="R86" s="137">
        <f t="shared" si="71"/>
        <v>0</v>
      </c>
      <c r="S86" s="134">
        <f t="shared" si="72"/>
        <v>0</v>
      </c>
      <c r="T86" s="137">
        <f t="shared" si="73"/>
        <v>0</v>
      </c>
      <c r="U86" s="137">
        <v>0.01</v>
      </c>
      <c r="V86" s="137">
        <f t="shared" si="74"/>
        <v>0.359618241715651</v>
      </c>
      <c r="W86" s="137">
        <f t="shared" si="75"/>
        <v>0.0222019464720195</v>
      </c>
      <c r="X86" s="135">
        <v>0.223</v>
      </c>
      <c r="Y86" s="138">
        <v>0</v>
      </c>
      <c r="Z86" s="138">
        <f>F86*0</f>
        <v>0</v>
      </c>
      <c r="AA86" s="138">
        <f t="shared" si="76"/>
        <v>0.685</v>
      </c>
      <c r="AB86" s="131">
        <f t="shared" si="77"/>
        <v>15.2755</v>
      </c>
      <c r="AC86" s="131">
        <v>208</v>
      </c>
      <c r="AD86" s="139">
        <f t="shared" si="78"/>
        <v>184.070796460177</v>
      </c>
      <c r="AE86" s="136">
        <f t="shared" si="83"/>
        <v>1.625</v>
      </c>
      <c r="AF86" s="137">
        <f t="shared" si="79"/>
        <v>0.335895613978425</v>
      </c>
      <c r="AG86" s="137">
        <f t="shared" si="80"/>
        <v>0.00296532846715328</v>
      </c>
      <c r="AH86" s="136">
        <v>13</v>
      </c>
      <c r="AI86" s="137">
        <f t="shared" si="84"/>
        <v>0.361242124212421</v>
      </c>
      <c r="AJ86" s="140"/>
      <c r="AK86" s="140"/>
      <c r="AL86" s="140"/>
      <c r="AM86" s="140"/>
      <c r="AN86" s="140"/>
      <c r="AO86" s="140"/>
      <c r="AP86" s="140"/>
      <c r="AQ86" s="140"/>
      <c r="AR86" s="140"/>
      <c r="AS86" s="140"/>
      <c r="AT86" s="140" t="s">
        <v>376</v>
      </c>
      <c r="AU86" s="140" t="s">
        <v>376</v>
      </c>
      <c r="AV86" s="140" t="s">
        <v>376</v>
      </c>
      <c r="AW86" s="140" t="s">
        <v>376</v>
      </c>
      <c r="AX86" s="140" t="s">
        <v>376</v>
      </c>
      <c r="AY86" s="140" t="s">
        <v>376</v>
      </c>
      <c r="AZ86" s="140" t="s">
        <v>376</v>
      </c>
      <c r="BA86" s="140" t="s">
        <v>376</v>
      </c>
      <c r="BB86" s="140" t="s">
        <v>376</v>
      </c>
      <c r="BC86" s="140" t="s">
        <v>376</v>
      </c>
      <c r="BD86" s="140" t="s">
        <v>376</v>
      </c>
      <c r="BE86" s="140" t="s">
        <v>376</v>
      </c>
      <c r="BF86" s="140" t="s">
        <v>376</v>
      </c>
      <c r="BG86" s="140" t="s">
        <v>376</v>
      </c>
      <c r="BH86" s="140" t="s">
        <v>376</v>
      </c>
      <c r="BI86" s="140" t="s">
        <v>376</v>
      </c>
      <c r="BJ86" s="140" t="s">
        <v>376</v>
      </c>
      <c r="BK86" s="140" t="s">
        <v>376</v>
      </c>
      <c r="BL86" s="140" t="s">
        <v>376</v>
      </c>
      <c r="BM86" s="140" t="s">
        <v>376</v>
      </c>
      <c r="BN86" s="140" t="s">
        <v>376</v>
      </c>
      <c r="BO86" s="140" t="s">
        <v>376</v>
      </c>
      <c r="BP86" s="140" t="s">
        <v>376</v>
      </c>
      <c r="BQ86" s="140" t="s">
        <v>376</v>
      </c>
      <c r="BR86" s="144" t="e">
        <f>IF(E86&lt;#REF!,1,0)</f>
        <v>#REF!</v>
      </c>
      <c r="BS86" s="142" t="s">
        <v>377</v>
      </c>
    </row>
    <row r="87" customHeight="1" spans="1:71">
      <c r="A87" s="127" t="s">
        <v>387</v>
      </c>
      <c r="B87" s="127" t="s">
        <v>27</v>
      </c>
      <c r="C87" s="180"/>
      <c r="D87" s="178" t="s">
        <v>410</v>
      </c>
      <c r="E87" s="184">
        <v>68.5</v>
      </c>
      <c r="F87" s="130">
        <v>99.99</v>
      </c>
      <c r="G87" s="133">
        <f t="shared" si="63"/>
        <v>99.99</v>
      </c>
      <c r="H87" s="133">
        <f t="shared" si="64"/>
        <v>83.325</v>
      </c>
      <c r="I87" s="133">
        <f t="shared" si="65"/>
        <v>31.1706504424779</v>
      </c>
      <c r="J87" s="134">
        <f t="shared" si="66"/>
        <v>0.455045991860991</v>
      </c>
      <c r="K87" s="131">
        <f t="shared" si="67"/>
        <v>83.325</v>
      </c>
      <c r="L87" s="174">
        <f t="shared" si="68"/>
        <v>0.177917791779178</v>
      </c>
      <c r="M87" s="133">
        <f t="shared" si="69"/>
        <v>14.825</v>
      </c>
      <c r="N87" s="131">
        <f t="shared" si="82"/>
        <v>197.070796460177</v>
      </c>
      <c r="O87" s="131">
        <f t="shared" si="70"/>
        <v>1.1875</v>
      </c>
      <c r="P87" s="127">
        <v>12</v>
      </c>
      <c r="Q87" s="136">
        <v>8</v>
      </c>
      <c r="R87" s="137">
        <f t="shared" si="71"/>
        <v>0</v>
      </c>
      <c r="S87" s="134">
        <f t="shared" si="72"/>
        <v>0</v>
      </c>
      <c r="T87" s="137">
        <f t="shared" si="73"/>
        <v>0</v>
      </c>
      <c r="U87" s="137">
        <v>0.01</v>
      </c>
      <c r="V87" s="137">
        <f t="shared" si="74"/>
        <v>0.359618241715651</v>
      </c>
      <c r="W87" s="137">
        <f t="shared" si="75"/>
        <v>0.0173357664233577</v>
      </c>
      <c r="X87" s="135">
        <v>0.158</v>
      </c>
      <c r="Y87" s="138">
        <v>0</v>
      </c>
      <c r="Z87" s="138">
        <f>F87*0</f>
        <v>0</v>
      </c>
      <c r="AA87" s="138">
        <f t="shared" si="76"/>
        <v>0.685</v>
      </c>
      <c r="AB87" s="131">
        <f t="shared" si="77"/>
        <v>10.823</v>
      </c>
      <c r="AC87" s="131">
        <v>208</v>
      </c>
      <c r="AD87" s="139">
        <f t="shared" si="78"/>
        <v>184.070796460177</v>
      </c>
      <c r="AE87" s="136">
        <f t="shared" si="83"/>
        <v>1.625</v>
      </c>
      <c r="AF87" s="137">
        <f t="shared" si="79"/>
        <v>0.335895613978425</v>
      </c>
      <c r="AG87" s="137">
        <f t="shared" si="80"/>
        <v>0.00296532846715328</v>
      </c>
      <c r="AH87" s="136">
        <v>13</v>
      </c>
      <c r="AI87" s="137">
        <f t="shared" si="84"/>
        <v>0.307806780678068</v>
      </c>
      <c r="AJ87" s="137"/>
      <c r="AK87" s="137"/>
      <c r="AL87" s="137"/>
      <c r="AM87" s="137"/>
      <c r="AN87" s="140"/>
      <c r="AO87" s="140"/>
      <c r="AP87" s="140"/>
      <c r="AQ87" s="140"/>
      <c r="AR87" s="140"/>
      <c r="AS87" s="140"/>
      <c r="AT87" s="140" t="s">
        <v>376</v>
      </c>
      <c r="AU87" s="140" t="s">
        <v>376</v>
      </c>
      <c r="AV87" s="140" t="s">
        <v>376</v>
      </c>
      <c r="AW87" s="140" t="s">
        <v>376</v>
      </c>
      <c r="AX87" s="140" t="s">
        <v>376</v>
      </c>
      <c r="AY87" s="140" t="s">
        <v>376</v>
      </c>
      <c r="AZ87" s="140" t="s">
        <v>376</v>
      </c>
      <c r="BA87" s="140" t="s">
        <v>376</v>
      </c>
      <c r="BB87" s="140" t="s">
        <v>376</v>
      </c>
      <c r="BC87" s="140" t="s">
        <v>376</v>
      </c>
      <c r="BD87" s="140" t="s">
        <v>376</v>
      </c>
      <c r="BE87" s="140" t="s">
        <v>376</v>
      </c>
      <c r="BF87" s="140" t="s">
        <v>376</v>
      </c>
      <c r="BG87" s="140" t="s">
        <v>376</v>
      </c>
      <c r="BH87" s="140" t="s">
        <v>376</v>
      </c>
      <c r="BI87" s="140" t="s">
        <v>376</v>
      </c>
      <c r="BJ87" s="140" t="s">
        <v>376</v>
      </c>
      <c r="BK87" s="140" t="s">
        <v>376</v>
      </c>
      <c r="BL87" s="140" t="s">
        <v>376</v>
      </c>
      <c r="BM87" s="140" t="s">
        <v>376</v>
      </c>
      <c r="BN87" s="140" t="s">
        <v>376</v>
      </c>
      <c r="BO87" s="140" t="s">
        <v>376</v>
      </c>
      <c r="BP87" s="140" t="s">
        <v>376</v>
      </c>
      <c r="BQ87" s="140" t="s">
        <v>376</v>
      </c>
      <c r="BR87" s="144" t="e">
        <f>IF(E87&lt;#REF!,1,0)</f>
        <v>#REF!</v>
      </c>
      <c r="BS87" s="142" t="s">
        <v>377</v>
      </c>
    </row>
    <row r="88" customHeight="1" spans="1:71">
      <c r="A88" s="127"/>
      <c r="B88" s="127"/>
      <c r="C88" s="127"/>
      <c r="D88" s="185"/>
      <c r="E88" s="131"/>
      <c r="F88" s="143"/>
      <c r="G88" s="133"/>
      <c r="H88" s="133"/>
      <c r="I88" s="133"/>
      <c r="J88" s="134"/>
      <c r="K88" s="131"/>
      <c r="L88" s="174"/>
      <c r="M88" s="133"/>
      <c r="N88" s="131"/>
      <c r="O88" s="131"/>
      <c r="P88" s="142"/>
      <c r="Q88" s="136"/>
      <c r="R88" s="137"/>
      <c r="S88" s="134"/>
      <c r="T88" s="137"/>
      <c r="U88" s="137"/>
      <c r="V88" s="137"/>
      <c r="W88" s="137"/>
      <c r="X88" s="135"/>
      <c r="Y88" s="138"/>
      <c r="Z88" s="138"/>
      <c r="AA88" s="138"/>
      <c r="AB88" s="131"/>
      <c r="AC88" s="131"/>
      <c r="AD88" s="139"/>
      <c r="AE88" s="136"/>
      <c r="AF88" s="137"/>
      <c r="AG88" s="137"/>
      <c r="AH88" s="136"/>
      <c r="AI88" s="137"/>
      <c r="AJ88" s="137"/>
      <c r="AK88" s="137"/>
      <c r="AL88" s="137"/>
      <c r="AM88" s="137"/>
      <c r="AN88" s="140"/>
      <c r="AO88" s="140"/>
      <c r="AP88" s="140"/>
      <c r="AQ88" s="140"/>
      <c r="AR88" s="140"/>
      <c r="AS88" s="140"/>
      <c r="AT88" s="140"/>
      <c r="AU88" s="140"/>
      <c r="AV88" s="140"/>
      <c r="AW88" s="140"/>
      <c r="AX88" s="140"/>
      <c r="AY88" s="140"/>
      <c r="AZ88" s="140"/>
      <c r="BA88" s="140"/>
      <c r="BB88" s="140"/>
      <c r="BC88" s="140"/>
      <c r="BD88" s="140"/>
      <c r="BE88" s="140"/>
      <c r="BF88" s="140"/>
      <c r="BG88" s="140"/>
      <c r="BH88" s="140"/>
      <c r="BI88" s="140"/>
      <c r="BJ88" s="140"/>
      <c r="BK88" s="140"/>
      <c r="BL88" s="140"/>
      <c r="BM88" s="140"/>
      <c r="BN88" s="140"/>
      <c r="BO88" s="140"/>
      <c r="BP88" s="140"/>
      <c r="BQ88" s="140"/>
      <c r="BR88" s="144"/>
      <c r="BS88" s="142"/>
    </row>
    <row r="89" customHeight="1" spans="1:71">
      <c r="A89" s="127" t="s">
        <v>280</v>
      </c>
      <c r="B89" s="127" t="s">
        <v>27</v>
      </c>
      <c r="C89" s="180"/>
      <c r="D89" s="172" t="s">
        <v>411</v>
      </c>
      <c r="E89" s="184">
        <v>25.55</v>
      </c>
      <c r="F89" s="130">
        <v>36.99</v>
      </c>
      <c r="G89" s="133">
        <f t="shared" ref="G89:G104" si="85">(F89-Z89)</f>
        <v>36.99</v>
      </c>
      <c r="H89" s="133">
        <f t="shared" ref="H89:H104" si="86">(F89-Z89)/1.2</f>
        <v>30.825</v>
      </c>
      <c r="I89" s="133">
        <f t="shared" ref="I89:I104" si="87">E89-N89/Q89-AB89-Y89-O89-Z89-AA89</f>
        <v>6.81163635693215</v>
      </c>
      <c r="J89" s="134">
        <f t="shared" ref="J89:J104" si="88">I89/E89</f>
        <v>0.266600248803607</v>
      </c>
      <c r="K89" s="131">
        <f t="shared" ref="K89:K104" si="89">F89/1.2</f>
        <v>30.825</v>
      </c>
      <c r="L89" s="174">
        <f t="shared" ref="L89:L104" si="90">(K89-E89)/K89</f>
        <v>0.171127331711273</v>
      </c>
      <c r="M89" s="133">
        <f t="shared" ref="M89:M104" si="91">F89/1.2-E89</f>
        <v>5.275</v>
      </c>
      <c r="N89" s="131">
        <f>AD89+AH90</f>
        <v>79.1504424778761</v>
      </c>
      <c r="O89" s="131">
        <f t="shared" ref="O89:O104" si="92">IFERROR(IF(A89="UK",8.95/P89,IF(A89="DE",7.75/P89,IF(A89="FR",14.25/P89,IF(A89="IT",15.25/P89,IF(A89="ES",19.25/P89,IF(A89="NL",16.75/P89,IF(A89="PL",14.05/P89,IF(A89="SE",18.25/P89,IF(A89="BE",14.25/P89))))))))),0)</f>
        <v>0.258333333333333</v>
      </c>
      <c r="P89" s="142">
        <v>30</v>
      </c>
      <c r="Q89" s="136">
        <v>8</v>
      </c>
      <c r="R89" s="137">
        <f t="shared" ref="R89:R104" si="93">Y89/E89</f>
        <v>0.156555772994129</v>
      </c>
      <c r="S89" s="134">
        <f t="shared" ref="S89:S104" si="94">Y89/F89</f>
        <v>0.108137334414707</v>
      </c>
      <c r="T89" s="137">
        <f t="shared" ref="T89:T104" si="95">Z89/E89</f>
        <v>0</v>
      </c>
      <c r="U89" s="137">
        <v>0.01</v>
      </c>
      <c r="V89" s="137">
        <f t="shared" ref="V89:V104" si="96">N89/(E89*Q89)</f>
        <v>0.387233084529727</v>
      </c>
      <c r="W89" s="137">
        <f t="shared" ref="W89:W104" si="97">O89/E89</f>
        <v>0.0101108936725375</v>
      </c>
      <c r="X89" s="135">
        <v>0.1695</v>
      </c>
      <c r="Y89" s="138">
        <v>4</v>
      </c>
      <c r="Z89" s="138">
        <v>0</v>
      </c>
      <c r="AA89" s="138">
        <f t="shared" ref="AA89:AA104" si="98">E89*U89</f>
        <v>0.2555</v>
      </c>
      <c r="AB89" s="131">
        <f t="shared" ref="AB89:AB104" si="99">E89*X89</f>
        <v>4.330725</v>
      </c>
      <c r="AC89" s="131">
        <v>80.4</v>
      </c>
      <c r="AD89" s="139">
        <f t="shared" ref="AD89:AD104" si="100">AC89/1.13</f>
        <v>71.1504424778761</v>
      </c>
      <c r="AE89" s="136">
        <f>AH90/Q89</f>
        <v>1</v>
      </c>
      <c r="AF89" s="137">
        <f t="shared" ref="AF89:AF104" si="101">AD89/(E89*Q89)</f>
        <v>0.348094141281194</v>
      </c>
      <c r="AG89" s="137">
        <f t="shared" ref="AG89:AG104" si="102">AE89/Q89/E89</f>
        <v>0.00489236790606654</v>
      </c>
      <c r="AH89" s="136">
        <v>8</v>
      </c>
      <c r="AI89" s="137">
        <f t="shared" ref="AI89:AI104" si="103">(H89-E89+AB89)/H89</f>
        <v>0.311621248986213</v>
      </c>
      <c r="AJ89" s="137"/>
      <c r="AK89" s="137"/>
      <c r="AL89" s="137"/>
      <c r="AM89" s="137"/>
      <c r="AN89" s="140"/>
      <c r="AO89" s="140"/>
      <c r="AP89" s="140"/>
      <c r="AQ89" s="140"/>
      <c r="AR89" s="140"/>
      <c r="AS89" s="140"/>
      <c r="AT89" s="140" t="s">
        <v>376</v>
      </c>
      <c r="AU89" s="140" t="s">
        <v>376</v>
      </c>
      <c r="AV89" s="140" t="s">
        <v>376</v>
      </c>
      <c r="AW89" s="140" t="s">
        <v>376</v>
      </c>
      <c r="AX89" s="140" t="s">
        <v>376</v>
      </c>
      <c r="AY89" s="140" t="s">
        <v>376</v>
      </c>
      <c r="AZ89" s="140" t="s">
        <v>376</v>
      </c>
      <c r="BA89" s="140" t="s">
        <v>376</v>
      </c>
      <c r="BB89" s="140" t="s">
        <v>376</v>
      </c>
      <c r="BC89" s="140" t="s">
        <v>376</v>
      </c>
      <c r="BD89" s="140" t="s">
        <v>376</v>
      </c>
      <c r="BE89" s="140" t="s">
        <v>376</v>
      </c>
      <c r="BF89" s="140" t="s">
        <v>376</v>
      </c>
      <c r="BG89" s="140" t="s">
        <v>376</v>
      </c>
      <c r="BH89" s="140" t="s">
        <v>376</v>
      </c>
      <c r="BI89" s="140" t="s">
        <v>376</v>
      </c>
      <c r="BJ89" s="140" t="s">
        <v>376</v>
      </c>
      <c r="BK89" s="140" t="s">
        <v>376</v>
      </c>
      <c r="BL89" s="140" t="s">
        <v>376</v>
      </c>
      <c r="BM89" s="140" t="s">
        <v>376</v>
      </c>
      <c r="BN89" s="140" t="s">
        <v>376</v>
      </c>
      <c r="BO89" s="140" t="s">
        <v>376</v>
      </c>
      <c r="BP89" s="140" t="s">
        <v>376</v>
      </c>
      <c r="BQ89" s="140" t="s">
        <v>376</v>
      </c>
      <c r="BR89" s="175"/>
      <c r="BS89" s="142" t="s">
        <v>377</v>
      </c>
    </row>
    <row r="90" customHeight="1" spans="1:71">
      <c r="A90" s="127" t="s">
        <v>280</v>
      </c>
      <c r="B90" s="127" t="s">
        <v>27</v>
      </c>
      <c r="C90" s="180"/>
      <c r="D90" s="172" t="s">
        <v>412</v>
      </c>
      <c r="E90" s="184">
        <v>25.55</v>
      </c>
      <c r="F90" s="130">
        <v>36.99</v>
      </c>
      <c r="G90" s="133">
        <f t="shared" si="85"/>
        <v>33.291</v>
      </c>
      <c r="H90" s="133">
        <f t="shared" si="86"/>
        <v>27.7425</v>
      </c>
      <c r="I90" s="176">
        <f t="shared" si="87"/>
        <v>3.11263635693215</v>
      </c>
      <c r="J90" s="134">
        <f t="shared" si="88"/>
        <v>0.121825297727286</v>
      </c>
      <c r="K90" s="131">
        <f t="shared" si="89"/>
        <v>30.825</v>
      </c>
      <c r="L90" s="174">
        <f t="shared" si="90"/>
        <v>0.171127331711273</v>
      </c>
      <c r="M90" s="133">
        <f t="shared" si="91"/>
        <v>5.275</v>
      </c>
      <c r="N90" s="131">
        <f t="shared" ref="N90:N104" si="104">AD90+AH90</f>
        <v>79.1504424778761</v>
      </c>
      <c r="O90" s="131">
        <f t="shared" si="92"/>
        <v>0.258333333333333</v>
      </c>
      <c r="P90" s="127">
        <v>30</v>
      </c>
      <c r="Q90" s="136">
        <v>8</v>
      </c>
      <c r="R90" s="137">
        <f t="shared" si="93"/>
        <v>0.156555772994129</v>
      </c>
      <c r="S90" s="134">
        <f t="shared" si="94"/>
        <v>0.108137334414707</v>
      </c>
      <c r="T90" s="137">
        <f t="shared" si="95"/>
        <v>0.144774951076321</v>
      </c>
      <c r="U90" s="137">
        <v>0.01</v>
      </c>
      <c r="V90" s="137">
        <f t="shared" si="96"/>
        <v>0.387233084529727</v>
      </c>
      <c r="W90" s="137">
        <f t="shared" si="97"/>
        <v>0.0101108936725375</v>
      </c>
      <c r="X90" s="135">
        <v>0.1695</v>
      </c>
      <c r="Y90" s="138">
        <v>4</v>
      </c>
      <c r="Z90" s="138">
        <f>F90*0.1</f>
        <v>3.699</v>
      </c>
      <c r="AA90" s="138">
        <f t="shared" si="98"/>
        <v>0.2555</v>
      </c>
      <c r="AB90" s="131">
        <f t="shared" si="99"/>
        <v>4.330725</v>
      </c>
      <c r="AC90" s="131">
        <v>80.4</v>
      </c>
      <c r="AD90" s="139">
        <f t="shared" si="100"/>
        <v>71.1504424778761</v>
      </c>
      <c r="AE90" s="136">
        <f t="shared" ref="AE90:AE104" si="105">AH90/Q90</f>
        <v>1</v>
      </c>
      <c r="AF90" s="137">
        <f t="shared" si="101"/>
        <v>0.348094141281194</v>
      </c>
      <c r="AG90" s="137">
        <f t="shared" si="102"/>
        <v>0.00489236790606654</v>
      </c>
      <c r="AH90" s="136">
        <v>8</v>
      </c>
      <c r="AI90" s="137">
        <f t="shared" si="103"/>
        <v>0.235134721095792</v>
      </c>
      <c r="AJ90" s="137"/>
      <c r="AK90" s="137"/>
      <c r="AL90" s="137"/>
      <c r="AM90" s="137"/>
      <c r="AN90" s="140"/>
      <c r="AO90" s="140"/>
      <c r="AP90" s="140"/>
      <c r="AQ90" s="140"/>
      <c r="AR90" s="140"/>
      <c r="AS90" s="140"/>
      <c r="AT90" s="140" t="s">
        <v>376</v>
      </c>
      <c r="AU90" s="140" t="s">
        <v>376</v>
      </c>
      <c r="AV90" s="140" t="s">
        <v>376</v>
      </c>
      <c r="AW90" s="140" t="s">
        <v>376</v>
      </c>
      <c r="AX90" s="140" t="s">
        <v>376</v>
      </c>
      <c r="AY90" s="140" t="s">
        <v>376</v>
      </c>
      <c r="AZ90" s="140" t="s">
        <v>376</v>
      </c>
      <c r="BA90" s="140" t="s">
        <v>376</v>
      </c>
      <c r="BB90" s="140" t="s">
        <v>376</v>
      </c>
      <c r="BC90" s="140" t="s">
        <v>376</v>
      </c>
      <c r="BD90" s="140" t="s">
        <v>376</v>
      </c>
      <c r="BE90" s="140" t="s">
        <v>376</v>
      </c>
      <c r="BF90" s="140" t="s">
        <v>376</v>
      </c>
      <c r="BG90" s="140" t="s">
        <v>376</v>
      </c>
      <c r="BH90" s="140" t="s">
        <v>376</v>
      </c>
      <c r="BI90" s="140" t="s">
        <v>376</v>
      </c>
      <c r="BJ90" s="140" t="s">
        <v>376</v>
      </c>
      <c r="BK90" s="140" t="s">
        <v>376</v>
      </c>
      <c r="BL90" s="140" t="s">
        <v>376</v>
      </c>
      <c r="BM90" s="140" t="s">
        <v>376</v>
      </c>
      <c r="BN90" s="140" t="s">
        <v>376</v>
      </c>
      <c r="BO90" s="140" t="s">
        <v>376</v>
      </c>
      <c r="BP90" s="140" t="s">
        <v>376</v>
      </c>
      <c r="BQ90" s="140" t="s">
        <v>376</v>
      </c>
      <c r="BR90" s="175"/>
      <c r="BS90" s="142" t="s">
        <v>377</v>
      </c>
    </row>
    <row r="91" customHeight="1" spans="1:71">
      <c r="A91" s="127" t="s">
        <v>280</v>
      </c>
      <c r="B91" s="127" t="s">
        <v>27</v>
      </c>
      <c r="C91" s="180"/>
      <c r="D91" s="172" t="s">
        <v>413</v>
      </c>
      <c r="E91" s="184">
        <v>25.55</v>
      </c>
      <c r="F91" s="130">
        <v>36.99</v>
      </c>
      <c r="G91" s="133">
        <f t="shared" si="85"/>
        <v>31.4415</v>
      </c>
      <c r="H91" s="133">
        <f t="shared" si="86"/>
        <v>26.20125</v>
      </c>
      <c r="I91" s="133">
        <f t="shared" si="87"/>
        <v>1.26313635693215</v>
      </c>
      <c r="J91" s="134">
        <f t="shared" si="88"/>
        <v>0.0494378221891253</v>
      </c>
      <c r="K91" s="131">
        <f t="shared" si="89"/>
        <v>30.825</v>
      </c>
      <c r="L91" s="174">
        <f t="shared" si="90"/>
        <v>0.171127331711273</v>
      </c>
      <c r="M91" s="133">
        <f t="shared" si="91"/>
        <v>5.275</v>
      </c>
      <c r="N91" s="131">
        <f t="shared" si="104"/>
        <v>79.1504424778761</v>
      </c>
      <c r="O91" s="131">
        <f t="shared" si="92"/>
        <v>0.258333333333333</v>
      </c>
      <c r="P91" s="127">
        <v>30</v>
      </c>
      <c r="Q91" s="136">
        <v>8</v>
      </c>
      <c r="R91" s="137">
        <f t="shared" si="93"/>
        <v>0.156555772994129</v>
      </c>
      <c r="S91" s="134">
        <f t="shared" si="94"/>
        <v>0.108137334414707</v>
      </c>
      <c r="T91" s="137">
        <f t="shared" si="95"/>
        <v>0.217162426614481</v>
      </c>
      <c r="U91" s="137">
        <v>0.01</v>
      </c>
      <c r="V91" s="137">
        <f t="shared" si="96"/>
        <v>0.387233084529727</v>
      </c>
      <c r="W91" s="137">
        <f t="shared" si="97"/>
        <v>0.0101108936725375</v>
      </c>
      <c r="X91" s="135">
        <v>0.1695</v>
      </c>
      <c r="Y91" s="138">
        <v>4</v>
      </c>
      <c r="Z91" s="138">
        <f>F91*0.15</f>
        <v>5.5485</v>
      </c>
      <c r="AA91" s="138">
        <f t="shared" si="98"/>
        <v>0.2555</v>
      </c>
      <c r="AB91" s="131">
        <f t="shared" si="99"/>
        <v>4.330725</v>
      </c>
      <c r="AC91" s="131">
        <v>80.4</v>
      </c>
      <c r="AD91" s="139">
        <f t="shared" si="100"/>
        <v>71.1504424778761</v>
      </c>
      <c r="AE91" s="136">
        <f t="shared" si="105"/>
        <v>1</v>
      </c>
      <c r="AF91" s="137">
        <f t="shared" si="101"/>
        <v>0.348094141281194</v>
      </c>
      <c r="AG91" s="137">
        <f t="shared" si="102"/>
        <v>0.00489236790606654</v>
      </c>
      <c r="AH91" s="136">
        <v>8</v>
      </c>
      <c r="AI91" s="137">
        <f t="shared" si="103"/>
        <v>0.190142645866132</v>
      </c>
      <c r="AJ91" s="137"/>
      <c r="AK91" s="137"/>
      <c r="AL91" s="137"/>
      <c r="AM91" s="137"/>
      <c r="AN91" s="140"/>
      <c r="AO91" s="140"/>
      <c r="AP91" s="140"/>
      <c r="AQ91" s="140"/>
      <c r="AR91" s="140"/>
      <c r="AS91" s="140"/>
      <c r="AT91" s="140" t="s">
        <v>376</v>
      </c>
      <c r="AU91" s="140" t="s">
        <v>376</v>
      </c>
      <c r="AV91" s="140" t="s">
        <v>376</v>
      </c>
      <c r="AW91" s="140" t="s">
        <v>376</v>
      </c>
      <c r="AX91" s="140" t="s">
        <v>376</v>
      </c>
      <c r="AY91" s="140" t="s">
        <v>376</v>
      </c>
      <c r="AZ91" s="140" t="s">
        <v>376</v>
      </c>
      <c r="BA91" s="140" t="s">
        <v>376</v>
      </c>
      <c r="BB91" s="140" t="s">
        <v>376</v>
      </c>
      <c r="BC91" s="140" t="s">
        <v>376</v>
      </c>
      <c r="BD91" s="140" t="s">
        <v>376</v>
      </c>
      <c r="BE91" s="140" t="s">
        <v>376</v>
      </c>
      <c r="BF91" s="140" t="s">
        <v>376</v>
      </c>
      <c r="BG91" s="140" t="s">
        <v>376</v>
      </c>
      <c r="BH91" s="140" t="s">
        <v>376</v>
      </c>
      <c r="BI91" s="140" t="s">
        <v>376</v>
      </c>
      <c r="BJ91" s="140" t="s">
        <v>376</v>
      </c>
      <c r="BK91" s="140" t="s">
        <v>376</v>
      </c>
      <c r="BL91" s="140" t="s">
        <v>376</v>
      </c>
      <c r="BM91" s="140" t="s">
        <v>376</v>
      </c>
      <c r="BN91" s="140" t="s">
        <v>376</v>
      </c>
      <c r="BO91" s="140" t="s">
        <v>376</v>
      </c>
      <c r="BP91" s="140" t="s">
        <v>376</v>
      </c>
      <c r="BQ91" s="140" t="s">
        <v>376</v>
      </c>
      <c r="BR91" s="175"/>
      <c r="BS91" s="142" t="s">
        <v>377</v>
      </c>
    </row>
    <row r="92" customHeight="1" spans="1:71">
      <c r="A92" s="127" t="s">
        <v>285</v>
      </c>
      <c r="B92" s="127" t="s">
        <v>27</v>
      </c>
      <c r="C92" s="180"/>
      <c r="D92" s="172" t="s">
        <v>411</v>
      </c>
      <c r="E92" s="184">
        <v>25.55</v>
      </c>
      <c r="F92" s="130">
        <v>36.99</v>
      </c>
      <c r="G92" s="133">
        <f t="shared" si="85"/>
        <v>36.99</v>
      </c>
      <c r="H92" s="133">
        <f t="shared" si="86"/>
        <v>30.825</v>
      </c>
      <c r="I92" s="133">
        <f t="shared" si="87"/>
        <v>5.86679469026549</v>
      </c>
      <c r="J92" s="134">
        <f t="shared" si="88"/>
        <v>0.229620144433091</v>
      </c>
      <c r="K92" s="131">
        <f t="shared" si="89"/>
        <v>30.825</v>
      </c>
      <c r="L92" s="174">
        <f t="shared" si="90"/>
        <v>0.171127331711273</v>
      </c>
      <c r="M92" s="133">
        <f t="shared" si="91"/>
        <v>5.275</v>
      </c>
      <c r="N92" s="131">
        <f t="shared" si="104"/>
        <v>79.1504424778761</v>
      </c>
      <c r="O92" s="131">
        <f t="shared" si="92"/>
        <v>0.475</v>
      </c>
      <c r="P92" s="127">
        <v>30</v>
      </c>
      <c r="Q92" s="136">
        <v>8</v>
      </c>
      <c r="R92" s="137">
        <f t="shared" si="93"/>
        <v>0.156555772994129</v>
      </c>
      <c r="S92" s="134">
        <f t="shared" si="94"/>
        <v>0.108137334414707</v>
      </c>
      <c r="T92" s="137">
        <f t="shared" si="95"/>
        <v>0</v>
      </c>
      <c r="U92" s="137">
        <v>0.01</v>
      </c>
      <c r="V92" s="137">
        <f t="shared" si="96"/>
        <v>0.387233084529727</v>
      </c>
      <c r="W92" s="137">
        <f t="shared" si="97"/>
        <v>0.0185909980430528</v>
      </c>
      <c r="X92" s="135">
        <v>0.198</v>
      </c>
      <c r="Y92" s="138">
        <v>4</v>
      </c>
      <c r="Z92" s="138">
        <v>0</v>
      </c>
      <c r="AA92" s="138">
        <f t="shared" si="98"/>
        <v>0.2555</v>
      </c>
      <c r="AB92" s="131">
        <f t="shared" si="99"/>
        <v>5.0589</v>
      </c>
      <c r="AC92" s="131">
        <v>80.4</v>
      </c>
      <c r="AD92" s="139">
        <f t="shared" si="100"/>
        <v>71.1504424778761</v>
      </c>
      <c r="AE92" s="136">
        <f t="shared" si="105"/>
        <v>1</v>
      </c>
      <c r="AF92" s="137">
        <f t="shared" si="101"/>
        <v>0.348094141281194</v>
      </c>
      <c r="AG92" s="137">
        <f t="shared" si="102"/>
        <v>0.00489236790606654</v>
      </c>
      <c r="AH92" s="136">
        <v>8</v>
      </c>
      <c r="AI92" s="137">
        <f t="shared" si="103"/>
        <v>0.335244120032441</v>
      </c>
      <c r="AJ92" s="137"/>
      <c r="AK92" s="137"/>
      <c r="AL92" s="137"/>
      <c r="AM92" s="137"/>
      <c r="AN92" s="140"/>
      <c r="AO92" s="140"/>
      <c r="AP92" s="140"/>
      <c r="AQ92" s="140"/>
      <c r="AR92" s="140"/>
      <c r="AS92" s="140"/>
      <c r="AT92" s="140" t="s">
        <v>376</v>
      </c>
      <c r="AU92" s="140" t="s">
        <v>376</v>
      </c>
      <c r="AV92" s="140" t="s">
        <v>376</v>
      </c>
      <c r="AW92" s="140" t="s">
        <v>376</v>
      </c>
      <c r="AX92" s="140" t="s">
        <v>376</v>
      </c>
      <c r="AY92" s="140" t="s">
        <v>376</v>
      </c>
      <c r="AZ92" s="140" t="s">
        <v>376</v>
      </c>
      <c r="BA92" s="140" t="s">
        <v>376</v>
      </c>
      <c r="BB92" s="140" t="s">
        <v>376</v>
      </c>
      <c r="BC92" s="140" t="s">
        <v>376</v>
      </c>
      <c r="BD92" s="140" t="s">
        <v>376</v>
      </c>
      <c r="BE92" s="140" t="s">
        <v>376</v>
      </c>
      <c r="BF92" s="140" t="s">
        <v>376</v>
      </c>
      <c r="BG92" s="140" t="s">
        <v>376</v>
      </c>
      <c r="BH92" s="140" t="s">
        <v>376</v>
      </c>
      <c r="BI92" s="140" t="s">
        <v>376</v>
      </c>
      <c r="BJ92" s="140" t="s">
        <v>376</v>
      </c>
      <c r="BK92" s="140" t="s">
        <v>376</v>
      </c>
      <c r="BL92" s="140" t="s">
        <v>376</v>
      </c>
      <c r="BM92" s="140" t="s">
        <v>376</v>
      </c>
      <c r="BN92" s="140" t="s">
        <v>376</v>
      </c>
      <c r="BO92" s="140" t="s">
        <v>376</v>
      </c>
      <c r="BP92" s="140" t="s">
        <v>376</v>
      </c>
      <c r="BQ92" s="140" t="s">
        <v>376</v>
      </c>
      <c r="BR92" s="175"/>
      <c r="BS92" s="142" t="s">
        <v>377</v>
      </c>
    </row>
    <row r="93" customHeight="1" spans="1:71">
      <c r="A93" s="127" t="s">
        <v>285</v>
      </c>
      <c r="B93" s="127" t="s">
        <v>27</v>
      </c>
      <c r="C93" s="180"/>
      <c r="D93" s="172" t="s">
        <v>412</v>
      </c>
      <c r="E93" s="184">
        <v>25.55</v>
      </c>
      <c r="F93" s="130">
        <v>36.99</v>
      </c>
      <c r="G93" s="133">
        <f t="shared" si="85"/>
        <v>33.291</v>
      </c>
      <c r="H93" s="133">
        <f t="shared" si="86"/>
        <v>27.7425</v>
      </c>
      <c r="I93" s="176">
        <f t="shared" si="87"/>
        <v>2.16779469026549</v>
      </c>
      <c r="J93" s="134">
        <f t="shared" si="88"/>
        <v>0.0848451933567705</v>
      </c>
      <c r="K93" s="131">
        <f t="shared" si="89"/>
        <v>30.825</v>
      </c>
      <c r="L93" s="174">
        <f t="shared" si="90"/>
        <v>0.171127331711273</v>
      </c>
      <c r="M93" s="133">
        <f t="shared" si="91"/>
        <v>5.275</v>
      </c>
      <c r="N93" s="131">
        <f t="shared" si="104"/>
        <v>79.1504424778761</v>
      </c>
      <c r="O93" s="131">
        <f t="shared" si="92"/>
        <v>0.475</v>
      </c>
      <c r="P93" s="127">
        <v>30</v>
      </c>
      <c r="Q93" s="136">
        <v>8</v>
      </c>
      <c r="R93" s="137">
        <f t="shared" si="93"/>
        <v>0.156555772994129</v>
      </c>
      <c r="S93" s="134">
        <f t="shared" si="94"/>
        <v>0.108137334414707</v>
      </c>
      <c r="T93" s="137">
        <f t="shared" si="95"/>
        <v>0.144774951076321</v>
      </c>
      <c r="U93" s="137">
        <v>0.01</v>
      </c>
      <c r="V93" s="137">
        <f t="shared" si="96"/>
        <v>0.387233084529727</v>
      </c>
      <c r="W93" s="137">
        <f t="shared" si="97"/>
        <v>0.0185909980430528</v>
      </c>
      <c r="X93" s="135">
        <v>0.198</v>
      </c>
      <c r="Y93" s="138">
        <v>4</v>
      </c>
      <c r="Z93" s="138">
        <f>F93*0.1</f>
        <v>3.699</v>
      </c>
      <c r="AA93" s="138">
        <f t="shared" si="98"/>
        <v>0.2555</v>
      </c>
      <c r="AB93" s="131">
        <f t="shared" si="99"/>
        <v>5.0589</v>
      </c>
      <c r="AC93" s="131">
        <v>80.4</v>
      </c>
      <c r="AD93" s="139">
        <f t="shared" si="100"/>
        <v>71.1504424778761</v>
      </c>
      <c r="AE93" s="136">
        <f t="shared" si="105"/>
        <v>1</v>
      </c>
      <c r="AF93" s="137">
        <f t="shared" si="101"/>
        <v>0.348094141281194</v>
      </c>
      <c r="AG93" s="137">
        <f t="shared" si="102"/>
        <v>0.00489236790606654</v>
      </c>
      <c r="AH93" s="136">
        <v>8</v>
      </c>
      <c r="AI93" s="137">
        <f t="shared" si="103"/>
        <v>0.261382355591601</v>
      </c>
      <c r="AJ93" s="137"/>
      <c r="AK93" s="137"/>
      <c r="AL93" s="137"/>
      <c r="AM93" s="137"/>
      <c r="AN93" s="140"/>
      <c r="AO93" s="140"/>
      <c r="AP93" s="140"/>
      <c r="AQ93" s="140"/>
      <c r="AR93" s="140"/>
      <c r="AS93" s="140"/>
      <c r="AT93" s="140" t="s">
        <v>376</v>
      </c>
      <c r="AU93" s="140" t="s">
        <v>376</v>
      </c>
      <c r="AV93" s="140" t="s">
        <v>376</v>
      </c>
      <c r="AW93" s="140" t="s">
        <v>376</v>
      </c>
      <c r="AX93" s="140" t="s">
        <v>376</v>
      </c>
      <c r="AY93" s="140" t="s">
        <v>376</v>
      </c>
      <c r="AZ93" s="140" t="s">
        <v>376</v>
      </c>
      <c r="BA93" s="140" t="s">
        <v>376</v>
      </c>
      <c r="BB93" s="140" t="s">
        <v>376</v>
      </c>
      <c r="BC93" s="140" t="s">
        <v>376</v>
      </c>
      <c r="BD93" s="140" t="s">
        <v>376</v>
      </c>
      <c r="BE93" s="140" t="s">
        <v>376</v>
      </c>
      <c r="BF93" s="140" t="s">
        <v>376</v>
      </c>
      <c r="BG93" s="140" t="s">
        <v>376</v>
      </c>
      <c r="BH93" s="140" t="s">
        <v>376</v>
      </c>
      <c r="BI93" s="140" t="s">
        <v>376</v>
      </c>
      <c r="BJ93" s="140" t="s">
        <v>376</v>
      </c>
      <c r="BK93" s="140" t="s">
        <v>376</v>
      </c>
      <c r="BL93" s="140" t="s">
        <v>376</v>
      </c>
      <c r="BM93" s="140" t="s">
        <v>376</v>
      </c>
      <c r="BN93" s="140" t="s">
        <v>376</v>
      </c>
      <c r="BO93" s="140" t="s">
        <v>376</v>
      </c>
      <c r="BP93" s="140" t="s">
        <v>376</v>
      </c>
      <c r="BQ93" s="140" t="s">
        <v>376</v>
      </c>
      <c r="BR93" s="175"/>
      <c r="BS93" s="142" t="s">
        <v>377</v>
      </c>
    </row>
    <row r="94" customHeight="1" spans="1:71">
      <c r="A94" s="127" t="s">
        <v>285</v>
      </c>
      <c r="B94" s="127" t="s">
        <v>27</v>
      </c>
      <c r="C94" s="180"/>
      <c r="D94" s="172" t="s">
        <v>413</v>
      </c>
      <c r="E94" s="184">
        <v>25.55</v>
      </c>
      <c r="F94" s="130">
        <v>36.99</v>
      </c>
      <c r="G94" s="133">
        <f t="shared" si="85"/>
        <v>31.4415</v>
      </c>
      <c r="H94" s="133">
        <f t="shared" si="86"/>
        <v>26.20125</v>
      </c>
      <c r="I94" s="133">
        <f t="shared" si="87"/>
        <v>0.318294690265486</v>
      </c>
      <c r="J94" s="134">
        <f t="shared" si="88"/>
        <v>0.01245771781861</v>
      </c>
      <c r="K94" s="131">
        <f t="shared" si="89"/>
        <v>30.825</v>
      </c>
      <c r="L94" s="174">
        <f t="shared" si="90"/>
        <v>0.171127331711273</v>
      </c>
      <c r="M94" s="133">
        <f t="shared" si="91"/>
        <v>5.275</v>
      </c>
      <c r="N94" s="131">
        <f t="shared" si="104"/>
        <v>79.1504424778761</v>
      </c>
      <c r="O94" s="131">
        <f t="shared" si="92"/>
        <v>0.475</v>
      </c>
      <c r="P94" s="127">
        <v>30</v>
      </c>
      <c r="Q94" s="136">
        <v>8</v>
      </c>
      <c r="R94" s="137">
        <f t="shared" si="93"/>
        <v>0.156555772994129</v>
      </c>
      <c r="S94" s="134">
        <f t="shared" si="94"/>
        <v>0.108137334414707</v>
      </c>
      <c r="T94" s="137">
        <f t="shared" si="95"/>
        <v>0.217162426614481</v>
      </c>
      <c r="U94" s="137">
        <v>0.01</v>
      </c>
      <c r="V94" s="137">
        <f t="shared" si="96"/>
        <v>0.387233084529727</v>
      </c>
      <c r="W94" s="137">
        <f t="shared" si="97"/>
        <v>0.0185909980430528</v>
      </c>
      <c r="X94" s="135">
        <v>0.198</v>
      </c>
      <c r="Y94" s="138">
        <v>4</v>
      </c>
      <c r="Z94" s="138">
        <f>F94*0.15</f>
        <v>5.5485</v>
      </c>
      <c r="AA94" s="138">
        <f t="shared" si="98"/>
        <v>0.2555</v>
      </c>
      <c r="AB94" s="131">
        <f t="shared" si="99"/>
        <v>5.0589</v>
      </c>
      <c r="AC94" s="131">
        <v>80.4</v>
      </c>
      <c r="AD94" s="139">
        <f t="shared" si="100"/>
        <v>71.1504424778761</v>
      </c>
      <c r="AE94" s="136">
        <f t="shared" si="105"/>
        <v>1</v>
      </c>
      <c r="AF94" s="137">
        <f t="shared" si="101"/>
        <v>0.348094141281194</v>
      </c>
      <c r="AG94" s="137">
        <f t="shared" si="102"/>
        <v>0.00489236790606654</v>
      </c>
      <c r="AH94" s="136">
        <v>8</v>
      </c>
      <c r="AI94" s="137">
        <f t="shared" si="103"/>
        <v>0.217934258861696</v>
      </c>
      <c r="AJ94" s="137"/>
      <c r="AK94" s="137"/>
      <c r="AL94" s="137"/>
      <c r="AM94" s="137"/>
      <c r="AN94" s="140"/>
      <c r="AO94" s="140"/>
      <c r="AP94" s="140"/>
      <c r="AQ94" s="140"/>
      <c r="AR94" s="140"/>
      <c r="AS94" s="140"/>
      <c r="AT94" s="140" t="s">
        <v>376</v>
      </c>
      <c r="AU94" s="140" t="s">
        <v>376</v>
      </c>
      <c r="AV94" s="140" t="s">
        <v>376</v>
      </c>
      <c r="AW94" s="140" t="s">
        <v>376</v>
      </c>
      <c r="AX94" s="140" t="s">
        <v>376</v>
      </c>
      <c r="AY94" s="140" t="s">
        <v>376</v>
      </c>
      <c r="AZ94" s="140" t="s">
        <v>376</v>
      </c>
      <c r="BA94" s="140" t="s">
        <v>376</v>
      </c>
      <c r="BB94" s="140" t="s">
        <v>376</v>
      </c>
      <c r="BC94" s="140" t="s">
        <v>376</v>
      </c>
      <c r="BD94" s="140" t="s">
        <v>376</v>
      </c>
      <c r="BE94" s="140" t="s">
        <v>376</v>
      </c>
      <c r="BF94" s="140" t="s">
        <v>376</v>
      </c>
      <c r="BG94" s="140" t="s">
        <v>376</v>
      </c>
      <c r="BH94" s="140" t="s">
        <v>376</v>
      </c>
      <c r="BI94" s="140" t="s">
        <v>376</v>
      </c>
      <c r="BJ94" s="140" t="s">
        <v>376</v>
      </c>
      <c r="BK94" s="140" t="s">
        <v>376</v>
      </c>
      <c r="BL94" s="140" t="s">
        <v>376</v>
      </c>
      <c r="BM94" s="140" t="s">
        <v>376</v>
      </c>
      <c r="BN94" s="140" t="s">
        <v>376</v>
      </c>
      <c r="BO94" s="140" t="s">
        <v>376</v>
      </c>
      <c r="BP94" s="140" t="s">
        <v>376</v>
      </c>
      <c r="BQ94" s="140" t="s">
        <v>376</v>
      </c>
      <c r="BR94" s="175"/>
      <c r="BS94" s="142" t="s">
        <v>377</v>
      </c>
    </row>
    <row r="95" customHeight="1" spans="1:71">
      <c r="A95" s="127" t="s">
        <v>287</v>
      </c>
      <c r="B95" s="127" t="s">
        <v>27</v>
      </c>
      <c r="C95" s="180"/>
      <c r="D95" s="172" t="s">
        <v>411</v>
      </c>
      <c r="E95" s="184">
        <v>25.55</v>
      </c>
      <c r="F95" s="130">
        <v>36.99</v>
      </c>
      <c r="G95" s="133">
        <f t="shared" si="85"/>
        <v>36.99</v>
      </c>
      <c r="H95" s="133">
        <f t="shared" si="86"/>
        <v>30.825</v>
      </c>
      <c r="I95" s="133">
        <f t="shared" si="87"/>
        <v>6.17583135693216</v>
      </c>
      <c r="J95" s="134">
        <f t="shared" si="88"/>
        <v>0.241715512991474</v>
      </c>
      <c r="K95" s="131">
        <f t="shared" si="89"/>
        <v>30.825</v>
      </c>
      <c r="L95" s="174">
        <f t="shared" si="90"/>
        <v>0.171127331711273</v>
      </c>
      <c r="M95" s="133">
        <f t="shared" si="91"/>
        <v>5.275</v>
      </c>
      <c r="N95" s="131">
        <f t="shared" si="104"/>
        <v>79.1504424778761</v>
      </c>
      <c r="O95" s="131">
        <f t="shared" si="92"/>
        <v>0.508333333333333</v>
      </c>
      <c r="P95" s="127">
        <v>30</v>
      </c>
      <c r="Q95" s="136">
        <v>8</v>
      </c>
      <c r="R95" s="137">
        <f t="shared" si="93"/>
        <v>0.156555772994129</v>
      </c>
      <c r="S95" s="134">
        <f t="shared" si="94"/>
        <v>0.108137334414707</v>
      </c>
      <c r="T95" s="137">
        <f t="shared" si="95"/>
        <v>0</v>
      </c>
      <c r="U95" s="137">
        <v>0.01</v>
      </c>
      <c r="V95" s="137">
        <f t="shared" si="96"/>
        <v>0.387233084529727</v>
      </c>
      <c r="W95" s="137">
        <f t="shared" si="97"/>
        <v>0.0198956294846706</v>
      </c>
      <c r="X95" s="135">
        <v>0.1846</v>
      </c>
      <c r="Y95" s="138">
        <v>4</v>
      </c>
      <c r="Z95" s="138">
        <v>0</v>
      </c>
      <c r="AA95" s="138">
        <f t="shared" si="98"/>
        <v>0.2555</v>
      </c>
      <c r="AB95" s="131">
        <f t="shared" si="99"/>
        <v>4.71653</v>
      </c>
      <c r="AC95" s="131">
        <v>80.4</v>
      </c>
      <c r="AD95" s="139">
        <f t="shared" si="100"/>
        <v>71.1504424778761</v>
      </c>
      <c r="AE95" s="136">
        <f t="shared" si="105"/>
        <v>1</v>
      </c>
      <c r="AF95" s="137">
        <f t="shared" si="101"/>
        <v>0.348094141281194</v>
      </c>
      <c r="AG95" s="137">
        <f t="shared" si="102"/>
        <v>0.00489236790606654</v>
      </c>
      <c r="AH95" s="136">
        <v>8</v>
      </c>
      <c r="AI95" s="134">
        <f t="shared" si="103"/>
        <v>0.324137226277372</v>
      </c>
      <c r="AJ95" s="134"/>
      <c r="AK95" s="134"/>
      <c r="AL95" s="134"/>
      <c r="AM95" s="134"/>
      <c r="AN95" s="140"/>
      <c r="AO95" s="140"/>
      <c r="AP95" s="140"/>
      <c r="AQ95" s="140"/>
      <c r="AR95" s="140"/>
      <c r="AS95" s="140"/>
      <c r="AT95" s="140" t="s">
        <v>376</v>
      </c>
      <c r="AU95" s="140" t="s">
        <v>376</v>
      </c>
      <c r="AV95" s="140" t="s">
        <v>376</v>
      </c>
      <c r="AW95" s="140" t="s">
        <v>376</v>
      </c>
      <c r="AX95" s="140" t="s">
        <v>376</v>
      </c>
      <c r="AY95" s="140" t="s">
        <v>376</v>
      </c>
      <c r="AZ95" s="140" t="s">
        <v>376</v>
      </c>
      <c r="BA95" s="140" t="s">
        <v>376</v>
      </c>
      <c r="BB95" s="140" t="s">
        <v>376</v>
      </c>
      <c r="BC95" s="140" t="s">
        <v>376</v>
      </c>
      <c r="BD95" s="140" t="s">
        <v>376</v>
      </c>
      <c r="BE95" s="140" t="s">
        <v>376</v>
      </c>
      <c r="BF95" s="140" t="s">
        <v>376</v>
      </c>
      <c r="BG95" s="140" t="s">
        <v>376</v>
      </c>
      <c r="BH95" s="140" t="s">
        <v>376</v>
      </c>
      <c r="BI95" s="140" t="s">
        <v>376</v>
      </c>
      <c r="BJ95" s="140" t="s">
        <v>376</v>
      </c>
      <c r="BK95" s="140" t="s">
        <v>376</v>
      </c>
      <c r="BL95" s="140" t="s">
        <v>376</v>
      </c>
      <c r="BM95" s="140" t="s">
        <v>376</v>
      </c>
      <c r="BN95" s="140" t="s">
        <v>376</v>
      </c>
      <c r="BO95" s="140" t="s">
        <v>376</v>
      </c>
      <c r="BP95" s="140" t="s">
        <v>376</v>
      </c>
      <c r="BQ95" s="140" t="s">
        <v>376</v>
      </c>
      <c r="BR95" s="175"/>
      <c r="BS95" s="142" t="s">
        <v>377</v>
      </c>
    </row>
    <row r="96" customHeight="1" spans="1:71">
      <c r="A96" s="127" t="s">
        <v>287</v>
      </c>
      <c r="B96" s="127" t="s">
        <v>27</v>
      </c>
      <c r="C96" s="180"/>
      <c r="D96" s="172" t="s">
        <v>412</v>
      </c>
      <c r="E96" s="184">
        <v>25.55</v>
      </c>
      <c r="F96" s="130">
        <v>36.99</v>
      </c>
      <c r="G96" s="133">
        <f t="shared" si="85"/>
        <v>33.291</v>
      </c>
      <c r="H96" s="133">
        <f t="shared" si="86"/>
        <v>27.7425</v>
      </c>
      <c r="I96" s="176">
        <f t="shared" si="87"/>
        <v>2.47683135693215</v>
      </c>
      <c r="J96" s="134">
        <f t="shared" si="88"/>
        <v>0.0969405619151528</v>
      </c>
      <c r="K96" s="131">
        <f t="shared" si="89"/>
        <v>30.825</v>
      </c>
      <c r="L96" s="174">
        <f t="shared" si="90"/>
        <v>0.171127331711273</v>
      </c>
      <c r="M96" s="133">
        <f t="shared" si="91"/>
        <v>5.275</v>
      </c>
      <c r="N96" s="131">
        <f t="shared" si="104"/>
        <v>79.1504424778761</v>
      </c>
      <c r="O96" s="131">
        <f t="shared" si="92"/>
        <v>0.508333333333333</v>
      </c>
      <c r="P96" s="127">
        <v>30</v>
      </c>
      <c r="Q96" s="136">
        <v>8</v>
      </c>
      <c r="R96" s="137">
        <f t="shared" si="93"/>
        <v>0.156555772994129</v>
      </c>
      <c r="S96" s="134">
        <f t="shared" si="94"/>
        <v>0.108137334414707</v>
      </c>
      <c r="T96" s="137">
        <f t="shared" si="95"/>
        <v>0.144774951076321</v>
      </c>
      <c r="U96" s="137">
        <v>0.01</v>
      </c>
      <c r="V96" s="137">
        <f t="shared" si="96"/>
        <v>0.387233084529727</v>
      </c>
      <c r="W96" s="137">
        <f t="shared" si="97"/>
        <v>0.0198956294846706</v>
      </c>
      <c r="X96" s="135">
        <v>0.1846</v>
      </c>
      <c r="Y96" s="138">
        <v>4</v>
      </c>
      <c r="Z96" s="138">
        <f>F96*0.1</f>
        <v>3.699</v>
      </c>
      <c r="AA96" s="138">
        <f t="shared" si="98"/>
        <v>0.2555</v>
      </c>
      <c r="AB96" s="131">
        <f t="shared" si="99"/>
        <v>4.71653</v>
      </c>
      <c r="AC96" s="131">
        <v>80.4</v>
      </c>
      <c r="AD96" s="139">
        <f t="shared" si="100"/>
        <v>71.1504424778761</v>
      </c>
      <c r="AE96" s="136">
        <f t="shared" si="105"/>
        <v>1</v>
      </c>
      <c r="AF96" s="137">
        <f t="shared" si="101"/>
        <v>0.348094141281194</v>
      </c>
      <c r="AG96" s="137">
        <f t="shared" si="102"/>
        <v>0.00489236790606654</v>
      </c>
      <c r="AH96" s="136">
        <v>8</v>
      </c>
      <c r="AI96" s="134">
        <f t="shared" si="103"/>
        <v>0.249041362530414</v>
      </c>
      <c r="AJ96" s="134"/>
      <c r="AK96" s="134"/>
      <c r="AL96" s="134"/>
      <c r="AM96" s="134"/>
      <c r="AN96" s="140"/>
      <c r="AO96" s="140"/>
      <c r="AP96" s="140"/>
      <c r="AQ96" s="140"/>
      <c r="AR96" s="140"/>
      <c r="AS96" s="140"/>
      <c r="AT96" s="140" t="s">
        <v>376</v>
      </c>
      <c r="AU96" s="140" t="s">
        <v>376</v>
      </c>
      <c r="AV96" s="140" t="s">
        <v>376</v>
      </c>
      <c r="AW96" s="140" t="s">
        <v>376</v>
      </c>
      <c r="AX96" s="140" t="s">
        <v>376</v>
      </c>
      <c r="AY96" s="140" t="s">
        <v>376</v>
      </c>
      <c r="AZ96" s="140" t="s">
        <v>376</v>
      </c>
      <c r="BA96" s="140" t="s">
        <v>376</v>
      </c>
      <c r="BB96" s="140" t="s">
        <v>376</v>
      </c>
      <c r="BC96" s="140" t="s">
        <v>376</v>
      </c>
      <c r="BD96" s="140" t="s">
        <v>376</v>
      </c>
      <c r="BE96" s="140" t="s">
        <v>376</v>
      </c>
      <c r="BF96" s="140" t="s">
        <v>376</v>
      </c>
      <c r="BG96" s="140" t="s">
        <v>376</v>
      </c>
      <c r="BH96" s="140" t="s">
        <v>376</v>
      </c>
      <c r="BI96" s="140" t="s">
        <v>376</v>
      </c>
      <c r="BJ96" s="140" t="s">
        <v>376</v>
      </c>
      <c r="BK96" s="140" t="s">
        <v>376</v>
      </c>
      <c r="BL96" s="140" t="s">
        <v>376</v>
      </c>
      <c r="BM96" s="140" t="s">
        <v>376</v>
      </c>
      <c r="BN96" s="140" t="s">
        <v>376</v>
      </c>
      <c r="BO96" s="140" t="s">
        <v>376</v>
      </c>
      <c r="BP96" s="140" t="s">
        <v>376</v>
      </c>
      <c r="BQ96" s="140" t="s">
        <v>376</v>
      </c>
      <c r="BR96" s="175"/>
      <c r="BS96" s="142" t="s">
        <v>377</v>
      </c>
    </row>
    <row r="97" customHeight="1" spans="1:71">
      <c r="A97" s="127" t="s">
        <v>287</v>
      </c>
      <c r="B97" s="127" t="s">
        <v>27</v>
      </c>
      <c r="C97" s="180"/>
      <c r="D97" s="172" t="s">
        <v>413</v>
      </c>
      <c r="E97" s="184">
        <v>25.55</v>
      </c>
      <c r="F97" s="130">
        <v>36.99</v>
      </c>
      <c r="G97" s="133">
        <f t="shared" si="85"/>
        <v>31.4415</v>
      </c>
      <c r="H97" s="133">
        <f t="shared" si="86"/>
        <v>26.20125</v>
      </c>
      <c r="I97" s="133">
        <f t="shared" si="87"/>
        <v>0.627331356932155</v>
      </c>
      <c r="J97" s="134">
        <f t="shared" si="88"/>
        <v>0.0245530863769924</v>
      </c>
      <c r="K97" s="131">
        <f t="shared" si="89"/>
        <v>30.825</v>
      </c>
      <c r="L97" s="174">
        <f t="shared" si="90"/>
        <v>0.171127331711273</v>
      </c>
      <c r="M97" s="133">
        <f t="shared" si="91"/>
        <v>5.275</v>
      </c>
      <c r="N97" s="131">
        <f t="shared" si="104"/>
        <v>79.1504424778761</v>
      </c>
      <c r="O97" s="131">
        <f t="shared" si="92"/>
        <v>0.508333333333333</v>
      </c>
      <c r="P97" s="127">
        <v>30</v>
      </c>
      <c r="Q97" s="136">
        <v>8</v>
      </c>
      <c r="R97" s="137">
        <f t="shared" si="93"/>
        <v>0.156555772994129</v>
      </c>
      <c r="S97" s="134">
        <f t="shared" si="94"/>
        <v>0.108137334414707</v>
      </c>
      <c r="T97" s="137">
        <f t="shared" si="95"/>
        <v>0.217162426614481</v>
      </c>
      <c r="U97" s="137">
        <v>0.01</v>
      </c>
      <c r="V97" s="137">
        <f t="shared" si="96"/>
        <v>0.387233084529727</v>
      </c>
      <c r="W97" s="137">
        <f t="shared" si="97"/>
        <v>0.0198956294846706</v>
      </c>
      <c r="X97" s="135">
        <v>0.1846</v>
      </c>
      <c r="Y97" s="138">
        <v>4</v>
      </c>
      <c r="Z97" s="138">
        <f>F97*0.15</f>
        <v>5.5485</v>
      </c>
      <c r="AA97" s="138">
        <f t="shared" si="98"/>
        <v>0.2555</v>
      </c>
      <c r="AB97" s="131">
        <f t="shared" si="99"/>
        <v>4.71653</v>
      </c>
      <c r="AC97" s="131">
        <v>80.4</v>
      </c>
      <c r="AD97" s="139">
        <f t="shared" si="100"/>
        <v>71.1504424778761</v>
      </c>
      <c r="AE97" s="136">
        <f t="shared" si="105"/>
        <v>1</v>
      </c>
      <c r="AF97" s="137">
        <f t="shared" si="101"/>
        <v>0.348094141281194</v>
      </c>
      <c r="AG97" s="137">
        <f t="shared" si="102"/>
        <v>0.00489236790606654</v>
      </c>
      <c r="AH97" s="136">
        <v>8</v>
      </c>
      <c r="AI97" s="134">
        <f t="shared" si="103"/>
        <v>0.204867325032203</v>
      </c>
      <c r="AJ97" s="134"/>
      <c r="AK97" s="134"/>
      <c r="AL97" s="134"/>
      <c r="AM97" s="134"/>
      <c r="AN97" s="140"/>
      <c r="AO97" s="140"/>
      <c r="AP97" s="140"/>
      <c r="AQ97" s="140"/>
      <c r="AR97" s="140"/>
      <c r="AS97" s="140"/>
      <c r="AT97" s="140" t="s">
        <v>376</v>
      </c>
      <c r="AU97" s="140" t="s">
        <v>376</v>
      </c>
      <c r="AV97" s="140" t="s">
        <v>376</v>
      </c>
      <c r="AW97" s="140" t="s">
        <v>376</v>
      </c>
      <c r="AX97" s="140" t="s">
        <v>376</v>
      </c>
      <c r="AY97" s="140" t="s">
        <v>376</v>
      </c>
      <c r="AZ97" s="140" t="s">
        <v>376</v>
      </c>
      <c r="BA97" s="140" t="s">
        <v>376</v>
      </c>
      <c r="BB97" s="140" t="s">
        <v>376</v>
      </c>
      <c r="BC97" s="140" t="s">
        <v>376</v>
      </c>
      <c r="BD97" s="140" t="s">
        <v>376</v>
      </c>
      <c r="BE97" s="140" t="s">
        <v>376</v>
      </c>
      <c r="BF97" s="140" t="s">
        <v>376</v>
      </c>
      <c r="BG97" s="140" t="s">
        <v>376</v>
      </c>
      <c r="BH97" s="140" t="s">
        <v>376</v>
      </c>
      <c r="BI97" s="140" t="s">
        <v>376</v>
      </c>
      <c r="BJ97" s="140" t="s">
        <v>376</v>
      </c>
      <c r="BK97" s="140" t="s">
        <v>376</v>
      </c>
      <c r="BL97" s="140" t="s">
        <v>376</v>
      </c>
      <c r="BM97" s="140" t="s">
        <v>376</v>
      </c>
      <c r="BN97" s="140" t="s">
        <v>376</v>
      </c>
      <c r="BO97" s="140" t="s">
        <v>376</v>
      </c>
      <c r="BP97" s="140" t="s">
        <v>376</v>
      </c>
      <c r="BQ97" s="140" t="s">
        <v>376</v>
      </c>
      <c r="BR97" s="175"/>
      <c r="BS97" s="142" t="s">
        <v>377</v>
      </c>
    </row>
    <row r="98" customHeight="1" spans="1:71">
      <c r="A98" s="127" t="s">
        <v>290</v>
      </c>
      <c r="B98" s="127" t="s">
        <v>27</v>
      </c>
      <c r="C98" s="180"/>
      <c r="D98" s="172" t="s">
        <v>411</v>
      </c>
      <c r="E98" s="184">
        <v>25.55</v>
      </c>
      <c r="F98" s="130">
        <v>36.99</v>
      </c>
      <c r="G98" s="133">
        <f t="shared" si="85"/>
        <v>36.99</v>
      </c>
      <c r="H98" s="133">
        <f t="shared" si="86"/>
        <v>30.825</v>
      </c>
      <c r="I98" s="133">
        <f t="shared" si="87"/>
        <v>6.55349802359882</v>
      </c>
      <c r="J98" s="134">
        <f t="shared" si="88"/>
        <v>0.256496987225003</v>
      </c>
      <c r="K98" s="131">
        <f t="shared" si="89"/>
        <v>30.825</v>
      </c>
      <c r="L98" s="174">
        <f t="shared" si="90"/>
        <v>0.171127331711273</v>
      </c>
      <c r="M98" s="133">
        <f t="shared" si="91"/>
        <v>5.275</v>
      </c>
      <c r="N98" s="131">
        <f t="shared" si="104"/>
        <v>79.1504424778761</v>
      </c>
      <c r="O98" s="131">
        <f t="shared" si="92"/>
        <v>0.641666666666667</v>
      </c>
      <c r="P98" s="127">
        <v>30</v>
      </c>
      <c r="Q98" s="136">
        <v>8</v>
      </c>
      <c r="R98" s="137">
        <f t="shared" si="93"/>
        <v>0.156555772994129</v>
      </c>
      <c r="S98" s="134">
        <f t="shared" si="94"/>
        <v>0.108137334414707</v>
      </c>
      <c r="T98" s="137">
        <f t="shared" si="95"/>
        <v>0</v>
      </c>
      <c r="U98" s="137">
        <v>0.01</v>
      </c>
      <c r="V98" s="137">
        <f t="shared" si="96"/>
        <v>0.387233084529727</v>
      </c>
      <c r="W98" s="137">
        <f t="shared" si="97"/>
        <v>0.0251141552511416</v>
      </c>
      <c r="X98" s="135">
        <v>0.1646</v>
      </c>
      <c r="Y98" s="138">
        <v>4</v>
      </c>
      <c r="Z98" s="138">
        <v>0</v>
      </c>
      <c r="AA98" s="138">
        <f t="shared" si="98"/>
        <v>0.2555</v>
      </c>
      <c r="AB98" s="131">
        <f t="shared" si="99"/>
        <v>4.20553</v>
      </c>
      <c r="AC98" s="131">
        <v>80.4</v>
      </c>
      <c r="AD98" s="139">
        <f t="shared" si="100"/>
        <v>71.1504424778761</v>
      </c>
      <c r="AE98" s="136">
        <f t="shared" si="105"/>
        <v>1</v>
      </c>
      <c r="AF98" s="137">
        <f t="shared" si="101"/>
        <v>0.348094141281194</v>
      </c>
      <c r="AG98" s="137">
        <f t="shared" si="102"/>
        <v>0.00489236790606654</v>
      </c>
      <c r="AH98" s="136">
        <v>8</v>
      </c>
      <c r="AI98" s="137">
        <f t="shared" si="103"/>
        <v>0.307559772911598</v>
      </c>
      <c r="AJ98" s="137"/>
      <c r="AK98" s="137"/>
      <c r="AL98" s="137"/>
      <c r="AM98" s="137"/>
      <c r="AN98" s="140"/>
      <c r="AO98" s="140"/>
      <c r="AP98" s="140"/>
      <c r="AQ98" s="140"/>
      <c r="AR98" s="140"/>
      <c r="AS98" s="140"/>
      <c r="AT98" s="140" t="s">
        <v>376</v>
      </c>
      <c r="AU98" s="140" t="s">
        <v>376</v>
      </c>
      <c r="AV98" s="140" t="s">
        <v>376</v>
      </c>
      <c r="AW98" s="140" t="s">
        <v>376</v>
      </c>
      <c r="AX98" s="140" t="s">
        <v>376</v>
      </c>
      <c r="AY98" s="140" t="s">
        <v>376</v>
      </c>
      <c r="AZ98" s="140" t="s">
        <v>376</v>
      </c>
      <c r="BA98" s="140" t="s">
        <v>376</v>
      </c>
      <c r="BB98" s="140" t="s">
        <v>376</v>
      </c>
      <c r="BC98" s="140" t="s">
        <v>376</v>
      </c>
      <c r="BD98" s="140" t="s">
        <v>376</v>
      </c>
      <c r="BE98" s="140" t="s">
        <v>376</v>
      </c>
      <c r="BF98" s="140" t="s">
        <v>376</v>
      </c>
      <c r="BG98" s="140" t="s">
        <v>376</v>
      </c>
      <c r="BH98" s="140" t="s">
        <v>376</v>
      </c>
      <c r="BI98" s="140" t="s">
        <v>376</v>
      </c>
      <c r="BJ98" s="140" t="s">
        <v>376</v>
      </c>
      <c r="BK98" s="140" t="s">
        <v>376</v>
      </c>
      <c r="BL98" s="140" t="s">
        <v>376</v>
      </c>
      <c r="BM98" s="140" t="s">
        <v>376</v>
      </c>
      <c r="BN98" s="140" t="s">
        <v>376</v>
      </c>
      <c r="BO98" s="140" t="s">
        <v>376</v>
      </c>
      <c r="BP98" s="140" t="s">
        <v>376</v>
      </c>
      <c r="BQ98" s="140" t="s">
        <v>376</v>
      </c>
      <c r="BR98" s="175"/>
      <c r="BS98" s="142" t="s">
        <v>377</v>
      </c>
    </row>
    <row r="99" customHeight="1" spans="1:71">
      <c r="A99" s="127" t="s">
        <v>290</v>
      </c>
      <c r="B99" s="127" t="s">
        <v>27</v>
      </c>
      <c r="C99" s="180"/>
      <c r="D99" s="172" t="s">
        <v>412</v>
      </c>
      <c r="E99" s="184">
        <v>25.55</v>
      </c>
      <c r="F99" s="130">
        <v>36.99</v>
      </c>
      <c r="G99" s="133">
        <f t="shared" si="85"/>
        <v>33.291</v>
      </c>
      <c r="H99" s="133">
        <f t="shared" si="86"/>
        <v>27.7425</v>
      </c>
      <c r="I99" s="176">
        <f t="shared" si="87"/>
        <v>2.85449802359882</v>
      </c>
      <c r="J99" s="134">
        <f t="shared" si="88"/>
        <v>0.111722036148682</v>
      </c>
      <c r="K99" s="131">
        <f t="shared" si="89"/>
        <v>30.825</v>
      </c>
      <c r="L99" s="174">
        <f t="shared" si="90"/>
        <v>0.171127331711273</v>
      </c>
      <c r="M99" s="133">
        <f t="shared" si="91"/>
        <v>5.275</v>
      </c>
      <c r="N99" s="131">
        <f t="shared" si="104"/>
        <v>79.1504424778761</v>
      </c>
      <c r="O99" s="131">
        <f t="shared" si="92"/>
        <v>0.641666666666667</v>
      </c>
      <c r="P99" s="127">
        <v>30</v>
      </c>
      <c r="Q99" s="136">
        <v>8</v>
      </c>
      <c r="R99" s="137">
        <f t="shared" si="93"/>
        <v>0.156555772994129</v>
      </c>
      <c r="S99" s="134">
        <f t="shared" si="94"/>
        <v>0.108137334414707</v>
      </c>
      <c r="T99" s="137">
        <f t="shared" si="95"/>
        <v>0.144774951076321</v>
      </c>
      <c r="U99" s="137">
        <v>0.01</v>
      </c>
      <c r="V99" s="137">
        <f t="shared" si="96"/>
        <v>0.387233084529727</v>
      </c>
      <c r="W99" s="137">
        <f t="shared" si="97"/>
        <v>0.0251141552511416</v>
      </c>
      <c r="X99" s="135">
        <v>0.1646</v>
      </c>
      <c r="Y99" s="138">
        <v>4</v>
      </c>
      <c r="Z99" s="138">
        <f>F99*0.1</f>
        <v>3.699</v>
      </c>
      <c r="AA99" s="138">
        <f t="shared" si="98"/>
        <v>0.2555</v>
      </c>
      <c r="AB99" s="131">
        <f t="shared" si="99"/>
        <v>4.20553</v>
      </c>
      <c r="AC99" s="131">
        <v>80.4</v>
      </c>
      <c r="AD99" s="139">
        <f t="shared" si="100"/>
        <v>71.1504424778761</v>
      </c>
      <c r="AE99" s="136">
        <f t="shared" si="105"/>
        <v>1</v>
      </c>
      <c r="AF99" s="137">
        <f t="shared" si="101"/>
        <v>0.348094141281194</v>
      </c>
      <c r="AG99" s="137">
        <f t="shared" si="102"/>
        <v>0.00489236790606654</v>
      </c>
      <c r="AH99" s="136">
        <v>8</v>
      </c>
      <c r="AI99" s="137">
        <f t="shared" si="103"/>
        <v>0.230621969901775</v>
      </c>
      <c r="AJ99" s="137"/>
      <c r="AK99" s="137"/>
      <c r="AL99" s="137"/>
      <c r="AM99" s="137"/>
      <c r="AN99" s="140"/>
      <c r="AO99" s="140"/>
      <c r="AP99" s="140"/>
      <c r="AQ99" s="140"/>
      <c r="AR99" s="140"/>
      <c r="AS99" s="140"/>
      <c r="AT99" s="140" t="s">
        <v>376</v>
      </c>
      <c r="AU99" s="140" t="s">
        <v>376</v>
      </c>
      <c r="AV99" s="140" t="s">
        <v>376</v>
      </c>
      <c r="AW99" s="140" t="s">
        <v>376</v>
      </c>
      <c r="AX99" s="140" t="s">
        <v>376</v>
      </c>
      <c r="AY99" s="140" t="s">
        <v>376</v>
      </c>
      <c r="AZ99" s="140" t="s">
        <v>376</v>
      </c>
      <c r="BA99" s="140" t="s">
        <v>376</v>
      </c>
      <c r="BB99" s="140" t="s">
        <v>376</v>
      </c>
      <c r="BC99" s="140" t="s">
        <v>376</v>
      </c>
      <c r="BD99" s="140" t="s">
        <v>376</v>
      </c>
      <c r="BE99" s="140" t="s">
        <v>376</v>
      </c>
      <c r="BF99" s="140" t="s">
        <v>376</v>
      </c>
      <c r="BG99" s="140" t="s">
        <v>376</v>
      </c>
      <c r="BH99" s="140" t="s">
        <v>376</v>
      </c>
      <c r="BI99" s="140" t="s">
        <v>376</v>
      </c>
      <c r="BJ99" s="140" t="s">
        <v>376</v>
      </c>
      <c r="BK99" s="140" t="s">
        <v>376</v>
      </c>
      <c r="BL99" s="140" t="s">
        <v>376</v>
      </c>
      <c r="BM99" s="140" t="s">
        <v>376</v>
      </c>
      <c r="BN99" s="140" t="s">
        <v>376</v>
      </c>
      <c r="BO99" s="140" t="s">
        <v>376</v>
      </c>
      <c r="BP99" s="140" t="s">
        <v>376</v>
      </c>
      <c r="BQ99" s="140" t="s">
        <v>376</v>
      </c>
      <c r="BR99" s="175"/>
      <c r="BS99" s="142" t="s">
        <v>377</v>
      </c>
    </row>
    <row r="100" customHeight="1" spans="1:71">
      <c r="A100" s="127" t="s">
        <v>290</v>
      </c>
      <c r="B100" s="127" t="s">
        <v>27</v>
      </c>
      <c r="C100" s="180"/>
      <c r="D100" s="172" t="s">
        <v>413</v>
      </c>
      <c r="E100" s="184">
        <v>25.55</v>
      </c>
      <c r="F100" s="130">
        <v>36.99</v>
      </c>
      <c r="G100" s="133">
        <f t="shared" si="85"/>
        <v>31.4415</v>
      </c>
      <c r="H100" s="133">
        <f t="shared" si="86"/>
        <v>26.20125</v>
      </c>
      <c r="I100" s="133">
        <f t="shared" si="87"/>
        <v>1.00499802359882</v>
      </c>
      <c r="J100" s="134">
        <f t="shared" si="88"/>
        <v>0.0393345606105214</v>
      </c>
      <c r="K100" s="131">
        <f t="shared" si="89"/>
        <v>30.825</v>
      </c>
      <c r="L100" s="174">
        <f t="shared" si="90"/>
        <v>0.171127331711273</v>
      </c>
      <c r="M100" s="133">
        <f t="shared" si="91"/>
        <v>5.275</v>
      </c>
      <c r="N100" s="131">
        <f t="shared" si="104"/>
        <v>79.1504424778761</v>
      </c>
      <c r="O100" s="131">
        <f t="shared" si="92"/>
        <v>0.641666666666667</v>
      </c>
      <c r="P100" s="127">
        <v>30</v>
      </c>
      <c r="Q100" s="136">
        <v>8</v>
      </c>
      <c r="R100" s="137">
        <f t="shared" si="93"/>
        <v>0.156555772994129</v>
      </c>
      <c r="S100" s="134">
        <f t="shared" si="94"/>
        <v>0.108137334414707</v>
      </c>
      <c r="T100" s="137">
        <f t="shared" si="95"/>
        <v>0.217162426614481</v>
      </c>
      <c r="U100" s="137">
        <v>0.01</v>
      </c>
      <c r="V100" s="137">
        <f t="shared" si="96"/>
        <v>0.387233084529727</v>
      </c>
      <c r="W100" s="137">
        <f t="shared" si="97"/>
        <v>0.0251141552511416</v>
      </c>
      <c r="X100" s="135">
        <v>0.1646</v>
      </c>
      <c r="Y100" s="138">
        <v>4</v>
      </c>
      <c r="Z100" s="138">
        <f>F100*0.15</f>
        <v>5.5485</v>
      </c>
      <c r="AA100" s="138">
        <f t="shared" si="98"/>
        <v>0.2555</v>
      </c>
      <c r="AB100" s="131">
        <f t="shared" si="99"/>
        <v>4.20553</v>
      </c>
      <c r="AC100" s="131">
        <v>80.4</v>
      </c>
      <c r="AD100" s="139">
        <f t="shared" si="100"/>
        <v>71.1504424778761</v>
      </c>
      <c r="AE100" s="136">
        <f t="shared" si="105"/>
        <v>1</v>
      </c>
      <c r="AF100" s="137">
        <f t="shared" si="101"/>
        <v>0.348094141281194</v>
      </c>
      <c r="AG100" s="137">
        <f t="shared" si="102"/>
        <v>0.00489236790606654</v>
      </c>
      <c r="AH100" s="136">
        <v>8</v>
      </c>
      <c r="AI100" s="137">
        <f t="shared" si="103"/>
        <v>0.185364438719527</v>
      </c>
      <c r="AJ100" s="137"/>
      <c r="AK100" s="137"/>
      <c r="AL100" s="137"/>
      <c r="AM100" s="137"/>
      <c r="AN100" s="140"/>
      <c r="AO100" s="140"/>
      <c r="AP100" s="140"/>
      <c r="AQ100" s="140"/>
      <c r="AR100" s="140"/>
      <c r="AS100" s="140"/>
      <c r="AT100" s="140" t="s">
        <v>376</v>
      </c>
      <c r="AU100" s="140" t="s">
        <v>376</v>
      </c>
      <c r="AV100" s="140" t="s">
        <v>376</v>
      </c>
      <c r="AW100" s="140" t="s">
        <v>376</v>
      </c>
      <c r="AX100" s="140" t="s">
        <v>376</v>
      </c>
      <c r="AY100" s="140" t="s">
        <v>376</v>
      </c>
      <c r="AZ100" s="140" t="s">
        <v>376</v>
      </c>
      <c r="BA100" s="140" t="s">
        <v>376</v>
      </c>
      <c r="BB100" s="140" t="s">
        <v>376</v>
      </c>
      <c r="BC100" s="140" t="s">
        <v>376</v>
      </c>
      <c r="BD100" s="140" t="s">
        <v>376</v>
      </c>
      <c r="BE100" s="140" t="s">
        <v>376</v>
      </c>
      <c r="BF100" s="140" t="s">
        <v>376</v>
      </c>
      <c r="BG100" s="140" t="s">
        <v>376</v>
      </c>
      <c r="BH100" s="140" t="s">
        <v>376</v>
      </c>
      <c r="BI100" s="140" t="s">
        <v>376</v>
      </c>
      <c r="BJ100" s="140" t="s">
        <v>376</v>
      </c>
      <c r="BK100" s="140" t="s">
        <v>376</v>
      </c>
      <c r="BL100" s="140" t="s">
        <v>376</v>
      </c>
      <c r="BM100" s="140" t="s">
        <v>376</v>
      </c>
      <c r="BN100" s="140" t="s">
        <v>376</v>
      </c>
      <c r="BO100" s="140" t="s">
        <v>376</v>
      </c>
      <c r="BP100" s="140" t="s">
        <v>376</v>
      </c>
      <c r="BQ100" s="140" t="s">
        <v>376</v>
      </c>
      <c r="BR100" s="175"/>
      <c r="BS100" s="142" t="s">
        <v>377</v>
      </c>
    </row>
    <row r="101" customHeight="1" spans="1:71">
      <c r="A101" s="127" t="s">
        <v>381</v>
      </c>
      <c r="B101" s="127" t="s">
        <v>27</v>
      </c>
      <c r="C101" s="180"/>
      <c r="D101" s="178" t="s">
        <v>414</v>
      </c>
      <c r="E101" s="184">
        <v>34</v>
      </c>
      <c r="F101" s="173">
        <v>49.99</v>
      </c>
      <c r="G101" s="133">
        <f t="shared" si="85"/>
        <v>49.99</v>
      </c>
      <c r="H101" s="133">
        <f t="shared" si="86"/>
        <v>41.6583333333333</v>
      </c>
      <c r="I101" s="133">
        <f t="shared" si="87"/>
        <v>17.8358613569322</v>
      </c>
      <c r="J101" s="134">
        <f t="shared" si="88"/>
        <v>0.524584157556828</v>
      </c>
      <c r="K101" s="131">
        <f t="shared" si="89"/>
        <v>41.6583333333333</v>
      </c>
      <c r="L101" s="174">
        <f t="shared" si="90"/>
        <v>0.183836767353471</v>
      </c>
      <c r="M101" s="133">
        <f t="shared" si="91"/>
        <v>7.65833333333334</v>
      </c>
      <c r="N101" s="131">
        <f t="shared" si="104"/>
        <v>79.1504424778761</v>
      </c>
      <c r="O101" s="131">
        <f t="shared" si="92"/>
        <v>0.558333333333333</v>
      </c>
      <c r="P101" s="127">
        <v>30</v>
      </c>
      <c r="Q101" s="136">
        <v>8</v>
      </c>
      <c r="R101" s="137">
        <f t="shared" si="93"/>
        <v>0</v>
      </c>
      <c r="S101" s="134">
        <f t="shared" si="94"/>
        <v>0</v>
      </c>
      <c r="T101" s="137">
        <f t="shared" si="95"/>
        <v>0</v>
      </c>
      <c r="U101" s="137">
        <v>0.01</v>
      </c>
      <c r="V101" s="137">
        <f t="shared" si="96"/>
        <v>0.290994273815721</v>
      </c>
      <c r="W101" s="137">
        <f t="shared" si="97"/>
        <v>0.016421568627451</v>
      </c>
      <c r="X101" s="135">
        <v>0.158</v>
      </c>
      <c r="Y101" s="138">
        <v>0</v>
      </c>
      <c r="Z101" s="138">
        <f>F101*0</f>
        <v>0</v>
      </c>
      <c r="AA101" s="138">
        <f t="shared" si="98"/>
        <v>0.34</v>
      </c>
      <c r="AB101" s="131">
        <f t="shared" si="99"/>
        <v>5.372</v>
      </c>
      <c r="AC101" s="131">
        <v>80.4</v>
      </c>
      <c r="AD101" s="139">
        <f t="shared" si="100"/>
        <v>71.1504424778761</v>
      </c>
      <c r="AE101" s="136">
        <f t="shared" si="105"/>
        <v>1</v>
      </c>
      <c r="AF101" s="137">
        <f t="shared" si="101"/>
        <v>0.261582509109839</v>
      </c>
      <c r="AG101" s="137">
        <f t="shared" si="102"/>
        <v>0.00367647058823529</v>
      </c>
      <c r="AH101" s="136">
        <v>8</v>
      </c>
      <c r="AI101" s="137">
        <f t="shared" si="103"/>
        <v>0.312790558111622</v>
      </c>
      <c r="AJ101" s="140"/>
      <c r="AK101" s="140"/>
      <c r="AL101" s="140"/>
      <c r="AM101" s="140"/>
      <c r="AN101" s="140"/>
      <c r="AO101" s="140"/>
      <c r="AP101" s="140"/>
      <c r="AQ101" s="140"/>
      <c r="AR101" s="140"/>
      <c r="AS101" s="140"/>
      <c r="AT101" s="140" t="s">
        <v>376</v>
      </c>
      <c r="AU101" s="140" t="s">
        <v>376</v>
      </c>
      <c r="AV101" s="140" t="s">
        <v>376</v>
      </c>
      <c r="AW101" s="140" t="s">
        <v>376</v>
      </c>
      <c r="AX101" s="140" t="s">
        <v>376</v>
      </c>
      <c r="AY101" s="140" t="s">
        <v>376</v>
      </c>
      <c r="AZ101" s="140" t="s">
        <v>376</v>
      </c>
      <c r="BA101" s="140" t="s">
        <v>376</v>
      </c>
      <c r="BB101" s="140" t="s">
        <v>376</v>
      </c>
      <c r="BC101" s="140" t="s">
        <v>376</v>
      </c>
      <c r="BD101" s="140" t="s">
        <v>376</v>
      </c>
      <c r="BE101" s="140" t="s">
        <v>376</v>
      </c>
      <c r="BF101" s="140" t="s">
        <v>376</v>
      </c>
      <c r="BG101" s="140" t="s">
        <v>376</v>
      </c>
      <c r="BH101" s="140" t="s">
        <v>376</v>
      </c>
      <c r="BI101" s="140" t="s">
        <v>376</v>
      </c>
      <c r="BJ101" s="140" t="s">
        <v>376</v>
      </c>
      <c r="BK101" s="140" t="s">
        <v>376</v>
      </c>
      <c r="BL101" s="140" t="s">
        <v>376</v>
      </c>
      <c r="BM101" s="140" t="s">
        <v>376</v>
      </c>
      <c r="BN101" s="140" t="s">
        <v>376</v>
      </c>
      <c r="BO101" s="140" t="s">
        <v>376</v>
      </c>
      <c r="BP101" s="140" t="s">
        <v>376</v>
      </c>
      <c r="BQ101" s="140" t="s">
        <v>376</v>
      </c>
      <c r="BR101" s="144" t="e">
        <f>IF(E101&lt;#REF!,1,0)</f>
        <v>#REF!</v>
      </c>
      <c r="BS101" s="142" t="s">
        <v>377</v>
      </c>
    </row>
    <row r="102" customHeight="1" spans="1:71">
      <c r="A102" s="127" t="s">
        <v>383</v>
      </c>
      <c r="B102" s="127" t="s">
        <v>27</v>
      </c>
      <c r="C102" s="180"/>
      <c r="D102" s="178" t="s">
        <v>415</v>
      </c>
      <c r="E102" s="184">
        <v>34</v>
      </c>
      <c r="F102" s="130">
        <v>49.99</v>
      </c>
      <c r="G102" s="133">
        <f t="shared" si="85"/>
        <v>49.99</v>
      </c>
      <c r="H102" s="133">
        <f t="shared" si="86"/>
        <v>41.6583333333333</v>
      </c>
      <c r="I102" s="133">
        <f t="shared" si="87"/>
        <v>15.7158613569322</v>
      </c>
      <c r="J102" s="134">
        <f t="shared" si="88"/>
        <v>0.462231216380357</v>
      </c>
      <c r="K102" s="131">
        <f t="shared" si="89"/>
        <v>41.6583333333333</v>
      </c>
      <c r="L102" s="174">
        <f t="shared" si="90"/>
        <v>0.183836767353471</v>
      </c>
      <c r="M102" s="133">
        <f t="shared" si="91"/>
        <v>7.65833333333334</v>
      </c>
      <c r="N102" s="131">
        <f t="shared" si="104"/>
        <v>79.1504424778761</v>
      </c>
      <c r="O102" s="131">
        <f t="shared" si="92"/>
        <v>0.468333333333333</v>
      </c>
      <c r="P102" s="127">
        <v>30</v>
      </c>
      <c r="Q102" s="136">
        <v>8</v>
      </c>
      <c r="R102" s="137">
        <f t="shared" si="93"/>
        <v>0</v>
      </c>
      <c r="S102" s="134">
        <f t="shared" si="94"/>
        <v>0</v>
      </c>
      <c r="T102" s="137">
        <f t="shared" si="95"/>
        <v>0</v>
      </c>
      <c r="U102" s="137">
        <v>0.01</v>
      </c>
      <c r="V102" s="137">
        <f t="shared" si="96"/>
        <v>0.290994273815721</v>
      </c>
      <c r="W102" s="137">
        <f t="shared" si="97"/>
        <v>0.0137745098039216</v>
      </c>
      <c r="X102" s="135">
        <v>0.223</v>
      </c>
      <c r="Y102" s="138">
        <v>0</v>
      </c>
      <c r="Z102" s="138">
        <f>F102*0</f>
        <v>0</v>
      </c>
      <c r="AA102" s="138">
        <f t="shared" si="98"/>
        <v>0.34</v>
      </c>
      <c r="AB102" s="131">
        <f t="shared" si="99"/>
        <v>7.582</v>
      </c>
      <c r="AC102" s="131">
        <v>80.4</v>
      </c>
      <c r="AD102" s="139">
        <f t="shared" si="100"/>
        <v>71.1504424778761</v>
      </c>
      <c r="AE102" s="136">
        <f t="shared" si="105"/>
        <v>1</v>
      </c>
      <c r="AF102" s="137">
        <f t="shared" si="101"/>
        <v>0.261582509109839</v>
      </c>
      <c r="AG102" s="137">
        <f t="shared" si="102"/>
        <v>0.00367647058823529</v>
      </c>
      <c r="AH102" s="136">
        <v>8</v>
      </c>
      <c r="AI102" s="137">
        <f t="shared" si="103"/>
        <v>0.365841168233647</v>
      </c>
      <c r="AJ102" s="140"/>
      <c r="AK102" s="140"/>
      <c r="AL102" s="140"/>
      <c r="AM102" s="140"/>
      <c r="AN102" s="140"/>
      <c r="AO102" s="140"/>
      <c r="AP102" s="140"/>
      <c r="AQ102" s="140"/>
      <c r="AR102" s="140"/>
      <c r="AS102" s="140"/>
      <c r="AT102" s="140" t="s">
        <v>376</v>
      </c>
      <c r="AU102" s="140" t="s">
        <v>376</v>
      </c>
      <c r="AV102" s="140" t="s">
        <v>376</v>
      </c>
      <c r="AW102" s="140" t="s">
        <v>376</v>
      </c>
      <c r="AX102" s="140" t="s">
        <v>376</v>
      </c>
      <c r="AY102" s="140" t="s">
        <v>376</v>
      </c>
      <c r="AZ102" s="140" t="s">
        <v>376</v>
      </c>
      <c r="BA102" s="140" t="s">
        <v>376</v>
      </c>
      <c r="BB102" s="140" t="s">
        <v>376</v>
      </c>
      <c r="BC102" s="140" t="s">
        <v>376</v>
      </c>
      <c r="BD102" s="140" t="s">
        <v>376</v>
      </c>
      <c r="BE102" s="140" t="s">
        <v>376</v>
      </c>
      <c r="BF102" s="140" t="s">
        <v>376</v>
      </c>
      <c r="BG102" s="140" t="s">
        <v>376</v>
      </c>
      <c r="BH102" s="140" t="s">
        <v>376</v>
      </c>
      <c r="BI102" s="140" t="s">
        <v>376</v>
      </c>
      <c r="BJ102" s="140" t="s">
        <v>376</v>
      </c>
      <c r="BK102" s="140" t="s">
        <v>376</v>
      </c>
      <c r="BL102" s="140" t="s">
        <v>376</v>
      </c>
      <c r="BM102" s="140" t="s">
        <v>376</v>
      </c>
      <c r="BN102" s="140" t="s">
        <v>376</v>
      </c>
      <c r="BO102" s="140" t="s">
        <v>376</v>
      </c>
      <c r="BP102" s="140" t="s">
        <v>376</v>
      </c>
      <c r="BQ102" s="140" t="s">
        <v>376</v>
      </c>
      <c r="BR102" s="144" t="e">
        <f>IF(E102&lt;#REF!,1,0)</f>
        <v>#REF!</v>
      </c>
      <c r="BS102" s="142" t="s">
        <v>377</v>
      </c>
    </row>
    <row r="103" customHeight="1" spans="1:71">
      <c r="A103" s="127" t="s">
        <v>385</v>
      </c>
      <c r="B103" s="127" t="s">
        <v>27</v>
      </c>
      <c r="C103" s="180"/>
      <c r="D103" s="178" t="s">
        <v>416</v>
      </c>
      <c r="E103" s="184">
        <v>34.5</v>
      </c>
      <c r="F103" s="173">
        <v>49.99</v>
      </c>
      <c r="G103" s="133">
        <f t="shared" si="85"/>
        <v>49.99</v>
      </c>
      <c r="H103" s="133">
        <f t="shared" si="86"/>
        <v>41.6583333333333</v>
      </c>
      <c r="I103" s="133">
        <f t="shared" si="87"/>
        <v>15.9593613569322</v>
      </c>
      <c r="J103" s="134">
        <f t="shared" si="88"/>
        <v>0.462590184258903</v>
      </c>
      <c r="K103" s="131">
        <f t="shared" si="89"/>
        <v>41.6583333333333</v>
      </c>
      <c r="L103" s="174">
        <f t="shared" si="90"/>
        <v>0.171834366873375</v>
      </c>
      <c r="M103" s="133">
        <f t="shared" si="91"/>
        <v>7.15833333333334</v>
      </c>
      <c r="N103" s="131">
        <f t="shared" si="104"/>
        <v>79.1504424778761</v>
      </c>
      <c r="O103" s="131">
        <f t="shared" si="92"/>
        <v>0.608333333333333</v>
      </c>
      <c r="P103" s="127">
        <v>30</v>
      </c>
      <c r="Q103" s="136">
        <v>8</v>
      </c>
      <c r="R103" s="137">
        <f t="shared" si="93"/>
        <v>0</v>
      </c>
      <c r="S103" s="134">
        <f t="shared" si="94"/>
        <v>0</v>
      </c>
      <c r="T103" s="137">
        <f t="shared" si="95"/>
        <v>0</v>
      </c>
      <c r="U103" s="137">
        <v>0.01</v>
      </c>
      <c r="V103" s="137">
        <f t="shared" si="96"/>
        <v>0.286776965499551</v>
      </c>
      <c r="W103" s="137">
        <f t="shared" si="97"/>
        <v>0.0176328502415459</v>
      </c>
      <c r="X103" s="135">
        <v>0.223</v>
      </c>
      <c r="Y103" s="138">
        <v>0</v>
      </c>
      <c r="Z103" s="138">
        <f>F103*0</f>
        <v>0</v>
      </c>
      <c r="AA103" s="138">
        <f t="shared" si="98"/>
        <v>0.345</v>
      </c>
      <c r="AB103" s="131">
        <f t="shared" si="99"/>
        <v>7.6935</v>
      </c>
      <c r="AC103" s="131">
        <v>80.4</v>
      </c>
      <c r="AD103" s="139">
        <f t="shared" si="100"/>
        <v>71.1504424778761</v>
      </c>
      <c r="AE103" s="136">
        <f t="shared" si="105"/>
        <v>1</v>
      </c>
      <c r="AF103" s="137">
        <f t="shared" si="101"/>
        <v>0.257791458253174</v>
      </c>
      <c r="AG103" s="137">
        <f t="shared" si="102"/>
        <v>0.0036231884057971</v>
      </c>
      <c r="AH103" s="136">
        <v>8</v>
      </c>
      <c r="AI103" s="137">
        <f t="shared" si="103"/>
        <v>0.356515303060612</v>
      </c>
      <c r="AJ103" s="140"/>
      <c r="AK103" s="140"/>
      <c r="AL103" s="140"/>
      <c r="AM103" s="140"/>
      <c r="AN103" s="140"/>
      <c r="AO103" s="140"/>
      <c r="AP103" s="140"/>
      <c r="AQ103" s="140"/>
      <c r="AR103" s="140"/>
      <c r="AS103" s="140"/>
      <c r="AT103" s="140" t="s">
        <v>376</v>
      </c>
      <c r="AU103" s="140" t="s">
        <v>376</v>
      </c>
      <c r="AV103" s="140" t="s">
        <v>376</v>
      </c>
      <c r="AW103" s="140" t="s">
        <v>376</v>
      </c>
      <c r="AX103" s="140" t="s">
        <v>376</v>
      </c>
      <c r="AY103" s="140" t="s">
        <v>376</v>
      </c>
      <c r="AZ103" s="140" t="s">
        <v>376</v>
      </c>
      <c r="BA103" s="140" t="s">
        <v>376</v>
      </c>
      <c r="BB103" s="140" t="s">
        <v>376</v>
      </c>
      <c r="BC103" s="140" t="s">
        <v>376</v>
      </c>
      <c r="BD103" s="140" t="s">
        <v>376</v>
      </c>
      <c r="BE103" s="140" t="s">
        <v>376</v>
      </c>
      <c r="BF103" s="140" t="s">
        <v>376</v>
      </c>
      <c r="BG103" s="140" t="s">
        <v>376</v>
      </c>
      <c r="BH103" s="140" t="s">
        <v>376</v>
      </c>
      <c r="BI103" s="140" t="s">
        <v>376</v>
      </c>
      <c r="BJ103" s="140" t="s">
        <v>376</v>
      </c>
      <c r="BK103" s="140" t="s">
        <v>376</v>
      </c>
      <c r="BL103" s="140" t="s">
        <v>376</v>
      </c>
      <c r="BM103" s="140" t="s">
        <v>376</v>
      </c>
      <c r="BN103" s="140" t="s">
        <v>376</v>
      </c>
      <c r="BO103" s="140" t="s">
        <v>376</v>
      </c>
      <c r="BP103" s="140" t="s">
        <v>376</v>
      </c>
      <c r="BQ103" s="140" t="s">
        <v>376</v>
      </c>
      <c r="BR103" s="144" t="e">
        <f>IF(E103&lt;#REF!,1,0)</f>
        <v>#REF!</v>
      </c>
      <c r="BS103" s="142" t="s">
        <v>377</v>
      </c>
    </row>
    <row r="104" customHeight="1" spans="1:71">
      <c r="A104" s="127" t="s">
        <v>387</v>
      </c>
      <c r="B104" s="127" t="s">
        <v>27</v>
      </c>
      <c r="C104" s="180"/>
      <c r="D104" s="178" t="s">
        <v>417</v>
      </c>
      <c r="E104" s="184">
        <v>34</v>
      </c>
      <c r="F104" s="130">
        <v>49.99</v>
      </c>
      <c r="G104" s="133">
        <f t="shared" si="85"/>
        <v>49.99</v>
      </c>
      <c r="H104" s="133">
        <f t="shared" si="86"/>
        <v>41.6583333333333</v>
      </c>
      <c r="I104" s="133">
        <f t="shared" si="87"/>
        <v>17.9191946902655</v>
      </c>
      <c r="J104" s="134">
        <f t="shared" si="88"/>
        <v>0.527035137948985</v>
      </c>
      <c r="K104" s="131">
        <f t="shared" si="89"/>
        <v>41.6583333333333</v>
      </c>
      <c r="L104" s="174">
        <f t="shared" si="90"/>
        <v>0.183836767353471</v>
      </c>
      <c r="M104" s="133">
        <f t="shared" si="91"/>
        <v>7.65833333333334</v>
      </c>
      <c r="N104" s="131">
        <f t="shared" si="104"/>
        <v>79.1504424778761</v>
      </c>
      <c r="O104" s="131">
        <f t="shared" si="92"/>
        <v>0.475</v>
      </c>
      <c r="P104" s="127">
        <v>30</v>
      </c>
      <c r="Q104" s="136">
        <v>8</v>
      </c>
      <c r="R104" s="137">
        <f t="shared" si="93"/>
        <v>0</v>
      </c>
      <c r="S104" s="134">
        <f t="shared" si="94"/>
        <v>0</v>
      </c>
      <c r="T104" s="137">
        <f t="shared" si="95"/>
        <v>0</v>
      </c>
      <c r="U104" s="137">
        <v>0.01</v>
      </c>
      <c r="V104" s="137">
        <f t="shared" si="96"/>
        <v>0.290994273815721</v>
      </c>
      <c r="W104" s="137">
        <f t="shared" si="97"/>
        <v>0.0139705882352941</v>
      </c>
      <c r="X104" s="135">
        <v>0.158</v>
      </c>
      <c r="Y104" s="138">
        <v>0</v>
      </c>
      <c r="Z104" s="138">
        <f>F104*0</f>
        <v>0</v>
      </c>
      <c r="AA104" s="138">
        <f t="shared" si="98"/>
        <v>0.34</v>
      </c>
      <c r="AB104" s="131">
        <f t="shared" si="99"/>
        <v>5.372</v>
      </c>
      <c r="AC104" s="131">
        <v>80.4</v>
      </c>
      <c r="AD104" s="139">
        <f t="shared" si="100"/>
        <v>71.1504424778761</v>
      </c>
      <c r="AE104" s="136">
        <f t="shared" si="105"/>
        <v>1</v>
      </c>
      <c r="AF104" s="137">
        <f t="shared" si="101"/>
        <v>0.261582509109839</v>
      </c>
      <c r="AG104" s="137">
        <f t="shared" si="102"/>
        <v>0.00367647058823529</v>
      </c>
      <c r="AH104" s="136">
        <v>8</v>
      </c>
      <c r="AI104" s="137">
        <f t="shared" si="103"/>
        <v>0.312790558111622</v>
      </c>
      <c r="AJ104" s="137"/>
      <c r="AK104" s="137"/>
      <c r="AL104" s="137"/>
      <c r="AM104" s="137"/>
      <c r="AN104" s="140"/>
      <c r="AO104" s="140"/>
      <c r="AP104" s="140"/>
      <c r="AQ104" s="140"/>
      <c r="AR104" s="140"/>
      <c r="AS104" s="140"/>
      <c r="AT104" s="140" t="s">
        <v>376</v>
      </c>
      <c r="AU104" s="140" t="s">
        <v>376</v>
      </c>
      <c r="AV104" s="140" t="s">
        <v>376</v>
      </c>
      <c r="AW104" s="140" t="s">
        <v>376</v>
      </c>
      <c r="AX104" s="140" t="s">
        <v>376</v>
      </c>
      <c r="AY104" s="140" t="s">
        <v>376</v>
      </c>
      <c r="AZ104" s="140" t="s">
        <v>376</v>
      </c>
      <c r="BA104" s="140" t="s">
        <v>376</v>
      </c>
      <c r="BB104" s="140" t="s">
        <v>376</v>
      </c>
      <c r="BC104" s="140" t="s">
        <v>376</v>
      </c>
      <c r="BD104" s="140" t="s">
        <v>376</v>
      </c>
      <c r="BE104" s="140" t="s">
        <v>376</v>
      </c>
      <c r="BF104" s="140" t="s">
        <v>376</v>
      </c>
      <c r="BG104" s="140" t="s">
        <v>376</v>
      </c>
      <c r="BH104" s="140" t="s">
        <v>376</v>
      </c>
      <c r="BI104" s="140" t="s">
        <v>376</v>
      </c>
      <c r="BJ104" s="140" t="s">
        <v>376</v>
      </c>
      <c r="BK104" s="140" t="s">
        <v>376</v>
      </c>
      <c r="BL104" s="140" t="s">
        <v>376</v>
      </c>
      <c r="BM104" s="140" t="s">
        <v>376</v>
      </c>
      <c r="BN104" s="140" t="s">
        <v>376</v>
      </c>
      <c r="BO104" s="140" t="s">
        <v>376</v>
      </c>
      <c r="BP104" s="140" t="s">
        <v>376</v>
      </c>
      <c r="BQ104" s="140" t="s">
        <v>376</v>
      </c>
      <c r="BR104" s="144" t="e">
        <f>IF(E104&lt;#REF!,1,0)</f>
        <v>#REF!</v>
      </c>
      <c r="BS104" s="142" t="s">
        <v>377</v>
      </c>
    </row>
    <row r="105" customHeight="1" spans="1:71">
      <c r="A105" s="127"/>
      <c r="B105" s="127"/>
      <c r="C105" s="127"/>
      <c r="D105" s="185"/>
      <c r="E105" s="131"/>
      <c r="F105" s="143"/>
      <c r="G105" s="133"/>
      <c r="H105" s="133"/>
      <c r="I105" s="133"/>
      <c r="J105" s="134"/>
      <c r="K105" s="131"/>
      <c r="L105" s="174"/>
      <c r="M105" s="133"/>
      <c r="N105" s="131"/>
      <c r="O105" s="131"/>
      <c r="P105" s="142"/>
      <c r="Q105" s="136"/>
      <c r="R105" s="137"/>
      <c r="S105" s="134"/>
      <c r="T105" s="137"/>
      <c r="U105" s="137"/>
      <c r="V105" s="137"/>
      <c r="W105" s="137"/>
      <c r="X105" s="135"/>
      <c r="Y105" s="138"/>
      <c r="Z105" s="138"/>
      <c r="AA105" s="138"/>
      <c r="AB105" s="131"/>
      <c r="AC105" s="131"/>
      <c r="AD105" s="139"/>
      <c r="AE105" s="136"/>
      <c r="AF105" s="137"/>
      <c r="AG105" s="137"/>
      <c r="AH105" s="136"/>
      <c r="AI105" s="137"/>
      <c r="AJ105" s="137"/>
      <c r="AK105" s="137"/>
      <c r="AL105" s="137"/>
      <c r="AM105" s="137"/>
      <c r="AN105" s="140"/>
      <c r="AO105" s="140"/>
      <c r="AP105" s="140"/>
      <c r="AQ105" s="140"/>
      <c r="AR105" s="140"/>
      <c r="AS105" s="140"/>
      <c r="AT105" s="140"/>
      <c r="AU105" s="140"/>
      <c r="AV105" s="140"/>
      <c r="AW105" s="140"/>
      <c r="AX105" s="140"/>
      <c r="AY105" s="140"/>
      <c r="AZ105" s="140"/>
      <c r="BA105" s="140"/>
      <c r="BB105" s="140"/>
      <c r="BC105" s="140"/>
      <c r="BD105" s="140"/>
      <c r="BE105" s="140"/>
      <c r="BF105" s="140"/>
      <c r="BG105" s="140"/>
      <c r="BH105" s="140"/>
      <c r="BI105" s="140"/>
      <c r="BJ105" s="140"/>
      <c r="BK105" s="140"/>
      <c r="BL105" s="140"/>
      <c r="BM105" s="140"/>
      <c r="BN105" s="140"/>
      <c r="BO105" s="140"/>
      <c r="BP105" s="140"/>
      <c r="BQ105" s="140"/>
      <c r="BR105" s="144"/>
      <c r="BS105" s="142"/>
    </row>
    <row r="106" customHeight="1" spans="1:71">
      <c r="A106" s="127" t="s">
        <v>280</v>
      </c>
      <c r="B106" s="127" t="s">
        <v>27</v>
      </c>
      <c r="C106" s="180"/>
      <c r="D106" s="172" t="s">
        <v>418</v>
      </c>
      <c r="E106" s="184">
        <v>34.5</v>
      </c>
      <c r="F106" s="173">
        <v>49.99</v>
      </c>
      <c r="G106" s="133">
        <f t="shared" ref="G106:G121" si="106">(F106-Z106)</f>
        <v>49.99</v>
      </c>
      <c r="H106" s="133">
        <f t="shared" ref="H106:H121" si="107">(F106-Z106)/1.2</f>
        <v>41.6583333333333</v>
      </c>
      <c r="I106" s="133">
        <f t="shared" ref="I106:I121" si="108">E106-N106/Q106-AB106-Y106-O106-Z106-AA106</f>
        <v>8.353802359882</v>
      </c>
      <c r="J106" s="134">
        <f t="shared" ref="J106:J121" si="109">I106/E106</f>
        <v>0.24213919883716</v>
      </c>
      <c r="K106" s="131">
        <f t="shared" ref="K106:K121" si="110">F106/1.2</f>
        <v>41.6583333333333</v>
      </c>
      <c r="L106" s="174">
        <f t="shared" ref="L106:L121" si="111">(K106-E106)/K106</f>
        <v>0.171834366873375</v>
      </c>
      <c r="M106" s="133">
        <f t="shared" ref="M106:M121" si="112">F106/1.2-E106</f>
        <v>7.15833333333334</v>
      </c>
      <c r="N106" s="131">
        <f>AD106+AH107</f>
        <v>125.044247787611</v>
      </c>
      <c r="O106" s="131">
        <f t="shared" ref="O106:O121" si="113">IFERROR(IF(A106="UK",8.95/P106,IF(A106="DE",7.75/P106,IF(A106="FR",14.25/P106,IF(A106="IT",15.25/P106,IF(A106="ES",19.25/P106,IF(A106="NL",16.75/P106,IF(A106="PL",14.05/P106,IF(A106="SE",18.25/P106,IF(A106="BE",14.25/P106))))))))),0)</f>
        <v>0.322916666666667</v>
      </c>
      <c r="P106" s="142">
        <v>24</v>
      </c>
      <c r="Q106" s="136">
        <v>8</v>
      </c>
      <c r="R106" s="137">
        <f t="shared" ref="R106:R121" si="114">Y106/E106</f>
        <v>0.115942028985507</v>
      </c>
      <c r="S106" s="134">
        <f t="shared" ref="S106:S121" si="115">Y106/F106</f>
        <v>0.0800160032006401</v>
      </c>
      <c r="T106" s="137">
        <f t="shared" ref="T106:T121" si="116">Z106/E106</f>
        <v>0</v>
      </c>
      <c r="U106" s="137">
        <v>0.01</v>
      </c>
      <c r="V106" s="137">
        <f t="shared" ref="V106:V121" si="117">N106/(E106*Q106)</f>
        <v>0.453058868795691</v>
      </c>
      <c r="W106" s="137">
        <f t="shared" ref="W106:W121" si="118">O106/E106</f>
        <v>0.00935990338164251</v>
      </c>
      <c r="X106" s="135">
        <v>0.1695</v>
      </c>
      <c r="Y106" s="138">
        <v>4</v>
      </c>
      <c r="Z106" s="138">
        <v>0</v>
      </c>
      <c r="AA106" s="138">
        <f t="shared" ref="AA106:AA121" si="119">E106*U106</f>
        <v>0.345</v>
      </c>
      <c r="AB106" s="131">
        <f t="shared" ref="AB106:AB121" si="120">E106*X106</f>
        <v>5.84775</v>
      </c>
      <c r="AC106" s="131">
        <v>130</v>
      </c>
      <c r="AD106" s="139">
        <f t="shared" ref="AD106:AD121" si="121">AC106/1.13</f>
        <v>115.044247787611</v>
      </c>
      <c r="AE106" s="136">
        <f>AH107/Q106</f>
        <v>1.25</v>
      </c>
      <c r="AF106" s="137">
        <f t="shared" ref="AF106:AF121" si="122">AD106/(E106*Q106)</f>
        <v>0.41682698473772</v>
      </c>
      <c r="AG106" s="137">
        <f t="shared" ref="AG106:AG121" si="123">AE106/Q106/E106</f>
        <v>0.00452898550724638</v>
      </c>
      <c r="AH106" s="136">
        <v>10</v>
      </c>
      <c r="AI106" s="137">
        <f t="shared" ref="AI106:AI121" si="124">(H106-E106+AB106)/H106</f>
        <v>0.312208441688338</v>
      </c>
      <c r="AJ106" s="137"/>
      <c r="AK106" s="137"/>
      <c r="AL106" s="137"/>
      <c r="AM106" s="137"/>
      <c r="AN106" s="140"/>
      <c r="AO106" s="140"/>
      <c r="AP106" s="140"/>
      <c r="AQ106" s="140"/>
      <c r="AR106" s="140"/>
      <c r="AS106" s="140"/>
      <c r="AT106" s="140" t="s">
        <v>376</v>
      </c>
      <c r="AU106" s="140" t="s">
        <v>376</v>
      </c>
      <c r="AV106" s="140" t="s">
        <v>376</v>
      </c>
      <c r="AW106" s="140" t="s">
        <v>376</v>
      </c>
      <c r="AX106" s="140" t="s">
        <v>376</v>
      </c>
      <c r="AY106" s="140" t="s">
        <v>376</v>
      </c>
      <c r="AZ106" s="140" t="s">
        <v>376</v>
      </c>
      <c r="BA106" s="140" t="s">
        <v>376</v>
      </c>
      <c r="BB106" s="140" t="s">
        <v>376</v>
      </c>
      <c r="BC106" s="140" t="s">
        <v>376</v>
      </c>
      <c r="BD106" s="140" t="s">
        <v>376</v>
      </c>
      <c r="BE106" s="140" t="s">
        <v>376</v>
      </c>
      <c r="BF106" s="140" t="s">
        <v>376</v>
      </c>
      <c r="BG106" s="140" t="s">
        <v>376</v>
      </c>
      <c r="BH106" s="140" t="s">
        <v>376</v>
      </c>
      <c r="BI106" s="140" t="s">
        <v>376</v>
      </c>
      <c r="BJ106" s="140" t="s">
        <v>376</v>
      </c>
      <c r="BK106" s="140" t="s">
        <v>376</v>
      </c>
      <c r="BL106" s="140" t="s">
        <v>376</v>
      </c>
      <c r="BM106" s="140" t="s">
        <v>376</v>
      </c>
      <c r="BN106" s="140" t="s">
        <v>376</v>
      </c>
      <c r="BO106" s="140" t="s">
        <v>376</v>
      </c>
      <c r="BP106" s="140" t="s">
        <v>376</v>
      </c>
      <c r="BQ106" s="140" t="s">
        <v>376</v>
      </c>
      <c r="BR106" s="175"/>
      <c r="BS106" s="142" t="s">
        <v>377</v>
      </c>
    </row>
    <row r="107" customHeight="1" spans="1:71">
      <c r="A107" s="127" t="s">
        <v>280</v>
      </c>
      <c r="B107" s="127" t="s">
        <v>27</v>
      </c>
      <c r="C107" s="186"/>
      <c r="D107" s="172" t="s">
        <v>419</v>
      </c>
      <c r="E107" s="184">
        <v>34.5</v>
      </c>
      <c r="F107" s="130">
        <v>49.99</v>
      </c>
      <c r="G107" s="133">
        <f t="shared" si="106"/>
        <v>44.991</v>
      </c>
      <c r="H107" s="133">
        <f t="shared" si="107"/>
        <v>37.4925</v>
      </c>
      <c r="I107" s="176">
        <f t="shared" si="108"/>
        <v>3.354802359882</v>
      </c>
      <c r="J107" s="134">
        <f t="shared" si="109"/>
        <v>0.0972406481125218</v>
      </c>
      <c r="K107" s="131">
        <f t="shared" si="110"/>
        <v>41.6583333333333</v>
      </c>
      <c r="L107" s="174">
        <f t="shared" si="111"/>
        <v>0.171834366873375</v>
      </c>
      <c r="M107" s="133">
        <f t="shared" si="112"/>
        <v>7.15833333333334</v>
      </c>
      <c r="N107" s="131">
        <f t="shared" ref="N107:N121" si="125">AD107+AH107</f>
        <v>125.044247787611</v>
      </c>
      <c r="O107" s="131">
        <f t="shared" si="113"/>
        <v>0.322916666666667</v>
      </c>
      <c r="P107" s="127">
        <v>24</v>
      </c>
      <c r="Q107" s="136">
        <v>8</v>
      </c>
      <c r="R107" s="137">
        <f t="shared" si="114"/>
        <v>0.115942028985507</v>
      </c>
      <c r="S107" s="134">
        <f t="shared" si="115"/>
        <v>0.0800160032006401</v>
      </c>
      <c r="T107" s="137">
        <f t="shared" si="116"/>
        <v>0.144898550724638</v>
      </c>
      <c r="U107" s="137">
        <v>0.01</v>
      </c>
      <c r="V107" s="137">
        <f t="shared" si="117"/>
        <v>0.453058868795691</v>
      </c>
      <c r="W107" s="137">
        <f t="shared" si="118"/>
        <v>0.00935990338164251</v>
      </c>
      <c r="X107" s="135">
        <v>0.1695</v>
      </c>
      <c r="Y107" s="138">
        <v>4</v>
      </c>
      <c r="Z107" s="138">
        <f>F107*0.1</f>
        <v>4.999</v>
      </c>
      <c r="AA107" s="138">
        <f t="shared" si="119"/>
        <v>0.345</v>
      </c>
      <c r="AB107" s="131">
        <f t="shared" si="120"/>
        <v>5.84775</v>
      </c>
      <c r="AC107" s="131">
        <v>130</v>
      </c>
      <c r="AD107" s="139">
        <f t="shared" si="121"/>
        <v>115.044247787611</v>
      </c>
      <c r="AE107" s="136">
        <f t="shared" ref="AE107:AE121" si="126">AH107/Q107</f>
        <v>1.25</v>
      </c>
      <c r="AF107" s="137">
        <f t="shared" si="122"/>
        <v>0.41682698473772</v>
      </c>
      <c r="AG107" s="137">
        <f t="shared" si="123"/>
        <v>0.00452898550724638</v>
      </c>
      <c r="AH107" s="136">
        <v>10</v>
      </c>
      <c r="AI107" s="137">
        <f t="shared" si="124"/>
        <v>0.235787157431486</v>
      </c>
      <c r="AJ107" s="137"/>
      <c r="AK107" s="137"/>
      <c r="AL107" s="137"/>
      <c r="AM107" s="137"/>
      <c r="AN107" s="140"/>
      <c r="AO107" s="140"/>
      <c r="AP107" s="140"/>
      <c r="AQ107" s="140"/>
      <c r="AR107" s="140"/>
      <c r="AS107" s="140"/>
      <c r="AT107" s="140" t="s">
        <v>376</v>
      </c>
      <c r="AU107" s="140" t="s">
        <v>376</v>
      </c>
      <c r="AV107" s="140" t="s">
        <v>376</v>
      </c>
      <c r="AW107" s="140" t="s">
        <v>376</v>
      </c>
      <c r="AX107" s="140" t="s">
        <v>376</v>
      </c>
      <c r="AY107" s="140" t="s">
        <v>376</v>
      </c>
      <c r="AZ107" s="140" t="s">
        <v>376</v>
      </c>
      <c r="BA107" s="140" t="s">
        <v>376</v>
      </c>
      <c r="BB107" s="140" t="s">
        <v>376</v>
      </c>
      <c r="BC107" s="140" t="s">
        <v>376</v>
      </c>
      <c r="BD107" s="140" t="s">
        <v>376</v>
      </c>
      <c r="BE107" s="140" t="s">
        <v>376</v>
      </c>
      <c r="BF107" s="140" t="s">
        <v>376</v>
      </c>
      <c r="BG107" s="140" t="s">
        <v>376</v>
      </c>
      <c r="BH107" s="140" t="s">
        <v>376</v>
      </c>
      <c r="BI107" s="140" t="s">
        <v>376</v>
      </c>
      <c r="BJ107" s="140" t="s">
        <v>376</v>
      </c>
      <c r="BK107" s="140" t="s">
        <v>376</v>
      </c>
      <c r="BL107" s="140" t="s">
        <v>376</v>
      </c>
      <c r="BM107" s="140" t="s">
        <v>376</v>
      </c>
      <c r="BN107" s="140" t="s">
        <v>376</v>
      </c>
      <c r="BO107" s="140" t="s">
        <v>376</v>
      </c>
      <c r="BP107" s="140" t="s">
        <v>376</v>
      </c>
      <c r="BQ107" s="140" t="s">
        <v>376</v>
      </c>
      <c r="BR107" s="175"/>
      <c r="BS107" s="142" t="s">
        <v>377</v>
      </c>
    </row>
    <row r="108" customHeight="1" spans="1:71">
      <c r="A108" s="127" t="s">
        <v>280</v>
      </c>
      <c r="B108" s="127" t="s">
        <v>27</v>
      </c>
      <c r="C108" s="186"/>
      <c r="D108" s="172" t="s">
        <v>420</v>
      </c>
      <c r="E108" s="184">
        <v>34.5</v>
      </c>
      <c r="F108" s="130">
        <v>49.99</v>
      </c>
      <c r="G108" s="133">
        <f t="shared" si="106"/>
        <v>42.4915</v>
      </c>
      <c r="H108" s="133">
        <f t="shared" si="107"/>
        <v>35.4095833333333</v>
      </c>
      <c r="I108" s="133">
        <f t="shared" si="108"/>
        <v>0.855302359882004</v>
      </c>
      <c r="J108" s="134">
        <f t="shared" si="109"/>
        <v>0.024791372750203</v>
      </c>
      <c r="K108" s="131">
        <f t="shared" si="110"/>
        <v>41.6583333333333</v>
      </c>
      <c r="L108" s="174">
        <f t="shared" si="111"/>
        <v>0.171834366873375</v>
      </c>
      <c r="M108" s="133">
        <f t="shared" si="112"/>
        <v>7.15833333333334</v>
      </c>
      <c r="N108" s="131">
        <f t="shared" si="125"/>
        <v>125.044247787611</v>
      </c>
      <c r="O108" s="131">
        <f t="shared" si="113"/>
        <v>0.322916666666667</v>
      </c>
      <c r="P108" s="127">
        <v>24</v>
      </c>
      <c r="Q108" s="136">
        <v>8</v>
      </c>
      <c r="R108" s="137">
        <f t="shared" si="114"/>
        <v>0.115942028985507</v>
      </c>
      <c r="S108" s="134">
        <f t="shared" si="115"/>
        <v>0.0800160032006401</v>
      </c>
      <c r="T108" s="137">
        <f t="shared" si="116"/>
        <v>0.217347826086957</v>
      </c>
      <c r="U108" s="137">
        <v>0.01</v>
      </c>
      <c r="V108" s="137">
        <f t="shared" si="117"/>
        <v>0.453058868795691</v>
      </c>
      <c r="W108" s="137">
        <f t="shared" si="118"/>
        <v>0.00935990338164251</v>
      </c>
      <c r="X108" s="135">
        <v>0.1695</v>
      </c>
      <c r="Y108" s="138">
        <v>4</v>
      </c>
      <c r="Z108" s="138">
        <f>F108*0.15</f>
        <v>7.4985</v>
      </c>
      <c r="AA108" s="138">
        <f t="shared" si="119"/>
        <v>0.345</v>
      </c>
      <c r="AB108" s="131">
        <f t="shared" si="120"/>
        <v>5.84775</v>
      </c>
      <c r="AC108" s="131">
        <v>130</v>
      </c>
      <c r="AD108" s="139">
        <f t="shared" si="121"/>
        <v>115.044247787611</v>
      </c>
      <c r="AE108" s="136">
        <f t="shared" si="126"/>
        <v>1.25</v>
      </c>
      <c r="AF108" s="137">
        <f t="shared" si="122"/>
        <v>0.41682698473772</v>
      </c>
      <c r="AG108" s="137">
        <f t="shared" si="123"/>
        <v>0.00452898550724638</v>
      </c>
      <c r="AH108" s="136">
        <v>10</v>
      </c>
      <c r="AI108" s="137">
        <f t="shared" si="124"/>
        <v>0.190833460809809</v>
      </c>
      <c r="AJ108" s="137"/>
      <c r="AK108" s="137"/>
      <c r="AL108" s="137"/>
      <c r="AM108" s="137"/>
      <c r="AN108" s="140"/>
      <c r="AO108" s="140"/>
      <c r="AP108" s="140"/>
      <c r="AQ108" s="140"/>
      <c r="AR108" s="140"/>
      <c r="AS108" s="140"/>
      <c r="AT108" s="140" t="s">
        <v>376</v>
      </c>
      <c r="AU108" s="140" t="s">
        <v>376</v>
      </c>
      <c r="AV108" s="140" t="s">
        <v>376</v>
      </c>
      <c r="AW108" s="140" t="s">
        <v>376</v>
      </c>
      <c r="AX108" s="140" t="s">
        <v>376</v>
      </c>
      <c r="AY108" s="140" t="s">
        <v>376</v>
      </c>
      <c r="AZ108" s="140" t="s">
        <v>376</v>
      </c>
      <c r="BA108" s="140" t="s">
        <v>376</v>
      </c>
      <c r="BB108" s="140" t="s">
        <v>376</v>
      </c>
      <c r="BC108" s="140" t="s">
        <v>376</v>
      </c>
      <c r="BD108" s="140" t="s">
        <v>376</v>
      </c>
      <c r="BE108" s="140" t="s">
        <v>376</v>
      </c>
      <c r="BF108" s="140" t="s">
        <v>376</v>
      </c>
      <c r="BG108" s="140" t="s">
        <v>376</v>
      </c>
      <c r="BH108" s="140" t="s">
        <v>376</v>
      </c>
      <c r="BI108" s="140" t="s">
        <v>376</v>
      </c>
      <c r="BJ108" s="140" t="s">
        <v>376</v>
      </c>
      <c r="BK108" s="140" t="s">
        <v>376</v>
      </c>
      <c r="BL108" s="140" t="s">
        <v>376</v>
      </c>
      <c r="BM108" s="140" t="s">
        <v>376</v>
      </c>
      <c r="BN108" s="140" t="s">
        <v>376</v>
      </c>
      <c r="BO108" s="140" t="s">
        <v>376</v>
      </c>
      <c r="BP108" s="140" t="s">
        <v>376</v>
      </c>
      <c r="BQ108" s="140" t="s">
        <v>376</v>
      </c>
      <c r="BR108" s="175"/>
      <c r="BS108" s="142" t="s">
        <v>377</v>
      </c>
    </row>
    <row r="109" customHeight="1" spans="1:71">
      <c r="A109" s="127" t="s">
        <v>285</v>
      </c>
      <c r="B109" s="127" t="s">
        <v>27</v>
      </c>
      <c r="C109" s="186"/>
      <c r="D109" s="177" t="s">
        <v>418</v>
      </c>
      <c r="E109" s="184">
        <v>34.5</v>
      </c>
      <c r="F109" s="130">
        <v>49.99</v>
      </c>
      <c r="G109" s="133">
        <f t="shared" si="106"/>
        <v>49.99</v>
      </c>
      <c r="H109" s="133">
        <f t="shared" si="107"/>
        <v>41.6583333333333</v>
      </c>
      <c r="I109" s="133">
        <f t="shared" si="108"/>
        <v>7.09971902654867</v>
      </c>
      <c r="J109" s="134">
        <f t="shared" si="109"/>
        <v>0.205788957291266</v>
      </c>
      <c r="K109" s="131">
        <f t="shared" si="110"/>
        <v>41.6583333333333</v>
      </c>
      <c r="L109" s="174">
        <f t="shared" si="111"/>
        <v>0.171834366873375</v>
      </c>
      <c r="M109" s="133">
        <f t="shared" si="112"/>
        <v>7.15833333333334</v>
      </c>
      <c r="N109" s="131">
        <f t="shared" si="125"/>
        <v>125.044247787611</v>
      </c>
      <c r="O109" s="131">
        <f t="shared" si="113"/>
        <v>0.59375</v>
      </c>
      <c r="P109" s="127">
        <v>24</v>
      </c>
      <c r="Q109" s="136">
        <v>8</v>
      </c>
      <c r="R109" s="137">
        <f t="shared" si="114"/>
        <v>0.115942028985507</v>
      </c>
      <c r="S109" s="134">
        <f t="shared" si="115"/>
        <v>0.0800160032006401</v>
      </c>
      <c r="T109" s="137">
        <f t="shared" si="116"/>
        <v>0</v>
      </c>
      <c r="U109" s="137">
        <v>0.01</v>
      </c>
      <c r="V109" s="137">
        <f t="shared" si="117"/>
        <v>0.453058868795691</v>
      </c>
      <c r="W109" s="137">
        <f t="shared" si="118"/>
        <v>0.0172101449275362</v>
      </c>
      <c r="X109" s="135">
        <v>0.198</v>
      </c>
      <c r="Y109" s="138">
        <v>4</v>
      </c>
      <c r="Z109" s="138">
        <v>0</v>
      </c>
      <c r="AA109" s="138">
        <f t="shared" si="119"/>
        <v>0.345</v>
      </c>
      <c r="AB109" s="131">
        <f t="shared" si="120"/>
        <v>6.831</v>
      </c>
      <c r="AC109" s="131">
        <v>130</v>
      </c>
      <c r="AD109" s="139">
        <f t="shared" si="121"/>
        <v>115.044247787611</v>
      </c>
      <c r="AE109" s="136">
        <f t="shared" si="126"/>
        <v>1.25</v>
      </c>
      <c r="AF109" s="137">
        <f t="shared" si="122"/>
        <v>0.41682698473772</v>
      </c>
      <c r="AG109" s="137">
        <f t="shared" si="123"/>
        <v>0.00452898550724638</v>
      </c>
      <c r="AH109" s="136">
        <v>10</v>
      </c>
      <c r="AI109" s="137">
        <f t="shared" si="124"/>
        <v>0.335811162232447</v>
      </c>
      <c r="AJ109" s="137"/>
      <c r="AK109" s="137"/>
      <c r="AL109" s="137"/>
      <c r="AM109" s="137"/>
      <c r="AN109" s="140"/>
      <c r="AO109" s="140"/>
      <c r="AP109" s="140"/>
      <c r="AQ109" s="140"/>
      <c r="AR109" s="140"/>
      <c r="AS109" s="140"/>
      <c r="AT109" s="140" t="s">
        <v>376</v>
      </c>
      <c r="AU109" s="140" t="s">
        <v>376</v>
      </c>
      <c r="AV109" s="140" t="s">
        <v>376</v>
      </c>
      <c r="AW109" s="140" t="s">
        <v>376</v>
      </c>
      <c r="AX109" s="140" t="s">
        <v>376</v>
      </c>
      <c r="AY109" s="140" t="s">
        <v>376</v>
      </c>
      <c r="AZ109" s="140" t="s">
        <v>376</v>
      </c>
      <c r="BA109" s="140" t="s">
        <v>376</v>
      </c>
      <c r="BB109" s="140" t="s">
        <v>376</v>
      </c>
      <c r="BC109" s="140" t="s">
        <v>376</v>
      </c>
      <c r="BD109" s="140" t="s">
        <v>376</v>
      </c>
      <c r="BE109" s="140" t="s">
        <v>376</v>
      </c>
      <c r="BF109" s="140" t="s">
        <v>376</v>
      </c>
      <c r="BG109" s="140" t="s">
        <v>376</v>
      </c>
      <c r="BH109" s="140" t="s">
        <v>376</v>
      </c>
      <c r="BI109" s="140" t="s">
        <v>376</v>
      </c>
      <c r="BJ109" s="140" t="s">
        <v>376</v>
      </c>
      <c r="BK109" s="140" t="s">
        <v>376</v>
      </c>
      <c r="BL109" s="140" t="s">
        <v>376</v>
      </c>
      <c r="BM109" s="140" t="s">
        <v>376</v>
      </c>
      <c r="BN109" s="140" t="s">
        <v>376</v>
      </c>
      <c r="BO109" s="140" t="s">
        <v>376</v>
      </c>
      <c r="BP109" s="140" t="s">
        <v>376</v>
      </c>
      <c r="BQ109" s="140" t="s">
        <v>376</v>
      </c>
      <c r="BR109" s="175"/>
      <c r="BS109" s="142" t="s">
        <v>377</v>
      </c>
    </row>
    <row r="110" customHeight="1" spans="1:71">
      <c r="A110" s="127" t="s">
        <v>285</v>
      </c>
      <c r="B110" s="127" t="s">
        <v>27</v>
      </c>
      <c r="C110" s="186"/>
      <c r="D110" s="177" t="s">
        <v>419</v>
      </c>
      <c r="E110" s="184">
        <v>34.5</v>
      </c>
      <c r="F110" s="130">
        <v>49.99</v>
      </c>
      <c r="G110" s="133">
        <f t="shared" si="106"/>
        <v>44.991</v>
      </c>
      <c r="H110" s="133">
        <f t="shared" si="107"/>
        <v>37.4925</v>
      </c>
      <c r="I110" s="176">
        <f t="shared" si="108"/>
        <v>2.10071902654867</v>
      </c>
      <c r="J110" s="134">
        <f t="shared" si="109"/>
        <v>0.0608904065666281</v>
      </c>
      <c r="K110" s="131">
        <f t="shared" si="110"/>
        <v>41.6583333333333</v>
      </c>
      <c r="L110" s="174">
        <f t="shared" si="111"/>
        <v>0.171834366873375</v>
      </c>
      <c r="M110" s="133">
        <f t="shared" si="112"/>
        <v>7.15833333333334</v>
      </c>
      <c r="N110" s="131">
        <f t="shared" si="125"/>
        <v>125.044247787611</v>
      </c>
      <c r="O110" s="131">
        <f t="shared" si="113"/>
        <v>0.59375</v>
      </c>
      <c r="P110" s="127">
        <v>24</v>
      </c>
      <c r="Q110" s="136">
        <v>8</v>
      </c>
      <c r="R110" s="137">
        <f t="shared" si="114"/>
        <v>0.115942028985507</v>
      </c>
      <c r="S110" s="134">
        <f t="shared" si="115"/>
        <v>0.0800160032006401</v>
      </c>
      <c r="T110" s="137">
        <f t="shared" si="116"/>
        <v>0.144898550724638</v>
      </c>
      <c r="U110" s="137">
        <v>0.01</v>
      </c>
      <c r="V110" s="137">
        <f t="shared" si="117"/>
        <v>0.453058868795691</v>
      </c>
      <c r="W110" s="137">
        <f t="shared" si="118"/>
        <v>0.0172101449275362</v>
      </c>
      <c r="X110" s="135">
        <v>0.198</v>
      </c>
      <c r="Y110" s="138">
        <v>4</v>
      </c>
      <c r="Z110" s="138">
        <f>F110*0.1</f>
        <v>4.999</v>
      </c>
      <c r="AA110" s="138">
        <f t="shared" si="119"/>
        <v>0.345</v>
      </c>
      <c r="AB110" s="131">
        <f t="shared" si="120"/>
        <v>6.831</v>
      </c>
      <c r="AC110" s="131">
        <v>130</v>
      </c>
      <c r="AD110" s="139">
        <f t="shared" si="121"/>
        <v>115.044247787611</v>
      </c>
      <c r="AE110" s="136">
        <f t="shared" si="126"/>
        <v>1.25</v>
      </c>
      <c r="AF110" s="137">
        <f t="shared" si="122"/>
        <v>0.41682698473772</v>
      </c>
      <c r="AG110" s="137">
        <f t="shared" si="123"/>
        <v>0.00452898550724638</v>
      </c>
      <c r="AH110" s="136">
        <v>10</v>
      </c>
      <c r="AI110" s="137">
        <f t="shared" si="124"/>
        <v>0.262012402480496</v>
      </c>
      <c r="AJ110" s="137"/>
      <c r="AK110" s="137"/>
      <c r="AL110" s="137"/>
      <c r="AM110" s="137"/>
      <c r="AN110" s="140"/>
      <c r="AO110" s="140"/>
      <c r="AP110" s="140"/>
      <c r="AQ110" s="140"/>
      <c r="AR110" s="140"/>
      <c r="AS110" s="140"/>
      <c r="AT110" s="140" t="s">
        <v>376</v>
      </c>
      <c r="AU110" s="140" t="s">
        <v>376</v>
      </c>
      <c r="AV110" s="140" t="s">
        <v>376</v>
      </c>
      <c r="AW110" s="140" t="s">
        <v>376</v>
      </c>
      <c r="AX110" s="140" t="s">
        <v>376</v>
      </c>
      <c r="AY110" s="140" t="s">
        <v>376</v>
      </c>
      <c r="AZ110" s="140" t="s">
        <v>376</v>
      </c>
      <c r="BA110" s="140" t="s">
        <v>376</v>
      </c>
      <c r="BB110" s="140" t="s">
        <v>376</v>
      </c>
      <c r="BC110" s="140" t="s">
        <v>376</v>
      </c>
      <c r="BD110" s="140" t="s">
        <v>376</v>
      </c>
      <c r="BE110" s="140" t="s">
        <v>376</v>
      </c>
      <c r="BF110" s="140" t="s">
        <v>376</v>
      </c>
      <c r="BG110" s="140" t="s">
        <v>376</v>
      </c>
      <c r="BH110" s="140" t="s">
        <v>376</v>
      </c>
      <c r="BI110" s="140" t="s">
        <v>376</v>
      </c>
      <c r="BJ110" s="140" t="s">
        <v>376</v>
      </c>
      <c r="BK110" s="140" t="s">
        <v>376</v>
      </c>
      <c r="BL110" s="140" t="s">
        <v>376</v>
      </c>
      <c r="BM110" s="140" t="s">
        <v>376</v>
      </c>
      <c r="BN110" s="140" t="s">
        <v>376</v>
      </c>
      <c r="BO110" s="140" t="s">
        <v>376</v>
      </c>
      <c r="BP110" s="140" t="s">
        <v>376</v>
      </c>
      <c r="BQ110" s="140" t="s">
        <v>376</v>
      </c>
      <c r="BR110" s="175"/>
      <c r="BS110" s="142" t="s">
        <v>377</v>
      </c>
    </row>
    <row r="111" customHeight="1" spans="1:71">
      <c r="A111" s="127" t="s">
        <v>285</v>
      </c>
      <c r="B111" s="127" t="s">
        <v>27</v>
      </c>
      <c r="C111" s="186"/>
      <c r="D111" s="177" t="s">
        <v>420</v>
      </c>
      <c r="E111" s="184">
        <v>34.5</v>
      </c>
      <c r="F111" s="130">
        <v>49.99</v>
      </c>
      <c r="G111" s="133">
        <f t="shared" si="106"/>
        <v>42.4915</v>
      </c>
      <c r="H111" s="133">
        <f t="shared" si="107"/>
        <v>35.4095833333333</v>
      </c>
      <c r="I111" s="133">
        <f t="shared" si="108"/>
        <v>-0.398780973451328</v>
      </c>
      <c r="J111" s="134">
        <f t="shared" si="109"/>
        <v>-0.0115588687956907</v>
      </c>
      <c r="K111" s="131">
        <f t="shared" si="110"/>
        <v>41.6583333333333</v>
      </c>
      <c r="L111" s="174">
        <f t="shared" si="111"/>
        <v>0.171834366873375</v>
      </c>
      <c r="M111" s="133">
        <f t="shared" si="112"/>
        <v>7.15833333333334</v>
      </c>
      <c r="N111" s="131">
        <f t="shared" si="125"/>
        <v>125.044247787611</v>
      </c>
      <c r="O111" s="131">
        <f t="shared" si="113"/>
        <v>0.59375</v>
      </c>
      <c r="P111" s="127">
        <v>24</v>
      </c>
      <c r="Q111" s="136">
        <v>8</v>
      </c>
      <c r="R111" s="137">
        <f t="shared" si="114"/>
        <v>0.115942028985507</v>
      </c>
      <c r="S111" s="134">
        <f t="shared" si="115"/>
        <v>0.0800160032006401</v>
      </c>
      <c r="T111" s="137">
        <f t="shared" si="116"/>
        <v>0.217347826086957</v>
      </c>
      <c r="U111" s="137">
        <v>0.01</v>
      </c>
      <c r="V111" s="137">
        <f t="shared" si="117"/>
        <v>0.453058868795691</v>
      </c>
      <c r="W111" s="137">
        <f t="shared" si="118"/>
        <v>0.0172101449275362</v>
      </c>
      <c r="X111" s="135">
        <v>0.198</v>
      </c>
      <c r="Y111" s="138">
        <v>4</v>
      </c>
      <c r="Z111" s="138">
        <f>F111*0.15</f>
        <v>7.4985</v>
      </c>
      <c r="AA111" s="138">
        <f t="shared" si="119"/>
        <v>0.345</v>
      </c>
      <c r="AB111" s="131">
        <f t="shared" si="120"/>
        <v>6.831</v>
      </c>
      <c r="AC111" s="131">
        <v>130</v>
      </c>
      <c r="AD111" s="139">
        <f t="shared" si="121"/>
        <v>115.044247787611</v>
      </c>
      <c r="AE111" s="136">
        <f t="shared" si="126"/>
        <v>1.25</v>
      </c>
      <c r="AF111" s="137">
        <f t="shared" si="122"/>
        <v>0.41682698473772</v>
      </c>
      <c r="AG111" s="137">
        <f t="shared" si="123"/>
        <v>0.00452898550724638</v>
      </c>
      <c r="AH111" s="136">
        <v>10</v>
      </c>
      <c r="AI111" s="137">
        <f t="shared" si="124"/>
        <v>0.21860136733229</v>
      </c>
      <c r="AJ111" s="137"/>
      <c r="AK111" s="137"/>
      <c r="AL111" s="137"/>
      <c r="AM111" s="137"/>
      <c r="AN111" s="140"/>
      <c r="AO111" s="140"/>
      <c r="AP111" s="140"/>
      <c r="AQ111" s="140"/>
      <c r="AR111" s="140"/>
      <c r="AS111" s="140"/>
      <c r="AT111" s="140" t="s">
        <v>376</v>
      </c>
      <c r="AU111" s="140" t="s">
        <v>376</v>
      </c>
      <c r="AV111" s="140" t="s">
        <v>376</v>
      </c>
      <c r="AW111" s="140" t="s">
        <v>376</v>
      </c>
      <c r="AX111" s="140" t="s">
        <v>376</v>
      </c>
      <c r="AY111" s="140" t="s">
        <v>376</v>
      </c>
      <c r="AZ111" s="140" t="s">
        <v>376</v>
      </c>
      <c r="BA111" s="140" t="s">
        <v>376</v>
      </c>
      <c r="BB111" s="140" t="s">
        <v>376</v>
      </c>
      <c r="BC111" s="140" t="s">
        <v>376</v>
      </c>
      <c r="BD111" s="140" t="s">
        <v>376</v>
      </c>
      <c r="BE111" s="140" t="s">
        <v>376</v>
      </c>
      <c r="BF111" s="140" t="s">
        <v>376</v>
      </c>
      <c r="BG111" s="140" t="s">
        <v>376</v>
      </c>
      <c r="BH111" s="140" t="s">
        <v>376</v>
      </c>
      <c r="BI111" s="140" t="s">
        <v>376</v>
      </c>
      <c r="BJ111" s="140" t="s">
        <v>376</v>
      </c>
      <c r="BK111" s="140" t="s">
        <v>376</v>
      </c>
      <c r="BL111" s="140" t="s">
        <v>376</v>
      </c>
      <c r="BM111" s="140" t="s">
        <v>376</v>
      </c>
      <c r="BN111" s="140" t="s">
        <v>376</v>
      </c>
      <c r="BO111" s="140" t="s">
        <v>376</v>
      </c>
      <c r="BP111" s="140" t="s">
        <v>376</v>
      </c>
      <c r="BQ111" s="140" t="s">
        <v>376</v>
      </c>
      <c r="BR111" s="175"/>
      <c r="BS111" s="142" t="s">
        <v>377</v>
      </c>
    </row>
    <row r="112" customHeight="1" spans="1:71">
      <c r="A112" s="127" t="s">
        <v>287</v>
      </c>
      <c r="B112" s="127" t="s">
        <v>27</v>
      </c>
      <c r="C112" s="186"/>
      <c r="D112" s="177" t="s">
        <v>418</v>
      </c>
      <c r="E112" s="184">
        <v>34.5</v>
      </c>
      <c r="F112" s="130">
        <v>49.99</v>
      </c>
      <c r="G112" s="133">
        <f t="shared" si="106"/>
        <v>49.99</v>
      </c>
      <c r="H112" s="133">
        <f t="shared" si="107"/>
        <v>41.6583333333333</v>
      </c>
      <c r="I112" s="133">
        <f t="shared" si="108"/>
        <v>7.520352359882</v>
      </c>
      <c r="J112" s="134">
        <f t="shared" si="109"/>
        <v>0.217981227822667</v>
      </c>
      <c r="K112" s="131">
        <f t="shared" si="110"/>
        <v>41.6583333333333</v>
      </c>
      <c r="L112" s="174">
        <f t="shared" si="111"/>
        <v>0.171834366873375</v>
      </c>
      <c r="M112" s="133">
        <f t="shared" si="112"/>
        <v>7.15833333333334</v>
      </c>
      <c r="N112" s="131">
        <f t="shared" si="125"/>
        <v>125.044247787611</v>
      </c>
      <c r="O112" s="131">
        <f t="shared" si="113"/>
        <v>0.635416666666667</v>
      </c>
      <c r="P112" s="127">
        <v>24</v>
      </c>
      <c r="Q112" s="136">
        <v>8</v>
      </c>
      <c r="R112" s="137">
        <f t="shared" si="114"/>
        <v>0.115942028985507</v>
      </c>
      <c r="S112" s="134">
        <f t="shared" si="115"/>
        <v>0.0800160032006401</v>
      </c>
      <c r="T112" s="137">
        <f t="shared" si="116"/>
        <v>0</v>
      </c>
      <c r="U112" s="137">
        <v>0.01</v>
      </c>
      <c r="V112" s="137">
        <f t="shared" si="117"/>
        <v>0.453058868795691</v>
      </c>
      <c r="W112" s="137">
        <f t="shared" si="118"/>
        <v>0.0184178743961353</v>
      </c>
      <c r="X112" s="135">
        <v>0.1846</v>
      </c>
      <c r="Y112" s="138">
        <v>4</v>
      </c>
      <c r="Z112" s="138">
        <v>0</v>
      </c>
      <c r="AA112" s="138">
        <f t="shared" si="119"/>
        <v>0.345</v>
      </c>
      <c r="AB112" s="131">
        <f t="shared" si="120"/>
        <v>6.3687</v>
      </c>
      <c r="AC112" s="131">
        <v>130</v>
      </c>
      <c r="AD112" s="139">
        <f t="shared" si="121"/>
        <v>115.044247787611</v>
      </c>
      <c r="AE112" s="136">
        <f t="shared" si="126"/>
        <v>1.25</v>
      </c>
      <c r="AF112" s="137">
        <f t="shared" si="122"/>
        <v>0.41682698473772</v>
      </c>
      <c r="AG112" s="137">
        <f t="shared" si="123"/>
        <v>0.00452898550724638</v>
      </c>
      <c r="AH112" s="136">
        <v>10</v>
      </c>
      <c r="AI112" s="134">
        <f t="shared" si="124"/>
        <v>0.32471374274855</v>
      </c>
      <c r="AJ112" s="134"/>
      <c r="AK112" s="134"/>
      <c r="AL112" s="134"/>
      <c r="AM112" s="134"/>
      <c r="AN112" s="140"/>
      <c r="AO112" s="140"/>
      <c r="AP112" s="140"/>
      <c r="AQ112" s="140"/>
      <c r="AR112" s="140"/>
      <c r="AS112" s="140"/>
      <c r="AT112" s="140" t="s">
        <v>376</v>
      </c>
      <c r="AU112" s="140" t="s">
        <v>376</v>
      </c>
      <c r="AV112" s="140" t="s">
        <v>376</v>
      </c>
      <c r="AW112" s="140" t="s">
        <v>376</v>
      </c>
      <c r="AX112" s="140" t="s">
        <v>376</v>
      </c>
      <c r="AY112" s="140" t="s">
        <v>376</v>
      </c>
      <c r="AZ112" s="140" t="s">
        <v>376</v>
      </c>
      <c r="BA112" s="140" t="s">
        <v>376</v>
      </c>
      <c r="BB112" s="140" t="s">
        <v>376</v>
      </c>
      <c r="BC112" s="140" t="s">
        <v>376</v>
      </c>
      <c r="BD112" s="140" t="s">
        <v>376</v>
      </c>
      <c r="BE112" s="140" t="s">
        <v>376</v>
      </c>
      <c r="BF112" s="140" t="s">
        <v>376</v>
      </c>
      <c r="BG112" s="140" t="s">
        <v>376</v>
      </c>
      <c r="BH112" s="140" t="s">
        <v>376</v>
      </c>
      <c r="BI112" s="140" t="s">
        <v>376</v>
      </c>
      <c r="BJ112" s="140" t="s">
        <v>376</v>
      </c>
      <c r="BK112" s="140" t="s">
        <v>376</v>
      </c>
      <c r="BL112" s="140" t="s">
        <v>376</v>
      </c>
      <c r="BM112" s="140" t="s">
        <v>376</v>
      </c>
      <c r="BN112" s="140" t="s">
        <v>376</v>
      </c>
      <c r="BO112" s="140" t="s">
        <v>376</v>
      </c>
      <c r="BP112" s="140" t="s">
        <v>376</v>
      </c>
      <c r="BQ112" s="140" t="s">
        <v>376</v>
      </c>
      <c r="BR112" s="175"/>
      <c r="BS112" s="142" t="s">
        <v>377</v>
      </c>
    </row>
    <row r="113" customHeight="1" spans="1:71">
      <c r="A113" s="127" t="s">
        <v>287</v>
      </c>
      <c r="B113" s="127" t="s">
        <v>27</v>
      </c>
      <c r="C113" s="186"/>
      <c r="D113" s="177" t="s">
        <v>419</v>
      </c>
      <c r="E113" s="184">
        <v>34.5</v>
      </c>
      <c r="F113" s="130">
        <v>49.99</v>
      </c>
      <c r="G113" s="133">
        <f t="shared" si="106"/>
        <v>44.991</v>
      </c>
      <c r="H113" s="133">
        <f t="shared" si="107"/>
        <v>37.4925</v>
      </c>
      <c r="I113" s="176">
        <f t="shared" si="108"/>
        <v>2.521352359882</v>
      </c>
      <c r="J113" s="134">
        <f t="shared" si="109"/>
        <v>0.0730826770980291</v>
      </c>
      <c r="K113" s="131">
        <f t="shared" si="110"/>
        <v>41.6583333333333</v>
      </c>
      <c r="L113" s="174">
        <f t="shared" si="111"/>
        <v>0.171834366873375</v>
      </c>
      <c r="M113" s="133">
        <f t="shared" si="112"/>
        <v>7.15833333333334</v>
      </c>
      <c r="N113" s="131">
        <f t="shared" si="125"/>
        <v>125.044247787611</v>
      </c>
      <c r="O113" s="131">
        <f t="shared" si="113"/>
        <v>0.635416666666667</v>
      </c>
      <c r="P113" s="127">
        <v>24</v>
      </c>
      <c r="Q113" s="136">
        <v>8</v>
      </c>
      <c r="R113" s="137">
        <f t="shared" si="114"/>
        <v>0.115942028985507</v>
      </c>
      <c r="S113" s="134">
        <f t="shared" si="115"/>
        <v>0.0800160032006401</v>
      </c>
      <c r="T113" s="137">
        <f t="shared" si="116"/>
        <v>0.144898550724638</v>
      </c>
      <c r="U113" s="137">
        <v>0.01</v>
      </c>
      <c r="V113" s="137">
        <f t="shared" si="117"/>
        <v>0.453058868795691</v>
      </c>
      <c r="W113" s="137">
        <f t="shared" si="118"/>
        <v>0.0184178743961353</v>
      </c>
      <c r="X113" s="135">
        <v>0.1846</v>
      </c>
      <c r="Y113" s="138">
        <v>4</v>
      </c>
      <c r="Z113" s="138">
        <f>F113*0.1</f>
        <v>4.999</v>
      </c>
      <c r="AA113" s="138">
        <f t="shared" si="119"/>
        <v>0.345</v>
      </c>
      <c r="AB113" s="131">
        <f t="shared" si="120"/>
        <v>6.3687</v>
      </c>
      <c r="AC113" s="131">
        <v>130</v>
      </c>
      <c r="AD113" s="139">
        <f t="shared" si="121"/>
        <v>115.044247787611</v>
      </c>
      <c r="AE113" s="136">
        <f t="shared" si="126"/>
        <v>1.25</v>
      </c>
      <c r="AF113" s="137">
        <f t="shared" si="122"/>
        <v>0.41682698473772</v>
      </c>
      <c r="AG113" s="137">
        <f t="shared" si="123"/>
        <v>0.00452898550724638</v>
      </c>
      <c r="AH113" s="136">
        <v>10</v>
      </c>
      <c r="AI113" s="134">
        <f t="shared" si="124"/>
        <v>0.249681936387277</v>
      </c>
      <c r="AJ113" s="134"/>
      <c r="AK113" s="134"/>
      <c r="AL113" s="134"/>
      <c r="AM113" s="134"/>
      <c r="AN113" s="140"/>
      <c r="AO113" s="140"/>
      <c r="AP113" s="140"/>
      <c r="AQ113" s="140"/>
      <c r="AR113" s="140"/>
      <c r="AS113" s="140"/>
      <c r="AT113" s="140" t="s">
        <v>376</v>
      </c>
      <c r="AU113" s="140" t="s">
        <v>376</v>
      </c>
      <c r="AV113" s="140" t="s">
        <v>376</v>
      </c>
      <c r="AW113" s="140" t="s">
        <v>376</v>
      </c>
      <c r="AX113" s="140" t="s">
        <v>376</v>
      </c>
      <c r="AY113" s="140" t="s">
        <v>376</v>
      </c>
      <c r="AZ113" s="140" t="s">
        <v>376</v>
      </c>
      <c r="BA113" s="140" t="s">
        <v>376</v>
      </c>
      <c r="BB113" s="140" t="s">
        <v>376</v>
      </c>
      <c r="BC113" s="140" t="s">
        <v>376</v>
      </c>
      <c r="BD113" s="140" t="s">
        <v>376</v>
      </c>
      <c r="BE113" s="140" t="s">
        <v>376</v>
      </c>
      <c r="BF113" s="140" t="s">
        <v>376</v>
      </c>
      <c r="BG113" s="140" t="s">
        <v>376</v>
      </c>
      <c r="BH113" s="140" t="s">
        <v>376</v>
      </c>
      <c r="BI113" s="140" t="s">
        <v>376</v>
      </c>
      <c r="BJ113" s="140" t="s">
        <v>376</v>
      </c>
      <c r="BK113" s="140" t="s">
        <v>376</v>
      </c>
      <c r="BL113" s="140" t="s">
        <v>376</v>
      </c>
      <c r="BM113" s="140" t="s">
        <v>376</v>
      </c>
      <c r="BN113" s="140" t="s">
        <v>376</v>
      </c>
      <c r="BO113" s="140" t="s">
        <v>376</v>
      </c>
      <c r="BP113" s="140" t="s">
        <v>376</v>
      </c>
      <c r="BQ113" s="140" t="s">
        <v>376</v>
      </c>
      <c r="BR113" s="175"/>
      <c r="BS113" s="142" t="s">
        <v>377</v>
      </c>
    </row>
    <row r="114" customHeight="1" spans="1:71">
      <c r="A114" s="127" t="s">
        <v>287</v>
      </c>
      <c r="B114" s="127" t="s">
        <v>27</v>
      </c>
      <c r="C114" s="186"/>
      <c r="D114" s="177" t="s">
        <v>420</v>
      </c>
      <c r="E114" s="184">
        <v>34.5</v>
      </c>
      <c r="F114" s="130">
        <v>49.99</v>
      </c>
      <c r="G114" s="133">
        <f t="shared" si="106"/>
        <v>42.4915</v>
      </c>
      <c r="H114" s="133">
        <f t="shared" si="107"/>
        <v>35.4095833333333</v>
      </c>
      <c r="I114" s="133">
        <f t="shared" si="108"/>
        <v>0.0218523598820039</v>
      </c>
      <c r="J114" s="134">
        <f t="shared" si="109"/>
        <v>0.000633401735710258</v>
      </c>
      <c r="K114" s="131">
        <f t="shared" si="110"/>
        <v>41.6583333333333</v>
      </c>
      <c r="L114" s="174">
        <f t="shared" si="111"/>
        <v>0.171834366873375</v>
      </c>
      <c r="M114" s="133">
        <f t="shared" si="112"/>
        <v>7.15833333333334</v>
      </c>
      <c r="N114" s="131">
        <f t="shared" si="125"/>
        <v>125.044247787611</v>
      </c>
      <c r="O114" s="131">
        <f t="shared" si="113"/>
        <v>0.635416666666667</v>
      </c>
      <c r="P114" s="127">
        <v>24</v>
      </c>
      <c r="Q114" s="136">
        <v>8</v>
      </c>
      <c r="R114" s="137">
        <f t="shared" si="114"/>
        <v>0.115942028985507</v>
      </c>
      <c r="S114" s="134">
        <f t="shared" si="115"/>
        <v>0.0800160032006401</v>
      </c>
      <c r="T114" s="137">
        <f t="shared" si="116"/>
        <v>0.217347826086957</v>
      </c>
      <c r="U114" s="137">
        <v>0.01</v>
      </c>
      <c r="V114" s="137">
        <f t="shared" si="117"/>
        <v>0.453058868795691</v>
      </c>
      <c r="W114" s="137">
        <f t="shared" si="118"/>
        <v>0.0184178743961353</v>
      </c>
      <c r="X114" s="135">
        <v>0.1846</v>
      </c>
      <c r="Y114" s="138">
        <v>4</v>
      </c>
      <c r="Z114" s="138">
        <f>F114*0.15</f>
        <v>7.4985</v>
      </c>
      <c r="AA114" s="138">
        <f t="shared" si="119"/>
        <v>0.345</v>
      </c>
      <c r="AB114" s="131">
        <f t="shared" si="120"/>
        <v>6.3687</v>
      </c>
      <c r="AC114" s="131">
        <v>130</v>
      </c>
      <c r="AD114" s="139">
        <f t="shared" si="121"/>
        <v>115.044247787611</v>
      </c>
      <c r="AE114" s="136">
        <f t="shared" si="126"/>
        <v>1.25</v>
      </c>
      <c r="AF114" s="137">
        <f t="shared" si="122"/>
        <v>0.41682698473772</v>
      </c>
      <c r="AG114" s="137">
        <f t="shared" si="123"/>
        <v>0.00452898550724638</v>
      </c>
      <c r="AH114" s="136">
        <v>10</v>
      </c>
      <c r="AI114" s="134">
        <f t="shared" si="124"/>
        <v>0.205545579704176</v>
      </c>
      <c r="AJ114" s="134"/>
      <c r="AK114" s="134"/>
      <c r="AL114" s="134"/>
      <c r="AM114" s="134"/>
      <c r="AN114" s="140"/>
      <c r="AO114" s="140"/>
      <c r="AP114" s="140"/>
      <c r="AQ114" s="140"/>
      <c r="AR114" s="140"/>
      <c r="AS114" s="140"/>
      <c r="AT114" s="140" t="s">
        <v>376</v>
      </c>
      <c r="AU114" s="140" t="s">
        <v>376</v>
      </c>
      <c r="AV114" s="140" t="s">
        <v>376</v>
      </c>
      <c r="AW114" s="140" t="s">
        <v>376</v>
      </c>
      <c r="AX114" s="140" t="s">
        <v>376</v>
      </c>
      <c r="AY114" s="140" t="s">
        <v>376</v>
      </c>
      <c r="AZ114" s="140" t="s">
        <v>376</v>
      </c>
      <c r="BA114" s="140" t="s">
        <v>376</v>
      </c>
      <c r="BB114" s="140" t="s">
        <v>376</v>
      </c>
      <c r="BC114" s="140" t="s">
        <v>376</v>
      </c>
      <c r="BD114" s="140" t="s">
        <v>376</v>
      </c>
      <c r="BE114" s="140" t="s">
        <v>376</v>
      </c>
      <c r="BF114" s="140" t="s">
        <v>376</v>
      </c>
      <c r="BG114" s="140" t="s">
        <v>376</v>
      </c>
      <c r="BH114" s="140" t="s">
        <v>376</v>
      </c>
      <c r="BI114" s="140" t="s">
        <v>376</v>
      </c>
      <c r="BJ114" s="140" t="s">
        <v>376</v>
      </c>
      <c r="BK114" s="140" t="s">
        <v>376</v>
      </c>
      <c r="BL114" s="140" t="s">
        <v>376</v>
      </c>
      <c r="BM114" s="140" t="s">
        <v>376</v>
      </c>
      <c r="BN114" s="140" t="s">
        <v>376</v>
      </c>
      <c r="BO114" s="140" t="s">
        <v>376</v>
      </c>
      <c r="BP114" s="140" t="s">
        <v>376</v>
      </c>
      <c r="BQ114" s="140" t="s">
        <v>376</v>
      </c>
      <c r="BR114" s="175"/>
      <c r="BS114" s="142" t="s">
        <v>377</v>
      </c>
    </row>
    <row r="115" customHeight="1" spans="1:71">
      <c r="A115" s="127" t="s">
        <v>290</v>
      </c>
      <c r="B115" s="127" t="s">
        <v>27</v>
      </c>
      <c r="C115" s="186"/>
      <c r="D115" s="177" t="s">
        <v>418</v>
      </c>
      <c r="E115" s="184">
        <v>34.5</v>
      </c>
      <c r="F115" s="130">
        <v>49.99</v>
      </c>
      <c r="G115" s="133">
        <f t="shared" si="106"/>
        <v>49.99</v>
      </c>
      <c r="H115" s="133">
        <f t="shared" si="107"/>
        <v>41.6583333333333</v>
      </c>
      <c r="I115" s="133">
        <f t="shared" si="108"/>
        <v>8.04368569321534</v>
      </c>
      <c r="J115" s="134">
        <f t="shared" si="109"/>
        <v>0.233150309948271</v>
      </c>
      <c r="K115" s="131">
        <f t="shared" si="110"/>
        <v>41.6583333333333</v>
      </c>
      <c r="L115" s="174">
        <f t="shared" si="111"/>
        <v>0.171834366873375</v>
      </c>
      <c r="M115" s="133">
        <f t="shared" si="112"/>
        <v>7.15833333333334</v>
      </c>
      <c r="N115" s="131">
        <f t="shared" si="125"/>
        <v>125.044247787611</v>
      </c>
      <c r="O115" s="131">
        <f t="shared" si="113"/>
        <v>0.802083333333333</v>
      </c>
      <c r="P115" s="127">
        <v>24</v>
      </c>
      <c r="Q115" s="136">
        <v>8</v>
      </c>
      <c r="R115" s="137">
        <f t="shared" si="114"/>
        <v>0.115942028985507</v>
      </c>
      <c r="S115" s="134">
        <f t="shared" si="115"/>
        <v>0.0800160032006401</v>
      </c>
      <c r="T115" s="137">
        <f t="shared" si="116"/>
        <v>0</v>
      </c>
      <c r="U115" s="137">
        <v>0.01</v>
      </c>
      <c r="V115" s="137">
        <f t="shared" si="117"/>
        <v>0.453058868795691</v>
      </c>
      <c r="W115" s="137">
        <f t="shared" si="118"/>
        <v>0.0232487922705314</v>
      </c>
      <c r="X115" s="135">
        <v>0.1646</v>
      </c>
      <c r="Y115" s="138">
        <v>4</v>
      </c>
      <c r="Z115" s="138">
        <v>0</v>
      </c>
      <c r="AA115" s="138">
        <f t="shared" si="119"/>
        <v>0.345</v>
      </c>
      <c r="AB115" s="131">
        <f t="shared" si="120"/>
        <v>5.6787</v>
      </c>
      <c r="AC115" s="131">
        <v>130</v>
      </c>
      <c r="AD115" s="139">
        <f t="shared" si="121"/>
        <v>115.044247787611</v>
      </c>
      <c r="AE115" s="136">
        <f t="shared" si="126"/>
        <v>1.25</v>
      </c>
      <c r="AF115" s="137">
        <f t="shared" si="122"/>
        <v>0.41682698473772</v>
      </c>
      <c r="AG115" s="137">
        <f t="shared" si="123"/>
        <v>0.00452898550724638</v>
      </c>
      <c r="AH115" s="136">
        <v>10</v>
      </c>
      <c r="AI115" s="137">
        <f t="shared" si="124"/>
        <v>0.308150430086017</v>
      </c>
      <c r="AJ115" s="137"/>
      <c r="AK115" s="137"/>
      <c r="AL115" s="137"/>
      <c r="AM115" s="137"/>
      <c r="AN115" s="140"/>
      <c r="AO115" s="140"/>
      <c r="AP115" s="140"/>
      <c r="AQ115" s="140"/>
      <c r="AR115" s="140"/>
      <c r="AS115" s="140"/>
      <c r="AT115" s="140" t="s">
        <v>376</v>
      </c>
      <c r="AU115" s="140" t="s">
        <v>376</v>
      </c>
      <c r="AV115" s="140" t="s">
        <v>376</v>
      </c>
      <c r="AW115" s="140" t="s">
        <v>376</v>
      </c>
      <c r="AX115" s="140" t="s">
        <v>376</v>
      </c>
      <c r="AY115" s="140" t="s">
        <v>376</v>
      </c>
      <c r="AZ115" s="140" t="s">
        <v>376</v>
      </c>
      <c r="BA115" s="140" t="s">
        <v>376</v>
      </c>
      <c r="BB115" s="140" t="s">
        <v>376</v>
      </c>
      <c r="BC115" s="140" t="s">
        <v>376</v>
      </c>
      <c r="BD115" s="140" t="s">
        <v>376</v>
      </c>
      <c r="BE115" s="140" t="s">
        <v>376</v>
      </c>
      <c r="BF115" s="140" t="s">
        <v>376</v>
      </c>
      <c r="BG115" s="140" t="s">
        <v>376</v>
      </c>
      <c r="BH115" s="140" t="s">
        <v>376</v>
      </c>
      <c r="BI115" s="140" t="s">
        <v>376</v>
      </c>
      <c r="BJ115" s="140" t="s">
        <v>376</v>
      </c>
      <c r="BK115" s="140" t="s">
        <v>376</v>
      </c>
      <c r="BL115" s="140" t="s">
        <v>376</v>
      </c>
      <c r="BM115" s="140" t="s">
        <v>376</v>
      </c>
      <c r="BN115" s="140" t="s">
        <v>376</v>
      </c>
      <c r="BO115" s="140" t="s">
        <v>376</v>
      </c>
      <c r="BP115" s="140" t="s">
        <v>376</v>
      </c>
      <c r="BQ115" s="140" t="s">
        <v>376</v>
      </c>
      <c r="BR115" s="175"/>
      <c r="BS115" s="142" t="s">
        <v>377</v>
      </c>
    </row>
    <row r="116" customHeight="1" spans="1:71">
      <c r="A116" s="127" t="s">
        <v>290</v>
      </c>
      <c r="B116" s="127" t="s">
        <v>27</v>
      </c>
      <c r="C116" s="186"/>
      <c r="D116" s="177" t="s">
        <v>419</v>
      </c>
      <c r="E116" s="184">
        <v>34.5</v>
      </c>
      <c r="F116" s="130">
        <v>49.99</v>
      </c>
      <c r="G116" s="133">
        <f t="shared" si="106"/>
        <v>44.991</v>
      </c>
      <c r="H116" s="133">
        <f t="shared" si="107"/>
        <v>37.4925</v>
      </c>
      <c r="I116" s="176">
        <f t="shared" si="108"/>
        <v>3.04468569321534</v>
      </c>
      <c r="J116" s="134">
        <f t="shared" si="109"/>
        <v>0.088251759223633</v>
      </c>
      <c r="K116" s="131">
        <f t="shared" si="110"/>
        <v>41.6583333333333</v>
      </c>
      <c r="L116" s="174">
        <f t="shared" si="111"/>
        <v>0.171834366873375</v>
      </c>
      <c r="M116" s="133">
        <f t="shared" si="112"/>
        <v>7.15833333333334</v>
      </c>
      <c r="N116" s="131">
        <f t="shared" si="125"/>
        <v>125.044247787611</v>
      </c>
      <c r="O116" s="131">
        <f t="shared" si="113"/>
        <v>0.802083333333333</v>
      </c>
      <c r="P116" s="127">
        <v>24</v>
      </c>
      <c r="Q116" s="136">
        <v>8</v>
      </c>
      <c r="R116" s="137">
        <f t="shared" si="114"/>
        <v>0.115942028985507</v>
      </c>
      <c r="S116" s="134">
        <f t="shared" si="115"/>
        <v>0.0800160032006401</v>
      </c>
      <c r="T116" s="137">
        <f t="shared" si="116"/>
        <v>0.144898550724638</v>
      </c>
      <c r="U116" s="137">
        <v>0.01</v>
      </c>
      <c r="V116" s="137">
        <f t="shared" si="117"/>
        <v>0.453058868795691</v>
      </c>
      <c r="W116" s="137">
        <f t="shared" si="118"/>
        <v>0.0232487922705314</v>
      </c>
      <c r="X116" s="135">
        <v>0.1646</v>
      </c>
      <c r="Y116" s="138">
        <v>4</v>
      </c>
      <c r="Z116" s="138">
        <f>F116*0.1</f>
        <v>4.999</v>
      </c>
      <c r="AA116" s="138">
        <f t="shared" si="119"/>
        <v>0.345</v>
      </c>
      <c r="AB116" s="131">
        <f t="shared" si="120"/>
        <v>5.6787</v>
      </c>
      <c r="AC116" s="131">
        <v>130</v>
      </c>
      <c r="AD116" s="139">
        <f t="shared" si="121"/>
        <v>115.044247787611</v>
      </c>
      <c r="AE116" s="136">
        <f t="shared" si="126"/>
        <v>1.25</v>
      </c>
      <c r="AF116" s="137">
        <f t="shared" si="122"/>
        <v>0.41682698473772</v>
      </c>
      <c r="AG116" s="137">
        <f t="shared" si="123"/>
        <v>0.00452898550724638</v>
      </c>
      <c r="AH116" s="136">
        <v>10</v>
      </c>
      <c r="AI116" s="137">
        <f t="shared" si="124"/>
        <v>0.23127825565113</v>
      </c>
      <c r="AJ116" s="137"/>
      <c r="AK116" s="137"/>
      <c r="AL116" s="137"/>
      <c r="AM116" s="137"/>
      <c r="AN116" s="140"/>
      <c r="AO116" s="140"/>
      <c r="AP116" s="140"/>
      <c r="AQ116" s="140"/>
      <c r="AR116" s="140"/>
      <c r="AS116" s="140"/>
      <c r="AT116" s="140" t="s">
        <v>376</v>
      </c>
      <c r="AU116" s="140" t="s">
        <v>376</v>
      </c>
      <c r="AV116" s="140" t="s">
        <v>376</v>
      </c>
      <c r="AW116" s="140" t="s">
        <v>376</v>
      </c>
      <c r="AX116" s="140" t="s">
        <v>376</v>
      </c>
      <c r="AY116" s="140" t="s">
        <v>376</v>
      </c>
      <c r="AZ116" s="140" t="s">
        <v>376</v>
      </c>
      <c r="BA116" s="140" t="s">
        <v>376</v>
      </c>
      <c r="BB116" s="140" t="s">
        <v>376</v>
      </c>
      <c r="BC116" s="140" t="s">
        <v>376</v>
      </c>
      <c r="BD116" s="140" t="s">
        <v>376</v>
      </c>
      <c r="BE116" s="140" t="s">
        <v>376</v>
      </c>
      <c r="BF116" s="140" t="s">
        <v>376</v>
      </c>
      <c r="BG116" s="140" t="s">
        <v>376</v>
      </c>
      <c r="BH116" s="140" t="s">
        <v>376</v>
      </c>
      <c r="BI116" s="140" t="s">
        <v>376</v>
      </c>
      <c r="BJ116" s="140" t="s">
        <v>376</v>
      </c>
      <c r="BK116" s="140" t="s">
        <v>376</v>
      </c>
      <c r="BL116" s="140" t="s">
        <v>376</v>
      </c>
      <c r="BM116" s="140" t="s">
        <v>376</v>
      </c>
      <c r="BN116" s="140" t="s">
        <v>376</v>
      </c>
      <c r="BO116" s="140" t="s">
        <v>376</v>
      </c>
      <c r="BP116" s="140" t="s">
        <v>376</v>
      </c>
      <c r="BQ116" s="140" t="s">
        <v>376</v>
      </c>
      <c r="BR116" s="175"/>
      <c r="BS116" s="142" t="s">
        <v>377</v>
      </c>
    </row>
    <row r="117" customHeight="1" spans="1:71">
      <c r="A117" s="127" t="s">
        <v>290</v>
      </c>
      <c r="B117" s="127" t="s">
        <v>27</v>
      </c>
      <c r="C117" s="186"/>
      <c r="D117" s="177" t="s">
        <v>420</v>
      </c>
      <c r="E117" s="184">
        <v>34.5</v>
      </c>
      <c r="F117" s="130">
        <v>49.99</v>
      </c>
      <c r="G117" s="133">
        <f t="shared" si="106"/>
        <v>42.4915</v>
      </c>
      <c r="H117" s="133">
        <f t="shared" si="107"/>
        <v>35.4095833333333</v>
      </c>
      <c r="I117" s="133">
        <f t="shared" si="108"/>
        <v>0.545185693215338</v>
      </c>
      <c r="J117" s="134">
        <f t="shared" si="109"/>
        <v>0.0158024838613142</v>
      </c>
      <c r="K117" s="131">
        <f t="shared" si="110"/>
        <v>41.6583333333333</v>
      </c>
      <c r="L117" s="174">
        <f t="shared" si="111"/>
        <v>0.171834366873375</v>
      </c>
      <c r="M117" s="133">
        <f t="shared" si="112"/>
        <v>7.15833333333334</v>
      </c>
      <c r="N117" s="131">
        <f t="shared" si="125"/>
        <v>125.044247787611</v>
      </c>
      <c r="O117" s="131">
        <f t="shared" si="113"/>
        <v>0.802083333333333</v>
      </c>
      <c r="P117" s="127">
        <v>24</v>
      </c>
      <c r="Q117" s="136">
        <v>8</v>
      </c>
      <c r="R117" s="137">
        <f t="shared" si="114"/>
        <v>0.115942028985507</v>
      </c>
      <c r="S117" s="134">
        <f t="shared" si="115"/>
        <v>0.0800160032006401</v>
      </c>
      <c r="T117" s="137">
        <f t="shared" si="116"/>
        <v>0.217347826086957</v>
      </c>
      <c r="U117" s="137">
        <v>0.01</v>
      </c>
      <c r="V117" s="137">
        <f t="shared" si="117"/>
        <v>0.453058868795691</v>
      </c>
      <c r="W117" s="137">
        <f t="shared" si="118"/>
        <v>0.0232487922705314</v>
      </c>
      <c r="X117" s="135">
        <v>0.1646</v>
      </c>
      <c r="Y117" s="138">
        <v>4</v>
      </c>
      <c r="Z117" s="138">
        <f>F117*0.15</f>
        <v>7.4985</v>
      </c>
      <c r="AA117" s="138">
        <f t="shared" si="119"/>
        <v>0.345</v>
      </c>
      <c r="AB117" s="131">
        <f t="shared" si="120"/>
        <v>5.6787</v>
      </c>
      <c r="AC117" s="131">
        <v>130</v>
      </c>
      <c r="AD117" s="139">
        <f t="shared" si="121"/>
        <v>115.044247787611</v>
      </c>
      <c r="AE117" s="136">
        <f t="shared" si="126"/>
        <v>1.25</v>
      </c>
      <c r="AF117" s="137">
        <f t="shared" si="122"/>
        <v>0.41682698473772</v>
      </c>
      <c r="AG117" s="137">
        <f t="shared" si="123"/>
        <v>0.00452898550724638</v>
      </c>
      <c r="AH117" s="136">
        <v>10</v>
      </c>
      <c r="AI117" s="137">
        <f t="shared" si="124"/>
        <v>0.186059329512962</v>
      </c>
      <c r="AJ117" s="137"/>
      <c r="AK117" s="137"/>
      <c r="AL117" s="137"/>
      <c r="AM117" s="137"/>
      <c r="AN117" s="140"/>
      <c r="AO117" s="140"/>
      <c r="AP117" s="140"/>
      <c r="AQ117" s="140"/>
      <c r="AR117" s="140"/>
      <c r="AS117" s="140"/>
      <c r="AT117" s="140" t="s">
        <v>376</v>
      </c>
      <c r="AU117" s="140" t="s">
        <v>376</v>
      </c>
      <c r="AV117" s="140" t="s">
        <v>376</v>
      </c>
      <c r="AW117" s="140" t="s">
        <v>376</v>
      </c>
      <c r="AX117" s="140" t="s">
        <v>376</v>
      </c>
      <c r="AY117" s="140" t="s">
        <v>376</v>
      </c>
      <c r="AZ117" s="140" t="s">
        <v>376</v>
      </c>
      <c r="BA117" s="140" t="s">
        <v>376</v>
      </c>
      <c r="BB117" s="140" t="s">
        <v>376</v>
      </c>
      <c r="BC117" s="140" t="s">
        <v>376</v>
      </c>
      <c r="BD117" s="140" t="s">
        <v>376</v>
      </c>
      <c r="BE117" s="140" t="s">
        <v>376</v>
      </c>
      <c r="BF117" s="140" t="s">
        <v>376</v>
      </c>
      <c r="BG117" s="140" t="s">
        <v>376</v>
      </c>
      <c r="BH117" s="140" t="s">
        <v>376</v>
      </c>
      <c r="BI117" s="140" t="s">
        <v>376</v>
      </c>
      <c r="BJ117" s="140" t="s">
        <v>376</v>
      </c>
      <c r="BK117" s="140" t="s">
        <v>376</v>
      </c>
      <c r="BL117" s="140" t="s">
        <v>376</v>
      </c>
      <c r="BM117" s="140" t="s">
        <v>376</v>
      </c>
      <c r="BN117" s="140" t="s">
        <v>376</v>
      </c>
      <c r="BO117" s="140" t="s">
        <v>376</v>
      </c>
      <c r="BP117" s="140" t="s">
        <v>376</v>
      </c>
      <c r="BQ117" s="140" t="s">
        <v>376</v>
      </c>
      <c r="BR117" s="175"/>
      <c r="BS117" s="142" t="s">
        <v>377</v>
      </c>
    </row>
    <row r="118" customHeight="1" spans="1:71">
      <c r="A118" s="127" t="s">
        <v>381</v>
      </c>
      <c r="B118" s="127" t="s">
        <v>27</v>
      </c>
      <c r="C118" s="186"/>
      <c r="D118" s="178" t="s">
        <v>421</v>
      </c>
      <c r="E118" s="184">
        <v>34.5</v>
      </c>
      <c r="F118" s="130">
        <v>49.99</v>
      </c>
      <c r="G118" s="133">
        <f t="shared" si="106"/>
        <v>49.99</v>
      </c>
      <c r="H118" s="133">
        <f t="shared" si="107"/>
        <v>41.6583333333333</v>
      </c>
      <c r="I118" s="133">
        <f t="shared" si="108"/>
        <v>12.375552359882</v>
      </c>
      <c r="J118" s="134">
        <f t="shared" si="109"/>
        <v>0.358711662605275</v>
      </c>
      <c r="K118" s="131">
        <f t="shared" si="110"/>
        <v>41.6583333333333</v>
      </c>
      <c r="L118" s="174">
        <f t="shared" si="111"/>
        <v>0.171834366873375</v>
      </c>
      <c r="M118" s="133">
        <f t="shared" si="112"/>
        <v>7.15833333333334</v>
      </c>
      <c r="N118" s="131">
        <f t="shared" si="125"/>
        <v>125.044247787611</v>
      </c>
      <c r="O118" s="131">
        <f t="shared" si="113"/>
        <v>0.697916666666667</v>
      </c>
      <c r="P118" s="127">
        <v>24</v>
      </c>
      <c r="Q118" s="136">
        <v>8</v>
      </c>
      <c r="R118" s="137">
        <f t="shared" si="114"/>
        <v>0</v>
      </c>
      <c r="S118" s="134">
        <f t="shared" si="115"/>
        <v>0</v>
      </c>
      <c r="T118" s="137">
        <f t="shared" si="116"/>
        <v>0</v>
      </c>
      <c r="U118" s="137">
        <v>0.01</v>
      </c>
      <c r="V118" s="137">
        <f t="shared" si="117"/>
        <v>0.453058868795691</v>
      </c>
      <c r="W118" s="137">
        <f t="shared" si="118"/>
        <v>0.0202294685990338</v>
      </c>
      <c r="X118" s="135">
        <v>0.158</v>
      </c>
      <c r="Y118" s="138">
        <v>0</v>
      </c>
      <c r="Z118" s="138">
        <f>F118*0</f>
        <v>0</v>
      </c>
      <c r="AA118" s="138">
        <f t="shared" si="119"/>
        <v>0.345</v>
      </c>
      <c r="AB118" s="131">
        <f t="shared" si="120"/>
        <v>5.451</v>
      </c>
      <c r="AC118" s="131">
        <v>130</v>
      </c>
      <c r="AD118" s="139">
        <f t="shared" si="121"/>
        <v>115.044247787611</v>
      </c>
      <c r="AE118" s="136">
        <f t="shared" si="126"/>
        <v>1.25</v>
      </c>
      <c r="AF118" s="137">
        <f t="shared" si="122"/>
        <v>0.41682698473772</v>
      </c>
      <c r="AG118" s="137">
        <f t="shared" si="123"/>
        <v>0.00452898550724638</v>
      </c>
      <c r="AH118" s="136">
        <v>10</v>
      </c>
      <c r="AI118" s="137">
        <f t="shared" si="124"/>
        <v>0.302684536907382</v>
      </c>
      <c r="AJ118" s="140"/>
      <c r="AK118" s="140"/>
      <c r="AL118" s="140"/>
      <c r="AM118" s="140"/>
      <c r="AN118" s="140"/>
      <c r="AO118" s="140"/>
      <c r="AP118" s="140"/>
      <c r="AQ118" s="140"/>
      <c r="AR118" s="140"/>
      <c r="AS118" s="140"/>
      <c r="AT118" s="140" t="s">
        <v>376</v>
      </c>
      <c r="AU118" s="140" t="s">
        <v>376</v>
      </c>
      <c r="AV118" s="140" t="s">
        <v>376</v>
      </c>
      <c r="AW118" s="140" t="s">
        <v>376</v>
      </c>
      <c r="AX118" s="140" t="s">
        <v>376</v>
      </c>
      <c r="AY118" s="140" t="s">
        <v>376</v>
      </c>
      <c r="AZ118" s="140" t="s">
        <v>376</v>
      </c>
      <c r="BA118" s="140" t="s">
        <v>376</v>
      </c>
      <c r="BB118" s="140" t="s">
        <v>376</v>
      </c>
      <c r="BC118" s="140" t="s">
        <v>376</v>
      </c>
      <c r="BD118" s="140" t="s">
        <v>376</v>
      </c>
      <c r="BE118" s="140" t="s">
        <v>376</v>
      </c>
      <c r="BF118" s="140" t="s">
        <v>376</v>
      </c>
      <c r="BG118" s="140" t="s">
        <v>376</v>
      </c>
      <c r="BH118" s="140" t="s">
        <v>376</v>
      </c>
      <c r="BI118" s="140" t="s">
        <v>376</v>
      </c>
      <c r="BJ118" s="140" t="s">
        <v>376</v>
      </c>
      <c r="BK118" s="140" t="s">
        <v>376</v>
      </c>
      <c r="BL118" s="140" t="s">
        <v>376</v>
      </c>
      <c r="BM118" s="140" t="s">
        <v>376</v>
      </c>
      <c r="BN118" s="140" t="s">
        <v>376</v>
      </c>
      <c r="BO118" s="140" t="s">
        <v>376</v>
      </c>
      <c r="BP118" s="140" t="s">
        <v>376</v>
      </c>
      <c r="BQ118" s="140" t="s">
        <v>376</v>
      </c>
      <c r="BR118" s="144" t="e">
        <f>IF(E118&lt;#REF!,1,0)</f>
        <v>#REF!</v>
      </c>
      <c r="BS118" s="142" t="s">
        <v>377</v>
      </c>
    </row>
    <row r="119" customHeight="1" spans="1:71">
      <c r="A119" s="127" t="s">
        <v>383</v>
      </c>
      <c r="B119" s="127" t="s">
        <v>27</v>
      </c>
      <c r="C119" s="186"/>
      <c r="D119" s="178" t="s">
        <v>422</v>
      </c>
      <c r="E119" s="184">
        <v>34.5</v>
      </c>
      <c r="F119" s="130">
        <v>49.99</v>
      </c>
      <c r="G119" s="133">
        <f t="shared" si="106"/>
        <v>49.99</v>
      </c>
      <c r="H119" s="133">
        <f t="shared" si="107"/>
        <v>41.6583333333333</v>
      </c>
      <c r="I119" s="133">
        <f t="shared" si="108"/>
        <v>10.245552359882</v>
      </c>
      <c r="J119" s="134">
        <f t="shared" si="109"/>
        <v>0.296972532170493</v>
      </c>
      <c r="K119" s="131">
        <f t="shared" si="110"/>
        <v>41.6583333333333</v>
      </c>
      <c r="L119" s="174">
        <f t="shared" si="111"/>
        <v>0.171834366873375</v>
      </c>
      <c r="M119" s="133">
        <f t="shared" si="112"/>
        <v>7.15833333333334</v>
      </c>
      <c r="N119" s="131">
        <f t="shared" si="125"/>
        <v>125.044247787611</v>
      </c>
      <c r="O119" s="131">
        <f t="shared" si="113"/>
        <v>0.585416666666667</v>
      </c>
      <c r="P119" s="127">
        <v>24</v>
      </c>
      <c r="Q119" s="136">
        <v>8</v>
      </c>
      <c r="R119" s="137">
        <f t="shared" si="114"/>
        <v>0</v>
      </c>
      <c r="S119" s="134">
        <f t="shared" si="115"/>
        <v>0</v>
      </c>
      <c r="T119" s="137">
        <f t="shared" si="116"/>
        <v>0</v>
      </c>
      <c r="U119" s="137">
        <v>0.01</v>
      </c>
      <c r="V119" s="137">
        <f t="shared" si="117"/>
        <v>0.453058868795691</v>
      </c>
      <c r="W119" s="137">
        <f t="shared" si="118"/>
        <v>0.0169685990338164</v>
      </c>
      <c r="X119" s="135">
        <v>0.223</v>
      </c>
      <c r="Y119" s="138">
        <v>0</v>
      </c>
      <c r="Z119" s="138">
        <f>F119*0</f>
        <v>0</v>
      </c>
      <c r="AA119" s="138">
        <f t="shared" si="119"/>
        <v>0.345</v>
      </c>
      <c r="AB119" s="131">
        <f t="shared" si="120"/>
        <v>7.6935</v>
      </c>
      <c r="AC119" s="131">
        <v>130</v>
      </c>
      <c r="AD119" s="139">
        <f t="shared" si="121"/>
        <v>115.044247787611</v>
      </c>
      <c r="AE119" s="136">
        <f t="shared" si="126"/>
        <v>1.25</v>
      </c>
      <c r="AF119" s="137">
        <f t="shared" si="122"/>
        <v>0.41682698473772</v>
      </c>
      <c r="AG119" s="137">
        <f t="shared" si="123"/>
        <v>0.00452898550724638</v>
      </c>
      <c r="AH119" s="136">
        <v>10</v>
      </c>
      <c r="AI119" s="137">
        <f t="shared" si="124"/>
        <v>0.356515303060612</v>
      </c>
      <c r="AJ119" s="140"/>
      <c r="AK119" s="140"/>
      <c r="AL119" s="140"/>
      <c r="AM119" s="140"/>
      <c r="AN119" s="140"/>
      <c r="AO119" s="140"/>
      <c r="AP119" s="140"/>
      <c r="AQ119" s="140"/>
      <c r="AR119" s="140"/>
      <c r="AS119" s="140"/>
      <c r="AT119" s="140" t="s">
        <v>376</v>
      </c>
      <c r="AU119" s="140" t="s">
        <v>376</v>
      </c>
      <c r="AV119" s="140" t="s">
        <v>376</v>
      </c>
      <c r="AW119" s="140" t="s">
        <v>376</v>
      </c>
      <c r="AX119" s="140" t="s">
        <v>376</v>
      </c>
      <c r="AY119" s="140" t="s">
        <v>376</v>
      </c>
      <c r="AZ119" s="140" t="s">
        <v>376</v>
      </c>
      <c r="BA119" s="140" t="s">
        <v>376</v>
      </c>
      <c r="BB119" s="140" t="s">
        <v>376</v>
      </c>
      <c r="BC119" s="140" t="s">
        <v>376</v>
      </c>
      <c r="BD119" s="140" t="s">
        <v>376</v>
      </c>
      <c r="BE119" s="140" t="s">
        <v>376</v>
      </c>
      <c r="BF119" s="140" t="s">
        <v>376</v>
      </c>
      <c r="BG119" s="140" t="s">
        <v>376</v>
      </c>
      <c r="BH119" s="140" t="s">
        <v>376</v>
      </c>
      <c r="BI119" s="140" t="s">
        <v>376</v>
      </c>
      <c r="BJ119" s="140" t="s">
        <v>376</v>
      </c>
      <c r="BK119" s="140" t="s">
        <v>376</v>
      </c>
      <c r="BL119" s="140" t="s">
        <v>376</v>
      </c>
      <c r="BM119" s="140" t="s">
        <v>376</v>
      </c>
      <c r="BN119" s="140" t="s">
        <v>376</v>
      </c>
      <c r="BO119" s="140" t="s">
        <v>376</v>
      </c>
      <c r="BP119" s="140" t="s">
        <v>376</v>
      </c>
      <c r="BQ119" s="140" t="s">
        <v>376</v>
      </c>
      <c r="BR119" s="144" t="e">
        <f>IF(E119&lt;#REF!,1,0)</f>
        <v>#REF!</v>
      </c>
      <c r="BS119" s="142" t="s">
        <v>377</v>
      </c>
    </row>
    <row r="120" customHeight="1" spans="1:71">
      <c r="A120" s="127" t="s">
        <v>385</v>
      </c>
      <c r="B120" s="127" t="s">
        <v>27</v>
      </c>
      <c r="C120" s="186"/>
      <c r="D120" s="178" t="s">
        <v>423</v>
      </c>
      <c r="E120" s="184">
        <v>34.5</v>
      </c>
      <c r="F120" s="130">
        <v>49.99</v>
      </c>
      <c r="G120" s="133">
        <f t="shared" si="106"/>
        <v>49.99</v>
      </c>
      <c r="H120" s="133">
        <f t="shared" si="107"/>
        <v>41.6583333333333</v>
      </c>
      <c r="I120" s="133">
        <f t="shared" si="108"/>
        <v>10.070552359882</v>
      </c>
      <c r="J120" s="134">
        <f t="shared" si="109"/>
        <v>0.291900068402377</v>
      </c>
      <c r="K120" s="131">
        <f t="shared" si="110"/>
        <v>41.6583333333333</v>
      </c>
      <c r="L120" s="174">
        <f t="shared" si="111"/>
        <v>0.171834366873375</v>
      </c>
      <c r="M120" s="133">
        <f t="shared" si="112"/>
        <v>7.15833333333334</v>
      </c>
      <c r="N120" s="131">
        <f t="shared" si="125"/>
        <v>125.044247787611</v>
      </c>
      <c r="O120" s="131">
        <f t="shared" si="113"/>
        <v>0.760416666666667</v>
      </c>
      <c r="P120" s="127">
        <v>24</v>
      </c>
      <c r="Q120" s="136">
        <v>8</v>
      </c>
      <c r="R120" s="137">
        <f t="shared" si="114"/>
        <v>0</v>
      </c>
      <c r="S120" s="134">
        <f t="shared" si="115"/>
        <v>0</v>
      </c>
      <c r="T120" s="137">
        <f t="shared" si="116"/>
        <v>0</v>
      </c>
      <c r="U120" s="137">
        <v>0.01</v>
      </c>
      <c r="V120" s="137">
        <f t="shared" si="117"/>
        <v>0.453058868795691</v>
      </c>
      <c r="W120" s="137">
        <f t="shared" si="118"/>
        <v>0.0220410628019324</v>
      </c>
      <c r="X120" s="135">
        <v>0.223</v>
      </c>
      <c r="Y120" s="138">
        <v>0</v>
      </c>
      <c r="Z120" s="138">
        <f>F120*0</f>
        <v>0</v>
      </c>
      <c r="AA120" s="138">
        <f t="shared" si="119"/>
        <v>0.345</v>
      </c>
      <c r="AB120" s="131">
        <f t="shared" si="120"/>
        <v>7.6935</v>
      </c>
      <c r="AC120" s="131">
        <v>130</v>
      </c>
      <c r="AD120" s="139">
        <f t="shared" si="121"/>
        <v>115.044247787611</v>
      </c>
      <c r="AE120" s="136">
        <f t="shared" si="126"/>
        <v>1.25</v>
      </c>
      <c r="AF120" s="137">
        <f t="shared" si="122"/>
        <v>0.41682698473772</v>
      </c>
      <c r="AG120" s="137">
        <f t="shared" si="123"/>
        <v>0.00452898550724638</v>
      </c>
      <c r="AH120" s="136">
        <v>10</v>
      </c>
      <c r="AI120" s="137">
        <f t="shared" si="124"/>
        <v>0.356515303060612</v>
      </c>
      <c r="AJ120" s="140"/>
      <c r="AK120" s="140"/>
      <c r="AL120" s="140"/>
      <c r="AM120" s="140"/>
      <c r="AN120" s="140"/>
      <c r="AO120" s="140"/>
      <c r="AP120" s="140"/>
      <c r="AQ120" s="140"/>
      <c r="AR120" s="140"/>
      <c r="AS120" s="140"/>
      <c r="AT120" s="140" t="s">
        <v>376</v>
      </c>
      <c r="AU120" s="140" t="s">
        <v>376</v>
      </c>
      <c r="AV120" s="140" t="s">
        <v>376</v>
      </c>
      <c r="AW120" s="140" t="s">
        <v>376</v>
      </c>
      <c r="AX120" s="140" t="s">
        <v>376</v>
      </c>
      <c r="AY120" s="140" t="s">
        <v>376</v>
      </c>
      <c r="AZ120" s="140" t="s">
        <v>376</v>
      </c>
      <c r="BA120" s="140" t="s">
        <v>376</v>
      </c>
      <c r="BB120" s="140" t="s">
        <v>376</v>
      </c>
      <c r="BC120" s="140" t="s">
        <v>376</v>
      </c>
      <c r="BD120" s="140" t="s">
        <v>376</v>
      </c>
      <c r="BE120" s="140" t="s">
        <v>376</v>
      </c>
      <c r="BF120" s="140" t="s">
        <v>376</v>
      </c>
      <c r="BG120" s="140" t="s">
        <v>376</v>
      </c>
      <c r="BH120" s="140" t="s">
        <v>376</v>
      </c>
      <c r="BI120" s="140" t="s">
        <v>376</v>
      </c>
      <c r="BJ120" s="140" t="s">
        <v>376</v>
      </c>
      <c r="BK120" s="140" t="s">
        <v>376</v>
      </c>
      <c r="BL120" s="140" t="s">
        <v>376</v>
      </c>
      <c r="BM120" s="140" t="s">
        <v>376</v>
      </c>
      <c r="BN120" s="140" t="s">
        <v>376</v>
      </c>
      <c r="BO120" s="140" t="s">
        <v>376</v>
      </c>
      <c r="BP120" s="140" t="s">
        <v>376</v>
      </c>
      <c r="BQ120" s="140" t="s">
        <v>376</v>
      </c>
      <c r="BR120" s="144" t="e">
        <f>IF(E120&lt;#REF!,1,0)</f>
        <v>#REF!</v>
      </c>
      <c r="BS120" s="142" t="s">
        <v>377</v>
      </c>
    </row>
    <row r="121" customHeight="1" spans="1:71">
      <c r="A121" s="127" t="s">
        <v>387</v>
      </c>
      <c r="B121" s="127" t="s">
        <v>27</v>
      </c>
      <c r="C121" s="186"/>
      <c r="D121" s="178" t="s">
        <v>424</v>
      </c>
      <c r="E121" s="184">
        <v>34.5</v>
      </c>
      <c r="F121" s="130">
        <v>49.99</v>
      </c>
      <c r="G121" s="133">
        <f t="shared" si="106"/>
        <v>49.99</v>
      </c>
      <c r="H121" s="133">
        <f t="shared" si="107"/>
        <v>41.6583333333333</v>
      </c>
      <c r="I121" s="133">
        <f t="shared" si="108"/>
        <v>12.4797190265487</v>
      </c>
      <c r="J121" s="134">
        <f t="shared" si="109"/>
        <v>0.361730986276773</v>
      </c>
      <c r="K121" s="131">
        <f t="shared" si="110"/>
        <v>41.6583333333333</v>
      </c>
      <c r="L121" s="174">
        <f t="shared" si="111"/>
        <v>0.171834366873375</v>
      </c>
      <c r="M121" s="133">
        <f t="shared" si="112"/>
        <v>7.15833333333334</v>
      </c>
      <c r="N121" s="131">
        <f t="shared" si="125"/>
        <v>125.044247787611</v>
      </c>
      <c r="O121" s="131">
        <f t="shared" si="113"/>
        <v>0.59375</v>
      </c>
      <c r="P121" s="127">
        <v>24</v>
      </c>
      <c r="Q121" s="136">
        <v>8</v>
      </c>
      <c r="R121" s="137">
        <f t="shared" si="114"/>
        <v>0</v>
      </c>
      <c r="S121" s="134">
        <f t="shared" si="115"/>
        <v>0</v>
      </c>
      <c r="T121" s="137">
        <f t="shared" si="116"/>
        <v>0</v>
      </c>
      <c r="U121" s="137">
        <v>0.01</v>
      </c>
      <c r="V121" s="137">
        <f t="shared" si="117"/>
        <v>0.453058868795691</v>
      </c>
      <c r="W121" s="137">
        <f t="shared" si="118"/>
        <v>0.0172101449275362</v>
      </c>
      <c r="X121" s="135">
        <v>0.158</v>
      </c>
      <c r="Y121" s="138">
        <v>0</v>
      </c>
      <c r="Z121" s="138">
        <f>F121*0</f>
        <v>0</v>
      </c>
      <c r="AA121" s="138">
        <f t="shared" si="119"/>
        <v>0.345</v>
      </c>
      <c r="AB121" s="131">
        <f t="shared" si="120"/>
        <v>5.451</v>
      </c>
      <c r="AC121" s="131">
        <v>130</v>
      </c>
      <c r="AD121" s="139">
        <f t="shared" si="121"/>
        <v>115.044247787611</v>
      </c>
      <c r="AE121" s="136">
        <f t="shared" si="126"/>
        <v>1.25</v>
      </c>
      <c r="AF121" s="137">
        <f t="shared" si="122"/>
        <v>0.41682698473772</v>
      </c>
      <c r="AG121" s="137">
        <f t="shared" si="123"/>
        <v>0.00452898550724638</v>
      </c>
      <c r="AH121" s="136">
        <v>10</v>
      </c>
      <c r="AI121" s="137">
        <f t="shared" si="124"/>
        <v>0.302684536907382</v>
      </c>
      <c r="AJ121" s="137"/>
      <c r="AK121" s="137"/>
      <c r="AL121" s="137"/>
      <c r="AM121" s="137"/>
      <c r="AN121" s="140"/>
      <c r="AO121" s="140"/>
      <c r="AP121" s="140"/>
      <c r="AQ121" s="140"/>
      <c r="AR121" s="140"/>
      <c r="AS121" s="140"/>
      <c r="AT121" s="140" t="s">
        <v>376</v>
      </c>
      <c r="AU121" s="140" t="s">
        <v>376</v>
      </c>
      <c r="AV121" s="140" t="s">
        <v>376</v>
      </c>
      <c r="AW121" s="140" t="s">
        <v>376</v>
      </c>
      <c r="AX121" s="140" t="s">
        <v>376</v>
      </c>
      <c r="AY121" s="140" t="s">
        <v>376</v>
      </c>
      <c r="AZ121" s="140" t="s">
        <v>376</v>
      </c>
      <c r="BA121" s="140" t="s">
        <v>376</v>
      </c>
      <c r="BB121" s="140" t="s">
        <v>376</v>
      </c>
      <c r="BC121" s="140" t="s">
        <v>376</v>
      </c>
      <c r="BD121" s="140" t="s">
        <v>376</v>
      </c>
      <c r="BE121" s="140" t="s">
        <v>376</v>
      </c>
      <c r="BF121" s="140" t="s">
        <v>376</v>
      </c>
      <c r="BG121" s="140" t="s">
        <v>376</v>
      </c>
      <c r="BH121" s="140" t="s">
        <v>376</v>
      </c>
      <c r="BI121" s="140" t="s">
        <v>376</v>
      </c>
      <c r="BJ121" s="140" t="s">
        <v>376</v>
      </c>
      <c r="BK121" s="140" t="s">
        <v>376</v>
      </c>
      <c r="BL121" s="140" t="s">
        <v>376</v>
      </c>
      <c r="BM121" s="140" t="s">
        <v>376</v>
      </c>
      <c r="BN121" s="140" t="s">
        <v>376</v>
      </c>
      <c r="BO121" s="140" t="s">
        <v>376</v>
      </c>
      <c r="BP121" s="140" t="s">
        <v>376</v>
      </c>
      <c r="BQ121" s="140" t="s">
        <v>376</v>
      </c>
      <c r="BR121" s="144" t="e">
        <f>IF(E121&lt;#REF!,1,0)</f>
        <v>#REF!</v>
      </c>
      <c r="BS121" s="142" t="s">
        <v>377</v>
      </c>
    </row>
    <row r="122" customHeight="1" spans="1:71">
      <c r="A122" s="127"/>
      <c r="B122" s="127"/>
      <c r="C122" s="127"/>
      <c r="D122" s="185"/>
      <c r="E122" s="131"/>
      <c r="F122" s="143"/>
      <c r="G122" s="133"/>
      <c r="H122" s="133"/>
      <c r="I122" s="133"/>
      <c r="J122" s="134"/>
      <c r="K122" s="131"/>
      <c r="L122" s="174"/>
      <c r="M122" s="133"/>
      <c r="N122" s="131"/>
      <c r="O122" s="131"/>
      <c r="P122" s="142"/>
      <c r="Q122" s="136"/>
      <c r="R122" s="137"/>
      <c r="S122" s="134"/>
      <c r="T122" s="137"/>
      <c r="U122" s="137"/>
      <c r="V122" s="137"/>
      <c r="W122" s="137"/>
      <c r="X122" s="135"/>
      <c r="Y122" s="138"/>
      <c r="Z122" s="138"/>
      <c r="AA122" s="138"/>
      <c r="AB122" s="131"/>
      <c r="AC122" s="131"/>
      <c r="AD122" s="139"/>
      <c r="AE122" s="136"/>
      <c r="AF122" s="137"/>
      <c r="AG122" s="137"/>
      <c r="AH122" s="136"/>
      <c r="AI122" s="137"/>
      <c r="AJ122" s="137"/>
      <c r="AK122" s="137"/>
      <c r="AL122" s="137"/>
      <c r="AM122" s="137"/>
      <c r="AN122" s="140"/>
      <c r="AO122" s="140"/>
      <c r="AP122" s="140"/>
      <c r="AQ122" s="140"/>
      <c r="AR122" s="140"/>
      <c r="AS122" s="140"/>
      <c r="AT122" s="140"/>
      <c r="AU122" s="140"/>
      <c r="AV122" s="140"/>
      <c r="AW122" s="140"/>
      <c r="AX122" s="140"/>
      <c r="AY122" s="140"/>
      <c r="AZ122" s="140"/>
      <c r="BA122" s="140"/>
      <c r="BB122" s="140"/>
      <c r="BC122" s="140"/>
      <c r="BD122" s="140"/>
      <c r="BE122" s="140"/>
      <c r="BF122" s="140"/>
      <c r="BG122" s="140"/>
      <c r="BH122" s="140"/>
      <c r="BI122" s="140"/>
      <c r="BJ122" s="140"/>
      <c r="BK122" s="140"/>
      <c r="BL122" s="140"/>
      <c r="BM122" s="140"/>
      <c r="BN122" s="140"/>
      <c r="BO122" s="140"/>
      <c r="BP122" s="140"/>
      <c r="BQ122" s="140"/>
      <c r="BR122" s="144"/>
      <c r="BS122" s="142"/>
    </row>
    <row r="123" customHeight="1" spans="1:71">
      <c r="A123" s="127" t="s">
        <v>280</v>
      </c>
      <c r="B123" s="127" t="s">
        <v>27</v>
      </c>
      <c r="C123" s="180"/>
      <c r="D123" s="172" t="s">
        <v>425</v>
      </c>
      <c r="E123" s="184">
        <v>11.75</v>
      </c>
      <c r="F123" s="130">
        <v>16.99</v>
      </c>
      <c r="G123" s="133">
        <f t="shared" ref="G123:G138" si="127">(F123-Z123)</f>
        <v>16.99</v>
      </c>
      <c r="H123" s="133">
        <f t="shared" ref="H123:H138" si="128">(F123-Z123)/1.2</f>
        <v>14.1583333333333</v>
      </c>
      <c r="I123" s="133">
        <f t="shared" ref="I123:I138" si="129">E123-N123/Q123-AB123-Y123-O123-Z123-AA123</f>
        <v>3.34991261061947</v>
      </c>
      <c r="J123" s="134">
        <f t="shared" ref="J123:J138" si="130">I123/E123</f>
        <v>0.285098945584636</v>
      </c>
      <c r="K123" s="131">
        <f t="shared" ref="K123:K138" si="131">F123/1.2</f>
        <v>14.1583333333333</v>
      </c>
      <c r="L123" s="174">
        <f t="shared" ref="L123:L138" si="132">(K123-E123)/K123</f>
        <v>0.170100058858152</v>
      </c>
      <c r="M123" s="133">
        <f t="shared" ref="M123:M138" si="133">F123/1.2-E123</f>
        <v>2.40833333333333</v>
      </c>
      <c r="N123" s="131">
        <f>AD123+AH124</f>
        <v>30.0176991150442</v>
      </c>
      <c r="O123" s="131">
        <f t="shared" ref="O123:O138" si="134">IFERROR(IF(A123="UK",8.95/P123,IF(A123="DE",7.75/P123,IF(A123="FR",14.25/P123,IF(A123="IT",15.25/P123,IF(A123="ES",19.25/P123,IF(A123="NL",16.75/P123,IF(A123="PL",14.05/P123,IF(A123="SE",18.25/P123,IF(A123="BE",14.25/P123))))))))),0)</f>
        <v>0.03875</v>
      </c>
      <c r="P123" s="142">
        <v>200</v>
      </c>
      <c r="Q123" s="136">
        <v>8</v>
      </c>
      <c r="R123" s="137">
        <f t="shared" ref="R123:R138" si="135">Y123/E123</f>
        <v>0.212765957446809</v>
      </c>
      <c r="S123" s="134">
        <f t="shared" ref="S123:S138" si="136">Y123/F123</f>
        <v>0.147145379635079</v>
      </c>
      <c r="T123" s="137">
        <f t="shared" ref="T123:T138" si="137">Z123/E123</f>
        <v>0</v>
      </c>
      <c r="U123" s="137">
        <v>0.01</v>
      </c>
      <c r="V123" s="137">
        <f t="shared" ref="V123:V138" si="138">N123/(E123*Q123)</f>
        <v>0.31933722462813</v>
      </c>
      <c r="W123" s="137">
        <f t="shared" ref="W123:W138" si="139">O123/E123</f>
        <v>0.00329787234042553</v>
      </c>
      <c r="X123" s="135">
        <v>0.1695</v>
      </c>
      <c r="Y123" s="138">
        <v>2.5</v>
      </c>
      <c r="Z123" s="138">
        <v>0</v>
      </c>
      <c r="AA123" s="138">
        <f t="shared" ref="AA123:AA138" si="140">E123*U123</f>
        <v>0.1175</v>
      </c>
      <c r="AB123" s="131">
        <f t="shared" ref="AB123:AB138" si="141">E123*X123</f>
        <v>1.991625</v>
      </c>
      <c r="AC123" s="131">
        <v>29.4</v>
      </c>
      <c r="AD123" s="139">
        <f t="shared" ref="AD123:AD138" si="142">AC123/1.13</f>
        <v>26.0176991150442</v>
      </c>
      <c r="AE123" s="136">
        <f>AH124/Q123</f>
        <v>0.5</v>
      </c>
      <c r="AF123" s="137">
        <f t="shared" ref="AF123:AF138" si="143">AD123/(E123*Q123)</f>
        <v>0.276784033138769</v>
      </c>
      <c r="AG123" s="137">
        <f t="shared" ref="AG123:AG138" si="144">AE123/Q123/E123</f>
        <v>0.00531914893617021</v>
      </c>
      <c r="AH123" s="136">
        <v>4</v>
      </c>
      <c r="AI123" s="137">
        <f>(H123-E123+AB123)/H123</f>
        <v>0.310768098881695</v>
      </c>
      <c r="AJ123" s="137"/>
      <c r="AK123" s="137"/>
      <c r="AL123" s="137"/>
      <c r="AM123" s="137"/>
      <c r="AN123" s="140"/>
      <c r="AO123" s="140"/>
      <c r="AP123" s="140"/>
      <c r="AQ123" s="140"/>
      <c r="AR123" s="140"/>
      <c r="AS123" s="140"/>
      <c r="AT123" s="140" t="s">
        <v>376</v>
      </c>
      <c r="AU123" s="140" t="s">
        <v>376</v>
      </c>
      <c r="AV123" s="140" t="s">
        <v>376</v>
      </c>
      <c r="AW123" s="140" t="s">
        <v>376</v>
      </c>
      <c r="AX123" s="140" t="s">
        <v>376</v>
      </c>
      <c r="AY123" s="140" t="s">
        <v>376</v>
      </c>
      <c r="AZ123" s="140" t="s">
        <v>376</v>
      </c>
      <c r="BA123" s="140" t="s">
        <v>376</v>
      </c>
      <c r="BB123" s="140" t="s">
        <v>376</v>
      </c>
      <c r="BC123" s="140" t="s">
        <v>376</v>
      </c>
      <c r="BD123" s="140" t="s">
        <v>376</v>
      </c>
      <c r="BE123" s="140" t="s">
        <v>376</v>
      </c>
      <c r="BF123" s="140" t="s">
        <v>376</v>
      </c>
      <c r="BG123" s="140" t="s">
        <v>376</v>
      </c>
      <c r="BH123" s="140" t="s">
        <v>376</v>
      </c>
      <c r="BI123" s="140" t="s">
        <v>376</v>
      </c>
      <c r="BJ123" s="140" t="s">
        <v>376</v>
      </c>
      <c r="BK123" s="140" t="s">
        <v>376</v>
      </c>
      <c r="BL123" s="140" t="s">
        <v>376</v>
      </c>
      <c r="BM123" s="140" t="s">
        <v>376</v>
      </c>
      <c r="BN123" s="140" t="s">
        <v>376</v>
      </c>
      <c r="BO123" s="140" t="s">
        <v>376</v>
      </c>
      <c r="BP123" s="140" t="s">
        <v>376</v>
      </c>
      <c r="BQ123" s="140" t="s">
        <v>376</v>
      </c>
      <c r="BR123" s="175"/>
      <c r="BS123" s="142" t="s">
        <v>377</v>
      </c>
    </row>
    <row r="124" customHeight="1" spans="1:71">
      <c r="A124" s="127" t="s">
        <v>280</v>
      </c>
      <c r="B124" s="127" t="s">
        <v>27</v>
      </c>
      <c r="C124" s="186"/>
      <c r="D124" s="172" t="s">
        <v>426</v>
      </c>
      <c r="E124" s="184">
        <v>11.75</v>
      </c>
      <c r="F124" s="130">
        <v>16.99</v>
      </c>
      <c r="G124" s="133">
        <f t="shared" si="127"/>
        <v>15.291</v>
      </c>
      <c r="H124" s="133">
        <f t="shared" si="128"/>
        <v>12.7425</v>
      </c>
      <c r="I124" s="176">
        <f t="shared" si="129"/>
        <v>1.65091261061947</v>
      </c>
      <c r="J124" s="134">
        <f t="shared" si="130"/>
        <v>0.140503200903785</v>
      </c>
      <c r="K124" s="131">
        <f t="shared" si="131"/>
        <v>14.1583333333333</v>
      </c>
      <c r="L124" s="174">
        <f t="shared" si="132"/>
        <v>0.170100058858152</v>
      </c>
      <c r="M124" s="133">
        <f t="shared" si="133"/>
        <v>2.40833333333333</v>
      </c>
      <c r="N124" s="131">
        <f t="shared" ref="N124:N138" si="145">AD124+AH124</f>
        <v>30.0176991150442</v>
      </c>
      <c r="O124" s="131">
        <f t="shared" si="134"/>
        <v>0.03875</v>
      </c>
      <c r="P124" s="127">
        <v>200</v>
      </c>
      <c r="Q124" s="136">
        <v>8</v>
      </c>
      <c r="R124" s="137">
        <f t="shared" si="135"/>
        <v>0.212765957446809</v>
      </c>
      <c r="S124" s="134">
        <f t="shared" si="136"/>
        <v>0.147145379635079</v>
      </c>
      <c r="T124" s="137">
        <f t="shared" si="137"/>
        <v>0.144595744680851</v>
      </c>
      <c r="U124" s="137">
        <v>0.01</v>
      </c>
      <c r="V124" s="137">
        <f t="shared" si="138"/>
        <v>0.31933722462813</v>
      </c>
      <c r="W124" s="137">
        <f t="shared" si="139"/>
        <v>0.00329787234042553</v>
      </c>
      <c r="X124" s="135">
        <v>0.1695</v>
      </c>
      <c r="Y124" s="138">
        <v>2.5</v>
      </c>
      <c r="Z124" s="138">
        <f>F124*0.1</f>
        <v>1.699</v>
      </c>
      <c r="AA124" s="138">
        <f t="shared" si="140"/>
        <v>0.1175</v>
      </c>
      <c r="AB124" s="131">
        <f t="shared" si="141"/>
        <v>1.991625</v>
      </c>
      <c r="AC124" s="131">
        <v>29.4</v>
      </c>
      <c r="AD124" s="139">
        <f t="shared" si="142"/>
        <v>26.0176991150442</v>
      </c>
      <c r="AE124" s="136">
        <f t="shared" ref="AE124:AE138" si="146">AH124/Q124</f>
        <v>0.5</v>
      </c>
      <c r="AF124" s="137">
        <f t="shared" si="143"/>
        <v>0.276784033138769</v>
      </c>
      <c r="AG124" s="137">
        <f t="shared" si="144"/>
        <v>0.00531914893617021</v>
      </c>
      <c r="AH124" s="136">
        <v>4</v>
      </c>
      <c r="AI124" s="137">
        <f>(H124-E124+AB124)/H124</f>
        <v>0.234186776535217</v>
      </c>
      <c r="AJ124" s="137"/>
      <c r="AK124" s="137"/>
      <c r="AL124" s="137"/>
      <c r="AM124" s="137"/>
      <c r="AN124" s="140"/>
      <c r="AO124" s="140"/>
      <c r="AP124" s="140"/>
      <c r="AQ124" s="140"/>
      <c r="AR124" s="140"/>
      <c r="AS124" s="140"/>
      <c r="AT124" s="140" t="s">
        <v>376</v>
      </c>
      <c r="AU124" s="140" t="s">
        <v>376</v>
      </c>
      <c r="AV124" s="140" t="s">
        <v>376</v>
      </c>
      <c r="AW124" s="140" t="s">
        <v>376</v>
      </c>
      <c r="AX124" s="140" t="s">
        <v>376</v>
      </c>
      <c r="AY124" s="140" t="s">
        <v>376</v>
      </c>
      <c r="AZ124" s="140" t="s">
        <v>376</v>
      </c>
      <c r="BA124" s="140" t="s">
        <v>376</v>
      </c>
      <c r="BB124" s="140" t="s">
        <v>376</v>
      </c>
      <c r="BC124" s="140" t="s">
        <v>376</v>
      </c>
      <c r="BD124" s="140" t="s">
        <v>376</v>
      </c>
      <c r="BE124" s="140" t="s">
        <v>376</v>
      </c>
      <c r="BF124" s="140" t="s">
        <v>376</v>
      </c>
      <c r="BG124" s="140" t="s">
        <v>376</v>
      </c>
      <c r="BH124" s="140" t="s">
        <v>376</v>
      </c>
      <c r="BI124" s="140" t="s">
        <v>376</v>
      </c>
      <c r="BJ124" s="140" t="s">
        <v>376</v>
      </c>
      <c r="BK124" s="140" t="s">
        <v>376</v>
      </c>
      <c r="BL124" s="140" t="s">
        <v>376</v>
      </c>
      <c r="BM124" s="140" t="s">
        <v>376</v>
      </c>
      <c r="BN124" s="140" t="s">
        <v>376</v>
      </c>
      <c r="BO124" s="140" t="s">
        <v>376</v>
      </c>
      <c r="BP124" s="140" t="s">
        <v>376</v>
      </c>
      <c r="BQ124" s="140" t="s">
        <v>376</v>
      </c>
      <c r="BR124" s="175"/>
      <c r="BS124" s="142" t="s">
        <v>377</v>
      </c>
    </row>
    <row r="125" customHeight="1" spans="1:71">
      <c r="A125" s="127" t="s">
        <v>280</v>
      </c>
      <c r="B125" s="127" t="s">
        <v>27</v>
      </c>
      <c r="C125" s="186"/>
      <c r="D125" s="172" t="s">
        <v>427</v>
      </c>
      <c r="E125" s="184">
        <v>11.75</v>
      </c>
      <c r="F125" s="130">
        <v>16.99</v>
      </c>
      <c r="G125" s="133">
        <f t="shared" si="127"/>
        <v>14.4415</v>
      </c>
      <c r="H125" s="133">
        <f t="shared" si="128"/>
        <v>12.0345833333333</v>
      </c>
      <c r="I125" s="133">
        <f t="shared" si="129"/>
        <v>0.801412610619469</v>
      </c>
      <c r="J125" s="134">
        <f t="shared" si="130"/>
        <v>0.068205328563359</v>
      </c>
      <c r="K125" s="131">
        <f t="shared" si="131"/>
        <v>14.1583333333333</v>
      </c>
      <c r="L125" s="174">
        <f t="shared" si="132"/>
        <v>0.170100058858152</v>
      </c>
      <c r="M125" s="133">
        <f t="shared" si="133"/>
        <v>2.40833333333333</v>
      </c>
      <c r="N125" s="131">
        <f t="shared" si="145"/>
        <v>30.0176991150442</v>
      </c>
      <c r="O125" s="131">
        <f t="shared" si="134"/>
        <v>0.03875</v>
      </c>
      <c r="P125" s="127">
        <v>200</v>
      </c>
      <c r="Q125" s="136">
        <v>8</v>
      </c>
      <c r="R125" s="137">
        <f t="shared" si="135"/>
        <v>0.212765957446809</v>
      </c>
      <c r="S125" s="134">
        <f t="shared" si="136"/>
        <v>0.147145379635079</v>
      </c>
      <c r="T125" s="137">
        <f t="shared" si="137"/>
        <v>0.216893617021277</v>
      </c>
      <c r="U125" s="137">
        <v>0.01</v>
      </c>
      <c r="V125" s="137">
        <f t="shared" si="138"/>
        <v>0.31933722462813</v>
      </c>
      <c r="W125" s="137">
        <f t="shared" si="139"/>
        <v>0.00329787234042553</v>
      </c>
      <c r="X125" s="135">
        <v>0.1695</v>
      </c>
      <c r="Y125" s="138">
        <v>2.5</v>
      </c>
      <c r="Z125" s="138">
        <f>F125*0.15</f>
        <v>2.5485</v>
      </c>
      <c r="AA125" s="138">
        <f t="shared" si="140"/>
        <v>0.1175</v>
      </c>
      <c r="AB125" s="131">
        <f t="shared" si="141"/>
        <v>1.991625</v>
      </c>
      <c r="AC125" s="131">
        <v>29.4</v>
      </c>
      <c r="AD125" s="139">
        <f t="shared" si="142"/>
        <v>26.0176991150442</v>
      </c>
      <c r="AE125" s="136">
        <f t="shared" si="146"/>
        <v>0.5</v>
      </c>
      <c r="AF125" s="137">
        <f t="shared" si="143"/>
        <v>0.276784033138769</v>
      </c>
      <c r="AG125" s="137">
        <f t="shared" si="144"/>
        <v>0.00531914893617021</v>
      </c>
      <c r="AH125" s="136">
        <v>4</v>
      </c>
      <c r="AI125" s="137">
        <f>(H125-E125+AB125)/H125</f>
        <v>0.189138939860818</v>
      </c>
      <c r="AJ125" s="137"/>
      <c r="AK125" s="137"/>
      <c r="AL125" s="137"/>
      <c r="AM125" s="137"/>
      <c r="AN125" s="140"/>
      <c r="AO125" s="140"/>
      <c r="AP125" s="140"/>
      <c r="AQ125" s="140"/>
      <c r="AR125" s="140"/>
      <c r="AS125" s="140"/>
      <c r="AT125" s="140" t="s">
        <v>376</v>
      </c>
      <c r="AU125" s="140" t="s">
        <v>376</v>
      </c>
      <c r="AV125" s="140" t="s">
        <v>376</v>
      </c>
      <c r="AW125" s="140" t="s">
        <v>376</v>
      </c>
      <c r="AX125" s="140" t="s">
        <v>376</v>
      </c>
      <c r="AY125" s="140" t="s">
        <v>376</v>
      </c>
      <c r="AZ125" s="140" t="s">
        <v>376</v>
      </c>
      <c r="BA125" s="140" t="s">
        <v>376</v>
      </c>
      <c r="BB125" s="140" t="s">
        <v>376</v>
      </c>
      <c r="BC125" s="140" t="s">
        <v>376</v>
      </c>
      <c r="BD125" s="140" t="s">
        <v>376</v>
      </c>
      <c r="BE125" s="140" t="s">
        <v>376</v>
      </c>
      <c r="BF125" s="140" t="s">
        <v>376</v>
      </c>
      <c r="BG125" s="140" t="s">
        <v>376</v>
      </c>
      <c r="BH125" s="140" t="s">
        <v>376</v>
      </c>
      <c r="BI125" s="140" t="s">
        <v>376</v>
      </c>
      <c r="BJ125" s="140" t="s">
        <v>376</v>
      </c>
      <c r="BK125" s="140" t="s">
        <v>376</v>
      </c>
      <c r="BL125" s="140" t="s">
        <v>376</v>
      </c>
      <c r="BM125" s="140" t="s">
        <v>376</v>
      </c>
      <c r="BN125" s="140" t="s">
        <v>376</v>
      </c>
      <c r="BO125" s="140" t="s">
        <v>376</v>
      </c>
      <c r="BP125" s="140" t="s">
        <v>376</v>
      </c>
      <c r="BQ125" s="140" t="s">
        <v>376</v>
      </c>
      <c r="BR125" s="175"/>
      <c r="BS125" s="142" t="s">
        <v>377</v>
      </c>
    </row>
    <row r="126" customHeight="1" spans="1:71">
      <c r="A126" s="127" t="s">
        <v>285</v>
      </c>
      <c r="B126" s="127" t="s">
        <v>27</v>
      </c>
      <c r="C126" s="186"/>
      <c r="D126" s="172" t="s">
        <v>425</v>
      </c>
      <c r="E126" s="184">
        <v>11.75</v>
      </c>
      <c r="F126" s="130">
        <v>16.99</v>
      </c>
      <c r="G126" s="133">
        <f t="shared" si="127"/>
        <v>16.99</v>
      </c>
      <c r="H126" s="133">
        <f t="shared" si="128"/>
        <v>14.1583333333333</v>
      </c>
      <c r="I126" s="133">
        <f t="shared" si="129"/>
        <v>2.98253761061947</v>
      </c>
      <c r="J126" s="134">
        <f t="shared" si="130"/>
        <v>0.253832988137827</v>
      </c>
      <c r="K126" s="131">
        <f t="shared" si="131"/>
        <v>14.1583333333333</v>
      </c>
      <c r="L126" s="174">
        <f t="shared" si="132"/>
        <v>0.170100058858152</v>
      </c>
      <c r="M126" s="133">
        <f t="shared" si="133"/>
        <v>2.40833333333333</v>
      </c>
      <c r="N126" s="131">
        <f t="shared" si="145"/>
        <v>30.0176991150442</v>
      </c>
      <c r="O126" s="131">
        <f t="shared" si="134"/>
        <v>0.07125</v>
      </c>
      <c r="P126" s="127">
        <v>200</v>
      </c>
      <c r="Q126" s="136">
        <v>8</v>
      </c>
      <c r="R126" s="137">
        <f t="shared" si="135"/>
        <v>0.212765957446809</v>
      </c>
      <c r="S126" s="134">
        <f t="shared" si="136"/>
        <v>0.147145379635079</v>
      </c>
      <c r="T126" s="137">
        <f t="shared" si="137"/>
        <v>0</v>
      </c>
      <c r="U126" s="137">
        <v>0.01</v>
      </c>
      <c r="V126" s="137">
        <f t="shared" si="138"/>
        <v>0.31933722462813</v>
      </c>
      <c r="W126" s="137">
        <f t="shared" si="139"/>
        <v>0.00606382978723404</v>
      </c>
      <c r="X126" s="135">
        <v>0.198</v>
      </c>
      <c r="Y126" s="138">
        <v>2.5</v>
      </c>
      <c r="Z126" s="138">
        <v>0</v>
      </c>
      <c r="AA126" s="138">
        <f t="shared" si="140"/>
        <v>0.1175</v>
      </c>
      <c r="AB126" s="131">
        <f t="shared" si="141"/>
        <v>2.3265</v>
      </c>
      <c r="AC126" s="131">
        <v>29.4</v>
      </c>
      <c r="AD126" s="139">
        <f t="shared" si="142"/>
        <v>26.0176991150442</v>
      </c>
      <c r="AE126" s="136">
        <f t="shared" si="146"/>
        <v>0.5</v>
      </c>
      <c r="AF126" s="137">
        <f t="shared" si="143"/>
        <v>0.276784033138769</v>
      </c>
      <c r="AG126" s="137">
        <f t="shared" si="144"/>
        <v>0.00531914893617021</v>
      </c>
      <c r="AH126" s="136">
        <v>4</v>
      </c>
      <c r="AI126" s="137">
        <f>(H126-E126+AB126)/H126</f>
        <v>0.334420247204238</v>
      </c>
      <c r="AJ126" s="137"/>
      <c r="AK126" s="137"/>
      <c r="AL126" s="137"/>
      <c r="AM126" s="137"/>
      <c r="AN126" s="140"/>
      <c r="AO126" s="140"/>
      <c r="AP126" s="140"/>
      <c r="AQ126" s="140"/>
      <c r="AR126" s="140"/>
      <c r="AS126" s="140"/>
      <c r="AT126" s="140" t="s">
        <v>376</v>
      </c>
      <c r="AU126" s="140" t="s">
        <v>376</v>
      </c>
      <c r="AV126" s="140" t="s">
        <v>376</v>
      </c>
      <c r="AW126" s="140" t="s">
        <v>376</v>
      </c>
      <c r="AX126" s="140" t="s">
        <v>376</v>
      </c>
      <c r="AY126" s="140" t="s">
        <v>376</v>
      </c>
      <c r="AZ126" s="140" t="s">
        <v>376</v>
      </c>
      <c r="BA126" s="140" t="s">
        <v>376</v>
      </c>
      <c r="BB126" s="140" t="s">
        <v>376</v>
      </c>
      <c r="BC126" s="140" t="s">
        <v>376</v>
      </c>
      <c r="BD126" s="140" t="s">
        <v>376</v>
      </c>
      <c r="BE126" s="140" t="s">
        <v>376</v>
      </c>
      <c r="BF126" s="140" t="s">
        <v>376</v>
      </c>
      <c r="BG126" s="140" t="s">
        <v>376</v>
      </c>
      <c r="BH126" s="140" t="s">
        <v>376</v>
      </c>
      <c r="BI126" s="140" t="s">
        <v>376</v>
      </c>
      <c r="BJ126" s="140" t="s">
        <v>376</v>
      </c>
      <c r="BK126" s="140" t="s">
        <v>376</v>
      </c>
      <c r="BL126" s="140" t="s">
        <v>376</v>
      </c>
      <c r="BM126" s="140" t="s">
        <v>376</v>
      </c>
      <c r="BN126" s="140" t="s">
        <v>376</v>
      </c>
      <c r="BO126" s="140" t="s">
        <v>376</v>
      </c>
      <c r="BP126" s="140" t="s">
        <v>376</v>
      </c>
      <c r="BQ126" s="140" t="s">
        <v>376</v>
      </c>
      <c r="BR126" s="175"/>
      <c r="BS126" s="142" t="s">
        <v>377</v>
      </c>
    </row>
    <row r="127" customHeight="1" spans="1:71">
      <c r="A127" s="127" t="s">
        <v>285</v>
      </c>
      <c r="B127" s="127" t="s">
        <v>27</v>
      </c>
      <c r="C127" s="186"/>
      <c r="D127" s="172" t="s">
        <v>426</v>
      </c>
      <c r="E127" s="184">
        <v>11.75</v>
      </c>
      <c r="F127" s="130">
        <v>16.99</v>
      </c>
      <c r="G127" s="133">
        <f t="shared" si="127"/>
        <v>15.291</v>
      </c>
      <c r="H127" s="133">
        <f t="shared" si="128"/>
        <v>12.7425</v>
      </c>
      <c r="I127" s="176">
        <f t="shared" si="129"/>
        <v>1.28353761061947</v>
      </c>
      <c r="J127" s="134">
        <f t="shared" si="130"/>
        <v>0.109237243456976</v>
      </c>
      <c r="K127" s="131">
        <f t="shared" si="131"/>
        <v>14.1583333333333</v>
      </c>
      <c r="L127" s="174">
        <f t="shared" si="132"/>
        <v>0.170100058858152</v>
      </c>
      <c r="M127" s="133">
        <f t="shared" si="133"/>
        <v>2.40833333333333</v>
      </c>
      <c r="N127" s="131">
        <f t="shared" si="145"/>
        <v>30.0176991150442</v>
      </c>
      <c r="O127" s="131">
        <f t="shared" si="134"/>
        <v>0.07125</v>
      </c>
      <c r="P127" s="127">
        <v>200</v>
      </c>
      <c r="Q127" s="136">
        <v>8</v>
      </c>
      <c r="R127" s="137">
        <f t="shared" si="135"/>
        <v>0.212765957446809</v>
      </c>
      <c r="S127" s="134">
        <f t="shared" si="136"/>
        <v>0.147145379635079</v>
      </c>
      <c r="T127" s="137">
        <f t="shared" si="137"/>
        <v>0.144595744680851</v>
      </c>
      <c r="U127" s="137">
        <v>0.01</v>
      </c>
      <c r="V127" s="137">
        <f t="shared" si="138"/>
        <v>0.31933722462813</v>
      </c>
      <c r="W127" s="137">
        <f t="shared" si="139"/>
        <v>0.00606382978723404</v>
      </c>
      <c r="X127" s="135">
        <v>0.198</v>
      </c>
      <c r="Y127" s="138">
        <v>2.5</v>
      </c>
      <c r="Z127" s="138">
        <f>F127*0.1</f>
        <v>1.699</v>
      </c>
      <c r="AA127" s="138">
        <f t="shared" si="140"/>
        <v>0.1175</v>
      </c>
      <c r="AB127" s="131">
        <f t="shared" si="141"/>
        <v>2.3265</v>
      </c>
      <c r="AC127" s="131">
        <v>29.4</v>
      </c>
      <c r="AD127" s="139">
        <f t="shared" si="142"/>
        <v>26.0176991150442</v>
      </c>
      <c r="AE127" s="136">
        <f t="shared" si="146"/>
        <v>0.5</v>
      </c>
      <c r="AF127" s="137">
        <f t="shared" si="143"/>
        <v>0.276784033138769</v>
      </c>
      <c r="AG127" s="137">
        <f t="shared" si="144"/>
        <v>0.00531914893617021</v>
      </c>
      <c r="AH127" s="136">
        <v>4</v>
      </c>
      <c r="AI127" s="137">
        <f>(H127-E127+AB127)/H127</f>
        <v>0.260466941338042</v>
      </c>
      <c r="AJ127" s="137"/>
      <c r="AK127" s="137"/>
      <c r="AL127" s="137"/>
      <c r="AM127" s="137"/>
      <c r="AN127" s="140"/>
      <c r="AO127" s="140"/>
      <c r="AP127" s="140"/>
      <c r="AQ127" s="140"/>
      <c r="AR127" s="140"/>
      <c r="AS127" s="140"/>
      <c r="AT127" s="140" t="s">
        <v>376</v>
      </c>
      <c r="AU127" s="140" t="s">
        <v>376</v>
      </c>
      <c r="AV127" s="140" t="s">
        <v>376</v>
      </c>
      <c r="AW127" s="140" t="s">
        <v>376</v>
      </c>
      <c r="AX127" s="140" t="s">
        <v>376</v>
      </c>
      <c r="AY127" s="140" t="s">
        <v>376</v>
      </c>
      <c r="AZ127" s="140" t="s">
        <v>376</v>
      </c>
      <c r="BA127" s="140" t="s">
        <v>376</v>
      </c>
      <c r="BB127" s="140" t="s">
        <v>376</v>
      </c>
      <c r="BC127" s="140" t="s">
        <v>376</v>
      </c>
      <c r="BD127" s="140" t="s">
        <v>376</v>
      </c>
      <c r="BE127" s="140" t="s">
        <v>376</v>
      </c>
      <c r="BF127" s="140" t="s">
        <v>376</v>
      </c>
      <c r="BG127" s="140" t="s">
        <v>376</v>
      </c>
      <c r="BH127" s="140" t="s">
        <v>376</v>
      </c>
      <c r="BI127" s="140" t="s">
        <v>376</v>
      </c>
      <c r="BJ127" s="140" t="s">
        <v>376</v>
      </c>
      <c r="BK127" s="140" t="s">
        <v>376</v>
      </c>
      <c r="BL127" s="140" t="s">
        <v>376</v>
      </c>
      <c r="BM127" s="140" t="s">
        <v>376</v>
      </c>
      <c r="BN127" s="140" t="s">
        <v>376</v>
      </c>
      <c r="BO127" s="140" t="s">
        <v>376</v>
      </c>
      <c r="BP127" s="140" t="s">
        <v>376</v>
      </c>
      <c r="BQ127" s="140" t="s">
        <v>376</v>
      </c>
      <c r="BR127" s="175"/>
      <c r="BS127" s="142" t="s">
        <v>377</v>
      </c>
    </row>
    <row r="128" customHeight="1" spans="1:71">
      <c r="A128" s="127" t="s">
        <v>285</v>
      </c>
      <c r="B128" s="127" t="s">
        <v>27</v>
      </c>
      <c r="C128" s="186"/>
      <c r="D128" s="172" t="s">
        <v>427</v>
      </c>
      <c r="E128" s="184">
        <v>11.75</v>
      </c>
      <c r="F128" s="130">
        <v>16.99</v>
      </c>
      <c r="G128" s="133">
        <f t="shared" si="127"/>
        <v>14.4415</v>
      </c>
      <c r="H128" s="133">
        <f t="shared" si="128"/>
        <v>12.0345833333333</v>
      </c>
      <c r="I128" s="133">
        <f t="shared" si="129"/>
        <v>0.434037610619468</v>
      </c>
      <c r="J128" s="134">
        <f t="shared" si="130"/>
        <v>0.0369393711165505</v>
      </c>
      <c r="K128" s="131">
        <f t="shared" si="131"/>
        <v>14.1583333333333</v>
      </c>
      <c r="L128" s="174">
        <f t="shared" si="132"/>
        <v>0.170100058858152</v>
      </c>
      <c r="M128" s="133">
        <f t="shared" si="133"/>
        <v>2.40833333333333</v>
      </c>
      <c r="N128" s="131">
        <f t="shared" si="145"/>
        <v>30.0176991150442</v>
      </c>
      <c r="O128" s="131">
        <f t="shared" si="134"/>
        <v>0.07125</v>
      </c>
      <c r="P128" s="127">
        <v>200</v>
      </c>
      <c r="Q128" s="136">
        <v>8</v>
      </c>
      <c r="R128" s="137">
        <f t="shared" si="135"/>
        <v>0.212765957446809</v>
      </c>
      <c r="S128" s="134">
        <f t="shared" si="136"/>
        <v>0.147145379635079</v>
      </c>
      <c r="T128" s="137">
        <f t="shared" si="137"/>
        <v>0.216893617021277</v>
      </c>
      <c r="U128" s="137">
        <v>0.01</v>
      </c>
      <c r="V128" s="137">
        <f t="shared" si="138"/>
        <v>0.31933722462813</v>
      </c>
      <c r="W128" s="137">
        <f t="shared" si="139"/>
        <v>0.00606382978723404</v>
      </c>
      <c r="X128" s="135">
        <v>0.198</v>
      </c>
      <c r="Y128" s="138">
        <v>2.5</v>
      </c>
      <c r="Z128" s="138">
        <f>F128*0.15</f>
        <v>2.5485</v>
      </c>
      <c r="AA128" s="138">
        <f t="shared" si="140"/>
        <v>0.1175</v>
      </c>
      <c r="AB128" s="131">
        <f t="shared" si="141"/>
        <v>2.3265</v>
      </c>
      <c r="AC128" s="131">
        <v>29.4</v>
      </c>
      <c r="AD128" s="139">
        <f t="shared" si="142"/>
        <v>26.0176991150442</v>
      </c>
      <c r="AE128" s="136">
        <f t="shared" si="146"/>
        <v>0.5</v>
      </c>
      <c r="AF128" s="137">
        <f t="shared" si="143"/>
        <v>0.276784033138769</v>
      </c>
      <c r="AG128" s="137">
        <f t="shared" si="144"/>
        <v>0.00531914893617021</v>
      </c>
      <c r="AH128" s="136">
        <v>4</v>
      </c>
      <c r="AI128" s="137">
        <f t="shared" ref="AI128:AI138" si="147">(K128-E128+AB128)/(K128-Z128)</f>
        <v>0.407829569761266</v>
      </c>
      <c r="AJ128" s="137"/>
      <c r="AK128" s="137"/>
      <c r="AL128" s="137"/>
      <c r="AM128" s="137"/>
      <c r="AN128" s="140"/>
      <c r="AO128" s="140"/>
      <c r="AP128" s="140"/>
      <c r="AQ128" s="140"/>
      <c r="AR128" s="140"/>
      <c r="AS128" s="140"/>
      <c r="AT128" s="140" t="s">
        <v>376</v>
      </c>
      <c r="AU128" s="140" t="s">
        <v>376</v>
      </c>
      <c r="AV128" s="140" t="s">
        <v>376</v>
      </c>
      <c r="AW128" s="140" t="s">
        <v>376</v>
      </c>
      <c r="AX128" s="140" t="s">
        <v>376</v>
      </c>
      <c r="AY128" s="140" t="s">
        <v>376</v>
      </c>
      <c r="AZ128" s="140" t="s">
        <v>376</v>
      </c>
      <c r="BA128" s="140" t="s">
        <v>376</v>
      </c>
      <c r="BB128" s="140" t="s">
        <v>376</v>
      </c>
      <c r="BC128" s="140" t="s">
        <v>376</v>
      </c>
      <c r="BD128" s="140" t="s">
        <v>376</v>
      </c>
      <c r="BE128" s="140" t="s">
        <v>376</v>
      </c>
      <c r="BF128" s="140" t="s">
        <v>376</v>
      </c>
      <c r="BG128" s="140" t="s">
        <v>376</v>
      </c>
      <c r="BH128" s="140" t="s">
        <v>376</v>
      </c>
      <c r="BI128" s="140" t="s">
        <v>376</v>
      </c>
      <c r="BJ128" s="140" t="s">
        <v>376</v>
      </c>
      <c r="BK128" s="140" t="s">
        <v>376</v>
      </c>
      <c r="BL128" s="140" t="s">
        <v>376</v>
      </c>
      <c r="BM128" s="140" t="s">
        <v>376</v>
      </c>
      <c r="BN128" s="140" t="s">
        <v>376</v>
      </c>
      <c r="BO128" s="140" t="s">
        <v>376</v>
      </c>
      <c r="BP128" s="140" t="s">
        <v>376</v>
      </c>
      <c r="BQ128" s="140" t="s">
        <v>376</v>
      </c>
      <c r="BR128" s="175"/>
      <c r="BS128" s="142" t="s">
        <v>377</v>
      </c>
    </row>
    <row r="129" customHeight="1" spans="1:71">
      <c r="A129" s="127" t="s">
        <v>287</v>
      </c>
      <c r="B129" s="127" t="s">
        <v>27</v>
      </c>
      <c r="C129" s="186"/>
      <c r="D129" s="172" t="s">
        <v>425</v>
      </c>
      <c r="E129" s="184">
        <v>11.75</v>
      </c>
      <c r="F129" s="130">
        <v>16.99</v>
      </c>
      <c r="G129" s="133">
        <f t="shared" si="127"/>
        <v>16.99</v>
      </c>
      <c r="H129" s="133">
        <f t="shared" si="128"/>
        <v>14.1583333333333</v>
      </c>
      <c r="I129" s="133">
        <f t="shared" si="129"/>
        <v>3.13498761061947</v>
      </c>
      <c r="J129" s="134">
        <f t="shared" si="130"/>
        <v>0.266807456222933</v>
      </c>
      <c r="K129" s="131">
        <f t="shared" si="131"/>
        <v>14.1583333333333</v>
      </c>
      <c r="L129" s="174">
        <f t="shared" si="132"/>
        <v>0.170100058858152</v>
      </c>
      <c r="M129" s="133">
        <f t="shared" si="133"/>
        <v>2.40833333333333</v>
      </c>
      <c r="N129" s="131">
        <f t="shared" si="145"/>
        <v>30.0176991150442</v>
      </c>
      <c r="O129" s="131">
        <f t="shared" si="134"/>
        <v>0.07625</v>
      </c>
      <c r="P129" s="127">
        <v>200</v>
      </c>
      <c r="Q129" s="136">
        <v>8</v>
      </c>
      <c r="R129" s="137">
        <f t="shared" si="135"/>
        <v>0.212765957446809</v>
      </c>
      <c r="S129" s="134">
        <f t="shared" si="136"/>
        <v>0.147145379635079</v>
      </c>
      <c r="T129" s="137">
        <f t="shared" si="137"/>
        <v>0</v>
      </c>
      <c r="U129" s="137">
        <v>0.01</v>
      </c>
      <c r="V129" s="137">
        <f t="shared" si="138"/>
        <v>0.31933722462813</v>
      </c>
      <c r="W129" s="137">
        <f t="shared" si="139"/>
        <v>0.00648936170212766</v>
      </c>
      <c r="X129" s="135">
        <v>0.1846</v>
      </c>
      <c r="Y129" s="138">
        <v>2.5</v>
      </c>
      <c r="Z129" s="138">
        <v>0</v>
      </c>
      <c r="AA129" s="138">
        <f t="shared" si="140"/>
        <v>0.1175</v>
      </c>
      <c r="AB129" s="131">
        <f t="shared" si="141"/>
        <v>2.16905</v>
      </c>
      <c r="AC129" s="131">
        <v>29.4</v>
      </c>
      <c r="AD129" s="139">
        <f t="shared" si="142"/>
        <v>26.0176991150442</v>
      </c>
      <c r="AE129" s="136">
        <f t="shared" si="146"/>
        <v>0.5</v>
      </c>
      <c r="AF129" s="137">
        <f t="shared" si="143"/>
        <v>0.276784033138769</v>
      </c>
      <c r="AG129" s="137">
        <f t="shared" si="144"/>
        <v>0.00531914893617021</v>
      </c>
      <c r="AH129" s="136">
        <v>4</v>
      </c>
      <c r="AI129" s="134">
        <f t="shared" si="147"/>
        <v>0.323299587992937</v>
      </c>
      <c r="AJ129" s="134"/>
      <c r="AK129" s="134"/>
      <c r="AL129" s="134"/>
      <c r="AM129" s="134"/>
      <c r="AN129" s="140"/>
      <c r="AO129" s="140"/>
      <c r="AP129" s="140"/>
      <c r="AQ129" s="140"/>
      <c r="AR129" s="140"/>
      <c r="AS129" s="140"/>
      <c r="AT129" s="140" t="s">
        <v>376</v>
      </c>
      <c r="AU129" s="140" t="s">
        <v>376</v>
      </c>
      <c r="AV129" s="140" t="s">
        <v>376</v>
      </c>
      <c r="AW129" s="140" t="s">
        <v>376</v>
      </c>
      <c r="AX129" s="140" t="s">
        <v>376</v>
      </c>
      <c r="AY129" s="140" t="s">
        <v>376</v>
      </c>
      <c r="AZ129" s="140" t="s">
        <v>376</v>
      </c>
      <c r="BA129" s="140" t="s">
        <v>376</v>
      </c>
      <c r="BB129" s="140" t="s">
        <v>376</v>
      </c>
      <c r="BC129" s="140" t="s">
        <v>376</v>
      </c>
      <c r="BD129" s="140" t="s">
        <v>376</v>
      </c>
      <c r="BE129" s="140" t="s">
        <v>376</v>
      </c>
      <c r="BF129" s="140" t="s">
        <v>376</v>
      </c>
      <c r="BG129" s="140" t="s">
        <v>376</v>
      </c>
      <c r="BH129" s="140" t="s">
        <v>376</v>
      </c>
      <c r="BI129" s="140" t="s">
        <v>376</v>
      </c>
      <c r="BJ129" s="140" t="s">
        <v>376</v>
      </c>
      <c r="BK129" s="140" t="s">
        <v>376</v>
      </c>
      <c r="BL129" s="140" t="s">
        <v>376</v>
      </c>
      <c r="BM129" s="140" t="s">
        <v>376</v>
      </c>
      <c r="BN129" s="140" t="s">
        <v>376</v>
      </c>
      <c r="BO129" s="140" t="s">
        <v>376</v>
      </c>
      <c r="BP129" s="140" t="s">
        <v>376</v>
      </c>
      <c r="BQ129" s="140" t="s">
        <v>376</v>
      </c>
      <c r="BR129" s="175"/>
      <c r="BS129" s="142" t="s">
        <v>377</v>
      </c>
    </row>
    <row r="130" customHeight="1" spans="1:71">
      <c r="A130" s="127" t="s">
        <v>287</v>
      </c>
      <c r="B130" s="127" t="s">
        <v>27</v>
      </c>
      <c r="C130" s="186"/>
      <c r="D130" s="172" t="s">
        <v>426</v>
      </c>
      <c r="E130" s="184">
        <v>11.75</v>
      </c>
      <c r="F130" s="130">
        <v>16.99</v>
      </c>
      <c r="G130" s="133">
        <f t="shared" si="127"/>
        <v>15.291</v>
      </c>
      <c r="H130" s="133">
        <f t="shared" si="128"/>
        <v>12.7425</v>
      </c>
      <c r="I130" s="176">
        <f t="shared" si="129"/>
        <v>1.43598761061947</v>
      </c>
      <c r="J130" s="134">
        <f t="shared" si="130"/>
        <v>0.122211711542082</v>
      </c>
      <c r="K130" s="131">
        <f t="shared" si="131"/>
        <v>14.1583333333333</v>
      </c>
      <c r="L130" s="174">
        <f t="shared" si="132"/>
        <v>0.170100058858152</v>
      </c>
      <c r="M130" s="133">
        <f t="shared" si="133"/>
        <v>2.40833333333333</v>
      </c>
      <c r="N130" s="131">
        <f t="shared" si="145"/>
        <v>30.0176991150442</v>
      </c>
      <c r="O130" s="131">
        <f t="shared" si="134"/>
        <v>0.07625</v>
      </c>
      <c r="P130" s="127">
        <v>200</v>
      </c>
      <c r="Q130" s="136">
        <v>8</v>
      </c>
      <c r="R130" s="137">
        <f t="shared" si="135"/>
        <v>0.212765957446809</v>
      </c>
      <c r="S130" s="134">
        <f t="shared" si="136"/>
        <v>0.147145379635079</v>
      </c>
      <c r="T130" s="137">
        <f t="shared" si="137"/>
        <v>0.144595744680851</v>
      </c>
      <c r="U130" s="137">
        <v>0.01</v>
      </c>
      <c r="V130" s="137">
        <f t="shared" si="138"/>
        <v>0.31933722462813</v>
      </c>
      <c r="W130" s="137">
        <f t="shared" si="139"/>
        <v>0.00648936170212766</v>
      </c>
      <c r="X130" s="135">
        <v>0.1846</v>
      </c>
      <c r="Y130" s="138">
        <v>2.5</v>
      </c>
      <c r="Z130" s="138">
        <f>F130*0.1</f>
        <v>1.699</v>
      </c>
      <c r="AA130" s="138">
        <f t="shared" si="140"/>
        <v>0.1175</v>
      </c>
      <c r="AB130" s="131">
        <f t="shared" si="141"/>
        <v>2.16905</v>
      </c>
      <c r="AC130" s="131">
        <v>29.4</v>
      </c>
      <c r="AD130" s="139">
        <f t="shared" si="142"/>
        <v>26.0176991150442</v>
      </c>
      <c r="AE130" s="136">
        <f t="shared" si="146"/>
        <v>0.5</v>
      </c>
      <c r="AF130" s="137">
        <f t="shared" si="143"/>
        <v>0.276784033138769</v>
      </c>
      <c r="AG130" s="137">
        <f t="shared" si="144"/>
        <v>0.00531914893617021</v>
      </c>
      <c r="AH130" s="136">
        <v>4</v>
      </c>
      <c r="AI130" s="134">
        <f t="shared" si="147"/>
        <v>0.367385895446519</v>
      </c>
      <c r="AJ130" s="134"/>
      <c r="AK130" s="134"/>
      <c r="AL130" s="134"/>
      <c r="AM130" s="134"/>
      <c r="AN130" s="140"/>
      <c r="AO130" s="140"/>
      <c r="AP130" s="140"/>
      <c r="AQ130" s="140"/>
      <c r="AR130" s="140"/>
      <c r="AS130" s="140"/>
      <c r="AT130" s="140" t="s">
        <v>376</v>
      </c>
      <c r="AU130" s="140" t="s">
        <v>376</v>
      </c>
      <c r="AV130" s="140" t="s">
        <v>376</v>
      </c>
      <c r="AW130" s="140" t="s">
        <v>376</v>
      </c>
      <c r="AX130" s="140" t="s">
        <v>376</v>
      </c>
      <c r="AY130" s="140" t="s">
        <v>376</v>
      </c>
      <c r="AZ130" s="140" t="s">
        <v>376</v>
      </c>
      <c r="BA130" s="140" t="s">
        <v>376</v>
      </c>
      <c r="BB130" s="140" t="s">
        <v>376</v>
      </c>
      <c r="BC130" s="140" t="s">
        <v>376</v>
      </c>
      <c r="BD130" s="140" t="s">
        <v>376</v>
      </c>
      <c r="BE130" s="140" t="s">
        <v>376</v>
      </c>
      <c r="BF130" s="140" t="s">
        <v>376</v>
      </c>
      <c r="BG130" s="140" t="s">
        <v>376</v>
      </c>
      <c r="BH130" s="140" t="s">
        <v>376</v>
      </c>
      <c r="BI130" s="140" t="s">
        <v>376</v>
      </c>
      <c r="BJ130" s="140" t="s">
        <v>376</v>
      </c>
      <c r="BK130" s="140" t="s">
        <v>376</v>
      </c>
      <c r="BL130" s="140" t="s">
        <v>376</v>
      </c>
      <c r="BM130" s="140" t="s">
        <v>376</v>
      </c>
      <c r="BN130" s="140" t="s">
        <v>376</v>
      </c>
      <c r="BO130" s="140" t="s">
        <v>376</v>
      </c>
      <c r="BP130" s="140" t="s">
        <v>376</v>
      </c>
      <c r="BQ130" s="140" t="s">
        <v>376</v>
      </c>
      <c r="BR130" s="175"/>
      <c r="BS130" s="142" t="s">
        <v>377</v>
      </c>
    </row>
    <row r="131" customHeight="1" spans="1:71">
      <c r="A131" s="127" t="s">
        <v>287</v>
      </c>
      <c r="B131" s="127" t="s">
        <v>27</v>
      </c>
      <c r="C131" s="186"/>
      <c r="D131" s="172" t="s">
        <v>427</v>
      </c>
      <c r="E131" s="184">
        <v>11.75</v>
      </c>
      <c r="F131" s="130">
        <v>16.99</v>
      </c>
      <c r="G131" s="133">
        <f t="shared" si="127"/>
        <v>14.4415</v>
      </c>
      <c r="H131" s="133">
        <f t="shared" si="128"/>
        <v>12.0345833333333</v>
      </c>
      <c r="I131" s="133">
        <f t="shared" si="129"/>
        <v>0.586487610619468</v>
      </c>
      <c r="J131" s="134">
        <f t="shared" si="130"/>
        <v>0.0499138392016569</v>
      </c>
      <c r="K131" s="131">
        <f t="shared" si="131"/>
        <v>14.1583333333333</v>
      </c>
      <c r="L131" s="174">
        <f t="shared" si="132"/>
        <v>0.170100058858152</v>
      </c>
      <c r="M131" s="133">
        <f t="shared" si="133"/>
        <v>2.40833333333333</v>
      </c>
      <c r="N131" s="131">
        <f t="shared" si="145"/>
        <v>30.0176991150442</v>
      </c>
      <c r="O131" s="131">
        <f t="shared" si="134"/>
        <v>0.07625</v>
      </c>
      <c r="P131" s="127">
        <v>200</v>
      </c>
      <c r="Q131" s="136">
        <v>8</v>
      </c>
      <c r="R131" s="137">
        <f t="shared" si="135"/>
        <v>0.212765957446809</v>
      </c>
      <c r="S131" s="134">
        <f t="shared" si="136"/>
        <v>0.147145379635079</v>
      </c>
      <c r="T131" s="137">
        <f t="shared" si="137"/>
        <v>0.216893617021277</v>
      </c>
      <c r="U131" s="137">
        <v>0.01</v>
      </c>
      <c r="V131" s="137">
        <f t="shared" si="138"/>
        <v>0.31933722462813</v>
      </c>
      <c r="W131" s="137">
        <f t="shared" si="139"/>
        <v>0.00648936170212766</v>
      </c>
      <c r="X131" s="135">
        <v>0.1846</v>
      </c>
      <c r="Y131" s="138">
        <v>2.5</v>
      </c>
      <c r="Z131" s="138">
        <f>F131*0.15</f>
        <v>2.5485</v>
      </c>
      <c r="AA131" s="138">
        <f t="shared" si="140"/>
        <v>0.1175</v>
      </c>
      <c r="AB131" s="131">
        <f t="shared" si="141"/>
        <v>2.16905</v>
      </c>
      <c r="AC131" s="131">
        <v>29.4</v>
      </c>
      <c r="AD131" s="139">
        <f t="shared" si="142"/>
        <v>26.0176991150442</v>
      </c>
      <c r="AE131" s="136">
        <f t="shared" si="146"/>
        <v>0.5</v>
      </c>
      <c r="AF131" s="137">
        <f t="shared" si="143"/>
        <v>0.276784033138769</v>
      </c>
      <c r="AG131" s="137">
        <f t="shared" si="144"/>
        <v>0.00531914893617021</v>
      </c>
      <c r="AH131" s="136">
        <v>4</v>
      </c>
      <c r="AI131" s="134">
        <f t="shared" si="147"/>
        <v>0.394267790235289</v>
      </c>
      <c r="AJ131" s="134"/>
      <c r="AK131" s="134"/>
      <c r="AL131" s="134"/>
      <c r="AM131" s="134"/>
      <c r="AN131" s="140"/>
      <c r="AO131" s="140"/>
      <c r="AP131" s="140"/>
      <c r="AQ131" s="140"/>
      <c r="AR131" s="140"/>
      <c r="AS131" s="140"/>
      <c r="AT131" s="140" t="s">
        <v>376</v>
      </c>
      <c r="AU131" s="140" t="s">
        <v>376</v>
      </c>
      <c r="AV131" s="140" t="s">
        <v>376</v>
      </c>
      <c r="AW131" s="140" t="s">
        <v>376</v>
      </c>
      <c r="AX131" s="140" t="s">
        <v>376</v>
      </c>
      <c r="AY131" s="140" t="s">
        <v>376</v>
      </c>
      <c r="AZ131" s="140" t="s">
        <v>376</v>
      </c>
      <c r="BA131" s="140" t="s">
        <v>376</v>
      </c>
      <c r="BB131" s="140" t="s">
        <v>376</v>
      </c>
      <c r="BC131" s="140" t="s">
        <v>376</v>
      </c>
      <c r="BD131" s="140" t="s">
        <v>376</v>
      </c>
      <c r="BE131" s="140" t="s">
        <v>376</v>
      </c>
      <c r="BF131" s="140" t="s">
        <v>376</v>
      </c>
      <c r="BG131" s="140" t="s">
        <v>376</v>
      </c>
      <c r="BH131" s="140" t="s">
        <v>376</v>
      </c>
      <c r="BI131" s="140" t="s">
        <v>376</v>
      </c>
      <c r="BJ131" s="140" t="s">
        <v>376</v>
      </c>
      <c r="BK131" s="140" t="s">
        <v>376</v>
      </c>
      <c r="BL131" s="140" t="s">
        <v>376</v>
      </c>
      <c r="BM131" s="140" t="s">
        <v>376</v>
      </c>
      <c r="BN131" s="140" t="s">
        <v>376</v>
      </c>
      <c r="BO131" s="140" t="s">
        <v>376</v>
      </c>
      <c r="BP131" s="140" t="s">
        <v>376</v>
      </c>
      <c r="BQ131" s="140" t="s">
        <v>376</v>
      </c>
      <c r="BR131" s="175"/>
      <c r="BS131" s="142" t="s">
        <v>377</v>
      </c>
    </row>
    <row r="132" customHeight="1" spans="1:71">
      <c r="A132" s="127" t="s">
        <v>290</v>
      </c>
      <c r="B132" s="127" t="s">
        <v>27</v>
      </c>
      <c r="C132" s="186"/>
      <c r="D132" s="172" t="s">
        <v>425</v>
      </c>
      <c r="E132" s="184">
        <v>11.75</v>
      </c>
      <c r="F132" s="130">
        <v>16.99</v>
      </c>
      <c r="G132" s="133">
        <f t="shared" si="127"/>
        <v>16.99</v>
      </c>
      <c r="H132" s="133">
        <f t="shared" si="128"/>
        <v>14.1583333333333</v>
      </c>
      <c r="I132" s="133">
        <f t="shared" si="129"/>
        <v>3.34998761061947</v>
      </c>
      <c r="J132" s="134">
        <f t="shared" si="130"/>
        <v>0.285105328563359</v>
      </c>
      <c r="K132" s="131">
        <f t="shared" si="131"/>
        <v>14.1583333333333</v>
      </c>
      <c r="L132" s="174">
        <f t="shared" si="132"/>
        <v>0.170100058858152</v>
      </c>
      <c r="M132" s="133">
        <f t="shared" si="133"/>
        <v>2.40833333333333</v>
      </c>
      <c r="N132" s="131">
        <f t="shared" si="145"/>
        <v>30.0176991150442</v>
      </c>
      <c r="O132" s="131">
        <f t="shared" si="134"/>
        <v>0.09625</v>
      </c>
      <c r="P132" s="127">
        <v>200</v>
      </c>
      <c r="Q132" s="136">
        <v>8</v>
      </c>
      <c r="R132" s="137">
        <f t="shared" si="135"/>
        <v>0.212765957446809</v>
      </c>
      <c r="S132" s="134">
        <f t="shared" si="136"/>
        <v>0.147145379635079</v>
      </c>
      <c r="T132" s="137">
        <f t="shared" si="137"/>
        <v>0</v>
      </c>
      <c r="U132" s="137">
        <v>0.01</v>
      </c>
      <c r="V132" s="137">
        <f t="shared" si="138"/>
        <v>0.31933722462813</v>
      </c>
      <c r="W132" s="137">
        <f t="shared" si="139"/>
        <v>0.00819148936170213</v>
      </c>
      <c r="X132" s="135">
        <v>0.1646</v>
      </c>
      <c r="Y132" s="138">
        <v>2.5</v>
      </c>
      <c r="Z132" s="138">
        <v>0</v>
      </c>
      <c r="AA132" s="138">
        <f t="shared" si="140"/>
        <v>0.1175</v>
      </c>
      <c r="AB132" s="131">
        <f t="shared" si="141"/>
        <v>1.93405</v>
      </c>
      <c r="AC132" s="131">
        <v>29.4</v>
      </c>
      <c r="AD132" s="139">
        <f t="shared" si="142"/>
        <v>26.0176991150442</v>
      </c>
      <c r="AE132" s="136">
        <f t="shared" si="146"/>
        <v>0.5</v>
      </c>
      <c r="AF132" s="137">
        <f t="shared" si="143"/>
        <v>0.276784033138769</v>
      </c>
      <c r="AG132" s="137">
        <f t="shared" si="144"/>
        <v>0.00531914893617021</v>
      </c>
      <c r="AH132" s="136">
        <v>4</v>
      </c>
      <c r="AI132" s="137">
        <f t="shared" si="147"/>
        <v>0.3067015891701</v>
      </c>
      <c r="AJ132" s="137"/>
      <c r="AK132" s="137"/>
      <c r="AL132" s="137"/>
      <c r="AM132" s="137"/>
      <c r="AN132" s="140"/>
      <c r="AO132" s="140"/>
      <c r="AP132" s="140"/>
      <c r="AQ132" s="140"/>
      <c r="AR132" s="140"/>
      <c r="AS132" s="140"/>
      <c r="AT132" s="140" t="s">
        <v>376</v>
      </c>
      <c r="AU132" s="140" t="s">
        <v>376</v>
      </c>
      <c r="AV132" s="140" t="s">
        <v>376</v>
      </c>
      <c r="AW132" s="140" t="s">
        <v>376</v>
      </c>
      <c r="AX132" s="140" t="s">
        <v>376</v>
      </c>
      <c r="AY132" s="140" t="s">
        <v>376</v>
      </c>
      <c r="AZ132" s="140" t="s">
        <v>376</v>
      </c>
      <c r="BA132" s="140" t="s">
        <v>376</v>
      </c>
      <c r="BB132" s="140" t="s">
        <v>376</v>
      </c>
      <c r="BC132" s="140" t="s">
        <v>376</v>
      </c>
      <c r="BD132" s="140" t="s">
        <v>376</v>
      </c>
      <c r="BE132" s="140" t="s">
        <v>376</v>
      </c>
      <c r="BF132" s="140" t="s">
        <v>376</v>
      </c>
      <c r="BG132" s="140" t="s">
        <v>376</v>
      </c>
      <c r="BH132" s="140" t="s">
        <v>376</v>
      </c>
      <c r="BI132" s="140" t="s">
        <v>376</v>
      </c>
      <c r="BJ132" s="140" t="s">
        <v>376</v>
      </c>
      <c r="BK132" s="140" t="s">
        <v>376</v>
      </c>
      <c r="BL132" s="140" t="s">
        <v>376</v>
      </c>
      <c r="BM132" s="140" t="s">
        <v>376</v>
      </c>
      <c r="BN132" s="140" t="s">
        <v>376</v>
      </c>
      <c r="BO132" s="140" t="s">
        <v>376</v>
      </c>
      <c r="BP132" s="140" t="s">
        <v>376</v>
      </c>
      <c r="BQ132" s="140" t="s">
        <v>376</v>
      </c>
      <c r="BR132" s="175"/>
      <c r="BS132" s="142" t="s">
        <v>377</v>
      </c>
    </row>
    <row r="133" customHeight="1" spans="1:71">
      <c r="A133" s="127" t="s">
        <v>290</v>
      </c>
      <c r="B133" s="127" t="s">
        <v>27</v>
      </c>
      <c r="C133" s="186"/>
      <c r="D133" s="172" t="s">
        <v>426</v>
      </c>
      <c r="E133" s="184">
        <v>11.75</v>
      </c>
      <c r="F133" s="130">
        <v>16.99</v>
      </c>
      <c r="G133" s="133">
        <f t="shared" si="127"/>
        <v>15.291</v>
      </c>
      <c r="H133" s="133">
        <f t="shared" si="128"/>
        <v>12.7425</v>
      </c>
      <c r="I133" s="176">
        <f t="shared" si="129"/>
        <v>1.65098761061947</v>
      </c>
      <c r="J133" s="134">
        <f t="shared" si="130"/>
        <v>0.140509583882508</v>
      </c>
      <c r="K133" s="131">
        <f t="shared" si="131"/>
        <v>14.1583333333333</v>
      </c>
      <c r="L133" s="174">
        <f t="shared" si="132"/>
        <v>0.170100058858152</v>
      </c>
      <c r="M133" s="133">
        <f t="shared" si="133"/>
        <v>2.40833333333333</v>
      </c>
      <c r="N133" s="131">
        <f t="shared" si="145"/>
        <v>30.0176991150442</v>
      </c>
      <c r="O133" s="131">
        <f t="shared" si="134"/>
        <v>0.09625</v>
      </c>
      <c r="P133" s="127">
        <v>200</v>
      </c>
      <c r="Q133" s="136">
        <v>8</v>
      </c>
      <c r="R133" s="137">
        <f t="shared" si="135"/>
        <v>0.212765957446809</v>
      </c>
      <c r="S133" s="134">
        <f t="shared" si="136"/>
        <v>0.147145379635079</v>
      </c>
      <c r="T133" s="137">
        <f t="shared" si="137"/>
        <v>0.144595744680851</v>
      </c>
      <c r="U133" s="137">
        <v>0.01</v>
      </c>
      <c r="V133" s="137">
        <f t="shared" si="138"/>
        <v>0.31933722462813</v>
      </c>
      <c r="W133" s="137">
        <f t="shared" si="139"/>
        <v>0.00819148936170213</v>
      </c>
      <c r="X133" s="135">
        <v>0.1646</v>
      </c>
      <c r="Y133" s="138">
        <v>2.5</v>
      </c>
      <c r="Z133" s="138">
        <f>F133*0.1</f>
        <v>1.699</v>
      </c>
      <c r="AA133" s="138">
        <f t="shared" si="140"/>
        <v>0.1175</v>
      </c>
      <c r="AB133" s="131">
        <f t="shared" si="141"/>
        <v>1.93405</v>
      </c>
      <c r="AC133" s="131">
        <v>29.4</v>
      </c>
      <c r="AD133" s="139">
        <f t="shared" si="142"/>
        <v>26.0176991150442</v>
      </c>
      <c r="AE133" s="136">
        <f t="shared" si="146"/>
        <v>0.5</v>
      </c>
      <c r="AF133" s="137">
        <f t="shared" si="143"/>
        <v>0.276784033138769</v>
      </c>
      <c r="AG133" s="137">
        <f t="shared" si="144"/>
        <v>0.00531914893617021</v>
      </c>
      <c r="AH133" s="136">
        <v>4</v>
      </c>
      <c r="AI133" s="137">
        <f t="shared" si="147"/>
        <v>0.348524533147841</v>
      </c>
      <c r="AJ133" s="137"/>
      <c r="AK133" s="137"/>
      <c r="AL133" s="137"/>
      <c r="AM133" s="137"/>
      <c r="AN133" s="140"/>
      <c r="AO133" s="140"/>
      <c r="AP133" s="140"/>
      <c r="AQ133" s="140"/>
      <c r="AR133" s="140"/>
      <c r="AS133" s="140"/>
      <c r="AT133" s="140" t="s">
        <v>376</v>
      </c>
      <c r="AU133" s="140" t="s">
        <v>376</v>
      </c>
      <c r="AV133" s="140" t="s">
        <v>376</v>
      </c>
      <c r="AW133" s="140" t="s">
        <v>376</v>
      </c>
      <c r="AX133" s="140" t="s">
        <v>376</v>
      </c>
      <c r="AY133" s="140" t="s">
        <v>376</v>
      </c>
      <c r="AZ133" s="140" t="s">
        <v>376</v>
      </c>
      <c r="BA133" s="140" t="s">
        <v>376</v>
      </c>
      <c r="BB133" s="140" t="s">
        <v>376</v>
      </c>
      <c r="BC133" s="140" t="s">
        <v>376</v>
      </c>
      <c r="BD133" s="140" t="s">
        <v>376</v>
      </c>
      <c r="BE133" s="140" t="s">
        <v>376</v>
      </c>
      <c r="BF133" s="140" t="s">
        <v>376</v>
      </c>
      <c r="BG133" s="140" t="s">
        <v>376</v>
      </c>
      <c r="BH133" s="140" t="s">
        <v>376</v>
      </c>
      <c r="BI133" s="140" t="s">
        <v>376</v>
      </c>
      <c r="BJ133" s="140" t="s">
        <v>376</v>
      </c>
      <c r="BK133" s="140" t="s">
        <v>376</v>
      </c>
      <c r="BL133" s="140" t="s">
        <v>376</v>
      </c>
      <c r="BM133" s="140" t="s">
        <v>376</v>
      </c>
      <c r="BN133" s="140" t="s">
        <v>376</v>
      </c>
      <c r="BO133" s="140" t="s">
        <v>376</v>
      </c>
      <c r="BP133" s="140" t="s">
        <v>376</v>
      </c>
      <c r="BQ133" s="140" t="s">
        <v>376</v>
      </c>
      <c r="BR133" s="175"/>
      <c r="BS133" s="142" t="s">
        <v>377</v>
      </c>
    </row>
    <row r="134" customHeight="1" spans="1:71">
      <c r="A134" s="127" t="s">
        <v>290</v>
      </c>
      <c r="B134" s="127" t="s">
        <v>27</v>
      </c>
      <c r="C134" s="186"/>
      <c r="D134" s="172" t="s">
        <v>427</v>
      </c>
      <c r="E134" s="184">
        <v>11.75</v>
      </c>
      <c r="F134" s="130">
        <v>16.99</v>
      </c>
      <c r="G134" s="133">
        <f t="shared" si="127"/>
        <v>14.4415</v>
      </c>
      <c r="H134" s="133">
        <f t="shared" si="128"/>
        <v>12.0345833333333</v>
      </c>
      <c r="I134" s="133">
        <f t="shared" si="129"/>
        <v>0.801487610619469</v>
      </c>
      <c r="J134" s="134">
        <f t="shared" si="130"/>
        <v>0.0682117115420824</v>
      </c>
      <c r="K134" s="131">
        <f t="shared" si="131"/>
        <v>14.1583333333333</v>
      </c>
      <c r="L134" s="174">
        <f t="shared" si="132"/>
        <v>0.170100058858152</v>
      </c>
      <c r="M134" s="133">
        <f t="shared" si="133"/>
        <v>2.40833333333333</v>
      </c>
      <c r="N134" s="131">
        <f t="shared" si="145"/>
        <v>30.0176991150442</v>
      </c>
      <c r="O134" s="131">
        <f t="shared" si="134"/>
        <v>0.09625</v>
      </c>
      <c r="P134" s="127">
        <v>200</v>
      </c>
      <c r="Q134" s="136">
        <v>8</v>
      </c>
      <c r="R134" s="137">
        <f t="shared" si="135"/>
        <v>0.212765957446809</v>
      </c>
      <c r="S134" s="134">
        <f t="shared" si="136"/>
        <v>0.147145379635079</v>
      </c>
      <c r="T134" s="137">
        <f t="shared" si="137"/>
        <v>0.216893617021277</v>
      </c>
      <c r="U134" s="137">
        <v>0.01</v>
      </c>
      <c r="V134" s="137">
        <f t="shared" si="138"/>
        <v>0.31933722462813</v>
      </c>
      <c r="W134" s="137">
        <f t="shared" si="139"/>
        <v>0.00819148936170213</v>
      </c>
      <c r="X134" s="135">
        <v>0.1646</v>
      </c>
      <c r="Y134" s="138">
        <v>2.5</v>
      </c>
      <c r="Z134" s="138">
        <f>F134*0.15</f>
        <v>2.5485</v>
      </c>
      <c r="AA134" s="138">
        <f t="shared" si="140"/>
        <v>0.1175</v>
      </c>
      <c r="AB134" s="131">
        <f t="shared" si="141"/>
        <v>1.93405</v>
      </c>
      <c r="AC134" s="131">
        <v>29.4</v>
      </c>
      <c r="AD134" s="139">
        <f t="shared" si="142"/>
        <v>26.0176991150442</v>
      </c>
      <c r="AE134" s="136">
        <f t="shared" si="146"/>
        <v>0.5</v>
      </c>
      <c r="AF134" s="137">
        <f t="shared" si="143"/>
        <v>0.276784033138769</v>
      </c>
      <c r="AG134" s="137">
        <f t="shared" si="144"/>
        <v>0.00531914893617021</v>
      </c>
      <c r="AH134" s="136">
        <v>4</v>
      </c>
      <c r="AI134" s="137">
        <f t="shared" si="147"/>
        <v>0.37402632825622</v>
      </c>
      <c r="AJ134" s="137"/>
      <c r="AK134" s="137"/>
      <c r="AL134" s="137"/>
      <c r="AM134" s="137"/>
      <c r="AN134" s="140"/>
      <c r="AO134" s="140"/>
      <c r="AP134" s="140"/>
      <c r="AQ134" s="140"/>
      <c r="AR134" s="140"/>
      <c r="AS134" s="140"/>
      <c r="AT134" s="140" t="s">
        <v>376</v>
      </c>
      <c r="AU134" s="140" t="s">
        <v>376</v>
      </c>
      <c r="AV134" s="140" t="s">
        <v>376</v>
      </c>
      <c r="AW134" s="140" t="s">
        <v>376</v>
      </c>
      <c r="AX134" s="140" t="s">
        <v>376</v>
      </c>
      <c r="AY134" s="140" t="s">
        <v>376</v>
      </c>
      <c r="AZ134" s="140" t="s">
        <v>376</v>
      </c>
      <c r="BA134" s="140" t="s">
        <v>376</v>
      </c>
      <c r="BB134" s="140" t="s">
        <v>376</v>
      </c>
      <c r="BC134" s="140" t="s">
        <v>376</v>
      </c>
      <c r="BD134" s="140" t="s">
        <v>376</v>
      </c>
      <c r="BE134" s="140" t="s">
        <v>376</v>
      </c>
      <c r="BF134" s="140" t="s">
        <v>376</v>
      </c>
      <c r="BG134" s="140" t="s">
        <v>376</v>
      </c>
      <c r="BH134" s="140" t="s">
        <v>376</v>
      </c>
      <c r="BI134" s="140" t="s">
        <v>376</v>
      </c>
      <c r="BJ134" s="140" t="s">
        <v>376</v>
      </c>
      <c r="BK134" s="140" t="s">
        <v>376</v>
      </c>
      <c r="BL134" s="140" t="s">
        <v>376</v>
      </c>
      <c r="BM134" s="140" t="s">
        <v>376</v>
      </c>
      <c r="BN134" s="140" t="s">
        <v>376</v>
      </c>
      <c r="BO134" s="140" t="s">
        <v>376</v>
      </c>
      <c r="BP134" s="140" t="s">
        <v>376</v>
      </c>
      <c r="BQ134" s="140" t="s">
        <v>376</v>
      </c>
      <c r="BR134" s="175"/>
      <c r="BS134" s="142" t="s">
        <v>377</v>
      </c>
    </row>
    <row r="135" customHeight="1" spans="1:71">
      <c r="A135" s="127" t="s">
        <v>381</v>
      </c>
      <c r="B135" s="127" t="s">
        <v>27</v>
      </c>
      <c r="C135" s="186"/>
      <c r="D135" s="178" t="s">
        <v>428</v>
      </c>
      <c r="E135" s="184">
        <v>15</v>
      </c>
      <c r="F135" s="173">
        <v>21.99</v>
      </c>
      <c r="G135" s="133">
        <f t="shared" si="127"/>
        <v>21.99</v>
      </c>
      <c r="H135" s="133">
        <f t="shared" si="128"/>
        <v>18.325</v>
      </c>
      <c r="I135" s="133">
        <f t="shared" si="129"/>
        <v>8.64403761061947</v>
      </c>
      <c r="J135" s="134">
        <f t="shared" si="130"/>
        <v>0.576269174041298</v>
      </c>
      <c r="K135" s="131">
        <f t="shared" si="131"/>
        <v>18.325</v>
      </c>
      <c r="L135" s="174">
        <f t="shared" si="132"/>
        <v>0.181446111869031</v>
      </c>
      <c r="M135" s="133">
        <f t="shared" si="133"/>
        <v>3.325</v>
      </c>
      <c r="N135" s="131">
        <f t="shared" si="145"/>
        <v>30.0176991150442</v>
      </c>
      <c r="O135" s="131">
        <f t="shared" si="134"/>
        <v>0.08375</v>
      </c>
      <c r="P135" s="127">
        <v>200</v>
      </c>
      <c r="Q135" s="136">
        <v>8</v>
      </c>
      <c r="R135" s="137">
        <f t="shared" si="135"/>
        <v>0</v>
      </c>
      <c r="S135" s="134">
        <f t="shared" si="136"/>
        <v>0</v>
      </c>
      <c r="T135" s="137">
        <f t="shared" si="137"/>
        <v>0</v>
      </c>
      <c r="U135" s="137">
        <v>0.01</v>
      </c>
      <c r="V135" s="137">
        <f t="shared" si="138"/>
        <v>0.250147492625369</v>
      </c>
      <c r="W135" s="137">
        <f t="shared" si="139"/>
        <v>0.00558333333333333</v>
      </c>
      <c r="X135" s="135">
        <v>0.158</v>
      </c>
      <c r="Y135" s="138">
        <v>0</v>
      </c>
      <c r="Z135" s="138">
        <f>F135*0</f>
        <v>0</v>
      </c>
      <c r="AA135" s="138">
        <f t="shared" si="140"/>
        <v>0.15</v>
      </c>
      <c r="AB135" s="131">
        <f t="shared" si="141"/>
        <v>2.37</v>
      </c>
      <c r="AC135" s="131">
        <v>29.4</v>
      </c>
      <c r="AD135" s="139">
        <f t="shared" si="142"/>
        <v>26.0176991150442</v>
      </c>
      <c r="AE135" s="136">
        <f t="shared" si="146"/>
        <v>0.5</v>
      </c>
      <c r="AF135" s="137">
        <f t="shared" si="143"/>
        <v>0.216814159292035</v>
      </c>
      <c r="AG135" s="137">
        <f t="shared" si="144"/>
        <v>0.00416666666666667</v>
      </c>
      <c r="AH135" s="136">
        <v>4</v>
      </c>
      <c r="AI135" s="137">
        <f t="shared" si="147"/>
        <v>0.310777626193724</v>
      </c>
      <c r="AJ135" s="140"/>
      <c r="AK135" s="140"/>
      <c r="AL135" s="140"/>
      <c r="AM135" s="140"/>
      <c r="AN135" s="140"/>
      <c r="AO135" s="140"/>
      <c r="AP135" s="140"/>
      <c r="AQ135" s="140"/>
      <c r="AR135" s="140"/>
      <c r="AS135" s="140"/>
      <c r="AT135" s="140" t="s">
        <v>376</v>
      </c>
      <c r="AU135" s="140" t="s">
        <v>376</v>
      </c>
      <c r="AV135" s="140" t="s">
        <v>376</v>
      </c>
      <c r="AW135" s="140" t="s">
        <v>376</v>
      </c>
      <c r="AX135" s="140" t="s">
        <v>376</v>
      </c>
      <c r="AY135" s="140" t="s">
        <v>376</v>
      </c>
      <c r="AZ135" s="140" t="s">
        <v>376</v>
      </c>
      <c r="BA135" s="140" t="s">
        <v>376</v>
      </c>
      <c r="BB135" s="140" t="s">
        <v>376</v>
      </c>
      <c r="BC135" s="140" t="s">
        <v>376</v>
      </c>
      <c r="BD135" s="140" t="s">
        <v>376</v>
      </c>
      <c r="BE135" s="140" t="s">
        <v>376</v>
      </c>
      <c r="BF135" s="140" t="s">
        <v>376</v>
      </c>
      <c r="BG135" s="140" t="s">
        <v>376</v>
      </c>
      <c r="BH135" s="140" t="s">
        <v>376</v>
      </c>
      <c r="BI135" s="140" t="s">
        <v>376</v>
      </c>
      <c r="BJ135" s="140" t="s">
        <v>376</v>
      </c>
      <c r="BK135" s="140" t="s">
        <v>376</v>
      </c>
      <c r="BL135" s="140" t="s">
        <v>376</v>
      </c>
      <c r="BM135" s="140" t="s">
        <v>376</v>
      </c>
      <c r="BN135" s="140" t="s">
        <v>376</v>
      </c>
      <c r="BO135" s="140" t="s">
        <v>376</v>
      </c>
      <c r="BP135" s="140" t="s">
        <v>376</v>
      </c>
      <c r="BQ135" s="140" t="s">
        <v>376</v>
      </c>
      <c r="BR135" s="144" t="e">
        <f>IF(E135&lt;#REF!,1,0)</f>
        <v>#REF!</v>
      </c>
      <c r="BS135" s="142" t="s">
        <v>377</v>
      </c>
    </row>
    <row r="136" customHeight="1" spans="1:71">
      <c r="A136" s="127" t="s">
        <v>383</v>
      </c>
      <c r="B136" s="127" t="s">
        <v>27</v>
      </c>
      <c r="C136" s="186"/>
      <c r="D136" s="178" t="s">
        <v>429</v>
      </c>
      <c r="E136" s="184">
        <v>15</v>
      </c>
      <c r="F136" s="130">
        <v>21.99</v>
      </c>
      <c r="G136" s="133">
        <f t="shared" si="127"/>
        <v>21.99</v>
      </c>
      <c r="H136" s="133">
        <f t="shared" si="128"/>
        <v>18.325</v>
      </c>
      <c r="I136" s="133">
        <f t="shared" si="129"/>
        <v>7.68253761061947</v>
      </c>
      <c r="J136" s="134">
        <f t="shared" si="130"/>
        <v>0.512169174041298</v>
      </c>
      <c r="K136" s="131">
        <f t="shared" si="131"/>
        <v>18.325</v>
      </c>
      <c r="L136" s="174">
        <f t="shared" si="132"/>
        <v>0.181446111869031</v>
      </c>
      <c r="M136" s="133">
        <f t="shared" si="133"/>
        <v>3.325</v>
      </c>
      <c r="N136" s="131">
        <f t="shared" si="145"/>
        <v>30.0176991150442</v>
      </c>
      <c r="O136" s="131">
        <f t="shared" si="134"/>
        <v>0.07025</v>
      </c>
      <c r="P136" s="127">
        <v>200</v>
      </c>
      <c r="Q136" s="136">
        <v>8</v>
      </c>
      <c r="R136" s="137">
        <f t="shared" si="135"/>
        <v>0</v>
      </c>
      <c r="S136" s="134">
        <f t="shared" si="136"/>
        <v>0</v>
      </c>
      <c r="T136" s="137">
        <f t="shared" si="137"/>
        <v>0</v>
      </c>
      <c r="U136" s="137">
        <v>0.01</v>
      </c>
      <c r="V136" s="137">
        <f t="shared" si="138"/>
        <v>0.250147492625369</v>
      </c>
      <c r="W136" s="137">
        <f t="shared" si="139"/>
        <v>0.00468333333333333</v>
      </c>
      <c r="X136" s="135">
        <v>0.223</v>
      </c>
      <c r="Y136" s="138">
        <v>0</v>
      </c>
      <c r="Z136" s="138">
        <f>F136*0</f>
        <v>0</v>
      </c>
      <c r="AA136" s="138">
        <f t="shared" si="140"/>
        <v>0.15</v>
      </c>
      <c r="AB136" s="131">
        <f t="shared" si="141"/>
        <v>3.345</v>
      </c>
      <c r="AC136" s="131">
        <v>29.4</v>
      </c>
      <c r="AD136" s="139">
        <f t="shared" si="142"/>
        <v>26.0176991150442</v>
      </c>
      <c r="AE136" s="136">
        <f t="shared" si="146"/>
        <v>0.5</v>
      </c>
      <c r="AF136" s="137">
        <f t="shared" si="143"/>
        <v>0.216814159292035</v>
      </c>
      <c r="AG136" s="137">
        <f t="shared" si="144"/>
        <v>0.00416666666666667</v>
      </c>
      <c r="AH136" s="136">
        <v>4</v>
      </c>
      <c r="AI136" s="137">
        <f t="shared" si="147"/>
        <v>0.363983628922237</v>
      </c>
      <c r="AJ136" s="140"/>
      <c r="AK136" s="140"/>
      <c r="AL136" s="140"/>
      <c r="AM136" s="140"/>
      <c r="AN136" s="140"/>
      <c r="AO136" s="140"/>
      <c r="AP136" s="140"/>
      <c r="AQ136" s="140"/>
      <c r="AR136" s="140"/>
      <c r="AS136" s="140"/>
      <c r="AT136" s="140" t="s">
        <v>376</v>
      </c>
      <c r="AU136" s="140" t="s">
        <v>376</v>
      </c>
      <c r="AV136" s="140" t="s">
        <v>376</v>
      </c>
      <c r="AW136" s="140" t="s">
        <v>376</v>
      </c>
      <c r="AX136" s="140" t="s">
        <v>376</v>
      </c>
      <c r="AY136" s="140" t="s">
        <v>376</v>
      </c>
      <c r="AZ136" s="140" t="s">
        <v>376</v>
      </c>
      <c r="BA136" s="140" t="s">
        <v>376</v>
      </c>
      <c r="BB136" s="140" t="s">
        <v>376</v>
      </c>
      <c r="BC136" s="140" t="s">
        <v>376</v>
      </c>
      <c r="BD136" s="140" t="s">
        <v>376</v>
      </c>
      <c r="BE136" s="140" t="s">
        <v>376</v>
      </c>
      <c r="BF136" s="140" t="s">
        <v>376</v>
      </c>
      <c r="BG136" s="140" t="s">
        <v>376</v>
      </c>
      <c r="BH136" s="140" t="s">
        <v>376</v>
      </c>
      <c r="BI136" s="140" t="s">
        <v>376</v>
      </c>
      <c r="BJ136" s="140" t="s">
        <v>376</v>
      </c>
      <c r="BK136" s="140" t="s">
        <v>376</v>
      </c>
      <c r="BL136" s="140" t="s">
        <v>376</v>
      </c>
      <c r="BM136" s="140" t="s">
        <v>376</v>
      </c>
      <c r="BN136" s="140" t="s">
        <v>376</v>
      </c>
      <c r="BO136" s="140" t="s">
        <v>376</v>
      </c>
      <c r="BP136" s="140" t="s">
        <v>376</v>
      </c>
      <c r="BQ136" s="140" t="s">
        <v>376</v>
      </c>
      <c r="BR136" s="144" t="e">
        <f>IF(E136&lt;#REF!,1,0)</f>
        <v>#REF!</v>
      </c>
      <c r="BS136" s="142" t="s">
        <v>377</v>
      </c>
    </row>
    <row r="137" customHeight="1" spans="1:71">
      <c r="A137" s="127" t="s">
        <v>385</v>
      </c>
      <c r="B137" s="127" t="s">
        <v>27</v>
      </c>
      <c r="C137" s="186"/>
      <c r="D137" s="178" t="s">
        <v>430</v>
      </c>
      <c r="E137" s="184">
        <v>15</v>
      </c>
      <c r="F137" s="130">
        <v>21.99</v>
      </c>
      <c r="G137" s="133">
        <f t="shared" si="127"/>
        <v>21.99</v>
      </c>
      <c r="H137" s="133">
        <f t="shared" si="128"/>
        <v>18.325</v>
      </c>
      <c r="I137" s="133">
        <f t="shared" si="129"/>
        <v>7.66153761061947</v>
      </c>
      <c r="J137" s="134">
        <f t="shared" si="130"/>
        <v>0.510769174041298</v>
      </c>
      <c r="K137" s="131">
        <f t="shared" si="131"/>
        <v>18.325</v>
      </c>
      <c r="L137" s="174">
        <f t="shared" si="132"/>
        <v>0.181446111869031</v>
      </c>
      <c r="M137" s="133">
        <f t="shared" si="133"/>
        <v>3.325</v>
      </c>
      <c r="N137" s="131">
        <f t="shared" si="145"/>
        <v>30.0176991150442</v>
      </c>
      <c r="O137" s="131">
        <f t="shared" si="134"/>
        <v>0.09125</v>
      </c>
      <c r="P137" s="127">
        <v>200</v>
      </c>
      <c r="Q137" s="136">
        <v>8</v>
      </c>
      <c r="R137" s="137">
        <f t="shared" si="135"/>
        <v>0</v>
      </c>
      <c r="S137" s="134">
        <f t="shared" si="136"/>
        <v>0</v>
      </c>
      <c r="T137" s="137">
        <f t="shared" si="137"/>
        <v>0</v>
      </c>
      <c r="U137" s="137">
        <v>0.01</v>
      </c>
      <c r="V137" s="137">
        <f t="shared" si="138"/>
        <v>0.250147492625369</v>
      </c>
      <c r="W137" s="137">
        <f t="shared" si="139"/>
        <v>0.00608333333333333</v>
      </c>
      <c r="X137" s="135">
        <v>0.223</v>
      </c>
      <c r="Y137" s="138">
        <v>0</v>
      </c>
      <c r="Z137" s="138">
        <f>F137*0</f>
        <v>0</v>
      </c>
      <c r="AA137" s="138">
        <f t="shared" si="140"/>
        <v>0.15</v>
      </c>
      <c r="AB137" s="131">
        <f t="shared" si="141"/>
        <v>3.345</v>
      </c>
      <c r="AC137" s="131">
        <v>29.4</v>
      </c>
      <c r="AD137" s="139">
        <f t="shared" si="142"/>
        <v>26.0176991150442</v>
      </c>
      <c r="AE137" s="136">
        <f t="shared" si="146"/>
        <v>0.5</v>
      </c>
      <c r="AF137" s="137">
        <f t="shared" si="143"/>
        <v>0.216814159292035</v>
      </c>
      <c r="AG137" s="137">
        <f t="shared" si="144"/>
        <v>0.00416666666666667</v>
      </c>
      <c r="AH137" s="136">
        <v>4</v>
      </c>
      <c r="AI137" s="137">
        <f t="shared" si="147"/>
        <v>0.363983628922237</v>
      </c>
      <c r="AJ137" s="140"/>
      <c r="AK137" s="140"/>
      <c r="AL137" s="140"/>
      <c r="AM137" s="140"/>
      <c r="AN137" s="140"/>
      <c r="AO137" s="140"/>
      <c r="AP137" s="140"/>
      <c r="AQ137" s="140"/>
      <c r="AR137" s="140"/>
      <c r="AS137" s="140"/>
      <c r="AT137" s="140" t="s">
        <v>376</v>
      </c>
      <c r="AU137" s="140" t="s">
        <v>376</v>
      </c>
      <c r="AV137" s="140" t="s">
        <v>376</v>
      </c>
      <c r="AW137" s="140" t="s">
        <v>376</v>
      </c>
      <c r="AX137" s="140" t="s">
        <v>376</v>
      </c>
      <c r="AY137" s="140" t="s">
        <v>376</v>
      </c>
      <c r="AZ137" s="140" t="s">
        <v>376</v>
      </c>
      <c r="BA137" s="140" t="s">
        <v>376</v>
      </c>
      <c r="BB137" s="140" t="s">
        <v>376</v>
      </c>
      <c r="BC137" s="140" t="s">
        <v>376</v>
      </c>
      <c r="BD137" s="140" t="s">
        <v>376</v>
      </c>
      <c r="BE137" s="140" t="s">
        <v>376</v>
      </c>
      <c r="BF137" s="140" t="s">
        <v>376</v>
      </c>
      <c r="BG137" s="140" t="s">
        <v>376</v>
      </c>
      <c r="BH137" s="140" t="s">
        <v>376</v>
      </c>
      <c r="BI137" s="140" t="s">
        <v>376</v>
      </c>
      <c r="BJ137" s="140" t="s">
        <v>376</v>
      </c>
      <c r="BK137" s="140" t="s">
        <v>376</v>
      </c>
      <c r="BL137" s="140" t="s">
        <v>376</v>
      </c>
      <c r="BM137" s="140" t="s">
        <v>376</v>
      </c>
      <c r="BN137" s="140" t="s">
        <v>376</v>
      </c>
      <c r="BO137" s="140" t="s">
        <v>376</v>
      </c>
      <c r="BP137" s="140" t="s">
        <v>376</v>
      </c>
      <c r="BQ137" s="140" t="s">
        <v>376</v>
      </c>
      <c r="BR137" s="144" t="e">
        <f>IF(E137&lt;#REF!,1,0)</f>
        <v>#REF!</v>
      </c>
      <c r="BS137" s="142" t="s">
        <v>377</v>
      </c>
    </row>
    <row r="138" customHeight="1" spans="1:71">
      <c r="A138" s="127" t="s">
        <v>387</v>
      </c>
      <c r="B138" s="127" t="s">
        <v>27</v>
      </c>
      <c r="C138" s="186"/>
      <c r="D138" s="178" t="s">
        <v>431</v>
      </c>
      <c r="E138" s="184">
        <v>15</v>
      </c>
      <c r="F138" s="130">
        <v>21.99</v>
      </c>
      <c r="G138" s="133">
        <f t="shared" si="127"/>
        <v>21.99</v>
      </c>
      <c r="H138" s="133">
        <f t="shared" si="128"/>
        <v>18.325</v>
      </c>
      <c r="I138" s="133">
        <f t="shared" si="129"/>
        <v>8.65653761061947</v>
      </c>
      <c r="J138" s="134">
        <f t="shared" si="130"/>
        <v>0.577102507374631</v>
      </c>
      <c r="K138" s="131">
        <f t="shared" si="131"/>
        <v>18.325</v>
      </c>
      <c r="L138" s="174">
        <f t="shared" si="132"/>
        <v>0.181446111869031</v>
      </c>
      <c r="M138" s="133">
        <f t="shared" si="133"/>
        <v>3.325</v>
      </c>
      <c r="N138" s="131">
        <f t="shared" si="145"/>
        <v>30.0176991150442</v>
      </c>
      <c r="O138" s="131">
        <f t="shared" si="134"/>
        <v>0.07125</v>
      </c>
      <c r="P138" s="127">
        <v>200</v>
      </c>
      <c r="Q138" s="136">
        <v>8</v>
      </c>
      <c r="R138" s="137">
        <f t="shared" si="135"/>
        <v>0</v>
      </c>
      <c r="S138" s="134">
        <f t="shared" si="136"/>
        <v>0</v>
      </c>
      <c r="T138" s="137">
        <f t="shared" si="137"/>
        <v>0</v>
      </c>
      <c r="U138" s="137">
        <v>0.01</v>
      </c>
      <c r="V138" s="137">
        <f t="shared" si="138"/>
        <v>0.250147492625369</v>
      </c>
      <c r="W138" s="137">
        <f t="shared" si="139"/>
        <v>0.00475</v>
      </c>
      <c r="X138" s="135">
        <v>0.158</v>
      </c>
      <c r="Y138" s="138">
        <v>0</v>
      </c>
      <c r="Z138" s="138">
        <f>F138*0</f>
        <v>0</v>
      </c>
      <c r="AA138" s="138">
        <f t="shared" si="140"/>
        <v>0.15</v>
      </c>
      <c r="AB138" s="131">
        <f t="shared" si="141"/>
        <v>2.37</v>
      </c>
      <c r="AC138" s="131">
        <v>29.4</v>
      </c>
      <c r="AD138" s="139">
        <f t="shared" si="142"/>
        <v>26.0176991150442</v>
      </c>
      <c r="AE138" s="136">
        <f t="shared" si="146"/>
        <v>0.5</v>
      </c>
      <c r="AF138" s="137">
        <f t="shared" si="143"/>
        <v>0.216814159292035</v>
      </c>
      <c r="AG138" s="137">
        <f t="shared" si="144"/>
        <v>0.00416666666666667</v>
      </c>
      <c r="AH138" s="136">
        <v>4</v>
      </c>
      <c r="AI138" s="137">
        <f t="shared" si="147"/>
        <v>0.310777626193724</v>
      </c>
      <c r="AJ138" s="137"/>
      <c r="AK138" s="137"/>
      <c r="AL138" s="137"/>
      <c r="AM138" s="137"/>
      <c r="AN138" s="140"/>
      <c r="AO138" s="140"/>
      <c r="AP138" s="140"/>
      <c r="AQ138" s="140"/>
      <c r="AR138" s="140"/>
      <c r="AS138" s="140"/>
      <c r="AT138" s="140" t="s">
        <v>376</v>
      </c>
      <c r="AU138" s="140" t="s">
        <v>376</v>
      </c>
      <c r="AV138" s="140" t="s">
        <v>376</v>
      </c>
      <c r="AW138" s="140" t="s">
        <v>376</v>
      </c>
      <c r="AX138" s="140" t="s">
        <v>376</v>
      </c>
      <c r="AY138" s="140" t="s">
        <v>376</v>
      </c>
      <c r="AZ138" s="140" t="s">
        <v>376</v>
      </c>
      <c r="BA138" s="140" t="s">
        <v>376</v>
      </c>
      <c r="BB138" s="140" t="s">
        <v>376</v>
      </c>
      <c r="BC138" s="140" t="s">
        <v>376</v>
      </c>
      <c r="BD138" s="140" t="s">
        <v>376</v>
      </c>
      <c r="BE138" s="140" t="s">
        <v>376</v>
      </c>
      <c r="BF138" s="140" t="s">
        <v>376</v>
      </c>
      <c r="BG138" s="140" t="s">
        <v>376</v>
      </c>
      <c r="BH138" s="140" t="s">
        <v>376</v>
      </c>
      <c r="BI138" s="140" t="s">
        <v>376</v>
      </c>
      <c r="BJ138" s="140" t="s">
        <v>376</v>
      </c>
      <c r="BK138" s="140" t="s">
        <v>376</v>
      </c>
      <c r="BL138" s="140" t="s">
        <v>376</v>
      </c>
      <c r="BM138" s="140" t="s">
        <v>376</v>
      </c>
      <c r="BN138" s="140" t="s">
        <v>376</v>
      </c>
      <c r="BO138" s="140" t="s">
        <v>376</v>
      </c>
      <c r="BP138" s="140" t="s">
        <v>376</v>
      </c>
      <c r="BQ138" s="140" t="s">
        <v>376</v>
      </c>
      <c r="BR138" s="144" t="e">
        <f>IF(E138&lt;#REF!,1,0)</f>
        <v>#REF!</v>
      </c>
      <c r="BS138" s="142" t="s">
        <v>377</v>
      </c>
    </row>
    <row r="139" customHeight="1" spans="1:71">
      <c r="A139" s="127"/>
      <c r="B139" s="127"/>
      <c r="C139" s="127"/>
      <c r="D139" s="185"/>
      <c r="E139" s="131"/>
      <c r="F139" s="143"/>
      <c r="G139" s="133"/>
      <c r="H139" s="133"/>
      <c r="I139" s="133"/>
      <c r="J139" s="134"/>
      <c r="K139" s="131"/>
      <c r="L139" s="174"/>
      <c r="M139" s="133"/>
      <c r="N139" s="131"/>
      <c r="O139" s="131"/>
      <c r="P139" s="142"/>
      <c r="Q139" s="136"/>
      <c r="R139" s="137"/>
      <c r="S139" s="134"/>
      <c r="T139" s="137"/>
      <c r="U139" s="137"/>
      <c r="V139" s="137"/>
      <c r="W139" s="137"/>
      <c r="X139" s="135"/>
      <c r="Y139" s="138"/>
      <c r="Z139" s="138"/>
      <c r="AA139" s="138"/>
      <c r="AB139" s="131"/>
      <c r="AC139" s="131"/>
      <c r="AD139" s="139"/>
      <c r="AE139" s="136"/>
      <c r="AF139" s="137"/>
      <c r="AG139" s="137"/>
      <c r="AH139" s="136"/>
      <c r="AI139" s="137"/>
      <c r="AJ139" s="137"/>
      <c r="AK139" s="137"/>
      <c r="AL139" s="137"/>
      <c r="AM139" s="137"/>
      <c r="AN139" s="140"/>
      <c r="AO139" s="140"/>
      <c r="AP139" s="140"/>
      <c r="AQ139" s="140"/>
      <c r="AR139" s="140"/>
      <c r="AS139" s="140"/>
      <c r="AT139" s="140"/>
      <c r="AU139" s="140"/>
      <c r="AV139" s="140"/>
      <c r="AW139" s="140"/>
      <c r="AX139" s="140"/>
      <c r="AY139" s="140"/>
      <c r="AZ139" s="140"/>
      <c r="BA139" s="140"/>
      <c r="BB139" s="140"/>
      <c r="BC139" s="140"/>
      <c r="BD139" s="140"/>
      <c r="BE139" s="140"/>
      <c r="BF139" s="140"/>
      <c r="BG139" s="140"/>
      <c r="BH139" s="140"/>
      <c r="BI139" s="140"/>
      <c r="BJ139" s="140"/>
      <c r="BK139" s="140"/>
      <c r="BL139" s="140"/>
      <c r="BM139" s="140"/>
      <c r="BN139" s="140"/>
      <c r="BO139" s="140"/>
      <c r="BP139" s="140"/>
      <c r="BQ139" s="140"/>
      <c r="BR139" s="144"/>
      <c r="BS139" s="142"/>
    </row>
    <row r="140" customHeight="1" spans="1:71">
      <c r="A140" s="127"/>
      <c r="B140" s="127"/>
      <c r="C140" s="127"/>
      <c r="D140" s="185"/>
      <c r="E140" s="131"/>
      <c r="F140" s="143"/>
      <c r="G140" s="133"/>
      <c r="H140" s="133"/>
      <c r="I140" s="133"/>
      <c r="J140" s="134"/>
      <c r="K140" s="131"/>
      <c r="L140" s="174"/>
      <c r="M140" s="133"/>
      <c r="N140" s="131"/>
      <c r="O140" s="131"/>
      <c r="P140" s="142"/>
      <c r="Q140" s="136"/>
      <c r="R140" s="137"/>
      <c r="S140" s="134"/>
      <c r="T140" s="137"/>
      <c r="U140" s="137"/>
      <c r="V140" s="137"/>
      <c r="W140" s="137"/>
      <c r="X140" s="135"/>
      <c r="Y140" s="138"/>
      <c r="Z140" s="138"/>
      <c r="AA140" s="138"/>
      <c r="AB140" s="131"/>
      <c r="AC140" s="131"/>
      <c r="AD140" s="139"/>
      <c r="AE140" s="136"/>
      <c r="AF140" s="137"/>
      <c r="AG140" s="137"/>
      <c r="AH140" s="136"/>
      <c r="AI140" s="137"/>
      <c r="AJ140" s="137"/>
      <c r="AK140" s="137"/>
      <c r="AL140" s="137"/>
      <c r="AM140" s="137"/>
      <c r="AN140" s="140"/>
      <c r="AO140" s="140"/>
      <c r="AP140" s="140"/>
      <c r="AQ140" s="140"/>
      <c r="AR140" s="140"/>
      <c r="AS140" s="140"/>
      <c r="AT140" s="140"/>
      <c r="AU140" s="140"/>
      <c r="AV140" s="140"/>
      <c r="AW140" s="140"/>
      <c r="AX140" s="140"/>
      <c r="AY140" s="140"/>
      <c r="AZ140" s="140"/>
      <c r="BA140" s="140"/>
      <c r="BB140" s="140"/>
      <c r="BC140" s="140"/>
      <c r="BD140" s="140"/>
      <c r="BE140" s="140"/>
      <c r="BF140" s="140"/>
      <c r="BG140" s="140"/>
      <c r="BH140" s="140"/>
      <c r="BI140" s="140"/>
      <c r="BJ140" s="140"/>
      <c r="BK140" s="140"/>
      <c r="BL140" s="140"/>
      <c r="BM140" s="140"/>
      <c r="BN140" s="140"/>
      <c r="BO140" s="140"/>
      <c r="BP140" s="140"/>
      <c r="BQ140" s="140"/>
      <c r="BR140" s="144"/>
      <c r="BS140" s="142"/>
    </row>
    <row r="141" customHeight="1" spans="1:71">
      <c r="A141" s="127" t="s">
        <v>86</v>
      </c>
      <c r="B141" s="127"/>
      <c r="C141" s="127"/>
      <c r="D141" s="185" t="s">
        <v>432</v>
      </c>
      <c r="E141" s="131">
        <v>100</v>
      </c>
      <c r="F141" s="143">
        <v>139.99</v>
      </c>
      <c r="G141" s="133">
        <f t="shared" ref="G141:G172" si="148">(F141-Z141)</f>
        <v>134.99</v>
      </c>
      <c r="H141" s="133"/>
      <c r="I141" s="133">
        <f>E141-N141/Q141-AB141-Y141-O141-Z141-AA141</f>
        <v>27.0348581467985</v>
      </c>
      <c r="J141" s="134">
        <f>I141/E141</f>
        <v>0.270348581467985</v>
      </c>
      <c r="K141" s="131">
        <f>F141/1.2</f>
        <v>116.658333333333</v>
      </c>
      <c r="L141" s="174">
        <f>(K141-E141)/K141</f>
        <v>0.142795913993857</v>
      </c>
      <c r="M141" s="133">
        <f>F141/1.2-E141</f>
        <v>16.6583333333333</v>
      </c>
      <c r="N141" s="131">
        <f>AD141+AH141</f>
        <v>330.884955752212</v>
      </c>
      <c r="O141" s="131">
        <f>IFERROR(IF(A141="UK",8.95/P141,IF(A141="DE",7.75/P141,IF(A141="FR",14.25/P141,IF(A141="IT",15.25/P141,IF(A141="ES",19.25/P141,IF(A141="NL",16.75/P141,IF(A141="PL",14.05/P141,IF(A141="SE",18.25/P141,IF(A141="BE",14.25/P141))))))))),0)</f>
        <v>2.2375</v>
      </c>
      <c r="P141" s="142">
        <v>4</v>
      </c>
      <c r="Q141" s="136">
        <v>8.5</v>
      </c>
      <c r="R141" s="137">
        <v>0.1</v>
      </c>
      <c r="S141" s="134">
        <f>Y141/F141</f>
        <v>0.0714336738338453</v>
      </c>
      <c r="T141" s="137">
        <v>0.05</v>
      </c>
      <c r="U141" s="137">
        <v>0.01</v>
      </c>
      <c r="V141" s="137">
        <f>N141/(E141*Q141)</f>
        <v>0.389276418532015</v>
      </c>
      <c r="W141" s="137">
        <f>O141/E141</f>
        <v>0.022375</v>
      </c>
      <c r="X141" s="135">
        <v>0.158</v>
      </c>
      <c r="Y141" s="138">
        <f>E141*R141</f>
        <v>10</v>
      </c>
      <c r="Z141" s="138">
        <f>E141*T141</f>
        <v>5</v>
      </c>
      <c r="AA141" s="138">
        <f>E141*U141</f>
        <v>1</v>
      </c>
      <c r="AB141" s="131">
        <f>E141*X141</f>
        <v>15.8</v>
      </c>
      <c r="AC141" s="131">
        <v>340</v>
      </c>
      <c r="AD141" s="139">
        <f>AC141/1.13</f>
        <v>300.884955752212</v>
      </c>
      <c r="AE141" s="136">
        <f>30/7.4</f>
        <v>4.05405405405405</v>
      </c>
      <c r="AF141" s="137">
        <f>AD141/(E141*Q141)</f>
        <v>0.353982300884956</v>
      </c>
      <c r="AG141" s="137">
        <f>AE141/Q141/E141</f>
        <v>0.00476947535771065</v>
      </c>
      <c r="AH141" s="136">
        <v>30</v>
      </c>
      <c r="AI141" s="137">
        <f>(K141-E141+AB141-Z141)/K141</f>
        <v>0.23537395528252</v>
      </c>
      <c r="AJ141" s="137"/>
      <c r="AK141" s="137"/>
      <c r="AL141" s="137"/>
      <c r="AM141" s="137"/>
      <c r="AN141" s="140"/>
      <c r="AO141" s="140"/>
      <c r="AP141" s="140"/>
      <c r="AQ141" s="140"/>
      <c r="AR141" s="140"/>
      <c r="AS141" s="140"/>
      <c r="AT141" s="140" t="s">
        <v>376</v>
      </c>
      <c r="AU141" s="140" t="s">
        <v>376</v>
      </c>
      <c r="AV141" s="140" t="s">
        <v>376</v>
      </c>
      <c r="AW141" s="140" t="s">
        <v>376</v>
      </c>
      <c r="AX141" s="140" t="s">
        <v>376</v>
      </c>
      <c r="AY141" s="140" t="s">
        <v>376</v>
      </c>
      <c r="AZ141" s="140" t="s">
        <v>376</v>
      </c>
      <c r="BA141" s="140" t="s">
        <v>376</v>
      </c>
      <c r="BB141" s="140" t="s">
        <v>376</v>
      </c>
      <c r="BC141" s="140" t="s">
        <v>376</v>
      </c>
      <c r="BD141" s="140" t="s">
        <v>376</v>
      </c>
      <c r="BE141" s="140" t="s">
        <v>376</v>
      </c>
      <c r="BF141" s="140" t="s">
        <v>376</v>
      </c>
      <c r="BG141" s="140" t="s">
        <v>376</v>
      </c>
      <c r="BH141" s="140" t="s">
        <v>376</v>
      </c>
      <c r="BI141" s="140" t="s">
        <v>376</v>
      </c>
      <c r="BJ141" s="140" t="s">
        <v>376</v>
      </c>
      <c r="BK141" s="140" t="s">
        <v>376</v>
      </c>
      <c r="BL141" s="140" t="s">
        <v>376</v>
      </c>
      <c r="BM141" s="140" t="s">
        <v>376</v>
      </c>
      <c r="BN141" s="140" t="s">
        <v>376</v>
      </c>
      <c r="BO141" s="140" t="s">
        <v>376</v>
      </c>
      <c r="BP141" s="140" t="s">
        <v>376</v>
      </c>
      <c r="BQ141" s="140" t="s">
        <v>376</v>
      </c>
      <c r="BR141" s="144" t="e">
        <f>IF(#REF!&lt;E141,1,0)</f>
        <v>#REF!</v>
      </c>
      <c r="BS141" s="142" t="s">
        <v>377</v>
      </c>
    </row>
    <row r="142" customHeight="1" spans="1:71">
      <c r="A142" s="127" t="s">
        <v>280</v>
      </c>
      <c r="B142" s="127"/>
      <c r="C142" s="127"/>
      <c r="D142" s="187" t="s">
        <v>432</v>
      </c>
      <c r="E142" s="131">
        <v>108</v>
      </c>
      <c r="F142" s="143">
        <v>149.99</v>
      </c>
      <c r="G142" s="133">
        <f t="shared" si="148"/>
        <v>144.59</v>
      </c>
      <c r="H142" s="133"/>
      <c r="I142" s="133">
        <f>E142-N142/Q142-AB142-Y142-O142-Z142-AA142</f>
        <v>25.7623167902416</v>
      </c>
      <c r="J142" s="134">
        <f>I142/E142</f>
        <v>0.238539970280015</v>
      </c>
      <c r="K142" s="131">
        <f>F142/1.2</f>
        <v>124.991666666667</v>
      </c>
      <c r="L142" s="174">
        <f>(K142-E142)/K142</f>
        <v>0.135942396159744</v>
      </c>
      <c r="M142" s="133">
        <f>F142/1.2-E142</f>
        <v>16.9916666666667</v>
      </c>
      <c r="N142" s="131">
        <f>AD142+AH142</f>
        <v>330.884955752212</v>
      </c>
      <c r="O142" s="131">
        <f>IFERROR(IF(A142="UK",8.95/P142,IF(A142="DE",7.75/P142,IF(A142="FR",14.25/P142,IF(A142="IT",15.25/P142,IF(A142="ES",19.25/P142,IF(A142="NL",16.75/P142,IF(A142="PL",14.05/P142,IF(A142="SE",18.25/P142,IF(A142="BE",14.25/P142))))))))),0)</f>
        <v>1.9375</v>
      </c>
      <c r="P142" s="127">
        <v>4</v>
      </c>
      <c r="Q142" s="136">
        <v>7.4</v>
      </c>
      <c r="R142" s="137">
        <v>0.1</v>
      </c>
      <c r="S142" s="134">
        <f>Y142/F142</f>
        <v>0.0720048003200213</v>
      </c>
      <c r="T142" s="137">
        <v>0.05</v>
      </c>
      <c r="U142" s="137">
        <v>0.01</v>
      </c>
      <c r="V142" s="137">
        <f>N142/(E142*Q142)</f>
        <v>0.414020214905171</v>
      </c>
      <c r="W142" s="137">
        <f>O142/E142</f>
        <v>0.0179398148148148</v>
      </c>
      <c r="X142" s="135">
        <v>0.1695</v>
      </c>
      <c r="Y142" s="138">
        <f>E142*R142</f>
        <v>10.8</v>
      </c>
      <c r="Z142" s="138">
        <f>E142*T142</f>
        <v>5.4</v>
      </c>
      <c r="AA142" s="138">
        <f>E142*U142</f>
        <v>1.08</v>
      </c>
      <c r="AB142" s="131">
        <f>E142*X142</f>
        <v>18.306</v>
      </c>
      <c r="AC142" s="131">
        <v>340</v>
      </c>
      <c r="AD142" s="139">
        <f>AC142/1.13</f>
        <v>300.884955752212</v>
      </c>
      <c r="AE142" s="136">
        <f>30/7.4</f>
        <v>4.05405405405405</v>
      </c>
      <c r="AF142" s="137">
        <f>AD142/(E142*Q142)</f>
        <v>0.376482677367633</v>
      </c>
      <c r="AG142" s="137">
        <f>AE142/Q142/E142</f>
        <v>0.00507264020777534</v>
      </c>
      <c r="AH142" s="136">
        <v>30</v>
      </c>
      <c r="AI142" s="137">
        <f>(K142-E142+AB142-Z142)/K142</f>
        <v>0.239197279818655</v>
      </c>
      <c r="AJ142" s="137"/>
      <c r="AK142" s="137"/>
      <c r="AL142" s="137"/>
      <c r="AM142" s="137"/>
      <c r="AN142" s="140"/>
      <c r="AO142" s="140"/>
      <c r="AP142" s="140"/>
      <c r="AQ142" s="140"/>
      <c r="AR142" s="140"/>
      <c r="AS142" s="140"/>
      <c r="AT142" s="140" t="s">
        <v>376</v>
      </c>
      <c r="AU142" s="140" t="s">
        <v>376</v>
      </c>
      <c r="AV142" s="140" t="s">
        <v>376</v>
      </c>
      <c r="AW142" s="140" t="s">
        <v>376</v>
      </c>
      <c r="AX142" s="140" t="s">
        <v>376</v>
      </c>
      <c r="AY142" s="140" t="s">
        <v>376</v>
      </c>
      <c r="AZ142" s="140" t="s">
        <v>376</v>
      </c>
      <c r="BA142" s="140" t="s">
        <v>376</v>
      </c>
      <c r="BB142" s="140" t="s">
        <v>376</v>
      </c>
      <c r="BC142" s="140" t="s">
        <v>376</v>
      </c>
      <c r="BD142" s="140" t="s">
        <v>376</v>
      </c>
      <c r="BE142" s="140" t="s">
        <v>376</v>
      </c>
      <c r="BF142" s="140" t="s">
        <v>376</v>
      </c>
      <c r="BG142" s="140" t="s">
        <v>376</v>
      </c>
      <c r="BH142" s="140" t="s">
        <v>376</v>
      </c>
      <c r="BI142" s="140" t="s">
        <v>376</v>
      </c>
      <c r="BJ142" s="140" t="s">
        <v>376</v>
      </c>
      <c r="BK142" s="140" t="s">
        <v>376</v>
      </c>
      <c r="BL142" s="140" t="s">
        <v>376</v>
      </c>
      <c r="BM142" s="140" t="s">
        <v>376</v>
      </c>
      <c r="BN142" s="140" t="s">
        <v>376</v>
      </c>
      <c r="BO142" s="140" t="s">
        <v>376</v>
      </c>
      <c r="BP142" s="140" t="s">
        <v>376</v>
      </c>
      <c r="BQ142" s="140" t="s">
        <v>376</v>
      </c>
      <c r="BR142" s="144" t="e">
        <f>IF(#REF!&lt;E142,1,0)</f>
        <v>#REF!</v>
      </c>
      <c r="BS142" s="142" t="s">
        <v>377</v>
      </c>
    </row>
    <row r="143" customHeight="1" spans="1:71">
      <c r="A143" s="127" t="s">
        <v>285</v>
      </c>
      <c r="B143" s="127"/>
      <c r="C143" s="127"/>
      <c r="D143" s="187" t="s">
        <v>432</v>
      </c>
      <c r="E143" s="131">
        <v>108</v>
      </c>
      <c r="F143" s="143">
        <v>149.99</v>
      </c>
      <c r="G143" s="133">
        <f t="shared" si="148"/>
        <v>144.59</v>
      </c>
      <c r="H143" s="133"/>
      <c r="I143" s="133">
        <f>E143-N143/Q143-AB143-Y143-O143-Z143-AA143</f>
        <v>21.0593167902416</v>
      </c>
      <c r="J143" s="134">
        <f>I143/E143</f>
        <v>0.194993673983718</v>
      </c>
      <c r="K143" s="131">
        <f>F143/1.2</f>
        <v>124.991666666667</v>
      </c>
      <c r="L143" s="174">
        <f>(K143-E143)/K143</f>
        <v>0.135942396159744</v>
      </c>
      <c r="M143" s="133">
        <f>F143/1.2-E143</f>
        <v>16.9916666666667</v>
      </c>
      <c r="N143" s="131">
        <f>AD143+AH143</f>
        <v>330.884955752212</v>
      </c>
      <c r="O143" s="131">
        <f>IFERROR(IF(A143="UK",8.95/P143,IF(A143="DE",7.75/P143,IF(A143="FR",14.25/P143,IF(A143="IT",15.25/P143,IF(A143="ES",19.25/P143,IF(A143="NL",16.75/P143,IF(A143="PL",14.05/P143,IF(A143="SE",18.25/P143,IF(A143="BE",14.25/P143))))))))),0)</f>
        <v>3.5625</v>
      </c>
      <c r="P143" s="127">
        <v>4</v>
      </c>
      <c r="Q143" s="136">
        <v>7.4</v>
      </c>
      <c r="R143" s="137">
        <v>0.1</v>
      </c>
      <c r="S143" s="134">
        <f>Y143/F143</f>
        <v>0.0720048003200213</v>
      </c>
      <c r="T143" s="137">
        <v>0.05</v>
      </c>
      <c r="U143" s="137">
        <v>0.01</v>
      </c>
      <c r="V143" s="137">
        <f>N143/(E143*Q143)</f>
        <v>0.414020214905171</v>
      </c>
      <c r="W143" s="137">
        <f>O143/E143</f>
        <v>0.0329861111111111</v>
      </c>
      <c r="X143" s="135">
        <v>0.198</v>
      </c>
      <c r="Y143" s="138">
        <f>E143*R143</f>
        <v>10.8</v>
      </c>
      <c r="Z143" s="138">
        <f>E143*T143</f>
        <v>5.4</v>
      </c>
      <c r="AA143" s="138">
        <f>E143*U143</f>
        <v>1.08</v>
      </c>
      <c r="AB143" s="131">
        <f>E143*X143</f>
        <v>21.384</v>
      </c>
      <c r="AC143" s="131">
        <v>340</v>
      </c>
      <c r="AD143" s="139">
        <f>AC143/1.13</f>
        <v>300.884955752212</v>
      </c>
      <c r="AE143" s="136">
        <f>30/7.4</f>
        <v>4.05405405405405</v>
      </c>
      <c r="AF143" s="137">
        <f>AD143/(E143*Q143)</f>
        <v>0.376482677367633</v>
      </c>
      <c r="AG143" s="137">
        <f>AE143/Q143/E143</f>
        <v>0.00507264020777534</v>
      </c>
      <c r="AH143" s="136">
        <v>30</v>
      </c>
      <c r="AI143" s="137">
        <f>(K143-E143+AB143-Z143)/K143</f>
        <v>0.263822921528102</v>
      </c>
      <c r="AJ143" s="137"/>
      <c r="AK143" s="137"/>
      <c r="AL143" s="137"/>
      <c r="AM143" s="137"/>
      <c r="AN143" s="140"/>
      <c r="AO143" s="140"/>
      <c r="AP143" s="140"/>
      <c r="AQ143" s="140"/>
      <c r="AR143" s="140"/>
      <c r="AS143" s="140"/>
      <c r="AT143" s="140" t="s">
        <v>376</v>
      </c>
      <c r="AU143" s="140" t="s">
        <v>376</v>
      </c>
      <c r="AV143" s="140" t="s">
        <v>376</v>
      </c>
      <c r="AW143" s="140" t="s">
        <v>376</v>
      </c>
      <c r="AX143" s="140" t="s">
        <v>376</v>
      </c>
      <c r="AY143" s="140" t="s">
        <v>376</v>
      </c>
      <c r="AZ143" s="140" t="s">
        <v>376</v>
      </c>
      <c r="BA143" s="140" t="s">
        <v>376</v>
      </c>
      <c r="BB143" s="140" t="s">
        <v>376</v>
      </c>
      <c r="BC143" s="140" t="s">
        <v>376</v>
      </c>
      <c r="BD143" s="140" t="s">
        <v>376</v>
      </c>
      <c r="BE143" s="140" t="s">
        <v>376</v>
      </c>
      <c r="BF143" s="140" t="s">
        <v>376</v>
      </c>
      <c r="BG143" s="140" t="s">
        <v>376</v>
      </c>
      <c r="BH143" s="140" t="s">
        <v>376</v>
      </c>
      <c r="BI143" s="140" t="s">
        <v>376</v>
      </c>
      <c r="BJ143" s="140" t="s">
        <v>376</v>
      </c>
      <c r="BK143" s="140" t="s">
        <v>376</v>
      </c>
      <c r="BL143" s="140" t="s">
        <v>376</v>
      </c>
      <c r="BM143" s="140" t="s">
        <v>376</v>
      </c>
      <c r="BN143" s="140" t="s">
        <v>376</v>
      </c>
      <c r="BO143" s="140" t="s">
        <v>376</v>
      </c>
      <c r="BP143" s="140" t="s">
        <v>376</v>
      </c>
      <c r="BQ143" s="140" t="s">
        <v>376</v>
      </c>
      <c r="BR143" s="144" t="e">
        <f>IF(#REF!&lt;E143,1,0)</f>
        <v>#REF!</v>
      </c>
      <c r="BS143" s="142" t="s">
        <v>377</v>
      </c>
    </row>
    <row r="144" customHeight="1" spans="1:71">
      <c r="A144" s="127" t="s">
        <v>287</v>
      </c>
      <c r="B144" s="127"/>
      <c r="C144" s="127"/>
      <c r="D144" s="187" t="s">
        <v>432</v>
      </c>
      <c r="E144" s="131">
        <v>108</v>
      </c>
      <c r="F144" s="143">
        <v>149.99</v>
      </c>
      <c r="G144" s="133">
        <f t="shared" si="148"/>
        <v>144.59</v>
      </c>
      <c r="H144" s="133"/>
      <c r="I144" s="133">
        <f>E144-N144/Q144-AB144-Y144-O144-Z144-AA144</f>
        <v>22.2565167902416</v>
      </c>
      <c r="J144" s="134">
        <f>I144/E144</f>
        <v>0.206078859168903</v>
      </c>
      <c r="K144" s="131">
        <f>F144/1.2</f>
        <v>124.991666666667</v>
      </c>
      <c r="L144" s="174">
        <f>(K144-E144)/K144</f>
        <v>0.135942396159744</v>
      </c>
      <c r="M144" s="133">
        <f>F144/1.2-E144</f>
        <v>16.9916666666667</v>
      </c>
      <c r="N144" s="131">
        <f>AD144+AH144</f>
        <v>330.884955752212</v>
      </c>
      <c r="O144" s="131">
        <f>IFERROR(IF(A144="UK",8.95/P144,IF(A144="DE",7.75/P144,IF(A144="FR",14.25/P144,IF(A144="IT",15.25/P144,IF(A144="ES",19.25/P144,IF(A144="NL",16.75/P144,IF(A144="PL",14.05/P144,IF(A144="SE",18.25/P144,IF(A144="BE",14.25/P144))))))))),0)</f>
        <v>3.8125</v>
      </c>
      <c r="P144" s="127">
        <v>4</v>
      </c>
      <c r="Q144" s="136">
        <v>7.4</v>
      </c>
      <c r="R144" s="137">
        <v>0.1</v>
      </c>
      <c r="S144" s="134">
        <f>Y144/F144</f>
        <v>0.0720048003200213</v>
      </c>
      <c r="T144" s="137">
        <v>0.05</v>
      </c>
      <c r="U144" s="137">
        <v>0.01</v>
      </c>
      <c r="V144" s="137">
        <f>N144/(E144*Q144)</f>
        <v>0.414020214905171</v>
      </c>
      <c r="W144" s="137">
        <f>O144/E144</f>
        <v>0.0353009259259259</v>
      </c>
      <c r="X144" s="135">
        <v>0.1846</v>
      </c>
      <c r="Y144" s="138">
        <f>E144*R144</f>
        <v>10.8</v>
      </c>
      <c r="Z144" s="138">
        <f>E144*T144</f>
        <v>5.4</v>
      </c>
      <c r="AA144" s="138">
        <f>E144*U144</f>
        <v>1.08</v>
      </c>
      <c r="AB144" s="131">
        <f>E144*X144</f>
        <v>19.9368</v>
      </c>
      <c r="AC144" s="131">
        <v>340</v>
      </c>
      <c r="AD144" s="139">
        <f>AC144/1.13</f>
        <v>300.884955752212</v>
      </c>
      <c r="AE144" s="136">
        <f>30/7.4</f>
        <v>4.05405405405405</v>
      </c>
      <c r="AF144" s="137">
        <f>AD144/(E144*Q144)</f>
        <v>0.376482677367633</v>
      </c>
      <c r="AG144" s="137">
        <f>AE144/Q144/E144</f>
        <v>0.00507264020777534</v>
      </c>
      <c r="AH144" s="136">
        <v>30</v>
      </c>
      <c r="AI144" s="137">
        <f>(K144-E144+AB144-Z144)/K144</f>
        <v>0.252244549636643</v>
      </c>
      <c r="AJ144" s="137"/>
      <c r="AK144" s="137"/>
      <c r="AL144" s="137"/>
      <c r="AM144" s="137"/>
      <c r="AN144" s="140"/>
      <c r="AO144" s="140"/>
      <c r="AP144" s="140"/>
      <c r="AQ144" s="140"/>
      <c r="AR144" s="140"/>
      <c r="AS144" s="140"/>
      <c r="AT144" s="140" t="s">
        <v>376</v>
      </c>
      <c r="AU144" s="140" t="s">
        <v>376</v>
      </c>
      <c r="AV144" s="140" t="s">
        <v>376</v>
      </c>
      <c r="AW144" s="140" t="s">
        <v>376</v>
      </c>
      <c r="AX144" s="140" t="s">
        <v>376</v>
      </c>
      <c r="AY144" s="140" t="s">
        <v>376</v>
      </c>
      <c r="AZ144" s="140" t="s">
        <v>376</v>
      </c>
      <c r="BA144" s="140" t="s">
        <v>376</v>
      </c>
      <c r="BB144" s="140" t="s">
        <v>376</v>
      </c>
      <c r="BC144" s="140" t="s">
        <v>376</v>
      </c>
      <c r="BD144" s="140" t="s">
        <v>376</v>
      </c>
      <c r="BE144" s="140" t="s">
        <v>376</v>
      </c>
      <c r="BF144" s="140" t="s">
        <v>376</v>
      </c>
      <c r="BG144" s="140" t="s">
        <v>376</v>
      </c>
      <c r="BH144" s="140" t="s">
        <v>376</v>
      </c>
      <c r="BI144" s="140" t="s">
        <v>376</v>
      </c>
      <c r="BJ144" s="140" t="s">
        <v>376</v>
      </c>
      <c r="BK144" s="140" t="s">
        <v>376</v>
      </c>
      <c r="BL144" s="140" t="s">
        <v>376</v>
      </c>
      <c r="BM144" s="140" t="s">
        <v>376</v>
      </c>
      <c r="BN144" s="140" t="s">
        <v>376</v>
      </c>
      <c r="BO144" s="140" t="s">
        <v>376</v>
      </c>
      <c r="BP144" s="140" t="s">
        <v>376</v>
      </c>
      <c r="BQ144" s="140" t="s">
        <v>376</v>
      </c>
      <c r="BR144" s="144" t="e">
        <f>IF(#REF!&lt;E144,1,0)</f>
        <v>#REF!</v>
      </c>
      <c r="BS144" s="142" t="s">
        <v>377</v>
      </c>
    </row>
    <row r="145" customHeight="1" spans="1:71">
      <c r="A145" s="127" t="s">
        <v>290</v>
      </c>
      <c r="B145" s="127"/>
      <c r="C145" s="127"/>
      <c r="D145" s="187" t="s">
        <v>432</v>
      </c>
      <c r="E145" s="131">
        <v>108</v>
      </c>
      <c r="F145" s="143">
        <v>149.99</v>
      </c>
      <c r="G145" s="133">
        <f t="shared" si="148"/>
        <v>144.59</v>
      </c>
      <c r="H145" s="133"/>
      <c r="I145" s="133">
        <f>E145-N145/Q145-AB145-Y145-O145-Z145-AA145</f>
        <v>23.4165167902416</v>
      </c>
      <c r="J145" s="134">
        <f>I145/E145</f>
        <v>0.216819599909644</v>
      </c>
      <c r="K145" s="131">
        <f>F145/1.2</f>
        <v>124.991666666667</v>
      </c>
      <c r="L145" s="174">
        <f>(K145-E145)/K145</f>
        <v>0.135942396159744</v>
      </c>
      <c r="M145" s="133">
        <f>F145/1.2-E145</f>
        <v>16.9916666666667</v>
      </c>
      <c r="N145" s="131">
        <f>AD145+AH145</f>
        <v>330.884955752212</v>
      </c>
      <c r="O145" s="131">
        <f>IFERROR(IF(A145="UK",8.95/P145,IF(A145="DE",7.75/P145,IF(A145="FR",14.25/P145,IF(A145="IT",15.25/P145,IF(A145="ES",19.25/P145,IF(A145="NL",16.75/P145,IF(A145="PL",14.05/P145,IF(A145="SE",18.25/P145,IF(A145="BE",14.25/P145))))))))),0)</f>
        <v>4.8125</v>
      </c>
      <c r="P145" s="127">
        <v>4</v>
      </c>
      <c r="Q145" s="136">
        <v>7.4</v>
      </c>
      <c r="R145" s="137">
        <v>0.1</v>
      </c>
      <c r="S145" s="134">
        <f>Y145/F145</f>
        <v>0.0720048003200213</v>
      </c>
      <c r="T145" s="137">
        <v>0.05</v>
      </c>
      <c r="U145" s="137">
        <v>0.01</v>
      </c>
      <c r="V145" s="137">
        <f>N145/(E145*Q145)</f>
        <v>0.414020214905171</v>
      </c>
      <c r="W145" s="137">
        <f>O145/E145</f>
        <v>0.0445601851851852</v>
      </c>
      <c r="X145" s="135">
        <v>0.1646</v>
      </c>
      <c r="Y145" s="138">
        <f>E145*R145</f>
        <v>10.8</v>
      </c>
      <c r="Z145" s="138">
        <f>E145*T145</f>
        <v>5.4</v>
      </c>
      <c r="AA145" s="138">
        <f>E145*U145</f>
        <v>1.08</v>
      </c>
      <c r="AB145" s="131">
        <f>E145*X145</f>
        <v>17.7768</v>
      </c>
      <c r="AC145" s="131">
        <v>340</v>
      </c>
      <c r="AD145" s="139">
        <f>AC145/1.13</f>
        <v>300.884955752212</v>
      </c>
      <c r="AE145" s="136">
        <f>30/7.4</f>
        <v>4.05405405405405</v>
      </c>
      <c r="AF145" s="137">
        <f>AD145/(E145*Q145)</f>
        <v>0.376482677367633</v>
      </c>
      <c r="AG145" s="137">
        <f>AE145/Q145/E145</f>
        <v>0.00507264020777534</v>
      </c>
      <c r="AH145" s="136">
        <v>30</v>
      </c>
      <c r="AI145" s="137">
        <f>(K145-E145+AB145-Z145)/K145</f>
        <v>0.234963397559837</v>
      </c>
      <c r="AJ145" s="137"/>
      <c r="AK145" s="137"/>
      <c r="AL145" s="137"/>
      <c r="AM145" s="137"/>
      <c r="AN145" s="140"/>
      <c r="AO145" s="140"/>
      <c r="AP145" s="140"/>
      <c r="AQ145" s="140"/>
      <c r="AR145" s="140"/>
      <c r="AS145" s="140"/>
      <c r="AT145" s="140" t="s">
        <v>376</v>
      </c>
      <c r="AU145" s="140" t="s">
        <v>376</v>
      </c>
      <c r="AV145" s="140" t="s">
        <v>376</v>
      </c>
      <c r="AW145" s="140" t="s">
        <v>376</v>
      </c>
      <c r="AX145" s="140" t="s">
        <v>376</v>
      </c>
      <c r="AY145" s="140" t="s">
        <v>376</v>
      </c>
      <c r="AZ145" s="140" t="s">
        <v>376</v>
      </c>
      <c r="BA145" s="140" t="s">
        <v>376</v>
      </c>
      <c r="BB145" s="140" t="s">
        <v>376</v>
      </c>
      <c r="BC145" s="140" t="s">
        <v>376</v>
      </c>
      <c r="BD145" s="140" t="s">
        <v>376</v>
      </c>
      <c r="BE145" s="140" t="s">
        <v>376</v>
      </c>
      <c r="BF145" s="140" t="s">
        <v>376</v>
      </c>
      <c r="BG145" s="140" t="s">
        <v>376</v>
      </c>
      <c r="BH145" s="140" t="s">
        <v>376</v>
      </c>
      <c r="BI145" s="140" t="s">
        <v>376</v>
      </c>
      <c r="BJ145" s="140" t="s">
        <v>376</v>
      </c>
      <c r="BK145" s="140" t="s">
        <v>376</v>
      </c>
      <c r="BL145" s="140" t="s">
        <v>376</v>
      </c>
      <c r="BM145" s="140" t="s">
        <v>376</v>
      </c>
      <c r="BN145" s="140" t="s">
        <v>376</v>
      </c>
      <c r="BO145" s="140" t="s">
        <v>376</v>
      </c>
      <c r="BP145" s="140" t="s">
        <v>376</v>
      </c>
      <c r="BQ145" s="140" t="s">
        <v>376</v>
      </c>
      <c r="BR145" s="144" t="e">
        <f>IF(#REF!&lt;E145,1,0)</f>
        <v>#REF!</v>
      </c>
      <c r="BS145" s="142" t="s">
        <v>377</v>
      </c>
    </row>
    <row r="146" customHeight="1" spans="1:71">
      <c r="G146" s="133">
        <f t="shared" si="148"/>
        <v>0</v>
      </c>
      <c r="H146" s="1"/>
      <c r="N146" s="131"/>
      <c r="S146" s="1"/>
      <c r="AE146" s="14"/>
      <c r="AI146" s="1"/>
      <c r="BS146" s="1" t="s">
        <v>377</v>
      </c>
    </row>
    <row r="147" customHeight="1" spans="1:71">
      <c r="A147" s="127" t="s">
        <v>86</v>
      </c>
      <c r="B147" s="127"/>
      <c r="C147" s="127"/>
      <c r="D147" s="185" t="s">
        <v>433</v>
      </c>
      <c r="E147" s="131">
        <v>85</v>
      </c>
      <c r="F147" s="143">
        <v>119.99</v>
      </c>
      <c r="G147" s="133">
        <f t="shared" si="148"/>
        <v>115.74</v>
      </c>
      <c r="H147" s="133"/>
      <c r="I147" s="133">
        <f>E147-N147/Q147-AB147-Y147-O147-Z147-AA147</f>
        <v>21.0439545375672</v>
      </c>
      <c r="J147" s="134">
        <f>I147/E147</f>
        <v>0.247575935736085</v>
      </c>
      <c r="K147" s="131">
        <f>F147/1.2</f>
        <v>99.9916666666667</v>
      </c>
      <c r="L147" s="174">
        <f>(K147-E147)/K147</f>
        <v>0.149929160763397</v>
      </c>
      <c r="M147" s="133">
        <f>F147/1.2-E147</f>
        <v>14.9916666666667</v>
      </c>
      <c r="N147" s="131">
        <f>AD147+AH147</f>
        <v>266.838053097345</v>
      </c>
      <c r="O147" s="131">
        <f>IFERROR(IF(A147="UK",8.95/P147,IF(A147="DE",7.75/P147,IF(A147="FR",14.25/P147,IF(A147="IT",15.25/P147,IF(A147="ES",19.25/P147,IF(A147="NL",16.75/P147,IF(A147="PL",14.05/P147,IF(A147="SE",18.25/P147,IF(A147="BE",14.25/P147))))))))),0)</f>
        <v>2.98333333333333</v>
      </c>
      <c r="P147" s="142">
        <v>3</v>
      </c>
      <c r="Q147" s="136">
        <v>8.5</v>
      </c>
      <c r="R147" s="137">
        <v>0.13</v>
      </c>
      <c r="S147" s="134">
        <f>Y147/F147</f>
        <v>0.0920910075839653</v>
      </c>
      <c r="T147" s="137">
        <v>0.05</v>
      </c>
      <c r="U147" s="137">
        <v>0.01</v>
      </c>
      <c r="V147" s="137">
        <f>N147/(E147*Q147)</f>
        <v>0.369326025048229</v>
      </c>
      <c r="W147" s="137">
        <f>O147/E147</f>
        <v>0.0350980392156863</v>
      </c>
      <c r="X147" s="135">
        <v>0.158</v>
      </c>
      <c r="Y147" s="138">
        <f>E147*R147</f>
        <v>11.05</v>
      </c>
      <c r="Z147" s="138">
        <f>E147*T147</f>
        <v>4.25</v>
      </c>
      <c r="AA147" s="138">
        <f>E147*U147</f>
        <v>0.85</v>
      </c>
      <c r="AB147" s="131">
        <f>E147*X147</f>
        <v>13.43</v>
      </c>
      <c r="AC147" s="131">
        <v>270</v>
      </c>
      <c r="AD147" s="139">
        <f>AC147/1.13</f>
        <v>238.938053097345</v>
      </c>
      <c r="AE147" s="136">
        <f>30/8.5</f>
        <v>3.52941176470588</v>
      </c>
      <c r="AF147" s="137">
        <f>AD147/(E147*Q147)</f>
        <v>0.330710108093211</v>
      </c>
      <c r="AG147" s="137">
        <f>AE147/Q147/E147</f>
        <v>0.00488499898229188</v>
      </c>
      <c r="AH147" s="136">
        <v>27.9</v>
      </c>
      <c r="AI147" s="137">
        <f>(K147-E147+AB147-Z147)/K147</f>
        <v>0.24173681140095</v>
      </c>
      <c r="AJ147" s="137"/>
      <c r="AK147" s="137"/>
      <c r="AL147" s="137"/>
      <c r="AM147" s="137"/>
      <c r="AN147" s="140"/>
      <c r="AO147" s="140"/>
      <c r="AP147" s="140"/>
      <c r="AQ147" s="140"/>
      <c r="AR147" s="140"/>
      <c r="AS147" s="140"/>
      <c r="AT147" s="140" t="s">
        <v>376</v>
      </c>
      <c r="AU147" s="140" t="s">
        <v>376</v>
      </c>
      <c r="AV147" s="140" t="s">
        <v>376</v>
      </c>
      <c r="AW147" s="140" t="s">
        <v>376</v>
      </c>
      <c r="AX147" s="140" t="s">
        <v>376</v>
      </c>
      <c r="AY147" s="140" t="s">
        <v>376</v>
      </c>
      <c r="AZ147" s="140" t="s">
        <v>376</v>
      </c>
      <c r="BA147" s="140" t="s">
        <v>376</v>
      </c>
      <c r="BB147" s="140" t="s">
        <v>376</v>
      </c>
      <c r="BC147" s="140" t="s">
        <v>376</v>
      </c>
      <c r="BD147" s="140" t="s">
        <v>376</v>
      </c>
      <c r="BE147" s="140" t="s">
        <v>376</v>
      </c>
      <c r="BF147" s="140" t="s">
        <v>376</v>
      </c>
      <c r="BG147" s="140" t="s">
        <v>376</v>
      </c>
      <c r="BH147" s="140" t="s">
        <v>376</v>
      </c>
      <c r="BI147" s="140" t="s">
        <v>376</v>
      </c>
      <c r="BJ147" s="140" t="s">
        <v>376</v>
      </c>
      <c r="BK147" s="140" t="s">
        <v>376</v>
      </c>
      <c r="BL147" s="140" t="s">
        <v>376</v>
      </c>
      <c r="BM147" s="140" t="s">
        <v>376</v>
      </c>
      <c r="BN147" s="140" t="s">
        <v>376</v>
      </c>
      <c r="BO147" s="140" t="s">
        <v>376</v>
      </c>
      <c r="BP147" s="140" t="s">
        <v>376</v>
      </c>
      <c r="BQ147" s="140" t="s">
        <v>376</v>
      </c>
      <c r="BR147" s="144" t="e">
        <f>IF(#REF!&lt;E147,1,0)</f>
        <v>#REF!</v>
      </c>
      <c r="BS147" s="142" t="s">
        <v>377</v>
      </c>
    </row>
    <row r="148" customHeight="1" spans="1:71">
      <c r="A148" s="127" t="s">
        <v>280</v>
      </c>
      <c r="B148" s="127"/>
      <c r="C148" s="127"/>
      <c r="D148" s="185" t="s">
        <v>433</v>
      </c>
      <c r="E148" s="131">
        <v>84</v>
      </c>
      <c r="F148" s="143">
        <v>119</v>
      </c>
      <c r="G148" s="133">
        <f t="shared" si="148"/>
        <v>114.8</v>
      </c>
      <c r="H148" s="133"/>
      <c r="I148" s="133">
        <f>E148-N148/Q148-AB148-Y148-O148-Z148-AA148</f>
        <v>15.1594703021606</v>
      </c>
      <c r="J148" s="134">
        <f>I148/E148</f>
        <v>0.180469884549531</v>
      </c>
      <c r="K148" s="131">
        <f>F148/1.2</f>
        <v>99.1666666666667</v>
      </c>
      <c r="L148" s="174">
        <f>(K148-E148)/K148</f>
        <v>0.152941176470588</v>
      </c>
      <c r="M148" s="133">
        <f>F148/1.2-E148</f>
        <v>15.1666666666667</v>
      </c>
      <c r="N148" s="131">
        <f>AD148+AH148</f>
        <v>266.838053097345</v>
      </c>
      <c r="O148" s="131">
        <f>IFERROR(IF(A148="UK",8.95/P148,IF(A148="DE",7.75/P148,IF(A148="FR",14.25/P148,IF(A148="IT",15.25/P148,IF(A148="ES",19.25/P148,IF(A148="NL",16.75/P148,IF(A148="PL",14.05/P148,IF(A148="SE",18.25/P148,IF(A148="BE",14.25/P148))))))))),0)</f>
        <v>2.58333333333333</v>
      </c>
      <c r="P148" s="127">
        <v>3</v>
      </c>
      <c r="Q148" s="136">
        <v>7.4</v>
      </c>
      <c r="R148" s="137">
        <v>0.13</v>
      </c>
      <c r="S148" s="134">
        <f>Y148/F148</f>
        <v>0.0917647058823529</v>
      </c>
      <c r="T148" s="137">
        <v>0.05</v>
      </c>
      <c r="U148" s="137">
        <v>0.01</v>
      </c>
      <c r="V148" s="137">
        <f>N148/(E148*Q148)</f>
        <v>0.429276147196501</v>
      </c>
      <c r="W148" s="137">
        <f>O148/E148</f>
        <v>0.0307539682539683</v>
      </c>
      <c r="X148" s="135">
        <v>0.1695</v>
      </c>
      <c r="Y148" s="138">
        <f>E148*R148</f>
        <v>10.92</v>
      </c>
      <c r="Z148" s="138">
        <f>E148*T148</f>
        <v>4.2</v>
      </c>
      <c r="AA148" s="138">
        <f>E148*U148</f>
        <v>0.84</v>
      </c>
      <c r="AB148" s="131">
        <f>E148*X148</f>
        <v>14.238</v>
      </c>
      <c r="AC148" s="131">
        <v>270</v>
      </c>
      <c r="AD148" s="139">
        <f>AC148/1.13</f>
        <v>238.938053097345</v>
      </c>
      <c r="AE148" s="136">
        <f>27.9/7.4</f>
        <v>3.77027027027027</v>
      </c>
      <c r="AF148" s="137">
        <f>AD148/(E148*Q148)</f>
        <v>0.384391977312331</v>
      </c>
      <c r="AG148" s="137">
        <f>AE148/Q148/E148</f>
        <v>0.00606542836272566</v>
      </c>
      <c r="AH148" s="136">
        <v>27.9</v>
      </c>
      <c r="AI148" s="137">
        <f>(K148-E148+AB148-Z148)/K148</f>
        <v>0.254164705882353</v>
      </c>
      <c r="AJ148" s="137"/>
      <c r="AK148" s="137"/>
      <c r="AL148" s="137"/>
      <c r="AM148" s="137"/>
      <c r="AN148" s="140"/>
      <c r="AO148" s="140"/>
      <c r="AP148" s="140"/>
      <c r="AQ148" s="140"/>
      <c r="AR148" s="140"/>
      <c r="AS148" s="140"/>
      <c r="AT148" s="140" t="s">
        <v>376</v>
      </c>
      <c r="AU148" s="140" t="s">
        <v>376</v>
      </c>
      <c r="AV148" s="140" t="s">
        <v>376</v>
      </c>
      <c r="AW148" s="140" t="s">
        <v>376</v>
      </c>
      <c r="AX148" s="140" t="s">
        <v>376</v>
      </c>
      <c r="AY148" s="140" t="s">
        <v>376</v>
      </c>
      <c r="AZ148" s="140" t="s">
        <v>376</v>
      </c>
      <c r="BA148" s="140" t="s">
        <v>376</v>
      </c>
      <c r="BB148" s="140" t="s">
        <v>376</v>
      </c>
      <c r="BC148" s="140" t="s">
        <v>376</v>
      </c>
      <c r="BD148" s="140" t="s">
        <v>376</v>
      </c>
      <c r="BE148" s="140" t="s">
        <v>376</v>
      </c>
      <c r="BF148" s="140" t="s">
        <v>376</v>
      </c>
      <c r="BG148" s="140" t="s">
        <v>376</v>
      </c>
      <c r="BH148" s="140" t="s">
        <v>376</v>
      </c>
      <c r="BI148" s="140" t="s">
        <v>376</v>
      </c>
      <c r="BJ148" s="140" t="s">
        <v>376</v>
      </c>
      <c r="BK148" s="140" t="s">
        <v>376</v>
      </c>
      <c r="BL148" s="140" t="s">
        <v>376</v>
      </c>
      <c r="BM148" s="140" t="s">
        <v>376</v>
      </c>
      <c r="BN148" s="140" t="s">
        <v>376</v>
      </c>
      <c r="BO148" s="140" t="s">
        <v>376</v>
      </c>
      <c r="BP148" s="140" t="s">
        <v>376</v>
      </c>
      <c r="BQ148" s="140" t="s">
        <v>376</v>
      </c>
      <c r="BR148" s="144" t="e">
        <f>IF(#REF!&lt;E148,1,0)</f>
        <v>#REF!</v>
      </c>
      <c r="BS148" s="142" t="s">
        <v>377</v>
      </c>
    </row>
    <row r="149" customHeight="1" spans="1:71">
      <c r="A149" s="127" t="s">
        <v>285</v>
      </c>
      <c r="B149" s="127"/>
      <c r="C149" s="127"/>
      <c r="D149" s="185" t="s">
        <v>433</v>
      </c>
      <c r="E149" s="131">
        <v>93</v>
      </c>
      <c r="F149" s="143">
        <v>129.99</v>
      </c>
      <c r="G149" s="133">
        <f t="shared" si="148"/>
        <v>125.34</v>
      </c>
      <c r="H149" s="133"/>
      <c r="I149" s="133">
        <f>E149-N149/Q149-AB149-Y149-O149-Z149-AA149</f>
        <v>16.1068036354939</v>
      </c>
      <c r="J149" s="134">
        <f>I149/E149</f>
        <v>0.173191436940795</v>
      </c>
      <c r="K149" s="131">
        <f>F149/1.2</f>
        <v>108.325</v>
      </c>
      <c r="L149" s="174">
        <f>(K149-E149)/K149</f>
        <v>0.141472420955458</v>
      </c>
      <c r="M149" s="133">
        <f>F149/1.2-E149</f>
        <v>15.325</v>
      </c>
      <c r="N149" s="131">
        <f>AD149+AH149</f>
        <v>266.838053097345</v>
      </c>
      <c r="O149" s="131">
        <f>IFERROR(IF(A149="UK",8.95/P149,IF(A149="DE",7.75/P149,IF(A149="FR",14.25/P149,IF(A149="IT",15.25/P149,IF(A149="ES",19.25/P149,IF(A149="NL",16.75/P149,IF(A149="PL",14.05/P149,IF(A149="SE",18.25/P149,IF(A149="BE",14.25/P149))))))))),0)</f>
        <v>4.75</v>
      </c>
      <c r="P149" s="127">
        <v>3</v>
      </c>
      <c r="Q149" s="136">
        <v>7.4</v>
      </c>
      <c r="R149" s="137">
        <v>0.13</v>
      </c>
      <c r="S149" s="134">
        <f>Y149/F149</f>
        <v>0.093007154396492</v>
      </c>
      <c r="T149" s="137">
        <v>0.05</v>
      </c>
      <c r="U149" s="137">
        <v>0.01</v>
      </c>
      <c r="V149" s="137">
        <f>N149/(E149*Q149)</f>
        <v>0.387733294242001</v>
      </c>
      <c r="W149" s="137">
        <f>O149/E149</f>
        <v>0.0510752688172043</v>
      </c>
      <c r="X149" s="135">
        <v>0.198</v>
      </c>
      <c r="Y149" s="138">
        <f>E149*R149</f>
        <v>12.09</v>
      </c>
      <c r="Z149" s="138">
        <f>E149*T149</f>
        <v>4.65</v>
      </c>
      <c r="AA149" s="138">
        <f>E149*U149</f>
        <v>0.93</v>
      </c>
      <c r="AB149" s="131">
        <f>E149*X149</f>
        <v>18.414</v>
      </c>
      <c r="AC149" s="131">
        <v>270</v>
      </c>
      <c r="AD149" s="139">
        <f>AC149/1.13</f>
        <v>238.938053097345</v>
      </c>
      <c r="AE149" s="136">
        <f>27.9/7.4</f>
        <v>3.77027027027027</v>
      </c>
      <c r="AF149" s="137">
        <f>AD149/(E149*Q149)</f>
        <v>0.347192753701461</v>
      </c>
      <c r="AG149" s="137">
        <f>AE149/Q149/E149</f>
        <v>0.00547845142439737</v>
      </c>
      <c r="AH149" s="136">
        <v>27.9</v>
      </c>
      <c r="AI149" s="137">
        <f>(K149-E149+AB149-Z149)/K149</f>
        <v>0.26853450265405</v>
      </c>
      <c r="AJ149" s="137"/>
      <c r="AK149" s="137"/>
      <c r="AL149" s="137"/>
      <c r="AM149" s="137"/>
      <c r="AN149" s="140"/>
      <c r="AO149" s="140"/>
      <c r="AP149" s="140"/>
      <c r="AQ149" s="140"/>
      <c r="AR149" s="140"/>
      <c r="AS149" s="140"/>
      <c r="AT149" s="140" t="s">
        <v>376</v>
      </c>
      <c r="AU149" s="140" t="s">
        <v>376</v>
      </c>
      <c r="AV149" s="140" t="s">
        <v>376</v>
      </c>
      <c r="AW149" s="140" t="s">
        <v>376</v>
      </c>
      <c r="AX149" s="140" t="s">
        <v>376</v>
      </c>
      <c r="AY149" s="140" t="s">
        <v>376</v>
      </c>
      <c r="AZ149" s="140" t="s">
        <v>376</v>
      </c>
      <c r="BA149" s="140" t="s">
        <v>376</v>
      </c>
      <c r="BB149" s="140" t="s">
        <v>376</v>
      </c>
      <c r="BC149" s="140" t="s">
        <v>376</v>
      </c>
      <c r="BD149" s="140" t="s">
        <v>376</v>
      </c>
      <c r="BE149" s="140" t="s">
        <v>376</v>
      </c>
      <c r="BF149" s="140" t="s">
        <v>376</v>
      </c>
      <c r="BG149" s="140" t="s">
        <v>376</v>
      </c>
      <c r="BH149" s="140" t="s">
        <v>376</v>
      </c>
      <c r="BI149" s="140" t="s">
        <v>376</v>
      </c>
      <c r="BJ149" s="140" t="s">
        <v>376</v>
      </c>
      <c r="BK149" s="140" t="s">
        <v>376</v>
      </c>
      <c r="BL149" s="140" t="s">
        <v>376</v>
      </c>
      <c r="BM149" s="140" t="s">
        <v>376</v>
      </c>
      <c r="BN149" s="140" t="s">
        <v>376</v>
      </c>
      <c r="BO149" s="140" t="s">
        <v>376</v>
      </c>
      <c r="BP149" s="140" t="s">
        <v>376</v>
      </c>
      <c r="BQ149" s="140" t="s">
        <v>376</v>
      </c>
      <c r="BR149" s="144" t="e">
        <f>IF(#REF!&lt;E149,1,0)</f>
        <v>#REF!</v>
      </c>
      <c r="BS149" s="142" t="s">
        <v>377</v>
      </c>
    </row>
    <row r="150" customHeight="1" spans="1:71">
      <c r="A150" s="127" t="s">
        <v>287</v>
      </c>
      <c r="B150" s="127"/>
      <c r="C150" s="127"/>
      <c r="D150" s="185" t="s">
        <v>433</v>
      </c>
      <c r="E150" s="131">
        <v>93</v>
      </c>
      <c r="F150" s="143">
        <v>129.99</v>
      </c>
      <c r="G150" s="133">
        <f t="shared" si="148"/>
        <v>125.34</v>
      </c>
      <c r="H150" s="133"/>
      <c r="I150" s="133">
        <f>E150-N150/Q150-AB150-Y150-O150-Z150-AA150</f>
        <v>17.0196703021606</v>
      </c>
      <c r="J150" s="134">
        <f>I150/E150</f>
        <v>0.183007207550114</v>
      </c>
      <c r="K150" s="131">
        <f>F150/1.2</f>
        <v>108.325</v>
      </c>
      <c r="L150" s="174">
        <f>(K150-E150)/K150</f>
        <v>0.141472420955458</v>
      </c>
      <c r="M150" s="133">
        <f>F150/1.2-E150</f>
        <v>15.325</v>
      </c>
      <c r="N150" s="131">
        <f>AD150+AH150</f>
        <v>266.838053097345</v>
      </c>
      <c r="O150" s="131">
        <f>IFERROR(IF(A150="UK",8.95/P150,IF(A150="DE",7.75/P150,IF(A150="FR",14.25/P150,IF(A150="IT",15.25/P150,IF(A150="ES",19.25/P150,IF(A150="NL",16.75/P150,IF(A150="PL",14.05/P150,IF(A150="SE",18.25/P150,IF(A150="BE",14.25/P150))))))))),0)</f>
        <v>5.08333333333333</v>
      </c>
      <c r="P150" s="127">
        <v>3</v>
      </c>
      <c r="Q150" s="136">
        <v>7.4</v>
      </c>
      <c r="R150" s="137">
        <v>0.13</v>
      </c>
      <c r="S150" s="134">
        <f>Y150/F150</f>
        <v>0.093007154396492</v>
      </c>
      <c r="T150" s="137">
        <v>0.05</v>
      </c>
      <c r="U150" s="137">
        <v>0.01</v>
      </c>
      <c r="V150" s="137">
        <f>N150/(E150*Q150)</f>
        <v>0.387733294242001</v>
      </c>
      <c r="W150" s="137">
        <f>O150/E150</f>
        <v>0.0546594982078853</v>
      </c>
      <c r="X150" s="135">
        <v>0.1846</v>
      </c>
      <c r="Y150" s="138">
        <f>E150*R150</f>
        <v>12.09</v>
      </c>
      <c r="Z150" s="138">
        <f>E150*T150</f>
        <v>4.65</v>
      </c>
      <c r="AA150" s="138">
        <f>E150*U150</f>
        <v>0.93</v>
      </c>
      <c r="AB150" s="131">
        <f>E150*X150</f>
        <v>17.1678</v>
      </c>
      <c r="AC150" s="131">
        <v>270</v>
      </c>
      <c r="AD150" s="139">
        <f>AC150/1.13</f>
        <v>238.938053097345</v>
      </c>
      <c r="AE150" s="136">
        <f>27.9/7.4</f>
        <v>3.77027027027027</v>
      </c>
      <c r="AF150" s="137">
        <f>AD150/(E150*Q150)</f>
        <v>0.347192753701461</v>
      </c>
      <c r="AG150" s="137">
        <f>AE150/Q150/E150</f>
        <v>0.00547845142439737</v>
      </c>
      <c r="AH150" s="136">
        <v>27.9</v>
      </c>
      <c r="AI150" s="137">
        <f>(K150-E150+AB150-Z150)/K150</f>
        <v>0.257030233094854</v>
      </c>
      <c r="AJ150" s="137"/>
      <c r="AK150" s="137"/>
      <c r="AL150" s="137"/>
      <c r="AM150" s="137"/>
      <c r="AN150" s="140"/>
      <c r="AO150" s="140"/>
      <c r="AP150" s="140"/>
      <c r="AQ150" s="140"/>
      <c r="AR150" s="140"/>
      <c r="AS150" s="140"/>
      <c r="AT150" s="140" t="s">
        <v>376</v>
      </c>
      <c r="AU150" s="140" t="s">
        <v>376</v>
      </c>
      <c r="AV150" s="140" t="s">
        <v>376</v>
      </c>
      <c r="AW150" s="140" t="s">
        <v>376</v>
      </c>
      <c r="AX150" s="140" t="s">
        <v>376</v>
      </c>
      <c r="AY150" s="140" t="s">
        <v>376</v>
      </c>
      <c r="AZ150" s="140" t="s">
        <v>376</v>
      </c>
      <c r="BA150" s="140" t="s">
        <v>376</v>
      </c>
      <c r="BB150" s="140" t="s">
        <v>376</v>
      </c>
      <c r="BC150" s="140" t="s">
        <v>376</v>
      </c>
      <c r="BD150" s="140" t="s">
        <v>376</v>
      </c>
      <c r="BE150" s="140" t="s">
        <v>376</v>
      </c>
      <c r="BF150" s="140" t="s">
        <v>376</v>
      </c>
      <c r="BG150" s="140" t="s">
        <v>376</v>
      </c>
      <c r="BH150" s="140" t="s">
        <v>376</v>
      </c>
      <c r="BI150" s="140" t="s">
        <v>376</v>
      </c>
      <c r="BJ150" s="140" t="s">
        <v>376</v>
      </c>
      <c r="BK150" s="140" t="s">
        <v>376</v>
      </c>
      <c r="BL150" s="140" t="s">
        <v>376</v>
      </c>
      <c r="BM150" s="140" t="s">
        <v>376</v>
      </c>
      <c r="BN150" s="140" t="s">
        <v>376</v>
      </c>
      <c r="BO150" s="140" t="s">
        <v>376</v>
      </c>
      <c r="BP150" s="140" t="s">
        <v>376</v>
      </c>
      <c r="BQ150" s="140" t="s">
        <v>376</v>
      </c>
      <c r="BR150" s="144" t="e">
        <f>IF(#REF!&lt;E150,1,0)</f>
        <v>#REF!</v>
      </c>
      <c r="BS150" s="142" t="s">
        <v>377</v>
      </c>
    </row>
    <row r="151" customHeight="1" spans="1:71">
      <c r="A151" s="127" t="s">
        <v>290</v>
      </c>
      <c r="B151" s="127"/>
      <c r="C151" s="127"/>
      <c r="D151" s="185" t="s">
        <v>433</v>
      </c>
      <c r="E151" s="131">
        <v>93</v>
      </c>
      <c r="F151" s="143">
        <v>129.99</v>
      </c>
      <c r="G151" s="133">
        <f t="shared" si="148"/>
        <v>125.34</v>
      </c>
      <c r="H151" s="133"/>
      <c r="I151" s="133">
        <f>E151-N151/Q151-AB151-Y151-O151-Z151-AA151</f>
        <v>17.5463369688272</v>
      </c>
      <c r="J151" s="134">
        <f>I151/E151</f>
        <v>0.18867028998739</v>
      </c>
      <c r="K151" s="131">
        <f>F151/1.2</f>
        <v>108.325</v>
      </c>
      <c r="L151" s="174">
        <f>(K151-E151)/K151</f>
        <v>0.141472420955458</v>
      </c>
      <c r="M151" s="133">
        <f>F151/1.2-E151</f>
        <v>15.325</v>
      </c>
      <c r="N151" s="131">
        <f>AD151+AH151</f>
        <v>266.838053097345</v>
      </c>
      <c r="O151" s="131">
        <f>IFERROR(IF(A151="UK",8.95/P151,IF(A151="DE",7.75/P151,IF(A151="FR",14.25/P151,IF(A151="IT",15.25/P151,IF(A151="ES",19.25/P151,IF(A151="NL",16.75/P151,IF(A151="PL",14.05/P151,IF(A151="SE",18.25/P151,IF(A151="BE",14.25/P151))))))))),0)</f>
        <v>6.41666666666667</v>
      </c>
      <c r="P151" s="127">
        <v>3</v>
      </c>
      <c r="Q151" s="136">
        <v>7.4</v>
      </c>
      <c r="R151" s="137">
        <v>0.13</v>
      </c>
      <c r="S151" s="134">
        <f>Y151/F151</f>
        <v>0.093007154396492</v>
      </c>
      <c r="T151" s="137">
        <v>0.05</v>
      </c>
      <c r="U151" s="137">
        <v>0.01</v>
      </c>
      <c r="V151" s="137">
        <f>N151/(E151*Q151)</f>
        <v>0.387733294242001</v>
      </c>
      <c r="W151" s="137">
        <f>O151/E151</f>
        <v>0.0689964157706093</v>
      </c>
      <c r="X151" s="135">
        <v>0.1646</v>
      </c>
      <c r="Y151" s="138">
        <f>E151*R151</f>
        <v>12.09</v>
      </c>
      <c r="Z151" s="138">
        <f>E151*T151</f>
        <v>4.65</v>
      </c>
      <c r="AA151" s="138">
        <f>E151*U151</f>
        <v>0.93</v>
      </c>
      <c r="AB151" s="131">
        <f>E151*X151</f>
        <v>15.3078</v>
      </c>
      <c r="AC151" s="131">
        <v>270</v>
      </c>
      <c r="AD151" s="139">
        <f>AC151/1.13</f>
        <v>238.938053097345</v>
      </c>
      <c r="AE151" s="136">
        <f>27.9/7.4</f>
        <v>3.77027027027027</v>
      </c>
      <c r="AF151" s="137">
        <f>AD151/(E151*Q151)</f>
        <v>0.347192753701461</v>
      </c>
      <c r="AG151" s="137">
        <f>AE151/Q151/E151</f>
        <v>0.00547845142439737</v>
      </c>
      <c r="AH151" s="136">
        <v>27.9</v>
      </c>
      <c r="AI151" s="137">
        <f>(K151-E151+AB151-Z151)/K151</f>
        <v>0.239859681513963</v>
      </c>
      <c r="AJ151" s="137"/>
      <c r="AK151" s="137"/>
      <c r="AL151" s="137"/>
      <c r="AM151" s="137"/>
      <c r="AN151" s="140"/>
      <c r="AO151" s="140"/>
      <c r="AP151" s="140"/>
      <c r="AQ151" s="140"/>
      <c r="AR151" s="140"/>
      <c r="AS151" s="140"/>
      <c r="AT151" s="140" t="s">
        <v>376</v>
      </c>
      <c r="AU151" s="140" t="s">
        <v>376</v>
      </c>
      <c r="AV151" s="140" t="s">
        <v>376</v>
      </c>
      <c r="AW151" s="140" t="s">
        <v>376</v>
      </c>
      <c r="AX151" s="140" t="s">
        <v>376</v>
      </c>
      <c r="AY151" s="140" t="s">
        <v>376</v>
      </c>
      <c r="AZ151" s="140" t="s">
        <v>376</v>
      </c>
      <c r="BA151" s="140" t="s">
        <v>376</v>
      </c>
      <c r="BB151" s="140" t="s">
        <v>376</v>
      </c>
      <c r="BC151" s="140" t="s">
        <v>376</v>
      </c>
      <c r="BD151" s="140" t="s">
        <v>376</v>
      </c>
      <c r="BE151" s="140" t="s">
        <v>376</v>
      </c>
      <c r="BF151" s="140" t="s">
        <v>376</v>
      </c>
      <c r="BG151" s="140" t="s">
        <v>376</v>
      </c>
      <c r="BH151" s="140" t="s">
        <v>376</v>
      </c>
      <c r="BI151" s="140" t="s">
        <v>376</v>
      </c>
      <c r="BJ151" s="140" t="s">
        <v>376</v>
      </c>
      <c r="BK151" s="140" t="s">
        <v>376</v>
      </c>
      <c r="BL151" s="140" t="s">
        <v>376</v>
      </c>
      <c r="BM151" s="140" t="s">
        <v>376</v>
      </c>
      <c r="BN151" s="140" t="s">
        <v>376</v>
      </c>
      <c r="BO151" s="140" t="s">
        <v>376</v>
      </c>
      <c r="BP151" s="140" t="s">
        <v>376</v>
      </c>
      <c r="BQ151" s="140" t="s">
        <v>376</v>
      </c>
      <c r="BR151" s="144" t="e">
        <f>IF(#REF!&lt;E151,1,0)</f>
        <v>#REF!</v>
      </c>
      <c r="BS151" s="142" t="s">
        <v>377</v>
      </c>
    </row>
    <row r="152" customHeight="1" spans="1:71">
      <c r="A152" s="127"/>
      <c r="B152" s="127"/>
      <c r="C152" s="127"/>
      <c r="D152" s="187"/>
      <c r="E152" s="131"/>
      <c r="F152" s="143"/>
      <c r="G152" s="133">
        <f t="shared" si="148"/>
        <v>0</v>
      </c>
      <c r="H152" s="133"/>
      <c r="I152" s="133"/>
      <c r="J152" s="134"/>
      <c r="K152" s="131"/>
      <c r="L152" s="131"/>
      <c r="M152" s="131"/>
      <c r="N152" s="131"/>
      <c r="O152" s="131"/>
      <c r="P152" s="127"/>
      <c r="Q152" s="136"/>
      <c r="R152" s="137"/>
      <c r="S152" s="134"/>
      <c r="T152" s="137"/>
      <c r="U152" s="137"/>
      <c r="V152" s="137"/>
      <c r="W152" s="137"/>
      <c r="X152" s="135"/>
      <c r="Y152" s="138"/>
      <c r="Z152" s="138"/>
      <c r="AA152" s="138"/>
      <c r="AB152" s="131"/>
      <c r="AC152" s="131"/>
      <c r="AD152" s="139"/>
      <c r="AE152" s="136"/>
      <c r="AF152" s="137"/>
      <c r="AG152" s="137"/>
      <c r="AH152" s="136"/>
      <c r="AI152" s="137"/>
      <c r="AJ152" s="137"/>
      <c r="AK152" s="137"/>
      <c r="AL152" s="137"/>
      <c r="AM152" s="137"/>
      <c r="AN152" s="140"/>
      <c r="AO152" s="140"/>
      <c r="AP152" s="140"/>
      <c r="AQ152" s="140"/>
      <c r="AR152" s="140"/>
      <c r="AS152" s="140"/>
      <c r="AT152" s="140"/>
      <c r="AU152" s="140"/>
      <c r="AV152" s="140"/>
      <c r="AW152" s="140"/>
      <c r="AX152" s="140"/>
      <c r="AY152" s="140"/>
      <c r="AZ152" s="140"/>
      <c r="BA152" s="140"/>
      <c r="BB152" s="140"/>
      <c r="BC152" s="140"/>
      <c r="BD152" s="140"/>
      <c r="BE152" s="140"/>
      <c r="BF152" s="140"/>
      <c r="BG152" s="140"/>
      <c r="BH152" s="140"/>
      <c r="BI152" s="140"/>
      <c r="BJ152" s="140"/>
      <c r="BK152" s="140"/>
      <c r="BL152" s="140"/>
      <c r="BM152" s="140"/>
      <c r="BN152" s="140"/>
      <c r="BO152" s="140"/>
      <c r="BP152" s="140"/>
      <c r="BQ152" s="140"/>
      <c r="BR152" s="144"/>
      <c r="BS152" s="142" t="s">
        <v>377</v>
      </c>
    </row>
    <row r="153" customHeight="1" spans="1:71">
      <c r="A153" s="127" t="s">
        <v>86</v>
      </c>
      <c r="B153" s="127"/>
      <c r="C153" s="186"/>
      <c r="D153" s="177" t="s">
        <v>434</v>
      </c>
      <c r="E153" s="131">
        <v>31</v>
      </c>
      <c r="F153" s="143">
        <v>44.99</v>
      </c>
      <c r="G153" s="133">
        <f t="shared" si="148"/>
        <v>44.99</v>
      </c>
      <c r="H153" s="133">
        <f t="shared" ref="H153:H171" si="149">(F153-Z153)/1.2</f>
        <v>37.4916666666667</v>
      </c>
      <c r="I153" s="133">
        <f t="shared" ref="I153:I171" si="150">E153-N153/Q153-AB153-Y153-O153-Z153-AA153</f>
        <v>8.73757522123894</v>
      </c>
      <c r="J153" s="134">
        <f t="shared" ref="J153:J171" si="151">I153/E153</f>
        <v>0.281857265201256</v>
      </c>
      <c r="K153" s="131">
        <f t="shared" ref="K153:K171" si="152">F153/1.2</f>
        <v>37.4916666666667</v>
      </c>
      <c r="L153" s="174">
        <f t="shared" ref="L153:L171" si="153">(K153-E153)/K153</f>
        <v>0.173149588797511</v>
      </c>
      <c r="M153" s="133">
        <f t="shared" ref="M153:M171" si="154">F153/1.2-E153</f>
        <v>6.49166666666667</v>
      </c>
      <c r="N153" s="131">
        <f t="shared" ref="N153:N171" si="155">AD153+AH153</f>
        <v>99.5398230088496</v>
      </c>
      <c r="O153" s="131">
        <f t="shared" ref="O153:O171" si="156">IFERROR(IF(A153="UK",8.95/P153,IF(A153="DE",7.75/P153,IF(A153="FR",14.25/P153,IF(A153="IT",15.25/P153,IF(A153="ES",19.25/P153,IF(A153="NL",16.75/P153,IF(A153="PL",14.05/P153,IF(A153="SE",18.25/P153,IF(A153="BE",14.25/P153))))))))),0)</f>
        <v>0.994444444444444</v>
      </c>
      <c r="P153" s="142">
        <v>9</v>
      </c>
      <c r="Q153" s="136">
        <v>9</v>
      </c>
      <c r="R153" s="137">
        <f t="shared" ref="R153:R171" si="157">Y153/E153</f>
        <v>0.161290322580645</v>
      </c>
      <c r="S153" s="134">
        <f t="shared" ref="S153:S171" si="158">Y153/F153</f>
        <v>0.111135807957324</v>
      </c>
      <c r="T153" s="137">
        <v>0.05</v>
      </c>
      <c r="U153" s="137">
        <v>0.01</v>
      </c>
      <c r="V153" s="137">
        <f t="shared" ref="V153:V171" si="159">N153/(E153*Q153)</f>
        <v>0.356773559171504</v>
      </c>
      <c r="W153" s="137">
        <f t="shared" ref="W153:W171" si="160">O153/E153</f>
        <v>0.032078853046595</v>
      </c>
      <c r="X153" s="135">
        <v>0.158</v>
      </c>
      <c r="Y153" s="138">
        <v>5</v>
      </c>
      <c r="Z153" s="138">
        <v>0</v>
      </c>
      <c r="AA153" s="138">
        <f t="shared" ref="AA153:AA171" si="161">E153*U153</f>
        <v>0.31</v>
      </c>
      <c r="AB153" s="131">
        <f t="shared" ref="AB153:AB171" si="162">E153*X153</f>
        <v>4.898</v>
      </c>
      <c r="AC153" s="131">
        <v>94.4</v>
      </c>
      <c r="AD153" s="139">
        <f t="shared" ref="AD153:AD171" si="163">AC153/1.13</f>
        <v>83.5398230088496</v>
      </c>
      <c r="AE153" s="136">
        <f>11.1/8.5</f>
        <v>1.30588235294118</v>
      </c>
      <c r="AF153" s="137">
        <f t="shared" ref="AF153:AF171" si="164">AD153/(E153*Q153)</f>
        <v>0.299425888920608</v>
      </c>
      <c r="AG153" s="137">
        <f t="shared" ref="AG153:AG171" si="165">AE153/Q153/E153</f>
        <v>0.00468058191018343</v>
      </c>
      <c r="AH153" s="136">
        <v>16</v>
      </c>
      <c r="AI153" s="134">
        <f t="shared" ref="AI153:AI171" si="166">(K153-E153+AB153)/(K153-Z153)</f>
        <v>0.303791953767504</v>
      </c>
      <c r="AJ153" s="137"/>
      <c r="AK153" s="137"/>
      <c r="AL153" s="137"/>
      <c r="AM153" s="137"/>
      <c r="AN153" s="140"/>
      <c r="AO153" s="140"/>
      <c r="AP153" s="140"/>
      <c r="AQ153" s="140"/>
      <c r="AR153" s="140"/>
      <c r="AS153" s="140"/>
      <c r="AT153" s="140" t="s">
        <v>376</v>
      </c>
      <c r="AU153" s="140" t="s">
        <v>376</v>
      </c>
      <c r="AV153" s="140" t="s">
        <v>376</v>
      </c>
      <c r="AW153" s="140" t="s">
        <v>376</v>
      </c>
      <c r="AX153" s="140" t="s">
        <v>376</v>
      </c>
      <c r="AY153" s="140" t="s">
        <v>376</v>
      </c>
      <c r="AZ153" s="140" t="s">
        <v>376</v>
      </c>
      <c r="BA153" s="140" t="s">
        <v>376</v>
      </c>
      <c r="BB153" s="140" t="s">
        <v>376</v>
      </c>
      <c r="BC153" s="140" t="s">
        <v>376</v>
      </c>
      <c r="BD153" s="140" t="s">
        <v>376</v>
      </c>
      <c r="BE153" s="140" t="s">
        <v>376</v>
      </c>
      <c r="BF153" s="140" t="s">
        <v>376</v>
      </c>
      <c r="BG153" s="140" t="s">
        <v>376</v>
      </c>
      <c r="BH153" s="140" t="s">
        <v>376</v>
      </c>
      <c r="BI153" s="140" t="s">
        <v>376</v>
      </c>
      <c r="BJ153" s="140" t="s">
        <v>376</v>
      </c>
      <c r="BK153" s="140" t="s">
        <v>376</v>
      </c>
      <c r="BL153" s="140" t="s">
        <v>376</v>
      </c>
      <c r="BM153" s="140" t="s">
        <v>376</v>
      </c>
      <c r="BN153" s="140" t="s">
        <v>376</v>
      </c>
      <c r="BO153" s="140" t="s">
        <v>376</v>
      </c>
      <c r="BP153" s="140" t="s">
        <v>376</v>
      </c>
      <c r="BQ153" s="140" t="s">
        <v>376</v>
      </c>
      <c r="BR153" s="144" t="e">
        <f>IF(#REF!&lt;E153,1,0)</f>
        <v>#REF!</v>
      </c>
      <c r="BS153" s="142" t="s">
        <v>377</v>
      </c>
    </row>
    <row r="154" customHeight="1" spans="1:71">
      <c r="A154" s="127" t="s">
        <v>86</v>
      </c>
      <c r="B154" s="127"/>
      <c r="C154" s="186"/>
      <c r="D154" s="177" t="s">
        <v>435</v>
      </c>
      <c r="E154" s="131">
        <v>31</v>
      </c>
      <c r="F154" s="143">
        <v>44.99</v>
      </c>
      <c r="G154" s="133">
        <f t="shared" si="148"/>
        <v>40.491</v>
      </c>
      <c r="H154" s="133">
        <f t="shared" si="149"/>
        <v>33.7425</v>
      </c>
      <c r="I154" s="133">
        <f t="shared" si="150"/>
        <v>4.23857522123894</v>
      </c>
      <c r="J154" s="134">
        <f t="shared" si="151"/>
        <v>0.136728232943192</v>
      </c>
      <c r="K154" s="131">
        <f t="shared" si="152"/>
        <v>37.4916666666667</v>
      </c>
      <c r="L154" s="174">
        <f t="shared" si="153"/>
        <v>0.173149588797511</v>
      </c>
      <c r="M154" s="133">
        <f t="shared" si="154"/>
        <v>6.49166666666667</v>
      </c>
      <c r="N154" s="131">
        <f t="shared" si="155"/>
        <v>99.5398230088496</v>
      </c>
      <c r="O154" s="131">
        <f t="shared" si="156"/>
        <v>0.994444444444444</v>
      </c>
      <c r="P154" s="127">
        <v>9</v>
      </c>
      <c r="Q154" s="136">
        <v>9</v>
      </c>
      <c r="R154" s="137">
        <f t="shared" si="157"/>
        <v>0.161290322580645</v>
      </c>
      <c r="S154" s="134">
        <f t="shared" si="158"/>
        <v>0.111135807957324</v>
      </c>
      <c r="T154" s="137">
        <v>0.05</v>
      </c>
      <c r="U154" s="137">
        <v>0.01</v>
      </c>
      <c r="V154" s="137">
        <f t="shared" si="159"/>
        <v>0.356773559171504</v>
      </c>
      <c r="W154" s="137">
        <f t="shared" si="160"/>
        <v>0.032078853046595</v>
      </c>
      <c r="X154" s="135">
        <v>0.158</v>
      </c>
      <c r="Y154" s="138">
        <v>5</v>
      </c>
      <c r="Z154" s="138">
        <f>F154*0.1</f>
        <v>4.499</v>
      </c>
      <c r="AA154" s="138">
        <f t="shared" si="161"/>
        <v>0.31</v>
      </c>
      <c r="AB154" s="131">
        <f t="shared" si="162"/>
        <v>4.898</v>
      </c>
      <c r="AC154" s="131">
        <v>94.4</v>
      </c>
      <c r="AD154" s="139">
        <f t="shared" si="163"/>
        <v>83.5398230088496</v>
      </c>
      <c r="AE154" s="136">
        <f>11.1/8.5</f>
        <v>1.30588235294118</v>
      </c>
      <c r="AF154" s="137">
        <f t="shared" si="164"/>
        <v>0.299425888920608</v>
      </c>
      <c r="AG154" s="137">
        <f t="shared" si="165"/>
        <v>0.00468058191018343</v>
      </c>
      <c r="AH154" s="136">
        <v>16</v>
      </c>
      <c r="AI154" s="134">
        <f t="shared" si="166"/>
        <v>0.345218129281254</v>
      </c>
      <c r="AJ154" s="137"/>
      <c r="AK154" s="137"/>
      <c r="AL154" s="137"/>
      <c r="AM154" s="137"/>
      <c r="AN154" s="140"/>
      <c r="AO154" s="140"/>
      <c r="AP154" s="140"/>
      <c r="AQ154" s="140"/>
      <c r="AR154" s="140"/>
      <c r="AS154" s="140"/>
      <c r="AT154" s="140" t="s">
        <v>376</v>
      </c>
      <c r="AU154" s="140" t="s">
        <v>376</v>
      </c>
      <c r="AV154" s="140" t="s">
        <v>376</v>
      </c>
      <c r="AW154" s="140" t="s">
        <v>376</v>
      </c>
      <c r="AX154" s="140" t="s">
        <v>376</v>
      </c>
      <c r="AY154" s="140" t="s">
        <v>376</v>
      </c>
      <c r="AZ154" s="140" t="s">
        <v>376</v>
      </c>
      <c r="BA154" s="140" t="s">
        <v>376</v>
      </c>
      <c r="BB154" s="140" t="s">
        <v>376</v>
      </c>
      <c r="BC154" s="140" t="s">
        <v>376</v>
      </c>
      <c r="BD154" s="140" t="s">
        <v>376</v>
      </c>
      <c r="BE154" s="140" t="s">
        <v>376</v>
      </c>
      <c r="BF154" s="140" t="s">
        <v>376</v>
      </c>
      <c r="BG154" s="140" t="s">
        <v>376</v>
      </c>
      <c r="BH154" s="140" t="s">
        <v>376</v>
      </c>
      <c r="BI154" s="140" t="s">
        <v>376</v>
      </c>
      <c r="BJ154" s="140" t="s">
        <v>376</v>
      </c>
      <c r="BK154" s="140" t="s">
        <v>376</v>
      </c>
      <c r="BL154" s="140" t="s">
        <v>376</v>
      </c>
      <c r="BM154" s="140" t="s">
        <v>376</v>
      </c>
      <c r="BN154" s="140" t="s">
        <v>376</v>
      </c>
      <c r="BO154" s="140" t="s">
        <v>376</v>
      </c>
      <c r="BP154" s="140" t="s">
        <v>376</v>
      </c>
      <c r="BQ154" s="140" t="s">
        <v>376</v>
      </c>
      <c r="BR154" s="144" t="e">
        <f>IF(E154&lt;#REF!,1,0)</f>
        <v>#REF!</v>
      </c>
      <c r="BS154" s="142" t="s">
        <v>377</v>
      </c>
    </row>
    <row r="155" customHeight="1" spans="1:71">
      <c r="A155" s="127" t="s">
        <v>86</v>
      </c>
      <c r="B155" s="127"/>
      <c r="C155" s="186"/>
      <c r="D155" s="177" t="s">
        <v>436</v>
      </c>
      <c r="E155" s="131">
        <v>31</v>
      </c>
      <c r="F155" s="143">
        <v>44.99</v>
      </c>
      <c r="G155" s="133">
        <f t="shared" si="148"/>
        <v>38.2415</v>
      </c>
      <c r="H155" s="133">
        <f t="shared" si="149"/>
        <v>31.8679166666667</v>
      </c>
      <c r="I155" s="133">
        <f t="shared" si="150"/>
        <v>1.98907522123894</v>
      </c>
      <c r="J155" s="134">
        <f t="shared" si="151"/>
        <v>0.0641637168141592</v>
      </c>
      <c r="K155" s="131">
        <f t="shared" si="152"/>
        <v>37.4916666666667</v>
      </c>
      <c r="L155" s="174">
        <f t="shared" si="153"/>
        <v>0.173149588797511</v>
      </c>
      <c r="M155" s="133">
        <f t="shared" si="154"/>
        <v>6.49166666666667</v>
      </c>
      <c r="N155" s="131">
        <f t="shared" si="155"/>
        <v>99.5398230088496</v>
      </c>
      <c r="O155" s="131">
        <f t="shared" si="156"/>
        <v>0.994444444444444</v>
      </c>
      <c r="P155" s="127">
        <v>9</v>
      </c>
      <c r="Q155" s="136">
        <v>9</v>
      </c>
      <c r="R155" s="137">
        <f t="shared" si="157"/>
        <v>0.161290322580645</v>
      </c>
      <c r="S155" s="134">
        <f t="shared" si="158"/>
        <v>0.111135807957324</v>
      </c>
      <c r="T155" s="137">
        <v>0.05</v>
      </c>
      <c r="U155" s="137">
        <v>0.01</v>
      </c>
      <c r="V155" s="137">
        <f t="shared" si="159"/>
        <v>0.356773559171504</v>
      </c>
      <c r="W155" s="137">
        <f t="shared" si="160"/>
        <v>0.032078853046595</v>
      </c>
      <c r="X155" s="135">
        <v>0.158</v>
      </c>
      <c r="Y155" s="138">
        <v>5</v>
      </c>
      <c r="Z155" s="138">
        <f>F155*0.15</f>
        <v>6.7485</v>
      </c>
      <c r="AA155" s="138">
        <f t="shared" si="161"/>
        <v>0.31</v>
      </c>
      <c r="AB155" s="131">
        <f t="shared" si="162"/>
        <v>4.898</v>
      </c>
      <c r="AC155" s="131">
        <v>94.4</v>
      </c>
      <c r="AD155" s="139">
        <f t="shared" si="163"/>
        <v>83.5398230088496</v>
      </c>
      <c r="AE155" s="136">
        <f>11.1/8.5</f>
        <v>1.30588235294118</v>
      </c>
      <c r="AF155" s="137">
        <f t="shared" si="164"/>
        <v>0.299425888920608</v>
      </c>
      <c r="AG155" s="137">
        <f t="shared" si="165"/>
        <v>0.00468058191018343</v>
      </c>
      <c r="AH155" s="136">
        <v>16</v>
      </c>
      <c r="AI155" s="134">
        <f t="shared" si="166"/>
        <v>0.370477992399395</v>
      </c>
      <c r="AJ155" s="137"/>
      <c r="AK155" s="137"/>
      <c r="AL155" s="137"/>
      <c r="AM155" s="137"/>
      <c r="AN155" s="140"/>
      <c r="AO155" s="140"/>
      <c r="AP155" s="140"/>
      <c r="AQ155" s="140"/>
      <c r="AR155" s="140"/>
      <c r="AS155" s="140"/>
      <c r="AT155" s="140" t="s">
        <v>376</v>
      </c>
      <c r="AU155" s="140" t="s">
        <v>376</v>
      </c>
      <c r="AV155" s="140" t="s">
        <v>376</v>
      </c>
      <c r="AW155" s="140" t="s">
        <v>376</v>
      </c>
      <c r="AX155" s="140" t="s">
        <v>376</v>
      </c>
      <c r="AY155" s="140" t="s">
        <v>376</v>
      </c>
      <c r="AZ155" s="140" t="s">
        <v>376</v>
      </c>
      <c r="BA155" s="140" t="s">
        <v>376</v>
      </c>
      <c r="BB155" s="140" t="s">
        <v>376</v>
      </c>
      <c r="BC155" s="140" t="s">
        <v>376</v>
      </c>
      <c r="BD155" s="140" t="s">
        <v>376</v>
      </c>
      <c r="BE155" s="140" t="s">
        <v>376</v>
      </c>
      <c r="BF155" s="140" t="s">
        <v>376</v>
      </c>
      <c r="BG155" s="140" t="s">
        <v>376</v>
      </c>
      <c r="BH155" s="140" t="s">
        <v>376</v>
      </c>
      <c r="BI155" s="140" t="s">
        <v>376</v>
      </c>
      <c r="BJ155" s="140" t="s">
        <v>376</v>
      </c>
      <c r="BK155" s="140" t="s">
        <v>376</v>
      </c>
      <c r="BL155" s="140" t="s">
        <v>376</v>
      </c>
      <c r="BM155" s="140" t="s">
        <v>376</v>
      </c>
      <c r="BN155" s="140" t="s">
        <v>376</v>
      </c>
      <c r="BO155" s="140" t="s">
        <v>376</v>
      </c>
      <c r="BP155" s="140" t="s">
        <v>376</v>
      </c>
      <c r="BQ155" s="140" t="s">
        <v>376</v>
      </c>
      <c r="BR155" s="144" t="e">
        <f>IF(E155&lt;#REF!,1,0)</f>
        <v>#REF!</v>
      </c>
      <c r="BS155" s="142" t="s">
        <v>377</v>
      </c>
    </row>
    <row r="156" customHeight="1" spans="1:71">
      <c r="A156" s="127" t="s">
        <v>280</v>
      </c>
      <c r="B156" s="127"/>
      <c r="C156" s="186"/>
      <c r="D156" s="177" t="s">
        <v>434</v>
      </c>
      <c r="E156" s="131">
        <v>34.5</v>
      </c>
      <c r="F156" s="143">
        <v>49.99</v>
      </c>
      <c r="G156" s="133">
        <f t="shared" si="148"/>
        <v>49.99</v>
      </c>
      <c r="H156" s="133">
        <f t="shared" si="149"/>
        <v>41.6583333333333</v>
      </c>
      <c r="I156" s="133">
        <f t="shared" si="150"/>
        <v>9.87866101278269</v>
      </c>
      <c r="J156" s="134">
        <f t="shared" si="151"/>
        <v>0.286338000370513</v>
      </c>
      <c r="K156" s="131">
        <f t="shared" si="152"/>
        <v>41.6583333333333</v>
      </c>
      <c r="L156" s="174">
        <f t="shared" si="153"/>
        <v>0.171834366873375</v>
      </c>
      <c r="M156" s="133">
        <f t="shared" si="154"/>
        <v>7.15833333333334</v>
      </c>
      <c r="N156" s="131">
        <f t="shared" si="155"/>
        <v>100.53982300885</v>
      </c>
      <c r="O156" s="131">
        <f t="shared" si="156"/>
        <v>0.861111111111111</v>
      </c>
      <c r="P156" s="127">
        <v>9</v>
      </c>
      <c r="Q156" s="136">
        <v>8</v>
      </c>
      <c r="R156" s="137">
        <f t="shared" si="157"/>
        <v>0.144927536231884</v>
      </c>
      <c r="S156" s="134">
        <f t="shared" si="158"/>
        <v>0.1000200040008</v>
      </c>
      <c r="T156" s="137">
        <v>0.05</v>
      </c>
      <c r="U156" s="137">
        <v>0.01</v>
      </c>
      <c r="V156" s="137">
        <f t="shared" si="159"/>
        <v>0.364274721046556</v>
      </c>
      <c r="W156" s="137">
        <f t="shared" si="160"/>
        <v>0.0249597423510467</v>
      </c>
      <c r="X156" s="135">
        <v>0.1695</v>
      </c>
      <c r="Y156" s="138">
        <v>5</v>
      </c>
      <c r="Z156" s="138">
        <v>0</v>
      </c>
      <c r="AA156" s="138">
        <f t="shared" si="161"/>
        <v>0.345</v>
      </c>
      <c r="AB156" s="131">
        <f t="shared" si="162"/>
        <v>5.84775</v>
      </c>
      <c r="AC156" s="131">
        <v>94.4</v>
      </c>
      <c r="AD156" s="139">
        <f t="shared" si="163"/>
        <v>83.5398230088496</v>
      </c>
      <c r="AE156" s="136">
        <f t="shared" ref="AE156:AE171" si="167">11.1/7.4</f>
        <v>1.5</v>
      </c>
      <c r="AF156" s="137">
        <f t="shared" si="164"/>
        <v>0.302680518148006</v>
      </c>
      <c r="AG156" s="137">
        <f t="shared" si="165"/>
        <v>0.00543478260869565</v>
      </c>
      <c r="AH156" s="136">
        <v>17</v>
      </c>
      <c r="AI156" s="134">
        <f t="shared" si="166"/>
        <v>0.312208441688338</v>
      </c>
      <c r="AJ156" s="137"/>
      <c r="AK156" s="137"/>
      <c r="AL156" s="137"/>
      <c r="AM156" s="137"/>
      <c r="AN156" s="140"/>
      <c r="AO156" s="140"/>
      <c r="AP156" s="140"/>
      <c r="AQ156" s="140"/>
      <c r="AR156" s="140"/>
      <c r="AS156" s="140"/>
      <c r="AT156" s="140" t="s">
        <v>376</v>
      </c>
      <c r="AU156" s="140" t="s">
        <v>376</v>
      </c>
      <c r="AV156" s="140" t="s">
        <v>376</v>
      </c>
      <c r="AW156" s="140" t="s">
        <v>376</v>
      </c>
      <c r="AX156" s="140" t="s">
        <v>376</v>
      </c>
      <c r="AY156" s="140" t="s">
        <v>376</v>
      </c>
      <c r="AZ156" s="140" t="s">
        <v>376</v>
      </c>
      <c r="BA156" s="140" t="s">
        <v>376</v>
      </c>
      <c r="BB156" s="140" t="s">
        <v>376</v>
      </c>
      <c r="BC156" s="140" t="s">
        <v>376</v>
      </c>
      <c r="BD156" s="140" t="s">
        <v>376</v>
      </c>
      <c r="BE156" s="140" t="s">
        <v>376</v>
      </c>
      <c r="BF156" s="140" t="s">
        <v>376</v>
      </c>
      <c r="BG156" s="140" t="s">
        <v>376</v>
      </c>
      <c r="BH156" s="140" t="s">
        <v>376</v>
      </c>
      <c r="BI156" s="140" t="s">
        <v>376</v>
      </c>
      <c r="BJ156" s="140" t="s">
        <v>376</v>
      </c>
      <c r="BK156" s="140" t="s">
        <v>376</v>
      </c>
      <c r="BL156" s="140" t="s">
        <v>376</v>
      </c>
      <c r="BM156" s="140" t="s">
        <v>376</v>
      </c>
      <c r="BN156" s="140" t="s">
        <v>376</v>
      </c>
      <c r="BO156" s="140" t="s">
        <v>376</v>
      </c>
      <c r="BP156" s="140" t="s">
        <v>376</v>
      </c>
      <c r="BQ156" s="140" t="s">
        <v>376</v>
      </c>
      <c r="BR156" s="144" t="e">
        <f>IF(#REF!&lt;E156,1,0)</f>
        <v>#REF!</v>
      </c>
      <c r="BS156" s="142" t="s">
        <v>377</v>
      </c>
    </row>
    <row r="157" customHeight="1" spans="1:71">
      <c r="A157" s="127" t="s">
        <v>280</v>
      </c>
      <c r="B157" s="127"/>
      <c r="C157" s="186"/>
      <c r="D157" s="177" t="s">
        <v>435</v>
      </c>
      <c r="E157" s="131">
        <v>34.5</v>
      </c>
      <c r="F157" s="143">
        <v>49.99</v>
      </c>
      <c r="G157" s="133">
        <f t="shared" si="148"/>
        <v>44.991</v>
      </c>
      <c r="H157" s="133">
        <f t="shared" si="149"/>
        <v>37.4925</v>
      </c>
      <c r="I157" s="133">
        <f t="shared" si="150"/>
        <v>4.87966101278269</v>
      </c>
      <c r="J157" s="134">
        <f t="shared" si="151"/>
        <v>0.141439449645875</v>
      </c>
      <c r="K157" s="131">
        <f t="shared" si="152"/>
        <v>41.6583333333333</v>
      </c>
      <c r="L157" s="174">
        <f t="shared" si="153"/>
        <v>0.171834366873375</v>
      </c>
      <c r="M157" s="133">
        <f t="shared" si="154"/>
        <v>7.15833333333334</v>
      </c>
      <c r="N157" s="131">
        <f t="shared" si="155"/>
        <v>100.53982300885</v>
      </c>
      <c r="O157" s="131">
        <f t="shared" si="156"/>
        <v>0.861111111111111</v>
      </c>
      <c r="P157" s="127">
        <v>9</v>
      </c>
      <c r="Q157" s="136">
        <v>8</v>
      </c>
      <c r="R157" s="137">
        <f t="shared" si="157"/>
        <v>0.144927536231884</v>
      </c>
      <c r="S157" s="134">
        <f t="shared" si="158"/>
        <v>0.1000200040008</v>
      </c>
      <c r="T157" s="137">
        <v>0.05</v>
      </c>
      <c r="U157" s="137">
        <v>0.01</v>
      </c>
      <c r="V157" s="137">
        <f t="shared" si="159"/>
        <v>0.364274721046556</v>
      </c>
      <c r="W157" s="137">
        <f t="shared" si="160"/>
        <v>0.0249597423510467</v>
      </c>
      <c r="X157" s="135">
        <v>0.1695</v>
      </c>
      <c r="Y157" s="138">
        <v>5</v>
      </c>
      <c r="Z157" s="138">
        <f>F157*0.1</f>
        <v>4.999</v>
      </c>
      <c r="AA157" s="138">
        <f t="shared" si="161"/>
        <v>0.345</v>
      </c>
      <c r="AB157" s="131">
        <f t="shared" si="162"/>
        <v>5.84775</v>
      </c>
      <c r="AC157" s="131">
        <v>94.4</v>
      </c>
      <c r="AD157" s="139">
        <f t="shared" si="163"/>
        <v>83.5398230088496</v>
      </c>
      <c r="AE157" s="136">
        <f t="shared" si="167"/>
        <v>1.5</v>
      </c>
      <c r="AF157" s="137">
        <f t="shared" si="164"/>
        <v>0.302680518148006</v>
      </c>
      <c r="AG157" s="137">
        <f t="shared" si="165"/>
        <v>0.00543478260869565</v>
      </c>
      <c r="AH157" s="136">
        <v>17</v>
      </c>
      <c r="AI157" s="134">
        <f t="shared" si="166"/>
        <v>0.354782320100384</v>
      </c>
      <c r="AJ157" s="137"/>
      <c r="AK157" s="137"/>
      <c r="AL157" s="137"/>
      <c r="AM157" s="137"/>
      <c r="AN157" s="140"/>
      <c r="AO157" s="140"/>
      <c r="AP157" s="140"/>
      <c r="AQ157" s="140"/>
      <c r="AR157" s="140"/>
      <c r="AS157" s="140"/>
      <c r="AT157" s="140" t="s">
        <v>376</v>
      </c>
      <c r="AU157" s="140" t="s">
        <v>376</v>
      </c>
      <c r="AV157" s="140" t="s">
        <v>376</v>
      </c>
      <c r="AW157" s="140" t="s">
        <v>376</v>
      </c>
      <c r="AX157" s="140" t="s">
        <v>376</v>
      </c>
      <c r="AY157" s="140" t="s">
        <v>376</v>
      </c>
      <c r="AZ157" s="140" t="s">
        <v>376</v>
      </c>
      <c r="BA157" s="140" t="s">
        <v>376</v>
      </c>
      <c r="BB157" s="140" t="s">
        <v>376</v>
      </c>
      <c r="BC157" s="140" t="s">
        <v>376</v>
      </c>
      <c r="BD157" s="140" t="s">
        <v>376</v>
      </c>
      <c r="BE157" s="140" t="s">
        <v>376</v>
      </c>
      <c r="BF157" s="140" t="s">
        <v>376</v>
      </c>
      <c r="BG157" s="140" t="s">
        <v>376</v>
      </c>
      <c r="BH157" s="140" t="s">
        <v>376</v>
      </c>
      <c r="BI157" s="140" t="s">
        <v>376</v>
      </c>
      <c r="BJ157" s="140" t="s">
        <v>376</v>
      </c>
      <c r="BK157" s="140" t="s">
        <v>376</v>
      </c>
      <c r="BL157" s="140" t="s">
        <v>376</v>
      </c>
      <c r="BM157" s="140" t="s">
        <v>376</v>
      </c>
      <c r="BN157" s="140" t="s">
        <v>376</v>
      </c>
      <c r="BO157" s="140" t="s">
        <v>376</v>
      </c>
      <c r="BP157" s="140" t="s">
        <v>376</v>
      </c>
      <c r="BQ157" s="140" t="s">
        <v>376</v>
      </c>
      <c r="BR157" s="144" t="e">
        <f>IF(E157&lt;#REF!,1,0)</f>
        <v>#REF!</v>
      </c>
      <c r="BS157" s="142" t="s">
        <v>377</v>
      </c>
    </row>
    <row r="158" customHeight="1" spans="1:71">
      <c r="A158" s="127" t="s">
        <v>280</v>
      </c>
      <c r="B158" s="127"/>
      <c r="C158" s="186"/>
      <c r="D158" s="177" t="s">
        <v>436</v>
      </c>
      <c r="E158" s="131">
        <v>34.5</v>
      </c>
      <c r="F158" s="143">
        <v>49.99</v>
      </c>
      <c r="G158" s="133">
        <f t="shared" si="148"/>
        <v>42.4915</v>
      </c>
      <c r="H158" s="133">
        <f t="shared" si="149"/>
        <v>35.4095833333333</v>
      </c>
      <c r="I158" s="133">
        <f t="shared" si="150"/>
        <v>2.38016101278269</v>
      </c>
      <c r="J158" s="134">
        <f t="shared" si="151"/>
        <v>0.0689901742835563</v>
      </c>
      <c r="K158" s="131">
        <f t="shared" si="152"/>
        <v>41.6583333333333</v>
      </c>
      <c r="L158" s="174">
        <f t="shared" si="153"/>
        <v>0.171834366873375</v>
      </c>
      <c r="M158" s="133">
        <f t="shared" si="154"/>
        <v>7.15833333333334</v>
      </c>
      <c r="N158" s="131">
        <f t="shared" si="155"/>
        <v>100.53982300885</v>
      </c>
      <c r="O158" s="131">
        <f t="shared" si="156"/>
        <v>0.861111111111111</v>
      </c>
      <c r="P158" s="127">
        <v>9</v>
      </c>
      <c r="Q158" s="136">
        <v>8</v>
      </c>
      <c r="R158" s="137">
        <f t="shared" si="157"/>
        <v>0.144927536231884</v>
      </c>
      <c r="S158" s="134">
        <f t="shared" si="158"/>
        <v>0.1000200040008</v>
      </c>
      <c r="T158" s="137">
        <v>0.05</v>
      </c>
      <c r="U158" s="137">
        <v>0.01</v>
      </c>
      <c r="V158" s="137">
        <f t="shared" si="159"/>
        <v>0.364274721046556</v>
      </c>
      <c r="W158" s="137">
        <f t="shared" si="160"/>
        <v>0.0249597423510467</v>
      </c>
      <c r="X158" s="135">
        <v>0.1695</v>
      </c>
      <c r="Y158" s="138">
        <v>5</v>
      </c>
      <c r="Z158" s="138">
        <f>F158*0.15</f>
        <v>7.4985</v>
      </c>
      <c r="AA158" s="138">
        <f t="shared" si="161"/>
        <v>0.345</v>
      </c>
      <c r="AB158" s="131">
        <f t="shared" si="162"/>
        <v>5.84775</v>
      </c>
      <c r="AC158" s="131">
        <v>94.4</v>
      </c>
      <c r="AD158" s="139">
        <f t="shared" si="163"/>
        <v>83.5398230088496</v>
      </c>
      <c r="AE158" s="136">
        <f t="shared" si="167"/>
        <v>1.5</v>
      </c>
      <c r="AF158" s="137">
        <f t="shared" si="164"/>
        <v>0.302680518148006</v>
      </c>
      <c r="AG158" s="137">
        <f t="shared" si="165"/>
        <v>0.00543478260869565</v>
      </c>
      <c r="AH158" s="136">
        <v>17</v>
      </c>
      <c r="AI158" s="134">
        <f t="shared" si="166"/>
        <v>0.380742002058948</v>
      </c>
      <c r="AJ158" s="137"/>
      <c r="AK158" s="137"/>
      <c r="AL158" s="137"/>
      <c r="AM158" s="137"/>
      <c r="AN158" s="140"/>
      <c r="AO158" s="140"/>
      <c r="AP158" s="140"/>
      <c r="AQ158" s="140"/>
      <c r="AR158" s="140"/>
      <c r="AS158" s="140"/>
      <c r="AT158" s="140" t="s">
        <v>376</v>
      </c>
      <c r="AU158" s="140" t="s">
        <v>376</v>
      </c>
      <c r="AV158" s="140" t="s">
        <v>376</v>
      </c>
      <c r="AW158" s="140" t="s">
        <v>376</v>
      </c>
      <c r="AX158" s="140" t="s">
        <v>376</v>
      </c>
      <c r="AY158" s="140" t="s">
        <v>376</v>
      </c>
      <c r="AZ158" s="140" t="s">
        <v>376</v>
      </c>
      <c r="BA158" s="140" t="s">
        <v>376</v>
      </c>
      <c r="BB158" s="140" t="s">
        <v>376</v>
      </c>
      <c r="BC158" s="140" t="s">
        <v>376</v>
      </c>
      <c r="BD158" s="140" t="s">
        <v>376</v>
      </c>
      <c r="BE158" s="140" t="s">
        <v>376</v>
      </c>
      <c r="BF158" s="140" t="s">
        <v>376</v>
      </c>
      <c r="BG158" s="140" t="s">
        <v>376</v>
      </c>
      <c r="BH158" s="140" t="s">
        <v>376</v>
      </c>
      <c r="BI158" s="140" t="s">
        <v>376</v>
      </c>
      <c r="BJ158" s="140" t="s">
        <v>376</v>
      </c>
      <c r="BK158" s="140" t="s">
        <v>376</v>
      </c>
      <c r="BL158" s="140" t="s">
        <v>376</v>
      </c>
      <c r="BM158" s="140" t="s">
        <v>376</v>
      </c>
      <c r="BN158" s="140" t="s">
        <v>376</v>
      </c>
      <c r="BO158" s="140" t="s">
        <v>376</v>
      </c>
      <c r="BP158" s="140" t="s">
        <v>376</v>
      </c>
      <c r="BQ158" s="140" t="s">
        <v>376</v>
      </c>
      <c r="BR158" s="144" t="e">
        <f>IF(E158&lt;#REF!,1,0)</f>
        <v>#REF!</v>
      </c>
      <c r="BS158" s="142" t="s">
        <v>377</v>
      </c>
    </row>
    <row r="159" customHeight="1" spans="1:71">
      <c r="A159" s="127" t="s">
        <v>285</v>
      </c>
      <c r="B159" s="127"/>
      <c r="C159" s="186"/>
      <c r="D159" s="177" t="s">
        <v>434</v>
      </c>
      <c r="E159" s="131">
        <v>34.5</v>
      </c>
      <c r="F159" s="143">
        <v>49.99</v>
      </c>
      <c r="G159" s="133">
        <f t="shared" si="148"/>
        <v>49.99</v>
      </c>
      <c r="H159" s="133">
        <f t="shared" si="149"/>
        <v>41.6583333333333</v>
      </c>
      <c r="I159" s="133">
        <f t="shared" si="150"/>
        <v>8.17318879056047</v>
      </c>
      <c r="J159" s="134">
        <f t="shared" si="151"/>
        <v>0.236904022914796</v>
      </c>
      <c r="K159" s="131">
        <f t="shared" si="152"/>
        <v>41.6583333333333</v>
      </c>
      <c r="L159" s="174">
        <f t="shared" si="153"/>
        <v>0.171834366873375</v>
      </c>
      <c r="M159" s="133">
        <f t="shared" si="154"/>
        <v>7.15833333333334</v>
      </c>
      <c r="N159" s="131">
        <f t="shared" si="155"/>
        <v>100.53982300885</v>
      </c>
      <c r="O159" s="131">
        <f t="shared" si="156"/>
        <v>1.58333333333333</v>
      </c>
      <c r="P159" s="127">
        <v>9</v>
      </c>
      <c r="Q159" s="136">
        <v>8</v>
      </c>
      <c r="R159" s="137">
        <f t="shared" si="157"/>
        <v>0.144927536231884</v>
      </c>
      <c r="S159" s="134">
        <f t="shared" si="158"/>
        <v>0.1000200040008</v>
      </c>
      <c r="T159" s="137">
        <v>0.05</v>
      </c>
      <c r="U159" s="137">
        <v>0.01</v>
      </c>
      <c r="V159" s="137">
        <f t="shared" si="159"/>
        <v>0.364274721046556</v>
      </c>
      <c r="W159" s="137">
        <f t="shared" si="160"/>
        <v>0.0458937198067633</v>
      </c>
      <c r="X159" s="135">
        <v>0.198</v>
      </c>
      <c r="Y159" s="138">
        <v>5</v>
      </c>
      <c r="Z159" s="138">
        <v>0</v>
      </c>
      <c r="AA159" s="138">
        <f t="shared" si="161"/>
        <v>0.345</v>
      </c>
      <c r="AB159" s="131">
        <f t="shared" si="162"/>
        <v>6.831</v>
      </c>
      <c r="AC159" s="131">
        <v>94.4</v>
      </c>
      <c r="AD159" s="139">
        <f t="shared" si="163"/>
        <v>83.5398230088496</v>
      </c>
      <c r="AE159" s="136">
        <f t="shared" si="167"/>
        <v>1.5</v>
      </c>
      <c r="AF159" s="137">
        <f t="shared" si="164"/>
        <v>0.302680518148006</v>
      </c>
      <c r="AG159" s="137">
        <f t="shared" si="165"/>
        <v>0.00543478260869565</v>
      </c>
      <c r="AH159" s="136">
        <v>17</v>
      </c>
      <c r="AI159" s="134">
        <f t="shared" si="166"/>
        <v>0.335811162232447</v>
      </c>
      <c r="AJ159" s="137"/>
      <c r="AK159" s="137"/>
      <c r="AL159" s="137"/>
      <c r="AM159" s="137"/>
      <c r="AN159" s="140"/>
      <c r="AO159" s="140"/>
      <c r="AP159" s="140"/>
      <c r="AQ159" s="140"/>
      <c r="AR159" s="140"/>
      <c r="AS159" s="140"/>
      <c r="AT159" s="140" t="s">
        <v>376</v>
      </c>
      <c r="AU159" s="140" t="s">
        <v>376</v>
      </c>
      <c r="AV159" s="140" t="s">
        <v>376</v>
      </c>
      <c r="AW159" s="140" t="s">
        <v>376</v>
      </c>
      <c r="AX159" s="140" t="s">
        <v>376</v>
      </c>
      <c r="AY159" s="140" t="s">
        <v>376</v>
      </c>
      <c r="AZ159" s="140" t="s">
        <v>376</v>
      </c>
      <c r="BA159" s="140" t="s">
        <v>376</v>
      </c>
      <c r="BB159" s="140" t="s">
        <v>376</v>
      </c>
      <c r="BC159" s="140" t="s">
        <v>376</v>
      </c>
      <c r="BD159" s="140" t="s">
        <v>376</v>
      </c>
      <c r="BE159" s="140" t="s">
        <v>376</v>
      </c>
      <c r="BF159" s="140" t="s">
        <v>376</v>
      </c>
      <c r="BG159" s="140" t="s">
        <v>376</v>
      </c>
      <c r="BH159" s="140" t="s">
        <v>376</v>
      </c>
      <c r="BI159" s="140" t="s">
        <v>376</v>
      </c>
      <c r="BJ159" s="140" t="s">
        <v>376</v>
      </c>
      <c r="BK159" s="140" t="s">
        <v>376</v>
      </c>
      <c r="BL159" s="140" t="s">
        <v>376</v>
      </c>
      <c r="BM159" s="140" t="s">
        <v>376</v>
      </c>
      <c r="BN159" s="140" t="s">
        <v>376</v>
      </c>
      <c r="BO159" s="140" t="s">
        <v>376</v>
      </c>
      <c r="BP159" s="140" t="s">
        <v>376</v>
      </c>
      <c r="BQ159" s="140" t="s">
        <v>376</v>
      </c>
      <c r="BR159" s="144" t="e">
        <f>IF(#REF!&lt;E159,1,0)</f>
        <v>#REF!</v>
      </c>
      <c r="BS159" s="142" t="s">
        <v>377</v>
      </c>
    </row>
    <row r="160" customHeight="1" spans="1:71">
      <c r="A160" s="127" t="s">
        <v>285</v>
      </c>
      <c r="B160" s="127"/>
      <c r="C160" s="186"/>
      <c r="D160" s="177" t="s">
        <v>435</v>
      </c>
      <c r="E160" s="131">
        <v>34.5</v>
      </c>
      <c r="F160" s="143">
        <v>49.99</v>
      </c>
      <c r="G160" s="133">
        <f t="shared" si="148"/>
        <v>44.991</v>
      </c>
      <c r="H160" s="133">
        <f t="shared" si="149"/>
        <v>37.4925</v>
      </c>
      <c r="I160" s="133">
        <f t="shared" si="150"/>
        <v>3.17418879056047</v>
      </c>
      <c r="J160" s="134">
        <f t="shared" si="151"/>
        <v>0.0920054721901585</v>
      </c>
      <c r="K160" s="131">
        <f t="shared" si="152"/>
        <v>41.6583333333333</v>
      </c>
      <c r="L160" s="174">
        <f t="shared" si="153"/>
        <v>0.171834366873375</v>
      </c>
      <c r="M160" s="133">
        <f t="shared" si="154"/>
        <v>7.15833333333334</v>
      </c>
      <c r="N160" s="131">
        <f t="shared" si="155"/>
        <v>100.53982300885</v>
      </c>
      <c r="O160" s="131">
        <f t="shared" si="156"/>
        <v>1.58333333333333</v>
      </c>
      <c r="P160" s="127">
        <v>9</v>
      </c>
      <c r="Q160" s="136">
        <v>8</v>
      </c>
      <c r="R160" s="137">
        <f t="shared" si="157"/>
        <v>0.144927536231884</v>
      </c>
      <c r="S160" s="134">
        <f t="shared" si="158"/>
        <v>0.1000200040008</v>
      </c>
      <c r="T160" s="137">
        <v>0.05</v>
      </c>
      <c r="U160" s="137">
        <v>0.01</v>
      </c>
      <c r="V160" s="137">
        <f t="shared" si="159"/>
        <v>0.364274721046556</v>
      </c>
      <c r="W160" s="137">
        <f t="shared" si="160"/>
        <v>0.0458937198067633</v>
      </c>
      <c r="X160" s="135">
        <v>0.198</v>
      </c>
      <c r="Y160" s="138">
        <v>5</v>
      </c>
      <c r="Z160" s="138">
        <f>F160*0.1</f>
        <v>4.999</v>
      </c>
      <c r="AA160" s="138">
        <f t="shared" si="161"/>
        <v>0.345</v>
      </c>
      <c r="AB160" s="131">
        <f t="shared" si="162"/>
        <v>6.831</v>
      </c>
      <c r="AC160" s="131">
        <v>94.4</v>
      </c>
      <c r="AD160" s="139">
        <f t="shared" si="163"/>
        <v>83.5398230088496</v>
      </c>
      <c r="AE160" s="136">
        <f t="shared" si="167"/>
        <v>1.5</v>
      </c>
      <c r="AF160" s="137">
        <f t="shared" si="164"/>
        <v>0.302680518148006</v>
      </c>
      <c r="AG160" s="137">
        <f t="shared" si="165"/>
        <v>0.00543478260869565</v>
      </c>
      <c r="AH160" s="136">
        <v>17</v>
      </c>
      <c r="AI160" s="134">
        <f t="shared" si="166"/>
        <v>0.381603593445962</v>
      </c>
      <c r="AJ160" s="137"/>
      <c r="AK160" s="137"/>
      <c r="AL160" s="137"/>
      <c r="AM160" s="137"/>
      <c r="AN160" s="140"/>
      <c r="AO160" s="140"/>
      <c r="AP160" s="140"/>
      <c r="AQ160" s="140"/>
      <c r="AR160" s="140"/>
      <c r="AS160" s="140"/>
      <c r="AT160" s="140" t="s">
        <v>376</v>
      </c>
      <c r="AU160" s="140" t="s">
        <v>376</v>
      </c>
      <c r="AV160" s="140" t="s">
        <v>376</v>
      </c>
      <c r="AW160" s="140" t="s">
        <v>376</v>
      </c>
      <c r="AX160" s="140" t="s">
        <v>376</v>
      </c>
      <c r="AY160" s="140" t="s">
        <v>376</v>
      </c>
      <c r="AZ160" s="140" t="s">
        <v>376</v>
      </c>
      <c r="BA160" s="140" t="s">
        <v>376</v>
      </c>
      <c r="BB160" s="140" t="s">
        <v>376</v>
      </c>
      <c r="BC160" s="140" t="s">
        <v>376</v>
      </c>
      <c r="BD160" s="140" t="s">
        <v>376</v>
      </c>
      <c r="BE160" s="140" t="s">
        <v>376</v>
      </c>
      <c r="BF160" s="140" t="s">
        <v>376</v>
      </c>
      <c r="BG160" s="140" t="s">
        <v>376</v>
      </c>
      <c r="BH160" s="140" t="s">
        <v>376</v>
      </c>
      <c r="BI160" s="140" t="s">
        <v>376</v>
      </c>
      <c r="BJ160" s="140" t="s">
        <v>376</v>
      </c>
      <c r="BK160" s="140" t="s">
        <v>376</v>
      </c>
      <c r="BL160" s="140" t="s">
        <v>376</v>
      </c>
      <c r="BM160" s="140" t="s">
        <v>376</v>
      </c>
      <c r="BN160" s="140" t="s">
        <v>376</v>
      </c>
      <c r="BO160" s="140" t="s">
        <v>376</v>
      </c>
      <c r="BP160" s="140" t="s">
        <v>376</v>
      </c>
      <c r="BQ160" s="140" t="s">
        <v>376</v>
      </c>
      <c r="BR160" s="144" t="e">
        <f>IF(E160&lt;#REF!,1,0)</f>
        <v>#REF!</v>
      </c>
      <c r="BS160" s="142" t="s">
        <v>377</v>
      </c>
    </row>
    <row r="161" customHeight="1" spans="1:71">
      <c r="A161" s="127" t="s">
        <v>285</v>
      </c>
      <c r="B161" s="127"/>
      <c r="C161" s="186"/>
      <c r="D161" s="177" t="s">
        <v>436</v>
      </c>
      <c r="E161" s="131">
        <v>34.5</v>
      </c>
      <c r="F161" s="143">
        <v>49.99</v>
      </c>
      <c r="G161" s="133">
        <f t="shared" si="148"/>
        <v>42.4915</v>
      </c>
      <c r="H161" s="133">
        <f t="shared" si="149"/>
        <v>35.4095833333333</v>
      </c>
      <c r="I161" s="133">
        <f t="shared" si="150"/>
        <v>0.674688790560471</v>
      </c>
      <c r="J161" s="134">
        <f t="shared" si="151"/>
        <v>0.0195561968278397</v>
      </c>
      <c r="K161" s="131">
        <f t="shared" si="152"/>
        <v>41.6583333333333</v>
      </c>
      <c r="L161" s="174">
        <f t="shared" si="153"/>
        <v>0.171834366873375</v>
      </c>
      <c r="M161" s="133">
        <f t="shared" si="154"/>
        <v>7.15833333333334</v>
      </c>
      <c r="N161" s="131">
        <f t="shared" si="155"/>
        <v>100.53982300885</v>
      </c>
      <c r="O161" s="131">
        <f t="shared" si="156"/>
        <v>1.58333333333333</v>
      </c>
      <c r="P161" s="127">
        <v>9</v>
      </c>
      <c r="Q161" s="136">
        <v>8</v>
      </c>
      <c r="R161" s="137">
        <f t="shared" si="157"/>
        <v>0.144927536231884</v>
      </c>
      <c r="S161" s="134">
        <f t="shared" si="158"/>
        <v>0.1000200040008</v>
      </c>
      <c r="T161" s="137">
        <v>0.05</v>
      </c>
      <c r="U161" s="137">
        <v>0.01</v>
      </c>
      <c r="V161" s="137">
        <f t="shared" si="159"/>
        <v>0.364274721046556</v>
      </c>
      <c r="W161" s="137">
        <f t="shared" si="160"/>
        <v>0.0458937198067633</v>
      </c>
      <c r="X161" s="135">
        <v>0.198</v>
      </c>
      <c r="Y161" s="138">
        <v>5</v>
      </c>
      <c r="Z161" s="138">
        <f>F161*0.15</f>
        <v>7.4985</v>
      </c>
      <c r="AA161" s="138">
        <f t="shared" si="161"/>
        <v>0.345</v>
      </c>
      <c r="AB161" s="131">
        <f t="shared" si="162"/>
        <v>6.831</v>
      </c>
      <c r="AC161" s="131">
        <v>94.4</v>
      </c>
      <c r="AD161" s="139">
        <f t="shared" si="163"/>
        <v>83.5398230088496</v>
      </c>
      <c r="AE161" s="136">
        <f t="shared" si="167"/>
        <v>1.5</v>
      </c>
      <c r="AF161" s="137">
        <f t="shared" si="164"/>
        <v>0.302680518148006</v>
      </c>
      <c r="AG161" s="137">
        <f t="shared" si="165"/>
        <v>0.00543478260869565</v>
      </c>
      <c r="AH161" s="136">
        <v>17</v>
      </c>
      <c r="AI161" s="134">
        <f t="shared" si="166"/>
        <v>0.409525807600545</v>
      </c>
      <c r="AJ161" s="137"/>
      <c r="AK161" s="137"/>
      <c r="AL161" s="137"/>
      <c r="AM161" s="137"/>
      <c r="AN161" s="140"/>
      <c r="AO161" s="140"/>
      <c r="AP161" s="140"/>
      <c r="AQ161" s="140"/>
      <c r="AR161" s="140"/>
      <c r="AS161" s="140"/>
      <c r="AT161" s="140" t="s">
        <v>376</v>
      </c>
      <c r="AU161" s="140" t="s">
        <v>376</v>
      </c>
      <c r="AV161" s="140" t="s">
        <v>376</v>
      </c>
      <c r="AW161" s="140" t="s">
        <v>376</v>
      </c>
      <c r="AX161" s="140" t="s">
        <v>376</v>
      </c>
      <c r="AY161" s="140" t="s">
        <v>376</v>
      </c>
      <c r="AZ161" s="140" t="s">
        <v>376</v>
      </c>
      <c r="BA161" s="140" t="s">
        <v>376</v>
      </c>
      <c r="BB161" s="140" t="s">
        <v>376</v>
      </c>
      <c r="BC161" s="140" t="s">
        <v>376</v>
      </c>
      <c r="BD161" s="140" t="s">
        <v>376</v>
      </c>
      <c r="BE161" s="140" t="s">
        <v>376</v>
      </c>
      <c r="BF161" s="140" t="s">
        <v>376</v>
      </c>
      <c r="BG161" s="140" t="s">
        <v>376</v>
      </c>
      <c r="BH161" s="140" t="s">
        <v>376</v>
      </c>
      <c r="BI161" s="140" t="s">
        <v>376</v>
      </c>
      <c r="BJ161" s="140" t="s">
        <v>376</v>
      </c>
      <c r="BK161" s="140" t="s">
        <v>376</v>
      </c>
      <c r="BL161" s="140" t="s">
        <v>376</v>
      </c>
      <c r="BM161" s="140" t="s">
        <v>376</v>
      </c>
      <c r="BN161" s="140" t="s">
        <v>376</v>
      </c>
      <c r="BO161" s="140" t="s">
        <v>376</v>
      </c>
      <c r="BP161" s="140" t="s">
        <v>376</v>
      </c>
      <c r="BQ161" s="140" t="s">
        <v>376</v>
      </c>
      <c r="BR161" s="144" t="e">
        <f>IF(E161&lt;#REF!,1,0)</f>
        <v>#REF!</v>
      </c>
      <c r="BS161" s="142" t="s">
        <v>377</v>
      </c>
    </row>
    <row r="162" customHeight="1" spans="1:71">
      <c r="A162" s="127" t="s">
        <v>287</v>
      </c>
      <c r="B162" s="127"/>
      <c r="C162" s="186"/>
      <c r="D162" s="177" t="s">
        <v>434</v>
      </c>
      <c r="E162" s="131">
        <v>34.5</v>
      </c>
      <c r="F162" s="143">
        <v>49.99</v>
      </c>
      <c r="G162" s="133">
        <f t="shared" si="148"/>
        <v>49.99</v>
      </c>
      <c r="H162" s="133">
        <f t="shared" si="149"/>
        <v>41.6583333333333</v>
      </c>
      <c r="I162" s="133">
        <f t="shared" si="150"/>
        <v>8.52437767944936</v>
      </c>
      <c r="J162" s="134">
        <f t="shared" si="151"/>
        <v>0.247083410998532</v>
      </c>
      <c r="K162" s="131">
        <f t="shared" si="152"/>
        <v>41.6583333333333</v>
      </c>
      <c r="L162" s="174">
        <f t="shared" si="153"/>
        <v>0.171834366873375</v>
      </c>
      <c r="M162" s="133">
        <f t="shared" si="154"/>
        <v>7.15833333333334</v>
      </c>
      <c r="N162" s="131">
        <f t="shared" si="155"/>
        <v>100.53982300885</v>
      </c>
      <c r="O162" s="131">
        <f t="shared" si="156"/>
        <v>1.69444444444444</v>
      </c>
      <c r="P162" s="127">
        <v>9</v>
      </c>
      <c r="Q162" s="136">
        <v>8</v>
      </c>
      <c r="R162" s="137">
        <f t="shared" si="157"/>
        <v>0.144927536231884</v>
      </c>
      <c r="S162" s="134">
        <f t="shared" si="158"/>
        <v>0.1000200040008</v>
      </c>
      <c r="T162" s="137">
        <v>0.05</v>
      </c>
      <c r="U162" s="137">
        <v>0.01</v>
      </c>
      <c r="V162" s="137">
        <f t="shared" si="159"/>
        <v>0.364274721046556</v>
      </c>
      <c r="W162" s="137">
        <f t="shared" si="160"/>
        <v>0.0491143317230274</v>
      </c>
      <c r="X162" s="135">
        <v>0.1846</v>
      </c>
      <c r="Y162" s="138">
        <v>5</v>
      </c>
      <c r="Z162" s="138">
        <v>0</v>
      </c>
      <c r="AA162" s="138">
        <f t="shared" si="161"/>
        <v>0.345</v>
      </c>
      <c r="AB162" s="131">
        <f t="shared" si="162"/>
        <v>6.3687</v>
      </c>
      <c r="AC162" s="131">
        <v>94.4</v>
      </c>
      <c r="AD162" s="139">
        <f t="shared" si="163"/>
        <v>83.5398230088496</v>
      </c>
      <c r="AE162" s="136">
        <f t="shared" si="167"/>
        <v>1.5</v>
      </c>
      <c r="AF162" s="137">
        <f t="shared" si="164"/>
        <v>0.302680518148006</v>
      </c>
      <c r="AG162" s="137">
        <f t="shared" si="165"/>
        <v>0.00543478260869565</v>
      </c>
      <c r="AH162" s="136">
        <v>17</v>
      </c>
      <c r="AI162" s="134">
        <f t="shared" si="166"/>
        <v>0.32471374274855</v>
      </c>
      <c r="AJ162" s="137"/>
      <c r="AK162" s="137"/>
      <c r="AL162" s="137"/>
      <c r="AM162" s="137"/>
      <c r="AN162" s="140"/>
      <c r="AO162" s="140"/>
      <c r="AP162" s="140"/>
      <c r="AQ162" s="140"/>
      <c r="AR162" s="140"/>
      <c r="AS162" s="140"/>
      <c r="AT162" s="140" t="s">
        <v>376</v>
      </c>
      <c r="AU162" s="140" t="s">
        <v>376</v>
      </c>
      <c r="AV162" s="140" t="s">
        <v>376</v>
      </c>
      <c r="AW162" s="140" t="s">
        <v>376</v>
      </c>
      <c r="AX162" s="140" t="s">
        <v>376</v>
      </c>
      <c r="AY162" s="140" t="s">
        <v>376</v>
      </c>
      <c r="AZ162" s="140" t="s">
        <v>376</v>
      </c>
      <c r="BA162" s="140" t="s">
        <v>376</v>
      </c>
      <c r="BB162" s="140" t="s">
        <v>376</v>
      </c>
      <c r="BC162" s="140" t="s">
        <v>376</v>
      </c>
      <c r="BD162" s="140" t="s">
        <v>376</v>
      </c>
      <c r="BE162" s="140" t="s">
        <v>376</v>
      </c>
      <c r="BF162" s="140" t="s">
        <v>376</v>
      </c>
      <c r="BG162" s="140" t="s">
        <v>376</v>
      </c>
      <c r="BH162" s="140" t="s">
        <v>376</v>
      </c>
      <c r="BI162" s="140" t="s">
        <v>376</v>
      </c>
      <c r="BJ162" s="140" t="s">
        <v>376</v>
      </c>
      <c r="BK162" s="140" t="s">
        <v>376</v>
      </c>
      <c r="BL162" s="140" t="s">
        <v>376</v>
      </c>
      <c r="BM162" s="140" t="s">
        <v>376</v>
      </c>
      <c r="BN162" s="140" t="s">
        <v>376</v>
      </c>
      <c r="BO162" s="140" t="s">
        <v>376</v>
      </c>
      <c r="BP162" s="140" t="s">
        <v>376</v>
      </c>
      <c r="BQ162" s="140" t="s">
        <v>376</v>
      </c>
      <c r="BR162" s="144" t="e">
        <f>IF(#REF!&lt;E162,1,0)</f>
        <v>#REF!</v>
      </c>
      <c r="BS162" s="142" t="s">
        <v>377</v>
      </c>
    </row>
    <row r="163" customHeight="1" spans="1:71">
      <c r="A163" s="127" t="s">
        <v>287</v>
      </c>
      <c r="B163" s="127"/>
      <c r="C163" s="186"/>
      <c r="D163" s="177" t="s">
        <v>435</v>
      </c>
      <c r="E163" s="131">
        <v>34.5</v>
      </c>
      <c r="F163" s="143">
        <v>49.99</v>
      </c>
      <c r="G163" s="133">
        <f t="shared" si="148"/>
        <v>44.991</v>
      </c>
      <c r="H163" s="133">
        <f t="shared" si="149"/>
        <v>37.4925</v>
      </c>
      <c r="I163" s="133">
        <f t="shared" si="150"/>
        <v>3.52537767944936</v>
      </c>
      <c r="J163" s="134">
        <f t="shared" si="151"/>
        <v>0.102184860273894</v>
      </c>
      <c r="K163" s="131">
        <f t="shared" si="152"/>
        <v>41.6583333333333</v>
      </c>
      <c r="L163" s="174">
        <f t="shared" si="153"/>
        <v>0.171834366873375</v>
      </c>
      <c r="M163" s="133">
        <f t="shared" si="154"/>
        <v>7.15833333333334</v>
      </c>
      <c r="N163" s="131">
        <f t="shared" si="155"/>
        <v>100.53982300885</v>
      </c>
      <c r="O163" s="131">
        <f t="shared" si="156"/>
        <v>1.69444444444444</v>
      </c>
      <c r="P163" s="127">
        <v>9</v>
      </c>
      <c r="Q163" s="136">
        <v>8</v>
      </c>
      <c r="R163" s="137">
        <f t="shared" si="157"/>
        <v>0.144927536231884</v>
      </c>
      <c r="S163" s="134">
        <f t="shared" si="158"/>
        <v>0.1000200040008</v>
      </c>
      <c r="T163" s="137">
        <v>0.05</v>
      </c>
      <c r="U163" s="137">
        <v>0.01</v>
      </c>
      <c r="V163" s="137">
        <f t="shared" si="159"/>
        <v>0.364274721046556</v>
      </c>
      <c r="W163" s="137">
        <f t="shared" si="160"/>
        <v>0.0491143317230274</v>
      </c>
      <c r="X163" s="135">
        <v>0.1846</v>
      </c>
      <c r="Y163" s="138">
        <v>5</v>
      </c>
      <c r="Z163" s="138">
        <f>F163*0.1</f>
        <v>4.999</v>
      </c>
      <c r="AA163" s="138">
        <f t="shared" si="161"/>
        <v>0.345</v>
      </c>
      <c r="AB163" s="131">
        <f t="shared" si="162"/>
        <v>6.3687</v>
      </c>
      <c r="AC163" s="131">
        <v>94.4</v>
      </c>
      <c r="AD163" s="139">
        <f t="shared" si="163"/>
        <v>83.5398230088496</v>
      </c>
      <c r="AE163" s="136">
        <f t="shared" si="167"/>
        <v>1.5</v>
      </c>
      <c r="AF163" s="137">
        <f t="shared" si="164"/>
        <v>0.302680518148006</v>
      </c>
      <c r="AG163" s="137">
        <f t="shared" si="165"/>
        <v>0.00543478260869565</v>
      </c>
      <c r="AH163" s="136">
        <v>17</v>
      </c>
      <c r="AI163" s="134">
        <f t="shared" si="166"/>
        <v>0.368992889486988</v>
      </c>
      <c r="AJ163" s="137"/>
      <c r="AK163" s="137"/>
      <c r="AL163" s="137"/>
      <c r="AM163" s="137"/>
      <c r="AN163" s="140"/>
      <c r="AO163" s="140"/>
      <c r="AP163" s="140"/>
      <c r="AQ163" s="140"/>
      <c r="AR163" s="140"/>
      <c r="AS163" s="140"/>
      <c r="AT163" s="140" t="s">
        <v>376</v>
      </c>
      <c r="AU163" s="140" t="s">
        <v>376</v>
      </c>
      <c r="AV163" s="140" t="s">
        <v>376</v>
      </c>
      <c r="AW163" s="140" t="s">
        <v>376</v>
      </c>
      <c r="AX163" s="140" t="s">
        <v>376</v>
      </c>
      <c r="AY163" s="140" t="s">
        <v>376</v>
      </c>
      <c r="AZ163" s="140" t="s">
        <v>376</v>
      </c>
      <c r="BA163" s="140" t="s">
        <v>376</v>
      </c>
      <c r="BB163" s="140" t="s">
        <v>376</v>
      </c>
      <c r="BC163" s="140" t="s">
        <v>376</v>
      </c>
      <c r="BD163" s="140" t="s">
        <v>376</v>
      </c>
      <c r="BE163" s="140" t="s">
        <v>376</v>
      </c>
      <c r="BF163" s="140" t="s">
        <v>376</v>
      </c>
      <c r="BG163" s="140" t="s">
        <v>376</v>
      </c>
      <c r="BH163" s="140" t="s">
        <v>376</v>
      </c>
      <c r="BI163" s="140" t="s">
        <v>376</v>
      </c>
      <c r="BJ163" s="140" t="s">
        <v>376</v>
      </c>
      <c r="BK163" s="140" t="s">
        <v>376</v>
      </c>
      <c r="BL163" s="140" t="s">
        <v>376</v>
      </c>
      <c r="BM163" s="140" t="s">
        <v>376</v>
      </c>
      <c r="BN163" s="140" t="s">
        <v>376</v>
      </c>
      <c r="BO163" s="140" t="s">
        <v>376</v>
      </c>
      <c r="BP163" s="140" t="s">
        <v>376</v>
      </c>
      <c r="BQ163" s="140" t="s">
        <v>376</v>
      </c>
      <c r="BR163" s="144" t="e">
        <f>IF(E163&lt;#REF!,1,0)</f>
        <v>#REF!</v>
      </c>
      <c r="BS163" s="142" t="s">
        <v>377</v>
      </c>
    </row>
    <row r="164" customHeight="1" spans="1:71">
      <c r="A164" s="127" t="s">
        <v>287</v>
      </c>
      <c r="B164" s="127"/>
      <c r="C164" s="186"/>
      <c r="D164" s="177" t="s">
        <v>436</v>
      </c>
      <c r="E164" s="131">
        <v>34.5</v>
      </c>
      <c r="F164" s="143">
        <v>49.99</v>
      </c>
      <c r="G164" s="133">
        <f t="shared" si="148"/>
        <v>42.4915</v>
      </c>
      <c r="H164" s="133">
        <f t="shared" si="149"/>
        <v>35.4095833333333</v>
      </c>
      <c r="I164" s="133">
        <f t="shared" si="150"/>
        <v>1.02587767944936</v>
      </c>
      <c r="J164" s="134">
        <f t="shared" si="151"/>
        <v>0.0297355849115756</v>
      </c>
      <c r="K164" s="131">
        <f t="shared" si="152"/>
        <v>41.6583333333333</v>
      </c>
      <c r="L164" s="174">
        <f t="shared" si="153"/>
        <v>0.171834366873375</v>
      </c>
      <c r="M164" s="133">
        <f t="shared" si="154"/>
        <v>7.15833333333334</v>
      </c>
      <c r="N164" s="131">
        <f t="shared" si="155"/>
        <v>100.53982300885</v>
      </c>
      <c r="O164" s="131">
        <f t="shared" si="156"/>
        <v>1.69444444444444</v>
      </c>
      <c r="P164" s="127">
        <v>9</v>
      </c>
      <c r="Q164" s="136">
        <v>8</v>
      </c>
      <c r="R164" s="137">
        <f t="shared" si="157"/>
        <v>0.144927536231884</v>
      </c>
      <c r="S164" s="134">
        <f t="shared" si="158"/>
        <v>0.1000200040008</v>
      </c>
      <c r="T164" s="137">
        <v>0.05</v>
      </c>
      <c r="U164" s="137">
        <v>0.01</v>
      </c>
      <c r="V164" s="137">
        <f t="shared" si="159"/>
        <v>0.364274721046556</v>
      </c>
      <c r="W164" s="137">
        <f t="shared" si="160"/>
        <v>0.0491143317230274</v>
      </c>
      <c r="X164" s="135">
        <v>0.1846</v>
      </c>
      <c r="Y164" s="138">
        <v>5</v>
      </c>
      <c r="Z164" s="138">
        <f>F164*0.15</f>
        <v>7.4985</v>
      </c>
      <c r="AA164" s="138">
        <f t="shared" si="161"/>
        <v>0.345</v>
      </c>
      <c r="AB164" s="131">
        <f t="shared" si="162"/>
        <v>6.3687</v>
      </c>
      <c r="AC164" s="131">
        <v>94.4</v>
      </c>
      <c r="AD164" s="139">
        <f t="shared" si="163"/>
        <v>83.5398230088496</v>
      </c>
      <c r="AE164" s="136">
        <f t="shared" si="167"/>
        <v>1.5</v>
      </c>
      <c r="AF164" s="137">
        <f t="shared" si="164"/>
        <v>0.302680518148006</v>
      </c>
      <c r="AG164" s="137">
        <f t="shared" si="165"/>
        <v>0.00543478260869565</v>
      </c>
      <c r="AH164" s="136">
        <v>17</v>
      </c>
      <c r="AI164" s="134">
        <f t="shared" si="166"/>
        <v>0.395992369205549</v>
      </c>
      <c r="AJ164" s="137"/>
      <c r="AK164" s="137"/>
      <c r="AL164" s="137"/>
      <c r="AM164" s="137"/>
      <c r="AN164" s="140"/>
      <c r="AO164" s="140"/>
      <c r="AP164" s="140"/>
      <c r="AQ164" s="140"/>
      <c r="AR164" s="140"/>
      <c r="AS164" s="140"/>
      <c r="AT164" s="140" t="s">
        <v>376</v>
      </c>
      <c r="AU164" s="140" t="s">
        <v>376</v>
      </c>
      <c r="AV164" s="140" t="s">
        <v>376</v>
      </c>
      <c r="AW164" s="140" t="s">
        <v>376</v>
      </c>
      <c r="AX164" s="140" t="s">
        <v>376</v>
      </c>
      <c r="AY164" s="140" t="s">
        <v>376</v>
      </c>
      <c r="AZ164" s="140" t="s">
        <v>376</v>
      </c>
      <c r="BA164" s="140" t="s">
        <v>376</v>
      </c>
      <c r="BB164" s="140" t="s">
        <v>376</v>
      </c>
      <c r="BC164" s="140" t="s">
        <v>376</v>
      </c>
      <c r="BD164" s="140" t="s">
        <v>376</v>
      </c>
      <c r="BE164" s="140" t="s">
        <v>376</v>
      </c>
      <c r="BF164" s="140" t="s">
        <v>376</v>
      </c>
      <c r="BG164" s="140" t="s">
        <v>376</v>
      </c>
      <c r="BH164" s="140" t="s">
        <v>376</v>
      </c>
      <c r="BI164" s="140" t="s">
        <v>376</v>
      </c>
      <c r="BJ164" s="140" t="s">
        <v>376</v>
      </c>
      <c r="BK164" s="140" t="s">
        <v>376</v>
      </c>
      <c r="BL164" s="140" t="s">
        <v>376</v>
      </c>
      <c r="BM164" s="140" t="s">
        <v>376</v>
      </c>
      <c r="BN164" s="140" t="s">
        <v>376</v>
      </c>
      <c r="BO164" s="140" t="s">
        <v>376</v>
      </c>
      <c r="BP164" s="140" t="s">
        <v>376</v>
      </c>
      <c r="BQ164" s="140" t="s">
        <v>376</v>
      </c>
      <c r="BR164" s="144" t="e">
        <f>IF(E164&lt;#REF!,1,0)</f>
        <v>#REF!</v>
      </c>
      <c r="BS164" s="142" t="s">
        <v>377</v>
      </c>
    </row>
    <row r="165" customHeight="1" spans="1:71">
      <c r="A165" s="127" t="s">
        <v>290</v>
      </c>
      <c r="B165" s="127"/>
      <c r="C165" s="186"/>
      <c r="D165" s="172" t="s">
        <v>434</v>
      </c>
      <c r="E165" s="131">
        <v>34.5</v>
      </c>
      <c r="F165" s="143">
        <v>49.99</v>
      </c>
      <c r="G165" s="133">
        <f t="shared" si="148"/>
        <v>49.99</v>
      </c>
      <c r="H165" s="133">
        <f t="shared" si="149"/>
        <v>41.6583333333333</v>
      </c>
      <c r="I165" s="133">
        <f t="shared" si="150"/>
        <v>8.76993323500492</v>
      </c>
      <c r="J165" s="134">
        <f t="shared" si="151"/>
        <v>0.254200963333476</v>
      </c>
      <c r="K165" s="131">
        <f t="shared" si="152"/>
        <v>41.6583333333333</v>
      </c>
      <c r="L165" s="174">
        <f t="shared" si="153"/>
        <v>0.171834366873375</v>
      </c>
      <c r="M165" s="133">
        <f t="shared" si="154"/>
        <v>7.15833333333334</v>
      </c>
      <c r="N165" s="131">
        <f t="shared" si="155"/>
        <v>100.53982300885</v>
      </c>
      <c r="O165" s="131">
        <f t="shared" si="156"/>
        <v>2.13888888888889</v>
      </c>
      <c r="P165" s="127">
        <v>9</v>
      </c>
      <c r="Q165" s="136">
        <v>8</v>
      </c>
      <c r="R165" s="137">
        <f t="shared" si="157"/>
        <v>0.144927536231884</v>
      </c>
      <c r="S165" s="134">
        <f t="shared" si="158"/>
        <v>0.1000200040008</v>
      </c>
      <c r="T165" s="137">
        <v>0.05</v>
      </c>
      <c r="U165" s="137">
        <v>0.01</v>
      </c>
      <c r="V165" s="137">
        <f t="shared" si="159"/>
        <v>0.364274721046556</v>
      </c>
      <c r="W165" s="137">
        <f t="shared" si="160"/>
        <v>0.0619967793880837</v>
      </c>
      <c r="X165" s="135">
        <v>0.1646</v>
      </c>
      <c r="Y165" s="138">
        <v>5</v>
      </c>
      <c r="Z165" s="138">
        <v>0</v>
      </c>
      <c r="AA165" s="138">
        <f t="shared" si="161"/>
        <v>0.345</v>
      </c>
      <c r="AB165" s="131">
        <f t="shared" si="162"/>
        <v>5.6787</v>
      </c>
      <c r="AC165" s="131">
        <v>94.4</v>
      </c>
      <c r="AD165" s="139">
        <f t="shared" si="163"/>
        <v>83.5398230088496</v>
      </c>
      <c r="AE165" s="136">
        <f t="shared" si="167"/>
        <v>1.5</v>
      </c>
      <c r="AF165" s="137">
        <f t="shared" si="164"/>
        <v>0.302680518148006</v>
      </c>
      <c r="AG165" s="137">
        <f t="shared" si="165"/>
        <v>0.00543478260869565</v>
      </c>
      <c r="AH165" s="136">
        <v>17</v>
      </c>
      <c r="AI165" s="134">
        <f t="shared" si="166"/>
        <v>0.308150430086017</v>
      </c>
      <c r="AJ165" s="137"/>
      <c r="AK165" s="137"/>
      <c r="AL165" s="137"/>
      <c r="AM165" s="137"/>
      <c r="AN165" s="140"/>
      <c r="AO165" s="140"/>
      <c r="AP165" s="140"/>
      <c r="AQ165" s="140"/>
      <c r="AR165" s="140"/>
      <c r="AS165" s="140"/>
      <c r="AT165" s="140" t="s">
        <v>376</v>
      </c>
      <c r="AU165" s="140" t="s">
        <v>376</v>
      </c>
      <c r="AV165" s="140" t="s">
        <v>376</v>
      </c>
      <c r="AW165" s="140" t="s">
        <v>376</v>
      </c>
      <c r="AX165" s="140" t="s">
        <v>376</v>
      </c>
      <c r="AY165" s="140" t="s">
        <v>376</v>
      </c>
      <c r="AZ165" s="140" t="s">
        <v>376</v>
      </c>
      <c r="BA165" s="140" t="s">
        <v>376</v>
      </c>
      <c r="BB165" s="140" t="s">
        <v>376</v>
      </c>
      <c r="BC165" s="140" t="s">
        <v>376</v>
      </c>
      <c r="BD165" s="140" t="s">
        <v>376</v>
      </c>
      <c r="BE165" s="140" t="s">
        <v>376</v>
      </c>
      <c r="BF165" s="140" t="s">
        <v>376</v>
      </c>
      <c r="BG165" s="140" t="s">
        <v>376</v>
      </c>
      <c r="BH165" s="140" t="s">
        <v>376</v>
      </c>
      <c r="BI165" s="140" t="s">
        <v>376</v>
      </c>
      <c r="BJ165" s="140" t="s">
        <v>376</v>
      </c>
      <c r="BK165" s="140" t="s">
        <v>376</v>
      </c>
      <c r="BL165" s="140" t="s">
        <v>376</v>
      </c>
      <c r="BM165" s="140" t="s">
        <v>376</v>
      </c>
      <c r="BN165" s="140" t="s">
        <v>376</v>
      </c>
      <c r="BO165" s="140" t="s">
        <v>376</v>
      </c>
      <c r="BP165" s="140" t="s">
        <v>376</v>
      </c>
      <c r="BQ165" s="140" t="s">
        <v>376</v>
      </c>
      <c r="BR165" s="144" t="e">
        <f>IF(#REF!&lt;E165,1,0)</f>
        <v>#REF!</v>
      </c>
      <c r="BS165" s="142" t="s">
        <v>377</v>
      </c>
    </row>
    <row r="166" customHeight="1" spans="1:71">
      <c r="A166" s="127" t="s">
        <v>290</v>
      </c>
      <c r="B166" s="127"/>
      <c r="C166" s="186"/>
      <c r="D166" s="172" t="s">
        <v>435</v>
      </c>
      <c r="E166" s="131">
        <v>34.5</v>
      </c>
      <c r="F166" s="143">
        <v>49.99</v>
      </c>
      <c r="G166" s="133">
        <f t="shared" si="148"/>
        <v>44.991</v>
      </c>
      <c r="H166" s="133">
        <f t="shared" si="149"/>
        <v>37.4925</v>
      </c>
      <c r="I166" s="133">
        <f t="shared" si="150"/>
        <v>3.77093323500491</v>
      </c>
      <c r="J166" s="134">
        <f t="shared" si="151"/>
        <v>0.109302412608838</v>
      </c>
      <c r="K166" s="131">
        <f t="shared" si="152"/>
        <v>41.6583333333333</v>
      </c>
      <c r="L166" s="174">
        <f t="shared" si="153"/>
        <v>0.171834366873375</v>
      </c>
      <c r="M166" s="133">
        <f t="shared" si="154"/>
        <v>7.15833333333334</v>
      </c>
      <c r="N166" s="131">
        <f t="shared" si="155"/>
        <v>100.53982300885</v>
      </c>
      <c r="O166" s="131">
        <f t="shared" si="156"/>
        <v>2.13888888888889</v>
      </c>
      <c r="P166" s="127">
        <v>9</v>
      </c>
      <c r="Q166" s="136">
        <v>8</v>
      </c>
      <c r="R166" s="137">
        <f t="shared" si="157"/>
        <v>0.144927536231884</v>
      </c>
      <c r="S166" s="134">
        <f t="shared" si="158"/>
        <v>0.1000200040008</v>
      </c>
      <c r="T166" s="137">
        <v>0.05</v>
      </c>
      <c r="U166" s="137">
        <v>0.01</v>
      </c>
      <c r="V166" s="137">
        <f t="shared" si="159"/>
        <v>0.364274721046556</v>
      </c>
      <c r="W166" s="137">
        <f t="shared" si="160"/>
        <v>0.0619967793880837</v>
      </c>
      <c r="X166" s="135">
        <v>0.1646</v>
      </c>
      <c r="Y166" s="138">
        <v>5</v>
      </c>
      <c r="Z166" s="138">
        <f>F166*0.1</f>
        <v>4.999</v>
      </c>
      <c r="AA166" s="138">
        <f t="shared" si="161"/>
        <v>0.345</v>
      </c>
      <c r="AB166" s="131">
        <f t="shared" si="162"/>
        <v>5.6787</v>
      </c>
      <c r="AC166" s="131">
        <v>94.4</v>
      </c>
      <c r="AD166" s="139">
        <f t="shared" si="163"/>
        <v>83.5398230088496</v>
      </c>
      <c r="AE166" s="136">
        <f t="shared" si="167"/>
        <v>1.5</v>
      </c>
      <c r="AF166" s="137">
        <f t="shared" si="164"/>
        <v>0.302680518148006</v>
      </c>
      <c r="AG166" s="137">
        <f t="shared" si="165"/>
        <v>0.00543478260869565</v>
      </c>
      <c r="AH166" s="136">
        <v>17</v>
      </c>
      <c r="AI166" s="134">
        <f t="shared" si="166"/>
        <v>0.350170943279565</v>
      </c>
      <c r="AJ166" s="137"/>
      <c r="AK166" s="137"/>
      <c r="AL166" s="137"/>
      <c r="AM166" s="137"/>
      <c r="AN166" s="140"/>
      <c r="AO166" s="140"/>
      <c r="AP166" s="140"/>
      <c r="AQ166" s="140"/>
      <c r="AR166" s="140"/>
      <c r="AS166" s="140"/>
      <c r="AT166" s="140" t="s">
        <v>376</v>
      </c>
      <c r="AU166" s="140" t="s">
        <v>376</v>
      </c>
      <c r="AV166" s="140" t="s">
        <v>376</v>
      </c>
      <c r="AW166" s="140" t="s">
        <v>376</v>
      </c>
      <c r="AX166" s="140" t="s">
        <v>376</v>
      </c>
      <c r="AY166" s="140" t="s">
        <v>376</v>
      </c>
      <c r="AZ166" s="140" t="s">
        <v>376</v>
      </c>
      <c r="BA166" s="140" t="s">
        <v>376</v>
      </c>
      <c r="BB166" s="140" t="s">
        <v>376</v>
      </c>
      <c r="BC166" s="140" t="s">
        <v>376</v>
      </c>
      <c r="BD166" s="140" t="s">
        <v>376</v>
      </c>
      <c r="BE166" s="140" t="s">
        <v>376</v>
      </c>
      <c r="BF166" s="140" t="s">
        <v>376</v>
      </c>
      <c r="BG166" s="140" t="s">
        <v>376</v>
      </c>
      <c r="BH166" s="140" t="s">
        <v>376</v>
      </c>
      <c r="BI166" s="140" t="s">
        <v>376</v>
      </c>
      <c r="BJ166" s="140" t="s">
        <v>376</v>
      </c>
      <c r="BK166" s="140" t="s">
        <v>376</v>
      </c>
      <c r="BL166" s="140" t="s">
        <v>376</v>
      </c>
      <c r="BM166" s="140" t="s">
        <v>376</v>
      </c>
      <c r="BN166" s="140" t="s">
        <v>376</v>
      </c>
      <c r="BO166" s="140" t="s">
        <v>376</v>
      </c>
      <c r="BP166" s="140" t="s">
        <v>376</v>
      </c>
      <c r="BQ166" s="140" t="s">
        <v>376</v>
      </c>
      <c r="BR166" s="144" t="e">
        <f>IF(E166&lt;#REF!,1,0)</f>
        <v>#REF!</v>
      </c>
      <c r="BS166" s="142" t="s">
        <v>377</v>
      </c>
    </row>
    <row r="167" customHeight="1" spans="1:71">
      <c r="A167" s="127" t="s">
        <v>290</v>
      </c>
      <c r="B167" s="127"/>
      <c r="C167" s="186"/>
      <c r="D167" s="172" t="s">
        <v>436</v>
      </c>
      <c r="E167" s="131">
        <v>34.5</v>
      </c>
      <c r="F167" s="143">
        <v>49.99</v>
      </c>
      <c r="G167" s="133">
        <f t="shared" si="148"/>
        <v>42.4915</v>
      </c>
      <c r="H167" s="133">
        <f t="shared" si="149"/>
        <v>35.4095833333333</v>
      </c>
      <c r="I167" s="133">
        <f t="shared" si="150"/>
        <v>1.27143323500492</v>
      </c>
      <c r="J167" s="134">
        <f t="shared" si="151"/>
        <v>0.0368531372465193</v>
      </c>
      <c r="K167" s="131">
        <f t="shared" si="152"/>
        <v>41.6583333333333</v>
      </c>
      <c r="L167" s="174">
        <f t="shared" si="153"/>
        <v>0.171834366873375</v>
      </c>
      <c r="M167" s="133">
        <f t="shared" si="154"/>
        <v>7.15833333333334</v>
      </c>
      <c r="N167" s="131">
        <f t="shared" si="155"/>
        <v>100.53982300885</v>
      </c>
      <c r="O167" s="131">
        <f t="shared" si="156"/>
        <v>2.13888888888889</v>
      </c>
      <c r="P167" s="127">
        <v>9</v>
      </c>
      <c r="Q167" s="136">
        <v>8</v>
      </c>
      <c r="R167" s="137">
        <f t="shared" si="157"/>
        <v>0.144927536231884</v>
      </c>
      <c r="S167" s="134">
        <f t="shared" si="158"/>
        <v>0.1000200040008</v>
      </c>
      <c r="T167" s="137">
        <v>0.05</v>
      </c>
      <c r="U167" s="137">
        <v>0.01</v>
      </c>
      <c r="V167" s="137">
        <f t="shared" si="159"/>
        <v>0.364274721046556</v>
      </c>
      <c r="W167" s="137">
        <f t="shared" si="160"/>
        <v>0.0619967793880837</v>
      </c>
      <c r="X167" s="135">
        <v>0.1646</v>
      </c>
      <c r="Y167" s="138">
        <v>5</v>
      </c>
      <c r="Z167" s="138">
        <f>F167*0.15</f>
        <v>7.4985</v>
      </c>
      <c r="AA167" s="138">
        <f t="shared" si="161"/>
        <v>0.345</v>
      </c>
      <c r="AB167" s="131">
        <f t="shared" si="162"/>
        <v>5.6787</v>
      </c>
      <c r="AC167" s="131">
        <v>94.4</v>
      </c>
      <c r="AD167" s="139">
        <f t="shared" si="163"/>
        <v>83.5398230088496</v>
      </c>
      <c r="AE167" s="136">
        <f t="shared" si="167"/>
        <v>1.5</v>
      </c>
      <c r="AF167" s="137">
        <f t="shared" si="164"/>
        <v>0.302680518148006</v>
      </c>
      <c r="AG167" s="137">
        <f t="shared" si="165"/>
        <v>0.00543478260869565</v>
      </c>
      <c r="AH167" s="136">
        <v>17</v>
      </c>
      <c r="AI167" s="134">
        <f t="shared" si="166"/>
        <v>0.375793207421972</v>
      </c>
      <c r="AJ167" s="137"/>
      <c r="AK167" s="137"/>
      <c r="AL167" s="137"/>
      <c r="AM167" s="137"/>
      <c r="AN167" s="140"/>
      <c r="AO167" s="140"/>
      <c r="AP167" s="140"/>
      <c r="AQ167" s="140"/>
      <c r="AR167" s="140"/>
      <c r="AS167" s="140"/>
      <c r="AT167" s="140" t="s">
        <v>376</v>
      </c>
      <c r="AU167" s="140" t="s">
        <v>376</v>
      </c>
      <c r="AV167" s="140" t="s">
        <v>376</v>
      </c>
      <c r="AW167" s="140" t="s">
        <v>376</v>
      </c>
      <c r="AX167" s="140" t="s">
        <v>376</v>
      </c>
      <c r="AY167" s="140" t="s">
        <v>376</v>
      </c>
      <c r="AZ167" s="140" t="s">
        <v>376</v>
      </c>
      <c r="BA167" s="140" t="s">
        <v>376</v>
      </c>
      <c r="BB167" s="140" t="s">
        <v>376</v>
      </c>
      <c r="BC167" s="140" t="s">
        <v>376</v>
      </c>
      <c r="BD167" s="140" t="s">
        <v>376</v>
      </c>
      <c r="BE167" s="140" t="s">
        <v>376</v>
      </c>
      <c r="BF167" s="140" t="s">
        <v>376</v>
      </c>
      <c r="BG167" s="140" t="s">
        <v>376</v>
      </c>
      <c r="BH167" s="140" t="s">
        <v>376</v>
      </c>
      <c r="BI167" s="140" t="s">
        <v>376</v>
      </c>
      <c r="BJ167" s="140" t="s">
        <v>376</v>
      </c>
      <c r="BK167" s="140" t="s">
        <v>376</v>
      </c>
      <c r="BL167" s="140" t="s">
        <v>376</v>
      </c>
      <c r="BM167" s="140" t="s">
        <v>376</v>
      </c>
      <c r="BN167" s="140" t="s">
        <v>376</v>
      </c>
      <c r="BO167" s="140" t="s">
        <v>376</v>
      </c>
      <c r="BP167" s="140" t="s">
        <v>376</v>
      </c>
      <c r="BQ167" s="140" t="s">
        <v>376</v>
      </c>
      <c r="BR167" s="144" t="e">
        <f>IF(E167&lt;#REF!,1,0)</f>
        <v>#REF!</v>
      </c>
      <c r="BS167" s="142" t="s">
        <v>377</v>
      </c>
    </row>
    <row r="168" customHeight="1" spans="1:71">
      <c r="A168" s="127" t="s">
        <v>381</v>
      </c>
      <c r="B168" s="127"/>
      <c r="C168" s="186"/>
      <c r="D168" s="172" t="s">
        <v>437</v>
      </c>
      <c r="E168" s="131">
        <v>37.5</v>
      </c>
      <c r="F168" s="143">
        <v>54.99</v>
      </c>
      <c r="G168" s="133">
        <f t="shared" si="148"/>
        <v>54.99</v>
      </c>
      <c r="H168" s="133">
        <f t="shared" si="149"/>
        <v>45.825</v>
      </c>
      <c r="I168" s="133">
        <f t="shared" si="150"/>
        <v>16.7714110127827</v>
      </c>
      <c r="J168" s="134">
        <f t="shared" si="151"/>
        <v>0.447237627007538</v>
      </c>
      <c r="K168" s="131">
        <f t="shared" si="152"/>
        <v>45.825</v>
      </c>
      <c r="L168" s="174">
        <f t="shared" si="153"/>
        <v>0.181669394435352</v>
      </c>
      <c r="M168" s="133">
        <f t="shared" si="154"/>
        <v>8.325</v>
      </c>
      <c r="N168" s="131">
        <f t="shared" si="155"/>
        <v>100.53982300885</v>
      </c>
      <c r="O168" s="131">
        <f t="shared" si="156"/>
        <v>1.86111111111111</v>
      </c>
      <c r="P168" s="127">
        <v>9</v>
      </c>
      <c r="Q168" s="136">
        <v>8</v>
      </c>
      <c r="R168" s="137">
        <f t="shared" si="157"/>
        <v>0</v>
      </c>
      <c r="S168" s="134">
        <f t="shared" si="158"/>
        <v>0</v>
      </c>
      <c r="T168" s="137">
        <v>0.05</v>
      </c>
      <c r="U168" s="137">
        <v>0.01</v>
      </c>
      <c r="V168" s="137">
        <f t="shared" si="159"/>
        <v>0.335132743362832</v>
      </c>
      <c r="W168" s="137">
        <f t="shared" si="160"/>
        <v>0.0496296296296296</v>
      </c>
      <c r="X168" s="135">
        <v>0.158</v>
      </c>
      <c r="Y168" s="138">
        <v>0</v>
      </c>
      <c r="Z168" s="138">
        <v>0</v>
      </c>
      <c r="AA168" s="138">
        <f t="shared" si="161"/>
        <v>0.375</v>
      </c>
      <c r="AB168" s="131">
        <f t="shared" si="162"/>
        <v>5.925</v>
      </c>
      <c r="AC168" s="131">
        <v>94.4</v>
      </c>
      <c r="AD168" s="139">
        <f t="shared" si="163"/>
        <v>83.5398230088496</v>
      </c>
      <c r="AE168" s="136">
        <f t="shared" si="167"/>
        <v>1.5</v>
      </c>
      <c r="AF168" s="137">
        <f t="shared" si="164"/>
        <v>0.278466076696165</v>
      </c>
      <c r="AG168" s="137">
        <f t="shared" si="165"/>
        <v>0.005</v>
      </c>
      <c r="AH168" s="136">
        <v>17</v>
      </c>
      <c r="AI168" s="134">
        <f t="shared" si="166"/>
        <v>0.310965630114566</v>
      </c>
      <c r="AJ168" s="137"/>
      <c r="AK168" s="137"/>
      <c r="AL168" s="137"/>
      <c r="AM168" s="137"/>
      <c r="AN168" s="140"/>
      <c r="AO168" s="140"/>
      <c r="AP168" s="140"/>
      <c r="AQ168" s="140"/>
      <c r="AR168" s="140"/>
      <c r="AS168" s="140"/>
      <c r="AT168" s="140" t="s">
        <v>376</v>
      </c>
      <c r="AU168" s="140" t="s">
        <v>376</v>
      </c>
      <c r="AV168" s="140" t="s">
        <v>376</v>
      </c>
      <c r="AW168" s="140" t="s">
        <v>376</v>
      </c>
      <c r="AX168" s="140" t="s">
        <v>376</v>
      </c>
      <c r="AY168" s="140" t="s">
        <v>376</v>
      </c>
      <c r="AZ168" s="140" t="s">
        <v>376</v>
      </c>
      <c r="BA168" s="140" t="s">
        <v>376</v>
      </c>
      <c r="BB168" s="140" t="s">
        <v>376</v>
      </c>
      <c r="BC168" s="140" t="s">
        <v>376</v>
      </c>
      <c r="BD168" s="140" t="s">
        <v>376</v>
      </c>
      <c r="BE168" s="140" t="s">
        <v>376</v>
      </c>
      <c r="BF168" s="140" t="s">
        <v>376</v>
      </c>
      <c r="BG168" s="140" t="s">
        <v>376</v>
      </c>
      <c r="BH168" s="140" t="s">
        <v>376</v>
      </c>
      <c r="BI168" s="140" t="s">
        <v>376</v>
      </c>
      <c r="BJ168" s="140" t="s">
        <v>376</v>
      </c>
      <c r="BK168" s="140" t="s">
        <v>376</v>
      </c>
      <c r="BL168" s="140" t="s">
        <v>376</v>
      </c>
      <c r="BM168" s="140" t="s">
        <v>376</v>
      </c>
      <c r="BN168" s="140" t="s">
        <v>376</v>
      </c>
      <c r="BO168" s="140" t="s">
        <v>376</v>
      </c>
      <c r="BP168" s="140" t="s">
        <v>376</v>
      </c>
      <c r="BQ168" s="140" t="s">
        <v>376</v>
      </c>
      <c r="BR168" s="144" t="e">
        <f>IF(E168&lt;#REF!,1,0)</f>
        <v>#REF!</v>
      </c>
      <c r="BS168" s="142" t="s">
        <v>377</v>
      </c>
    </row>
    <row r="169" customHeight="1" spans="1:71">
      <c r="A169" s="127" t="s">
        <v>383</v>
      </c>
      <c r="B169" s="127"/>
      <c r="C169" s="186"/>
      <c r="D169" s="177" t="s">
        <v>437</v>
      </c>
      <c r="E169" s="131">
        <v>37.5</v>
      </c>
      <c r="F169" s="143">
        <v>54.99</v>
      </c>
      <c r="G169" s="133">
        <f t="shared" si="148"/>
        <v>54.99</v>
      </c>
      <c r="H169" s="133">
        <f t="shared" si="149"/>
        <v>45.825</v>
      </c>
      <c r="I169" s="133">
        <f t="shared" si="150"/>
        <v>14.6339110127827</v>
      </c>
      <c r="J169" s="134">
        <f t="shared" si="151"/>
        <v>0.390237627007538</v>
      </c>
      <c r="K169" s="131">
        <f t="shared" si="152"/>
        <v>45.825</v>
      </c>
      <c r="L169" s="174">
        <f t="shared" si="153"/>
        <v>0.181669394435352</v>
      </c>
      <c r="M169" s="133">
        <f t="shared" si="154"/>
        <v>8.325</v>
      </c>
      <c r="N169" s="131">
        <f t="shared" si="155"/>
        <v>100.53982300885</v>
      </c>
      <c r="O169" s="131">
        <f t="shared" si="156"/>
        <v>1.56111111111111</v>
      </c>
      <c r="P169" s="127">
        <v>9</v>
      </c>
      <c r="Q169" s="136">
        <v>8</v>
      </c>
      <c r="R169" s="137">
        <f t="shared" si="157"/>
        <v>0</v>
      </c>
      <c r="S169" s="134">
        <f t="shared" si="158"/>
        <v>0</v>
      </c>
      <c r="T169" s="137">
        <v>0.05</v>
      </c>
      <c r="U169" s="137">
        <v>0.01</v>
      </c>
      <c r="V169" s="137">
        <f t="shared" si="159"/>
        <v>0.335132743362832</v>
      </c>
      <c r="W169" s="137">
        <f t="shared" si="160"/>
        <v>0.0416296296296296</v>
      </c>
      <c r="X169" s="135">
        <v>0.223</v>
      </c>
      <c r="Y169" s="138">
        <v>0</v>
      </c>
      <c r="Z169" s="138">
        <v>0</v>
      </c>
      <c r="AA169" s="138">
        <f t="shared" si="161"/>
        <v>0.375</v>
      </c>
      <c r="AB169" s="131">
        <f t="shared" si="162"/>
        <v>8.3625</v>
      </c>
      <c r="AC169" s="131">
        <v>94.4</v>
      </c>
      <c r="AD169" s="139">
        <f t="shared" si="163"/>
        <v>83.5398230088496</v>
      </c>
      <c r="AE169" s="136">
        <f t="shared" si="167"/>
        <v>1.5</v>
      </c>
      <c r="AF169" s="137">
        <f t="shared" si="164"/>
        <v>0.278466076696165</v>
      </c>
      <c r="AG169" s="137">
        <f t="shared" si="165"/>
        <v>0.005</v>
      </c>
      <c r="AH169" s="136">
        <v>17</v>
      </c>
      <c r="AI169" s="134">
        <f t="shared" si="166"/>
        <v>0.364157119476268</v>
      </c>
      <c r="AJ169" s="137"/>
      <c r="AK169" s="137"/>
      <c r="AL169" s="137"/>
      <c r="AM169" s="137"/>
      <c r="AN169" s="140"/>
      <c r="AO169" s="140"/>
      <c r="AP169" s="140"/>
      <c r="AQ169" s="140"/>
      <c r="AR169" s="140"/>
      <c r="AS169" s="140"/>
      <c r="AT169" s="140" t="s">
        <v>376</v>
      </c>
      <c r="AU169" s="140" t="s">
        <v>376</v>
      </c>
      <c r="AV169" s="140" t="s">
        <v>376</v>
      </c>
      <c r="AW169" s="140" t="s">
        <v>376</v>
      </c>
      <c r="AX169" s="140" t="s">
        <v>376</v>
      </c>
      <c r="AY169" s="140" t="s">
        <v>376</v>
      </c>
      <c r="AZ169" s="140" t="s">
        <v>376</v>
      </c>
      <c r="BA169" s="140" t="s">
        <v>376</v>
      </c>
      <c r="BB169" s="140" t="s">
        <v>376</v>
      </c>
      <c r="BC169" s="140" t="s">
        <v>376</v>
      </c>
      <c r="BD169" s="140" t="s">
        <v>376</v>
      </c>
      <c r="BE169" s="140" t="s">
        <v>376</v>
      </c>
      <c r="BF169" s="140" t="s">
        <v>376</v>
      </c>
      <c r="BG169" s="140" t="s">
        <v>376</v>
      </c>
      <c r="BH169" s="140" t="s">
        <v>376</v>
      </c>
      <c r="BI169" s="140" t="s">
        <v>376</v>
      </c>
      <c r="BJ169" s="140" t="s">
        <v>376</v>
      </c>
      <c r="BK169" s="140" t="s">
        <v>376</v>
      </c>
      <c r="BL169" s="140" t="s">
        <v>376</v>
      </c>
      <c r="BM169" s="140" t="s">
        <v>376</v>
      </c>
      <c r="BN169" s="140" t="s">
        <v>376</v>
      </c>
      <c r="BO169" s="140" t="s">
        <v>376</v>
      </c>
      <c r="BP169" s="140" t="s">
        <v>376</v>
      </c>
      <c r="BQ169" s="140" t="s">
        <v>376</v>
      </c>
      <c r="BR169" s="144" t="e">
        <f>IF(E169&lt;#REF!,1,0)</f>
        <v>#REF!</v>
      </c>
      <c r="BS169" s="142" t="s">
        <v>377</v>
      </c>
    </row>
    <row r="170" customHeight="1" spans="1:71">
      <c r="A170" s="127" t="s">
        <v>385</v>
      </c>
      <c r="B170" s="127"/>
      <c r="C170" s="186"/>
      <c r="D170" s="177" t="s">
        <v>437</v>
      </c>
      <c r="E170" s="131">
        <v>37.5</v>
      </c>
      <c r="F170" s="143">
        <v>54.99</v>
      </c>
      <c r="G170" s="133">
        <f t="shared" si="148"/>
        <v>54.99</v>
      </c>
      <c r="H170" s="133">
        <f t="shared" si="149"/>
        <v>45.825</v>
      </c>
      <c r="I170" s="133">
        <f t="shared" si="150"/>
        <v>14.167244346116</v>
      </c>
      <c r="J170" s="134">
        <f t="shared" si="151"/>
        <v>0.377793182563094</v>
      </c>
      <c r="K170" s="131">
        <f t="shared" si="152"/>
        <v>45.825</v>
      </c>
      <c r="L170" s="174">
        <f t="shared" si="153"/>
        <v>0.181669394435352</v>
      </c>
      <c r="M170" s="133">
        <f t="shared" si="154"/>
        <v>8.325</v>
      </c>
      <c r="N170" s="131">
        <f t="shared" si="155"/>
        <v>100.53982300885</v>
      </c>
      <c r="O170" s="131">
        <f t="shared" si="156"/>
        <v>2.02777777777778</v>
      </c>
      <c r="P170" s="127">
        <v>9</v>
      </c>
      <c r="Q170" s="136">
        <v>8</v>
      </c>
      <c r="R170" s="137">
        <f t="shared" si="157"/>
        <v>0</v>
      </c>
      <c r="S170" s="134">
        <f t="shared" si="158"/>
        <v>0</v>
      </c>
      <c r="T170" s="137">
        <v>0.05</v>
      </c>
      <c r="U170" s="137">
        <v>0.01</v>
      </c>
      <c r="V170" s="137">
        <f t="shared" si="159"/>
        <v>0.335132743362832</v>
      </c>
      <c r="W170" s="137">
        <f t="shared" si="160"/>
        <v>0.0540740740740741</v>
      </c>
      <c r="X170" s="135">
        <v>0.223</v>
      </c>
      <c r="Y170" s="138">
        <v>0</v>
      </c>
      <c r="Z170" s="138">
        <v>0</v>
      </c>
      <c r="AA170" s="138">
        <f t="shared" si="161"/>
        <v>0.375</v>
      </c>
      <c r="AB170" s="131">
        <f t="shared" si="162"/>
        <v>8.3625</v>
      </c>
      <c r="AC170" s="131">
        <v>94.4</v>
      </c>
      <c r="AD170" s="139">
        <f t="shared" si="163"/>
        <v>83.5398230088496</v>
      </c>
      <c r="AE170" s="136">
        <f t="shared" si="167"/>
        <v>1.5</v>
      </c>
      <c r="AF170" s="137">
        <f t="shared" si="164"/>
        <v>0.278466076696165</v>
      </c>
      <c r="AG170" s="137">
        <f t="shared" si="165"/>
        <v>0.005</v>
      </c>
      <c r="AH170" s="136">
        <v>17</v>
      </c>
      <c r="AI170" s="134">
        <f t="shared" si="166"/>
        <v>0.364157119476268</v>
      </c>
      <c r="AJ170" s="137"/>
      <c r="AK170" s="137"/>
      <c r="AL170" s="137"/>
      <c r="AM170" s="137"/>
      <c r="AN170" s="140"/>
      <c r="AO170" s="140"/>
      <c r="AP170" s="140"/>
      <c r="AQ170" s="140"/>
      <c r="AR170" s="140"/>
      <c r="AS170" s="140"/>
      <c r="AT170" s="140" t="s">
        <v>376</v>
      </c>
      <c r="AU170" s="140" t="s">
        <v>376</v>
      </c>
      <c r="AV170" s="140" t="s">
        <v>376</v>
      </c>
      <c r="AW170" s="140" t="s">
        <v>376</v>
      </c>
      <c r="AX170" s="140" t="s">
        <v>376</v>
      </c>
      <c r="AY170" s="140" t="s">
        <v>376</v>
      </c>
      <c r="AZ170" s="140" t="s">
        <v>376</v>
      </c>
      <c r="BA170" s="140" t="s">
        <v>376</v>
      </c>
      <c r="BB170" s="140" t="s">
        <v>376</v>
      </c>
      <c r="BC170" s="140" t="s">
        <v>376</v>
      </c>
      <c r="BD170" s="140" t="s">
        <v>376</v>
      </c>
      <c r="BE170" s="140" t="s">
        <v>376</v>
      </c>
      <c r="BF170" s="140" t="s">
        <v>376</v>
      </c>
      <c r="BG170" s="140" t="s">
        <v>376</v>
      </c>
      <c r="BH170" s="140" t="s">
        <v>376</v>
      </c>
      <c r="BI170" s="140" t="s">
        <v>376</v>
      </c>
      <c r="BJ170" s="140" t="s">
        <v>376</v>
      </c>
      <c r="BK170" s="140" t="s">
        <v>376</v>
      </c>
      <c r="BL170" s="140" t="s">
        <v>376</v>
      </c>
      <c r="BM170" s="140" t="s">
        <v>376</v>
      </c>
      <c r="BN170" s="140" t="s">
        <v>376</v>
      </c>
      <c r="BO170" s="140" t="s">
        <v>376</v>
      </c>
      <c r="BP170" s="140" t="s">
        <v>376</v>
      </c>
      <c r="BQ170" s="140" t="s">
        <v>376</v>
      </c>
      <c r="BR170" s="144" t="e">
        <f>IF(E170&lt;#REF!,1,0)</f>
        <v>#REF!</v>
      </c>
      <c r="BS170" s="142" t="s">
        <v>377</v>
      </c>
    </row>
    <row r="171" customHeight="1" spans="1:71">
      <c r="A171" s="127" t="s">
        <v>387</v>
      </c>
      <c r="B171" s="127"/>
      <c r="C171" s="186"/>
      <c r="D171" s="177" t="s">
        <v>437</v>
      </c>
      <c r="E171" s="131">
        <v>37.5</v>
      </c>
      <c r="F171" s="143">
        <v>54.99</v>
      </c>
      <c r="G171" s="133">
        <f t="shared" si="148"/>
        <v>54.99</v>
      </c>
      <c r="H171" s="133">
        <f t="shared" si="149"/>
        <v>45.825</v>
      </c>
      <c r="I171" s="133">
        <f t="shared" si="150"/>
        <v>17.0491887905605</v>
      </c>
      <c r="J171" s="134">
        <f t="shared" si="151"/>
        <v>0.454645034414946</v>
      </c>
      <c r="K171" s="131">
        <f t="shared" si="152"/>
        <v>45.825</v>
      </c>
      <c r="L171" s="174">
        <f t="shared" si="153"/>
        <v>0.181669394435352</v>
      </c>
      <c r="M171" s="133">
        <f t="shared" si="154"/>
        <v>8.325</v>
      </c>
      <c r="N171" s="131">
        <f t="shared" si="155"/>
        <v>100.53982300885</v>
      </c>
      <c r="O171" s="131">
        <f t="shared" si="156"/>
        <v>1.58333333333333</v>
      </c>
      <c r="P171" s="127">
        <v>9</v>
      </c>
      <c r="Q171" s="136">
        <v>8</v>
      </c>
      <c r="R171" s="137">
        <f t="shared" si="157"/>
        <v>0</v>
      </c>
      <c r="S171" s="134">
        <f t="shared" si="158"/>
        <v>0</v>
      </c>
      <c r="T171" s="137">
        <v>0.05</v>
      </c>
      <c r="U171" s="137">
        <v>0.01</v>
      </c>
      <c r="V171" s="137">
        <f t="shared" si="159"/>
        <v>0.335132743362832</v>
      </c>
      <c r="W171" s="137">
        <f t="shared" si="160"/>
        <v>0.0422222222222222</v>
      </c>
      <c r="X171" s="135">
        <v>0.158</v>
      </c>
      <c r="Y171" s="138">
        <v>0</v>
      </c>
      <c r="Z171" s="138">
        <v>0</v>
      </c>
      <c r="AA171" s="138">
        <f t="shared" si="161"/>
        <v>0.375</v>
      </c>
      <c r="AB171" s="131">
        <f t="shared" si="162"/>
        <v>5.925</v>
      </c>
      <c r="AC171" s="131">
        <v>94.4</v>
      </c>
      <c r="AD171" s="139">
        <f t="shared" si="163"/>
        <v>83.5398230088496</v>
      </c>
      <c r="AE171" s="136">
        <f t="shared" si="167"/>
        <v>1.5</v>
      </c>
      <c r="AF171" s="137">
        <f t="shared" si="164"/>
        <v>0.278466076696165</v>
      </c>
      <c r="AG171" s="137">
        <f t="shared" si="165"/>
        <v>0.005</v>
      </c>
      <c r="AH171" s="136">
        <v>17</v>
      </c>
      <c r="AI171" s="134">
        <f t="shared" si="166"/>
        <v>0.310965630114566</v>
      </c>
      <c r="AJ171" s="137"/>
      <c r="AK171" s="137"/>
      <c r="AL171" s="137"/>
      <c r="AM171" s="137"/>
      <c r="AN171" s="140"/>
      <c r="AO171" s="140"/>
      <c r="AP171" s="140"/>
      <c r="AQ171" s="140"/>
      <c r="AR171" s="140"/>
      <c r="AS171" s="140"/>
      <c r="AT171" s="140" t="s">
        <v>376</v>
      </c>
      <c r="AU171" s="140" t="s">
        <v>376</v>
      </c>
      <c r="AV171" s="140" t="s">
        <v>376</v>
      </c>
      <c r="AW171" s="140" t="s">
        <v>376</v>
      </c>
      <c r="AX171" s="140" t="s">
        <v>376</v>
      </c>
      <c r="AY171" s="140" t="s">
        <v>376</v>
      </c>
      <c r="AZ171" s="140" t="s">
        <v>376</v>
      </c>
      <c r="BA171" s="140" t="s">
        <v>376</v>
      </c>
      <c r="BB171" s="140" t="s">
        <v>376</v>
      </c>
      <c r="BC171" s="140" t="s">
        <v>376</v>
      </c>
      <c r="BD171" s="140" t="s">
        <v>376</v>
      </c>
      <c r="BE171" s="140" t="s">
        <v>376</v>
      </c>
      <c r="BF171" s="140" t="s">
        <v>376</v>
      </c>
      <c r="BG171" s="140" t="s">
        <v>376</v>
      </c>
      <c r="BH171" s="140" t="s">
        <v>376</v>
      </c>
      <c r="BI171" s="140" t="s">
        <v>376</v>
      </c>
      <c r="BJ171" s="140" t="s">
        <v>376</v>
      </c>
      <c r="BK171" s="140" t="s">
        <v>376</v>
      </c>
      <c r="BL171" s="140" t="s">
        <v>376</v>
      </c>
      <c r="BM171" s="140" t="s">
        <v>376</v>
      </c>
      <c r="BN171" s="140" t="s">
        <v>376</v>
      </c>
      <c r="BO171" s="140" t="s">
        <v>376</v>
      </c>
      <c r="BP171" s="140" t="s">
        <v>376</v>
      </c>
      <c r="BQ171" s="140" t="s">
        <v>376</v>
      </c>
      <c r="BR171" s="144" t="e">
        <f>IF(E171&lt;#REF!,1,0)</f>
        <v>#REF!</v>
      </c>
      <c r="BS171" s="142" t="s">
        <v>377</v>
      </c>
    </row>
    <row r="172" customHeight="1" spans="1:71">
      <c r="A172" s="127"/>
      <c r="B172" s="127"/>
      <c r="C172" s="127"/>
      <c r="D172" s="187"/>
      <c r="E172" s="131"/>
      <c r="F172" s="143"/>
      <c r="G172" s="133">
        <f t="shared" si="148"/>
        <v>0</v>
      </c>
      <c r="H172" s="133"/>
      <c r="I172" s="133"/>
      <c r="J172" s="134"/>
      <c r="K172" s="131"/>
      <c r="L172" s="131"/>
      <c r="M172" s="131"/>
      <c r="N172" s="131"/>
      <c r="O172" s="131"/>
      <c r="P172" s="127"/>
      <c r="Q172" s="136"/>
      <c r="R172" s="137"/>
      <c r="S172" s="134"/>
      <c r="T172" s="137"/>
      <c r="U172" s="137"/>
      <c r="V172" s="137"/>
      <c r="W172" s="137"/>
      <c r="X172" s="135"/>
      <c r="Y172" s="138"/>
      <c r="Z172" s="138"/>
      <c r="AA172" s="138"/>
      <c r="AB172" s="131"/>
      <c r="AC172" s="131"/>
      <c r="AD172" s="139"/>
      <c r="AE172" s="136"/>
      <c r="AF172" s="137"/>
      <c r="AG172" s="137"/>
      <c r="AH172" s="136"/>
      <c r="AI172" s="137"/>
      <c r="AJ172" s="137"/>
      <c r="AK172" s="137"/>
      <c r="AL172" s="137"/>
      <c r="AM172" s="137"/>
      <c r="AN172" s="140"/>
      <c r="AO172" s="140"/>
      <c r="AP172" s="140"/>
      <c r="AQ172" s="140"/>
      <c r="AR172" s="140"/>
      <c r="AS172" s="140"/>
      <c r="AT172" s="140"/>
      <c r="AU172" s="140"/>
      <c r="AV172" s="140"/>
      <c r="AW172" s="140"/>
      <c r="AX172" s="140"/>
      <c r="AY172" s="140"/>
      <c r="AZ172" s="140"/>
      <c r="BA172" s="140"/>
      <c r="BB172" s="140"/>
      <c r="BC172" s="140"/>
      <c r="BD172" s="140"/>
      <c r="BE172" s="140"/>
      <c r="BF172" s="140"/>
      <c r="BG172" s="140"/>
      <c r="BH172" s="140"/>
      <c r="BI172" s="140"/>
      <c r="BJ172" s="140"/>
      <c r="BK172" s="140"/>
      <c r="BL172" s="140"/>
      <c r="BM172" s="140"/>
      <c r="BN172" s="140"/>
      <c r="BO172" s="140"/>
      <c r="BP172" s="140"/>
      <c r="BQ172" s="140"/>
      <c r="BR172" s="144"/>
      <c r="BS172" s="142" t="s">
        <v>377</v>
      </c>
    </row>
    <row r="173" customHeight="1" spans="1:71">
      <c r="G173" s="1"/>
      <c r="H173" s="1"/>
      <c r="S173" s="1"/>
      <c r="AE173" s="14"/>
      <c r="AI173" s="1"/>
    </row>
    <row r="174" customHeight="1" spans="1:71">
      <c r="A174" s="142" t="s">
        <v>86</v>
      </c>
      <c r="B174" s="127" t="s">
        <v>29</v>
      </c>
      <c r="C174" s="127"/>
      <c r="D174" s="172" t="s">
        <v>375</v>
      </c>
      <c r="E174" s="132">
        <v>62</v>
      </c>
      <c r="F174" s="173">
        <v>89.99</v>
      </c>
      <c r="G174" s="133">
        <f t="shared" ref="G174:G197" si="168">(F174-Z174)</f>
        <v>89.99</v>
      </c>
      <c r="H174" s="133">
        <f t="shared" ref="H174:H197" si="169">(F174-Z174)/1.2</f>
        <v>74.9916666666667</v>
      </c>
      <c r="I174" s="133">
        <f t="shared" ref="I174:I197" si="170">E174-N174/Q174-AB174-Y174-O174-Z174-AA174</f>
        <v>25.7159874631268</v>
      </c>
      <c r="J174" s="134">
        <f t="shared" ref="J174:J197" si="171">I174/E174</f>
        <v>0.414773991340755</v>
      </c>
      <c r="K174" s="131">
        <f t="shared" ref="K174:K197" si="172">F174/1.2</f>
        <v>74.9916666666667</v>
      </c>
      <c r="L174" s="174">
        <f t="shared" ref="L174:L197" si="173">(K174-E174)/K174</f>
        <v>0.173241471274586</v>
      </c>
      <c r="M174" s="133">
        <f t="shared" ref="M174:M197" si="174">F174/1.2-E174</f>
        <v>12.9916666666667</v>
      </c>
      <c r="N174" s="131">
        <f t="shared" ref="N174:N197" si="175">AD174+AH174</f>
        <v>150.743362831858</v>
      </c>
      <c r="O174" s="131">
        <f t="shared" ref="O174:O197" si="176">IFERROR(IF(A174="UK",8.95/P174,IF(A174="DE",7.75/P174,IF(A174="FR",14.25/P174,IF(A174="IT",15.25/P174,IF(A174="ES",19.25/P174,IF(A174="NL",16.75/P174,IF(A174="PL",14.05/P174,IF(A174="SE",18.25/P174,IF(A174="BE",14.25/P174))))))))),0)</f>
        <v>1.11875</v>
      </c>
      <c r="P174" s="142">
        <v>8</v>
      </c>
      <c r="Q174" s="136">
        <v>9</v>
      </c>
      <c r="R174" s="137">
        <f t="shared" ref="R174:R197" si="177">Y174/E174</f>
        <v>0.129032258064516</v>
      </c>
      <c r="S174" s="134">
        <f>Y174/H174</f>
        <v>0.106678519835537</v>
      </c>
      <c r="T174" s="137">
        <f t="shared" ref="T174:T197" si="178">Z174/E174</f>
        <v>0</v>
      </c>
      <c r="U174" s="137">
        <v>0.01</v>
      </c>
      <c r="V174" s="137">
        <f t="shared" ref="V174:V197" si="179">N174/(E174*Q174)</f>
        <v>0.270149395756019</v>
      </c>
      <c r="W174" s="137">
        <f t="shared" ref="W174:W197" si="180">O174/E174</f>
        <v>0.0180443548387097</v>
      </c>
      <c r="X174" s="135">
        <v>0.158</v>
      </c>
      <c r="Y174" s="138">
        <v>8</v>
      </c>
      <c r="Z174" s="138">
        <f>F174*0</f>
        <v>0</v>
      </c>
      <c r="AA174" s="138">
        <f t="shared" ref="AA174:AA197" si="181">E174*U174</f>
        <v>0.62</v>
      </c>
      <c r="AB174" s="131">
        <f t="shared" ref="AB174:AB197" si="182">E174*X174</f>
        <v>9.796</v>
      </c>
      <c r="AC174" s="131">
        <v>150</v>
      </c>
      <c r="AD174" s="139">
        <f t="shared" ref="AD174:AD197" si="183">AC174/1.13</f>
        <v>132.743362831858</v>
      </c>
      <c r="AE174" s="136">
        <f t="shared" ref="AE174:AE197" si="184">AH174/Q174</f>
        <v>2</v>
      </c>
      <c r="AF174" s="137">
        <f t="shared" ref="AF174:AF197" si="185">AD174/(E174*Q174)</f>
        <v>0.23789133123989</v>
      </c>
      <c r="AG174" s="137">
        <f t="shared" ref="AG174:AG197" si="186">AE174/E174</f>
        <v>0.032258064516129</v>
      </c>
      <c r="AH174" s="136">
        <v>18</v>
      </c>
      <c r="AI174" s="137">
        <f t="shared" ref="AI174:AI184" si="187">(H174-E174+AB174)/H174</f>
        <v>0.303869318813201</v>
      </c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40" t="s">
        <v>376</v>
      </c>
      <c r="AU174" s="140" t="s">
        <v>376</v>
      </c>
      <c r="AV174" s="140" t="s">
        <v>376</v>
      </c>
      <c r="AW174" s="140" t="s">
        <v>376</v>
      </c>
      <c r="AX174" s="140" t="s">
        <v>376</v>
      </c>
      <c r="AY174" s="140" t="s">
        <v>376</v>
      </c>
      <c r="AZ174" s="140" t="s">
        <v>376</v>
      </c>
      <c r="BA174" s="140" t="s">
        <v>376</v>
      </c>
      <c r="BB174" s="140" t="s">
        <v>376</v>
      </c>
      <c r="BC174" s="140" t="s">
        <v>376</v>
      </c>
      <c r="BD174" s="140" t="s">
        <v>376</v>
      </c>
      <c r="BE174" s="140" t="s">
        <v>376</v>
      </c>
      <c r="BF174" s="140" t="s">
        <v>376</v>
      </c>
      <c r="BG174" s="140" t="s">
        <v>376</v>
      </c>
      <c r="BH174" s="140" t="s">
        <v>376</v>
      </c>
      <c r="BI174" s="140" t="s">
        <v>376</v>
      </c>
      <c r="BJ174" s="140" t="s">
        <v>376</v>
      </c>
      <c r="BK174" s="140" t="s">
        <v>376</v>
      </c>
      <c r="BL174" s="140" t="s">
        <v>376</v>
      </c>
      <c r="BM174" s="140" t="s">
        <v>376</v>
      </c>
      <c r="BN174" s="140" t="s">
        <v>376</v>
      </c>
      <c r="BO174" s="140" t="s">
        <v>376</v>
      </c>
      <c r="BP174" s="140" t="s">
        <v>376</v>
      </c>
      <c r="BQ174" s="140" t="s">
        <v>376</v>
      </c>
      <c r="BR174" s="175"/>
      <c r="BS174" s="142" t="s">
        <v>377</v>
      </c>
    </row>
    <row r="175" customHeight="1" spans="1:71">
      <c r="A175" s="142" t="s">
        <v>86</v>
      </c>
      <c r="B175" s="127" t="s">
        <v>29</v>
      </c>
      <c r="C175" s="127"/>
      <c r="D175" s="172" t="s">
        <v>378</v>
      </c>
      <c r="E175" s="132">
        <v>62</v>
      </c>
      <c r="F175" s="130">
        <v>89.99</v>
      </c>
      <c r="G175" s="133">
        <f t="shared" si="168"/>
        <v>85.4905</v>
      </c>
      <c r="H175" s="133">
        <f t="shared" si="169"/>
        <v>71.2420833333333</v>
      </c>
      <c r="I175" s="176">
        <f t="shared" si="170"/>
        <v>21.2164874631268</v>
      </c>
      <c r="J175" s="134">
        <f t="shared" si="171"/>
        <v>0.342201410695594</v>
      </c>
      <c r="K175" s="131">
        <f t="shared" si="172"/>
        <v>74.9916666666667</v>
      </c>
      <c r="L175" s="174">
        <f t="shared" si="173"/>
        <v>0.173241471274586</v>
      </c>
      <c r="M175" s="133">
        <f t="shared" si="174"/>
        <v>12.9916666666667</v>
      </c>
      <c r="N175" s="131">
        <f t="shared" si="175"/>
        <v>150.743362831858</v>
      </c>
      <c r="O175" s="131">
        <f t="shared" si="176"/>
        <v>1.11875</v>
      </c>
      <c r="P175" s="127">
        <v>8</v>
      </c>
      <c r="Q175" s="136">
        <v>9</v>
      </c>
      <c r="R175" s="137">
        <f t="shared" si="177"/>
        <v>0.129032258064516</v>
      </c>
      <c r="S175" s="134">
        <f>Y175/H175</f>
        <v>0.11229317877425</v>
      </c>
      <c r="T175" s="137">
        <f t="shared" si="178"/>
        <v>0.0725725806451613</v>
      </c>
      <c r="U175" s="137">
        <v>0.01</v>
      </c>
      <c r="V175" s="137">
        <f t="shared" si="179"/>
        <v>0.270149395756019</v>
      </c>
      <c r="W175" s="137">
        <f t="shared" si="180"/>
        <v>0.0180443548387097</v>
      </c>
      <c r="X175" s="135">
        <v>0.158</v>
      </c>
      <c r="Y175" s="138">
        <v>8</v>
      </c>
      <c r="Z175" s="138">
        <f>F175*0.05</f>
        <v>4.4995</v>
      </c>
      <c r="AA175" s="138">
        <f t="shared" si="181"/>
        <v>0.62</v>
      </c>
      <c r="AB175" s="131">
        <f t="shared" si="182"/>
        <v>9.796</v>
      </c>
      <c r="AC175" s="131">
        <v>150</v>
      </c>
      <c r="AD175" s="139">
        <f t="shared" si="183"/>
        <v>132.743362831858</v>
      </c>
      <c r="AE175" s="136">
        <f t="shared" si="184"/>
        <v>2</v>
      </c>
      <c r="AF175" s="137">
        <f t="shared" si="185"/>
        <v>0.23789133123989</v>
      </c>
      <c r="AG175" s="137">
        <f t="shared" si="186"/>
        <v>0.032258064516129</v>
      </c>
      <c r="AH175" s="136">
        <v>18</v>
      </c>
      <c r="AI175" s="137">
        <f t="shared" si="187"/>
        <v>0.267230861908633</v>
      </c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40" t="s">
        <v>376</v>
      </c>
      <c r="AU175" s="140" t="s">
        <v>376</v>
      </c>
      <c r="AV175" s="140" t="s">
        <v>376</v>
      </c>
      <c r="AW175" s="140" t="s">
        <v>376</v>
      </c>
      <c r="AX175" s="140" t="s">
        <v>376</v>
      </c>
      <c r="AY175" s="140" t="s">
        <v>376</v>
      </c>
      <c r="AZ175" s="140" t="s">
        <v>376</v>
      </c>
      <c r="BA175" s="140" t="s">
        <v>376</v>
      </c>
      <c r="BB175" s="140" t="s">
        <v>376</v>
      </c>
      <c r="BC175" s="140" t="s">
        <v>376</v>
      </c>
      <c r="BD175" s="140" t="s">
        <v>376</v>
      </c>
      <c r="BE175" s="140" t="s">
        <v>376</v>
      </c>
      <c r="BF175" s="140" t="s">
        <v>376</v>
      </c>
      <c r="BG175" s="140" t="s">
        <v>376</v>
      </c>
      <c r="BH175" s="140" t="s">
        <v>376</v>
      </c>
      <c r="BI175" s="140" t="s">
        <v>376</v>
      </c>
      <c r="BJ175" s="140" t="s">
        <v>376</v>
      </c>
      <c r="BK175" s="140" t="s">
        <v>376</v>
      </c>
      <c r="BL175" s="140" t="s">
        <v>376</v>
      </c>
      <c r="BM175" s="140" t="s">
        <v>376</v>
      </c>
      <c r="BN175" s="140" t="s">
        <v>376</v>
      </c>
      <c r="BO175" s="140" t="s">
        <v>376</v>
      </c>
      <c r="BP175" s="140" t="s">
        <v>376</v>
      </c>
      <c r="BQ175" s="140" t="s">
        <v>376</v>
      </c>
      <c r="BR175" s="175"/>
      <c r="BS175" s="142" t="s">
        <v>377</v>
      </c>
    </row>
    <row r="176" customHeight="1" spans="1:71">
      <c r="A176" s="142" t="s">
        <v>86</v>
      </c>
      <c r="B176" s="127" t="s">
        <v>29</v>
      </c>
      <c r="C176" s="127"/>
      <c r="D176" s="172" t="s">
        <v>379</v>
      </c>
      <c r="E176" s="132">
        <v>62</v>
      </c>
      <c r="F176" s="130">
        <v>89.99</v>
      </c>
      <c r="G176" s="133">
        <f t="shared" si="168"/>
        <v>80.991</v>
      </c>
      <c r="H176" s="133">
        <f t="shared" si="169"/>
        <v>67.4925</v>
      </c>
      <c r="I176" s="133">
        <f t="shared" si="170"/>
        <v>16.7169874631268</v>
      </c>
      <c r="J176" s="134">
        <f t="shared" si="171"/>
        <v>0.269628830050433</v>
      </c>
      <c r="K176" s="131">
        <f t="shared" si="172"/>
        <v>74.9916666666667</v>
      </c>
      <c r="L176" s="174">
        <f t="shared" si="173"/>
        <v>0.173241471274586</v>
      </c>
      <c r="M176" s="133">
        <f t="shared" si="174"/>
        <v>12.9916666666667</v>
      </c>
      <c r="N176" s="131">
        <f t="shared" si="175"/>
        <v>150.743362831858</v>
      </c>
      <c r="O176" s="131">
        <f t="shared" si="176"/>
        <v>1.11875</v>
      </c>
      <c r="P176" s="127">
        <v>8</v>
      </c>
      <c r="Q176" s="136">
        <v>9</v>
      </c>
      <c r="R176" s="137">
        <f t="shared" si="177"/>
        <v>0.129032258064516</v>
      </c>
      <c r="S176" s="134">
        <f>Y176/H176</f>
        <v>0.118531688706153</v>
      </c>
      <c r="T176" s="137">
        <f t="shared" si="178"/>
        <v>0.145145161290323</v>
      </c>
      <c r="U176" s="137">
        <v>0.01</v>
      </c>
      <c r="V176" s="137">
        <f t="shared" si="179"/>
        <v>0.270149395756019</v>
      </c>
      <c r="W176" s="137">
        <f t="shared" si="180"/>
        <v>0.0180443548387097</v>
      </c>
      <c r="X176" s="135">
        <v>0.158</v>
      </c>
      <c r="Y176" s="138">
        <v>8</v>
      </c>
      <c r="Z176" s="138">
        <f>F176*0.1</f>
        <v>8.999</v>
      </c>
      <c r="AA176" s="138">
        <f t="shared" si="181"/>
        <v>0.62</v>
      </c>
      <c r="AB176" s="131">
        <f t="shared" si="182"/>
        <v>9.796</v>
      </c>
      <c r="AC176" s="131">
        <v>150</v>
      </c>
      <c r="AD176" s="139">
        <f t="shared" si="183"/>
        <v>132.743362831858</v>
      </c>
      <c r="AE176" s="136">
        <f t="shared" si="184"/>
        <v>2</v>
      </c>
      <c r="AF176" s="137">
        <f t="shared" si="185"/>
        <v>0.23789133123989</v>
      </c>
      <c r="AG176" s="137">
        <f t="shared" si="186"/>
        <v>0.032258064516129</v>
      </c>
      <c r="AH176" s="136">
        <v>18</v>
      </c>
      <c r="AI176" s="137">
        <f t="shared" si="187"/>
        <v>0.226521465348002</v>
      </c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40" t="s">
        <v>376</v>
      </c>
      <c r="AU176" s="140" t="s">
        <v>376</v>
      </c>
      <c r="AV176" s="140" t="s">
        <v>376</v>
      </c>
      <c r="AW176" s="140" t="s">
        <v>376</v>
      </c>
      <c r="AX176" s="140" t="s">
        <v>376</v>
      </c>
      <c r="AY176" s="140" t="s">
        <v>376</v>
      </c>
      <c r="AZ176" s="140" t="s">
        <v>376</v>
      </c>
      <c r="BA176" s="140" t="s">
        <v>376</v>
      </c>
      <c r="BB176" s="140" t="s">
        <v>376</v>
      </c>
      <c r="BC176" s="140" t="s">
        <v>376</v>
      </c>
      <c r="BD176" s="140" t="s">
        <v>376</v>
      </c>
      <c r="BE176" s="140" t="s">
        <v>376</v>
      </c>
      <c r="BF176" s="140" t="s">
        <v>376</v>
      </c>
      <c r="BG176" s="140" t="s">
        <v>376</v>
      </c>
      <c r="BH176" s="140" t="s">
        <v>376</v>
      </c>
      <c r="BI176" s="140" t="s">
        <v>376</v>
      </c>
      <c r="BJ176" s="140" t="s">
        <v>376</v>
      </c>
      <c r="BK176" s="140" t="s">
        <v>376</v>
      </c>
      <c r="BL176" s="140" t="s">
        <v>376</v>
      </c>
      <c r="BM176" s="140" t="s">
        <v>376</v>
      </c>
      <c r="BN176" s="140" t="s">
        <v>376</v>
      </c>
      <c r="BO176" s="140" t="s">
        <v>376</v>
      </c>
      <c r="BP176" s="140" t="s">
        <v>376</v>
      </c>
      <c r="BQ176" s="140" t="s">
        <v>376</v>
      </c>
      <c r="BR176" s="175"/>
      <c r="BS176" s="142" t="s">
        <v>377</v>
      </c>
    </row>
    <row r="177" customHeight="1" spans="1:71">
      <c r="A177" s="142" t="s">
        <v>86</v>
      </c>
      <c r="B177" s="127" t="s">
        <v>29</v>
      </c>
      <c r="C177" s="127"/>
      <c r="D177" s="172" t="s">
        <v>380</v>
      </c>
      <c r="E177" s="132">
        <v>62</v>
      </c>
      <c r="F177" s="130">
        <v>89.99</v>
      </c>
      <c r="G177" s="133">
        <f t="shared" si="168"/>
        <v>76.4915</v>
      </c>
      <c r="H177" s="133">
        <f t="shared" si="169"/>
        <v>63.7429166666667</v>
      </c>
      <c r="I177" s="133">
        <f t="shared" si="170"/>
        <v>12.2174874631268</v>
      </c>
      <c r="J177" s="134">
        <f t="shared" si="171"/>
        <v>0.197056249405272</v>
      </c>
      <c r="K177" s="131">
        <f t="shared" si="172"/>
        <v>74.9916666666667</v>
      </c>
      <c r="L177" s="174">
        <f t="shared" si="173"/>
        <v>0.173241471274586</v>
      </c>
      <c r="M177" s="133">
        <f t="shared" si="174"/>
        <v>12.9916666666667</v>
      </c>
      <c r="N177" s="131">
        <f t="shared" si="175"/>
        <v>150.743362831858</v>
      </c>
      <c r="O177" s="131">
        <f t="shared" si="176"/>
        <v>1.11875</v>
      </c>
      <c r="P177" s="127">
        <v>8</v>
      </c>
      <c r="Q177" s="136">
        <v>9</v>
      </c>
      <c r="R177" s="137">
        <f t="shared" si="177"/>
        <v>0.129032258064516</v>
      </c>
      <c r="S177" s="134">
        <f>Y177/H177</f>
        <v>0.125504140982985</v>
      </c>
      <c r="T177" s="137">
        <f t="shared" si="178"/>
        <v>0.217717741935484</v>
      </c>
      <c r="U177" s="137">
        <v>0.01</v>
      </c>
      <c r="V177" s="137">
        <f t="shared" si="179"/>
        <v>0.270149395756019</v>
      </c>
      <c r="W177" s="137">
        <f t="shared" si="180"/>
        <v>0.0180443548387097</v>
      </c>
      <c r="X177" s="135">
        <v>0.158</v>
      </c>
      <c r="Y177" s="138">
        <v>8</v>
      </c>
      <c r="Z177" s="138">
        <f>F177*0.15</f>
        <v>13.4985</v>
      </c>
      <c r="AA177" s="138">
        <f t="shared" si="181"/>
        <v>0.62</v>
      </c>
      <c r="AB177" s="131">
        <f t="shared" si="182"/>
        <v>9.796</v>
      </c>
      <c r="AC177" s="131">
        <v>150</v>
      </c>
      <c r="AD177" s="139">
        <f t="shared" si="183"/>
        <v>132.743362831858</v>
      </c>
      <c r="AE177" s="136">
        <f t="shared" si="184"/>
        <v>2</v>
      </c>
      <c r="AF177" s="137">
        <f t="shared" si="185"/>
        <v>0.23789133123989</v>
      </c>
      <c r="AG177" s="137">
        <f t="shared" si="186"/>
        <v>0.032258064516129</v>
      </c>
      <c r="AH177" s="136">
        <v>18</v>
      </c>
      <c r="AI177" s="137">
        <f t="shared" si="187"/>
        <v>0.181022728015531</v>
      </c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40" t="s">
        <v>376</v>
      </c>
      <c r="AU177" s="140" t="s">
        <v>376</v>
      </c>
      <c r="AV177" s="140" t="s">
        <v>376</v>
      </c>
      <c r="AW177" s="140" t="s">
        <v>376</v>
      </c>
      <c r="AX177" s="140" t="s">
        <v>376</v>
      </c>
      <c r="AY177" s="140" t="s">
        <v>376</v>
      </c>
      <c r="AZ177" s="140" t="s">
        <v>376</v>
      </c>
      <c r="BA177" s="140" t="s">
        <v>376</v>
      </c>
      <c r="BB177" s="140" t="s">
        <v>376</v>
      </c>
      <c r="BC177" s="140" t="s">
        <v>376</v>
      </c>
      <c r="BD177" s="140" t="s">
        <v>376</v>
      </c>
      <c r="BE177" s="140" t="s">
        <v>376</v>
      </c>
      <c r="BF177" s="140" t="s">
        <v>376</v>
      </c>
      <c r="BG177" s="140" t="s">
        <v>376</v>
      </c>
      <c r="BH177" s="140" t="s">
        <v>376</v>
      </c>
      <c r="BI177" s="140" t="s">
        <v>376</v>
      </c>
      <c r="BJ177" s="140" t="s">
        <v>376</v>
      </c>
      <c r="BK177" s="140" t="s">
        <v>376</v>
      </c>
      <c r="BL177" s="140" t="s">
        <v>376</v>
      </c>
      <c r="BM177" s="140" t="s">
        <v>376</v>
      </c>
      <c r="BN177" s="140" t="s">
        <v>376</v>
      </c>
      <c r="BO177" s="140" t="s">
        <v>376</v>
      </c>
      <c r="BP177" s="140" t="s">
        <v>376</v>
      </c>
      <c r="BQ177" s="140" t="s">
        <v>376</v>
      </c>
      <c r="BR177" s="175"/>
      <c r="BS177" s="142" t="s">
        <v>377</v>
      </c>
    </row>
    <row r="178" customHeight="1" spans="1:71">
      <c r="A178" s="127" t="s">
        <v>280</v>
      </c>
      <c r="B178" s="127" t="s">
        <v>27</v>
      </c>
      <c r="C178" s="127"/>
      <c r="D178" s="177" t="s">
        <v>375</v>
      </c>
      <c r="E178" s="132">
        <v>62</v>
      </c>
      <c r="F178" s="130">
        <v>89.99</v>
      </c>
      <c r="G178" s="133">
        <f t="shared" si="168"/>
        <v>89.99</v>
      </c>
      <c r="H178" s="133">
        <f t="shared" si="169"/>
        <v>74.9916666666667</v>
      </c>
      <c r="I178" s="133">
        <f t="shared" si="170"/>
        <v>23.0593296460177</v>
      </c>
      <c r="J178" s="134">
        <f t="shared" si="171"/>
        <v>0.371924671709963</v>
      </c>
      <c r="K178" s="131">
        <f t="shared" si="172"/>
        <v>74.9916666666667</v>
      </c>
      <c r="L178" s="174">
        <f t="shared" si="173"/>
        <v>0.173241471274586</v>
      </c>
      <c r="M178" s="133">
        <f t="shared" si="174"/>
        <v>12.9916666666667</v>
      </c>
      <c r="N178" s="131">
        <f t="shared" si="175"/>
        <v>150.743362831858</v>
      </c>
      <c r="O178" s="131">
        <f t="shared" si="176"/>
        <v>0.96875</v>
      </c>
      <c r="P178" s="127">
        <v>8</v>
      </c>
      <c r="Q178" s="136">
        <v>8</v>
      </c>
      <c r="R178" s="137">
        <f t="shared" si="177"/>
        <v>0.129032258064516</v>
      </c>
      <c r="S178" s="134">
        <f t="shared" ref="S178:S197" si="188">Y178/F178</f>
        <v>0.0888987665296144</v>
      </c>
      <c r="T178" s="137">
        <f t="shared" si="178"/>
        <v>0</v>
      </c>
      <c r="U178" s="137">
        <v>0.01</v>
      </c>
      <c r="V178" s="137">
        <f t="shared" si="179"/>
        <v>0.303918070225521</v>
      </c>
      <c r="W178" s="137">
        <f t="shared" si="180"/>
        <v>0.015625</v>
      </c>
      <c r="X178" s="135">
        <v>0.1695</v>
      </c>
      <c r="Y178" s="138">
        <v>8</v>
      </c>
      <c r="Z178" s="138">
        <v>0</v>
      </c>
      <c r="AA178" s="138">
        <f t="shared" si="181"/>
        <v>0.62</v>
      </c>
      <c r="AB178" s="131">
        <f t="shared" si="182"/>
        <v>10.509</v>
      </c>
      <c r="AC178" s="131">
        <v>150</v>
      </c>
      <c r="AD178" s="139">
        <f t="shared" si="183"/>
        <v>132.743362831858</v>
      </c>
      <c r="AE178" s="136">
        <f t="shared" si="184"/>
        <v>2.25</v>
      </c>
      <c r="AF178" s="137">
        <f t="shared" si="185"/>
        <v>0.267627747644876</v>
      </c>
      <c r="AG178" s="137">
        <f t="shared" si="186"/>
        <v>0.0362903225806452</v>
      </c>
      <c r="AH178" s="136">
        <v>18</v>
      </c>
      <c r="AI178" s="137">
        <f t="shared" si="187"/>
        <v>0.313377041893544</v>
      </c>
      <c r="AJ178" s="137"/>
      <c r="AK178" s="137"/>
      <c r="AL178" s="137"/>
      <c r="AM178" s="137"/>
      <c r="AN178" s="140"/>
      <c r="AO178" s="140"/>
      <c r="AP178" s="140"/>
      <c r="AQ178" s="140"/>
      <c r="AR178" s="140"/>
      <c r="AS178" s="140"/>
      <c r="AT178" s="140" t="s">
        <v>376</v>
      </c>
      <c r="AU178" s="140" t="s">
        <v>376</v>
      </c>
      <c r="AV178" s="140" t="s">
        <v>376</v>
      </c>
      <c r="AW178" s="140" t="s">
        <v>376</v>
      </c>
      <c r="AX178" s="140" t="s">
        <v>376</v>
      </c>
      <c r="AY178" s="140" t="s">
        <v>376</v>
      </c>
      <c r="AZ178" s="140" t="s">
        <v>376</v>
      </c>
      <c r="BA178" s="140" t="s">
        <v>376</v>
      </c>
      <c r="BB178" s="140" t="s">
        <v>376</v>
      </c>
      <c r="BC178" s="140" t="s">
        <v>376</v>
      </c>
      <c r="BD178" s="140" t="s">
        <v>376</v>
      </c>
      <c r="BE178" s="140" t="s">
        <v>376</v>
      </c>
      <c r="BF178" s="140" t="s">
        <v>376</v>
      </c>
      <c r="BG178" s="140" t="s">
        <v>376</v>
      </c>
      <c r="BH178" s="140" t="s">
        <v>376</v>
      </c>
      <c r="BI178" s="140" t="s">
        <v>376</v>
      </c>
      <c r="BJ178" s="140" t="s">
        <v>376</v>
      </c>
      <c r="BK178" s="140" t="s">
        <v>376</v>
      </c>
      <c r="BL178" s="140" t="s">
        <v>376</v>
      </c>
      <c r="BM178" s="140" t="s">
        <v>376</v>
      </c>
      <c r="BN178" s="140" t="s">
        <v>376</v>
      </c>
      <c r="BO178" s="140" t="s">
        <v>376</v>
      </c>
      <c r="BP178" s="140" t="s">
        <v>376</v>
      </c>
      <c r="BQ178" s="140" t="s">
        <v>376</v>
      </c>
      <c r="BR178" s="175"/>
      <c r="BS178" s="142" t="s">
        <v>377</v>
      </c>
    </row>
    <row r="179" customHeight="1" spans="1:71">
      <c r="A179" s="127" t="s">
        <v>280</v>
      </c>
      <c r="B179" s="127" t="s">
        <v>27</v>
      </c>
      <c r="C179" s="127"/>
      <c r="D179" s="172" t="s">
        <v>378</v>
      </c>
      <c r="E179" s="132">
        <v>62</v>
      </c>
      <c r="F179" s="130">
        <v>89.99</v>
      </c>
      <c r="G179" s="133">
        <f t="shared" si="168"/>
        <v>85.4905</v>
      </c>
      <c r="H179" s="133">
        <f t="shared" si="169"/>
        <v>71.2420833333333</v>
      </c>
      <c r="I179" s="176">
        <f t="shared" si="170"/>
        <v>18.5598296460177</v>
      </c>
      <c r="J179" s="134">
        <f t="shared" si="171"/>
        <v>0.299352091064802</v>
      </c>
      <c r="K179" s="131">
        <f t="shared" si="172"/>
        <v>74.9916666666667</v>
      </c>
      <c r="L179" s="174">
        <f t="shared" si="173"/>
        <v>0.173241471274586</v>
      </c>
      <c r="M179" s="133">
        <f t="shared" si="174"/>
        <v>12.9916666666667</v>
      </c>
      <c r="N179" s="131">
        <f t="shared" si="175"/>
        <v>150.743362831858</v>
      </c>
      <c r="O179" s="131">
        <f t="shared" si="176"/>
        <v>0.96875</v>
      </c>
      <c r="P179" s="127">
        <v>8</v>
      </c>
      <c r="Q179" s="136">
        <v>8</v>
      </c>
      <c r="R179" s="137">
        <f t="shared" si="177"/>
        <v>0.129032258064516</v>
      </c>
      <c r="S179" s="134">
        <f t="shared" si="188"/>
        <v>0.0888987665296144</v>
      </c>
      <c r="T179" s="137">
        <f t="shared" si="178"/>
        <v>0.0725725806451613</v>
      </c>
      <c r="U179" s="137">
        <v>0.01</v>
      </c>
      <c r="V179" s="137">
        <f t="shared" si="179"/>
        <v>0.303918070225521</v>
      </c>
      <c r="W179" s="137">
        <f t="shared" si="180"/>
        <v>0.015625</v>
      </c>
      <c r="X179" s="135">
        <v>0.1695</v>
      </c>
      <c r="Y179" s="138">
        <v>8</v>
      </c>
      <c r="Z179" s="138">
        <f>F179*0.05</f>
        <v>4.4995</v>
      </c>
      <c r="AA179" s="138">
        <f t="shared" si="181"/>
        <v>0.62</v>
      </c>
      <c r="AB179" s="131">
        <f t="shared" si="182"/>
        <v>10.509</v>
      </c>
      <c r="AC179" s="131">
        <v>150</v>
      </c>
      <c r="AD179" s="139">
        <f t="shared" si="183"/>
        <v>132.743362831858</v>
      </c>
      <c r="AE179" s="136">
        <f t="shared" si="184"/>
        <v>2.25</v>
      </c>
      <c r="AF179" s="137">
        <f t="shared" si="185"/>
        <v>0.267627747644876</v>
      </c>
      <c r="AG179" s="137">
        <f t="shared" si="186"/>
        <v>0.0362903225806452</v>
      </c>
      <c r="AH179" s="136">
        <v>18</v>
      </c>
      <c r="AI179" s="137">
        <f t="shared" si="187"/>
        <v>0.277238991466888</v>
      </c>
      <c r="AJ179" s="137"/>
      <c r="AK179" s="137"/>
      <c r="AL179" s="137"/>
      <c r="AM179" s="137"/>
      <c r="AN179" s="140"/>
      <c r="AO179" s="140"/>
      <c r="AP179" s="140"/>
      <c r="AQ179" s="140"/>
      <c r="AR179" s="140"/>
      <c r="AS179" s="140"/>
      <c r="AT179" s="140" t="s">
        <v>376</v>
      </c>
      <c r="AU179" s="140" t="s">
        <v>376</v>
      </c>
      <c r="AV179" s="140" t="s">
        <v>376</v>
      </c>
      <c r="AW179" s="140" t="s">
        <v>376</v>
      </c>
      <c r="AX179" s="140" t="s">
        <v>376</v>
      </c>
      <c r="AY179" s="140" t="s">
        <v>376</v>
      </c>
      <c r="AZ179" s="140" t="s">
        <v>376</v>
      </c>
      <c r="BA179" s="140" t="s">
        <v>376</v>
      </c>
      <c r="BB179" s="140" t="s">
        <v>376</v>
      </c>
      <c r="BC179" s="140" t="s">
        <v>376</v>
      </c>
      <c r="BD179" s="140" t="s">
        <v>376</v>
      </c>
      <c r="BE179" s="140" t="s">
        <v>376</v>
      </c>
      <c r="BF179" s="140" t="s">
        <v>376</v>
      </c>
      <c r="BG179" s="140" t="s">
        <v>376</v>
      </c>
      <c r="BH179" s="140" t="s">
        <v>376</v>
      </c>
      <c r="BI179" s="140" t="s">
        <v>376</v>
      </c>
      <c r="BJ179" s="140" t="s">
        <v>376</v>
      </c>
      <c r="BK179" s="140" t="s">
        <v>376</v>
      </c>
      <c r="BL179" s="140" t="s">
        <v>376</v>
      </c>
      <c r="BM179" s="140" t="s">
        <v>376</v>
      </c>
      <c r="BN179" s="140" t="s">
        <v>376</v>
      </c>
      <c r="BO179" s="140" t="s">
        <v>376</v>
      </c>
      <c r="BP179" s="140" t="s">
        <v>376</v>
      </c>
      <c r="BQ179" s="140" t="s">
        <v>376</v>
      </c>
      <c r="BR179" s="175"/>
      <c r="BS179" s="142" t="s">
        <v>377</v>
      </c>
    </row>
    <row r="180" customHeight="1" spans="1:71">
      <c r="A180" s="127" t="s">
        <v>280</v>
      </c>
      <c r="B180" s="127" t="s">
        <v>27</v>
      </c>
      <c r="C180" s="127"/>
      <c r="D180" s="172" t="s">
        <v>379</v>
      </c>
      <c r="E180" s="132">
        <v>62</v>
      </c>
      <c r="F180" s="130">
        <v>89.99</v>
      </c>
      <c r="G180" s="133">
        <f t="shared" si="168"/>
        <v>80.991</v>
      </c>
      <c r="H180" s="133">
        <f t="shared" si="169"/>
        <v>67.4925</v>
      </c>
      <c r="I180" s="133">
        <f t="shared" si="170"/>
        <v>14.0603296460177</v>
      </c>
      <c r="J180" s="134">
        <f t="shared" si="171"/>
        <v>0.22677951041964</v>
      </c>
      <c r="K180" s="131">
        <f t="shared" si="172"/>
        <v>74.9916666666667</v>
      </c>
      <c r="L180" s="174">
        <f t="shared" si="173"/>
        <v>0.173241471274586</v>
      </c>
      <c r="M180" s="133">
        <f t="shared" si="174"/>
        <v>12.9916666666667</v>
      </c>
      <c r="N180" s="131">
        <f t="shared" si="175"/>
        <v>150.743362831858</v>
      </c>
      <c r="O180" s="131">
        <f t="shared" si="176"/>
        <v>0.96875</v>
      </c>
      <c r="P180" s="127">
        <v>8</v>
      </c>
      <c r="Q180" s="136">
        <v>8</v>
      </c>
      <c r="R180" s="137">
        <f t="shared" si="177"/>
        <v>0.129032258064516</v>
      </c>
      <c r="S180" s="134">
        <f t="shared" si="188"/>
        <v>0.0888987665296144</v>
      </c>
      <c r="T180" s="137">
        <f t="shared" si="178"/>
        <v>0.145145161290323</v>
      </c>
      <c r="U180" s="137">
        <v>0.01</v>
      </c>
      <c r="V180" s="137">
        <f t="shared" si="179"/>
        <v>0.303918070225521</v>
      </c>
      <c r="W180" s="137">
        <f t="shared" si="180"/>
        <v>0.015625</v>
      </c>
      <c r="X180" s="135">
        <v>0.1695</v>
      </c>
      <c r="Y180" s="138">
        <v>8</v>
      </c>
      <c r="Z180" s="138">
        <f>F180*0.1</f>
        <v>8.999</v>
      </c>
      <c r="AA180" s="138">
        <f t="shared" si="181"/>
        <v>0.62</v>
      </c>
      <c r="AB180" s="131">
        <f t="shared" si="182"/>
        <v>10.509</v>
      </c>
      <c r="AC180" s="131">
        <v>150</v>
      </c>
      <c r="AD180" s="139">
        <f t="shared" si="183"/>
        <v>132.743362831858</v>
      </c>
      <c r="AE180" s="136">
        <f t="shared" si="184"/>
        <v>2.25</v>
      </c>
      <c r="AF180" s="137">
        <f t="shared" si="185"/>
        <v>0.267627747644876</v>
      </c>
      <c r="AG180" s="137">
        <f t="shared" si="186"/>
        <v>0.0362903225806452</v>
      </c>
      <c r="AH180" s="136">
        <v>18</v>
      </c>
      <c r="AI180" s="137">
        <f t="shared" si="187"/>
        <v>0.237085602103938</v>
      </c>
      <c r="AJ180" s="137"/>
      <c r="AK180" s="137"/>
      <c r="AL180" s="137"/>
      <c r="AM180" s="137"/>
      <c r="AN180" s="140"/>
      <c r="AO180" s="140"/>
      <c r="AP180" s="140"/>
      <c r="AQ180" s="140"/>
      <c r="AR180" s="140"/>
      <c r="AS180" s="140"/>
      <c r="AT180" s="140" t="s">
        <v>376</v>
      </c>
      <c r="AU180" s="140" t="s">
        <v>376</v>
      </c>
      <c r="AV180" s="140" t="s">
        <v>376</v>
      </c>
      <c r="AW180" s="140" t="s">
        <v>376</v>
      </c>
      <c r="AX180" s="140" t="s">
        <v>376</v>
      </c>
      <c r="AY180" s="140" t="s">
        <v>376</v>
      </c>
      <c r="AZ180" s="140" t="s">
        <v>376</v>
      </c>
      <c r="BA180" s="140" t="s">
        <v>376</v>
      </c>
      <c r="BB180" s="140" t="s">
        <v>376</v>
      </c>
      <c r="BC180" s="140" t="s">
        <v>376</v>
      </c>
      <c r="BD180" s="140" t="s">
        <v>376</v>
      </c>
      <c r="BE180" s="140" t="s">
        <v>376</v>
      </c>
      <c r="BF180" s="140" t="s">
        <v>376</v>
      </c>
      <c r="BG180" s="140" t="s">
        <v>376</v>
      </c>
      <c r="BH180" s="140" t="s">
        <v>376</v>
      </c>
      <c r="BI180" s="140" t="s">
        <v>376</v>
      </c>
      <c r="BJ180" s="140" t="s">
        <v>376</v>
      </c>
      <c r="BK180" s="140" t="s">
        <v>376</v>
      </c>
      <c r="BL180" s="140" t="s">
        <v>376</v>
      </c>
      <c r="BM180" s="140" t="s">
        <v>376</v>
      </c>
      <c r="BN180" s="140" t="s">
        <v>376</v>
      </c>
      <c r="BO180" s="140" t="s">
        <v>376</v>
      </c>
      <c r="BP180" s="140" t="s">
        <v>376</v>
      </c>
      <c r="BQ180" s="140" t="s">
        <v>376</v>
      </c>
      <c r="BR180" s="175"/>
      <c r="BS180" s="142" t="s">
        <v>377</v>
      </c>
    </row>
    <row r="181" customHeight="1" spans="1:71">
      <c r="A181" s="127" t="s">
        <v>280</v>
      </c>
      <c r="B181" s="127" t="s">
        <v>27</v>
      </c>
      <c r="C181" s="127"/>
      <c r="D181" s="177" t="s">
        <v>380</v>
      </c>
      <c r="E181" s="132">
        <v>62</v>
      </c>
      <c r="F181" s="130">
        <v>89.99</v>
      </c>
      <c r="G181" s="133">
        <f t="shared" si="168"/>
        <v>76.4915</v>
      </c>
      <c r="H181" s="133">
        <f t="shared" si="169"/>
        <v>63.7429166666667</v>
      </c>
      <c r="I181" s="133">
        <f t="shared" si="170"/>
        <v>9.5608296460177</v>
      </c>
      <c r="J181" s="134">
        <f t="shared" si="171"/>
        <v>0.154206929774479</v>
      </c>
      <c r="K181" s="131">
        <f t="shared" si="172"/>
        <v>74.9916666666667</v>
      </c>
      <c r="L181" s="174">
        <f t="shared" si="173"/>
        <v>0.173241471274586</v>
      </c>
      <c r="M181" s="133">
        <f t="shared" si="174"/>
        <v>12.9916666666667</v>
      </c>
      <c r="N181" s="131">
        <f t="shared" si="175"/>
        <v>150.743362831858</v>
      </c>
      <c r="O181" s="131">
        <f t="shared" si="176"/>
        <v>0.96875</v>
      </c>
      <c r="P181" s="127">
        <v>8</v>
      </c>
      <c r="Q181" s="136">
        <v>8</v>
      </c>
      <c r="R181" s="137">
        <f t="shared" si="177"/>
        <v>0.129032258064516</v>
      </c>
      <c r="S181" s="134">
        <f t="shared" si="188"/>
        <v>0.0888987665296144</v>
      </c>
      <c r="T181" s="137">
        <f t="shared" si="178"/>
        <v>0.217717741935484</v>
      </c>
      <c r="U181" s="137">
        <v>0.01</v>
      </c>
      <c r="V181" s="137">
        <f t="shared" si="179"/>
        <v>0.303918070225521</v>
      </c>
      <c r="W181" s="137">
        <f t="shared" si="180"/>
        <v>0.015625</v>
      </c>
      <c r="X181" s="135">
        <v>0.1695</v>
      </c>
      <c r="Y181" s="138">
        <v>8</v>
      </c>
      <c r="Z181" s="138">
        <f>F181*0.15</f>
        <v>13.4985</v>
      </c>
      <c r="AA181" s="138">
        <f t="shared" si="181"/>
        <v>0.62</v>
      </c>
      <c r="AB181" s="131">
        <f t="shared" si="182"/>
        <v>10.509</v>
      </c>
      <c r="AC181" s="131">
        <v>150</v>
      </c>
      <c r="AD181" s="139">
        <f t="shared" si="183"/>
        <v>132.743362831858</v>
      </c>
      <c r="AE181" s="136">
        <f t="shared" si="184"/>
        <v>2.25</v>
      </c>
      <c r="AF181" s="137">
        <f t="shared" si="185"/>
        <v>0.267627747644876</v>
      </c>
      <c r="AG181" s="137">
        <f t="shared" si="186"/>
        <v>0.0362903225806452</v>
      </c>
      <c r="AH181" s="136">
        <v>18</v>
      </c>
      <c r="AI181" s="137">
        <f t="shared" si="187"/>
        <v>0.19220828458064</v>
      </c>
      <c r="AJ181" s="137"/>
      <c r="AK181" s="137"/>
      <c r="AL181" s="137"/>
      <c r="AM181" s="137"/>
      <c r="AN181" s="140"/>
      <c r="AO181" s="140"/>
      <c r="AP181" s="140"/>
      <c r="AQ181" s="140"/>
      <c r="AR181" s="140"/>
      <c r="AS181" s="140"/>
      <c r="AT181" s="140" t="s">
        <v>376</v>
      </c>
      <c r="AU181" s="140" t="s">
        <v>376</v>
      </c>
      <c r="AV181" s="140" t="s">
        <v>376</v>
      </c>
      <c r="AW181" s="140" t="s">
        <v>376</v>
      </c>
      <c r="AX181" s="140" t="s">
        <v>376</v>
      </c>
      <c r="AY181" s="140" t="s">
        <v>376</v>
      </c>
      <c r="AZ181" s="140" t="s">
        <v>376</v>
      </c>
      <c r="BA181" s="140" t="s">
        <v>376</v>
      </c>
      <c r="BB181" s="140" t="s">
        <v>376</v>
      </c>
      <c r="BC181" s="140" t="s">
        <v>376</v>
      </c>
      <c r="BD181" s="140" t="s">
        <v>376</v>
      </c>
      <c r="BE181" s="140" t="s">
        <v>376</v>
      </c>
      <c r="BF181" s="140" t="s">
        <v>376</v>
      </c>
      <c r="BG181" s="140" t="s">
        <v>376</v>
      </c>
      <c r="BH181" s="140" t="s">
        <v>376</v>
      </c>
      <c r="BI181" s="140" t="s">
        <v>376</v>
      </c>
      <c r="BJ181" s="140" t="s">
        <v>376</v>
      </c>
      <c r="BK181" s="140" t="s">
        <v>376</v>
      </c>
      <c r="BL181" s="140" t="s">
        <v>376</v>
      </c>
      <c r="BM181" s="140" t="s">
        <v>376</v>
      </c>
      <c r="BN181" s="140" t="s">
        <v>376</v>
      </c>
      <c r="BO181" s="140" t="s">
        <v>376</v>
      </c>
      <c r="BP181" s="140" t="s">
        <v>376</v>
      </c>
      <c r="BQ181" s="140" t="s">
        <v>376</v>
      </c>
      <c r="BR181" s="175"/>
      <c r="BS181" s="142" t="s">
        <v>377</v>
      </c>
    </row>
    <row r="182" customHeight="1" spans="1:71">
      <c r="A182" s="127" t="s">
        <v>285</v>
      </c>
      <c r="B182" s="127" t="s">
        <v>27</v>
      </c>
      <c r="C182" s="127"/>
      <c r="D182" s="177" t="s">
        <v>375</v>
      </c>
      <c r="E182" s="132">
        <v>65</v>
      </c>
      <c r="F182" s="173">
        <v>94.99</v>
      </c>
      <c r="G182" s="133">
        <f t="shared" si="168"/>
        <v>94.99</v>
      </c>
      <c r="H182" s="133">
        <f t="shared" si="169"/>
        <v>79.1583333333333</v>
      </c>
      <c r="I182" s="133">
        <f t="shared" si="170"/>
        <v>22.8558296460177</v>
      </c>
      <c r="J182" s="134">
        <f t="shared" si="171"/>
        <v>0.351628148400272</v>
      </c>
      <c r="K182" s="131">
        <f t="shared" si="172"/>
        <v>79.1583333333333</v>
      </c>
      <c r="L182" s="174">
        <f t="shared" si="173"/>
        <v>0.178860932729761</v>
      </c>
      <c r="M182" s="133">
        <f t="shared" si="174"/>
        <v>14.1583333333333</v>
      </c>
      <c r="N182" s="131">
        <f t="shared" si="175"/>
        <v>150.743362831858</v>
      </c>
      <c r="O182" s="131">
        <f t="shared" si="176"/>
        <v>1.78125</v>
      </c>
      <c r="P182" s="127">
        <v>8</v>
      </c>
      <c r="Q182" s="136">
        <v>8</v>
      </c>
      <c r="R182" s="137">
        <f t="shared" si="177"/>
        <v>0.123076923076923</v>
      </c>
      <c r="S182" s="134">
        <f t="shared" si="188"/>
        <v>0.0842193915148963</v>
      </c>
      <c r="T182" s="137">
        <f t="shared" si="178"/>
        <v>0</v>
      </c>
      <c r="U182" s="137">
        <v>0.01</v>
      </c>
      <c r="V182" s="137">
        <f t="shared" si="179"/>
        <v>0.289891082368958</v>
      </c>
      <c r="W182" s="137">
        <f t="shared" si="180"/>
        <v>0.0274038461538462</v>
      </c>
      <c r="X182" s="135">
        <v>0.198</v>
      </c>
      <c r="Y182" s="138">
        <v>8</v>
      </c>
      <c r="Z182" s="138">
        <v>0</v>
      </c>
      <c r="AA182" s="138">
        <f t="shared" si="181"/>
        <v>0.65</v>
      </c>
      <c r="AB182" s="131">
        <f t="shared" si="182"/>
        <v>12.87</v>
      </c>
      <c r="AC182" s="131">
        <v>150</v>
      </c>
      <c r="AD182" s="139">
        <f t="shared" si="183"/>
        <v>132.743362831858</v>
      </c>
      <c r="AE182" s="136">
        <f t="shared" si="184"/>
        <v>2.25</v>
      </c>
      <c r="AF182" s="137">
        <f t="shared" si="185"/>
        <v>0.255275697753574</v>
      </c>
      <c r="AG182" s="137">
        <f t="shared" si="186"/>
        <v>0.0346153846153846</v>
      </c>
      <c r="AH182" s="136">
        <v>18</v>
      </c>
      <c r="AI182" s="137">
        <f t="shared" si="187"/>
        <v>0.341446468049268</v>
      </c>
      <c r="AJ182" s="137"/>
      <c r="AK182" s="137"/>
      <c r="AL182" s="137"/>
      <c r="AM182" s="137"/>
      <c r="AN182" s="140"/>
      <c r="AO182" s="140"/>
      <c r="AP182" s="140"/>
      <c r="AQ182" s="140"/>
      <c r="AR182" s="140"/>
      <c r="AS182" s="140"/>
      <c r="AT182" s="140" t="s">
        <v>376</v>
      </c>
      <c r="AU182" s="140" t="s">
        <v>376</v>
      </c>
      <c r="AV182" s="140" t="s">
        <v>376</v>
      </c>
      <c r="AW182" s="140" t="s">
        <v>376</v>
      </c>
      <c r="AX182" s="140" t="s">
        <v>376</v>
      </c>
      <c r="AY182" s="140" t="s">
        <v>376</v>
      </c>
      <c r="AZ182" s="140" t="s">
        <v>376</v>
      </c>
      <c r="BA182" s="140" t="s">
        <v>376</v>
      </c>
      <c r="BB182" s="140" t="s">
        <v>376</v>
      </c>
      <c r="BC182" s="140" t="s">
        <v>376</v>
      </c>
      <c r="BD182" s="140" t="s">
        <v>376</v>
      </c>
      <c r="BE182" s="140" t="s">
        <v>376</v>
      </c>
      <c r="BF182" s="140" t="s">
        <v>376</v>
      </c>
      <c r="BG182" s="140" t="s">
        <v>376</v>
      </c>
      <c r="BH182" s="140" t="s">
        <v>376</v>
      </c>
      <c r="BI182" s="140" t="s">
        <v>376</v>
      </c>
      <c r="BJ182" s="140" t="s">
        <v>376</v>
      </c>
      <c r="BK182" s="140" t="s">
        <v>376</v>
      </c>
      <c r="BL182" s="140" t="s">
        <v>376</v>
      </c>
      <c r="BM182" s="140" t="s">
        <v>376</v>
      </c>
      <c r="BN182" s="140" t="s">
        <v>376</v>
      </c>
      <c r="BO182" s="140" t="s">
        <v>376</v>
      </c>
      <c r="BP182" s="140" t="s">
        <v>376</v>
      </c>
      <c r="BQ182" s="140" t="s">
        <v>376</v>
      </c>
      <c r="BR182" s="175"/>
      <c r="BS182" s="142" t="s">
        <v>377</v>
      </c>
    </row>
    <row r="183" customHeight="1" spans="1:71">
      <c r="A183" s="127" t="s">
        <v>285</v>
      </c>
      <c r="B183" s="127" t="s">
        <v>27</v>
      </c>
      <c r="C183" s="127"/>
      <c r="D183" s="172" t="s">
        <v>378</v>
      </c>
      <c r="E183" s="132">
        <v>65</v>
      </c>
      <c r="F183" s="130">
        <v>94.99</v>
      </c>
      <c r="G183" s="133">
        <f t="shared" si="168"/>
        <v>90.2405</v>
      </c>
      <c r="H183" s="133">
        <f t="shared" si="169"/>
        <v>75.2004166666667</v>
      </c>
      <c r="I183" s="176">
        <f t="shared" si="170"/>
        <v>18.1063296460177</v>
      </c>
      <c r="J183" s="134">
        <f t="shared" si="171"/>
        <v>0.278558917631042</v>
      </c>
      <c r="K183" s="131">
        <f t="shared" si="172"/>
        <v>79.1583333333333</v>
      </c>
      <c r="L183" s="174">
        <f t="shared" si="173"/>
        <v>0.178860932729761</v>
      </c>
      <c r="M183" s="133">
        <f t="shared" si="174"/>
        <v>14.1583333333333</v>
      </c>
      <c r="N183" s="131">
        <f t="shared" si="175"/>
        <v>150.743362831858</v>
      </c>
      <c r="O183" s="131">
        <f t="shared" si="176"/>
        <v>1.78125</v>
      </c>
      <c r="P183" s="127">
        <v>8</v>
      </c>
      <c r="Q183" s="136">
        <v>8</v>
      </c>
      <c r="R183" s="137">
        <f t="shared" si="177"/>
        <v>0.123076923076923</v>
      </c>
      <c r="S183" s="134">
        <f t="shared" si="188"/>
        <v>0.0842193915148963</v>
      </c>
      <c r="T183" s="137">
        <f t="shared" si="178"/>
        <v>0.0730692307692308</v>
      </c>
      <c r="U183" s="137">
        <v>0.01</v>
      </c>
      <c r="V183" s="137">
        <f t="shared" si="179"/>
        <v>0.289891082368958</v>
      </c>
      <c r="W183" s="137">
        <f t="shared" si="180"/>
        <v>0.0274038461538462</v>
      </c>
      <c r="X183" s="135">
        <v>0.198</v>
      </c>
      <c r="Y183" s="138">
        <v>8</v>
      </c>
      <c r="Z183" s="138">
        <f>F183*0.05</f>
        <v>4.7495</v>
      </c>
      <c r="AA183" s="138">
        <f t="shared" si="181"/>
        <v>0.65</v>
      </c>
      <c r="AB183" s="131">
        <f t="shared" si="182"/>
        <v>12.87</v>
      </c>
      <c r="AC183" s="131">
        <v>150</v>
      </c>
      <c r="AD183" s="139">
        <f t="shared" si="183"/>
        <v>132.743362831858</v>
      </c>
      <c r="AE183" s="136">
        <f t="shared" si="184"/>
        <v>2.25</v>
      </c>
      <c r="AF183" s="137">
        <f t="shared" si="185"/>
        <v>0.255275697753574</v>
      </c>
      <c r="AG183" s="137">
        <f t="shared" si="186"/>
        <v>0.0346153846153846</v>
      </c>
      <c r="AH183" s="136">
        <v>18</v>
      </c>
      <c r="AI183" s="137">
        <f t="shared" si="187"/>
        <v>0.306785755841335</v>
      </c>
      <c r="AJ183" s="137"/>
      <c r="AK183" s="137"/>
      <c r="AL183" s="137"/>
      <c r="AM183" s="137"/>
      <c r="AN183" s="140"/>
      <c r="AO183" s="140"/>
      <c r="AP183" s="140"/>
      <c r="AQ183" s="140"/>
      <c r="AR183" s="140"/>
      <c r="AS183" s="140"/>
      <c r="AT183" s="140" t="s">
        <v>376</v>
      </c>
      <c r="AU183" s="140" t="s">
        <v>376</v>
      </c>
      <c r="AV183" s="140" t="s">
        <v>376</v>
      </c>
      <c r="AW183" s="140" t="s">
        <v>376</v>
      </c>
      <c r="AX183" s="140" t="s">
        <v>376</v>
      </c>
      <c r="AY183" s="140" t="s">
        <v>376</v>
      </c>
      <c r="AZ183" s="140" t="s">
        <v>376</v>
      </c>
      <c r="BA183" s="140" t="s">
        <v>376</v>
      </c>
      <c r="BB183" s="140" t="s">
        <v>376</v>
      </c>
      <c r="BC183" s="140" t="s">
        <v>376</v>
      </c>
      <c r="BD183" s="140" t="s">
        <v>376</v>
      </c>
      <c r="BE183" s="140" t="s">
        <v>376</v>
      </c>
      <c r="BF183" s="140" t="s">
        <v>376</v>
      </c>
      <c r="BG183" s="140" t="s">
        <v>376</v>
      </c>
      <c r="BH183" s="140" t="s">
        <v>376</v>
      </c>
      <c r="BI183" s="140" t="s">
        <v>376</v>
      </c>
      <c r="BJ183" s="140" t="s">
        <v>376</v>
      </c>
      <c r="BK183" s="140" t="s">
        <v>376</v>
      </c>
      <c r="BL183" s="140" t="s">
        <v>376</v>
      </c>
      <c r="BM183" s="140" t="s">
        <v>376</v>
      </c>
      <c r="BN183" s="140" t="s">
        <v>376</v>
      </c>
      <c r="BO183" s="140" t="s">
        <v>376</v>
      </c>
      <c r="BP183" s="140" t="s">
        <v>376</v>
      </c>
      <c r="BQ183" s="140" t="s">
        <v>376</v>
      </c>
      <c r="BR183" s="175"/>
      <c r="BS183" s="142" t="s">
        <v>377</v>
      </c>
    </row>
    <row r="184" customHeight="1" spans="1:71">
      <c r="A184" s="127" t="s">
        <v>285</v>
      </c>
      <c r="B184" s="127" t="s">
        <v>27</v>
      </c>
      <c r="C184" s="127"/>
      <c r="D184" s="172" t="s">
        <v>379</v>
      </c>
      <c r="E184" s="132">
        <v>65</v>
      </c>
      <c r="F184" s="130">
        <v>94.99</v>
      </c>
      <c r="G184" s="133">
        <f t="shared" si="168"/>
        <v>85.491</v>
      </c>
      <c r="H184" s="133">
        <f t="shared" si="169"/>
        <v>71.2425</v>
      </c>
      <c r="I184" s="133">
        <f t="shared" si="170"/>
        <v>13.3568296460177</v>
      </c>
      <c r="J184" s="134">
        <f t="shared" si="171"/>
        <v>0.205489686861811</v>
      </c>
      <c r="K184" s="131">
        <f t="shared" si="172"/>
        <v>79.1583333333333</v>
      </c>
      <c r="L184" s="174">
        <f t="shared" si="173"/>
        <v>0.178860932729761</v>
      </c>
      <c r="M184" s="133">
        <f t="shared" si="174"/>
        <v>14.1583333333333</v>
      </c>
      <c r="N184" s="131">
        <f t="shared" si="175"/>
        <v>150.743362831858</v>
      </c>
      <c r="O184" s="131">
        <f t="shared" si="176"/>
        <v>1.78125</v>
      </c>
      <c r="P184" s="127">
        <v>8</v>
      </c>
      <c r="Q184" s="136">
        <v>8</v>
      </c>
      <c r="R184" s="137">
        <f t="shared" si="177"/>
        <v>0.123076923076923</v>
      </c>
      <c r="S184" s="134">
        <f t="shared" si="188"/>
        <v>0.0842193915148963</v>
      </c>
      <c r="T184" s="137">
        <f t="shared" si="178"/>
        <v>0.146138461538462</v>
      </c>
      <c r="U184" s="137">
        <v>0.01</v>
      </c>
      <c r="V184" s="137">
        <f t="shared" si="179"/>
        <v>0.289891082368958</v>
      </c>
      <c r="W184" s="137">
        <f t="shared" si="180"/>
        <v>0.0274038461538462</v>
      </c>
      <c r="X184" s="135">
        <v>0.198</v>
      </c>
      <c r="Y184" s="138">
        <v>8</v>
      </c>
      <c r="Z184" s="138">
        <f>F184*0.1</f>
        <v>9.499</v>
      </c>
      <c r="AA184" s="138">
        <f t="shared" si="181"/>
        <v>0.65</v>
      </c>
      <c r="AB184" s="131">
        <f t="shared" si="182"/>
        <v>12.87</v>
      </c>
      <c r="AC184" s="131">
        <v>150</v>
      </c>
      <c r="AD184" s="139">
        <f t="shared" si="183"/>
        <v>132.743362831858</v>
      </c>
      <c r="AE184" s="136">
        <f t="shared" si="184"/>
        <v>2.25</v>
      </c>
      <c r="AF184" s="137">
        <f t="shared" si="185"/>
        <v>0.255275697753574</v>
      </c>
      <c r="AG184" s="137">
        <f t="shared" si="186"/>
        <v>0.0346153846153846</v>
      </c>
      <c r="AH184" s="136">
        <v>18</v>
      </c>
      <c r="AI184" s="137">
        <f t="shared" si="187"/>
        <v>0.268273853388076</v>
      </c>
      <c r="AJ184" s="137"/>
      <c r="AK184" s="137"/>
      <c r="AL184" s="137"/>
      <c r="AM184" s="137"/>
      <c r="AN184" s="140"/>
      <c r="AO184" s="140"/>
      <c r="AP184" s="140"/>
      <c r="AQ184" s="140"/>
      <c r="AR184" s="140"/>
      <c r="AS184" s="140"/>
      <c r="AT184" s="140" t="s">
        <v>376</v>
      </c>
      <c r="AU184" s="140" t="s">
        <v>376</v>
      </c>
      <c r="AV184" s="140" t="s">
        <v>376</v>
      </c>
      <c r="AW184" s="140" t="s">
        <v>376</v>
      </c>
      <c r="AX184" s="140" t="s">
        <v>376</v>
      </c>
      <c r="AY184" s="140" t="s">
        <v>376</v>
      </c>
      <c r="AZ184" s="140" t="s">
        <v>376</v>
      </c>
      <c r="BA184" s="140" t="s">
        <v>376</v>
      </c>
      <c r="BB184" s="140" t="s">
        <v>376</v>
      </c>
      <c r="BC184" s="140" t="s">
        <v>376</v>
      </c>
      <c r="BD184" s="140" t="s">
        <v>376</v>
      </c>
      <c r="BE184" s="140" t="s">
        <v>376</v>
      </c>
      <c r="BF184" s="140" t="s">
        <v>376</v>
      </c>
      <c r="BG184" s="140" t="s">
        <v>376</v>
      </c>
      <c r="BH184" s="140" t="s">
        <v>376</v>
      </c>
      <c r="BI184" s="140" t="s">
        <v>376</v>
      </c>
      <c r="BJ184" s="140" t="s">
        <v>376</v>
      </c>
      <c r="BK184" s="140" t="s">
        <v>376</v>
      </c>
      <c r="BL184" s="140" t="s">
        <v>376</v>
      </c>
      <c r="BM184" s="140" t="s">
        <v>376</v>
      </c>
      <c r="BN184" s="140" t="s">
        <v>376</v>
      </c>
      <c r="BO184" s="140" t="s">
        <v>376</v>
      </c>
      <c r="BP184" s="140" t="s">
        <v>376</v>
      </c>
      <c r="BQ184" s="140" t="s">
        <v>376</v>
      </c>
      <c r="BR184" s="175"/>
      <c r="BS184" s="142" t="s">
        <v>377</v>
      </c>
    </row>
    <row r="185" customHeight="1" spans="1:71">
      <c r="A185" s="127" t="s">
        <v>285</v>
      </c>
      <c r="B185" s="127" t="s">
        <v>27</v>
      </c>
      <c r="C185" s="127"/>
      <c r="D185" s="177" t="s">
        <v>380</v>
      </c>
      <c r="E185" s="132">
        <v>65</v>
      </c>
      <c r="F185" s="130">
        <v>94.99</v>
      </c>
      <c r="G185" s="133">
        <f t="shared" si="168"/>
        <v>80.7415</v>
      </c>
      <c r="H185" s="133">
        <f t="shared" si="169"/>
        <v>67.2845833333333</v>
      </c>
      <c r="I185" s="133">
        <f t="shared" si="170"/>
        <v>8.6073296460177</v>
      </c>
      <c r="J185" s="134">
        <f t="shared" si="171"/>
        <v>0.13242045609258</v>
      </c>
      <c r="K185" s="131">
        <f t="shared" si="172"/>
        <v>79.1583333333333</v>
      </c>
      <c r="L185" s="174">
        <f t="shared" si="173"/>
        <v>0.178860932729761</v>
      </c>
      <c r="M185" s="133">
        <f t="shared" si="174"/>
        <v>14.1583333333333</v>
      </c>
      <c r="N185" s="131">
        <f t="shared" si="175"/>
        <v>150.743362831858</v>
      </c>
      <c r="O185" s="131">
        <f t="shared" si="176"/>
        <v>1.78125</v>
      </c>
      <c r="P185" s="127">
        <v>8</v>
      </c>
      <c r="Q185" s="136">
        <v>8</v>
      </c>
      <c r="R185" s="137">
        <f t="shared" si="177"/>
        <v>0.123076923076923</v>
      </c>
      <c r="S185" s="134">
        <f t="shared" si="188"/>
        <v>0.0842193915148963</v>
      </c>
      <c r="T185" s="137">
        <f t="shared" si="178"/>
        <v>0.219207692307692</v>
      </c>
      <c r="U185" s="137">
        <v>0.01</v>
      </c>
      <c r="V185" s="137">
        <f t="shared" si="179"/>
        <v>0.289891082368958</v>
      </c>
      <c r="W185" s="137">
        <f t="shared" si="180"/>
        <v>0.0274038461538462</v>
      </c>
      <c r="X185" s="135">
        <v>0.198</v>
      </c>
      <c r="Y185" s="138">
        <v>8</v>
      </c>
      <c r="Z185" s="138">
        <f>F185*0.15</f>
        <v>14.2485</v>
      </c>
      <c r="AA185" s="138">
        <f t="shared" si="181"/>
        <v>0.65</v>
      </c>
      <c r="AB185" s="131">
        <f t="shared" si="182"/>
        <v>12.87</v>
      </c>
      <c r="AC185" s="131">
        <v>150</v>
      </c>
      <c r="AD185" s="139">
        <f t="shared" si="183"/>
        <v>132.743362831858</v>
      </c>
      <c r="AE185" s="136">
        <f t="shared" si="184"/>
        <v>2.25</v>
      </c>
      <c r="AF185" s="137">
        <f t="shared" si="185"/>
        <v>0.255275697753574</v>
      </c>
      <c r="AG185" s="137">
        <f t="shared" si="186"/>
        <v>0.0346153846153846</v>
      </c>
      <c r="AH185" s="136">
        <v>18</v>
      </c>
      <c r="AI185" s="137">
        <f t="shared" ref="AI185:AI197" si="189">(K185-E185+AB185)/(K185-Z185)</f>
        <v>0.4163981317674</v>
      </c>
      <c r="AJ185" s="137"/>
      <c r="AK185" s="137"/>
      <c r="AL185" s="137"/>
      <c r="AM185" s="137"/>
      <c r="AN185" s="140"/>
      <c r="AO185" s="140"/>
      <c r="AP185" s="140"/>
      <c r="AQ185" s="140"/>
      <c r="AR185" s="140"/>
      <c r="AS185" s="140"/>
      <c r="AT185" s="140" t="s">
        <v>376</v>
      </c>
      <c r="AU185" s="140" t="s">
        <v>376</v>
      </c>
      <c r="AV185" s="140" t="s">
        <v>376</v>
      </c>
      <c r="AW185" s="140" t="s">
        <v>376</v>
      </c>
      <c r="AX185" s="140" t="s">
        <v>376</v>
      </c>
      <c r="AY185" s="140" t="s">
        <v>376</v>
      </c>
      <c r="AZ185" s="140" t="s">
        <v>376</v>
      </c>
      <c r="BA185" s="140" t="s">
        <v>376</v>
      </c>
      <c r="BB185" s="140" t="s">
        <v>376</v>
      </c>
      <c r="BC185" s="140" t="s">
        <v>376</v>
      </c>
      <c r="BD185" s="140" t="s">
        <v>376</v>
      </c>
      <c r="BE185" s="140" t="s">
        <v>376</v>
      </c>
      <c r="BF185" s="140" t="s">
        <v>376</v>
      </c>
      <c r="BG185" s="140" t="s">
        <v>376</v>
      </c>
      <c r="BH185" s="140" t="s">
        <v>376</v>
      </c>
      <c r="BI185" s="140" t="s">
        <v>376</v>
      </c>
      <c r="BJ185" s="140" t="s">
        <v>376</v>
      </c>
      <c r="BK185" s="140" t="s">
        <v>376</v>
      </c>
      <c r="BL185" s="140" t="s">
        <v>376</v>
      </c>
      <c r="BM185" s="140" t="s">
        <v>376</v>
      </c>
      <c r="BN185" s="140" t="s">
        <v>376</v>
      </c>
      <c r="BO185" s="140" t="s">
        <v>376</v>
      </c>
      <c r="BP185" s="140" t="s">
        <v>376</v>
      </c>
      <c r="BQ185" s="140" t="s">
        <v>376</v>
      </c>
      <c r="BR185" s="175"/>
      <c r="BS185" s="142" t="s">
        <v>377</v>
      </c>
    </row>
    <row r="186" customHeight="1" spans="1:71">
      <c r="A186" s="127" t="s">
        <v>287</v>
      </c>
      <c r="B186" s="127" t="s">
        <v>27</v>
      </c>
      <c r="C186" s="127"/>
      <c r="D186" s="177" t="s">
        <v>375</v>
      </c>
      <c r="E186" s="132">
        <v>65</v>
      </c>
      <c r="F186" s="130">
        <v>94.99</v>
      </c>
      <c r="G186" s="133">
        <f t="shared" si="168"/>
        <v>94.99</v>
      </c>
      <c r="H186" s="133">
        <f t="shared" si="169"/>
        <v>79.1583333333333</v>
      </c>
      <c r="I186" s="133">
        <f t="shared" si="170"/>
        <v>23.6018296460177</v>
      </c>
      <c r="J186" s="134">
        <f t="shared" si="171"/>
        <v>0.363105071477195</v>
      </c>
      <c r="K186" s="131">
        <f t="shared" si="172"/>
        <v>79.1583333333333</v>
      </c>
      <c r="L186" s="174">
        <f t="shared" si="173"/>
        <v>0.178860932729761</v>
      </c>
      <c r="M186" s="133">
        <f t="shared" si="174"/>
        <v>14.1583333333333</v>
      </c>
      <c r="N186" s="131">
        <f t="shared" si="175"/>
        <v>150.743362831858</v>
      </c>
      <c r="O186" s="131">
        <f t="shared" si="176"/>
        <v>1.90625</v>
      </c>
      <c r="P186" s="127">
        <v>8</v>
      </c>
      <c r="Q186" s="136">
        <v>8</v>
      </c>
      <c r="R186" s="137">
        <f t="shared" si="177"/>
        <v>0.123076923076923</v>
      </c>
      <c r="S186" s="134">
        <f t="shared" si="188"/>
        <v>0.0842193915148963</v>
      </c>
      <c r="T186" s="137">
        <f t="shared" si="178"/>
        <v>0</v>
      </c>
      <c r="U186" s="137">
        <v>0.01</v>
      </c>
      <c r="V186" s="137">
        <f t="shared" si="179"/>
        <v>0.289891082368958</v>
      </c>
      <c r="W186" s="137">
        <f t="shared" si="180"/>
        <v>0.0293269230769231</v>
      </c>
      <c r="X186" s="135">
        <v>0.1846</v>
      </c>
      <c r="Y186" s="138">
        <v>8</v>
      </c>
      <c r="Z186" s="138">
        <v>0</v>
      </c>
      <c r="AA186" s="138">
        <f t="shared" si="181"/>
        <v>0.65</v>
      </c>
      <c r="AB186" s="131">
        <f t="shared" si="182"/>
        <v>11.999</v>
      </c>
      <c r="AC186" s="131">
        <v>150</v>
      </c>
      <c r="AD186" s="139">
        <f t="shared" si="183"/>
        <v>132.743362831858</v>
      </c>
      <c r="AE186" s="136">
        <f t="shared" si="184"/>
        <v>2.25</v>
      </c>
      <c r="AF186" s="137">
        <f t="shared" si="185"/>
        <v>0.255275697753574</v>
      </c>
      <c r="AG186" s="137">
        <f t="shared" si="186"/>
        <v>0.0346153846153846</v>
      </c>
      <c r="AH186" s="136">
        <v>18</v>
      </c>
      <c r="AI186" s="134">
        <f t="shared" si="189"/>
        <v>0.330443204547847</v>
      </c>
      <c r="AJ186" s="134"/>
      <c r="AK186" s="134"/>
      <c r="AL186" s="134"/>
      <c r="AM186" s="134"/>
      <c r="AN186" s="140"/>
      <c r="AO186" s="140"/>
      <c r="AP186" s="140"/>
      <c r="AQ186" s="140"/>
      <c r="AR186" s="140"/>
      <c r="AS186" s="140"/>
      <c r="AT186" s="140" t="s">
        <v>376</v>
      </c>
      <c r="AU186" s="140" t="s">
        <v>376</v>
      </c>
      <c r="AV186" s="140" t="s">
        <v>376</v>
      </c>
      <c r="AW186" s="140" t="s">
        <v>376</v>
      </c>
      <c r="AX186" s="140" t="s">
        <v>376</v>
      </c>
      <c r="AY186" s="140" t="s">
        <v>376</v>
      </c>
      <c r="AZ186" s="140" t="s">
        <v>376</v>
      </c>
      <c r="BA186" s="140" t="s">
        <v>376</v>
      </c>
      <c r="BB186" s="140" t="s">
        <v>376</v>
      </c>
      <c r="BC186" s="140" t="s">
        <v>376</v>
      </c>
      <c r="BD186" s="140" t="s">
        <v>376</v>
      </c>
      <c r="BE186" s="140" t="s">
        <v>376</v>
      </c>
      <c r="BF186" s="140" t="s">
        <v>376</v>
      </c>
      <c r="BG186" s="140" t="s">
        <v>376</v>
      </c>
      <c r="BH186" s="140" t="s">
        <v>376</v>
      </c>
      <c r="BI186" s="140" t="s">
        <v>376</v>
      </c>
      <c r="BJ186" s="140" t="s">
        <v>376</v>
      </c>
      <c r="BK186" s="140" t="s">
        <v>376</v>
      </c>
      <c r="BL186" s="140" t="s">
        <v>376</v>
      </c>
      <c r="BM186" s="140" t="s">
        <v>376</v>
      </c>
      <c r="BN186" s="140" t="s">
        <v>376</v>
      </c>
      <c r="BO186" s="140" t="s">
        <v>376</v>
      </c>
      <c r="BP186" s="140" t="s">
        <v>376</v>
      </c>
      <c r="BQ186" s="140" t="s">
        <v>376</v>
      </c>
      <c r="BR186" s="175"/>
      <c r="BS186" s="142" t="s">
        <v>377</v>
      </c>
    </row>
    <row r="187" customHeight="1" spans="1:71">
      <c r="A187" s="127" t="s">
        <v>287</v>
      </c>
      <c r="B187" s="127" t="s">
        <v>27</v>
      </c>
      <c r="C187" s="127"/>
      <c r="D187" s="172" t="s">
        <v>378</v>
      </c>
      <c r="E187" s="132">
        <v>65</v>
      </c>
      <c r="F187" s="130">
        <v>94.99</v>
      </c>
      <c r="G187" s="133">
        <f t="shared" si="168"/>
        <v>90.2405</v>
      </c>
      <c r="H187" s="133">
        <f t="shared" si="169"/>
        <v>75.2004166666667</v>
      </c>
      <c r="I187" s="176">
        <f t="shared" si="170"/>
        <v>18.8523296460177</v>
      </c>
      <c r="J187" s="134">
        <f t="shared" si="171"/>
        <v>0.290035840707965</v>
      </c>
      <c r="K187" s="131">
        <f t="shared" si="172"/>
        <v>79.1583333333333</v>
      </c>
      <c r="L187" s="174">
        <f t="shared" si="173"/>
        <v>0.178860932729761</v>
      </c>
      <c r="M187" s="133">
        <f t="shared" si="174"/>
        <v>14.1583333333333</v>
      </c>
      <c r="N187" s="131">
        <f t="shared" si="175"/>
        <v>150.743362831858</v>
      </c>
      <c r="O187" s="131">
        <f t="shared" si="176"/>
        <v>1.90625</v>
      </c>
      <c r="P187" s="127">
        <v>8</v>
      </c>
      <c r="Q187" s="136">
        <v>8</v>
      </c>
      <c r="R187" s="137">
        <f t="shared" si="177"/>
        <v>0.123076923076923</v>
      </c>
      <c r="S187" s="134">
        <f t="shared" si="188"/>
        <v>0.0842193915148963</v>
      </c>
      <c r="T187" s="137">
        <f t="shared" si="178"/>
        <v>0.0730692307692308</v>
      </c>
      <c r="U187" s="137">
        <v>0.01</v>
      </c>
      <c r="V187" s="137">
        <f t="shared" si="179"/>
        <v>0.289891082368958</v>
      </c>
      <c r="W187" s="137">
        <f t="shared" si="180"/>
        <v>0.0293269230769231</v>
      </c>
      <c r="X187" s="135">
        <v>0.1846</v>
      </c>
      <c r="Y187" s="138">
        <v>8</v>
      </c>
      <c r="Z187" s="138">
        <f>F187*0.05</f>
        <v>4.7495</v>
      </c>
      <c r="AA187" s="138">
        <f t="shared" si="181"/>
        <v>0.65</v>
      </c>
      <c r="AB187" s="131">
        <f t="shared" si="182"/>
        <v>11.999</v>
      </c>
      <c r="AC187" s="131">
        <v>150</v>
      </c>
      <c r="AD187" s="139">
        <f t="shared" si="183"/>
        <v>132.743362831858</v>
      </c>
      <c r="AE187" s="136">
        <f t="shared" si="184"/>
        <v>2.25</v>
      </c>
      <c r="AF187" s="137">
        <f t="shared" si="185"/>
        <v>0.255275697753574</v>
      </c>
      <c r="AG187" s="137">
        <f t="shared" si="186"/>
        <v>0.0346153846153846</v>
      </c>
      <c r="AH187" s="136">
        <v>18</v>
      </c>
      <c r="AI187" s="134">
        <f t="shared" si="189"/>
        <v>0.351535323987071</v>
      </c>
      <c r="AJ187" s="134"/>
      <c r="AK187" s="134"/>
      <c r="AL187" s="134"/>
      <c r="AM187" s="134"/>
      <c r="AN187" s="140"/>
      <c r="AO187" s="140"/>
      <c r="AP187" s="140"/>
      <c r="AQ187" s="140"/>
      <c r="AR187" s="140"/>
      <c r="AS187" s="140"/>
      <c r="AT187" s="140" t="s">
        <v>376</v>
      </c>
      <c r="AU187" s="140" t="s">
        <v>376</v>
      </c>
      <c r="AV187" s="140" t="s">
        <v>376</v>
      </c>
      <c r="AW187" s="140" t="s">
        <v>376</v>
      </c>
      <c r="AX187" s="140" t="s">
        <v>376</v>
      </c>
      <c r="AY187" s="140" t="s">
        <v>376</v>
      </c>
      <c r="AZ187" s="140" t="s">
        <v>376</v>
      </c>
      <c r="BA187" s="140" t="s">
        <v>376</v>
      </c>
      <c r="BB187" s="140" t="s">
        <v>376</v>
      </c>
      <c r="BC187" s="140" t="s">
        <v>376</v>
      </c>
      <c r="BD187" s="140" t="s">
        <v>376</v>
      </c>
      <c r="BE187" s="140" t="s">
        <v>376</v>
      </c>
      <c r="BF187" s="140" t="s">
        <v>376</v>
      </c>
      <c r="BG187" s="140" t="s">
        <v>376</v>
      </c>
      <c r="BH187" s="140" t="s">
        <v>376</v>
      </c>
      <c r="BI187" s="140" t="s">
        <v>376</v>
      </c>
      <c r="BJ187" s="140" t="s">
        <v>376</v>
      </c>
      <c r="BK187" s="140" t="s">
        <v>376</v>
      </c>
      <c r="BL187" s="140" t="s">
        <v>376</v>
      </c>
      <c r="BM187" s="140" t="s">
        <v>376</v>
      </c>
      <c r="BN187" s="140" t="s">
        <v>376</v>
      </c>
      <c r="BO187" s="140" t="s">
        <v>376</v>
      </c>
      <c r="BP187" s="140" t="s">
        <v>376</v>
      </c>
      <c r="BQ187" s="140" t="s">
        <v>376</v>
      </c>
      <c r="BR187" s="175"/>
      <c r="BS187" s="142" t="s">
        <v>377</v>
      </c>
    </row>
    <row r="188" customHeight="1" spans="1:71">
      <c r="A188" s="127" t="s">
        <v>287</v>
      </c>
      <c r="B188" s="127" t="s">
        <v>27</v>
      </c>
      <c r="C188" s="127"/>
      <c r="D188" s="172" t="s">
        <v>379</v>
      </c>
      <c r="E188" s="132">
        <v>65</v>
      </c>
      <c r="F188" s="130">
        <v>94.99</v>
      </c>
      <c r="G188" s="133">
        <f t="shared" si="168"/>
        <v>85.491</v>
      </c>
      <c r="H188" s="133">
        <f t="shared" si="169"/>
        <v>71.2425</v>
      </c>
      <c r="I188" s="133">
        <f t="shared" si="170"/>
        <v>14.1028296460177</v>
      </c>
      <c r="J188" s="134">
        <f t="shared" si="171"/>
        <v>0.216966609938734</v>
      </c>
      <c r="K188" s="131">
        <f t="shared" si="172"/>
        <v>79.1583333333333</v>
      </c>
      <c r="L188" s="174">
        <f t="shared" si="173"/>
        <v>0.178860932729761</v>
      </c>
      <c r="M188" s="133">
        <f t="shared" si="174"/>
        <v>14.1583333333333</v>
      </c>
      <c r="N188" s="131">
        <f t="shared" si="175"/>
        <v>150.743362831858</v>
      </c>
      <c r="O188" s="131">
        <f t="shared" si="176"/>
        <v>1.90625</v>
      </c>
      <c r="P188" s="127">
        <v>8</v>
      </c>
      <c r="Q188" s="136">
        <v>8</v>
      </c>
      <c r="R188" s="137">
        <f t="shared" si="177"/>
        <v>0.123076923076923</v>
      </c>
      <c r="S188" s="134">
        <f t="shared" si="188"/>
        <v>0.0842193915148963</v>
      </c>
      <c r="T188" s="137">
        <f t="shared" si="178"/>
        <v>0.146138461538462</v>
      </c>
      <c r="U188" s="137">
        <v>0.01</v>
      </c>
      <c r="V188" s="137">
        <f t="shared" si="179"/>
        <v>0.289891082368958</v>
      </c>
      <c r="W188" s="137">
        <f t="shared" si="180"/>
        <v>0.0293269230769231</v>
      </c>
      <c r="X188" s="135">
        <v>0.1846</v>
      </c>
      <c r="Y188" s="138">
        <v>8</v>
      </c>
      <c r="Z188" s="138">
        <f>F188*0.1</f>
        <v>9.499</v>
      </c>
      <c r="AA188" s="138">
        <f t="shared" si="181"/>
        <v>0.65</v>
      </c>
      <c r="AB188" s="131">
        <f t="shared" si="182"/>
        <v>11.999</v>
      </c>
      <c r="AC188" s="131">
        <v>150</v>
      </c>
      <c r="AD188" s="139">
        <f t="shared" si="183"/>
        <v>132.743362831858</v>
      </c>
      <c r="AE188" s="136">
        <f t="shared" si="184"/>
        <v>2.25</v>
      </c>
      <c r="AF188" s="137">
        <f t="shared" si="185"/>
        <v>0.255275697753574</v>
      </c>
      <c r="AG188" s="137">
        <f t="shared" si="186"/>
        <v>0.0346153846153846</v>
      </c>
      <c r="AH188" s="136">
        <v>18</v>
      </c>
      <c r="AI188" s="134">
        <f t="shared" si="189"/>
        <v>0.375503641531644</v>
      </c>
      <c r="AJ188" s="134"/>
      <c r="AK188" s="134"/>
      <c r="AL188" s="134"/>
      <c r="AM188" s="134"/>
      <c r="AN188" s="140"/>
      <c r="AO188" s="140"/>
      <c r="AP188" s="140"/>
      <c r="AQ188" s="140"/>
      <c r="AR188" s="140"/>
      <c r="AS188" s="140"/>
      <c r="AT188" s="140" t="s">
        <v>376</v>
      </c>
      <c r="AU188" s="140" t="s">
        <v>376</v>
      </c>
      <c r="AV188" s="140" t="s">
        <v>376</v>
      </c>
      <c r="AW188" s="140" t="s">
        <v>376</v>
      </c>
      <c r="AX188" s="140" t="s">
        <v>376</v>
      </c>
      <c r="AY188" s="140" t="s">
        <v>376</v>
      </c>
      <c r="AZ188" s="140" t="s">
        <v>376</v>
      </c>
      <c r="BA188" s="140" t="s">
        <v>376</v>
      </c>
      <c r="BB188" s="140" t="s">
        <v>376</v>
      </c>
      <c r="BC188" s="140" t="s">
        <v>376</v>
      </c>
      <c r="BD188" s="140" t="s">
        <v>376</v>
      </c>
      <c r="BE188" s="140" t="s">
        <v>376</v>
      </c>
      <c r="BF188" s="140" t="s">
        <v>376</v>
      </c>
      <c r="BG188" s="140" t="s">
        <v>376</v>
      </c>
      <c r="BH188" s="140" t="s">
        <v>376</v>
      </c>
      <c r="BI188" s="140" t="s">
        <v>376</v>
      </c>
      <c r="BJ188" s="140" t="s">
        <v>376</v>
      </c>
      <c r="BK188" s="140" t="s">
        <v>376</v>
      </c>
      <c r="BL188" s="140" t="s">
        <v>376</v>
      </c>
      <c r="BM188" s="140" t="s">
        <v>376</v>
      </c>
      <c r="BN188" s="140" t="s">
        <v>376</v>
      </c>
      <c r="BO188" s="140" t="s">
        <v>376</v>
      </c>
      <c r="BP188" s="140" t="s">
        <v>376</v>
      </c>
      <c r="BQ188" s="140" t="s">
        <v>376</v>
      </c>
      <c r="BR188" s="175"/>
      <c r="BS188" s="142" t="s">
        <v>377</v>
      </c>
    </row>
    <row r="189" customHeight="1" spans="1:71">
      <c r="A189" s="127" t="s">
        <v>287</v>
      </c>
      <c r="B189" s="127" t="s">
        <v>27</v>
      </c>
      <c r="C189" s="127"/>
      <c r="D189" s="177" t="s">
        <v>380</v>
      </c>
      <c r="E189" s="132">
        <v>65</v>
      </c>
      <c r="F189" s="130">
        <v>94.99</v>
      </c>
      <c r="G189" s="133">
        <f t="shared" si="168"/>
        <v>80.7415</v>
      </c>
      <c r="H189" s="133">
        <f t="shared" si="169"/>
        <v>67.2845833333333</v>
      </c>
      <c r="I189" s="133">
        <f t="shared" si="170"/>
        <v>9.3533296460177</v>
      </c>
      <c r="J189" s="134">
        <f t="shared" si="171"/>
        <v>0.143897379169503</v>
      </c>
      <c r="K189" s="131">
        <f t="shared" si="172"/>
        <v>79.1583333333333</v>
      </c>
      <c r="L189" s="174">
        <f t="shared" si="173"/>
        <v>0.178860932729761</v>
      </c>
      <c r="M189" s="133">
        <f t="shared" si="174"/>
        <v>14.1583333333333</v>
      </c>
      <c r="N189" s="131">
        <f t="shared" si="175"/>
        <v>150.743362831858</v>
      </c>
      <c r="O189" s="131">
        <f t="shared" si="176"/>
        <v>1.90625</v>
      </c>
      <c r="P189" s="127">
        <v>8</v>
      </c>
      <c r="Q189" s="136">
        <v>8</v>
      </c>
      <c r="R189" s="137">
        <f t="shared" si="177"/>
        <v>0.123076923076923</v>
      </c>
      <c r="S189" s="134">
        <f t="shared" si="188"/>
        <v>0.0842193915148963</v>
      </c>
      <c r="T189" s="137">
        <f t="shared" si="178"/>
        <v>0.219207692307692</v>
      </c>
      <c r="U189" s="137">
        <v>0.01</v>
      </c>
      <c r="V189" s="137">
        <f t="shared" si="179"/>
        <v>0.289891082368958</v>
      </c>
      <c r="W189" s="137">
        <f t="shared" si="180"/>
        <v>0.0293269230769231</v>
      </c>
      <c r="X189" s="135">
        <v>0.1846</v>
      </c>
      <c r="Y189" s="138">
        <v>8</v>
      </c>
      <c r="Z189" s="138">
        <f>F189*0.15</f>
        <v>14.2485</v>
      </c>
      <c r="AA189" s="138">
        <f t="shared" si="181"/>
        <v>0.65</v>
      </c>
      <c r="AB189" s="131">
        <f t="shared" si="182"/>
        <v>11.999</v>
      </c>
      <c r="AC189" s="131">
        <v>150</v>
      </c>
      <c r="AD189" s="139">
        <f t="shared" si="183"/>
        <v>132.743362831858</v>
      </c>
      <c r="AE189" s="136">
        <f t="shared" si="184"/>
        <v>2.25</v>
      </c>
      <c r="AF189" s="137">
        <f t="shared" si="185"/>
        <v>0.255275697753574</v>
      </c>
      <c r="AG189" s="137">
        <f t="shared" si="186"/>
        <v>0.0346153846153846</v>
      </c>
      <c r="AH189" s="136">
        <v>18</v>
      </c>
      <c r="AI189" s="134">
        <f t="shared" si="189"/>
        <v>0.402979517741277</v>
      </c>
      <c r="AJ189" s="134"/>
      <c r="AK189" s="134"/>
      <c r="AL189" s="134"/>
      <c r="AM189" s="134"/>
      <c r="AN189" s="140"/>
      <c r="AO189" s="140"/>
      <c r="AP189" s="140"/>
      <c r="AQ189" s="140"/>
      <c r="AR189" s="140"/>
      <c r="AS189" s="140"/>
      <c r="AT189" s="140" t="s">
        <v>376</v>
      </c>
      <c r="AU189" s="140" t="s">
        <v>376</v>
      </c>
      <c r="AV189" s="140" t="s">
        <v>376</v>
      </c>
      <c r="AW189" s="140" t="s">
        <v>376</v>
      </c>
      <c r="AX189" s="140" t="s">
        <v>376</v>
      </c>
      <c r="AY189" s="140" t="s">
        <v>376</v>
      </c>
      <c r="AZ189" s="140" t="s">
        <v>376</v>
      </c>
      <c r="BA189" s="140" t="s">
        <v>376</v>
      </c>
      <c r="BB189" s="140" t="s">
        <v>376</v>
      </c>
      <c r="BC189" s="140" t="s">
        <v>376</v>
      </c>
      <c r="BD189" s="140" t="s">
        <v>376</v>
      </c>
      <c r="BE189" s="140" t="s">
        <v>376</v>
      </c>
      <c r="BF189" s="140" t="s">
        <v>376</v>
      </c>
      <c r="BG189" s="140" t="s">
        <v>376</v>
      </c>
      <c r="BH189" s="140" t="s">
        <v>376</v>
      </c>
      <c r="BI189" s="140" t="s">
        <v>376</v>
      </c>
      <c r="BJ189" s="140" t="s">
        <v>376</v>
      </c>
      <c r="BK189" s="140" t="s">
        <v>376</v>
      </c>
      <c r="BL189" s="140" t="s">
        <v>376</v>
      </c>
      <c r="BM189" s="140" t="s">
        <v>376</v>
      </c>
      <c r="BN189" s="140" t="s">
        <v>376</v>
      </c>
      <c r="BO189" s="140" t="s">
        <v>376</v>
      </c>
      <c r="BP189" s="140" t="s">
        <v>376</v>
      </c>
      <c r="BQ189" s="140" t="s">
        <v>376</v>
      </c>
      <c r="BR189" s="175"/>
      <c r="BS189" s="142" t="s">
        <v>377</v>
      </c>
    </row>
    <row r="190" customHeight="1" spans="1:71">
      <c r="A190" s="127" t="s">
        <v>290</v>
      </c>
      <c r="B190" s="127" t="s">
        <v>27</v>
      </c>
      <c r="C190" s="127"/>
      <c r="D190" s="177" t="s">
        <v>375</v>
      </c>
      <c r="E190" s="132">
        <v>65</v>
      </c>
      <c r="F190" s="130">
        <v>94.99</v>
      </c>
      <c r="G190" s="133">
        <f t="shared" si="168"/>
        <v>94.99</v>
      </c>
      <c r="H190" s="133">
        <f t="shared" si="169"/>
        <v>79.1583333333333</v>
      </c>
      <c r="I190" s="133">
        <f t="shared" si="170"/>
        <v>24.4018296460177</v>
      </c>
      <c r="J190" s="134">
        <f t="shared" si="171"/>
        <v>0.375412763784888</v>
      </c>
      <c r="K190" s="131">
        <f t="shared" si="172"/>
        <v>79.1583333333333</v>
      </c>
      <c r="L190" s="174">
        <f t="shared" si="173"/>
        <v>0.178860932729761</v>
      </c>
      <c r="M190" s="133">
        <f t="shared" si="174"/>
        <v>14.1583333333333</v>
      </c>
      <c r="N190" s="131">
        <f t="shared" si="175"/>
        <v>150.743362831858</v>
      </c>
      <c r="O190" s="131">
        <f t="shared" si="176"/>
        <v>2.40625</v>
      </c>
      <c r="P190" s="127">
        <v>8</v>
      </c>
      <c r="Q190" s="136">
        <v>8</v>
      </c>
      <c r="R190" s="137">
        <f t="shared" si="177"/>
        <v>0.123076923076923</v>
      </c>
      <c r="S190" s="134">
        <f t="shared" si="188"/>
        <v>0.0842193915148963</v>
      </c>
      <c r="T190" s="137">
        <f t="shared" si="178"/>
        <v>0</v>
      </c>
      <c r="U190" s="137">
        <v>0.01</v>
      </c>
      <c r="V190" s="137">
        <f t="shared" si="179"/>
        <v>0.289891082368958</v>
      </c>
      <c r="W190" s="137">
        <f t="shared" si="180"/>
        <v>0.0370192307692308</v>
      </c>
      <c r="X190" s="135">
        <v>0.1646</v>
      </c>
      <c r="Y190" s="138">
        <v>8</v>
      </c>
      <c r="Z190" s="138">
        <v>0</v>
      </c>
      <c r="AA190" s="138">
        <f t="shared" si="181"/>
        <v>0.65</v>
      </c>
      <c r="AB190" s="131">
        <f t="shared" si="182"/>
        <v>10.699</v>
      </c>
      <c r="AC190" s="131">
        <v>150</v>
      </c>
      <c r="AD190" s="139">
        <f t="shared" si="183"/>
        <v>132.743362831858</v>
      </c>
      <c r="AE190" s="136">
        <f t="shared" si="184"/>
        <v>2.25</v>
      </c>
      <c r="AF190" s="137">
        <f t="shared" si="185"/>
        <v>0.255275697753574</v>
      </c>
      <c r="AG190" s="137">
        <f t="shared" si="186"/>
        <v>0.0346153846153846</v>
      </c>
      <c r="AH190" s="136">
        <v>18</v>
      </c>
      <c r="AI190" s="137">
        <f t="shared" si="189"/>
        <v>0.314020423202442</v>
      </c>
      <c r="AJ190" s="137"/>
      <c r="AK190" s="137"/>
      <c r="AL190" s="137"/>
      <c r="AM190" s="137"/>
      <c r="AN190" s="140"/>
      <c r="AO190" s="140"/>
      <c r="AP190" s="140"/>
      <c r="AQ190" s="140"/>
      <c r="AR190" s="140"/>
      <c r="AS190" s="140"/>
      <c r="AT190" s="140" t="s">
        <v>376</v>
      </c>
      <c r="AU190" s="140" t="s">
        <v>376</v>
      </c>
      <c r="AV190" s="140" t="s">
        <v>376</v>
      </c>
      <c r="AW190" s="140" t="s">
        <v>376</v>
      </c>
      <c r="AX190" s="140" t="s">
        <v>376</v>
      </c>
      <c r="AY190" s="140" t="s">
        <v>376</v>
      </c>
      <c r="AZ190" s="140" t="s">
        <v>376</v>
      </c>
      <c r="BA190" s="140" t="s">
        <v>376</v>
      </c>
      <c r="BB190" s="140" t="s">
        <v>376</v>
      </c>
      <c r="BC190" s="140" t="s">
        <v>376</v>
      </c>
      <c r="BD190" s="140" t="s">
        <v>376</v>
      </c>
      <c r="BE190" s="140" t="s">
        <v>376</v>
      </c>
      <c r="BF190" s="140" t="s">
        <v>376</v>
      </c>
      <c r="BG190" s="140" t="s">
        <v>376</v>
      </c>
      <c r="BH190" s="140" t="s">
        <v>376</v>
      </c>
      <c r="BI190" s="140" t="s">
        <v>376</v>
      </c>
      <c r="BJ190" s="140" t="s">
        <v>376</v>
      </c>
      <c r="BK190" s="140" t="s">
        <v>376</v>
      </c>
      <c r="BL190" s="140" t="s">
        <v>376</v>
      </c>
      <c r="BM190" s="140" t="s">
        <v>376</v>
      </c>
      <c r="BN190" s="140" t="s">
        <v>376</v>
      </c>
      <c r="BO190" s="140" t="s">
        <v>376</v>
      </c>
      <c r="BP190" s="140" t="s">
        <v>376</v>
      </c>
      <c r="BQ190" s="140" t="s">
        <v>376</v>
      </c>
      <c r="BR190" s="175"/>
      <c r="BS190" s="142" t="s">
        <v>377</v>
      </c>
    </row>
    <row r="191" customHeight="1" spans="1:71">
      <c r="A191" s="127" t="s">
        <v>290</v>
      </c>
      <c r="B191" s="127" t="s">
        <v>27</v>
      </c>
      <c r="C191" s="127"/>
      <c r="D191" s="172" t="s">
        <v>378</v>
      </c>
      <c r="E191" s="132">
        <v>65</v>
      </c>
      <c r="F191" s="130">
        <v>94.99</v>
      </c>
      <c r="G191" s="133">
        <f t="shared" si="168"/>
        <v>90.2405</v>
      </c>
      <c r="H191" s="133">
        <f t="shared" si="169"/>
        <v>75.2004166666667</v>
      </c>
      <c r="I191" s="176">
        <f t="shared" si="170"/>
        <v>19.6523296460177</v>
      </c>
      <c r="J191" s="134">
        <f t="shared" si="171"/>
        <v>0.302343533015657</v>
      </c>
      <c r="K191" s="131">
        <f t="shared" si="172"/>
        <v>79.1583333333333</v>
      </c>
      <c r="L191" s="174">
        <f t="shared" si="173"/>
        <v>0.178860932729761</v>
      </c>
      <c r="M191" s="133">
        <f t="shared" si="174"/>
        <v>14.1583333333333</v>
      </c>
      <c r="N191" s="131">
        <f t="shared" si="175"/>
        <v>150.743362831858</v>
      </c>
      <c r="O191" s="131">
        <f t="shared" si="176"/>
        <v>2.40625</v>
      </c>
      <c r="P191" s="127">
        <v>8</v>
      </c>
      <c r="Q191" s="136">
        <v>8</v>
      </c>
      <c r="R191" s="137">
        <f t="shared" si="177"/>
        <v>0.123076923076923</v>
      </c>
      <c r="S191" s="134">
        <f t="shared" si="188"/>
        <v>0.0842193915148963</v>
      </c>
      <c r="T191" s="137">
        <f t="shared" si="178"/>
        <v>0.0730692307692308</v>
      </c>
      <c r="U191" s="137">
        <v>0.01</v>
      </c>
      <c r="V191" s="137">
        <f t="shared" si="179"/>
        <v>0.289891082368958</v>
      </c>
      <c r="W191" s="137">
        <f t="shared" si="180"/>
        <v>0.0370192307692308</v>
      </c>
      <c r="X191" s="135">
        <v>0.1646</v>
      </c>
      <c r="Y191" s="138">
        <v>8</v>
      </c>
      <c r="Z191" s="138">
        <f>F191*0.05</f>
        <v>4.7495</v>
      </c>
      <c r="AA191" s="138">
        <f t="shared" si="181"/>
        <v>0.65</v>
      </c>
      <c r="AB191" s="131">
        <f t="shared" si="182"/>
        <v>10.699</v>
      </c>
      <c r="AC191" s="131">
        <v>150</v>
      </c>
      <c r="AD191" s="139">
        <f t="shared" si="183"/>
        <v>132.743362831858</v>
      </c>
      <c r="AE191" s="136">
        <f t="shared" si="184"/>
        <v>2.25</v>
      </c>
      <c r="AF191" s="137">
        <f t="shared" si="185"/>
        <v>0.255275697753574</v>
      </c>
      <c r="AG191" s="137">
        <f t="shared" si="186"/>
        <v>0.0346153846153846</v>
      </c>
      <c r="AH191" s="136">
        <v>18</v>
      </c>
      <c r="AI191" s="137">
        <f t="shared" si="189"/>
        <v>0.334064280002598</v>
      </c>
      <c r="AJ191" s="137"/>
      <c r="AK191" s="137"/>
      <c r="AL191" s="137"/>
      <c r="AM191" s="137"/>
      <c r="AN191" s="140"/>
      <c r="AO191" s="140"/>
      <c r="AP191" s="140"/>
      <c r="AQ191" s="140"/>
      <c r="AR191" s="140"/>
      <c r="AS191" s="140"/>
      <c r="AT191" s="140" t="s">
        <v>376</v>
      </c>
      <c r="AU191" s="140" t="s">
        <v>376</v>
      </c>
      <c r="AV191" s="140" t="s">
        <v>376</v>
      </c>
      <c r="AW191" s="140" t="s">
        <v>376</v>
      </c>
      <c r="AX191" s="140" t="s">
        <v>376</v>
      </c>
      <c r="AY191" s="140" t="s">
        <v>376</v>
      </c>
      <c r="AZ191" s="140" t="s">
        <v>376</v>
      </c>
      <c r="BA191" s="140" t="s">
        <v>376</v>
      </c>
      <c r="BB191" s="140" t="s">
        <v>376</v>
      </c>
      <c r="BC191" s="140" t="s">
        <v>376</v>
      </c>
      <c r="BD191" s="140" t="s">
        <v>376</v>
      </c>
      <c r="BE191" s="140" t="s">
        <v>376</v>
      </c>
      <c r="BF191" s="140" t="s">
        <v>376</v>
      </c>
      <c r="BG191" s="140" t="s">
        <v>376</v>
      </c>
      <c r="BH191" s="140" t="s">
        <v>376</v>
      </c>
      <c r="BI191" s="140" t="s">
        <v>376</v>
      </c>
      <c r="BJ191" s="140" t="s">
        <v>376</v>
      </c>
      <c r="BK191" s="140" t="s">
        <v>376</v>
      </c>
      <c r="BL191" s="140" t="s">
        <v>376</v>
      </c>
      <c r="BM191" s="140" t="s">
        <v>376</v>
      </c>
      <c r="BN191" s="140" t="s">
        <v>376</v>
      </c>
      <c r="BO191" s="140" t="s">
        <v>376</v>
      </c>
      <c r="BP191" s="140" t="s">
        <v>376</v>
      </c>
      <c r="BQ191" s="140" t="s">
        <v>376</v>
      </c>
      <c r="BR191" s="175"/>
      <c r="BS191" s="142" t="s">
        <v>377</v>
      </c>
    </row>
    <row r="192" customHeight="1" spans="1:71">
      <c r="A192" s="127" t="s">
        <v>290</v>
      </c>
      <c r="B192" s="127" t="s">
        <v>27</v>
      </c>
      <c r="C192" s="127"/>
      <c r="D192" s="172" t="s">
        <v>379</v>
      </c>
      <c r="E192" s="132">
        <v>65</v>
      </c>
      <c r="F192" s="130">
        <v>94.99</v>
      </c>
      <c r="G192" s="133">
        <f t="shared" si="168"/>
        <v>85.491</v>
      </c>
      <c r="H192" s="133">
        <f t="shared" si="169"/>
        <v>71.2425</v>
      </c>
      <c r="I192" s="133">
        <f t="shared" si="170"/>
        <v>14.9028296460177</v>
      </c>
      <c r="J192" s="134">
        <f t="shared" si="171"/>
        <v>0.229274302246426</v>
      </c>
      <c r="K192" s="131">
        <f t="shared" si="172"/>
        <v>79.1583333333333</v>
      </c>
      <c r="L192" s="174">
        <f t="shared" si="173"/>
        <v>0.178860932729761</v>
      </c>
      <c r="M192" s="133">
        <f t="shared" si="174"/>
        <v>14.1583333333333</v>
      </c>
      <c r="N192" s="131">
        <f t="shared" si="175"/>
        <v>150.743362831858</v>
      </c>
      <c r="O192" s="131">
        <f t="shared" si="176"/>
        <v>2.40625</v>
      </c>
      <c r="P192" s="127">
        <v>8</v>
      </c>
      <c r="Q192" s="136">
        <v>8</v>
      </c>
      <c r="R192" s="137">
        <f t="shared" si="177"/>
        <v>0.123076923076923</v>
      </c>
      <c r="S192" s="134">
        <f t="shared" si="188"/>
        <v>0.0842193915148963</v>
      </c>
      <c r="T192" s="137">
        <f t="shared" si="178"/>
        <v>0.146138461538462</v>
      </c>
      <c r="U192" s="137">
        <v>0.01</v>
      </c>
      <c r="V192" s="137">
        <f t="shared" si="179"/>
        <v>0.289891082368958</v>
      </c>
      <c r="W192" s="137">
        <f t="shared" si="180"/>
        <v>0.0370192307692308</v>
      </c>
      <c r="X192" s="135">
        <v>0.1646</v>
      </c>
      <c r="Y192" s="138">
        <v>8</v>
      </c>
      <c r="Z192" s="138">
        <f>F192*0.1</f>
        <v>9.499</v>
      </c>
      <c r="AA192" s="138">
        <f t="shared" si="181"/>
        <v>0.65</v>
      </c>
      <c r="AB192" s="131">
        <f t="shared" si="182"/>
        <v>10.699</v>
      </c>
      <c r="AC192" s="131">
        <v>150</v>
      </c>
      <c r="AD192" s="139">
        <f t="shared" si="183"/>
        <v>132.743362831858</v>
      </c>
      <c r="AE192" s="136">
        <f t="shared" si="184"/>
        <v>2.25</v>
      </c>
      <c r="AF192" s="137">
        <f t="shared" si="185"/>
        <v>0.255275697753574</v>
      </c>
      <c r="AG192" s="137">
        <f t="shared" si="186"/>
        <v>0.0346153846153846</v>
      </c>
      <c r="AH192" s="136">
        <v>18</v>
      </c>
      <c r="AI192" s="137">
        <f t="shared" si="189"/>
        <v>0.356841390002775</v>
      </c>
      <c r="AJ192" s="137"/>
      <c r="AK192" s="137"/>
      <c r="AL192" s="137"/>
      <c r="AM192" s="137"/>
      <c r="AN192" s="140"/>
      <c r="AO192" s="140"/>
      <c r="AP192" s="140"/>
      <c r="AQ192" s="140"/>
      <c r="AR192" s="140"/>
      <c r="AS192" s="140"/>
      <c r="AT192" s="140" t="s">
        <v>376</v>
      </c>
      <c r="AU192" s="140" t="s">
        <v>376</v>
      </c>
      <c r="AV192" s="140" t="s">
        <v>376</v>
      </c>
      <c r="AW192" s="140" t="s">
        <v>376</v>
      </c>
      <c r="AX192" s="140" t="s">
        <v>376</v>
      </c>
      <c r="AY192" s="140" t="s">
        <v>376</v>
      </c>
      <c r="AZ192" s="140" t="s">
        <v>376</v>
      </c>
      <c r="BA192" s="140" t="s">
        <v>376</v>
      </c>
      <c r="BB192" s="140" t="s">
        <v>376</v>
      </c>
      <c r="BC192" s="140" t="s">
        <v>376</v>
      </c>
      <c r="BD192" s="140" t="s">
        <v>376</v>
      </c>
      <c r="BE192" s="140" t="s">
        <v>376</v>
      </c>
      <c r="BF192" s="140" t="s">
        <v>376</v>
      </c>
      <c r="BG192" s="140" t="s">
        <v>376</v>
      </c>
      <c r="BH192" s="140" t="s">
        <v>376</v>
      </c>
      <c r="BI192" s="140" t="s">
        <v>376</v>
      </c>
      <c r="BJ192" s="140" t="s">
        <v>376</v>
      </c>
      <c r="BK192" s="140" t="s">
        <v>376</v>
      </c>
      <c r="BL192" s="140" t="s">
        <v>376</v>
      </c>
      <c r="BM192" s="140" t="s">
        <v>376</v>
      </c>
      <c r="BN192" s="140" t="s">
        <v>376</v>
      </c>
      <c r="BO192" s="140" t="s">
        <v>376</v>
      </c>
      <c r="BP192" s="140" t="s">
        <v>376</v>
      </c>
      <c r="BQ192" s="140" t="s">
        <v>376</v>
      </c>
      <c r="BR192" s="175"/>
      <c r="BS192" s="142" t="s">
        <v>377</v>
      </c>
    </row>
    <row r="193" customHeight="1" spans="1:71">
      <c r="A193" s="127" t="s">
        <v>290</v>
      </c>
      <c r="B193" s="127" t="s">
        <v>27</v>
      </c>
      <c r="C193" s="127"/>
      <c r="D193" s="177" t="s">
        <v>380</v>
      </c>
      <c r="E193" s="132">
        <v>65</v>
      </c>
      <c r="F193" s="130">
        <v>94.99</v>
      </c>
      <c r="G193" s="133">
        <f t="shared" si="168"/>
        <v>80.7415</v>
      </c>
      <c r="H193" s="133">
        <f t="shared" si="169"/>
        <v>67.2845833333333</v>
      </c>
      <c r="I193" s="133">
        <f t="shared" si="170"/>
        <v>10.1533296460177</v>
      </c>
      <c r="J193" s="134">
        <f t="shared" si="171"/>
        <v>0.156205071477195</v>
      </c>
      <c r="K193" s="131">
        <f t="shared" si="172"/>
        <v>79.1583333333333</v>
      </c>
      <c r="L193" s="174">
        <f t="shared" si="173"/>
        <v>0.178860932729761</v>
      </c>
      <c r="M193" s="133">
        <f t="shared" si="174"/>
        <v>14.1583333333333</v>
      </c>
      <c r="N193" s="131">
        <f t="shared" si="175"/>
        <v>150.743362831858</v>
      </c>
      <c r="O193" s="131">
        <f t="shared" si="176"/>
        <v>2.40625</v>
      </c>
      <c r="P193" s="127">
        <v>8</v>
      </c>
      <c r="Q193" s="136">
        <v>8</v>
      </c>
      <c r="R193" s="137">
        <f t="shared" si="177"/>
        <v>0.123076923076923</v>
      </c>
      <c r="S193" s="134">
        <f t="shared" si="188"/>
        <v>0.0842193915148963</v>
      </c>
      <c r="T193" s="137">
        <f t="shared" si="178"/>
        <v>0.219207692307692</v>
      </c>
      <c r="U193" s="137">
        <v>0.01</v>
      </c>
      <c r="V193" s="137">
        <f t="shared" si="179"/>
        <v>0.289891082368958</v>
      </c>
      <c r="W193" s="137">
        <f t="shared" si="180"/>
        <v>0.0370192307692308</v>
      </c>
      <c r="X193" s="135">
        <v>0.1646</v>
      </c>
      <c r="Y193" s="138">
        <v>8</v>
      </c>
      <c r="Z193" s="138">
        <f>F193*0.15</f>
        <v>14.2485</v>
      </c>
      <c r="AA193" s="138">
        <f t="shared" si="181"/>
        <v>0.65</v>
      </c>
      <c r="AB193" s="131">
        <f t="shared" si="182"/>
        <v>10.699</v>
      </c>
      <c r="AC193" s="131">
        <v>150</v>
      </c>
      <c r="AD193" s="139">
        <f t="shared" si="183"/>
        <v>132.743362831858</v>
      </c>
      <c r="AE193" s="136">
        <f t="shared" si="184"/>
        <v>2.25</v>
      </c>
      <c r="AF193" s="137">
        <f t="shared" si="185"/>
        <v>0.255275697753574</v>
      </c>
      <c r="AG193" s="137">
        <f t="shared" si="186"/>
        <v>0.0346153846153846</v>
      </c>
      <c r="AH193" s="136">
        <v>18</v>
      </c>
      <c r="AI193" s="137">
        <f t="shared" si="189"/>
        <v>0.382951735612734</v>
      </c>
      <c r="AJ193" s="137"/>
      <c r="AK193" s="137"/>
      <c r="AL193" s="137"/>
      <c r="AM193" s="137"/>
      <c r="AN193" s="140"/>
      <c r="AO193" s="140"/>
      <c r="AP193" s="140"/>
      <c r="AQ193" s="140"/>
      <c r="AR193" s="140"/>
      <c r="AS193" s="140"/>
      <c r="AT193" s="140" t="s">
        <v>376</v>
      </c>
      <c r="AU193" s="140" t="s">
        <v>376</v>
      </c>
      <c r="AV193" s="140" t="s">
        <v>376</v>
      </c>
      <c r="AW193" s="140" t="s">
        <v>376</v>
      </c>
      <c r="AX193" s="140" t="s">
        <v>376</v>
      </c>
      <c r="AY193" s="140" t="s">
        <v>376</v>
      </c>
      <c r="AZ193" s="140" t="s">
        <v>376</v>
      </c>
      <c r="BA193" s="140" t="s">
        <v>376</v>
      </c>
      <c r="BB193" s="140" t="s">
        <v>376</v>
      </c>
      <c r="BC193" s="140" t="s">
        <v>376</v>
      </c>
      <c r="BD193" s="140" t="s">
        <v>376</v>
      </c>
      <c r="BE193" s="140" t="s">
        <v>376</v>
      </c>
      <c r="BF193" s="140" t="s">
        <v>376</v>
      </c>
      <c r="BG193" s="140" t="s">
        <v>376</v>
      </c>
      <c r="BH193" s="140" t="s">
        <v>376</v>
      </c>
      <c r="BI193" s="140" t="s">
        <v>376</v>
      </c>
      <c r="BJ193" s="140" t="s">
        <v>376</v>
      </c>
      <c r="BK193" s="140" t="s">
        <v>376</v>
      </c>
      <c r="BL193" s="140" t="s">
        <v>376</v>
      </c>
      <c r="BM193" s="140" t="s">
        <v>376</v>
      </c>
      <c r="BN193" s="140" t="s">
        <v>376</v>
      </c>
      <c r="BO193" s="140" t="s">
        <v>376</v>
      </c>
      <c r="BP193" s="140" t="s">
        <v>376</v>
      </c>
      <c r="BQ193" s="140" t="s">
        <v>376</v>
      </c>
      <c r="BR193" s="175"/>
      <c r="BS193" s="142" t="s">
        <v>377</v>
      </c>
    </row>
    <row r="194" customHeight="1" spans="1:71">
      <c r="A194" s="127" t="s">
        <v>381</v>
      </c>
      <c r="B194" s="127" t="s">
        <v>27</v>
      </c>
      <c r="C194" s="127"/>
      <c r="D194" s="178" t="s">
        <v>382</v>
      </c>
      <c r="E194" s="131">
        <v>68</v>
      </c>
      <c r="F194" s="173">
        <v>99.99</v>
      </c>
      <c r="G194" s="133">
        <f t="shared" si="168"/>
        <v>99.99</v>
      </c>
      <c r="H194" s="133">
        <f t="shared" si="169"/>
        <v>83.325</v>
      </c>
      <c r="I194" s="133">
        <f t="shared" si="170"/>
        <v>35.6393296460177</v>
      </c>
      <c r="J194" s="134">
        <f t="shared" si="171"/>
        <v>0.524107788912025</v>
      </c>
      <c r="K194" s="131">
        <f t="shared" si="172"/>
        <v>83.325</v>
      </c>
      <c r="L194" s="174">
        <f t="shared" si="173"/>
        <v>0.183918391839184</v>
      </c>
      <c r="M194" s="133">
        <f t="shared" si="174"/>
        <v>15.325</v>
      </c>
      <c r="N194" s="131">
        <f t="shared" si="175"/>
        <v>150.743362831858</v>
      </c>
      <c r="O194" s="131">
        <f t="shared" si="176"/>
        <v>2.09375</v>
      </c>
      <c r="P194" s="127">
        <v>8</v>
      </c>
      <c r="Q194" s="136">
        <v>8</v>
      </c>
      <c r="R194" s="137">
        <f t="shared" si="177"/>
        <v>0</v>
      </c>
      <c r="S194" s="134">
        <f t="shared" si="188"/>
        <v>0</v>
      </c>
      <c r="T194" s="137">
        <f t="shared" si="178"/>
        <v>0</v>
      </c>
      <c r="U194" s="137">
        <v>0.01</v>
      </c>
      <c r="V194" s="137">
        <f t="shared" si="179"/>
        <v>0.277101769911504</v>
      </c>
      <c r="W194" s="137">
        <f t="shared" si="180"/>
        <v>0.0307904411764706</v>
      </c>
      <c r="X194" s="135">
        <v>0.158</v>
      </c>
      <c r="Y194" s="138">
        <v>0</v>
      </c>
      <c r="Z194" s="138">
        <f>F194*0</f>
        <v>0</v>
      </c>
      <c r="AA194" s="138">
        <f t="shared" si="181"/>
        <v>0.68</v>
      </c>
      <c r="AB194" s="131">
        <f t="shared" si="182"/>
        <v>10.744</v>
      </c>
      <c r="AC194" s="131">
        <v>150</v>
      </c>
      <c r="AD194" s="139">
        <f t="shared" si="183"/>
        <v>132.743362831858</v>
      </c>
      <c r="AE194" s="136">
        <f t="shared" si="184"/>
        <v>2.25</v>
      </c>
      <c r="AF194" s="137">
        <f t="shared" si="185"/>
        <v>0.244013534617387</v>
      </c>
      <c r="AG194" s="137">
        <f t="shared" si="186"/>
        <v>0.0330882352941176</v>
      </c>
      <c r="AH194" s="136">
        <v>18</v>
      </c>
      <c r="AI194" s="137">
        <f t="shared" si="189"/>
        <v>0.312859285928593</v>
      </c>
      <c r="AJ194" s="140"/>
      <c r="AK194" s="140"/>
      <c r="AL194" s="140"/>
      <c r="AM194" s="140"/>
      <c r="AN194" s="140"/>
      <c r="AO194" s="140"/>
      <c r="AP194" s="140"/>
      <c r="AQ194" s="140"/>
      <c r="AR194" s="140"/>
      <c r="AS194" s="140"/>
      <c r="AT194" s="140" t="s">
        <v>376</v>
      </c>
      <c r="AU194" s="140" t="s">
        <v>376</v>
      </c>
      <c r="AV194" s="140" t="s">
        <v>376</v>
      </c>
      <c r="AW194" s="140" t="s">
        <v>376</v>
      </c>
      <c r="AX194" s="140" t="s">
        <v>376</v>
      </c>
      <c r="AY194" s="140" t="s">
        <v>376</v>
      </c>
      <c r="AZ194" s="140" t="s">
        <v>376</v>
      </c>
      <c r="BA194" s="140" t="s">
        <v>376</v>
      </c>
      <c r="BB194" s="140" t="s">
        <v>376</v>
      </c>
      <c r="BC194" s="140" t="s">
        <v>376</v>
      </c>
      <c r="BD194" s="140" t="s">
        <v>376</v>
      </c>
      <c r="BE194" s="140" t="s">
        <v>376</v>
      </c>
      <c r="BF194" s="140" t="s">
        <v>376</v>
      </c>
      <c r="BG194" s="140" t="s">
        <v>376</v>
      </c>
      <c r="BH194" s="140" t="s">
        <v>376</v>
      </c>
      <c r="BI194" s="140" t="s">
        <v>376</v>
      </c>
      <c r="BJ194" s="140" t="s">
        <v>376</v>
      </c>
      <c r="BK194" s="140" t="s">
        <v>376</v>
      </c>
      <c r="BL194" s="140" t="s">
        <v>376</v>
      </c>
      <c r="BM194" s="140" t="s">
        <v>376</v>
      </c>
      <c r="BN194" s="140" t="s">
        <v>376</v>
      </c>
      <c r="BO194" s="140" t="s">
        <v>376</v>
      </c>
      <c r="BP194" s="140" t="s">
        <v>376</v>
      </c>
      <c r="BQ194" s="140" t="s">
        <v>376</v>
      </c>
      <c r="BR194" s="144" t="e">
        <f>IF(E194&lt;#REF!,1,0)</f>
        <v>#REF!</v>
      </c>
      <c r="BS194" s="142" t="s">
        <v>377</v>
      </c>
    </row>
    <row r="195" customHeight="1" spans="1:71">
      <c r="A195" s="127" t="s">
        <v>383</v>
      </c>
      <c r="B195" s="127" t="s">
        <v>27</v>
      </c>
      <c r="C195" s="127"/>
      <c r="D195" s="178" t="s">
        <v>384</v>
      </c>
      <c r="E195" s="131">
        <v>69</v>
      </c>
      <c r="F195" s="130">
        <v>99.99</v>
      </c>
      <c r="G195" s="133">
        <f t="shared" si="168"/>
        <v>99.99</v>
      </c>
      <c r="H195" s="133">
        <f t="shared" si="169"/>
        <v>83.325</v>
      </c>
      <c r="I195" s="133">
        <f t="shared" si="170"/>
        <v>32.3238296460177</v>
      </c>
      <c r="J195" s="134">
        <f t="shared" si="171"/>
        <v>0.468461299217648</v>
      </c>
      <c r="K195" s="131">
        <f t="shared" si="172"/>
        <v>83.325</v>
      </c>
      <c r="L195" s="174">
        <f t="shared" si="173"/>
        <v>0.171917191719172</v>
      </c>
      <c r="M195" s="133">
        <f t="shared" si="174"/>
        <v>14.325</v>
      </c>
      <c r="N195" s="131">
        <f t="shared" si="175"/>
        <v>150.743362831858</v>
      </c>
      <c r="O195" s="131">
        <f t="shared" si="176"/>
        <v>1.75625</v>
      </c>
      <c r="P195" s="127">
        <v>8</v>
      </c>
      <c r="Q195" s="136">
        <v>8</v>
      </c>
      <c r="R195" s="137">
        <f t="shared" si="177"/>
        <v>0</v>
      </c>
      <c r="S195" s="134">
        <f t="shared" si="188"/>
        <v>0</v>
      </c>
      <c r="T195" s="137">
        <f t="shared" si="178"/>
        <v>0</v>
      </c>
      <c r="U195" s="137">
        <v>0.01</v>
      </c>
      <c r="V195" s="137">
        <f t="shared" si="179"/>
        <v>0.273085802231628</v>
      </c>
      <c r="W195" s="137">
        <f t="shared" si="180"/>
        <v>0.0254528985507246</v>
      </c>
      <c r="X195" s="135">
        <v>0.223</v>
      </c>
      <c r="Y195" s="138">
        <v>0</v>
      </c>
      <c r="Z195" s="138">
        <f>F195*0</f>
        <v>0</v>
      </c>
      <c r="AA195" s="138">
        <f t="shared" si="181"/>
        <v>0.69</v>
      </c>
      <c r="AB195" s="131">
        <f t="shared" si="182"/>
        <v>15.387</v>
      </c>
      <c r="AC195" s="131">
        <v>150</v>
      </c>
      <c r="AD195" s="139">
        <f t="shared" si="183"/>
        <v>132.743362831858</v>
      </c>
      <c r="AE195" s="136">
        <f t="shared" si="184"/>
        <v>2.25</v>
      </c>
      <c r="AF195" s="137">
        <f t="shared" si="185"/>
        <v>0.240477106579454</v>
      </c>
      <c r="AG195" s="137">
        <f t="shared" si="186"/>
        <v>0.0326086956521739</v>
      </c>
      <c r="AH195" s="136">
        <v>18</v>
      </c>
      <c r="AI195" s="137">
        <f t="shared" si="189"/>
        <v>0.356579657965797</v>
      </c>
      <c r="AJ195" s="140"/>
      <c r="AK195" s="140"/>
      <c r="AL195" s="140"/>
      <c r="AM195" s="140"/>
      <c r="AN195" s="140"/>
      <c r="AO195" s="140"/>
      <c r="AP195" s="140"/>
      <c r="AQ195" s="140"/>
      <c r="AR195" s="140"/>
      <c r="AS195" s="140"/>
      <c r="AT195" s="140" t="s">
        <v>376</v>
      </c>
      <c r="AU195" s="140" t="s">
        <v>376</v>
      </c>
      <c r="AV195" s="140" t="s">
        <v>376</v>
      </c>
      <c r="AW195" s="140" t="s">
        <v>376</v>
      </c>
      <c r="AX195" s="140" t="s">
        <v>376</v>
      </c>
      <c r="AY195" s="140" t="s">
        <v>376</v>
      </c>
      <c r="AZ195" s="140" t="s">
        <v>376</v>
      </c>
      <c r="BA195" s="140" t="s">
        <v>376</v>
      </c>
      <c r="BB195" s="140" t="s">
        <v>376</v>
      </c>
      <c r="BC195" s="140" t="s">
        <v>376</v>
      </c>
      <c r="BD195" s="140" t="s">
        <v>376</v>
      </c>
      <c r="BE195" s="140" t="s">
        <v>376</v>
      </c>
      <c r="BF195" s="140" t="s">
        <v>376</v>
      </c>
      <c r="BG195" s="140" t="s">
        <v>376</v>
      </c>
      <c r="BH195" s="140" t="s">
        <v>376</v>
      </c>
      <c r="BI195" s="140" t="s">
        <v>376</v>
      </c>
      <c r="BJ195" s="140" t="s">
        <v>376</v>
      </c>
      <c r="BK195" s="140" t="s">
        <v>376</v>
      </c>
      <c r="BL195" s="140" t="s">
        <v>376</v>
      </c>
      <c r="BM195" s="140" t="s">
        <v>376</v>
      </c>
      <c r="BN195" s="140" t="s">
        <v>376</v>
      </c>
      <c r="BO195" s="140" t="s">
        <v>376</v>
      </c>
      <c r="BP195" s="140" t="s">
        <v>376</v>
      </c>
      <c r="BQ195" s="140" t="s">
        <v>376</v>
      </c>
      <c r="BR195" s="144" t="e">
        <f>IF(E195&lt;#REF!,1,0)</f>
        <v>#REF!</v>
      </c>
      <c r="BS195" s="142" t="s">
        <v>377</v>
      </c>
    </row>
    <row r="196" customHeight="1" spans="1:71">
      <c r="A196" s="127" t="s">
        <v>385</v>
      </c>
      <c r="B196" s="127" t="s">
        <v>27</v>
      </c>
      <c r="C196" s="127"/>
      <c r="D196" s="178" t="s">
        <v>386</v>
      </c>
      <c r="E196" s="131">
        <v>69</v>
      </c>
      <c r="F196" s="130">
        <v>99.99</v>
      </c>
      <c r="G196" s="133">
        <f t="shared" si="168"/>
        <v>99.99</v>
      </c>
      <c r="H196" s="133">
        <f t="shared" si="169"/>
        <v>83.325</v>
      </c>
      <c r="I196" s="133">
        <f t="shared" si="170"/>
        <v>31.7988296460177</v>
      </c>
      <c r="J196" s="134">
        <f t="shared" si="171"/>
        <v>0.460852603565474</v>
      </c>
      <c r="K196" s="131">
        <f t="shared" si="172"/>
        <v>83.325</v>
      </c>
      <c r="L196" s="174">
        <f t="shared" si="173"/>
        <v>0.171917191719172</v>
      </c>
      <c r="M196" s="133">
        <f t="shared" si="174"/>
        <v>14.325</v>
      </c>
      <c r="N196" s="131">
        <f t="shared" si="175"/>
        <v>150.743362831858</v>
      </c>
      <c r="O196" s="131">
        <f t="shared" si="176"/>
        <v>2.28125</v>
      </c>
      <c r="P196" s="127">
        <v>8</v>
      </c>
      <c r="Q196" s="136">
        <v>8</v>
      </c>
      <c r="R196" s="137">
        <f t="shared" si="177"/>
        <v>0</v>
      </c>
      <c r="S196" s="134">
        <f t="shared" si="188"/>
        <v>0</v>
      </c>
      <c r="T196" s="137">
        <f t="shared" si="178"/>
        <v>0</v>
      </c>
      <c r="U196" s="137">
        <v>0.01</v>
      </c>
      <c r="V196" s="137">
        <f t="shared" si="179"/>
        <v>0.273085802231628</v>
      </c>
      <c r="W196" s="137">
        <f t="shared" si="180"/>
        <v>0.0330615942028986</v>
      </c>
      <c r="X196" s="135">
        <v>0.223</v>
      </c>
      <c r="Y196" s="138">
        <v>0</v>
      </c>
      <c r="Z196" s="138">
        <f>F196*0</f>
        <v>0</v>
      </c>
      <c r="AA196" s="138">
        <f t="shared" si="181"/>
        <v>0.69</v>
      </c>
      <c r="AB196" s="131">
        <f t="shared" si="182"/>
        <v>15.387</v>
      </c>
      <c r="AC196" s="131">
        <v>150</v>
      </c>
      <c r="AD196" s="139">
        <f t="shared" si="183"/>
        <v>132.743362831858</v>
      </c>
      <c r="AE196" s="136">
        <f t="shared" si="184"/>
        <v>2.25</v>
      </c>
      <c r="AF196" s="137">
        <f t="shared" si="185"/>
        <v>0.240477106579454</v>
      </c>
      <c r="AG196" s="137">
        <f t="shared" si="186"/>
        <v>0.0326086956521739</v>
      </c>
      <c r="AH196" s="136">
        <v>18</v>
      </c>
      <c r="AI196" s="137">
        <f t="shared" si="189"/>
        <v>0.356579657965797</v>
      </c>
      <c r="AJ196" s="140"/>
      <c r="AK196" s="140"/>
      <c r="AL196" s="140"/>
      <c r="AM196" s="140"/>
      <c r="AN196" s="140"/>
      <c r="AO196" s="140"/>
      <c r="AP196" s="140"/>
      <c r="AQ196" s="140"/>
      <c r="AR196" s="140"/>
      <c r="AS196" s="140"/>
      <c r="AT196" s="140" t="s">
        <v>376</v>
      </c>
      <c r="AU196" s="140" t="s">
        <v>376</v>
      </c>
      <c r="AV196" s="140" t="s">
        <v>376</v>
      </c>
      <c r="AW196" s="140" t="s">
        <v>376</v>
      </c>
      <c r="AX196" s="140" t="s">
        <v>376</v>
      </c>
      <c r="AY196" s="140" t="s">
        <v>376</v>
      </c>
      <c r="AZ196" s="140" t="s">
        <v>376</v>
      </c>
      <c r="BA196" s="140" t="s">
        <v>376</v>
      </c>
      <c r="BB196" s="140" t="s">
        <v>376</v>
      </c>
      <c r="BC196" s="140" t="s">
        <v>376</v>
      </c>
      <c r="BD196" s="140" t="s">
        <v>376</v>
      </c>
      <c r="BE196" s="140" t="s">
        <v>376</v>
      </c>
      <c r="BF196" s="140" t="s">
        <v>376</v>
      </c>
      <c r="BG196" s="140" t="s">
        <v>376</v>
      </c>
      <c r="BH196" s="140" t="s">
        <v>376</v>
      </c>
      <c r="BI196" s="140" t="s">
        <v>376</v>
      </c>
      <c r="BJ196" s="140" t="s">
        <v>376</v>
      </c>
      <c r="BK196" s="140" t="s">
        <v>376</v>
      </c>
      <c r="BL196" s="140" t="s">
        <v>376</v>
      </c>
      <c r="BM196" s="140" t="s">
        <v>376</v>
      </c>
      <c r="BN196" s="140" t="s">
        <v>376</v>
      </c>
      <c r="BO196" s="140" t="s">
        <v>376</v>
      </c>
      <c r="BP196" s="140" t="s">
        <v>376</v>
      </c>
      <c r="BQ196" s="140" t="s">
        <v>376</v>
      </c>
      <c r="BR196" s="144" t="e">
        <f>IF(E196&lt;#REF!,1,0)</f>
        <v>#REF!</v>
      </c>
      <c r="BS196" s="142" t="s">
        <v>377</v>
      </c>
    </row>
    <row r="197" customHeight="1" spans="1:71">
      <c r="A197" s="127" t="s">
        <v>387</v>
      </c>
      <c r="B197" s="127" t="s">
        <v>27</v>
      </c>
      <c r="C197" s="127"/>
      <c r="D197" s="178" t="s">
        <v>388</v>
      </c>
      <c r="E197" s="131">
        <v>68</v>
      </c>
      <c r="F197" s="130">
        <v>99.99</v>
      </c>
      <c r="G197" s="133">
        <f t="shared" si="168"/>
        <v>99.99</v>
      </c>
      <c r="H197" s="133">
        <f t="shared" si="169"/>
        <v>83.325</v>
      </c>
      <c r="I197" s="133">
        <f t="shared" si="170"/>
        <v>35.9518296460177</v>
      </c>
      <c r="J197" s="134">
        <f t="shared" si="171"/>
        <v>0.528703377147319</v>
      </c>
      <c r="K197" s="131">
        <f t="shared" si="172"/>
        <v>83.325</v>
      </c>
      <c r="L197" s="174">
        <f t="shared" si="173"/>
        <v>0.183918391839184</v>
      </c>
      <c r="M197" s="133">
        <f t="shared" si="174"/>
        <v>15.325</v>
      </c>
      <c r="N197" s="131">
        <f t="shared" si="175"/>
        <v>150.743362831858</v>
      </c>
      <c r="O197" s="131">
        <f t="shared" si="176"/>
        <v>1.78125</v>
      </c>
      <c r="P197" s="127">
        <v>8</v>
      </c>
      <c r="Q197" s="136">
        <v>8</v>
      </c>
      <c r="R197" s="137">
        <f t="shared" si="177"/>
        <v>0</v>
      </c>
      <c r="S197" s="134">
        <f t="shared" si="188"/>
        <v>0</v>
      </c>
      <c r="T197" s="137">
        <f t="shared" si="178"/>
        <v>0</v>
      </c>
      <c r="U197" s="137">
        <v>0.01</v>
      </c>
      <c r="V197" s="137">
        <f t="shared" si="179"/>
        <v>0.277101769911504</v>
      </c>
      <c r="W197" s="137">
        <f t="shared" si="180"/>
        <v>0.0261948529411765</v>
      </c>
      <c r="X197" s="135">
        <v>0.158</v>
      </c>
      <c r="Y197" s="138">
        <v>0</v>
      </c>
      <c r="Z197" s="138">
        <f>F197*0</f>
        <v>0</v>
      </c>
      <c r="AA197" s="138">
        <f t="shared" si="181"/>
        <v>0.68</v>
      </c>
      <c r="AB197" s="131">
        <f t="shared" si="182"/>
        <v>10.744</v>
      </c>
      <c r="AC197" s="131">
        <v>150</v>
      </c>
      <c r="AD197" s="139">
        <f t="shared" si="183"/>
        <v>132.743362831858</v>
      </c>
      <c r="AE197" s="136">
        <f t="shared" si="184"/>
        <v>2.25</v>
      </c>
      <c r="AF197" s="137">
        <f t="shared" si="185"/>
        <v>0.244013534617387</v>
      </c>
      <c r="AG197" s="137">
        <f t="shared" si="186"/>
        <v>0.0330882352941176</v>
      </c>
      <c r="AH197" s="136">
        <v>18</v>
      </c>
      <c r="AI197" s="137">
        <f t="shared" si="189"/>
        <v>0.312859285928593</v>
      </c>
      <c r="AJ197" s="137"/>
      <c r="AK197" s="137"/>
      <c r="AL197" s="137"/>
      <c r="AM197" s="137"/>
      <c r="AN197" s="140"/>
      <c r="AO197" s="140"/>
      <c r="AP197" s="140"/>
      <c r="AQ197" s="140"/>
      <c r="AR197" s="140"/>
      <c r="AS197" s="140"/>
      <c r="AT197" s="140" t="s">
        <v>376</v>
      </c>
      <c r="AU197" s="140" t="s">
        <v>376</v>
      </c>
      <c r="AV197" s="140" t="s">
        <v>376</v>
      </c>
      <c r="AW197" s="140" t="s">
        <v>376</v>
      </c>
      <c r="AX197" s="140" t="s">
        <v>376</v>
      </c>
      <c r="AY197" s="140" t="s">
        <v>376</v>
      </c>
      <c r="AZ197" s="140" t="s">
        <v>376</v>
      </c>
      <c r="BA197" s="140" t="s">
        <v>376</v>
      </c>
      <c r="BB197" s="140" t="s">
        <v>376</v>
      </c>
      <c r="BC197" s="140" t="s">
        <v>376</v>
      </c>
      <c r="BD197" s="140" t="s">
        <v>376</v>
      </c>
      <c r="BE197" s="140" t="s">
        <v>376</v>
      </c>
      <c r="BF197" s="140" t="s">
        <v>376</v>
      </c>
      <c r="BG197" s="140" t="s">
        <v>376</v>
      </c>
      <c r="BH197" s="140" t="s">
        <v>376</v>
      </c>
      <c r="BI197" s="140" t="s">
        <v>376</v>
      </c>
      <c r="BJ197" s="140" t="s">
        <v>376</v>
      </c>
      <c r="BK197" s="140" t="s">
        <v>376</v>
      </c>
      <c r="BL197" s="140" t="s">
        <v>376</v>
      </c>
      <c r="BM197" s="140" t="s">
        <v>376</v>
      </c>
      <c r="BN197" s="140" t="s">
        <v>376</v>
      </c>
      <c r="BO197" s="140" t="s">
        <v>376</v>
      </c>
      <c r="BP197" s="140" t="s">
        <v>376</v>
      </c>
      <c r="BQ197" s="140" t="s">
        <v>376</v>
      </c>
      <c r="BR197" s="144" t="e">
        <f>IF(E197&lt;#REF!,1,0)</f>
        <v>#REF!</v>
      </c>
      <c r="BS197" s="142" t="s">
        <v>377</v>
      </c>
    </row>
    <row r="198" customHeight="1" spans="1:71">
      <c r="G198" s="1"/>
      <c r="H198" s="1"/>
      <c r="S198" s="1"/>
      <c r="AE198" s="14"/>
      <c r="AI198" s="1"/>
    </row>
    <row r="199" customHeight="1" spans="1:71">
      <c r="A199" s="142" t="s">
        <v>86</v>
      </c>
      <c r="B199" s="127" t="s">
        <v>29</v>
      </c>
      <c r="C199" s="127"/>
      <c r="D199" s="172" t="s">
        <v>438</v>
      </c>
      <c r="E199" s="132">
        <v>62</v>
      </c>
      <c r="F199" s="173">
        <v>89.99</v>
      </c>
      <c r="G199" s="133">
        <f t="shared" ref="G199:G222" si="190">(F199-Z199)</f>
        <v>89.99</v>
      </c>
      <c r="H199" s="133">
        <f t="shared" ref="H199:H222" si="191">(F199-Z199)/1.2</f>
        <v>74.9916666666667</v>
      </c>
      <c r="I199" s="133">
        <f t="shared" ref="I199:I222" si="192">E199-N199/Q199-AB199-Y199-O199-Z199-AA199</f>
        <v>19.42516273353</v>
      </c>
      <c r="J199" s="134">
        <f t="shared" ref="J199:J222" si="193">I199/E199</f>
        <v>0.313309076347258</v>
      </c>
      <c r="K199" s="131">
        <f t="shared" ref="K199:K222" si="194">F199/1.2</f>
        <v>74.9916666666667</v>
      </c>
      <c r="L199" s="174">
        <f t="shared" ref="L199:L222" si="195">(K199-E199)/K199</f>
        <v>0.173241471274586</v>
      </c>
      <c r="M199" s="133">
        <f t="shared" ref="M199:M222" si="196">F199/1.2-E199</f>
        <v>12.9916666666667</v>
      </c>
      <c r="N199" s="131">
        <f t="shared" ref="N199:N222" si="197">AD199+AH199</f>
        <v>179.29203539823</v>
      </c>
      <c r="O199" s="131">
        <f t="shared" ref="O199:O222" si="198">IFERROR(IF(A199="UK",8.95/P199,IF(A199="DE",7.75/P199,IF(A199="FR",14.25/P199,IF(A199="IT",15.25/P199,IF(A199="ES",19.25/P199,IF(A199="NL",16.75/P199,IF(A199="PL",14.05/P199,IF(A199="SE",18.25/P199,IF(A199="BE",14.25/P199))))))))),0)</f>
        <v>2.2375</v>
      </c>
      <c r="P199" s="142">
        <v>4</v>
      </c>
      <c r="Q199" s="136">
        <v>9</v>
      </c>
      <c r="R199" s="137">
        <f t="shared" ref="R199:R222" si="199">Y199/E199</f>
        <v>0.161290322580645</v>
      </c>
      <c r="S199" s="134">
        <f>Y199/H199</f>
        <v>0.133348149794422</v>
      </c>
      <c r="T199" s="137">
        <f t="shared" ref="T199:T222" si="200">Z199/E199</f>
        <v>0</v>
      </c>
      <c r="U199" s="137">
        <v>0.01</v>
      </c>
      <c r="V199" s="137">
        <f t="shared" ref="V199:V222" si="201">N199/(E199*Q199)</f>
        <v>0.321311891394678</v>
      </c>
      <c r="W199" s="137">
        <f t="shared" ref="W199:W222" si="202">O199/E199</f>
        <v>0.0360887096774194</v>
      </c>
      <c r="X199" s="135">
        <v>0.158</v>
      </c>
      <c r="Y199" s="138">
        <v>10</v>
      </c>
      <c r="Z199" s="138">
        <f>F199*0</f>
        <v>0</v>
      </c>
      <c r="AA199" s="138">
        <f t="shared" ref="AA199:AA222" si="203">E199*U199</f>
        <v>0.62</v>
      </c>
      <c r="AB199" s="131">
        <f t="shared" ref="AB199:AB222" si="204">E199*X199</f>
        <v>9.796</v>
      </c>
      <c r="AC199" s="131">
        <v>180</v>
      </c>
      <c r="AD199" s="139">
        <f t="shared" ref="AD199:AD222" si="205">AC199/1.13</f>
        <v>159.29203539823</v>
      </c>
      <c r="AE199" s="136">
        <f t="shared" ref="AE199:AE222" si="206">AH199/Q199</f>
        <v>2.22222222222222</v>
      </c>
      <c r="AF199" s="137">
        <f t="shared" ref="AF199:AF222" si="207">AD199/(E199*Q199)</f>
        <v>0.285469597487868</v>
      </c>
      <c r="AG199" s="137">
        <f t="shared" ref="AG199:AG222" si="208">AE199/E199</f>
        <v>0.03584229390681</v>
      </c>
      <c r="AH199" s="136">
        <v>20</v>
      </c>
      <c r="AI199" s="137">
        <f t="shared" ref="AI199:AI209" si="209">(H199-E199+AB199)/H199</f>
        <v>0.303869318813201</v>
      </c>
      <c r="AJ199" s="137"/>
      <c r="AK199" s="137"/>
      <c r="AL199" s="137"/>
      <c r="AM199" s="137"/>
      <c r="AN199" s="137"/>
      <c r="AO199" s="137"/>
      <c r="AP199" s="137"/>
      <c r="AQ199" s="137"/>
      <c r="AR199" s="137"/>
      <c r="AS199" s="137"/>
      <c r="AT199" s="140" t="s">
        <v>376</v>
      </c>
      <c r="AU199" s="140" t="s">
        <v>376</v>
      </c>
      <c r="AV199" s="140" t="s">
        <v>376</v>
      </c>
      <c r="AW199" s="140" t="s">
        <v>376</v>
      </c>
      <c r="AX199" s="140" t="s">
        <v>376</v>
      </c>
      <c r="AY199" s="140" t="s">
        <v>376</v>
      </c>
      <c r="AZ199" s="140" t="s">
        <v>376</v>
      </c>
      <c r="BA199" s="140" t="s">
        <v>376</v>
      </c>
      <c r="BB199" s="140" t="s">
        <v>376</v>
      </c>
      <c r="BC199" s="140" t="s">
        <v>376</v>
      </c>
      <c r="BD199" s="140" t="s">
        <v>376</v>
      </c>
      <c r="BE199" s="140" t="s">
        <v>376</v>
      </c>
      <c r="BF199" s="140" t="s">
        <v>376</v>
      </c>
      <c r="BG199" s="140" t="s">
        <v>376</v>
      </c>
      <c r="BH199" s="140" t="s">
        <v>376</v>
      </c>
      <c r="BI199" s="140" t="s">
        <v>376</v>
      </c>
      <c r="BJ199" s="140" t="s">
        <v>376</v>
      </c>
      <c r="BK199" s="140" t="s">
        <v>376</v>
      </c>
      <c r="BL199" s="140" t="s">
        <v>376</v>
      </c>
      <c r="BM199" s="140" t="s">
        <v>376</v>
      </c>
      <c r="BN199" s="140" t="s">
        <v>376</v>
      </c>
      <c r="BO199" s="140" t="s">
        <v>376</v>
      </c>
      <c r="BP199" s="140" t="s">
        <v>376</v>
      </c>
      <c r="BQ199" s="140" t="s">
        <v>376</v>
      </c>
      <c r="BR199" s="175"/>
      <c r="BS199" s="142" t="s">
        <v>377</v>
      </c>
    </row>
    <row r="200" customHeight="1" spans="1:71">
      <c r="A200" s="142" t="s">
        <v>86</v>
      </c>
      <c r="B200" s="127" t="s">
        <v>29</v>
      </c>
      <c r="C200" s="127"/>
      <c r="D200" s="172" t="s">
        <v>439</v>
      </c>
      <c r="E200" s="132">
        <v>62</v>
      </c>
      <c r="F200" s="130">
        <v>89.99</v>
      </c>
      <c r="G200" s="133">
        <f t="shared" si="190"/>
        <v>85.4905</v>
      </c>
      <c r="H200" s="133">
        <f t="shared" si="191"/>
        <v>71.2420833333333</v>
      </c>
      <c r="I200" s="176">
        <f t="shared" si="192"/>
        <v>14.92566273353</v>
      </c>
      <c r="J200" s="134">
        <f t="shared" si="193"/>
        <v>0.240736495702097</v>
      </c>
      <c r="K200" s="131">
        <f t="shared" si="194"/>
        <v>74.9916666666667</v>
      </c>
      <c r="L200" s="174">
        <f t="shared" si="195"/>
        <v>0.173241471274586</v>
      </c>
      <c r="M200" s="133">
        <f t="shared" si="196"/>
        <v>12.9916666666667</v>
      </c>
      <c r="N200" s="131">
        <f t="shared" si="197"/>
        <v>179.29203539823</v>
      </c>
      <c r="O200" s="131">
        <f t="shared" si="198"/>
        <v>2.2375</v>
      </c>
      <c r="P200" s="127">
        <v>4</v>
      </c>
      <c r="Q200" s="136">
        <v>9</v>
      </c>
      <c r="R200" s="137">
        <f t="shared" si="199"/>
        <v>0.161290322580645</v>
      </c>
      <c r="S200" s="134">
        <f>Y200/H200</f>
        <v>0.140366473467812</v>
      </c>
      <c r="T200" s="137">
        <f t="shared" si="200"/>
        <v>0.0725725806451613</v>
      </c>
      <c r="U200" s="137">
        <v>0.01</v>
      </c>
      <c r="V200" s="137">
        <f t="shared" si="201"/>
        <v>0.321311891394678</v>
      </c>
      <c r="W200" s="137">
        <f t="shared" si="202"/>
        <v>0.0360887096774194</v>
      </c>
      <c r="X200" s="135">
        <v>0.158</v>
      </c>
      <c r="Y200" s="138">
        <v>10</v>
      </c>
      <c r="Z200" s="138">
        <f>F200*0.05</f>
        <v>4.4995</v>
      </c>
      <c r="AA200" s="138">
        <f t="shared" si="203"/>
        <v>0.62</v>
      </c>
      <c r="AB200" s="131">
        <f t="shared" si="204"/>
        <v>9.796</v>
      </c>
      <c r="AC200" s="131">
        <v>180</v>
      </c>
      <c r="AD200" s="139">
        <f t="shared" si="205"/>
        <v>159.29203539823</v>
      </c>
      <c r="AE200" s="136">
        <f t="shared" si="206"/>
        <v>2.22222222222222</v>
      </c>
      <c r="AF200" s="137">
        <f t="shared" si="207"/>
        <v>0.285469597487868</v>
      </c>
      <c r="AG200" s="137">
        <f t="shared" si="208"/>
        <v>0.03584229390681</v>
      </c>
      <c r="AH200" s="136">
        <v>20</v>
      </c>
      <c r="AI200" s="137">
        <f t="shared" si="209"/>
        <v>0.267230861908633</v>
      </c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  <c r="AT200" s="140" t="s">
        <v>376</v>
      </c>
      <c r="AU200" s="140" t="s">
        <v>376</v>
      </c>
      <c r="AV200" s="140" t="s">
        <v>376</v>
      </c>
      <c r="AW200" s="140" t="s">
        <v>376</v>
      </c>
      <c r="AX200" s="140" t="s">
        <v>376</v>
      </c>
      <c r="AY200" s="140" t="s">
        <v>376</v>
      </c>
      <c r="AZ200" s="140" t="s">
        <v>376</v>
      </c>
      <c r="BA200" s="140" t="s">
        <v>376</v>
      </c>
      <c r="BB200" s="140" t="s">
        <v>376</v>
      </c>
      <c r="BC200" s="140" t="s">
        <v>376</v>
      </c>
      <c r="BD200" s="140" t="s">
        <v>376</v>
      </c>
      <c r="BE200" s="140" t="s">
        <v>376</v>
      </c>
      <c r="BF200" s="140" t="s">
        <v>376</v>
      </c>
      <c r="BG200" s="140" t="s">
        <v>376</v>
      </c>
      <c r="BH200" s="140" t="s">
        <v>376</v>
      </c>
      <c r="BI200" s="140" t="s">
        <v>376</v>
      </c>
      <c r="BJ200" s="140" t="s">
        <v>376</v>
      </c>
      <c r="BK200" s="140" t="s">
        <v>376</v>
      </c>
      <c r="BL200" s="140" t="s">
        <v>376</v>
      </c>
      <c r="BM200" s="140" t="s">
        <v>376</v>
      </c>
      <c r="BN200" s="140" t="s">
        <v>376</v>
      </c>
      <c r="BO200" s="140" t="s">
        <v>376</v>
      </c>
      <c r="BP200" s="140" t="s">
        <v>376</v>
      </c>
      <c r="BQ200" s="140" t="s">
        <v>376</v>
      </c>
      <c r="BR200" s="175"/>
      <c r="BS200" s="142" t="s">
        <v>377</v>
      </c>
    </row>
    <row r="201" customHeight="1" spans="1:71">
      <c r="A201" s="142" t="s">
        <v>86</v>
      </c>
      <c r="B201" s="127" t="s">
        <v>29</v>
      </c>
      <c r="C201" s="127"/>
      <c r="D201" s="172" t="s">
        <v>440</v>
      </c>
      <c r="E201" s="132">
        <v>62</v>
      </c>
      <c r="F201" s="130">
        <v>89.99</v>
      </c>
      <c r="G201" s="133">
        <f t="shared" si="190"/>
        <v>80.991</v>
      </c>
      <c r="H201" s="133">
        <f t="shared" si="191"/>
        <v>67.4925</v>
      </c>
      <c r="I201" s="133">
        <f t="shared" si="192"/>
        <v>10.42616273353</v>
      </c>
      <c r="J201" s="134">
        <f t="shared" si="193"/>
        <v>0.168163915056935</v>
      </c>
      <c r="K201" s="131">
        <f t="shared" si="194"/>
        <v>74.9916666666667</v>
      </c>
      <c r="L201" s="174">
        <f t="shared" si="195"/>
        <v>0.173241471274586</v>
      </c>
      <c r="M201" s="133">
        <f t="shared" si="196"/>
        <v>12.9916666666667</v>
      </c>
      <c r="N201" s="131">
        <f t="shared" si="197"/>
        <v>179.29203539823</v>
      </c>
      <c r="O201" s="131">
        <f t="shared" si="198"/>
        <v>2.2375</v>
      </c>
      <c r="P201" s="127">
        <v>4</v>
      </c>
      <c r="Q201" s="136">
        <v>9</v>
      </c>
      <c r="R201" s="137">
        <f t="shared" si="199"/>
        <v>0.161290322580645</v>
      </c>
      <c r="S201" s="134">
        <f>Y201/H201</f>
        <v>0.148164610882691</v>
      </c>
      <c r="T201" s="137">
        <f t="shared" si="200"/>
        <v>0.145145161290323</v>
      </c>
      <c r="U201" s="137">
        <v>0.01</v>
      </c>
      <c r="V201" s="137">
        <f t="shared" si="201"/>
        <v>0.321311891394678</v>
      </c>
      <c r="W201" s="137">
        <f t="shared" si="202"/>
        <v>0.0360887096774194</v>
      </c>
      <c r="X201" s="135">
        <v>0.158</v>
      </c>
      <c r="Y201" s="138">
        <v>10</v>
      </c>
      <c r="Z201" s="138">
        <f>F201*0.1</f>
        <v>8.999</v>
      </c>
      <c r="AA201" s="138">
        <f t="shared" si="203"/>
        <v>0.62</v>
      </c>
      <c r="AB201" s="131">
        <f t="shared" si="204"/>
        <v>9.796</v>
      </c>
      <c r="AC201" s="131">
        <v>180</v>
      </c>
      <c r="AD201" s="139">
        <f t="shared" si="205"/>
        <v>159.29203539823</v>
      </c>
      <c r="AE201" s="136">
        <f t="shared" si="206"/>
        <v>2.22222222222222</v>
      </c>
      <c r="AF201" s="137">
        <f t="shared" si="207"/>
        <v>0.285469597487868</v>
      </c>
      <c r="AG201" s="137">
        <f t="shared" si="208"/>
        <v>0.03584229390681</v>
      </c>
      <c r="AH201" s="136">
        <v>20</v>
      </c>
      <c r="AI201" s="137">
        <f t="shared" si="209"/>
        <v>0.226521465348002</v>
      </c>
      <c r="AJ201" s="137"/>
      <c r="AK201" s="137"/>
      <c r="AL201" s="137"/>
      <c r="AM201" s="137"/>
      <c r="AN201" s="137"/>
      <c r="AO201" s="137"/>
      <c r="AP201" s="137"/>
      <c r="AQ201" s="137"/>
      <c r="AR201" s="137"/>
      <c r="AS201" s="137"/>
      <c r="AT201" s="140" t="s">
        <v>376</v>
      </c>
      <c r="AU201" s="140" t="s">
        <v>376</v>
      </c>
      <c r="AV201" s="140" t="s">
        <v>376</v>
      </c>
      <c r="AW201" s="140" t="s">
        <v>376</v>
      </c>
      <c r="AX201" s="140" t="s">
        <v>376</v>
      </c>
      <c r="AY201" s="140" t="s">
        <v>376</v>
      </c>
      <c r="AZ201" s="140" t="s">
        <v>376</v>
      </c>
      <c r="BA201" s="140" t="s">
        <v>376</v>
      </c>
      <c r="BB201" s="140" t="s">
        <v>376</v>
      </c>
      <c r="BC201" s="140" t="s">
        <v>376</v>
      </c>
      <c r="BD201" s="140" t="s">
        <v>376</v>
      </c>
      <c r="BE201" s="140" t="s">
        <v>376</v>
      </c>
      <c r="BF201" s="140" t="s">
        <v>376</v>
      </c>
      <c r="BG201" s="140" t="s">
        <v>376</v>
      </c>
      <c r="BH201" s="140" t="s">
        <v>376</v>
      </c>
      <c r="BI201" s="140" t="s">
        <v>376</v>
      </c>
      <c r="BJ201" s="140" t="s">
        <v>376</v>
      </c>
      <c r="BK201" s="140" t="s">
        <v>376</v>
      </c>
      <c r="BL201" s="140" t="s">
        <v>376</v>
      </c>
      <c r="BM201" s="140" t="s">
        <v>376</v>
      </c>
      <c r="BN201" s="140" t="s">
        <v>376</v>
      </c>
      <c r="BO201" s="140" t="s">
        <v>376</v>
      </c>
      <c r="BP201" s="140" t="s">
        <v>376</v>
      </c>
      <c r="BQ201" s="140" t="s">
        <v>376</v>
      </c>
      <c r="BR201" s="175"/>
      <c r="BS201" s="142" t="s">
        <v>377</v>
      </c>
    </row>
    <row r="202" customHeight="1" spans="1:71">
      <c r="A202" s="142" t="s">
        <v>86</v>
      </c>
      <c r="B202" s="127" t="s">
        <v>29</v>
      </c>
      <c r="C202" s="127"/>
      <c r="D202" s="172" t="s">
        <v>441</v>
      </c>
      <c r="E202" s="132">
        <v>62</v>
      </c>
      <c r="F202" s="130">
        <v>89.99</v>
      </c>
      <c r="G202" s="133">
        <f t="shared" si="190"/>
        <v>76.4915</v>
      </c>
      <c r="H202" s="133">
        <f t="shared" si="191"/>
        <v>63.7429166666667</v>
      </c>
      <c r="I202" s="133">
        <f t="shared" si="192"/>
        <v>5.92666273352999</v>
      </c>
      <c r="J202" s="134">
        <f t="shared" si="193"/>
        <v>0.095591334411774</v>
      </c>
      <c r="K202" s="131">
        <f t="shared" si="194"/>
        <v>74.9916666666667</v>
      </c>
      <c r="L202" s="174">
        <f t="shared" si="195"/>
        <v>0.173241471274586</v>
      </c>
      <c r="M202" s="133">
        <f t="shared" si="196"/>
        <v>12.9916666666667</v>
      </c>
      <c r="N202" s="131">
        <f t="shared" si="197"/>
        <v>179.29203539823</v>
      </c>
      <c r="O202" s="131">
        <f t="shared" si="198"/>
        <v>2.2375</v>
      </c>
      <c r="P202" s="127">
        <v>4</v>
      </c>
      <c r="Q202" s="136">
        <v>9</v>
      </c>
      <c r="R202" s="137">
        <f t="shared" si="199"/>
        <v>0.161290322580645</v>
      </c>
      <c r="S202" s="134">
        <f>Y202/H202</f>
        <v>0.156880176228731</v>
      </c>
      <c r="T202" s="137">
        <f t="shared" si="200"/>
        <v>0.217717741935484</v>
      </c>
      <c r="U202" s="137">
        <v>0.01</v>
      </c>
      <c r="V202" s="137">
        <f t="shared" si="201"/>
        <v>0.321311891394678</v>
      </c>
      <c r="W202" s="137">
        <f t="shared" si="202"/>
        <v>0.0360887096774194</v>
      </c>
      <c r="X202" s="135">
        <v>0.158</v>
      </c>
      <c r="Y202" s="138">
        <v>10</v>
      </c>
      <c r="Z202" s="138">
        <f>F202*0.15</f>
        <v>13.4985</v>
      </c>
      <c r="AA202" s="138">
        <f t="shared" si="203"/>
        <v>0.62</v>
      </c>
      <c r="AB202" s="131">
        <f t="shared" si="204"/>
        <v>9.796</v>
      </c>
      <c r="AC202" s="131">
        <v>180</v>
      </c>
      <c r="AD202" s="139">
        <f t="shared" si="205"/>
        <v>159.29203539823</v>
      </c>
      <c r="AE202" s="136">
        <f t="shared" si="206"/>
        <v>2.22222222222222</v>
      </c>
      <c r="AF202" s="137">
        <f t="shared" si="207"/>
        <v>0.285469597487868</v>
      </c>
      <c r="AG202" s="137">
        <f t="shared" si="208"/>
        <v>0.03584229390681</v>
      </c>
      <c r="AH202" s="136">
        <v>20</v>
      </c>
      <c r="AI202" s="137">
        <f t="shared" si="209"/>
        <v>0.181022728015531</v>
      </c>
      <c r="AJ202" s="137"/>
      <c r="AK202" s="137"/>
      <c r="AL202" s="137"/>
      <c r="AM202" s="137"/>
      <c r="AN202" s="137"/>
      <c r="AO202" s="137"/>
      <c r="AP202" s="137"/>
      <c r="AQ202" s="137"/>
      <c r="AR202" s="137"/>
      <c r="AS202" s="137"/>
      <c r="AT202" s="140" t="s">
        <v>376</v>
      </c>
      <c r="AU202" s="140" t="s">
        <v>376</v>
      </c>
      <c r="AV202" s="140" t="s">
        <v>376</v>
      </c>
      <c r="AW202" s="140" t="s">
        <v>376</v>
      </c>
      <c r="AX202" s="140" t="s">
        <v>376</v>
      </c>
      <c r="AY202" s="140" t="s">
        <v>376</v>
      </c>
      <c r="AZ202" s="140" t="s">
        <v>376</v>
      </c>
      <c r="BA202" s="140" t="s">
        <v>376</v>
      </c>
      <c r="BB202" s="140" t="s">
        <v>376</v>
      </c>
      <c r="BC202" s="140" t="s">
        <v>376</v>
      </c>
      <c r="BD202" s="140" t="s">
        <v>376</v>
      </c>
      <c r="BE202" s="140" t="s">
        <v>376</v>
      </c>
      <c r="BF202" s="140" t="s">
        <v>376</v>
      </c>
      <c r="BG202" s="140" t="s">
        <v>376</v>
      </c>
      <c r="BH202" s="140" t="s">
        <v>376</v>
      </c>
      <c r="BI202" s="140" t="s">
        <v>376</v>
      </c>
      <c r="BJ202" s="140" t="s">
        <v>376</v>
      </c>
      <c r="BK202" s="140" t="s">
        <v>376</v>
      </c>
      <c r="BL202" s="140" t="s">
        <v>376</v>
      </c>
      <c r="BM202" s="140" t="s">
        <v>376</v>
      </c>
      <c r="BN202" s="140" t="s">
        <v>376</v>
      </c>
      <c r="BO202" s="140" t="s">
        <v>376</v>
      </c>
      <c r="BP202" s="140" t="s">
        <v>376</v>
      </c>
      <c r="BQ202" s="140" t="s">
        <v>376</v>
      </c>
      <c r="BR202" s="175"/>
      <c r="BS202" s="142" t="s">
        <v>377</v>
      </c>
    </row>
    <row r="203" customHeight="1" spans="1:71">
      <c r="A203" s="127" t="s">
        <v>280</v>
      </c>
      <c r="B203" s="127" t="s">
        <v>27</v>
      </c>
      <c r="C203" s="127"/>
      <c r="D203" s="172" t="s">
        <v>438</v>
      </c>
      <c r="E203" s="132">
        <v>62</v>
      </c>
      <c r="F203" s="130">
        <v>89.99</v>
      </c>
      <c r="G203" s="133">
        <f t="shared" si="190"/>
        <v>89.99</v>
      </c>
      <c r="H203" s="133">
        <f t="shared" si="191"/>
        <v>74.9916666666667</v>
      </c>
      <c r="I203" s="133">
        <f t="shared" si="192"/>
        <v>16.5219955752212</v>
      </c>
      <c r="J203" s="134">
        <f t="shared" si="193"/>
        <v>0.266483799600343</v>
      </c>
      <c r="K203" s="131">
        <f t="shared" si="194"/>
        <v>74.9916666666667</v>
      </c>
      <c r="L203" s="174">
        <f t="shared" si="195"/>
        <v>0.173241471274586</v>
      </c>
      <c r="M203" s="133">
        <f t="shared" si="196"/>
        <v>12.9916666666667</v>
      </c>
      <c r="N203" s="131">
        <f t="shared" si="197"/>
        <v>179.29203539823</v>
      </c>
      <c r="O203" s="131">
        <f t="shared" si="198"/>
        <v>1.9375</v>
      </c>
      <c r="P203" s="127">
        <v>4</v>
      </c>
      <c r="Q203" s="136">
        <v>8</v>
      </c>
      <c r="R203" s="137">
        <f t="shared" si="199"/>
        <v>0.161290322580645</v>
      </c>
      <c r="S203" s="134">
        <f t="shared" ref="S203:S222" si="210">Y203/F203</f>
        <v>0.111123458162018</v>
      </c>
      <c r="T203" s="137">
        <f t="shared" si="200"/>
        <v>0</v>
      </c>
      <c r="U203" s="137">
        <v>0.01</v>
      </c>
      <c r="V203" s="137">
        <f t="shared" si="201"/>
        <v>0.361475877819012</v>
      </c>
      <c r="W203" s="137">
        <f t="shared" si="202"/>
        <v>0.03125</v>
      </c>
      <c r="X203" s="135">
        <v>0.1695</v>
      </c>
      <c r="Y203" s="138">
        <v>10</v>
      </c>
      <c r="Z203" s="138">
        <v>0</v>
      </c>
      <c r="AA203" s="138">
        <f t="shared" si="203"/>
        <v>0.62</v>
      </c>
      <c r="AB203" s="131">
        <f t="shared" si="204"/>
        <v>10.509</v>
      </c>
      <c r="AC203" s="131">
        <v>180</v>
      </c>
      <c r="AD203" s="139">
        <f t="shared" si="205"/>
        <v>159.29203539823</v>
      </c>
      <c r="AE203" s="136">
        <f t="shared" si="206"/>
        <v>2.5</v>
      </c>
      <c r="AF203" s="137">
        <f t="shared" si="207"/>
        <v>0.321153297173851</v>
      </c>
      <c r="AG203" s="137">
        <f t="shared" si="208"/>
        <v>0.0403225806451613</v>
      </c>
      <c r="AH203" s="136">
        <v>20</v>
      </c>
      <c r="AI203" s="137">
        <f t="shared" si="209"/>
        <v>0.313377041893544</v>
      </c>
      <c r="AJ203" s="137"/>
      <c r="AK203" s="137"/>
      <c r="AL203" s="137"/>
      <c r="AM203" s="137"/>
      <c r="AN203" s="140"/>
      <c r="AO203" s="140"/>
      <c r="AP203" s="140"/>
      <c r="AQ203" s="140"/>
      <c r="AR203" s="140"/>
      <c r="AS203" s="140"/>
      <c r="AT203" s="140" t="s">
        <v>376</v>
      </c>
      <c r="AU203" s="140" t="s">
        <v>376</v>
      </c>
      <c r="AV203" s="140" t="s">
        <v>376</v>
      </c>
      <c r="AW203" s="140" t="s">
        <v>376</v>
      </c>
      <c r="AX203" s="140" t="s">
        <v>376</v>
      </c>
      <c r="AY203" s="140" t="s">
        <v>376</v>
      </c>
      <c r="AZ203" s="140" t="s">
        <v>376</v>
      </c>
      <c r="BA203" s="140" t="s">
        <v>376</v>
      </c>
      <c r="BB203" s="140" t="s">
        <v>376</v>
      </c>
      <c r="BC203" s="140" t="s">
        <v>376</v>
      </c>
      <c r="BD203" s="140" t="s">
        <v>376</v>
      </c>
      <c r="BE203" s="140" t="s">
        <v>376</v>
      </c>
      <c r="BF203" s="140" t="s">
        <v>376</v>
      </c>
      <c r="BG203" s="140" t="s">
        <v>376</v>
      </c>
      <c r="BH203" s="140" t="s">
        <v>376</v>
      </c>
      <c r="BI203" s="140" t="s">
        <v>376</v>
      </c>
      <c r="BJ203" s="140" t="s">
        <v>376</v>
      </c>
      <c r="BK203" s="140" t="s">
        <v>376</v>
      </c>
      <c r="BL203" s="140" t="s">
        <v>376</v>
      </c>
      <c r="BM203" s="140" t="s">
        <v>376</v>
      </c>
      <c r="BN203" s="140" t="s">
        <v>376</v>
      </c>
      <c r="BO203" s="140" t="s">
        <v>376</v>
      </c>
      <c r="BP203" s="140" t="s">
        <v>376</v>
      </c>
      <c r="BQ203" s="140" t="s">
        <v>376</v>
      </c>
      <c r="BR203" s="175"/>
      <c r="BS203" s="142" t="s">
        <v>377</v>
      </c>
    </row>
    <row r="204" customHeight="1" spans="1:71">
      <c r="A204" s="127" t="s">
        <v>280</v>
      </c>
      <c r="B204" s="127" t="s">
        <v>27</v>
      </c>
      <c r="C204" s="127"/>
      <c r="D204" s="172" t="s">
        <v>439</v>
      </c>
      <c r="E204" s="132">
        <v>62</v>
      </c>
      <c r="F204" s="130">
        <v>89.99</v>
      </c>
      <c r="G204" s="133">
        <f t="shared" si="190"/>
        <v>85.4905</v>
      </c>
      <c r="H204" s="133">
        <f t="shared" si="191"/>
        <v>71.2420833333333</v>
      </c>
      <c r="I204" s="176">
        <f t="shared" si="192"/>
        <v>12.0224955752212</v>
      </c>
      <c r="J204" s="134">
        <f t="shared" si="193"/>
        <v>0.193911218955181</v>
      </c>
      <c r="K204" s="131">
        <f t="shared" si="194"/>
        <v>74.9916666666667</v>
      </c>
      <c r="L204" s="174">
        <f t="shared" si="195"/>
        <v>0.173241471274586</v>
      </c>
      <c r="M204" s="133">
        <f t="shared" si="196"/>
        <v>12.9916666666667</v>
      </c>
      <c r="N204" s="131">
        <f t="shared" si="197"/>
        <v>179.29203539823</v>
      </c>
      <c r="O204" s="131">
        <f t="shared" si="198"/>
        <v>1.9375</v>
      </c>
      <c r="P204" s="127">
        <v>4</v>
      </c>
      <c r="Q204" s="136">
        <v>8</v>
      </c>
      <c r="R204" s="137">
        <f t="shared" si="199"/>
        <v>0.161290322580645</v>
      </c>
      <c r="S204" s="134">
        <f t="shared" si="210"/>
        <v>0.111123458162018</v>
      </c>
      <c r="T204" s="137">
        <f t="shared" si="200"/>
        <v>0.0725725806451613</v>
      </c>
      <c r="U204" s="137">
        <v>0.01</v>
      </c>
      <c r="V204" s="137">
        <f t="shared" si="201"/>
        <v>0.361475877819012</v>
      </c>
      <c r="W204" s="137">
        <f t="shared" si="202"/>
        <v>0.03125</v>
      </c>
      <c r="X204" s="135">
        <v>0.1695</v>
      </c>
      <c r="Y204" s="138">
        <v>10</v>
      </c>
      <c r="Z204" s="138">
        <f>F204*0.05</f>
        <v>4.4995</v>
      </c>
      <c r="AA204" s="138">
        <f t="shared" si="203"/>
        <v>0.62</v>
      </c>
      <c r="AB204" s="131">
        <f t="shared" si="204"/>
        <v>10.509</v>
      </c>
      <c r="AC204" s="131">
        <v>180</v>
      </c>
      <c r="AD204" s="139">
        <f t="shared" si="205"/>
        <v>159.29203539823</v>
      </c>
      <c r="AE204" s="136">
        <f t="shared" si="206"/>
        <v>2.5</v>
      </c>
      <c r="AF204" s="137">
        <f t="shared" si="207"/>
        <v>0.321153297173851</v>
      </c>
      <c r="AG204" s="137">
        <f t="shared" si="208"/>
        <v>0.0403225806451613</v>
      </c>
      <c r="AH204" s="136">
        <v>20</v>
      </c>
      <c r="AI204" s="137">
        <f t="shared" si="209"/>
        <v>0.277238991466888</v>
      </c>
      <c r="AJ204" s="137"/>
      <c r="AK204" s="137"/>
      <c r="AL204" s="137"/>
      <c r="AM204" s="137"/>
      <c r="AN204" s="140"/>
      <c r="AO204" s="140"/>
      <c r="AP204" s="140"/>
      <c r="AQ204" s="140"/>
      <c r="AR204" s="140"/>
      <c r="AS204" s="140"/>
      <c r="AT204" s="140" t="s">
        <v>376</v>
      </c>
      <c r="AU204" s="140" t="s">
        <v>376</v>
      </c>
      <c r="AV204" s="140" t="s">
        <v>376</v>
      </c>
      <c r="AW204" s="140" t="s">
        <v>376</v>
      </c>
      <c r="AX204" s="140" t="s">
        <v>376</v>
      </c>
      <c r="AY204" s="140" t="s">
        <v>376</v>
      </c>
      <c r="AZ204" s="140" t="s">
        <v>376</v>
      </c>
      <c r="BA204" s="140" t="s">
        <v>376</v>
      </c>
      <c r="BB204" s="140" t="s">
        <v>376</v>
      </c>
      <c r="BC204" s="140" t="s">
        <v>376</v>
      </c>
      <c r="BD204" s="140" t="s">
        <v>376</v>
      </c>
      <c r="BE204" s="140" t="s">
        <v>376</v>
      </c>
      <c r="BF204" s="140" t="s">
        <v>376</v>
      </c>
      <c r="BG204" s="140" t="s">
        <v>376</v>
      </c>
      <c r="BH204" s="140" t="s">
        <v>376</v>
      </c>
      <c r="BI204" s="140" t="s">
        <v>376</v>
      </c>
      <c r="BJ204" s="140" t="s">
        <v>376</v>
      </c>
      <c r="BK204" s="140" t="s">
        <v>376</v>
      </c>
      <c r="BL204" s="140" t="s">
        <v>376</v>
      </c>
      <c r="BM204" s="140" t="s">
        <v>376</v>
      </c>
      <c r="BN204" s="140" t="s">
        <v>376</v>
      </c>
      <c r="BO204" s="140" t="s">
        <v>376</v>
      </c>
      <c r="BP204" s="140" t="s">
        <v>376</v>
      </c>
      <c r="BQ204" s="140" t="s">
        <v>376</v>
      </c>
      <c r="BR204" s="175"/>
      <c r="BS204" s="142" t="s">
        <v>377</v>
      </c>
    </row>
    <row r="205" customHeight="1" spans="1:71">
      <c r="A205" s="127" t="s">
        <v>280</v>
      </c>
      <c r="B205" s="127" t="s">
        <v>27</v>
      </c>
      <c r="C205" s="127"/>
      <c r="D205" s="172" t="s">
        <v>440</v>
      </c>
      <c r="E205" s="132">
        <v>62</v>
      </c>
      <c r="F205" s="130">
        <v>89.99</v>
      </c>
      <c r="G205" s="133">
        <f t="shared" si="190"/>
        <v>80.991</v>
      </c>
      <c r="H205" s="133">
        <f t="shared" si="191"/>
        <v>67.4925</v>
      </c>
      <c r="I205" s="133">
        <f t="shared" si="192"/>
        <v>7.52299557522124</v>
      </c>
      <c r="J205" s="134">
        <f t="shared" si="193"/>
        <v>0.12133863831002</v>
      </c>
      <c r="K205" s="131">
        <f t="shared" si="194"/>
        <v>74.9916666666667</v>
      </c>
      <c r="L205" s="174">
        <f t="shared" si="195"/>
        <v>0.173241471274586</v>
      </c>
      <c r="M205" s="133">
        <f t="shared" si="196"/>
        <v>12.9916666666667</v>
      </c>
      <c r="N205" s="131">
        <f t="shared" si="197"/>
        <v>179.29203539823</v>
      </c>
      <c r="O205" s="131">
        <f t="shared" si="198"/>
        <v>1.9375</v>
      </c>
      <c r="P205" s="127">
        <v>4</v>
      </c>
      <c r="Q205" s="136">
        <v>8</v>
      </c>
      <c r="R205" s="137">
        <f t="shared" si="199"/>
        <v>0.161290322580645</v>
      </c>
      <c r="S205" s="134">
        <f t="shared" si="210"/>
        <v>0.111123458162018</v>
      </c>
      <c r="T205" s="137">
        <f t="shared" si="200"/>
        <v>0.145145161290323</v>
      </c>
      <c r="U205" s="137">
        <v>0.01</v>
      </c>
      <c r="V205" s="137">
        <f t="shared" si="201"/>
        <v>0.361475877819012</v>
      </c>
      <c r="W205" s="137">
        <f t="shared" si="202"/>
        <v>0.03125</v>
      </c>
      <c r="X205" s="135">
        <v>0.1695</v>
      </c>
      <c r="Y205" s="138">
        <v>10</v>
      </c>
      <c r="Z205" s="138">
        <f>F205*0.1</f>
        <v>8.999</v>
      </c>
      <c r="AA205" s="138">
        <f t="shared" si="203"/>
        <v>0.62</v>
      </c>
      <c r="AB205" s="131">
        <f t="shared" si="204"/>
        <v>10.509</v>
      </c>
      <c r="AC205" s="131">
        <v>180</v>
      </c>
      <c r="AD205" s="139">
        <f t="shared" si="205"/>
        <v>159.29203539823</v>
      </c>
      <c r="AE205" s="136">
        <f t="shared" si="206"/>
        <v>2.5</v>
      </c>
      <c r="AF205" s="137">
        <f t="shared" si="207"/>
        <v>0.321153297173851</v>
      </c>
      <c r="AG205" s="137">
        <f t="shared" si="208"/>
        <v>0.0403225806451613</v>
      </c>
      <c r="AH205" s="136">
        <v>20</v>
      </c>
      <c r="AI205" s="137">
        <f t="shared" si="209"/>
        <v>0.237085602103938</v>
      </c>
      <c r="AJ205" s="137"/>
      <c r="AK205" s="137"/>
      <c r="AL205" s="137"/>
      <c r="AM205" s="137"/>
      <c r="AN205" s="140"/>
      <c r="AO205" s="140"/>
      <c r="AP205" s="140"/>
      <c r="AQ205" s="140"/>
      <c r="AR205" s="140"/>
      <c r="AS205" s="140"/>
      <c r="AT205" s="140" t="s">
        <v>376</v>
      </c>
      <c r="AU205" s="140" t="s">
        <v>376</v>
      </c>
      <c r="AV205" s="140" t="s">
        <v>376</v>
      </c>
      <c r="AW205" s="140" t="s">
        <v>376</v>
      </c>
      <c r="AX205" s="140" t="s">
        <v>376</v>
      </c>
      <c r="AY205" s="140" t="s">
        <v>376</v>
      </c>
      <c r="AZ205" s="140" t="s">
        <v>376</v>
      </c>
      <c r="BA205" s="140" t="s">
        <v>376</v>
      </c>
      <c r="BB205" s="140" t="s">
        <v>376</v>
      </c>
      <c r="BC205" s="140" t="s">
        <v>376</v>
      </c>
      <c r="BD205" s="140" t="s">
        <v>376</v>
      </c>
      <c r="BE205" s="140" t="s">
        <v>376</v>
      </c>
      <c r="BF205" s="140" t="s">
        <v>376</v>
      </c>
      <c r="BG205" s="140" t="s">
        <v>376</v>
      </c>
      <c r="BH205" s="140" t="s">
        <v>376</v>
      </c>
      <c r="BI205" s="140" t="s">
        <v>376</v>
      </c>
      <c r="BJ205" s="140" t="s">
        <v>376</v>
      </c>
      <c r="BK205" s="140" t="s">
        <v>376</v>
      </c>
      <c r="BL205" s="140" t="s">
        <v>376</v>
      </c>
      <c r="BM205" s="140" t="s">
        <v>376</v>
      </c>
      <c r="BN205" s="140" t="s">
        <v>376</v>
      </c>
      <c r="BO205" s="140" t="s">
        <v>376</v>
      </c>
      <c r="BP205" s="140" t="s">
        <v>376</v>
      </c>
      <c r="BQ205" s="140" t="s">
        <v>376</v>
      </c>
      <c r="BR205" s="175"/>
      <c r="BS205" s="142" t="s">
        <v>377</v>
      </c>
    </row>
    <row r="206" customHeight="1" spans="1:71">
      <c r="A206" s="127" t="s">
        <v>280</v>
      </c>
      <c r="B206" s="127" t="s">
        <v>27</v>
      </c>
      <c r="C206" s="127"/>
      <c r="D206" s="172" t="s">
        <v>441</v>
      </c>
      <c r="E206" s="132">
        <v>62</v>
      </c>
      <c r="F206" s="130">
        <v>89.99</v>
      </c>
      <c r="G206" s="133">
        <f t="shared" si="190"/>
        <v>76.4915</v>
      </c>
      <c r="H206" s="133">
        <f t="shared" si="191"/>
        <v>63.7429166666667</v>
      </c>
      <c r="I206" s="133">
        <f t="shared" si="192"/>
        <v>3.02349557522124</v>
      </c>
      <c r="J206" s="134">
        <f t="shared" si="193"/>
        <v>0.0487660576648587</v>
      </c>
      <c r="K206" s="131">
        <f t="shared" si="194"/>
        <v>74.9916666666667</v>
      </c>
      <c r="L206" s="174">
        <f t="shared" si="195"/>
        <v>0.173241471274586</v>
      </c>
      <c r="M206" s="133">
        <f t="shared" si="196"/>
        <v>12.9916666666667</v>
      </c>
      <c r="N206" s="131">
        <f t="shared" si="197"/>
        <v>179.29203539823</v>
      </c>
      <c r="O206" s="131">
        <f t="shared" si="198"/>
        <v>1.9375</v>
      </c>
      <c r="P206" s="127">
        <v>4</v>
      </c>
      <c r="Q206" s="136">
        <v>8</v>
      </c>
      <c r="R206" s="137">
        <f t="shared" si="199"/>
        <v>0.161290322580645</v>
      </c>
      <c r="S206" s="134">
        <f t="shared" si="210"/>
        <v>0.111123458162018</v>
      </c>
      <c r="T206" s="137">
        <f t="shared" si="200"/>
        <v>0.217717741935484</v>
      </c>
      <c r="U206" s="137">
        <v>0.01</v>
      </c>
      <c r="V206" s="137">
        <f t="shared" si="201"/>
        <v>0.361475877819012</v>
      </c>
      <c r="W206" s="137">
        <f t="shared" si="202"/>
        <v>0.03125</v>
      </c>
      <c r="X206" s="135">
        <v>0.1695</v>
      </c>
      <c r="Y206" s="138">
        <v>10</v>
      </c>
      <c r="Z206" s="138">
        <f>F206*0.15</f>
        <v>13.4985</v>
      </c>
      <c r="AA206" s="138">
        <f t="shared" si="203"/>
        <v>0.62</v>
      </c>
      <c r="AB206" s="131">
        <f t="shared" si="204"/>
        <v>10.509</v>
      </c>
      <c r="AC206" s="131">
        <v>180</v>
      </c>
      <c r="AD206" s="139">
        <f t="shared" si="205"/>
        <v>159.29203539823</v>
      </c>
      <c r="AE206" s="136">
        <f t="shared" si="206"/>
        <v>2.5</v>
      </c>
      <c r="AF206" s="137">
        <f t="shared" si="207"/>
        <v>0.321153297173851</v>
      </c>
      <c r="AG206" s="137">
        <f t="shared" si="208"/>
        <v>0.0403225806451613</v>
      </c>
      <c r="AH206" s="136">
        <v>20</v>
      </c>
      <c r="AI206" s="137">
        <f t="shared" si="209"/>
        <v>0.19220828458064</v>
      </c>
      <c r="AJ206" s="137"/>
      <c r="AK206" s="137"/>
      <c r="AL206" s="137"/>
      <c r="AM206" s="137"/>
      <c r="AN206" s="140"/>
      <c r="AO206" s="140"/>
      <c r="AP206" s="140"/>
      <c r="AQ206" s="140"/>
      <c r="AR206" s="140"/>
      <c r="AS206" s="140"/>
      <c r="AT206" s="140" t="s">
        <v>376</v>
      </c>
      <c r="AU206" s="140" t="s">
        <v>376</v>
      </c>
      <c r="AV206" s="140" t="s">
        <v>376</v>
      </c>
      <c r="AW206" s="140" t="s">
        <v>376</v>
      </c>
      <c r="AX206" s="140" t="s">
        <v>376</v>
      </c>
      <c r="AY206" s="140" t="s">
        <v>376</v>
      </c>
      <c r="AZ206" s="140" t="s">
        <v>376</v>
      </c>
      <c r="BA206" s="140" t="s">
        <v>376</v>
      </c>
      <c r="BB206" s="140" t="s">
        <v>376</v>
      </c>
      <c r="BC206" s="140" t="s">
        <v>376</v>
      </c>
      <c r="BD206" s="140" t="s">
        <v>376</v>
      </c>
      <c r="BE206" s="140" t="s">
        <v>376</v>
      </c>
      <c r="BF206" s="140" t="s">
        <v>376</v>
      </c>
      <c r="BG206" s="140" t="s">
        <v>376</v>
      </c>
      <c r="BH206" s="140" t="s">
        <v>376</v>
      </c>
      <c r="BI206" s="140" t="s">
        <v>376</v>
      </c>
      <c r="BJ206" s="140" t="s">
        <v>376</v>
      </c>
      <c r="BK206" s="140" t="s">
        <v>376</v>
      </c>
      <c r="BL206" s="140" t="s">
        <v>376</v>
      </c>
      <c r="BM206" s="140" t="s">
        <v>376</v>
      </c>
      <c r="BN206" s="140" t="s">
        <v>376</v>
      </c>
      <c r="BO206" s="140" t="s">
        <v>376</v>
      </c>
      <c r="BP206" s="140" t="s">
        <v>376</v>
      </c>
      <c r="BQ206" s="140" t="s">
        <v>376</v>
      </c>
      <c r="BR206" s="175"/>
      <c r="BS206" s="142" t="s">
        <v>377</v>
      </c>
    </row>
    <row r="207" customHeight="1" spans="1:71">
      <c r="A207" s="127" t="s">
        <v>285</v>
      </c>
      <c r="B207" s="127" t="s">
        <v>27</v>
      </c>
      <c r="C207" s="127"/>
      <c r="D207" s="172" t="s">
        <v>438</v>
      </c>
      <c r="E207" s="132">
        <v>65</v>
      </c>
      <c r="F207" s="173">
        <v>94.99</v>
      </c>
      <c r="G207" s="133">
        <f t="shared" si="190"/>
        <v>94.99</v>
      </c>
      <c r="H207" s="133">
        <f t="shared" si="191"/>
        <v>79.1583333333333</v>
      </c>
      <c r="I207" s="133">
        <f t="shared" si="192"/>
        <v>15.5059955752212</v>
      </c>
      <c r="J207" s="134">
        <f t="shared" si="193"/>
        <v>0.238553778080327</v>
      </c>
      <c r="K207" s="131">
        <f t="shared" si="194"/>
        <v>79.1583333333333</v>
      </c>
      <c r="L207" s="174">
        <f t="shared" si="195"/>
        <v>0.178860932729761</v>
      </c>
      <c r="M207" s="133">
        <f t="shared" si="196"/>
        <v>14.1583333333333</v>
      </c>
      <c r="N207" s="131">
        <f t="shared" si="197"/>
        <v>179.29203539823</v>
      </c>
      <c r="O207" s="131">
        <f t="shared" si="198"/>
        <v>3.5625</v>
      </c>
      <c r="P207" s="127">
        <v>4</v>
      </c>
      <c r="Q207" s="136">
        <v>8</v>
      </c>
      <c r="R207" s="137">
        <f t="shared" si="199"/>
        <v>0.153846153846154</v>
      </c>
      <c r="S207" s="134">
        <f t="shared" si="210"/>
        <v>0.10527423939362</v>
      </c>
      <c r="T207" s="137">
        <f t="shared" si="200"/>
        <v>0</v>
      </c>
      <c r="U207" s="137">
        <v>0.01</v>
      </c>
      <c r="V207" s="137">
        <f t="shared" si="201"/>
        <v>0.344792375765827</v>
      </c>
      <c r="W207" s="137">
        <f t="shared" si="202"/>
        <v>0.0548076923076923</v>
      </c>
      <c r="X207" s="135">
        <v>0.198</v>
      </c>
      <c r="Y207" s="138">
        <v>10</v>
      </c>
      <c r="Z207" s="138">
        <v>0</v>
      </c>
      <c r="AA207" s="138">
        <f t="shared" si="203"/>
        <v>0.65</v>
      </c>
      <c r="AB207" s="131">
        <f t="shared" si="204"/>
        <v>12.87</v>
      </c>
      <c r="AC207" s="131">
        <v>180</v>
      </c>
      <c r="AD207" s="139">
        <f t="shared" si="205"/>
        <v>159.29203539823</v>
      </c>
      <c r="AE207" s="136">
        <f t="shared" si="206"/>
        <v>2.5</v>
      </c>
      <c r="AF207" s="137">
        <f t="shared" si="207"/>
        <v>0.306330837304289</v>
      </c>
      <c r="AG207" s="137">
        <f t="shared" si="208"/>
        <v>0.0384615384615385</v>
      </c>
      <c r="AH207" s="136">
        <v>20</v>
      </c>
      <c r="AI207" s="137">
        <f t="shared" si="209"/>
        <v>0.341446468049268</v>
      </c>
      <c r="AJ207" s="137"/>
      <c r="AK207" s="137"/>
      <c r="AL207" s="137"/>
      <c r="AM207" s="137"/>
      <c r="AN207" s="140"/>
      <c r="AO207" s="140"/>
      <c r="AP207" s="140"/>
      <c r="AQ207" s="140"/>
      <c r="AR207" s="140"/>
      <c r="AS207" s="140"/>
      <c r="AT207" s="140" t="s">
        <v>376</v>
      </c>
      <c r="AU207" s="140" t="s">
        <v>376</v>
      </c>
      <c r="AV207" s="140" t="s">
        <v>376</v>
      </c>
      <c r="AW207" s="140" t="s">
        <v>376</v>
      </c>
      <c r="AX207" s="140" t="s">
        <v>376</v>
      </c>
      <c r="AY207" s="140" t="s">
        <v>376</v>
      </c>
      <c r="AZ207" s="140" t="s">
        <v>376</v>
      </c>
      <c r="BA207" s="140" t="s">
        <v>376</v>
      </c>
      <c r="BB207" s="140" t="s">
        <v>376</v>
      </c>
      <c r="BC207" s="140" t="s">
        <v>376</v>
      </c>
      <c r="BD207" s="140" t="s">
        <v>376</v>
      </c>
      <c r="BE207" s="140" t="s">
        <v>376</v>
      </c>
      <c r="BF207" s="140" t="s">
        <v>376</v>
      </c>
      <c r="BG207" s="140" t="s">
        <v>376</v>
      </c>
      <c r="BH207" s="140" t="s">
        <v>376</v>
      </c>
      <c r="BI207" s="140" t="s">
        <v>376</v>
      </c>
      <c r="BJ207" s="140" t="s">
        <v>376</v>
      </c>
      <c r="BK207" s="140" t="s">
        <v>376</v>
      </c>
      <c r="BL207" s="140" t="s">
        <v>376</v>
      </c>
      <c r="BM207" s="140" t="s">
        <v>376</v>
      </c>
      <c r="BN207" s="140" t="s">
        <v>376</v>
      </c>
      <c r="BO207" s="140" t="s">
        <v>376</v>
      </c>
      <c r="BP207" s="140" t="s">
        <v>376</v>
      </c>
      <c r="BQ207" s="140" t="s">
        <v>376</v>
      </c>
      <c r="BR207" s="175"/>
      <c r="BS207" s="142" t="s">
        <v>377</v>
      </c>
    </row>
    <row r="208" customHeight="1" spans="1:71">
      <c r="A208" s="127" t="s">
        <v>285</v>
      </c>
      <c r="B208" s="127" t="s">
        <v>27</v>
      </c>
      <c r="C208" s="127"/>
      <c r="D208" s="172" t="s">
        <v>439</v>
      </c>
      <c r="E208" s="132">
        <v>65</v>
      </c>
      <c r="F208" s="130">
        <v>94.99</v>
      </c>
      <c r="G208" s="133">
        <f t="shared" si="190"/>
        <v>90.2405</v>
      </c>
      <c r="H208" s="133">
        <f t="shared" si="191"/>
        <v>75.2004166666667</v>
      </c>
      <c r="I208" s="176">
        <f t="shared" si="192"/>
        <v>10.7564955752212</v>
      </c>
      <c r="J208" s="134">
        <f t="shared" si="193"/>
        <v>0.165484547311096</v>
      </c>
      <c r="K208" s="131">
        <f t="shared" si="194"/>
        <v>79.1583333333333</v>
      </c>
      <c r="L208" s="174">
        <f t="shared" si="195"/>
        <v>0.178860932729761</v>
      </c>
      <c r="M208" s="133">
        <f t="shared" si="196"/>
        <v>14.1583333333333</v>
      </c>
      <c r="N208" s="131">
        <f t="shared" si="197"/>
        <v>179.29203539823</v>
      </c>
      <c r="O208" s="131">
        <f t="shared" si="198"/>
        <v>3.5625</v>
      </c>
      <c r="P208" s="127">
        <v>4</v>
      </c>
      <c r="Q208" s="136">
        <v>8</v>
      </c>
      <c r="R208" s="137">
        <f t="shared" si="199"/>
        <v>0.153846153846154</v>
      </c>
      <c r="S208" s="134">
        <f t="shared" si="210"/>
        <v>0.10527423939362</v>
      </c>
      <c r="T208" s="137">
        <f t="shared" si="200"/>
        <v>0.0730692307692308</v>
      </c>
      <c r="U208" s="137">
        <v>0.01</v>
      </c>
      <c r="V208" s="137">
        <f t="shared" si="201"/>
        <v>0.344792375765827</v>
      </c>
      <c r="W208" s="137">
        <f t="shared" si="202"/>
        <v>0.0548076923076923</v>
      </c>
      <c r="X208" s="135">
        <v>0.198</v>
      </c>
      <c r="Y208" s="138">
        <v>10</v>
      </c>
      <c r="Z208" s="138">
        <f>F208*0.05</f>
        <v>4.7495</v>
      </c>
      <c r="AA208" s="138">
        <f t="shared" si="203"/>
        <v>0.65</v>
      </c>
      <c r="AB208" s="131">
        <f t="shared" si="204"/>
        <v>12.87</v>
      </c>
      <c r="AC208" s="131">
        <v>180</v>
      </c>
      <c r="AD208" s="139">
        <f t="shared" si="205"/>
        <v>159.29203539823</v>
      </c>
      <c r="AE208" s="136">
        <f t="shared" si="206"/>
        <v>2.5</v>
      </c>
      <c r="AF208" s="137">
        <f t="shared" si="207"/>
        <v>0.306330837304289</v>
      </c>
      <c r="AG208" s="137">
        <f t="shared" si="208"/>
        <v>0.0384615384615385</v>
      </c>
      <c r="AH208" s="136">
        <v>20</v>
      </c>
      <c r="AI208" s="137">
        <f t="shared" si="209"/>
        <v>0.306785755841335</v>
      </c>
      <c r="AJ208" s="137"/>
      <c r="AK208" s="137"/>
      <c r="AL208" s="137"/>
      <c r="AM208" s="137"/>
      <c r="AN208" s="140"/>
      <c r="AO208" s="140"/>
      <c r="AP208" s="140"/>
      <c r="AQ208" s="140"/>
      <c r="AR208" s="140"/>
      <c r="AS208" s="140"/>
      <c r="AT208" s="140" t="s">
        <v>376</v>
      </c>
      <c r="AU208" s="140" t="s">
        <v>376</v>
      </c>
      <c r="AV208" s="140" t="s">
        <v>376</v>
      </c>
      <c r="AW208" s="140" t="s">
        <v>376</v>
      </c>
      <c r="AX208" s="140" t="s">
        <v>376</v>
      </c>
      <c r="AY208" s="140" t="s">
        <v>376</v>
      </c>
      <c r="AZ208" s="140" t="s">
        <v>376</v>
      </c>
      <c r="BA208" s="140" t="s">
        <v>376</v>
      </c>
      <c r="BB208" s="140" t="s">
        <v>376</v>
      </c>
      <c r="BC208" s="140" t="s">
        <v>376</v>
      </c>
      <c r="BD208" s="140" t="s">
        <v>376</v>
      </c>
      <c r="BE208" s="140" t="s">
        <v>376</v>
      </c>
      <c r="BF208" s="140" t="s">
        <v>376</v>
      </c>
      <c r="BG208" s="140" t="s">
        <v>376</v>
      </c>
      <c r="BH208" s="140" t="s">
        <v>376</v>
      </c>
      <c r="BI208" s="140" t="s">
        <v>376</v>
      </c>
      <c r="BJ208" s="140" t="s">
        <v>376</v>
      </c>
      <c r="BK208" s="140" t="s">
        <v>376</v>
      </c>
      <c r="BL208" s="140" t="s">
        <v>376</v>
      </c>
      <c r="BM208" s="140" t="s">
        <v>376</v>
      </c>
      <c r="BN208" s="140" t="s">
        <v>376</v>
      </c>
      <c r="BO208" s="140" t="s">
        <v>376</v>
      </c>
      <c r="BP208" s="140" t="s">
        <v>376</v>
      </c>
      <c r="BQ208" s="140" t="s">
        <v>376</v>
      </c>
      <c r="BR208" s="175"/>
      <c r="BS208" s="142" t="s">
        <v>377</v>
      </c>
    </row>
    <row r="209" customHeight="1" spans="1:71">
      <c r="A209" s="127" t="s">
        <v>285</v>
      </c>
      <c r="B209" s="127" t="s">
        <v>27</v>
      </c>
      <c r="C209" s="127"/>
      <c r="D209" s="172" t="s">
        <v>440</v>
      </c>
      <c r="E209" s="132">
        <v>65</v>
      </c>
      <c r="F209" s="130">
        <v>94.99</v>
      </c>
      <c r="G209" s="133">
        <f t="shared" si="190"/>
        <v>85.491</v>
      </c>
      <c r="H209" s="133">
        <f t="shared" si="191"/>
        <v>71.2425</v>
      </c>
      <c r="I209" s="133">
        <f t="shared" si="192"/>
        <v>6.00699557522124</v>
      </c>
      <c r="J209" s="134">
        <f t="shared" si="193"/>
        <v>0.0924153165418652</v>
      </c>
      <c r="K209" s="131">
        <f t="shared" si="194"/>
        <v>79.1583333333333</v>
      </c>
      <c r="L209" s="174">
        <f t="shared" si="195"/>
        <v>0.178860932729761</v>
      </c>
      <c r="M209" s="133">
        <f t="shared" si="196"/>
        <v>14.1583333333333</v>
      </c>
      <c r="N209" s="131">
        <f t="shared" si="197"/>
        <v>179.29203539823</v>
      </c>
      <c r="O209" s="131">
        <f t="shared" si="198"/>
        <v>3.5625</v>
      </c>
      <c r="P209" s="127">
        <v>4</v>
      </c>
      <c r="Q209" s="136">
        <v>8</v>
      </c>
      <c r="R209" s="137">
        <f t="shared" si="199"/>
        <v>0.153846153846154</v>
      </c>
      <c r="S209" s="134">
        <f t="shared" si="210"/>
        <v>0.10527423939362</v>
      </c>
      <c r="T209" s="137">
        <f t="shared" si="200"/>
        <v>0.146138461538462</v>
      </c>
      <c r="U209" s="137">
        <v>0.01</v>
      </c>
      <c r="V209" s="137">
        <f t="shared" si="201"/>
        <v>0.344792375765827</v>
      </c>
      <c r="W209" s="137">
        <f t="shared" si="202"/>
        <v>0.0548076923076923</v>
      </c>
      <c r="X209" s="135">
        <v>0.198</v>
      </c>
      <c r="Y209" s="138">
        <v>10</v>
      </c>
      <c r="Z209" s="138">
        <f>F209*0.1</f>
        <v>9.499</v>
      </c>
      <c r="AA209" s="138">
        <f t="shared" si="203"/>
        <v>0.65</v>
      </c>
      <c r="AB209" s="131">
        <f t="shared" si="204"/>
        <v>12.87</v>
      </c>
      <c r="AC209" s="131">
        <v>180</v>
      </c>
      <c r="AD209" s="139">
        <f t="shared" si="205"/>
        <v>159.29203539823</v>
      </c>
      <c r="AE209" s="136">
        <f t="shared" si="206"/>
        <v>2.5</v>
      </c>
      <c r="AF209" s="137">
        <f t="shared" si="207"/>
        <v>0.306330837304289</v>
      </c>
      <c r="AG209" s="137">
        <f t="shared" si="208"/>
        <v>0.0384615384615385</v>
      </c>
      <c r="AH209" s="136">
        <v>20</v>
      </c>
      <c r="AI209" s="137">
        <f t="shared" si="209"/>
        <v>0.268273853388076</v>
      </c>
      <c r="AJ209" s="137"/>
      <c r="AK209" s="137"/>
      <c r="AL209" s="137"/>
      <c r="AM209" s="137"/>
      <c r="AN209" s="140"/>
      <c r="AO209" s="140"/>
      <c r="AP209" s="140"/>
      <c r="AQ209" s="140"/>
      <c r="AR209" s="140"/>
      <c r="AS209" s="140"/>
      <c r="AT209" s="140" t="s">
        <v>376</v>
      </c>
      <c r="AU209" s="140" t="s">
        <v>376</v>
      </c>
      <c r="AV209" s="140" t="s">
        <v>376</v>
      </c>
      <c r="AW209" s="140" t="s">
        <v>376</v>
      </c>
      <c r="AX209" s="140" t="s">
        <v>376</v>
      </c>
      <c r="AY209" s="140" t="s">
        <v>376</v>
      </c>
      <c r="AZ209" s="140" t="s">
        <v>376</v>
      </c>
      <c r="BA209" s="140" t="s">
        <v>376</v>
      </c>
      <c r="BB209" s="140" t="s">
        <v>376</v>
      </c>
      <c r="BC209" s="140" t="s">
        <v>376</v>
      </c>
      <c r="BD209" s="140" t="s">
        <v>376</v>
      </c>
      <c r="BE209" s="140" t="s">
        <v>376</v>
      </c>
      <c r="BF209" s="140" t="s">
        <v>376</v>
      </c>
      <c r="BG209" s="140" t="s">
        <v>376</v>
      </c>
      <c r="BH209" s="140" t="s">
        <v>376</v>
      </c>
      <c r="BI209" s="140" t="s">
        <v>376</v>
      </c>
      <c r="BJ209" s="140" t="s">
        <v>376</v>
      </c>
      <c r="BK209" s="140" t="s">
        <v>376</v>
      </c>
      <c r="BL209" s="140" t="s">
        <v>376</v>
      </c>
      <c r="BM209" s="140" t="s">
        <v>376</v>
      </c>
      <c r="BN209" s="140" t="s">
        <v>376</v>
      </c>
      <c r="BO209" s="140" t="s">
        <v>376</v>
      </c>
      <c r="BP209" s="140" t="s">
        <v>376</v>
      </c>
      <c r="BQ209" s="140" t="s">
        <v>376</v>
      </c>
      <c r="BR209" s="175"/>
      <c r="BS209" s="142" t="s">
        <v>377</v>
      </c>
    </row>
    <row r="210" customHeight="1" spans="1:71">
      <c r="A210" s="127" t="s">
        <v>285</v>
      </c>
      <c r="B210" s="127" t="s">
        <v>27</v>
      </c>
      <c r="C210" s="127"/>
      <c r="D210" s="172" t="s">
        <v>441</v>
      </c>
      <c r="E210" s="132">
        <v>65</v>
      </c>
      <c r="F210" s="130">
        <v>94.99</v>
      </c>
      <c r="G210" s="133">
        <f t="shared" si="190"/>
        <v>80.7415</v>
      </c>
      <c r="H210" s="133">
        <f t="shared" si="191"/>
        <v>67.2845833333333</v>
      </c>
      <c r="I210" s="133">
        <f t="shared" si="192"/>
        <v>1.25749557522124</v>
      </c>
      <c r="J210" s="134">
        <f t="shared" si="193"/>
        <v>0.0193460857726344</v>
      </c>
      <c r="K210" s="131">
        <f t="shared" si="194"/>
        <v>79.1583333333333</v>
      </c>
      <c r="L210" s="174">
        <f t="shared" si="195"/>
        <v>0.178860932729761</v>
      </c>
      <c r="M210" s="133">
        <f t="shared" si="196"/>
        <v>14.1583333333333</v>
      </c>
      <c r="N210" s="131">
        <f t="shared" si="197"/>
        <v>179.29203539823</v>
      </c>
      <c r="O210" s="131">
        <f t="shared" si="198"/>
        <v>3.5625</v>
      </c>
      <c r="P210" s="127">
        <v>4</v>
      </c>
      <c r="Q210" s="136">
        <v>8</v>
      </c>
      <c r="R210" s="137">
        <f t="shared" si="199"/>
        <v>0.153846153846154</v>
      </c>
      <c r="S210" s="134">
        <f t="shared" si="210"/>
        <v>0.10527423939362</v>
      </c>
      <c r="T210" s="137">
        <f t="shared" si="200"/>
        <v>0.219207692307692</v>
      </c>
      <c r="U210" s="137">
        <v>0.01</v>
      </c>
      <c r="V210" s="137">
        <f t="shared" si="201"/>
        <v>0.344792375765827</v>
      </c>
      <c r="W210" s="137">
        <f t="shared" si="202"/>
        <v>0.0548076923076923</v>
      </c>
      <c r="X210" s="135">
        <v>0.198</v>
      </c>
      <c r="Y210" s="138">
        <v>10</v>
      </c>
      <c r="Z210" s="138">
        <f>F210*0.15</f>
        <v>14.2485</v>
      </c>
      <c r="AA210" s="138">
        <f t="shared" si="203"/>
        <v>0.65</v>
      </c>
      <c r="AB210" s="131">
        <f t="shared" si="204"/>
        <v>12.87</v>
      </c>
      <c r="AC210" s="131">
        <v>180</v>
      </c>
      <c r="AD210" s="139">
        <f t="shared" si="205"/>
        <v>159.29203539823</v>
      </c>
      <c r="AE210" s="136">
        <f t="shared" si="206"/>
        <v>2.5</v>
      </c>
      <c r="AF210" s="137">
        <f t="shared" si="207"/>
        <v>0.306330837304289</v>
      </c>
      <c r="AG210" s="137">
        <f t="shared" si="208"/>
        <v>0.0384615384615385</v>
      </c>
      <c r="AH210" s="136">
        <v>20</v>
      </c>
      <c r="AI210" s="137">
        <f t="shared" ref="AI210:AI222" si="211">(K210-E210+AB210)/(K210-Z210)</f>
        <v>0.4163981317674</v>
      </c>
      <c r="AJ210" s="137"/>
      <c r="AK210" s="137"/>
      <c r="AL210" s="137"/>
      <c r="AM210" s="137"/>
      <c r="AN210" s="140"/>
      <c r="AO210" s="140"/>
      <c r="AP210" s="140"/>
      <c r="AQ210" s="140"/>
      <c r="AR210" s="140"/>
      <c r="AS210" s="140"/>
      <c r="AT210" s="140" t="s">
        <v>376</v>
      </c>
      <c r="AU210" s="140" t="s">
        <v>376</v>
      </c>
      <c r="AV210" s="140" t="s">
        <v>376</v>
      </c>
      <c r="AW210" s="140" t="s">
        <v>376</v>
      </c>
      <c r="AX210" s="140" t="s">
        <v>376</v>
      </c>
      <c r="AY210" s="140" t="s">
        <v>376</v>
      </c>
      <c r="AZ210" s="140" t="s">
        <v>376</v>
      </c>
      <c r="BA210" s="140" t="s">
        <v>376</v>
      </c>
      <c r="BB210" s="140" t="s">
        <v>376</v>
      </c>
      <c r="BC210" s="140" t="s">
        <v>376</v>
      </c>
      <c r="BD210" s="140" t="s">
        <v>376</v>
      </c>
      <c r="BE210" s="140" t="s">
        <v>376</v>
      </c>
      <c r="BF210" s="140" t="s">
        <v>376</v>
      </c>
      <c r="BG210" s="140" t="s">
        <v>376</v>
      </c>
      <c r="BH210" s="140" t="s">
        <v>376</v>
      </c>
      <c r="BI210" s="140" t="s">
        <v>376</v>
      </c>
      <c r="BJ210" s="140" t="s">
        <v>376</v>
      </c>
      <c r="BK210" s="140" t="s">
        <v>376</v>
      </c>
      <c r="BL210" s="140" t="s">
        <v>376</v>
      </c>
      <c r="BM210" s="140" t="s">
        <v>376</v>
      </c>
      <c r="BN210" s="140" t="s">
        <v>376</v>
      </c>
      <c r="BO210" s="140" t="s">
        <v>376</v>
      </c>
      <c r="BP210" s="140" t="s">
        <v>376</v>
      </c>
      <c r="BQ210" s="140" t="s">
        <v>376</v>
      </c>
      <c r="BR210" s="175"/>
      <c r="BS210" s="142" t="s">
        <v>377</v>
      </c>
    </row>
    <row r="211" customHeight="1" spans="1:71">
      <c r="A211" s="127" t="s">
        <v>287</v>
      </c>
      <c r="B211" s="127" t="s">
        <v>27</v>
      </c>
      <c r="C211" s="127"/>
      <c r="D211" s="172" t="s">
        <v>438</v>
      </c>
      <c r="E211" s="132">
        <v>65</v>
      </c>
      <c r="F211" s="130">
        <v>94.99</v>
      </c>
      <c r="G211" s="133">
        <f t="shared" si="190"/>
        <v>94.99</v>
      </c>
      <c r="H211" s="133">
        <f t="shared" si="191"/>
        <v>79.1583333333333</v>
      </c>
      <c r="I211" s="133">
        <f t="shared" si="192"/>
        <v>16.1269955752212</v>
      </c>
      <c r="J211" s="134">
        <f t="shared" si="193"/>
        <v>0.248107624234173</v>
      </c>
      <c r="K211" s="131">
        <f t="shared" si="194"/>
        <v>79.1583333333333</v>
      </c>
      <c r="L211" s="174">
        <f t="shared" si="195"/>
        <v>0.178860932729761</v>
      </c>
      <c r="M211" s="133">
        <f t="shared" si="196"/>
        <v>14.1583333333333</v>
      </c>
      <c r="N211" s="131">
        <f t="shared" si="197"/>
        <v>179.29203539823</v>
      </c>
      <c r="O211" s="131">
        <f t="shared" si="198"/>
        <v>3.8125</v>
      </c>
      <c r="P211" s="127">
        <v>4</v>
      </c>
      <c r="Q211" s="136">
        <v>8</v>
      </c>
      <c r="R211" s="137">
        <f t="shared" si="199"/>
        <v>0.153846153846154</v>
      </c>
      <c r="S211" s="134">
        <f t="shared" si="210"/>
        <v>0.10527423939362</v>
      </c>
      <c r="T211" s="137">
        <f t="shared" si="200"/>
        <v>0</v>
      </c>
      <c r="U211" s="137">
        <v>0.01</v>
      </c>
      <c r="V211" s="137">
        <f t="shared" si="201"/>
        <v>0.344792375765827</v>
      </c>
      <c r="W211" s="137">
        <f t="shared" si="202"/>
        <v>0.0586538461538462</v>
      </c>
      <c r="X211" s="135">
        <v>0.1846</v>
      </c>
      <c r="Y211" s="138">
        <v>10</v>
      </c>
      <c r="Z211" s="138">
        <v>0</v>
      </c>
      <c r="AA211" s="138">
        <f t="shared" si="203"/>
        <v>0.65</v>
      </c>
      <c r="AB211" s="131">
        <f t="shared" si="204"/>
        <v>11.999</v>
      </c>
      <c r="AC211" s="131">
        <v>180</v>
      </c>
      <c r="AD211" s="139">
        <f t="shared" si="205"/>
        <v>159.29203539823</v>
      </c>
      <c r="AE211" s="136">
        <f t="shared" si="206"/>
        <v>2.5</v>
      </c>
      <c r="AF211" s="137">
        <f t="shared" si="207"/>
        <v>0.306330837304289</v>
      </c>
      <c r="AG211" s="137">
        <f t="shared" si="208"/>
        <v>0.0384615384615385</v>
      </c>
      <c r="AH211" s="136">
        <v>20</v>
      </c>
      <c r="AI211" s="134">
        <f t="shared" si="211"/>
        <v>0.330443204547847</v>
      </c>
      <c r="AJ211" s="134"/>
      <c r="AK211" s="134"/>
      <c r="AL211" s="134"/>
      <c r="AM211" s="134"/>
      <c r="AN211" s="140"/>
      <c r="AO211" s="140"/>
      <c r="AP211" s="140"/>
      <c r="AQ211" s="140"/>
      <c r="AR211" s="140"/>
      <c r="AS211" s="140"/>
      <c r="AT211" s="140" t="s">
        <v>376</v>
      </c>
      <c r="AU211" s="140" t="s">
        <v>376</v>
      </c>
      <c r="AV211" s="140" t="s">
        <v>376</v>
      </c>
      <c r="AW211" s="140" t="s">
        <v>376</v>
      </c>
      <c r="AX211" s="140" t="s">
        <v>376</v>
      </c>
      <c r="AY211" s="140" t="s">
        <v>376</v>
      </c>
      <c r="AZ211" s="140" t="s">
        <v>376</v>
      </c>
      <c r="BA211" s="140" t="s">
        <v>376</v>
      </c>
      <c r="BB211" s="140" t="s">
        <v>376</v>
      </c>
      <c r="BC211" s="140" t="s">
        <v>376</v>
      </c>
      <c r="BD211" s="140" t="s">
        <v>376</v>
      </c>
      <c r="BE211" s="140" t="s">
        <v>376</v>
      </c>
      <c r="BF211" s="140" t="s">
        <v>376</v>
      </c>
      <c r="BG211" s="140" t="s">
        <v>376</v>
      </c>
      <c r="BH211" s="140" t="s">
        <v>376</v>
      </c>
      <c r="BI211" s="140" t="s">
        <v>376</v>
      </c>
      <c r="BJ211" s="140" t="s">
        <v>376</v>
      </c>
      <c r="BK211" s="140" t="s">
        <v>376</v>
      </c>
      <c r="BL211" s="140" t="s">
        <v>376</v>
      </c>
      <c r="BM211" s="140" t="s">
        <v>376</v>
      </c>
      <c r="BN211" s="140" t="s">
        <v>376</v>
      </c>
      <c r="BO211" s="140" t="s">
        <v>376</v>
      </c>
      <c r="BP211" s="140" t="s">
        <v>376</v>
      </c>
      <c r="BQ211" s="140" t="s">
        <v>376</v>
      </c>
      <c r="BR211" s="175"/>
      <c r="BS211" s="142" t="s">
        <v>377</v>
      </c>
    </row>
    <row r="212" customHeight="1" spans="1:71">
      <c r="A212" s="127" t="s">
        <v>287</v>
      </c>
      <c r="B212" s="127" t="s">
        <v>27</v>
      </c>
      <c r="C212" s="127"/>
      <c r="D212" s="172" t="s">
        <v>439</v>
      </c>
      <c r="E212" s="132">
        <v>65</v>
      </c>
      <c r="F212" s="130">
        <v>94.99</v>
      </c>
      <c r="G212" s="133">
        <f t="shared" si="190"/>
        <v>90.2405</v>
      </c>
      <c r="H212" s="133">
        <f t="shared" si="191"/>
        <v>75.2004166666667</v>
      </c>
      <c r="I212" s="176">
        <f t="shared" si="192"/>
        <v>11.3774955752212</v>
      </c>
      <c r="J212" s="134">
        <f t="shared" si="193"/>
        <v>0.175038393464942</v>
      </c>
      <c r="K212" s="131">
        <f t="shared" si="194"/>
        <v>79.1583333333333</v>
      </c>
      <c r="L212" s="174">
        <f t="shared" si="195"/>
        <v>0.178860932729761</v>
      </c>
      <c r="M212" s="133">
        <f t="shared" si="196"/>
        <v>14.1583333333333</v>
      </c>
      <c r="N212" s="131">
        <f t="shared" si="197"/>
        <v>179.29203539823</v>
      </c>
      <c r="O212" s="131">
        <f t="shared" si="198"/>
        <v>3.8125</v>
      </c>
      <c r="P212" s="127">
        <v>4</v>
      </c>
      <c r="Q212" s="136">
        <v>8</v>
      </c>
      <c r="R212" s="137">
        <f t="shared" si="199"/>
        <v>0.153846153846154</v>
      </c>
      <c r="S212" s="134">
        <f t="shared" si="210"/>
        <v>0.10527423939362</v>
      </c>
      <c r="T212" s="137">
        <f t="shared" si="200"/>
        <v>0.0730692307692308</v>
      </c>
      <c r="U212" s="137">
        <v>0.01</v>
      </c>
      <c r="V212" s="137">
        <f t="shared" si="201"/>
        <v>0.344792375765827</v>
      </c>
      <c r="W212" s="137">
        <f t="shared" si="202"/>
        <v>0.0586538461538462</v>
      </c>
      <c r="X212" s="135">
        <v>0.1846</v>
      </c>
      <c r="Y212" s="138">
        <v>10</v>
      </c>
      <c r="Z212" s="138">
        <f>F212*0.05</f>
        <v>4.7495</v>
      </c>
      <c r="AA212" s="138">
        <f t="shared" si="203"/>
        <v>0.65</v>
      </c>
      <c r="AB212" s="131">
        <f t="shared" si="204"/>
        <v>11.999</v>
      </c>
      <c r="AC212" s="131">
        <v>180</v>
      </c>
      <c r="AD212" s="139">
        <f t="shared" si="205"/>
        <v>159.29203539823</v>
      </c>
      <c r="AE212" s="136">
        <f t="shared" si="206"/>
        <v>2.5</v>
      </c>
      <c r="AF212" s="137">
        <f t="shared" si="207"/>
        <v>0.306330837304289</v>
      </c>
      <c r="AG212" s="137">
        <f t="shared" si="208"/>
        <v>0.0384615384615385</v>
      </c>
      <c r="AH212" s="136">
        <v>20</v>
      </c>
      <c r="AI212" s="134">
        <f t="shared" si="211"/>
        <v>0.351535323987071</v>
      </c>
      <c r="AJ212" s="134"/>
      <c r="AK212" s="134"/>
      <c r="AL212" s="134"/>
      <c r="AM212" s="134"/>
      <c r="AN212" s="140"/>
      <c r="AO212" s="140"/>
      <c r="AP212" s="140"/>
      <c r="AQ212" s="140"/>
      <c r="AR212" s="140"/>
      <c r="AS212" s="140"/>
      <c r="AT212" s="140" t="s">
        <v>376</v>
      </c>
      <c r="AU212" s="140" t="s">
        <v>376</v>
      </c>
      <c r="AV212" s="140" t="s">
        <v>376</v>
      </c>
      <c r="AW212" s="140" t="s">
        <v>376</v>
      </c>
      <c r="AX212" s="140" t="s">
        <v>376</v>
      </c>
      <c r="AY212" s="140" t="s">
        <v>376</v>
      </c>
      <c r="AZ212" s="140" t="s">
        <v>376</v>
      </c>
      <c r="BA212" s="140" t="s">
        <v>376</v>
      </c>
      <c r="BB212" s="140" t="s">
        <v>376</v>
      </c>
      <c r="BC212" s="140" t="s">
        <v>376</v>
      </c>
      <c r="BD212" s="140" t="s">
        <v>376</v>
      </c>
      <c r="BE212" s="140" t="s">
        <v>376</v>
      </c>
      <c r="BF212" s="140" t="s">
        <v>376</v>
      </c>
      <c r="BG212" s="140" t="s">
        <v>376</v>
      </c>
      <c r="BH212" s="140" t="s">
        <v>376</v>
      </c>
      <c r="BI212" s="140" t="s">
        <v>376</v>
      </c>
      <c r="BJ212" s="140" t="s">
        <v>376</v>
      </c>
      <c r="BK212" s="140" t="s">
        <v>376</v>
      </c>
      <c r="BL212" s="140" t="s">
        <v>376</v>
      </c>
      <c r="BM212" s="140" t="s">
        <v>376</v>
      </c>
      <c r="BN212" s="140" t="s">
        <v>376</v>
      </c>
      <c r="BO212" s="140" t="s">
        <v>376</v>
      </c>
      <c r="BP212" s="140" t="s">
        <v>376</v>
      </c>
      <c r="BQ212" s="140" t="s">
        <v>376</v>
      </c>
      <c r="BR212" s="175"/>
      <c r="BS212" s="142" t="s">
        <v>377</v>
      </c>
    </row>
    <row r="213" customHeight="1" spans="1:71">
      <c r="A213" s="127" t="s">
        <v>287</v>
      </c>
      <c r="B213" s="127" t="s">
        <v>27</v>
      </c>
      <c r="C213" s="127"/>
      <c r="D213" s="172" t="s">
        <v>440</v>
      </c>
      <c r="E213" s="132">
        <v>65</v>
      </c>
      <c r="F213" s="130">
        <v>94.99</v>
      </c>
      <c r="G213" s="133">
        <f t="shared" si="190"/>
        <v>85.491</v>
      </c>
      <c r="H213" s="133">
        <f t="shared" si="191"/>
        <v>71.2425</v>
      </c>
      <c r="I213" s="133">
        <f t="shared" si="192"/>
        <v>6.62799557522124</v>
      </c>
      <c r="J213" s="134">
        <f t="shared" si="193"/>
        <v>0.101969162695711</v>
      </c>
      <c r="K213" s="131">
        <f t="shared" si="194"/>
        <v>79.1583333333333</v>
      </c>
      <c r="L213" s="174">
        <f t="shared" si="195"/>
        <v>0.178860932729761</v>
      </c>
      <c r="M213" s="133">
        <f t="shared" si="196"/>
        <v>14.1583333333333</v>
      </c>
      <c r="N213" s="131">
        <f t="shared" si="197"/>
        <v>179.29203539823</v>
      </c>
      <c r="O213" s="131">
        <f t="shared" si="198"/>
        <v>3.8125</v>
      </c>
      <c r="P213" s="127">
        <v>4</v>
      </c>
      <c r="Q213" s="136">
        <v>8</v>
      </c>
      <c r="R213" s="137">
        <f t="shared" si="199"/>
        <v>0.153846153846154</v>
      </c>
      <c r="S213" s="134">
        <f t="shared" si="210"/>
        <v>0.10527423939362</v>
      </c>
      <c r="T213" s="137">
        <f t="shared" si="200"/>
        <v>0.146138461538462</v>
      </c>
      <c r="U213" s="137">
        <v>0.01</v>
      </c>
      <c r="V213" s="137">
        <f t="shared" si="201"/>
        <v>0.344792375765827</v>
      </c>
      <c r="W213" s="137">
        <f t="shared" si="202"/>
        <v>0.0586538461538462</v>
      </c>
      <c r="X213" s="135">
        <v>0.1846</v>
      </c>
      <c r="Y213" s="138">
        <v>10</v>
      </c>
      <c r="Z213" s="138">
        <f>F213*0.1</f>
        <v>9.499</v>
      </c>
      <c r="AA213" s="138">
        <f t="shared" si="203"/>
        <v>0.65</v>
      </c>
      <c r="AB213" s="131">
        <f t="shared" si="204"/>
        <v>11.999</v>
      </c>
      <c r="AC213" s="131">
        <v>180</v>
      </c>
      <c r="AD213" s="139">
        <f t="shared" si="205"/>
        <v>159.29203539823</v>
      </c>
      <c r="AE213" s="136">
        <f t="shared" si="206"/>
        <v>2.5</v>
      </c>
      <c r="AF213" s="137">
        <f t="shared" si="207"/>
        <v>0.306330837304289</v>
      </c>
      <c r="AG213" s="137">
        <f t="shared" si="208"/>
        <v>0.0384615384615385</v>
      </c>
      <c r="AH213" s="136">
        <v>20</v>
      </c>
      <c r="AI213" s="134">
        <f t="shared" si="211"/>
        <v>0.375503641531644</v>
      </c>
      <c r="AJ213" s="134"/>
      <c r="AK213" s="134"/>
      <c r="AL213" s="134"/>
      <c r="AM213" s="134"/>
      <c r="AN213" s="140"/>
      <c r="AO213" s="140"/>
      <c r="AP213" s="140"/>
      <c r="AQ213" s="140"/>
      <c r="AR213" s="140"/>
      <c r="AS213" s="140"/>
      <c r="AT213" s="140" t="s">
        <v>376</v>
      </c>
      <c r="AU213" s="140" t="s">
        <v>376</v>
      </c>
      <c r="AV213" s="140" t="s">
        <v>376</v>
      </c>
      <c r="AW213" s="140" t="s">
        <v>376</v>
      </c>
      <c r="AX213" s="140" t="s">
        <v>376</v>
      </c>
      <c r="AY213" s="140" t="s">
        <v>376</v>
      </c>
      <c r="AZ213" s="140" t="s">
        <v>376</v>
      </c>
      <c r="BA213" s="140" t="s">
        <v>376</v>
      </c>
      <c r="BB213" s="140" t="s">
        <v>376</v>
      </c>
      <c r="BC213" s="140" t="s">
        <v>376</v>
      </c>
      <c r="BD213" s="140" t="s">
        <v>376</v>
      </c>
      <c r="BE213" s="140" t="s">
        <v>376</v>
      </c>
      <c r="BF213" s="140" t="s">
        <v>376</v>
      </c>
      <c r="BG213" s="140" t="s">
        <v>376</v>
      </c>
      <c r="BH213" s="140" t="s">
        <v>376</v>
      </c>
      <c r="BI213" s="140" t="s">
        <v>376</v>
      </c>
      <c r="BJ213" s="140" t="s">
        <v>376</v>
      </c>
      <c r="BK213" s="140" t="s">
        <v>376</v>
      </c>
      <c r="BL213" s="140" t="s">
        <v>376</v>
      </c>
      <c r="BM213" s="140" t="s">
        <v>376</v>
      </c>
      <c r="BN213" s="140" t="s">
        <v>376</v>
      </c>
      <c r="BO213" s="140" t="s">
        <v>376</v>
      </c>
      <c r="BP213" s="140" t="s">
        <v>376</v>
      </c>
      <c r="BQ213" s="140" t="s">
        <v>376</v>
      </c>
      <c r="BR213" s="175"/>
      <c r="BS213" s="142" t="s">
        <v>377</v>
      </c>
    </row>
    <row r="214" customHeight="1" spans="1:71">
      <c r="A214" s="127" t="s">
        <v>287</v>
      </c>
      <c r="B214" s="127" t="s">
        <v>27</v>
      </c>
      <c r="C214" s="127"/>
      <c r="D214" s="172" t="s">
        <v>441</v>
      </c>
      <c r="E214" s="132">
        <v>65</v>
      </c>
      <c r="F214" s="130">
        <v>94.99</v>
      </c>
      <c r="G214" s="133">
        <f t="shared" si="190"/>
        <v>80.7415</v>
      </c>
      <c r="H214" s="133">
        <f t="shared" si="191"/>
        <v>67.2845833333333</v>
      </c>
      <c r="I214" s="133">
        <f t="shared" si="192"/>
        <v>1.87849557522124</v>
      </c>
      <c r="J214" s="134">
        <f t="shared" si="193"/>
        <v>0.0288999319264806</v>
      </c>
      <c r="K214" s="131">
        <f t="shared" si="194"/>
        <v>79.1583333333333</v>
      </c>
      <c r="L214" s="174">
        <f t="shared" si="195"/>
        <v>0.178860932729761</v>
      </c>
      <c r="M214" s="133">
        <f t="shared" si="196"/>
        <v>14.1583333333333</v>
      </c>
      <c r="N214" s="131">
        <f t="shared" si="197"/>
        <v>179.29203539823</v>
      </c>
      <c r="O214" s="131">
        <f t="shared" si="198"/>
        <v>3.8125</v>
      </c>
      <c r="P214" s="127">
        <v>4</v>
      </c>
      <c r="Q214" s="136">
        <v>8</v>
      </c>
      <c r="R214" s="137">
        <f t="shared" si="199"/>
        <v>0.153846153846154</v>
      </c>
      <c r="S214" s="134">
        <f t="shared" si="210"/>
        <v>0.10527423939362</v>
      </c>
      <c r="T214" s="137">
        <f t="shared" si="200"/>
        <v>0.219207692307692</v>
      </c>
      <c r="U214" s="137">
        <v>0.01</v>
      </c>
      <c r="V214" s="137">
        <f t="shared" si="201"/>
        <v>0.344792375765827</v>
      </c>
      <c r="W214" s="137">
        <f t="shared" si="202"/>
        <v>0.0586538461538462</v>
      </c>
      <c r="X214" s="135">
        <v>0.1846</v>
      </c>
      <c r="Y214" s="138">
        <v>10</v>
      </c>
      <c r="Z214" s="138">
        <f>F214*0.15</f>
        <v>14.2485</v>
      </c>
      <c r="AA214" s="138">
        <f t="shared" si="203"/>
        <v>0.65</v>
      </c>
      <c r="AB214" s="131">
        <f t="shared" si="204"/>
        <v>11.999</v>
      </c>
      <c r="AC214" s="131">
        <v>180</v>
      </c>
      <c r="AD214" s="139">
        <f t="shared" si="205"/>
        <v>159.29203539823</v>
      </c>
      <c r="AE214" s="136">
        <f t="shared" si="206"/>
        <v>2.5</v>
      </c>
      <c r="AF214" s="137">
        <f t="shared" si="207"/>
        <v>0.306330837304289</v>
      </c>
      <c r="AG214" s="137">
        <f t="shared" si="208"/>
        <v>0.0384615384615385</v>
      </c>
      <c r="AH214" s="136">
        <v>20</v>
      </c>
      <c r="AI214" s="134">
        <f t="shared" si="211"/>
        <v>0.402979517741277</v>
      </c>
      <c r="AJ214" s="134"/>
      <c r="AK214" s="134"/>
      <c r="AL214" s="134"/>
      <c r="AM214" s="134"/>
      <c r="AN214" s="140"/>
      <c r="AO214" s="140"/>
      <c r="AP214" s="140"/>
      <c r="AQ214" s="140"/>
      <c r="AR214" s="140"/>
      <c r="AS214" s="140"/>
      <c r="AT214" s="140" t="s">
        <v>376</v>
      </c>
      <c r="AU214" s="140" t="s">
        <v>376</v>
      </c>
      <c r="AV214" s="140" t="s">
        <v>376</v>
      </c>
      <c r="AW214" s="140" t="s">
        <v>376</v>
      </c>
      <c r="AX214" s="140" t="s">
        <v>376</v>
      </c>
      <c r="AY214" s="140" t="s">
        <v>376</v>
      </c>
      <c r="AZ214" s="140" t="s">
        <v>376</v>
      </c>
      <c r="BA214" s="140" t="s">
        <v>376</v>
      </c>
      <c r="BB214" s="140" t="s">
        <v>376</v>
      </c>
      <c r="BC214" s="140" t="s">
        <v>376</v>
      </c>
      <c r="BD214" s="140" t="s">
        <v>376</v>
      </c>
      <c r="BE214" s="140" t="s">
        <v>376</v>
      </c>
      <c r="BF214" s="140" t="s">
        <v>376</v>
      </c>
      <c r="BG214" s="140" t="s">
        <v>376</v>
      </c>
      <c r="BH214" s="140" t="s">
        <v>376</v>
      </c>
      <c r="BI214" s="140" t="s">
        <v>376</v>
      </c>
      <c r="BJ214" s="140" t="s">
        <v>376</v>
      </c>
      <c r="BK214" s="140" t="s">
        <v>376</v>
      </c>
      <c r="BL214" s="140" t="s">
        <v>376</v>
      </c>
      <c r="BM214" s="140" t="s">
        <v>376</v>
      </c>
      <c r="BN214" s="140" t="s">
        <v>376</v>
      </c>
      <c r="BO214" s="140" t="s">
        <v>376</v>
      </c>
      <c r="BP214" s="140" t="s">
        <v>376</v>
      </c>
      <c r="BQ214" s="140" t="s">
        <v>376</v>
      </c>
      <c r="BR214" s="175"/>
      <c r="BS214" s="142" t="s">
        <v>377</v>
      </c>
    </row>
    <row r="215" customHeight="1" spans="1:71">
      <c r="A215" s="127" t="s">
        <v>290</v>
      </c>
      <c r="B215" s="127" t="s">
        <v>27</v>
      </c>
      <c r="C215" s="127"/>
      <c r="D215" s="172" t="s">
        <v>438</v>
      </c>
      <c r="E215" s="132">
        <v>65</v>
      </c>
      <c r="F215" s="130">
        <v>94.99</v>
      </c>
      <c r="G215" s="133">
        <f t="shared" si="190"/>
        <v>94.99</v>
      </c>
      <c r="H215" s="133">
        <f t="shared" si="191"/>
        <v>79.1583333333333</v>
      </c>
      <c r="I215" s="133">
        <f t="shared" si="192"/>
        <v>16.4269955752212</v>
      </c>
      <c r="J215" s="134">
        <f t="shared" si="193"/>
        <v>0.252723008849558</v>
      </c>
      <c r="K215" s="131">
        <f t="shared" si="194"/>
        <v>79.1583333333333</v>
      </c>
      <c r="L215" s="174">
        <f t="shared" si="195"/>
        <v>0.178860932729761</v>
      </c>
      <c r="M215" s="133">
        <f t="shared" si="196"/>
        <v>14.1583333333333</v>
      </c>
      <c r="N215" s="131">
        <f t="shared" si="197"/>
        <v>179.29203539823</v>
      </c>
      <c r="O215" s="131">
        <f t="shared" si="198"/>
        <v>4.8125</v>
      </c>
      <c r="P215" s="127">
        <v>4</v>
      </c>
      <c r="Q215" s="136">
        <v>8</v>
      </c>
      <c r="R215" s="137">
        <f t="shared" si="199"/>
        <v>0.153846153846154</v>
      </c>
      <c r="S215" s="134">
        <f t="shared" si="210"/>
        <v>0.10527423939362</v>
      </c>
      <c r="T215" s="137">
        <f t="shared" si="200"/>
        <v>0</v>
      </c>
      <c r="U215" s="137">
        <v>0.01</v>
      </c>
      <c r="V215" s="137">
        <f t="shared" si="201"/>
        <v>0.344792375765827</v>
      </c>
      <c r="W215" s="137">
        <f t="shared" si="202"/>
        <v>0.0740384615384615</v>
      </c>
      <c r="X215" s="135">
        <v>0.1646</v>
      </c>
      <c r="Y215" s="138">
        <v>10</v>
      </c>
      <c r="Z215" s="138">
        <v>0</v>
      </c>
      <c r="AA215" s="138">
        <f t="shared" si="203"/>
        <v>0.65</v>
      </c>
      <c r="AB215" s="131">
        <f t="shared" si="204"/>
        <v>10.699</v>
      </c>
      <c r="AC215" s="131">
        <v>180</v>
      </c>
      <c r="AD215" s="139">
        <f t="shared" si="205"/>
        <v>159.29203539823</v>
      </c>
      <c r="AE215" s="136">
        <f t="shared" si="206"/>
        <v>2.5</v>
      </c>
      <c r="AF215" s="137">
        <f t="shared" si="207"/>
        <v>0.306330837304289</v>
      </c>
      <c r="AG215" s="137">
        <f t="shared" si="208"/>
        <v>0.0384615384615385</v>
      </c>
      <c r="AH215" s="136">
        <v>20</v>
      </c>
      <c r="AI215" s="137">
        <f t="shared" si="211"/>
        <v>0.314020423202442</v>
      </c>
      <c r="AJ215" s="137"/>
      <c r="AK215" s="137"/>
      <c r="AL215" s="137"/>
      <c r="AM215" s="137"/>
      <c r="AN215" s="140"/>
      <c r="AO215" s="140"/>
      <c r="AP215" s="140"/>
      <c r="AQ215" s="140"/>
      <c r="AR215" s="140"/>
      <c r="AS215" s="140"/>
      <c r="AT215" s="140" t="s">
        <v>376</v>
      </c>
      <c r="AU215" s="140" t="s">
        <v>376</v>
      </c>
      <c r="AV215" s="140" t="s">
        <v>376</v>
      </c>
      <c r="AW215" s="140" t="s">
        <v>376</v>
      </c>
      <c r="AX215" s="140" t="s">
        <v>376</v>
      </c>
      <c r="AY215" s="140" t="s">
        <v>376</v>
      </c>
      <c r="AZ215" s="140" t="s">
        <v>376</v>
      </c>
      <c r="BA215" s="140" t="s">
        <v>376</v>
      </c>
      <c r="BB215" s="140" t="s">
        <v>376</v>
      </c>
      <c r="BC215" s="140" t="s">
        <v>376</v>
      </c>
      <c r="BD215" s="140" t="s">
        <v>376</v>
      </c>
      <c r="BE215" s="140" t="s">
        <v>376</v>
      </c>
      <c r="BF215" s="140" t="s">
        <v>376</v>
      </c>
      <c r="BG215" s="140" t="s">
        <v>376</v>
      </c>
      <c r="BH215" s="140" t="s">
        <v>376</v>
      </c>
      <c r="BI215" s="140" t="s">
        <v>376</v>
      </c>
      <c r="BJ215" s="140" t="s">
        <v>376</v>
      </c>
      <c r="BK215" s="140" t="s">
        <v>376</v>
      </c>
      <c r="BL215" s="140" t="s">
        <v>376</v>
      </c>
      <c r="BM215" s="140" t="s">
        <v>376</v>
      </c>
      <c r="BN215" s="140" t="s">
        <v>376</v>
      </c>
      <c r="BO215" s="140" t="s">
        <v>376</v>
      </c>
      <c r="BP215" s="140" t="s">
        <v>376</v>
      </c>
      <c r="BQ215" s="140" t="s">
        <v>376</v>
      </c>
      <c r="BR215" s="175"/>
      <c r="BS215" s="142" t="s">
        <v>377</v>
      </c>
    </row>
    <row r="216" customHeight="1" spans="1:71">
      <c r="A216" s="127" t="s">
        <v>290</v>
      </c>
      <c r="B216" s="127" t="s">
        <v>27</v>
      </c>
      <c r="C216" s="127"/>
      <c r="D216" s="172" t="s">
        <v>439</v>
      </c>
      <c r="E216" s="132">
        <v>65</v>
      </c>
      <c r="F216" s="130">
        <v>94.99</v>
      </c>
      <c r="G216" s="133">
        <f t="shared" si="190"/>
        <v>90.2405</v>
      </c>
      <c r="H216" s="133">
        <f t="shared" si="191"/>
        <v>75.2004166666667</v>
      </c>
      <c r="I216" s="176">
        <f t="shared" si="192"/>
        <v>11.6774955752212</v>
      </c>
      <c r="J216" s="134">
        <f t="shared" si="193"/>
        <v>0.179653778080327</v>
      </c>
      <c r="K216" s="131">
        <f t="shared" si="194"/>
        <v>79.1583333333333</v>
      </c>
      <c r="L216" s="174">
        <f t="shared" si="195"/>
        <v>0.178860932729761</v>
      </c>
      <c r="M216" s="133">
        <f t="shared" si="196"/>
        <v>14.1583333333333</v>
      </c>
      <c r="N216" s="131">
        <f t="shared" si="197"/>
        <v>179.29203539823</v>
      </c>
      <c r="O216" s="131">
        <f t="shared" si="198"/>
        <v>4.8125</v>
      </c>
      <c r="P216" s="127">
        <v>4</v>
      </c>
      <c r="Q216" s="136">
        <v>8</v>
      </c>
      <c r="R216" s="137">
        <f t="shared" si="199"/>
        <v>0.153846153846154</v>
      </c>
      <c r="S216" s="134">
        <f t="shared" si="210"/>
        <v>0.10527423939362</v>
      </c>
      <c r="T216" s="137">
        <f t="shared" si="200"/>
        <v>0.0730692307692308</v>
      </c>
      <c r="U216" s="137">
        <v>0.01</v>
      </c>
      <c r="V216" s="137">
        <f t="shared" si="201"/>
        <v>0.344792375765827</v>
      </c>
      <c r="W216" s="137">
        <f t="shared" si="202"/>
        <v>0.0740384615384615</v>
      </c>
      <c r="X216" s="135">
        <v>0.1646</v>
      </c>
      <c r="Y216" s="138">
        <v>10</v>
      </c>
      <c r="Z216" s="138">
        <f>F216*0.05</f>
        <v>4.7495</v>
      </c>
      <c r="AA216" s="138">
        <f t="shared" si="203"/>
        <v>0.65</v>
      </c>
      <c r="AB216" s="131">
        <f t="shared" si="204"/>
        <v>10.699</v>
      </c>
      <c r="AC216" s="131">
        <v>180</v>
      </c>
      <c r="AD216" s="139">
        <f t="shared" si="205"/>
        <v>159.29203539823</v>
      </c>
      <c r="AE216" s="136">
        <f t="shared" si="206"/>
        <v>2.5</v>
      </c>
      <c r="AF216" s="137">
        <f t="shared" si="207"/>
        <v>0.306330837304289</v>
      </c>
      <c r="AG216" s="137">
        <f t="shared" si="208"/>
        <v>0.0384615384615385</v>
      </c>
      <c r="AH216" s="136">
        <v>20</v>
      </c>
      <c r="AI216" s="137">
        <f t="shared" si="211"/>
        <v>0.334064280002598</v>
      </c>
      <c r="AJ216" s="137"/>
      <c r="AK216" s="137"/>
      <c r="AL216" s="137"/>
      <c r="AM216" s="137"/>
      <c r="AN216" s="140"/>
      <c r="AO216" s="140"/>
      <c r="AP216" s="140"/>
      <c r="AQ216" s="140"/>
      <c r="AR216" s="140"/>
      <c r="AS216" s="140"/>
      <c r="AT216" s="140" t="s">
        <v>376</v>
      </c>
      <c r="AU216" s="140" t="s">
        <v>376</v>
      </c>
      <c r="AV216" s="140" t="s">
        <v>376</v>
      </c>
      <c r="AW216" s="140" t="s">
        <v>376</v>
      </c>
      <c r="AX216" s="140" t="s">
        <v>376</v>
      </c>
      <c r="AY216" s="140" t="s">
        <v>376</v>
      </c>
      <c r="AZ216" s="140" t="s">
        <v>376</v>
      </c>
      <c r="BA216" s="140" t="s">
        <v>376</v>
      </c>
      <c r="BB216" s="140" t="s">
        <v>376</v>
      </c>
      <c r="BC216" s="140" t="s">
        <v>376</v>
      </c>
      <c r="BD216" s="140" t="s">
        <v>376</v>
      </c>
      <c r="BE216" s="140" t="s">
        <v>376</v>
      </c>
      <c r="BF216" s="140" t="s">
        <v>376</v>
      </c>
      <c r="BG216" s="140" t="s">
        <v>376</v>
      </c>
      <c r="BH216" s="140" t="s">
        <v>376</v>
      </c>
      <c r="BI216" s="140" t="s">
        <v>376</v>
      </c>
      <c r="BJ216" s="140" t="s">
        <v>376</v>
      </c>
      <c r="BK216" s="140" t="s">
        <v>376</v>
      </c>
      <c r="BL216" s="140" t="s">
        <v>376</v>
      </c>
      <c r="BM216" s="140" t="s">
        <v>376</v>
      </c>
      <c r="BN216" s="140" t="s">
        <v>376</v>
      </c>
      <c r="BO216" s="140" t="s">
        <v>376</v>
      </c>
      <c r="BP216" s="140" t="s">
        <v>376</v>
      </c>
      <c r="BQ216" s="140" t="s">
        <v>376</v>
      </c>
      <c r="BR216" s="175"/>
      <c r="BS216" s="142" t="s">
        <v>377</v>
      </c>
    </row>
    <row r="217" customHeight="1" spans="1:71">
      <c r="A217" s="127" t="s">
        <v>290</v>
      </c>
      <c r="B217" s="127" t="s">
        <v>27</v>
      </c>
      <c r="C217" s="127"/>
      <c r="D217" s="172" t="s">
        <v>440</v>
      </c>
      <c r="E217" s="132">
        <v>65</v>
      </c>
      <c r="F217" s="130">
        <v>94.99</v>
      </c>
      <c r="G217" s="133">
        <f t="shared" si="190"/>
        <v>85.491</v>
      </c>
      <c r="H217" s="133">
        <f t="shared" si="191"/>
        <v>71.2425</v>
      </c>
      <c r="I217" s="133">
        <f t="shared" si="192"/>
        <v>6.92799557522124</v>
      </c>
      <c r="J217" s="134">
        <f t="shared" si="193"/>
        <v>0.106584547311096</v>
      </c>
      <c r="K217" s="131">
        <f t="shared" si="194"/>
        <v>79.1583333333333</v>
      </c>
      <c r="L217" s="174">
        <f t="shared" si="195"/>
        <v>0.178860932729761</v>
      </c>
      <c r="M217" s="133">
        <f t="shared" si="196"/>
        <v>14.1583333333333</v>
      </c>
      <c r="N217" s="131">
        <f t="shared" si="197"/>
        <v>179.29203539823</v>
      </c>
      <c r="O217" s="131">
        <f t="shared" si="198"/>
        <v>4.8125</v>
      </c>
      <c r="P217" s="127">
        <v>4</v>
      </c>
      <c r="Q217" s="136">
        <v>8</v>
      </c>
      <c r="R217" s="137">
        <f t="shared" si="199"/>
        <v>0.153846153846154</v>
      </c>
      <c r="S217" s="134">
        <f t="shared" si="210"/>
        <v>0.10527423939362</v>
      </c>
      <c r="T217" s="137">
        <f t="shared" si="200"/>
        <v>0.146138461538462</v>
      </c>
      <c r="U217" s="137">
        <v>0.01</v>
      </c>
      <c r="V217" s="137">
        <f t="shared" si="201"/>
        <v>0.344792375765827</v>
      </c>
      <c r="W217" s="137">
        <f t="shared" si="202"/>
        <v>0.0740384615384615</v>
      </c>
      <c r="X217" s="135">
        <v>0.1646</v>
      </c>
      <c r="Y217" s="138">
        <v>10</v>
      </c>
      <c r="Z217" s="138">
        <f>F217*0.1</f>
        <v>9.499</v>
      </c>
      <c r="AA217" s="138">
        <f t="shared" si="203"/>
        <v>0.65</v>
      </c>
      <c r="AB217" s="131">
        <f t="shared" si="204"/>
        <v>10.699</v>
      </c>
      <c r="AC217" s="131">
        <v>180</v>
      </c>
      <c r="AD217" s="139">
        <f t="shared" si="205"/>
        <v>159.29203539823</v>
      </c>
      <c r="AE217" s="136">
        <f t="shared" si="206"/>
        <v>2.5</v>
      </c>
      <c r="AF217" s="137">
        <f t="shared" si="207"/>
        <v>0.306330837304289</v>
      </c>
      <c r="AG217" s="137">
        <f t="shared" si="208"/>
        <v>0.0384615384615385</v>
      </c>
      <c r="AH217" s="136">
        <v>20</v>
      </c>
      <c r="AI217" s="137">
        <f t="shared" si="211"/>
        <v>0.356841390002775</v>
      </c>
      <c r="AJ217" s="137"/>
      <c r="AK217" s="137"/>
      <c r="AL217" s="137"/>
      <c r="AM217" s="137"/>
      <c r="AN217" s="140"/>
      <c r="AO217" s="140"/>
      <c r="AP217" s="140"/>
      <c r="AQ217" s="140"/>
      <c r="AR217" s="140"/>
      <c r="AS217" s="140"/>
      <c r="AT217" s="140" t="s">
        <v>376</v>
      </c>
      <c r="AU217" s="140" t="s">
        <v>376</v>
      </c>
      <c r="AV217" s="140" t="s">
        <v>376</v>
      </c>
      <c r="AW217" s="140" t="s">
        <v>376</v>
      </c>
      <c r="AX217" s="140" t="s">
        <v>376</v>
      </c>
      <c r="AY217" s="140" t="s">
        <v>376</v>
      </c>
      <c r="AZ217" s="140" t="s">
        <v>376</v>
      </c>
      <c r="BA217" s="140" t="s">
        <v>376</v>
      </c>
      <c r="BB217" s="140" t="s">
        <v>376</v>
      </c>
      <c r="BC217" s="140" t="s">
        <v>376</v>
      </c>
      <c r="BD217" s="140" t="s">
        <v>376</v>
      </c>
      <c r="BE217" s="140" t="s">
        <v>376</v>
      </c>
      <c r="BF217" s="140" t="s">
        <v>376</v>
      </c>
      <c r="BG217" s="140" t="s">
        <v>376</v>
      </c>
      <c r="BH217" s="140" t="s">
        <v>376</v>
      </c>
      <c r="BI217" s="140" t="s">
        <v>376</v>
      </c>
      <c r="BJ217" s="140" t="s">
        <v>376</v>
      </c>
      <c r="BK217" s="140" t="s">
        <v>376</v>
      </c>
      <c r="BL217" s="140" t="s">
        <v>376</v>
      </c>
      <c r="BM217" s="140" t="s">
        <v>376</v>
      </c>
      <c r="BN217" s="140" t="s">
        <v>376</v>
      </c>
      <c r="BO217" s="140" t="s">
        <v>376</v>
      </c>
      <c r="BP217" s="140" t="s">
        <v>376</v>
      </c>
      <c r="BQ217" s="140" t="s">
        <v>376</v>
      </c>
      <c r="BR217" s="175"/>
      <c r="BS217" s="142" t="s">
        <v>377</v>
      </c>
    </row>
    <row r="218" customHeight="1" spans="1:71">
      <c r="A218" s="127" t="s">
        <v>290</v>
      </c>
      <c r="B218" s="127" t="s">
        <v>27</v>
      </c>
      <c r="C218" s="127"/>
      <c r="D218" s="172" t="s">
        <v>441</v>
      </c>
      <c r="E218" s="132">
        <v>65</v>
      </c>
      <c r="F218" s="130">
        <v>94.99</v>
      </c>
      <c r="G218" s="133">
        <f t="shared" si="190"/>
        <v>80.7415</v>
      </c>
      <c r="H218" s="133">
        <f t="shared" si="191"/>
        <v>67.2845833333333</v>
      </c>
      <c r="I218" s="133">
        <f t="shared" si="192"/>
        <v>2.17849557522124</v>
      </c>
      <c r="J218" s="134">
        <f t="shared" si="193"/>
        <v>0.0335153165418653</v>
      </c>
      <c r="K218" s="131">
        <f t="shared" si="194"/>
        <v>79.1583333333333</v>
      </c>
      <c r="L218" s="174">
        <f t="shared" si="195"/>
        <v>0.178860932729761</v>
      </c>
      <c r="M218" s="133">
        <f t="shared" si="196"/>
        <v>14.1583333333333</v>
      </c>
      <c r="N218" s="131">
        <f t="shared" si="197"/>
        <v>179.29203539823</v>
      </c>
      <c r="O218" s="131">
        <f t="shared" si="198"/>
        <v>4.8125</v>
      </c>
      <c r="P218" s="127">
        <v>4</v>
      </c>
      <c r="Q218" s="136">
        <v>8</v>
      </c>
      <c r="R218" s="137">
        <f t="shared" si="199"/>
        <v>0.153846153846154</v>
      </c>
      <c r="S218" s="134">
        <f t="shared" si="210"/>
        <v>0.10527423939362</v>
      </c>
      <c r="T218" s="137">
        <f t="shared" si="200"/>
        <v>0.219207692307692</v>
      </c>
      <c r="U218" s="137">
        <v>0.01</v>
      </c>
      <c r="V218" s="137">
        <f t="shared" si="201"/>
        <v>0.344792375765827</v>
      </c>
      <c r="W218" s="137">
        <f t="shared" si="202"/>
        <v>0.0740384615384615</v>
      </c>
      <c r="X218" s="135">
        <v>0.1646</v>
      </c>
      <c r="Y218" s="138">
        <v>10</v>
      </c>
      <c r="Z218" s="138">
        <f>F218*0.15</f>
        <v>14.2485</v>
      </c>
      <c r="AA218" s="138">
        <f t="shared" si="203"/>
        <v>0.65</v>
      </c>
      <c r="AB218" s="131">
        <f t="shared" si="204"/>
        <v>10.699</v>
      </c>
      <c r="AC218" s="131">
        <v>180</v>
      </c>
      <c r="AD218" s="139">
        <f t="shared" si="205"/>
        <v>159.29203539823</v>
      </c>
      <c r="AE218" s="136">
        <f t="shared" si="206"/>
        <v>2.5</v>
      </c>
      <c r="AF218" s="137">
        <f t="shared" si="207"/>
        <v>0.306330837304289</v>
      </c>
      <c r="AG218" s="137">
        <f t="shared" si="208"/>
        <v>0.0384615384615385</v>
      </c>
      <c r="AH218" s="136">
        <v>20</v>
      </c>
      <c r="AI218" s="137">
        <f t="shared" si="211"/>
        <v>0.382951735612734</v>
      </c>
      <c r="AJ218" s="137"/>
      <c r="AK218" s="137"/>
      <c r="AL218" s="137"/>
      <c r="AM218" s="137"/>
      <c r="AN218" s="140"/>
      <c r="AO218" s="140"/>
      <c r="AP218" s="140"/>
      <c r="AQ218" s="140"/>
      <c r="AR218" s="140"/>
      <c r="AS218" s="140"/>
      <c r="AT218" s="140" t="s">
        <v>376</v>
      </c>
      <c r="AU218" s="140" t="s">
        <v>376</v>
      </c>
      <c r="AV218" s="140" t="s">
        <v>376</v>
      </c>
      <c r="AW218" s="140" t="s">
        <v>376</v>
      </c>
      <c r="AX218" s="140" t="s">
        <v>376</v>
      </c>
      <c r="AY218" s="140" t="s">
        <v>376</v>
      </c>
      <c r="AZ218" s="140" t="s">
        <v>376</v>
      </c>
      <c r="BA218" s="140" t="s">
        <v>376</v>
      </c>
      <c r="BB218" s="140" t="s">
        <v>376</v>
      </c>
      <c r="BC218" s="140" t="s">
        <v>376</v>
      </c>
      <c r="BD218" s="140" t="s">
        <v>376</v>
      </c>
      <c r="BE218" s="140" t="s">
        <v>376</v>
      </c>
      <c r="BF218" s="140" t="s">
        <v>376</v>
      </c>
      <c r="BG218" s="140" t="s">
        <v>376</v>
      </c>
      <c r="BH218" s="140" t="s">
        <v>376</v>
      </c>
      <c r="BI218" s="140" t="s">
        <v>376</v>
      </c>
      <c r="BJ218" s="140" t="s">
        <v>376</v>
      </c>
      <c r="BK218" s="140" t="s">
        <v>376</v>
      </c>
      <c r="BL218" s="140" t="s">
        <v>376</v>
      </c>
      <c r="BM218" s="140" t="s">
        <v>376</v>
      </c>
      <c r="BN218" s="140" t="s">
        <v>376</v>
      </c>
      <c r="BO218" s="140" t="s">
        <v>376</v>
      </c>
      <c r="BP218" s="140" t="s">
        <v>376</v>
      </c>
      <c r="BQ218" s="140" t="s">
        <v>376</v>
      </c>
      <c r="BR218" s="175"/>
      <c r="BS218" s="142" t="s">
        <v>377</v>
      </c>
    </row>
    <row r="219" customHeight="1" spans="1:71">
      <c r="A219" s="127" t="s">
        <v>381</v>
      </c>
      <c r="B219" s="127" t="s">
        <v>27</v>
      </c>
      <c r="C219" s="127"/>
      <c r="D219" s="178" t="s">
        <v>442</v>
      </c>
      <c r="E219" s="131">
        <v>68</v>
      </c>
      <c r="F219" s="173">
        <v>99.99</v>
      </c>
      <c r="G219" s="133">
        <f t="shared" si="190"/>
        <v>99.99</v>
      </c>
      <c r="H219" s="133">
        <f t="shared" si="191"/>
        <v>83.325</v>
      </c>
      <c r="I219" s="133">
        <f t="shared" si="192"/>
        <v>29.9769955752212</v>
      </c>
      <c r="J219" s="134">
        <f t="shared" si="193"/>
        <v>0.440838170223842</v>
      </c>
      <c r="K219" s="131">
        <f t="shared" si="194"/>
        <v>83.325</v>
      </c>
      <c r="L219" s="174">
        <f t="shared" si="195"/>
        <v>0.183918391839184</v>
      </c>
      <c r="M219" s="133">
        <f t="shared" si="196"/>
        <v>15.325</v>
      </c>
      <c r="N219" s="131">
        <f t="shared" si="197"/>
        <v>179.29203539823</v>
      </c>
      <c r="O219" s="131">
        <f t="shared" si="198"/>
        <v>4.1875</v>
      </c>
      <c r="P219" s="127">
        <v>4</v>
      </c>
      <c r="Q219" s="136">
        <v>8</v>
      </c>
      <c r="R219" s="137">
        <f t="shared" si="199"/>
        <v>0</v>
      </c>
      <c r="S219" s="134">
        <f t="shared" si="210"/>
        <v>0</v>
      </c>
      <c r="T219" s="137">
        <f t="shared" si="200"/>
        <v>0</v>
      </c>
      <c r="U219" s="137">
        <v>0.01</v>
      </c>
      <c r="V219" s="137">
        <f t="shared" si="201"/>
        <v>0.329580947423217</v>
      </c>
      <c r="W219" s="137">
        <f t="shared" si="202"/>
        <v>0.0615808823529412</v>
      </c>
      <c r="X219" s="135">
        <v>0.158</v>
      </c>
      <c r="Y219" s="138">
        <v>0</v>
      </c>
      <c r="Z219" s="138">
        <f>F219*0</f>
        <v>0</v>
      </c>
      <c r="AA219" s="138">
        <f t="shared" si="203"/>
        <v>0.68</v>
      </c>
      <c r="AB219" s="131">
        <f t="shared" si="204"/>
        <v>10.744</v>
      </c>
      <c r="AC219" s="131">
        <v>180</v>
      </c>
      <c r="AD219" s="139">
        <f t="shared" si="205"/>
        <v>159.29203539823</v>
      </c>
      <c r="AE219" s="136">
        <f t="shared" si="206"/>
        <v>2.5</v>
      </c>
      <c r="AF219" s="137">
        <f t="shared" si="207"/>
        <v>0.292816241540864</v>
      </c>
      <c r="AG219" s="137">
        <f t="shared" si="208"/>
        <v>0.0367647058823529</v>
      </c>
      <c r="AH219" s="136">
        <v>20</v>
      </c>
      <c r="AI219" s="137">
        <f t="shared" si="211"/>
        <v>0.312859285928593</v>
      </c>
      <c r="AJ219" s="140"/>
      <c r="AK219" s="140"/>
      <c r="AL219" s="140"/>
      <c r="AM219" s="140"/>
      <c r="AN219" s="140"/>
      <c r="AO219" s="140"/>
      <c r="AP219" s="140"/>
      <c r="AQ219" s="140"/>
      <c r="AR219" s="140"/>
      <c r="AS219" s="140"/>
      <c r="AT219" s="140" t="s">
        <v>376</v>
      </c>
      <c r="AU219" s="140" t="s">
        <v>376</v>
      </c>
      <c r="AV219" s="140" t="s">
        <v>376</v>
      </c>
      <c r="AW219" s="140" t="s">
        <v>376</v>
      </c>
      <c r="AX219" s="140" t="s">
        <v>376</v>
      </c>
      <c r="AY219" s="140" t="s">
        <v>376</v>
      </c>
      <c r="AZ219" s="140" t="s">
        <v>376</v>
      </c>
      <c r="BA219" s="140" t="s">
        <v>376</v>
      </c>
      <c r="BB219" s="140" t="s">
        <v>376</v>
      </c>
      <c r="BC219" s="140" t="s">
        <v>376</v>
      </c>
      <c r="BD219" s="140" t="s">
        <v>376</v>
      </c>
      <c r="BE219" s="140" t="s">
        <v>376</v>
      </c>
      <c r="BF219" s="140" t="s">
        <v>376</v>
      </c>
      <c r="BG219" s="140" t="s">
        <v>376</v>
      </c>
      <c r="BH219" s="140" t="s">
        <v>376</v>
      </c>
      <c r="BI219" s="140" t="s">
        <v>376</v>
      </c>
      <c r="BJ219" s="140" t="s">
        <v>376</v>
      </c>
      <c r="BK219" s="140" t="s">
        <v>376</v>
      </c>
      <c r="BL219" s="140" t="s">
        <v>376</v>
      </c>
      <c r="BM219" s="140" t="s">
        <v>376</v>
      </c>
      <c r="BN219" s="140" t="s">
        <v>376</v>
      </c>
      <c r="BO219" s="140" t="s">
        <v>376</v>
      </c>
      <c r="BP219" s="140" t="s">
        <v>376</v>
      </c>
      <c r="BQ219" s="140" t="s">
        <v>376</v>
      </c>
      <c r="BR219" s="144" t="e">
        <f>IF(E219&lt;#REF!,1,0)</f>
        <v>#REF!</v>
      </c>
      <c r="BS219" s="142" t="s">
        <v>377</v>
      </c>
    </row>
    <row r="220" customHeight="1" spans="1:71">
      <c r="A220" s="127" t="s">
        <v>383</v>
      </c>
      <c r="B220" s="127" t="s">
        <v>27</v>
      </c>
      <c r="C220" s="127"/>
      <c r="D220" s="178" t="s">
        <v>443</v>
      </c>
      <c r="E220" s="131">
        <v>69</v>
      </c>
      <c r="F220" s="130">
        <v>99.99</v>
      </c>
      <c r="G220" s="133">
        <f t="shared" si="190"/>
        <v>99.99</v>
      </c>
      <c r="H220" s="133">
        <f t="shared" si="191"/>
        <v>83.325</v>
      </c>
      <c r="I220" s="133">
        <f t="shared" si="192"/>
        <v>26.9989955752212</v>
      </c>
      <c r="J220" s="134">
        <f t="shared" si="193"/>
        <v>0.391289790945235</v>
      </c>
      <c r="K220" s="131">
        <f t="shared" si="194"/>
        <v>83.325</v>
      </c>
      <c r="L220" s="174">
        <f t="shared" si="195"/>
        <v>0.171917191719172</v>
      </c>
      <c r="M220" s="133">
        <f t="shared" si="196"/>
        <v>14.325</v>
      </c>
      <c r="N220" s="131">
        <f t="shared" si="197"/>
        <v>179.29203539823</v>
      </c>
      <c r="O220" s="131">
        <f t="shared" si="198"/>
        <v>3.5125</v>
      </c>
      <c r="P220" s="127">
        <v>4</v>
      </c>
      <c r="Q220" s="136">
        <v>8</v>
      </c>
      <c r="R220" s="137">
        <f t="shared" si="199"/>
        <v>0</v>
      </c>
      <c r="S220" s="134">
        <f t="shared" si="210"/>
        <v>0</v>
      </c>
      <c r="T220" s="137">
        <f t="shared" si="200"/>
        <v>0</v>
      </c>
      <c r="U220" s="137">
        <v>0.01</v>
      </c>
      <c r="V220" s="137">
        <f t="shared" si="201"/>
        <v>0.324804411953315</v>
      </c>
      <c r="W220" s="137">
        <f t="shared" si="202"/>
        <v>0.0509057971014493</v>
      </c>
      <c r="X220" s="135">
        <v>0.223</v>
      </c>
      <c r="Y220" s="138">
        <v>0</v>
      </c>
      <c r="Z220" s="138">
        <f>F220*0</f>
        <v>0</v>
      </c>
      <c r="AA220" s="138">
        <f t="shared" si="203"/>
        <v>0.69</v>
      </c>
      <c r="AB220" s="131">
        <f t="shared" si="204"/>
        <v>15.387</v>
      </c>
      <c r="AC220" s="131">
        <v>180</v>
      </c>
      <c r="AD220" s="139">
        <f t="shared" si="205"/>
        <v>159.29203539823</v>
      </c>
      <c r="AE220" s="136">
        <f t="shared" si="206"/>
        <v>2.5</v>
      </c>
      <c r="AF220" s="137">
        <f t="shared" si="207"/>
        <v>0.288572527895344</v>
      </c>
      <c r="AG220" s="137">
        <f t="shared" si="208"/>
        <v>0.036231884057971</v>
      </c>
      <c r="AH220" s="136">
        <v>20</v>
      </c>
      <c r="AI220" s="137">
        <f t="shared" si="211"/>
        <v>0.356579657965797</v>
      </c>
      <c r="AJ220" s="140"/>
      <c r="AK220" s="140"/>
      <c r="AL220" s="140"/>
      <c r="AM220" s="140"/>
      <c r="AN220" s="140"/>
      <c r="AO220" s="140"/>
      <c r="AP220" s="140"/>
      <c r="AQ220" s="140"/>
      <c r="AR220" s="140"/>
      <c r="AS220" s="140"/>
      <c r="AT220" s="140" t="s">
        <v>376</v>
      </c>
      <c r="AU220" s="140" t="s">
        <v>376</v>
      </c>
      <c r="AV220" s="140" t="s">
        <v>376</v>
      </c>
      <c r="AW220" s="140" t="s">
        <v>376</v>
      </c>
      <c r="AX220" s="140" t="s">
        <v>376</v>
      </c>
      <c r="AY220" s="140" t="s">
        <v>376</v>
      </c>
      <c r="AZ220" s="140" t="s">
        <v>376</v>
      </c>
      <c r="BA220" s="140" t="s">
        <v>376</v>
      </c>
      <c r="BB220" s="140" t="s">
        <v>376</v>
      </c>
      <c r="BC220" s="140" t="s">
        <v>376</v>
      </c>
      <c r="BD220" s="140" t="s">
        <v>376</v>
      </c>
      <c r="BE220" s="140" t="s">
        <v>376</v>
      </c>
      <c r="BF220" s="140" t="s">
        <v>376</v>
      </c>
      <c r="BG220" s="140" t="s">
        <v>376</v>
      </c>
      <c r="BH220" s="140" t="s">
        <v>376</v>
      </c>
      <c r="BI220" s="140" t="s">
        <v>376</v>
      </c>
      <c r="BJ220" s="140" t="s">
        <v>376</v>
      </c>
      <c r="BK220" s="140" t="s">
        <v>376</v>
      </c>
      <c r="BL220" s="140" t="s">
        <v>376</v>
      </c>
      <c r="BM220" s="140" t="s">
        <v>376</v>
      </c>
      <c r="BN220" s="140" t="s">
        <v>376</v>
      </c>
      <c r="BO220" s="140" t="s">
        <v>376</v>
      </c>
      <c r="BP220" s="140" t="s">
        <v>376</v>
      </c>
      <c r="BQ220" s="140" t="s">
        <v>376</v>
      </c>
      <c r="BR220" s="144" t="e">
        <f>IF(E220&lt;#REF!,1,0)</f>
        <v>#REF!</v>
      </c>
      <c r="BS220" s="142" t="s">
        <v>377</v>
      </c>
    </row>
    <row r="221" customHeight="1" spans="1:71">
      <c r="A221" s="127" t="s">
        <v>385</v>
      </c>
      <c r="B221" s="127" t="s">
        <v>27</v>
      </c>
      <c r="C221" s="127"/>
      <c r="D221" s="178" t="s">
        <v>444</v>
      </c>
      <c r="E221" s="131">
        <v>69</v>
      </c>
      <c r="F221" s="130">
        <v>99.99</v>
      </c>
      <c r="G221" s="133">
        <f t="shared" si="190"/>
        <v>99.99</v>
      </c>
      <c r="H221" s="133">
        <f t="shared" si="191"/>
        <v>83.325</v>
      </c>
      <c r="I221" s="133">
        <f t="shared" si="192"/>
        <v>25.9489955752212</v>
      </c>
      <c r="J221" s="134">
        <f t="shared" si="193"/>
        <v>0.376072399640887</v>
      </c>
      <c r="K221" s="131">
        <f t="shared" si="194"/>
        <v>83.325</v>
      </c>
      <c r="L221" s="174">
        <f t="shared" si="195"/>
        <v>0.171917191719172</v>
      </c>
      <c r="M221" s="133">
        <f t="shared" si="196"/>
        <v>14.325</v>
      </c>
      <c r="N221" s="131">
        <f t="shared" si="197"/>
        <v>179.29203539823</v>
      </c>
      <c r="O221" s="131">
        <f t="shared" si="198"/>
        <v>4.5625</v>
      </c>
      <c r="P221" s="127">
        <v>4</v>
      </c>
      <c r="Q221" s="136">
        <v>8</v>
      </c>
      <c r="R221" s="137">
        <f t="shared" si="199"/>
        <v>0</v>
      </c>
      <c r="S221" s="134">
        <f t="shared" si="210"/>
        <v>0</v>
      </c>
      <c r="T221" s="137">
        <f t="shared" si="200"/>
        <v>0</v>
      </c>
      <c r="U221" s="137">
        <v>0.01</v>
      </c>
      <c r="V221" s="137">
        <f t="shared" si="201"/>
        <v>0.324804411953315</v>
      </c>
      <c r="W221" s="137">
        <f t="shared" si="202"/>
        <v>0.0661231884057971</v>
      </c>
      <c r="X221" s="135">
        <v>0.223</v>
      </c>
      <c r="Y221" s="138">
        <v>0</v>
      </c>
      <c r="Z221" s="138">
        <f>F221*0</f>
        <v>0</v>
      </c>
      <c r="AA221" s="138">
        <f t="shared" si="203"/>
        <v>0.69</v>
      </c>
      <c r="AB221" s="131">
        <f t="shared" si="204"/>
        <v>15.387</v>
      </c>
      <c r="AC221" s="131">
        <v>180</v>
      </c>
      <c r="AD221" s="139">
        <f t="shared" si="205"/>
        <v>159.29203539823</v>
      </c>
      <c r="AE221" s="136">
        <f t="shared" si="206"/>
        <v>2.5</v>
      </c>
      <c r="AF221" s="137">
        <f t="shared" si="207"/>
        <v>0.288572527895344</v>
      </c>
      <c r="AG221" s="137">
        <f t="shared" si="208"/>
        <v>0.036231884057971</v>
      </c>
      <c r="AH221" s="136">
        <v>20</v>
      </c>
      <c r="AI221" s="137">
        <f t="shared" si="211"/>
        <v>0.356579657965797</v>
      </c>
      <c r="AJ221" s="140"/>
      <c r="AK221" s="140"/>
      <c r="AL221" s="140"/>
      <c r="AM221" s="140"/>
      <c r="AN221" s="140"/>
      <c r="AO221" s="140"/>
      <c r="AP221" s="140"/>
      <c r="AQ221" s="140"/>
      <c r="AR221" s="140"/>
      <c r="AS221" s="140"/>
      <c r="AT221" s="140" t="s">
        <v>376</v>
      </c>
      <c r="AU221" s="140" t="s">
        <v>376</v>
      </c>
      <c r="AV221" s="140" t="s">
        <v>376</v>
      </c>
      <c r="AW221" s="140" t="s">
        <v>376</v>
      </c>
      <c r="AX221" s="140" t="s">
        <v>376</v>
      </c>
      <c r="AY221" s="140" t="s">
        <v>376</v>
      </c>
      <c r="AZ221" s="140" t="s">
        <v>376</v>
      </c>
      <c r="BA221" s="140" t="s">
        <v>376</v>
      </c>
      <c r="BB221" s="140" t="s">
        <v>376</v>
      </c>
      <c r="BC221" s="140" t="s">
        <v>376</v>
      </c>
      <c r="BD221" s="140" t="s">
        <v>376</v>
      </c>
      <c r="BE221" s="140" t="s">
        <v>376</v>
      </c>
      <c r="BF221" s="140" t="s">
        <v>376</v>
      </c>
      <c r="BG221" s="140" t="s">
        <v>376</v>
      </c>
      <c r="BH221" s="140" t="s">
        <v>376</v>
      </c>
      <c r="BI221" s="140" t="s">
        <v>376</v>
      </c>
      <c r="BJ221" s="140" t="s">
        <v>376</v>
      </c>
      <c r="BK221" s="140" t="s">
        <v>376</v>
      </c>
      <c r="BL221" s="140" t="s">
        <v>376</v>
      </c>
      <c r="BM221" s="140" t="s">
        <v>376</v>
      </c>
      <c r="BN221" s="140" t="s">
        <v>376</v>
      </c>
      <c r="BO221" s="140" t="s">
        <v>376</v>
      </c>
      <c r="BP221" s="140" t="s">
        <v>376</v>
      </c>
      <c r="BQ221" s="140" t="s">
        <v>376</v>
      </c>
      <c r="BR221" s="144" t="e">
        <f>IF(E221&lt;#REF!,1,0)</f>
        <v>#REF!</v>
      </c>
      <c r="BS221" s="142" t="s">
        <v>377</v>
      </c>
    </row>
    <row r="222" customHeight="1" spans="1:71">
      <c r="A222" s="127" t="s">
        <v>387</v>
      </c>
      <c r="B222" s="127" t="s">
        <v>27</v>
      </c>
      <c r="C222" s="127"/>
      <c r="D222" s="178" t="s">
        <v>445</v>
      </c>
      <c r="E222" s="131">
        <v>68</v>
      </c>
      <c r="F222" s="130">
        <v>99.99</v>
      </c>
      <c r="G222" s="133">
        <f t="shared" si="190"/>
        <v>99.99</v>
      </c>
      <c r="H222" s="133">
        <f t="shared" si="191"/>
        <v>83.325</v>
      </c>
      <c r="I222" s="133">
        <f t="shared" si="192"/>
        <v>30.6019955752212</v>
      </c>
      <c r="J222" s="134">
        <f t="shared" si="193"/>
        <v>0.45002934669443</v>
      </c>
      <c r="K222" s="131">
        <f t="shared" si="194"/>
        <v>83.325</v>
      </c>
      <c r="L222" s="174">
        <f t="shared" si="195"/>
        <v>0.183918391839184</v>
      </c>
      <c r="M222" s="133">
        <f t="shared" si="196"/>
        <v>15.325</v>
      </c>
      <c r="N222" s="131">
        <f t="shared" si="197"/>
        <v>179.29203539823</v>
      </c>
      <c r="O222" s="131">
        <f t="shared" si="198"/>
        <v>3.5625</v>
      </c>
      <c r="P222" s="127">
        <v>4</v>
      </c>
      <c r="Q222" s="136">
        <v>8</v>
      </c>
      <c r="R222" s="137">
        <f t="shared" si="199"/>
        <v>0</v>
      </c>
      <c r="S222" s="134">
        <f t="shared" si="210"/>
        <v>0</v>
      </c>
      <c r="T222" s="137">
        <f t="shared" si="200"/>
        <v>0</v>
      </c>
      <c r="U222" s="137">
        <v>0.01</v>
      </c>
      <c r="V222" s="137">
        <f t="shared" si="201"/>
        <v>0.329580947423217</v>
      </c>
      <c r="W222" s="137">
        <f t="shared" si="202"/>
        <v>0.0523897058823529</v>
      </c>
      <c r="X222" s="135">
        <v>0.158</v>
      </c>
      <c r="Y222" s="138">
        <v>0</v>
      </c>
      <c r="Z222" s="138">
        <f>F222*0</f>
        <v>0</v>
      </c>
      <c r="AA222" s="138">
        <f t="shared" si="203"/>
        <v>0.68</v>
      </c>
      <c r="AB222" s="131">
        <f t="shared" si="204"/>
        <v>10.744</v>
      </c>
      <c r="AC222" s="131">
        <v>180</v>
      </c>
      <c r="AD222" s="139">
        <f t="shared" si="205"/>
        <v>159.29203539823</v>
      </c>
      <c r="AE222" s="136">
        <f t="shared" si="206"/>
        <v>2.5</v>
      </c>
      <c r="AF222" s="137">
        <f t="shared" si="207"/>
        <v>0.292816241540864</v>
      </c>
      <c r="AG222" s="137">
        <f t="shared" si="208"/>
        <v>0.0367647058823529</v>
      </c>
      <c r="AH222" s="136">
        <v>20</v>
      </c>
      <c r="AI222" s="137">
        <f t="shared" si="211"/>
        <v>0.312859285928593</v>
      </c>
      <c r="AJ222" s="137"/>
      <c r="AK222" s="137"/>
      <c r="AL222" s="137"/>
      <c r="AM222" s="137"/>
      <c r="AN222" s="140"/>
      <c r="AO222" s="140"/>
      <c r="AP222" s="140"/>
      <c r="AQ222" s="140"/>
      <c r="AR222" s="140"/>
      <c r="AS222" s="140"/>
      <c r="AT222" s="140" t="s">
        <v>376</v>
      </c>
      <c r="AU222" s="140" t="s">
        <v>376</v>
      </c>
      <c r="AV222" s="140" t="s">
        <v>376</v>
      </c>
      <c r="AW222" s="140" t="s">
        <v>376</v>
      </c>
      <c r="AX222" s="140" t="s">
        <v>376</v>
      </c>
      <c r="AY222" s="140" t="s">
        <v>376</v>
      </c>
      <c r="AZ222" s="140" t="s">
        <v>376</v>
      </c>
      <c r="BA222" s="140" t="s">
        <v>376</v>
      </c>
      <c r="BB222" s="140" t="s">
        <v>376</v>
      </c>
      <c r="BC222" s="140" t="s">
        <v>376</v>
      </c>
      <c r="BD222" s="140" t="s">
        <v>376</v>
      </c>
      <c r="BE222" s="140" t="s">
        <v>376</v>
      </c>
      <c r="BF222" s="140" t="s">
        <v>376</v>
      </c>
      <c r="BG222" s="140" t="s">
        <v>376</v>
      </c>
      <c r="BH222" s="140" t="s">
        <v>376</v>
      </c>
      <c r="BI222" s="140" t="s">
        <v>376</v>
      </c>
      <c r="BJ222" s="140" t="s">
        <v>376</v>
      </c>
      <c r="BK222" s="140" t="s">
        <v>376</v>
      </c>
      <c r="BL222" s="140" t="s">
        <v>376</v>
      </c>
      <c r="BM222" s="140" t="s">
        <v>376</v>
      </c>
      <c r="BN222" s="140" t="s">
        <v>376</v>
      </c>
      <c r="BO222" s="140" t="s">
        <v>376</v>
      </c>
      <c r="BP222" s="140" t="s">
        <v>376</v>
      </c>
      <c r="BQ222" s="140" t="s">
        <v>376</v>
      </c>
      <c r="BR222" s="144" t="e">
        <f>IF(E222&lt;#REF!,1,0)</f>
        <v>#REF!</v>
      </c>
      <c r="BS222" s="142" t="s">
        <v>377</v>
      </c>
    </row>
    <row r="223" customHeight="1" spans="1:71">
      <c r="G223" s="1"/>
      <c r="H223" s="1"/>
      <c r="S223" s="1"/>
      <c r="AE223" s="14"/>
      <c r="AI223" s="1"/>
    </row>
    <row r="224" customHeight="1" spans="1:71">
      <c r="G224" s="1"/>
      <c r="H224" s="1"/>
      <c r="S224" s="1"/>
      <c r="AE224" s="14"/>
      <c r="AI224" s="1"/>
    </row>
    <row r="225" customHeight="1" spans="7:35">
      <c r="G225" s="1"/>
      <c r="H225" s="1"/>
      <c r="S225" s="1"/>
      <c r="AE225" s="14"/>
      <c r="AI225" s="1"/>
    </row>
    <row r="226" customHeight="1" spans="7:35">
      <c r="G226" s="1"/>
      <c r="H226" s="1"/>
      <c r="S226" s="1"/>
      <c r="AE226" s="14"/>
      <c r="AI226" s="1"/>
    </row>
    <row r="227" customHeight="1" spans="7:35">
      <c r="G227" s="1"/>
      <c r="H227" s="1"/>
      <c r="S227" s="1"/>
      <c r="AE227" s="14"/>
      <c r="AI227" s="1"/>
    </row>
    <row r="228" customHeight="1" spans="7:35">
      <c r="G228" s="1"/>
      <c r="H228" s="1"/>
      <c r="S228" s="1"/>
      <c r="AE228" s="14"/>
      <c r="AI228" s="1"/>
    </row>
    <row r="229" customHeight="1" spans="7:35">
      <c r="G229" s="1"/>
      <c r="H229" s="1"/>
      <c r="S229" s="1"/>
      <c r="AE229" s="14"/>
      <c r="AI229" s="1"/>
    </row>
    <row r="230" customHeight="1" spans="7:35">
      <c r="G230" s="1"/>
      <c r="H230" s="1"/>
      <c r="S230" s="1"/>
      <c r="AE230" s="14"/>
      <c r="AI230" s="1"/>
    </row>
    <row r="231" customHeight="1" spans="7:35">
      <c r="G231" s="1"/>
      <c r="H231" s="1"/>
      <c r="S231" s="1"/>
      <c r="AE231" s="14"/>
      <c r="AI231" s="1"/>
    </row>
    <row r="232" customHeight="1" spans="7:35">
      <c r="G232" s="1"/>
      <c r="H232" s="1"/>
      <c r="S232" s="1"/>
      <c r="AE232" s="14"/>
      <c r="AI232" s="1"/>
    </row>
    <row r="233" customHeight="1" spans="7:35">
      <c r="G233" s="1"/>
      <c r="H233" s="1"/>
      <c r="S233" s="1"/>
      <c r="AE233" s="14"/>
      <c r="AI233" s="1"/>
    </row>
    <row r="234" customHeight="1" spans="7:35">
      <c r="G234" s="1"/>
      <c r="H234" s="1"/>
      <c r="S234" s="1"/>
      <c r="AE234" s="14"/>
      <c r="AI234" s="1"/>
    </row>
    <row r="235" customHeight="1" spans="7:35">
      <c r="G235" s="1"/>
      <c r="H235" s="1"/>
      <c r="S235" s="1"/>
      <c r="AE235" s="14"/>
      <c r="AI235" s="1"/>
    </row>
    <row r="236" customHeight="1" spans="7:35">
      <c r="G236" s="1"/>
      <c r="H236" s="1"/>
      <c r="S236" s="1"/>
      <c r="AE236" s="14"/>
      <c r="AI236" s="1"/>
    </row>
    <row r="237" customHeight="1" spans="7:35">
      <c r="G237" s="1"/>
      <c r="H237" s="1"/>
      <c r="S237" s="1"/>
      <c r="AE237" s="14"/>
      <c r="AI237" s="1"/>
    </row>
    <row r="238" customHeight="1" spans="7:35">
      <c r="G238" s="1"/>
      <c r="H238" s="1"/>
      <c r="S238" s="1"/>
      <c r="AE238" s="14"/>
      <c r="AI238" s="1"/>
    </row>
    <row r="239" customHeight="1" spans="7:35">
      <c r="G239" s="1"/>
      <c r="H239" s="1"/>
      <c r="S239" s="1"/>
      <c r="AE239" s="14"/>
      <c r="AI239" s="1"/>
    </row>
    <row r="240" customHeight="1" spans="7:35">
      <c r="G240" s="1"/>
      <c r="H240" s="1"/>
      <c r="S240" s="1"/>
      <c r="AE240" s="14"/>
      <c r="AI240" s="1"/>
    </row>
    <row r="241" customHeight="1" spans="7:35">
      <c r="G241" s="1"/>
      <c r="H241" s="1"/>
      <c r="S241" s="1"/>
      <c r="AE241" s="14"/>
      <c r="AI241" s="1"/>
    </row>
    <row r="242" customHeight="1" spans="7:35">
      <c r="G242" s="1"/>
      <c r="H242" s="1"/>
      <c r="S242" s="1"/>
      <c r="AE242" s="14"/>
      <c r="AI242" s="1"/>
    </row>
    <row r="243" customHeight="1" spans="7:35">
      <c r="G243" s="1"/>
      <c r="H243" s="1"/>
      <c r="S243" s="1"/>
      <c r="AE243" s="14"/>
      <c r="AI243" s="1"/>
    </row>
    <row r="244" customHeight="1" spans="7:35">
      <c r="G244" s="1"/>
      <c r="H244" s="1"/>
      <c r="S244" s="1"/>
      <c r="AE244" s="14"/>
      <c r="AI244" s="1"/>
    </row>
    <row r="245" customHeight="1" spans="7:35">
      <c r="G245" s="1"/>
      <c r="H245" s="1"/>
      <c r="S245" s="1"/>
      <c r="AE245" s="14"/>
      <c r="AI245" s="1"/>
    </row>
    <row r="246" customHeight="1" spans="7:35">
      <c r="G246" s="1"/>
      <c r="H246" s="1"/>
      <c r="S246" s="1"/>
      <c r="AE246" s="14"/>
      <c r="AI246" s="1"/>
    </row>
    <row r="247" customHeight="1" spans="7:35">
      <c r="G247" s="1"/>
      <c r="H247" s="1"/>
      <c r="S247" s="1"/>
      <c r="AE247" s="14"/>
      <c r="AI247" s="1"/>
    </row>
    <row r="248" customHeight="1" spans="7:35">
      <c r="G248" s="1"/>
      <c r="H248" s="1"/>
      <c r="S248" s="1"/>
      <c r="AE248" s="14"/>
      <c r="AI248" s="1"/>
    </row>
    <row r="249" customHeight="1" spans="7:35">
      <c r="G249" s="1"/>
      <c r="H249" s="1"/>
      <c r="S249" s="1"/>
      <c r="AE249" s="14"/>
      <c r="AI249" s="1"/>
    </row>
    <row r="250" customHeight="1" spans="7:35">
      <c r="G250" s="1"/>
      <c r="H250" s="1"/>
      <c r="S250" s="1"/>
      <c r="AE250" s="14"/>
      <c r="AI250" s="1"/>
    </row>
    <row r="251" customHeight="1" spans="7:35">
      <c r="G251" s="1"/>
      <c r="H251" s="1"/>
      <c r="S251" s="1"/>
      <c r="AE251" s="14"/>
      <c r="AI251" s="1"/>
    </row>
    <row r="252" customHeight="1" spans="7:35">
      <c r="G252" s="1"/>
      <c r="H252" s="1"/>
      <c r="S252" s="1"/>
      <c r="AE252" s="14"/>
      <c r="AI252" s="1"/>
    </row>
    <row r="253" customHeight="1" spans="7:35">
      <c r="G253" s="1"/>
      <c r="H253" s="1"/>
      <c r="S253" s="1"/>
      <c r="AE253" s="14"/>
      <c r="AI253" s="1"/>
    </row>
    <row r="254" customHeight="1" spans="7:35">
      <c r="G254" s="1"/>
      <c r="H254" s="1"/>
      <c r="S254" s="1"/>
      <c r="AE254" s="14"/>
      <c r="AI254" s="1"/>
    </row>
    <row r="255" customHeight="1" spans="7:35">
      <c r="G255" s="1"/>
      <c r="H255" s="1"/>
      <c r="S255" s="1"/>
      <c r="AE255" s="14"/>
      <c r="AI255" s="1"/>
    </row>
    <row r="256" customHeight="1" spans="7:35">
      <c r="G256" s="1"/>
      <c r="H256" s="1"/>
      <c r="S256" s="1"/>
      <c r="AE256" s="14"/>
      <c r="AI256" s="1"/>
    </row>
    <row r="257" customHeight="1" spans="7:35">
      <c r="G257" s="1"/>
      <c r="H257" s="1"/>
      <c r="S257" s="1"/>
      <c r="AE257" s="14"/>
      <c r="AI257" s="1"/>
    </row>
    <row r="258" customHeight="1" spans="7:35">
      <c r="G258" s="1"/>
      <c r="H258" s="1"/>
      <c r="S258" s="1"/>
      <c r="AE258" s="14"/>
      <c r="AI258" s="1"/>
    </row>
    <row r="259" customHeight="1" spans="7:35">
      <c r="G259" s="1"/>
      <c r="H259" s="1"/>
      <c r="S259" s="1"/>
      <c r="AE259" s="14"/>
      <c r="AI259" s="1"/>
    </row>
    <row r="260" customHeight="1" spans="7:35">
      <c r="G260" s="1"/>
      <c r="H260" s="1"/>
      <c r="S260" s="1"/>
      <c r="AE260" s="14"/>
      <c r="AI260" s="1"/>
    </row>
    <row r="261" customHeight="1" spans="7:35">
      <c r="G261" s="1"/>
      <c r="H261" s="1"/>
      <c r="S261" s="1"/>
      <c r="AE261" s="14"/>
      <c r="AI261" s="1"/>
    </row>
    <row r="262" customHeight="1" spans="7:35">
      <c r="G262" s="1"/>
      <c r="H262" s="1"/>
      <c r="S262" s="1"/>
      <c r="AE262" s="14"/>
      <c r="AI262" s="1"/>
    </row>
    <row r="263" customHeight="1" spans="7:35">
      <c r="G263" s="1"/>
      <c r="H263" s="1"/>
      <c r="S263" s="1"/>
      <c r="AE263" s="14"/>
      <c r="AI263" s="1"/>
    </row>
    <row r="264" customHeight="1" spans="7:35">
      <c r="G264" s="1"/>
      <c r="H264" s="1"/>
      <c r="S264" s="1"/>
      <c r="AE264" s="14"/>
      <c r="AI264" s="1"/>
    </row>
    <row r="265" customHeight="1" spans="7:35">
      <c r="G265" s="1"/>
      <c r="H265" s="1"/>
      <c r="S265" s="1"/>
      <c r="AE265" s="14"/>
      <c r="AI265" s="1"/>
    </row>
    <row r="266" customHeight="1" spans="7:35">
      <c r="G266" s="1"/>
      <c r="H266" s="1"/>
      <c r="S266" s="1"/>
      <c r="AE266" s="14"/>
      <c r="AI266" s="1"/>
    </row>
    <row r="267" customHeight="1" spans="7:35">
      <c r="G267" s="1"/>
      <c r="H267" s="1"/>
      <c r="S267" s="1"/>
      <c r="AE267" s="14"/>
      <c r="AI267" s="1"/>
    </row>
    <row r="268" customHeight="1" spans="7:35">
      <c r="G268" s="1"/>
      <c r="H268" s="1"/>
      <c r="S268" s="1"/>
      <c r="AE268" s="14"/>
      <c r="AI268" s="1"/>
    </row>
    <row r="269" customHeight="1" spans="7:35">
      <c r="G269" s="1"/>
      <c r="H269" s="1"/>
      <c r="S269" s="1"/>
      <c r="AE269" s="14"/>
      <c r="AI269" s="1"/>
    </row>
    <row r="270" customHeight="1" spans="7:35">
      <c r="G270" s="1"/>
      <c r="H270" s="1"/>
      <c r="S270" s="1"/>
      <c r="AE270" s="14"/>
      <c r="AI270" s="1"/>
    </row>
    <row r="271" customHeight="1" spans="7:35">
      <c r="G271" s="1"/>
      <c r="H271" s="1"/>
      <c r="S271" s="1"/>
      <c r="AE271" s="14"/>
      <c r="AI271" s="1"/>
    </row>
    <row r="272" customHeight="1" spans="7:35">
      <c r="G272" s="1"/>
      <c r="H272" s="1"/>
      <c r="S272" s="1"/>
      <c r="AE272" s="14"/>
      <c r="AI272" s="1"/>
    </row>
    <row r="273" customHeight="1" spans="7:35">
      <c r="G273" s="1"/>
      <c r="H273" s="1"/>
      <c r="S273" s="1"/>
      <c r="AE273" s="14"/>
      <c r="AI273" s="1"/>
    </row>
    <row r="274" customHeight="1" spans="7:35">
      <c r="G274" s="1"/>
      <c r="H274" s="1"/>
      <c r="S274" s="1"/>
      <c r="AE274" s="14"/>
      <c r="AI274" s="1"/>
    </row>
    <row r="275" customHeight="1" spans="7:35">
      <c r="G275" s="1"/>
      <c r="H275" s="1"/>
      <c r="S275" s="1"/>
      <c r="AE275" s="14"/>
      <c r="AI275" s="1"/>
    </row>
    <row r="276" customHeight="1" spans="7:35">
      <c r="G276" s="1"/>
      <c r="H276" s="1"/>
      <c r="S276" s="1"/>
      <c r="AE276" s="14"/>
      <c r="AI276" s="1"/>
    </row>
    <row r="277" customHeight="1" spans="7:35">
      <c r="G277" s="1"/>
      <c r="H277" s="1"/>
      <c r="S277" s="1"/>
      <c r="AE277" s="14"/>
      <c r="AI277" s="1"/>
    </row>
    <row r="278" customHeight="1" spans="7:35">
      <c r="G278" s="1"/>
      <c r="H278" s="1"/>
      <c r="S278" s="1"/>
      <c r="AE278" s="14"/>
      <c r="AI278" s="1"/>
    </row>
    <row r="279" customHeight="1" spans="7:35">
      <c r="G279" s="1"/>
      <c r="H279" s="1"/>
      <c r="S279" s="1"/>
      <c r="AE279" s="14"/>
      <c r="AI279" s="1"/>
    </row>
    <row r="280" customHeight="1" spans="7:35">
      <c r="G280" s="1"/>
      <c r="H280" s="1"/>
      <c r="S280" s="1"/>
      <c r="AE280" s="14"/>
      <c r="AI280" s="1"/>
    </row>
    <row r="281" customHeight="1" spans="7:35">
      <c r="G281" s="1"/>
      <c r="H281" s="1"/>
      <c r="S281" s="1"/>
      <c r="AE281" s="14"/>
      <c r="AI281" s="1"/>
    </row>
    <row r="282" customHeight="1" spans="7:35">
      <c r="G282" s="1"/>
      <c r="H282" s="1"/>
      <c r="S282" s="1"/>
      <c r="AE282" s="14"/>
      <c r="AI282" s="1"/>
    </row>
    <row r="283" customHeight="1" spans="7:35">
      <c r="G283" s="1"/>
      <c r="H283" s="1"/>
      <c r="S283" s="1"/>
      <c r="AE283" s="14"/>
      <c r="AI283" s="1"/>
    </row>
    <row r="284" customHeight="1" spans="7:35">
      <c r="G284" s="1"/>
      <c r="H284" s="1"/>
      <c r="S284" s="1"/>
      <c r="AE284" s="14"/>
      <c r="AI284" s="1"/>
    </row>
    <row r="285" customHeight="1" spans="7:35">
      <c r="G285" s="1"/>
      <c r="H285" s="1"/>
      <c r="S285" s="1"/>
      <c r="AE285" s="14"/>
      <c r="AI285" s="1"/>
    </row>
    <row r="286" customHeight="1" spans="7:35">
      <c r="G286" s="1"/>
      <c r="H286" s="1"/>
      <c r="S286" s="1"/>
      <c r="AE286" s="14"/>
      <c r="AI286" s="1"/>
    </row>
    <row r="287" customHeight="1" spans="7:35">
      <c r="G287" s="1"/>
      <c r="H287" s="1"/>
      <c r="S287" s="1"/>
      <c r="AE287" s="14"/>
      <c r="AI287" s="1"/>
    </row>
    <row r="288" customHeight="1" spans="7:35">
      <c r="G288" s="1"/>
      <c r="H288" s="1"/>
      <c r="S288" s="1"/>
      <c r="AE288" s="14"/>
      <c r="AI288" s="1"/>
    </row>
    <row r="289" customHeight="1" spans="7:35">
      <c r="G289" s="1"/>
      <c r="H289" s="1"/>
      <c r="S289" s="1"/>
      <c r="AE289" s="14"/>
      <c r="AI289" s="1"/>
    </row>
    <row r="290" customHeight="1" spans="7:35">
      <c r="G290" s="1"/>
      <c r="H290" s="1"/>
      <c r="S290" s="1"/>
      <c r="AE290" s="14"/>
      <c r="AI290" s="1"/>
    </row>
    <row r="291" customHeight="1" spans="7:35">
      <c r="G291" s="1"/>
      <c r="H291" s="1"/>
      <c r="S291" s="1"/>
      <c r="AE291" s="14"/>
      <c r="AI291" s="1"/>
    </row>
    <row r="292" customHeight="1" spans="7:35">
      <c r="G292" s="1"/>
      <c r="H292" s="1"/>
      <c r="S292" s="1"/>
      <c r="AE292" s="14"/>
      <c r="AI292" s="1"/>
    </row>
    <row r="293" customHeight="1" spans="7:35">
      <c r="G293" s="1"/>
      <c r="H293" s="1"/>
      <c r="S293" s="1"/>
      <c r="AE293" s="14"/>
      <c r="AI293" s="1"/>
    </row>
    <row r="294" customHeight="1" spans="7:35">
      <c r="G294" s="1"/>
      <c r="H294" s="1"/>
      <c r="S294" s="1"/>
      <c r="AE294" s="14"/>
      <c r="AI294" s="1"/>
    </row>
    <row r="295" customHeight="1" spans="7:35">
      <c r="G295" s="1"/>
      <c r="H295" s="1"/>
      <c r="S295" s="1"/>
      <c r="AE295" s="14"/>
      <c r="AI295" s="1"/>
    </row>
    <row r="296" customHeight="1" spans="7:35">
      <c r="G296" s="1"/>
      <c r="H296" s="1"/>
      <c r="S296" s="1"/>
      <c r="AE296" s="14"/>
      <c r="AI296" s="1"/>
    </row>
    <row r="297" customHeight="1" spans="7:35">
      <c r="G297" s="1"/>
      <c r="H297" s="1"/>
      <c r="S297" s="1"/>
      <c r="AE297" s="14"/>
      <c r="AI297" s="1"/>
    </row>
    <row r="298" customHeight="1" spans="7:35">
      <c r="G298" s="1"/>
      <c r="H298" s="1"/>
      <c r="S298" s="1"/>
      <c r="AE298" s="14"/>
      <c r="AI298" s="1"/>
    </row>
    <row r="299" customHeight="1" spans="7:35">
      <c r="G299" s="1"/>
      <c r="H299" s="1"/>
      <c r="S299" s="1"/>
      <c r="AE299" s="14"/>
      <c r="AI299" s="1"/>
    </row>
    <row r="300" customHeight="1" spans="7:35">
      <c r="G300" s="1"/>
      <c r="H300" s="1"/>
      <c r="S300" s="1"/>
      <c r="AE300" s="14"/>
      <c r="AI300" s="1"/>
    </row>
    <row r="301" customHeight="1" spans="7:35">
      <c r="G301" s="1"/>
      <c r="H301" s="1"/>
      <c r="S301" s="1"/>
      <c r="AE301" s="14"/>
      <c r="AI301" s="1"/>
    </row>
    <row r="302" customHeight="1" spans="7:35">
      <c r="G302" s="1"/>
      <c r="H302" s="1"/>
      <c r="S302" s="1"/>
      <c r="AE302" s="14"/>
      <c r="AI302" s="1"/>
    </row>
    <row r="303" customHeight="1" spans="7:35">
      <c r="G303" s="1"/>
      <c r="H303" s="1"/>
      <c r="S303" s="1"/>
      <c r="AE303" s="14"/>
      <c r="AI303" s="1"/>
    </row>
    <row r="304" customHeight="1" spans="7:35">
      <c r="G304" s="1"/>
      <c r="H304" s="1"/>
      <c r="S304" s="1"/>
      <c r="AE304" s="14"/>
      <c r="AI304" s="1"/>
    </row>
    <row r="305" customHeight="1" spans="7:35">
      <c r="G305" s="1"/>
      <c r="H305" s="1"/>
      <c r="S305" s="1"/>
      <c r="AE305" s="14"/>
      <c r="AI305" s="1"/>
    </row>
    <row r="306" customHeight="1" spans="7:35">
      <c r="G306" s="1"/>
      <c r="H306" s="1"/>
      <c r="S306" s="1"/>
      <c r="AE306" s="14"/>
      <c r="AI306" s="1"/>
    </row>
    <row r="307" customHeight="1" spans="7:35">
      <c r="G307" s="1"/>
      <c r="H307" s="1"/>
      <c r="S307" s="1"/>
      <c r="AE307" s="14"/>
      <c r="AI307" s="1"/>
    </row>
    <row r="308" customHeight="1" spans="7:35">
      <c r="G308" s="1"/>
      <c r="H308" s="1"/>
      <c r="S308" s="1"/>
      <c r="AE308" s="14"/>
      <c r="AI308" s="1"/>
    </row>
    <row r="309" customHeight="1" spans="7:35">
      <c r="G309" s="1"/>
      <c r="H309" s="1"/>
      <c r="S309" s="1"/>
      <c r="AE309" s="14"/>
      <c r="AI309" s="1"/>
    </row>
    <row r="310" customHeight="1" spans="7:35">
      <c r="G310" s="1"/>
      <c r="H310" s="1"/>
      <c r="S310" s="1"/>
      <c r="AE310" s="14"/>
      <c r="AI310" s="1"/>
    </row>
    <row r="311" customHeight="1" spans="7:35">
      <c r="G311" s="1"/>
      <c r="H311" s="1"/>
      <c r="S311" s="1"/>
      <c r="AE311" s="14"/>
      <c r="AI311" s="1"/>
    </row>
    <row r="312" customHeight="1" spans="7:35">
      <c r="G312" s="1"/>
      <c r="H312" s="1"/>
      <c r="S312" s="1"/>
      <c r="AE312" s="14"/>
      <c r="AI312" s="1"/>
    </row>
    <row r="313" customHeight="1" spans="7:35">
      <c r="G313" s="1"/>
      <c r="H313" s="1"/>
      <c r="S313" s="1"/>
      <c r="AE313" s="14"/>
      <c r="AI313" s="1"/>
    </row>
    <row r="314" customHeight="1" spans="7:35">
      <c r="G314" s="1"/>
      <c r="H314" s="1"/>
      <c r="S314" s="1"/>
      <c r="AE314" s="14"/>
      <c r="AI314" s="1"/>
    </row>
    <row r="315" customHeight="1" spans="7:35">
      <c r="G315" s="1"/>
      <c r="H315" s="1"/>
      <c r="S315" s="1"/>
      <c r="AE315" s="14"/>
      <c r="AI315" s="1"/>
    </row>
    <row r="316" customHeight="1" spans="7:35">
      <c r="G316" s="1"/>
      <c r="H316" s="1"/>
      <c r="S316" s="1"/>
      <c r="AE316" s="14"/>
      <c r="AI316" s="1"/>
    </row>
    <row r="317" customHeight="1" spans="7:35">
      <c r="G317" s="1"/>
      <c r="H317" s="1"/>
      <c r="S317" s="1"/>
      <c r="AE317" s="14"/>
      <c r="AI317" s="1"/>
    </row>
    <row r="318" customHeight="1" spans="7:35">
      <c r="G318" s="1"/>
      <c r="H318" s="1"/>
      <c r="S318" s="1"/>
      <c r="AE318" s="14"/>
      <c r="AI318" s="1"/>
    </row>
    <row r="319" customHeight="1" spans="7:35">
      <c r="G319" s="1"/>
      <c r="H319" s="1"/>
      <c r="S319" s="1"/>
      <c r="AE319" s="14"/>
      <c r="AI319" s="1"/>
    </row>
    <row r="320" customHeight="1" spans="7:35">
      <c r="G320" s="1"/>
      <c r="H320" s="1"/>
      <c r="S320" s="1"/>
      <c r="AE320" s="14"/>
      <c r="AI320" s="1"/>
    </row>
    <row r="321" customHeight="1" spans="7:35">
      <c r="G321" s="1"/>
      <c r="H321" s="1"/>
      <c r="S321" s="1"/>
      <c r="AE321" s="14"/>
      <c r="AI321" s="1"/>
    </row>
    <row r="322" customHeight="1" spans="7:35">
      <c r="G322" s="1"/>
      <c r="H322" s="1"/>
      <c r="S322" s="1"/>
      <c r="AE322" s="14"/>
      <c r="AI322" s="1"/>
    </row>
  </sheetData>
  <conditionalFormatting sqref="G1:J1 N1:O1 Y1">
    <cfRule type="cellIs" dxfId="2" priority="69" operator="lessThanOrEqual">
      <formula>0</formula>
    </cfRule>
  </conditionalFormatting>
  <conditionalFormatting sqref="G2:G172 G174:I197 G199:I222 H2:I145 H147:J172 J22:J26 J47:J51 J64:J68 J84:J88 J101:J105 J118:J122 J135:J145 J194:J197 J219:J222 Y26:Z26 Y51:Z51 Y68:Z68 Y88:Z88 Y105:Z105 Y122:Z122 Y139:Z145 Y147:Y167 Y172:Z172 Z147:Z152 AA22:AA26 AA47:AA51 AA64:AA68 AA84:AA88 AA101:AA105 AA118:AA122 AA135:AA145 AA147:AA172 AA194:AA197 AA219:AA222">
    <cfRule type="cellIs" dxfId="2" priority="65" operator="lessThanOrEqual">
      <formula>0</formula>
    </cfRule>
  </conditionalFormatting>
  <conditionalFormatting sqref="J2:J5 J27:J30 J174:J177 J199:J202">
    <cfRule type="cellIs" dxfId="2" priority="33" operator="lessThanOrEqual">
      <formula>0</formula>
    </cfRule>
  </conditionalFormatting>
  <conditionalFormatting sqref="J2:J5 J27:J30 J174:J177 J199:J202 Y2:Z25 Y27:Z50 Y52:Z67 Y69:Z87 Y89:Z104 Y106:Z121 Y123:Z138 Y168:Y171 Y174:Z197 Y199:Z222 Z153:Z171 AA2:AA5 AA27:AA30 AA174:AA177 AA199:AA202">
    <cfRule type="cellIs" dxfId="2" priority="110" operator="lessThanOrEqual">
      <formula>0</formula>
    </cfRule>
  </conditionalFormatting>
  <conditionalFormatting sqref="J6:J21 J25:J26 J31:J46 J50:J63 J67:J83 J87:J100 J104:J117 J121:J134 J138:J145 J147:J172 J178:J193 J197 J203:J218 J222 Y26:Z26 Y51:Z51 Y68:Z68 Y88:Z88 Y105:Z105 Y122:Z122 Y139:Z145 Y147:Y167 Y172:Z172 Z147:Z152 AA6:AA21 AA25:AA26 AA31:AA46 AA50:AA63 AA67:AA83 AA87:AA100 AA104:AA117 AA121:AA134 AA138:AA145 AA147:AA172 AA178:AA193 AA197 AA203:AA218 AA222">
    <cfRule type="cellIs" dxfId="2" priority="38" operator="lessThanOrEqual">
      <formula>0</formula>
    </cfRule>
  </conditionalFormatting>
  <conditionalFormatting sqref="J22:J26 J47:J51 J64:J68 J84:J88 J101:J105 J118:J122 J135:J145 J147:J172 J194:J197 J219:J222">
    <cfRule type="cellIs" dxfId="2" priority="1" operator="lessThanOrEqual">
      <formula>0</formula>
    </cfRule>
  </conditionalFormatting>
  <conditionalFormatting sqref="J22:J26 J47:J51 J64:J68 J84:J88 J101:J105 J118:J122 J135:J145 J147:J172 J194:J197 J219:J222 Y26:Z26 Y51:Z51 Y68:Z68 Y88:Z88 Y105:Z105 Y122:Z122 Y139:Z145 Y147:Y167 Y172:Z172 Z147:Z152 AA22:AA26 AA47:AA51 AA64:AA68 AA84:AA88 AA101:AA105 AA118:AA122 AA135:AA145 AA147:AA172 AA194:AA197 AA219:AA222">
    <cfRule type="cellIs" dxfId="2" priority="2" operator="lessThanOrEqual">
      <formula>0</formula>
    </cfRule>
  </conditionalFormatting>
  <conditionalFormatting sqref="J24:J26 J49:J51 J66:J68 J86:J88 J103:J105 J120:J122 J137:J145 J147:J172 J196:J197 J221:J222">
    <cfRule type="cellIs" dxfId="2" priority="3" operator="lessThanOrEqual">
      <formula>0</formula>
    </cfRule>
  </conditionalFormatting>
  <conditionalFormatting sqref="J24:J26 J49:J51 J66:J68 J86:J88 J103:J105 J120:J122 J137:J145 J147:J172 J196:J197 J221:J222 Y26:Z26 Y51:Z51 Y68:Z68 Y88:Z88 Y105:Z105 Y122:Z122 Y139:Z145 Y147:Y167 Y172:Z172 Z147:Z152 AA24:AA26 AA49:AA51 AA66:AA68 AA86:AA88 AA103:AA105 AA120:AA122 AA137:AA145 AA147:AA172 AA196:AA197 AA221:AA222">
    <cfRule type="cellIs" dxfId="2" priority="4" operator="lessThanOrEqual">
      <formula>0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204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A20" sqref="A20:A27"/>
    </sheetView>
  </sheetViews>
  <sheetFormatPr defaultColWidth="17" defaultRowHeight="16.5" customHeight="1"/>
  <cols>
    <col min="1" max="1" width="16.40625" customWidth="1"/>
    <col min="2" max="2" width="8.20833333333333" customWidth="1"/>
    <col min="3" max="3" width="8.89583333333333" customWidth="1"/>
    <col min="4" max="4" width="32.125" customWidth="1"/>
    <col min="5" max="7" width="10.4791666666667" customWidth="1"/>
    <col min="8" max="18" width="8.89583333333333" customWidth="1"/>
    <col min="19" max="27" width="7.67708333333333" customWidth="1"/>
    <col min="28" max="28" width="9.08333333333333" customWidth="1"/>
    <col min="29" max="29" width="8.89583333333333" customWidth="1"/>
    <col min="30" max="49" width="9.08333333333333" customWidth="1"/>
    <col min="50" max="58" width="6.45833333333333" customWidth="1"/>
    <col min="59" max="80" width="7.67708333333333" customWidth="1"/>
    <col min="81" max="89" width="6.45833333333333" customWidth="1"/>
    <col min="90" max="108" width="7.67708333333333" customWidth="1"/>
    <col min="109" max="119" width="16.59375" customWidth="1"/>
  </cols>
  <sheetData>
    <row r="1" customHeight="1" spans="1:119">
      <c r="A1" s="145" t="s">
        <v>0</v>
      </c>
      <c r="B1" s="145" t="s">
        <v>345</v>
      </c>
      <c r="C1" s="145" t="s">
        <v>231</v>
      </c>
      <c r="D1" s="145" t="s">
        <v>446</v>
      </c>
      <c r="E1" s="146">
        <v>45978</v>
      </c>
      <c r="F1" s="146">
        <v>45979</v>
      </c>
      <c r="G1" s="146">
        <v>45980</v>
      </c>
      <c r="H1" s="146">
        <v>45981</v>
      </c>
      <c r="I1" s="146">
        <v>45982</v>
      </c>
      <c r="J1" s="146">
        <v>45983</v>
      </c>
      <c r="K1" s="146">
        <v>45984</v>
      </c>
      <c r="L1" s="146">
        <v>45985</v>
      </c>
      <c r="M1" s="146">
        <v>45986</v>
      </c>
      <c r="N1" s="146">
        <v>45987</v>
      </c>
      <c r="O1" s="146">
        <v>45988</v>
      </c>
      <c r="P1" s="146">
        <v>45989</v>
      </c>
      <c r="Q1" s="146">
        <v>45990</v>
      </c>
      <c r="R1" s="146">
        <v>45991</v>
      </c>
      <c r="S1" s="146">
        <v>45992</v>
      </c>
      <c r="T1" s="146">
        <v>45993</v>
      </c>
      <c r="U1" s="146">
        <v>45994</v>
      </c>
      <c r="V1" s="146">
        <v>45995</v>
      </c>
      <c r="W1" s="146">
        <v>45996</v>
      </c>
      <c r="X1" s="146">
        <v>45997</v>
      </c>
      <c r="Y1" s="146">
        <v>45998</v>
      </c>
      <c r="Z1" s="146">
        <v>45999</v>
      </c>
      <c r="AA1" s="146">
        <v>46000</v>
      </c>
      <c r="AB1" s="146">
        <v>46001</v>
      </c>
      <c r="AC1" s="146">
        <v>46002</v>
      </c>
      <c r="AD1" s="146">
        <v>46003</v>
      </c>
      <c r="AE1" s="146">
        <v>46004</v>
      </c>
      <c r="AF1" s="146">
        <v>46005</v>
      </c>
      <c r="AG1" s="146">
        <v>46006</v>
      </c>
      <c r="AH1" s="146">
        <v>46007</v>
      </c>
      <c r="AI1" s="146">
        <v>46008</v>
      </c>
      <c r="AJ1" s="146">
        <v>46009</v>
      </c>
      <c r="AK1" s="146">
        <v>46010</v>
      </c>
      <c r="AL1" s="146">
        <v>46011</v>
      </c>
      <c r="AM1" s="146">
        <v>46012</v>
      </c>
      <c r="AN1" s="146">
        <v>46013</v>
      </c>
      <c r="AO1" s="146">
        <v>46014</v>
      </c>
      <c r="AP1" s="146">
        <v>46015</v>
      </c>
      <c r="AQ1" s="146">
        <v>46016</v>
      </c>
      <c r="AR1" s="146">
        <v>46017</v>
      </c>
      <c r="AS1" s="146">
        <v>46018</v>
      </c>
      <c r="AT1" s="146">
        <v>46019</v>
      </c>
      <c r="AU1" s="146">
        <v>46020</v>
      </c>
      <c r="AV1" s="146">
        <v>46021</v>
      </c>
      <c r="AW1" s="146">
        <v>46022</v>
      </c>
      <c r="AX1" s="146">
        <v>46023</v>
      </c>
      <c r="AY1" s="146">
        <v>46024</v>
      </c>
      <c r="AZ1" s="146">
        <v>46025</v>
      </c>
      <c r="BA1" s="146">
        <v>46026</v>
      </c>
      <c r="BB1" s="146">
        <v>46027</v>
      </c>
      <c r="BC1" s="146">
        <v>46028</v>
      </c>
      <c r="BD1" s="146">
        <v>46029</v>
      </c>
      <c r="BE1" s="146">
        <v>46030</v>
      </c>
      <c r="BF1" s="146">
        <v>46031</v>
      </c>
      <c r="BG1" s="146">
        <v>46032</v>
      </c>
      <c r="BH1" s="146">
        <v>46033</v>
      </c>
      <c r="BI1" s="146">
        <v>46034</v>
      </c>
      <c r="BJ1" s="146">
        <v>46035</v>
      </c>
      <c r="BK1" s="146">
        <v>46036</v>
      </c>
      <c r="BL1" s="146">
        <v>46037</v>
      </c>
      <c r="BM1" s="146">
        <v>46038</v>
      </c>
      <c r="BN1" s="146">
        <v>46039</v>
      </c>
      <c r="BO1" s="146">
        <v>46040</v>
      </c>
      <c r="BP1" s="146">
        <v>46041</v>
      </c>
      <c r="BQ1" s="146">
        <v>46042</v>
      </c>
      <c r="BR1" s="146">
        <v>46043</v>
      </c>
      <c r="BS1" s="146">
        <v>46044</v>
      </c>
      <c r="BT1" s="146">
        <v>46045</v>
      </c>
      <c r="BU1" s="146">
        <v>46046</v>
      </c>
      <c r="BV1" s="146">
        <v>46047</v>
      </c>
      <c r="BW1" s="146">
        <v>46048</v>
      </c>
      <c r="BX1" s="146">
        <v>46049</v>
      </c>
      <c r="BY1" s="146">
        <v>46050</v>
      </c>
      <c r="BZ1" s="146">
        <v>46051</v>
      </c>
      <c r="CA1" s="146">
        <v>46052</v>
      </c>
      <c r="CB1" s="146">
        <v>46053</v>
      </c>
      <c r="CC1" s="146">
        <v>46054</v>
      </c>
      <c r="CD1" s="146">
        <v>46055</v>
      </c>
      <c r="CE1" s="146">
        <v>46056</v>
      </c>
      <c r="CF1" s="146">
        <v>46057</v>
      </c>
      <c r="CG1" s="146">
        <v>46058</v>
      </c>
      <c r="CH1" s="146">
        <v>46059</v>
      </c>
      <c r="CI1" s="146">
        <v>46060</v>
      </c>
      <c r="CJ1" s="146">
        <v>46061</v>
      </c>
      <c r="CK1" s="146">
        <v>46062</v>
      </c>
      <c r="CL1" s="146">
        <v>46063</v>
      </c>
      <c r="CM1" s="146">
        <v>46064</v>
      </c>
      <c r="CN1" s="146">
        <v>46065</v>
      </c>
      <c r="CO1" s="146">
        <v>46066</v>
      </c>
      <c r="CP1" s="146">
        <v>46067</v>
      </c>
      <c r="CQ1" s="146">
        <v>46068</v>
      </c>
      <c r="CR1" s="146">
        <v>46069</v>
      </c>
      <c r="CS1" s="146">
        <v>46070</v>
      </c>
      <c r="CT1" s="146">
        <v>46071</v>
      </c>
      <c r="CU1" s="146">
        <v>46072</v>
      </c>
      <c r="CV1" s="146">
        <v>46073</v>
      </c>
      <c r="CW1" s="146">
        <v>46074</v>
      </c>
      <c r="CX1" s="146">
        <v>46075</v>
      </c>
      <c r="CY1" s="146">
        <v>46076</v>
      </c>
      <c r="CZ1" s="146">
        <v>46077</v>
      </c>
      <c r="DA1" s="146">
        <v>46078</v>
      </c>
      <c r="DB1" s="146">
        <v>46079</v>
      </c>
      <c r="DC1" s="146">
        <v>46080</v>
      </c>
      <c r="DD1" s="146">
        <v>46081</v>
      </c>
      <c r="DE1" s="147"/>
      <c r="DF1" s="147"/>
      <c r="DG1" s="147"/>
      <c r="DH1" s="147"/>
      <c r="DI1" s="147"/>
      <c r="DJ1" s="147"/>
      <c r="DK1" s="147"/>
      <c r="DL1" s="147"/>
      <c r="DM1" s="147"/>
      <c r="DN1" s="147"/>
      <c r="DO1" s="147"/>
    </row>
    <row r="2" customHeight="1" spans="1:119">
      <c r="A2" s="148"/>
      <c r="B2" s="149" t="s">
        <v>280</v>
      </c>
      <c r="C2" s="1" t="s">
        <v>447</v>
      </c>
      <c r="D2" s="150">
        <v>0.15</v>
      </c>
      <c r="E2" s="15" t="s">
        <v>320</v>
      </c>
      <c r="F2" s="15" t="s">
        <v>320</v>
      </c>
      <c r="G2" s="15" t="s">
        <v>320</v>
      </c>
      <c r="H2" s="15" t="s">
        <v>320</v>
      </c>
      <c r="I2" s="15" t="s">
        <v>320</v>
      </c>
      <c r="J2" s="15" t="s">
        <v>320</v>
      </c>
      <c r="K2" s="15" t="s">
        <v>320</v>
      </c>
      <c r="L2" s="15" t="s">
        <v>320</v>
      </c>
      <c r="M2" s="15" t="s">
        <v>320</v>
      </c>
      <c r="N2" s="15" t="s">
        <v>320</v>
      </c>
      <c r="O2" s="15" t="s">
        <v>320</v>
      </c>
      <c r="P2" s="15" t="s">
        <v>320</v>
      </c>
      <c r="Q2" s="15" t="s">
        <v>320</v>
      </c>
      <c r="R2" s="15" t="s">
        <v>320</v>
      </c>
      <c r="S2" s="15" t="s">
        <v>320</v>
      </c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</row>
    <row r="3" customHeight="1" spans="1:119">
      <c r="A3" s="19"/>
      <c r="B3" s="149"/>
      <c r="C3" s="19" t="s">
        <v>446</v>
      </c>
      <c r="D3" s="49" t="s">
        <v>448</v>
      </c>
      <c r="E3" s="151" t="s">
        <v>449</v>
      </c>
      <c r="F3" s="151"/>
      <c r="G3" s="151"/>
      <c r="H3" s="152" t="s">
        <v>450</v>
      </c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</row>
    <row r="4" customHeight="1" spans="1:119">
      <c r="A4" s="19"/>
      <c r="B4" s="149" t="s">
        <v>285</v>
      </c>
      <c r="C4" s="19" t="s">
        <v>447</v>
      </c>
      <c r="D4" s="150">
        <v>0.15</v>
      </c>
      <c r="E4" s="15" t="s">
        <v>320</v>
      </c>
      <c r="F4" s="15" t="s">
        <v>320</v>
      </c>
      <c r="G4" s="15" t="s">
        <v>320</v>
      </c>
      <c r="H4" s="15" t="s">
        <v>320</v>
      </c>
      <c r="I4" s="15" t="s">
        <v>320</v>
      </c>
      <c r="J4" s="15" t="s">
        <v>320</v>
      </c>
      <c r="K4" s="15" t="s">
        <v>320</v>
      </c>
      <c r="L4" s="15" t="s">
        <v>320</v>
      </c>
      <c r="M4" s="15" t="s">
        <v>320</v>
      </c>
      <c r="N4" s="15" t="s">
        <v>320</v>
      </c>
      <c r="O4" s="15" t="s">
        <v>320</v>
      </c>
      <c r="P4" s="15" t="s">
        <v>320</v>
      </c>
      <c r="Q4" s="15" t="s">
        <v>320</v>
      </c>
      <c r="R4" s="15" t="s">
        <v>320</v>
      </c>
      <c r="S4" s="15" t="s">
        <v>320</v>
      </c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</row>
    <row r="5" customHeight="1" spans="1:119">
      <c r="A5" s="19"/>
      <c r="B5" s="149"/>
      <c r="C5" s="19" t="s">
        <v>446</v>
      </c>
      <c r="D5" s="49" t="s">
        <v>451</v>
      </c>
      <c r="E5" s="151" t="s">
        <v>452</v>
      </c>
      <c r="F5" s="151"/>
      <c r="G5" s="151"/>
      <c r="H5" s="152" t="s">
        <v>453</v>
      </c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</row>
    <row r="6" customHeight="1" spans="1:119">
      <c r="A6" s="19"/>
      <c r="B6" s="149" t="s">
        <v>287</v>
      </c>
      <c r="C6" s="19" t="s">
        <v>447</v>
      </c>
      <c r="D6" s="150">
        <v>0.15</v>
      </c>
      <c r="E6" s="15" t="s">
        <v>320</v>
      </c>
      <c r="F6" s="15" t="s">
        <v>320</v>
      </c>
      <c r="G6" s="15" t="s">
        <v>320</v>
      </c>
      <c r="H6" s="15" t="s">
        <v>320</v>
      </c>
      <c r="I6" s="15" t="s">
        <v>320</v>
      </c>
      <c r="J6" s="15" t="s">
        <v>320</v>
      </c>
      <c r="K6" s="15" t="s">
        <v>320</v>
      </c>
      <c r="L6" s="15" t="s">
        <v>320</v>
      </c>
      <c r="M6" s="15" t="s">
        <v>320</v>
      </c>
      <c r="N6" s="15" t="s">
        <v>320</v>
      </c>
      <c r="O6" s="15" t="s">
        <v>320</v>
      </c>
      <c r="P6" s="15" t="s">
        <v>320</v>
      </c>
      <c r="Q6" s="15" t="s">
        <v>320</v>
      </c>
      <c r="R6" s="15" t="s">
        <v>320</v>
      </c>
      <c r="S6" s="15" t="s">
        <v>320</v>
      </c>
      <c r="T6" s="15" t="s">
        <v>320</v>
      </c>
      <c r="U6" s="15" t="s">
        <v>320</v>
      </c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</row>
    <row r="7" customHeight="1" spans="1:119">
      <c r="A7" s="19"/>
      <c r="B7" s="149"/>
      <c r="C7" s="19" t="s">
        <v>446</v>
      </c>
      <c r="D7" s="49" t="s">
        <v>454</v>
      </c>
      <c r="E7" s="153" t="s">
        <v>449</v>
      </c>
      <c r="F7" s="151"/>
      <c r="G7" s="151"/>
      <c r="H7" s="152" t="s">
        <v>455</v>
      </c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</row>
    <row r="8" customHeight="1" spans="1:119">
      <c r="A8" s="19"/>
      <c r="B8" s="149" t="s">
        <v>290</v>
      </c>
      <c r="C8" s="19" t="s">
        <v>447</v>
      </c>
      <c r="D8" s="150">
        <v>0.15</v>
      </c>
      <c r="E8" s="15" t="s">
        <v>320</v>
      </c>
      <c r="F8" s="15" t="s">
        <v>320</v>
      </c>
      <c r="G8" s="15" t="s">
        <v>320</v>
      </c>
      <c r="H8" s="15" t="s">
        <v>320</v>
      </c>
      <c r="I8" s="15" t="s">
        <v>320</v>
      </c>
      <c r="J8" s="15" t="s">
        <v>320</v>
      </c>
      <c r="K8" s="15" t="s">
        <v>320</v>
      </c>
      <c r="L8" s="15" t="s">
        <v>320</v>
      </c>
      <c r="M8" s="15" t="s">
        <v>320</v>
      </c>
      <c r="N8" s="15" t="s">
        <v>320</v>
      </c>
      <c r="O8" s="15" t="s">
        <v>320</v>
      </c>
      <c r="P8" s="15" t="s">
        <v>320</v>
      </c>
      <c r="Q8" s="15" t="s">
        <v>320</v>
      </c>
      <c r="R8" s="15" t="s">
        <v>320</v>
      </c>
      <c r="S8" s="15" t="s">
        <v>320</v>
      </c>
      <c r="T8" s="15" t="s">
        <v>320</v>
      </c>
      <c r="U8" s="15" t="s">
        <v>320</v>
      </c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</row>
    <row r="9" customHeight="1" spans="1:119">
      <c r="A9" s="19"/>
      <c r="B9" s="149"/>
      <c r="C9" s="19" t="s">
        <v>446</v>
      </c>
      <c r="D9" s="49" t="s">
        <v>456</v>
      </c>
      <c r="E9" s="153" t="s">
        <v>449</v>
      </c>
      <c r="F9" s="151"/>
      <c r="G9" s="151"/>
      <c r="H9" s="152" t="s">
        <v>457</v>
      </c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</row>
    <row r="10" customHeight="1" spans="1:119">
      <c r="A10" s="19"/>
      <c r="B10" s="149" t="s">
        <v>86</v>
      </c>
      <c r="C10" s="19" t="s">
        <v>447</v>
      </c>
      <c r="D10" s="150">
        <v>0.15</v>
      </c>
      <c r="E10" s="15" t="s">
        <v>320</v>
      </c>
      <c r="F10" s="15" t="s">
        <v>320</v>
      </c>
      <c r="G10" s="15" t="s">
        <v>320</v>
      </c>
      <c r="H10" s="15" t="s">
        <v>320</v>
      </c>
      <c r="I10" s="15" t="s">
        <v>320</v>
      </c>
      <c r="J10" s="15" t="s">
        <v>320</v>
      </c>
      <c r="K10" s="15" t="s">
        <v>320</v>
      </c>
      <c r="L10" s="15" t="s">
        <v>320</v>
      </c>
      <c r="M10" s="15" t="s">
        <v>320</v>
      </c>
      <c r="N10" s="15" t="s">
        <v>320</v>
      </c>
      <c r="O10" s="15" t="s">
        <v>320</v>
      </c>
      <c r="P10" s="15" t="s">
        <v>320</v>
      </c>
      <c r="Q10" s="15" t="s">
        <v>320</v>
      </c>
      <c r="R10" s="15" t="s">
        <v>320</v>
      </c>
      <c r="S10" s="15" t="s">
        <v>320</v>
      </c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</row>
    <row r="11" customHeight="1" spans="1:119">
      <c r="A11" s="19"/>
      <c r="B11" s="149"/>
      <c r="C11" s="19" t="s">
        <v>446</v>
      </c>
      <c r="D11" s="49" t="s">
        <v>458</v>
      </c>
      <c r="E11" s="15" t="s">
        <v>320</v>
      </c>
      <c r="F11" s="15" t="s">
        <v>320</v>
      </c>
      <c r="G11" s="15" t="s">
        <v>320</v>
      </c>
      <c r="H11" s="152" t="s">
        <v>459</v>
      </c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</row>
    <row r="12" customHeight="1" spans="1:119">
      <c r="A12" s="19"/>
      <c r="B12" s="149" t="s">
        <v>280</v>
      </c>
      <c r="C12" s="1" t="s">
        <v>447</v>
      </c>
      <c r="D12" s="150">
        <v>0.15</v>
      </c>
      <c r="E12" s="45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</row>
    <row r="13" customHeight="1" spans="1:119">
      <c r="A13" s="19"/>
      <c r="B13" s="149"/>
      <c r="C13" s="19" t="s">
        <v>446</v>
      </c>
      <c r="D13" s="49" t="s">
        <v>460</v>
      </c>
      <c r="E13" s="45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</row>
    <row r="14" customHeight="1" spans="1:119">
      <c r="A14" s="19"/>
      <c r="B14" s="149" t="s">
        <v>285</v>
      </c>
      <c r="C14" s="19" t="s">
        <v>447</v>
      </c>
      <c r="D14" s="150">
        <v>0.15</v>
      </c>
      <c r="E14" s="45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</row>
    <row r="15" customHeight="1" spans="1:119">
      <c r="A15" s="19"/>
      <c r="B15" s="149"/>
      <c r="C15" s="19" t="s">
        <v>446</v>
      </c>
      <c r="D15" s="49" t="s">
        <v>461</v>
      </c>
      <c r="E15" s="45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</row>
    <row r="16" customHeight="1" spans="1:119">
      <c r="A16" s="19"/>
      <c r="B16" s="149" t="s">
        <v>287</v>
      </c>
      <c r="C16" s="19" t="s">
        <v>447</v>
      </c>
      <c r="D16" s="150">
        <v>0.15</v>
      </c>
      <c r="E16" s="45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</row>
    <row r="17" customHeight="1" spans="1:119">
      <c r="A17" s="19"/>
      <c r="B17" s="149"/>
      <c r="C17" s="19" t="s">
        <v>446</v>
      </c>
      <c r="D17" s="49" t="s">
        <v>462</v>
      </c>
      <c r="E17" s="45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</row>
    <row r="18" customHeight="1" spans="1:119">
      <c r="A18" s="19"/>
      <c r="B18" s="149" t="s">
        <v>290</v>
      </c>
      <c r="C18" s="19" t="s">
        <v>447</v>
      </c>
      <c r="D18" s="150">
        <v>0.15</v>
      </c>
      <c r="E18" s="45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</row>
    <row r="19" customHeight="1" spans="1:119">
      <c r="A19" s="19"/>
      <c r="B19" s="149"/>
      <c r="C19" s="19" t="s">
        <v>446</v>
      </c>
      <c r="D19" s="49" t="s">
        <v>463</v>
      </c>
      <c r="E19" s="45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</row>
    <row r="20" customHeight="1" spans="1:119">
      <c r="A20" s="148"/>
      <c r="B20" s="149" t="s">
        <v>280</v>
      </c>
      <c r="C20" s="19" t="s">
        <v>447</v>
      </c>
      <c r="D20" s="150">
        <v>0.15</v>
      </c>
      <c r="E20" s="151" t="s">
        <v>464</v>
      </c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</row>
    <row r="21" customHeight="1" spans="1:119">
      <c r="A21" s="19"/>
      <c r="B21" s="149"/>
      <c r="C21" s="19" t="s">
        <v>446</v>
      </c>
      <c r="D21" s="45" t="s">
        <v>465</v>
      </c>
      <c r="E21" s="15" t="s">
        <v>320</v>
      </c>
      <c r="F21" s="15" t="s">
        <v>320</v>
      </c>
      <c r="G21" s="15" t="s">
        <v>320</v>
      </c>
      <c r="H21" s="15" t="s">
        <v>320</v>
      </c>
      <c r="I21" s="15" t="s">
        <v>320</v>
      </c>
      <c r="J21" s="15" t="s">
        <v>320</v>
      </c>
      <c r="K21" s="15" t="s">
        <v>320</v>
      </c>
      <c r="L21" s="15" t="s">
        <v>320</v>
      </c>
      <c r="M21" s="15" t="s">
        <v>320</v>
      </c>
      <c r="N21" s="15" t="s">
        <v>320</v>
      </c>
      <c r="O21" s="15" t="s">
        <v>320</v>
      </c>
      <c r="P21" s="15" t="s">
        <v>320</v>
      </c>
      <c r="Q21" s="15" t="s">
        <v>320</v>
      </c>
      <c r="R21" s="15" t="s">
        <v>320</v>
      </c>
      <c r="S21" s="15" t="s">
        <v>320</v>
      </c>
      <c r="T21" s="15" t="s">
        <v>320</v>
      </c>
      <c r="U21" s="15" t="s">
        <v>320</v>
      </c>
      <c r="V21" s="15" t="s">
        <v>320</v>
      </c>
      <c r="W21" s="15" t="s">
        <v>320</v>
      </c>
      <c r="X21" s="15" t="s">
        <v>320</v>
      </c>
      <c r="Y21" s="15" t="s">
        <v>320</v>
      </c>
      <c r="Z21" s="15" t="s">
        <v>320</v>
      </c>
      <c r="AA21" s="15" t="s">
        <v>320</v>
      </c>
      <c r="AB21" s="15" t="s">
        <v>320</v>
      </c>
      <c r="AC21" s="15" t="s">
        <v>320</v>
      </c>
      <c r="AD21" s="15" t="s">
        <v>320</v>
      </c>
      <c r="AE21" s="15" t="s">
        <v>320</v>
      </c>
      <c r="AF21" s="15" t="s">
        <v>320</v>
      </c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</row>
    <row r="22" customHeight="1" spans="1:119">
      <c r="A22" s="19"/>
      <c r="B22" s="149" t="s">
        <v>285</v>
      </c>
      <c r="C22" s="19" t="s">
        <v>447</v>
      </c>
      <c r="D22" s="150">
        <v>0.15</v>
      </c>
      <c r="E22" s="15" t="s">
        <v>320</v>
      </c>
      <c r="F22" s="15" t="s">
        <v>320</v>
      </c>
      <c r="G22" s="15" t="s">
        <v>320</v>
      </c>
      <c r="H22" s="15" t="s">
        <v>320</v>
      </c>
      <c r="I22" s="15" t="s">
        <v>320</v>
      </c>
      <c r="J22" s="15" t="s">
        <v>320</v>
      </c>
      <c r="K22" s="15" t="s">
        <v>320</v>
      </c>
      <c r="L22" s="15" t="s">
        <v>320</v>
      </c>
      <c r="M22" s="15" t="s">
        <v>320</v>
      </c>
      <c r="N22" s="15" t="s">
        <v>320</v>
      </c>
      <c r="O22" s="15" t="s">
        <v>320</v>
      </c>
      <c r="P22" s="15" t="s">
        <v>320</v>
      </c>
      <c r="Q22" s="15" t="s">
        <v>320</v>
      </c>
      <c r="R22" s="15" t="s">
        <v>320</v>
      </c>
      <c r="S22" s="15" t="s">
        <v>320</v>
      </c>
      <c r="T22" s="15" t="s">
        <v>320</v>
      </c>
      <c r="U22" s="15" t="s">
        <v>320</v>
      </c>
      <c r="V22" s="15" t="s">
        <v>320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</row>
    <row r="23" customHeight="1" spans="1:119">
      <c r="A23" s="19"/>
      <c r="B23" s="149"/>
      <c r="C23" s="19" t="s">
        <v>446</v>
      </c>
      <c r="D23" s="45" t="s">
        <v>466</v>
      </c>
      <c r="E23" s="15" t="s">
        <v>320</v>
      </c>
      <c r="F23" s="15" t="s">
        <v>320</v>
      </c>
      <c r="G23" s="15" t="s">
        <v>320</v>
      </c>
      <c r="H23" s="15" t="s">
        <v>320</v>
      </c>
      <c r="I23" s="152" t="s">
        <v>467</v>
      </c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</row>
    <row r="24" customHeight="1" spans="1:119">
      <c r="A24" s="19"/>
      <c r="B24" s="149" t="s">
        <v>287</v>
      </c>
      <c r="C24" s="19" t="s">
        <v>447</v>
      </c>
      <c r="D24" s="150">
        <v>0.15</v>
      </c>
      <c r="E24" s="15" t="s">
        <v>320</v>
      </c>
      <c r="F24" s="15" t="s">
        <v>320</v>
      </c>
      <c r="G24" s="15" t="s">
        <v>320</v>
      </c>
      <c r="H24" s="15" t="s">
        <v>320</v>
      </c>
      <c r="I24" s="15" t="s">
        <v>320</v>
      </c>
      <c r="J24" s="15" t="s">
        <v>320</v>
      </c>
      <c r="K24" s="15" t="s">
        <v>320</v>
      </c>
      <c r="L24" s="15" t="s">
        <v>320</v>
      </c>
      <c r="M24" s="15" t="s">
        <v>320</v>
      </c>
      <c r="N24" s="15" t="s">
        <v>320</v>
      </c>
      <c r="O24" s="15" t="s">
        <v>320</v>
      </c>
      <c r="P24" s="15" t="s">
        <v>320</v>
      </c>
      <c r="Q24" s="15" t="s">
        <v>320</v>
      </c>
      <c r="R24" s="15" t="s">
        <v>320</v>
      </c>
      <c r="S24" s="15" t="s">
        <v>320</v>
      </c>
      <c r="T24" s="15" t="s">
        <v>320</v>
      </c>
      <c r="U24" s="15" t="s">
        <v>320</v>
      </c>
      <c r="V24" s="15" t="s">
        <v>320</v>
      </c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</row>
    <row r="25" customHeight="1" spans="1:119">
      <c r="A25" s="19"/>
      <c r="B25" s="149"/>
      <c r="C25" s="19" t="s">
        <v>446</v>
      </c>
      <c r="D25" s="45" t="s">
        <v>468</v>
      </c>
      <c r="E25" s="15" t="s">
        <v>320</v>
      </c>
      <c r="F25" s="15" t="s">
        <v>320</v>
      </c>
      <c r="G25" s="15" t="s">
        <v>320</v>
      </c>
      <c r="H25" s="15" t="s">
        <v>320</v>
      </c>
      <c r="I25" s="152" t="s">
        <v>469</v>
      </c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</row>
    <row r="26" customHeight="1" spans="1:119">
      <c r="A26" s="19"/>
      <c r="B26" s="149" t="s">
        <v>290</v>
      </c>
      <c r="C26" s="19" t="s">
        <v>447</v>
      </c>
      <c r="D26" s="150">
        <v>0.15</v>
      </c>
      <c r="E26" s="15" t="s">
        <v>320</v>
      </c>
      <c r="F26" s="15" t="s">
        <v>320</v>
      </c>
      <c r="G26" s="15" t="s">
        <v>320</v>
      </c>
      <c r="H26" s="15" t="s">
        <v>320</v>
      </c>
      <c r="I26" s="15" t="s">
        <v>320</v>
      </c>
      <c r="J26" s="15" t="s">
        <v>320</v>
      </c>
      <c r="K26" s="15" t="s">
        <v>320</v>
      </c>
      <c r="L26" s="15" t="s">
        <v>320</v>
      </c>
      <c r="M26" s="15" t="s">
        <v>320</v>
      </c>
      <c r="N26" s="15" t="s">
        <v>320</v>
      </c>
      <c r="O26" s="15" t="s">
        <v>320</v>
      </c>
      <c r="P26" s="15" t="s">
        <v>320</v>
      </c>
      <c r="Q26" s="15" t="s">
        <v>320</v>
      </c>
      <c r="R26" s="15" t="s">
        <v>320</v>
      </c>
      <c r="S26" s="15" t="s">
        <v>320</v>
      </c>
      <c r="T26" s="15" t="s">
        <v>320</v>
      </c>
      <c r="U26" s="15" t="s">
        <v>320</v>
      </c>
      <c r="V26" s="15" t="s">
        <v>320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</row>
    <row r="27" customHeight="1" spans="1:119">
      <c r="A27" s="19"/>
      <c r="B27" s="149"/>
      <c r="C27" s="19" t="s">
        <v>446</v>
      </c>
      <c r="D27" s="49" t="s">
        <v>465</v>
      </c>
      <c r="E27" s="15" t="s">
        <v>320</v>
      </c>
      <c r="F27" s="15" t="s">
        <v>320</v>
      </c>
      <c r="G27" s="15" t="s">
        <v>320</v>
      </c>
      <c r="H27" s="15" t="s">
        <v>320</v>
      </c>
      <c r="I27" s="152" t="s">
        <v>470</v>
      </c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</row>
    <row r="28" customHeight="1" spans="1:119">
      <c r="A28" s="148"/>
      <c r="B28" s="149" t="s">
        <v>280</v>
      </c>
      <c r="C28" s="1" t="s">
        <v>447</v>
      </c>
      <c r="D28" s="150">
        <v>0.15</v>
      </c>
      <c r="E28" s="155" t="s">
        <v>471</v>
      </c>
      <c r="F28" s="155"/>
      <c r="G28" s="155"/>
      <c r="H28" s="152" t="s">
        <v>472</v>
      </c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</row>
    <row r="29" customHeight="1" spans="1:119">
      <c r="A29" s="19"/>
      <c r="B29" s="149"/>
      <c r="C29" s="19" t="s">
        <v>446</v>
      </c>
      <c r="D29" s="45" t="s">
        <v>473</v>
      </c>
      <c r="E29" s="15" t="s">
        <v>320</v>
      </c>
      <c r="F29" s="15" t="s">
        <v>320</v>
      </c>
      <c r="G29" s="15" t="s">
        <v>320</v>
      </c>
      <c r="H29" s="15" t="s">
        <v>320</v>
      </c>
      <c r="I29" s="15" t="s">
        <v>320</v>
      </c>
      <c r="J29" s="15" t="s">
        <v>320</v>
      </c>
      <c r="K29" s="15" t="s">
        <v>320</v>
      </c>
      <c r="L29" s="15" t="s">
        <v>320</v>
      </c>
      <c r="M29" s="15" t="s">
        <v>320</v>
      </c>
      <c r="N29" s="15" t="s">
        <v>320</v>
      </c>
      <c r="O29" s="15" t="s">
        <v>320</v>
      </c>
      <c r="P29" s="15" t="s">
        <v>320</v>
      </c>
      <c r="Q29" s="15" t="s">
        <v>320</v>
      </c>
      <c r="R29" s="15" t="s">
        <v>320</v>
      </c>
      <c r="S29" s="15" t="s">
        <v>320</v>
      </c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</row>
    <row r="30" customHeight="1" spans="1:119">
      <c r="A30" s="19"/>
      <c r="B30" s="149" t="s">
        <v>285</v>
      </c>
      <c r="C30" s="19" t="s">
        <v>447</v>
      </c>
      <c r="D30" s="150">
        <v>0.15</v>
      </c>
      <c r="E30" s="15" t="s">
        <v>320</v>
      </c>
      <c r="F30" s="15" t="s">
        <v>320</v>
      </c>
      <c r="G30" s="15" t="s">
        <v>320</v>
      </c>
      <c r="H30" s="15" t="s">
        <v>320</v>
      </c>
      <c r="I30" s="15" t="s">
        <v>320</v>
      </c>
      <c r="J30" s="15" t="s">
        <v>320</v>
      </c>
      <c r="K30" s="15" t="s">
        <v>320</v>
      </c>
      <c r="L30" s="15" t="s">
        <v>320</v>
      </c>
      <c r="M30" s="15" t="s">
        <v>320</v>
      </c>
      <c r="N30" s="15" t="s">
        <v>320</v>
      </c>
      <c r="O30" s="15" t="s">
        <v>320</v>
      </c>
      <c r="P30" s="15" t="s">
        <v>320</v>
      </c>
      <c r="Q30" s="15" t="s">
        <v>320</v>
      </c>
      <c r="R30" s="15" t="s">
        <v>320</v>
      </c>
      <c r="S30" s="15" t="s">
        <v>320</v>
      </c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</row>
    <row r="31" customHeight="1" spans="1:119">
      <c r="A31" s="19"/>
      <c r="B31" s="149"/>
      <c r="C31" s="19" t="s">
        <v>446</v>
      </c>
      <c r="D31" s="45" t="s">
        <v>474</v>
      </c>
      <c r="E31" s="155" t="s">
        <v>475</v>
      </c>
      <c r="F31" s="155"/>
      <c r="G31" s="155"/>
      <c r="H31" s="152" t="s">
        <v>476</v>
      </c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</row>
    <row r="32" customHeight="1" spans="1:119">
      <c r="A32" s="19"/>
      <c r="B32" s="149" t="s">
        <v>287</v>
      </c>
      <c r="C32" s="19" t="s">
        <v>447</v>
      </c>
      <c r="D32" s="150">
        <v>0.15</v>
      </c>
      <c r="E32" s="15" t="s">
        <v>320</v>
      </c>
      <c r="F32" s="15" t="s">
        <v>320</v>
      </c>
      <c r="G32" s="15" t="s">
        <v>320</v>
      </c>
      <c r="H32" s="15" t="s">
        <v>320</v>
      </c>
      <c r="I32" s="15" t="s">
        <v>320</v>
      </c>
      <c r="J32" s="15" t="s">
        <v>320</v>
      </c>
      <c r="K32" s="15" t="s">
        <v>320</v>
      </c>
      <c r="L32" s="15" t="s">
        <v>320</v>
      </c>
      <c r="M32" s="15" t="s">
        <v>320</v>
      </c>
      <c r="N32" s="15" t="s">
        <v>320</v>
      </c>
      <c r="O32" s="15" t="s">
        <v>320</v>
      </c>
      <c r="P32" s="15" t="s">
        <v>320</v>
      </c>
      <c r="Q32" s="15" t="s">
        <v>320</v>
      </c>
      <c r="R32" s="15" t="s">
        <v>320</v>
      </c>
      <c r="S32" s="15" t="s">
        <v>320</v>
      </c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</row>
    <row r="33" customHeight="1" spans="1:119">
      <c r="A33" s="19"/>
      <c r="B33" s="149"/>
      <c r="C33" s="19" t="s">
        <v>446</v>
      </c>
      <c r="D33" s="45" t="s">
        <v>477</v>
      </c>
      <c r="E33" s="155" t="s">
        <v>478</v>
      </c>
      <c r="F33" s="155"/>
      <c r="G33" s="155"/>
      <c r="H33" s="152" t="s">
        <v>479</v>
      </c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</row>
    <row r="34" customHeight="1" spans="1:119">
      <c r="A34" s="19"/>
      <c r="B34" s="149" t="s">
        <v>290</v>
      </c>
      <c r="C34" s="19" t="s">
        <v>447</v>
      </c>
      <c r="D34" s="150">
        <v>0.15</v>
      </c>
      <c r="E34" s="15" t="s">
        <v>320</v>
      </c>
      <c r="F34" s="15" t="s">
        <v>320</v>
      </c>
      <c r="G34" s="15" t="s">
        <v>320</v>
      </c>
      <c r="H34" s="15" t="s">
        <v>320</v>
      </c>
      <c r="I34" s="15" t="s">
        <v>320</v>
      </c>
      <c r="J34" s="15" t="s">
        <v>320</v>
      </c>
      <c r="K34" s="15" t="s">
        <v>320</v>
      </c>
      <c r="L34" s="15" t="s">
        <v>320</v>
      </c>
      <c r="M34" s="15" t="s">
        <v>320</v>
      </c>
      <c r="N34" s="15" t="s">
        <v>320</v>
      </c>
      <c r="O34" s="15" t="s">
        <v>320</v>
      </c>
      <c r="P34" s="15" t="s">
        <v>320</v>
      </c>
      <c r="Q34" s="15" t="s">
        <v>320</v>
      </c>
      <c r="R34" s="15" t="s">
        <v>320</v>
      </c>
      <c r="S34" s="15" t="s">
        <v>320</v>
      </c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</row>
    <row r="35" customHeight="1" spans="1:119">
      <c r="A35" s="19"/>
      <c r="B35" s="149"/>
      <c r="C35" s="19" t="s">
        <v>446</v>
      </c>
      <c r="D35" s="45" t="s">
        <v>480</v>
      </c>
      <c r="E35" s="155" t="s">
        <v>481</v>
      </c>
      <c r="F35" s="155"/>
      <c r="G35" s="155"/>
      <c r="H35" s="152" t="s">
        <v>482</v>
      </c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</row>
    <row r="36" customHeight="1" spans="1:119">
      <c r="A36" s="148"/>
      <c r="B36" s="149" t="s">
        <v>280</v>
      </c>
      <c r="C36" s="1" t="s">
        <v>447</v>
      </c>
      <c r="D36" s="150">
        <v>0.15</v>
      </c>
      <c r="E36" s="14" t="s">
        <v>320</v>
      </c>
      <c r="F36" s="14" t="s">
        <v>320</v>
      </c>
      <c r="G36" s="14" t="s">
        <v>320</v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</row>
    <row r="37" customHeight="1" spans="1:119">
      <c r="A37" s="19"/>
      <c r="B37" s="149"/>
      <c r="C37" s="19" t="s">
        <v>446</v>
      </c>
      <c r="D37" s="45" t="s">
        <v>483</v>
      </c>
      <c r="E37" s="155" t="s">
        <v>484</v>
      </c>
      <c r="F37" s="155"/>
      <c r="G37" s="155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</row>
    <row r="38" customHeight="1" spans="1:119">
      <c r="A38" s="19"/>
      <c r="B38" s="149" t="s">
        <v>285</v>
      </c>
      <c r="C38" s="19" t="s">
        <v>447</v>
      </c>
      <c r="D38" s="150">
        <v>0.15</v>
      </c>
      <c r="E38" s="49" t="s">
        <v>320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</row>
    <row r="39" customHeight="1" spans="1:119">
      <c r="A39" s="19"/>
      <c r="B39" s="149"/>
      <c r="C39" s="19" t="s">
        <v>446</v>
      </c>
      <c r="D39" s="45" t="s">
        <v>485</v>
      </c>
      <c r="E39" s="49" t="s">
        <v>486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</row>
    <row r="40" customHeight="1" spans="1:119">
      <c r="A40" s="19"/>
      <c r="B40" s="149" t="s">
        <v>287</v>
      </c>
      <c r="C40" s="19" t="s">
        <v>447</v>
      </c>
      <c r="D40" s="150">
        <v>0.15</v>
      </c>
      <c r="E40" s="49" t="s">
        <v>320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</row>
    <row r="41" customHeight="1" spans="1:119">
      <c r="A41" s="19"/>
      <c r="B41" s="149"/>
      <c r="C41" s="19" t="s">
        <v>446</v>
      </c>
      <c r="D41" s="45" t="s">
        <v>487</v>
      </c>
      <c r="E41" s="45" t="s">
        <v>486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</row>
    <row r="42" customHeight="1" spans="1:119">
      <c r="A42" s="19"/>
      <c r="B42" s="149" t="s">
        <v>290</v>
      </c>
      <c r="C42" s="19" t="s">
        <v>447</v>
      </c>
      <c r="D42" s="150">
        <v>0.15</v>
      </c>
      <c r="E42" s="49" t="s">
        <v>320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</row>
    <row r="43" customHeight="1" spans="1:119">
      <c r="A43" s="19"/>
      <c r="B43" s="149"/>
      <c r="C43" s="19" t="s">
        <v>446</v>
      </c>
      <c r="D43" s="45" t="s">
        <v>488</v>
      </c>
      <c r="E43" s="49" t="s">
        <v>486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</row>
    <row r="44" customHeight="1" spans="1:119">
      <c r="A44" s="19"/>
      <c r="B44" s="149" t="s">
        <v>86</v>
      </c>
      <c r="C44" s="19" t="s">
        <v>447</v>
      </c>
      <c r="D44" s="150">
        <v>0.15</v>
      </c>
      <c r="E44" s="15" t="s">
        <v>320</v>
      </c>
      <c r="F44" s="15" t="s">
        <v>320</v>
      </c>
      <c r="G44" s="15" t="s">
        <v>320</v>
      </c>
      <c r="H44" s="15" t="s">
        <v>320</v>
      </c>
      <c r="I44" s="15" t="s">
        <v>320</v>
      </c>
      <c r="J44" s="15" t="s">
        <v>320</v>
      </c>
      <c r="K44" s="15" t="s">
        <v>320</v>
      </c>
      <c r="L44" s="15" t="s">
        <v>320</v>
      </c>
      <c r="M44" s="15" t="s">
        <v>320</v>
      </c>
      <c r="N44" s="15" t="s">
        <v>320</v>
      </c>
      <c r="O44" s="15" t="s">
        <v>320</v>
      </c>
      <c r="P44" s="15" t="s">
        <v>320</v>
      </c>
      <c r="Q44" s="15" t="s">
        <v>320</v>
      </c>
      <c r="R44" s="15" t="s">
        <v>320</v>
      </c>
      <c r="S44" s="15" t="s">
        <v>320</v>
      </c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</row>
    <row r="45" customHeight="1" spans="1:119">
      <c r="A45" s="19"/>
      <c r="B45" s="149"/>
      <c r="C45" s="19" t="s">
        <v>446</v>
      </c>
      <c r="D45" s="49" t="s">
        <v>489</v>
      </c>
      <c r="E45" s="15" t="s">
        <v>320</v>
      </c>
      <c r="F45" s="15" t="s">
        <v>320</v>
      </c>
      <c r="G45" s="15" t="s">
        <v>320</v>
      </c>
      <c r="H45" s="15" t="s">
        <v>320</v>
      </c>
      <c r="I45" s="15" t="s">
        <v>320</v>
      </c>
      <c r="J45" s="15" t="s">
        <v>320</v>
      </c>
      <c r="K45" s="15" t="s">
        <v>320</v>
      </c>
      <c r="L45" s="15" t="s">
        <v>320</v>
      </c>
      <c r="M45" s="15" t="s">
        <v>320</v>
      </c>
      <c r="N45" s="15" t="s">
        <v>320</v>
      </c>
      <c r="O45" s="15" t="s">
        <v>320</v>
      </c>
      <c r="P45" s="15" t="s">
        <v>320</v>
      </c>
      <c r="Q45" s="15" t="s">
        <v>320</v>
      </c>
      <c r="R45" s="15" t="s">
        <v>320</v>
      </c>
      <c r="S45" s="15" t="s">
        <v>320</v>
      </c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</row>
    <row r="46" customHeight="1" spans="1:119">
      <c r="A46" s="148"/>
      <c r="B46" s="149" t="s">
        <v>280</v>
      </c>
      <c r="C46" s="1" t="s">
        <v>447</v>
      </c>
      <c r="D46" s="150">
        <v>0.15</v>
      </c>
      <c r="E46" s="15" t="s">
        <v>320</v>
      </c>
      <c r="F46" s="15" t="s">
        <v>320</v>
      </c>
      <c r="G46" s="15" t="s">
        <v>320</v>
      </c>
      <c r="H46" s="15" t="s">
        <v>320</v>
      </c>
      <c r="I46" s="15" t="s">
        <v>320</v>
      </c>
      <c r="J46" s="15" t="s">
        <v>320</v>
      </c>
      <c r="K46" s="15" t="s">
        <v>320</v>
      </c>
      <c r="L46" s="15" t="s">
        <v>320</v>
      </c>
      <c r="M46" s="15" t="s">
        <v>320</v>
      </c>
      <c r="N46" s="15" t="s">
        <v>320</v>
      </c>
      <c r="O46" s="15" t="s">
        <v>320</v>
      </c>
      <c r="P46" s="15" t="s">
        <v>320</v>
      </c>
      <c r="Q46" s="15" t="s">
        <v>320</v>
      </c>
      <c r="R46" s="15" t="s">
        <v>320</v>
      </c>
      <c r="S46" s="15" t="s">
        <v>320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</row>
    <row r="47" customHeight="1" spans="1:119">
      <c r="A47" s="1"/>
      <c r="B47" s="149"/>
      <c r="C47" s="19" t="s">
        <v>446</v>
      </c>
      <c r="D47" s="45" t="s">
        <v>490</v>
      </c>
      <c r="E47" s="15" t="s">
        <v>320</v>
      </c>
      <c r="F47" s="15" t="s">
        <v>320</v>
      </c>
      <c r="G47" s="15" t="s">
        <v>320</v>
      </c>
      <c r="H47" s="152" t="s">
        <v>491</v>
      </c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</row>
    <row r="48" customHeight="1" spans="1:119">
      <c r="A48" s="1"/>
      <c r="B48" s="149" t="s">
        <v>285</v>
      </c>
      <c r="C48" s="19" t="s">
        <v>447</v>
      </c>
      <c r="D48" s="150">
        <v>0.15</v>
      </c>
      <c r="E48" s="151" t="s">
        <v>492</v>
      </c>
      <c r="F48" s="151"/>
      <c r="G48" s="151"/>
      <c r="H48" s="15" t="s">
        <v>320</v>
      </c>
      <c r="I48" s="15" t="s">
        <v>320</v>
      </c>
      <c r="J48" s="15" t="s">
        <v>320</v>
      </c>
      <c r="K48" s="15" t="s">
        <v>320</v>
      </c>
      <c r="L48" s="15" t="s">
        <v>320</v>
      </c>
      <c r="M48" s="15" t="s">
        <v>320</v>
      </c>
      <c r="N48" s="15" t="s">
        <v>320</v>
      </c>
      <c r="O48" s="15" t="s">
        <v>320</v>
      </c>
      <c r="P48" s="15" t="s">
        <v>320</v>
      </c>
      <c r="Q48" s="15" t="s">
        <v>320</v>
      </c>
      <c r="R48" s="15" t="s">
        <v>320</v>
      </c>
      <c r="S48" s="15" t="s">
        <v>320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</row>
    <row r="49" customHeight="1" spans="1:119">
      <c r="A49" s="1"/>
      <c r="B49" s="149"/>
      <c r="C49" s="19" t="s">
        <v>446</v>
      </c>
      <c r="D49" s="45" t="s">
        <v>493</v>
      </c>
      <c r="E49" s="15" t="s">
        <v>320</v>
      </c>
      <c r="F49" s="15" t="s">
        <v>320</v>
      </c>
      <c r="G49" s="15" t="s">
        <v>320</v>
      </c>
      <c r="H49" s="152" t="s">
        <v>494</v>
      </c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</row>
    <row r="50" customHeight="1" spans="1:119">
      <c r="A50" s="1"/>
      <c r="B50" s="149" t="s">
        <v>287</v>
      </c>
      <c r="C50" s="19" t="s">
        <v>447</v>
      </c>
      <c r="D50" s="150">
        <v>0.15</v>
      </c>
      <c r="E50" s="15" t="s">
        <v>320</v>
      </c>
      <c r="F50" s="15" t="s">
        <v>320</v>
      </c>
      <c r="G50" s="15" t="s">
        <v>320</v>
      </c>
      <c r="H50" s="15" t="s">
        <v>320</v>
      </c>
      <c r="I50" s="15" t="s">
        <v>320</v>
      </c>
      <c r="J50" s="15" t="s">
        <v>320</v>
      </c>
      <c r="K50" s="15" t="s">
        <v>320</v>
      </c>
      <c r="L50" s="15" t="s">
        <v>320</v>
      </c>
      <c r="M50" s="15" t="s">
        <v>320</v>
      </c>
      <c r="N50" s="15" t="s">
        <v>320</v>
      </c>
      <c r="O50" s="15" t="s">
        <v>320</v>
      </c>
      <c r="P50" s="15" t="s">
        <v>320</v>
      </c>
      <c r="Q50" s="15" t="s">
        <v>320</v>
      </c>
      <c r="R50" s="15" t="s">
        <v>320</v>
      </c>
      <c r="S50" s="15" t="s">
        <v>320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</row>
    <row r="51" customHeight="1" spans="1:119">
      <c r="A51" s="1"/>
      <c r="B51" s="149"/>
      <c r="C51" s="19" t="s">
        <v>446</v>
      </c>
      <c r="D51" s="45" t="s">
        <v>495</v>
      </c>
      <c r="E51" s="15" t="s">
        <v>320</v>
      </c>
      <c r="F51" s="15" t="s">
        <v>320</v>
      </c>
      <c r="G51" s="15" t="s">
        <v>320</v>
      </c>
      <c r="H51" s="152" t="s">
        <v>496</v>
      </c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</row>
    <row r="52" customHeight="1" spans="1:119">
      <c r="A52" s="1"/>
      <c r="B52" s="149" t="s">
        <v>290</v>
      </c>
      <c r="C52" s="19" t="s">
        <v>447</v>
      </c>
      <c r="D52" s="150">
        <v>0.15</v>
      </c>
      <c r="E52" s="15" t="s">
        <v>320</v>
      </c>
      <c r="F52" s="15" t="s">
        <v>320</v>
      </c>
      <c r="G52" s="15" t="s">
        <v>320</v>
      </c>
      <c r="H52" s="15" t="s">
        <v>320</v>
      </c>
      <c r="I52" s="15" t="s">
        <v>320</v>
      </c>
      <c r="J52" s="15" t="s">
        <v>320</v>
      </c>
      <c r="K52" s="15" t="s">
        <v>320</v>
      </c>
      <c r="L52" s="15" t="s">
        <v>320</v>
      </c>
      <c r="M52" s="15" t="s">
        <v>320</v>
      </c>
      <c r="N52" s="15" t="s">
        <v>320</v>
      </c>
      <c r="O52" s="15" t="s">
        <v>320</v>
      </c>
      <c r="P52" s="15" t="s">
        <v>320</v>
      </c>
      <c r="Q52" s="15" t="s">
        <v>320</v>
      </c>
      <c r="R52" s="15" t="s">
        <v>320</v>
      </c>
      <c r="S52" s="15" t="s">
        <v>320</v>
      </c>
      <c r="T52" s="15" t="s">
        <v>320</v>
      </c>
      <c r="U52" s="15" t="s">
        <v>320</v>
      </c>
      <c r="V52" s="15" t="s">
        <v>320</v>
      </c>
      <c r="W52" s="15" t="s">
        <v>320</v>
      </c>
      <c r="X52" s="15" t="s">
        <v>320</v>
      </c>
      <c r="Y52" s="15" t="s">
        <v>320</v>
      </c>
      <c r="Z52" s="15" t="s">
        <v>320</v>
      </c>
      <c r="AA52" s="15" t="s">
        <v>320</v>
      </c>
      <c r="AB52" s="15" t="s">
        <v>320</v>
      </c>
      <c r="AC52" s="15" t="s">
        <v>320</v>
      </c>
      <c r="AD52" s="15" t="s">
        <v>320</v>
      </c>
      <c r="AE52" s="15" t="s">
        <v>320</v>
      </c>
      <c r="AF52" s="15" t="s">
        <v>320</v>
      </c>
      <c r="AG52" s="15" t="s">
        <v>320</v>
      </c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</row>
    <row r="53" customHeight="1" spans="1:119">
      <c r="A53" s="1"/>
      <c r="B53" s="149"/>
      <c r="C53" s="19" t="s">
        <v>446</v>
      </c>
      <c r="D53" s="45" t="s">
        <v>497</v>
      </c>
      <c r="E53" s="153" t="s">
        <v>498</v>
      </c>
      <c r="F53" s="153"/>
      <c r="G53" s="153"/>
      <c r="H53" s="152" t="s">
        <v>499</v>
      </c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3" t="s">
        <v>498</v>
      </c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1"/>
      <c r="AG53" s="151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</row>
    <row r="54" customHeight="1" spans="1:119">
      <c r="A54" s="1"/>
      <c r="B54" s="149" t="s">
        <v>86</v>
      </c>
      <c r="C54" s="19" t="s">
        <v>447</v>
      </c>
      <c r="D54" s="150">
        <v>0.15</v>
      </c>
      <c r="E54" s="15" t="s">
        <v>320</v>
      </c>
      <c r="F54" s="15" t="s">
        <v>320</v>
      </c>
      <c r="G54" s="15" t="s">
        <v>320</v>
      </c>
      <c r="H54" s="15" t="s">
        <v>320</v>
      </c>
      <c r="I54" s="15" t="s">
        <v>320</v>
      </c>
      <c r="J54" s="15" t="s">
        <v>320</v>
      </c>
      <c r="K54" s="15" t="s">
        <v>320</v>
      </c>
      <c r="L54" s="15" t="s">
        <v>320</v>
      </c>
      <c r="M54" s="15" t="s">
        <v>320</v>
      </c>
      <c r="N54" s="15" t="s">
        <v>320</v>
      </c>
      <c r="O54" s="15" t="s">
        <v>320</v>
      </c>
      <c r="P54" s="15" t="s">
        <v>320</v>
      </c>
      <c r="Q54" s="15" t="s">
        <v>320</v>
      </c>
      <c r="R54" s="15" t="s">
        <v>320</v>
      </c>
      <c r="S54" s="15" t="s">
        <v>320</v>
      </c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</row>
    <row r="55" customHeight="1" spans="1:119">
      <c r="A55" s="1"/>
      <c r="B55" s="149"/>
      <c r="C55" s="19" t="s">
        <v>446</v>
      </c>
      <c r="D55" s="45" t="s">
        <v>500</v>
      </c>
      <c r="E55" s="15" t="s">
        <v>320</v>
      </c>
      <c r="F55" s="15" t="s">
        <v>320</v>
      </c>
      <c r="G55" s="15" t="s">
        <v>320</v>
      </c>
      <c r="H55" s="154" t="s">
        <v>501</v>
      </c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</row>
    <row r="56" customHeight="1" spans="1:119">
      <c r="B56" s="11"/>
      <c r="E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</row>
    <row r="57" customHeight="1" spans="1:119">
      <c r="B57" s="11"/>
      <c r="E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</row>
    <row r="58" customHeight="1" spans="1:119">
      <c r="B58" s="11"/>
      <c r="E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</row>
    <row r="59" customHeight="1" spans="1:119">
      <c r="B59" s="11"/>
      <c r="E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</row>
    <row r="60" customHeight="1" spans="1:119">
      <c r="B60" s="11"/>
      <c r="E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</row>
    <row r="61" customHeight="1" spans="1:119">
      <c r="B61" s="11"/>
      <c r="E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</row>
    <row r="62" customHeight="1" spans="1:119">
      <c r="B62" s="11"/>
      <c r="E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</row>
    <row r="63" customHeight="1" spans="1:119">
      <c r="B63" s="11"/>
      <c r="E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</row>
    <row r="64" customHeight="1" spans="1:119">
      <c r="B64" s="11"/>
      <c r="E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</row>
    <row r="65" customHeight="1" spans="2:119">
      <c r="B65" s="11"/>
      <c r="E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</row>
    <row r="66" customHeight="1" spans="2:119">
      <c r="B66" s="11"/>
      <c r="E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</row>
    <row r="67" customHeight="1" spans="2:119">
      <c r="B67" s="11"/>
      <c r="E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</row>
    <row r="68" customHeight="1" spans="2:119">
      <c r="B68" s="11"/>
      <c r="E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</row>
    <row r="69" customHeight="1" spans="2:119">
      <c r="B69" s="11"/>
      <c r="E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</row>
    <row r="70" customHeight="1" spans="2:119">
      <c r="B70" s="11"/>
      <c r="E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</row>
    <row r="71" customHeight="1" spans="2:119">
      <c r="B71" s="11"/>
      <c r="E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</row>
    <row r="72" customHeight="1" spans="2:119">
      <c r="B72" s="11"/>
      <c r="E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</row>
    <row r="73" customHeight="1" spans="2:119">
      <c r="B73" s="11"/>
      <c r="E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</row>
    <row r="74" customHeight="1" spans="2:119">
      <c r="B74" s="11"/>
      <c r="E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</row>
    <row r="75" customHeight="1" spans="2:119">
      <c r="B75" s="11"/>
      <c r="E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</row>
    <row r="76" customHeight="1" spans="2:119">
      <c r="B76" s="11"/>
      <c r="E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</row>
    <row r="77" customHeight="1" spans="2:119">
      <c r="B77" s="11"/>
      <c r="E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</row>
    <row r="78" customHeight="1" spans="2:119">
      <c r="B78" s="11"/>
      <c r="E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</row>
    <row r="79" customHeight="1" spans="2:119">
      <c r="B79" s="11"/>
      <c r="E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</row>
    <row r="80" customHeight="1" spans="2:119">
      <c r="B80" s="11"/>
      <c r="E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</row>
    <row r="81" customHeight="1" spans="2:119">
      <c r="B81" s="11"/>
      <c r="E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</row>
    <row r="82" customHeight="1" spans="2:119">
      <c r="B82" s="11"/>
      <c r="E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</row>
    <row r="83" customHeight="1" spans="2:119">
      <c r="B83" s="11"/>
      <c r="E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</row>
    <row r="84" customHeight="1" spans="2:119">
      <c r="B84" s="11"/>
      <c r="E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</row>
    <row r="85" customHeight="1" spans="2:119">
      <c r="B85" s="11"/>
      <c r="E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</row>
    <row r="86" customHeight="1" spans="2:119">
      <c r="B86" s="11"/>
      <c r="E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</row>
    <row r="87" customHeight="1" spans="2:119">
      <c r="B87" s="11"/>
      <c r="E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</row>
    <row r="88" customHeight="1" spans="2:119">
      <c r="B88" s="11"/>
      <c r="E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</row>
    <row r="89" customHeight="1" spans="2:119">
      <c r="B89" s="11"/>
      <c r="E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</row>
    <row r="90" customHeight="1" spans="2:119">
      <c r="B90" s="11"/>
      <c r="E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</row>
    <row r="91" customHeight="1" spans="2:119">
      <c r="B91" s="11"/>
      <c r="E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</row>
    <row r="92" customHeight="1" spans="2:119">
      <c r="B92" s="11"/>
      <c r="E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</row>
    <row r="93" customHeight="1" spans="2:119">
      <c r="B93" s="11"/>
      <c r="E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</row>
    <row r="94" customHeight="1" spans="2:119">
      <c r="B94" s="11"/>
      <c r="E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</row>
    <row r="95" customHeight="1" spans="2:119">
      <c r="B95" s="11"/>
      <c r="E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</row>
    <row r="96" customHeight="1" spans="2:119">
      <c r="B96" s="11"/>
      <c r="E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</row>
    <row r="97" customHeight="1" spans="2:119">
      <c r="B97" s="11"/>
      <c r="E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</row>
    <row r="98" customHeight="1" spans="2:119">
      <c r="B98" s="11"/>
      <c r="E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</row>
    <row r="99" customHeight="1" spans="2:119">
      <c r="B99" s="11"/>
      <c r="E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</row>
    <row r="100" customHeight="1" spans="2:119">
      <c r="B100" s="11"/>
      <c r="E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</row>
    <row r="101" customHeight="1" spans="2:119">
      <c r="B101" s="11"/>
      <c r="E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</row>
    <row r="102" customHeight="1" spans="2:119">
      <c r="B102" s="11"/>
      <c r="E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</row>
    <row r="103" customHeight="1" spans="2:119">
      <c r="B103" s="11"/>
      <c r="E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</row>
    <row r="104" customHeight="1" spans="2:119">
      <c r="B104" s="11"/>
      <c r="E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</row>
    <row r="105" customHeight="1" spans="2:119">
      <c r="B105" s="11"/>
      <c r="E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</row>
    <row r="106" customHeight="1" spans="2:119">
      <c r="B106" s="11"/>
      <c r="E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</row>
    <row r="107" customHeight="1" spans="2:119">
      <c r="B107" s="11"/>
      <c r="E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</row>
    <row r="108" customHeight="1" spans="2:119">
      <c r="B108" s="11"/>
      <c r="E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</row>
    <row r="109" customHeight="1" spans="2:119">
      <c r="B109" s="11"/>
      <c r="E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</row>
    <row r="110" customHeight="1" spans="2:119">
      <c r="B110" s="11"/>
      <c r="E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</row>
    <row r="111" customHeight="1" spans="2:119">
      <c r="B111" s="11"/>
      <c r="E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</row>
    <row r="112" customHeight="1" spans="2:119">
      <c r="B112" s="11"/>
      <c r="E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</row>
    <row r="113" customHeight="1" spans="2:119">
      <c r="B113" s="11"/>
      <c r="E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</row>
    <row r="114" customHeight="1" spans="2:119">
      <c r="B114" s="11"/>
      <c r="E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</row>
    <row r="115" customHeight="1" spans="2:119">
      <c r="B115" s="11"/>
      <c r="E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</row>
    <row r="116" customHeight="1" spans="2:119">
      <c r="B116" s="11"/>
      <c r="E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</row>
    <row r="117" customHeight="1" spans="2:119">
      <c r="B117" s="11"/>
      <c r="E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</row>
    <row r="118" customHeight="1" spans="2:119">
      <c r="B118" s="11"/>
      <c r="E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</row>
    <row r="119" customHeight="1" spans="2:119">
      <c r="B119" s="11"/>
      <c r="E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</row>
    <row r="120" customHeight="1" spans="2:119">
      <c r="B120" s="11"/>
      <c r="E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</row>
    <row r="121" customHeight="1" spans="2:119">
      <c r="B121" s="11"/>
      <c r="E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</row>
    <row r="122" customHeight="1" spans="2:119">
      <c r="B122" s="11"/>
      <c r="E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</row>
    <row r="123" customHeight="1" spans="2:119">
      <c r="B123" s="11"/>
      <c r="E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</row>
    <row r="124" customHeight="1" spans="2:119">
      <c r="B124" s="11"/>
      <c r="E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</row>
    <row r="125" customHeight="1" spans="2:119">
      <c r="B125" s="11"/>
      <c r="E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</row>
    <row r="126" customHeight="1" spans="2:119">
      <c r="B126" s="11"/>
      <c r="E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</row>
    <row r="127" customHeight="1" spans="2:119">
      <c r="B127" s="11"/>
      <c r="E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</row>
    <row r="128" customHeight="1" spans="2:119">
      <c r="B128" s="11"/>
      <c r="E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</row>
    <row r="129" customHeight="1" spans="2:119">
      <c r="B129" s="11"/>
      <c r="E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</row>
    <row r="130" customHeight="1" spans="2:119">
      <c r="B130" s="11"/>
      <c r="E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</row>
    <row r="131" customHeight="1" spans="2:119">
      <c r="B131" s="11"/>
      <c r="E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</row>
    <row r="132" customHeight="1" spans="2:119">
      <c r="B132" s="11"/>
      <c r="E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</row>
    <row r="133" customHeight="1" spans="2:119">
      <c r="B133" s="11"/>
      <c r="E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</row>
    <row r="134" customHeight="1" spans="2:119">
      <c r="B134" s="11"/>
      <c r="E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</row>
    <row r="135" customHeight="1" spans="2:119">
      <c r="B135" s="11"/>
      <c r="E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</row>
    <row r="136" customHeight="1" spans="2:119">
      <c r="B136" s="11"/>
      <c r="E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</row>
    <row r="137" customHeight="1" spans="2:119">
      <c r="B137" s="11"/>
      <c r="E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</row>
    <row r="138" customHeight="1" spans="2:119">
      <c r="B138" s="11"/>
      <c r="E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</row>
    <row r="139" customHeight="1" spans="2:119">
      <c r="B139" s="11"/>
      <c r="E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</row>
    <row r="140" customHeight="1" spans="2:119">
      <c r="B140" s="11"/>
      <c r="E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</row>
    <row r="141" customHeight="1" spans="2:119">
      <c r="B141" s="11"/>
      <c r="E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</row>
    <row r="142" customHeight="1" spans="2:119">
      <c r="B142" s="11"/>
      <c r="E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</row>
    <row r="143" customHeight="1" spans="2:119">
      <c r="B143" s="11"/>
      <c r="E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</row>
    <row r="144" customHeight="1" spans="2:119">
      <c r="B144" s="11"/>
      <c r="E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</row>
    <row r="145" customHeight="1" spans="2:119">
      <c r="B145" s="11"/>
      <c r="E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</row>
    <row r="146" customHeight="1" spans="2:119">
      <c r="B146" s="11"/>
      <c r="E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</row>
    <row r="147" customHeight="1" spans="2:119">
      <c r="B147" s="11"/>
      <c r="E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</row>
    <row r="148" customHeight="1" spans="2:119">
      <c r="B148" s="11"/>
      <c r="E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</row>
    <row r="149" customHeight="1" spans="2:119">
      <c r="B149" s="11"/>
      <c r="E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</row>
    <row r="150" customHeight="1" spans="2:119">
      <c r="B150" s="11"/>
      <c r="E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</row>
    <row r="151" customHeight="1" spans="2:119">
      <c r="B151" s="11"/>
      <c r="E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</row>
    <row r="152" customHeight="1" spans="2:119">
      <c r="B152" s="11"/>
      <c r="E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</row>
    <row r="153" customHeight="1" spans="2:119">
      <c r="B153" s="11"/>
      <c r="E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</row>
    <row r="154" customHeight="1" spans="2:119">
      <c r="B154" s="11"/>
      <c r="E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</row>
    <row r="155" customHeight="1" spans="2:119">
      <c r="B155" s="11"/>
      <c r="E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</row>
    <row r="156" customHeight="1" spans="2:119">
      <c r="B156" s="11"/>
      <c r="E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</row>
    <row r="157" customHeight="1" spans="2:119">
      <c r="B157" s="11"/>
      <c r="E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</row>
    <row r="158" customHeight="1" spans="2:119">
      <c r="B158" s="11"/>
      <c r="E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</row>
    <row r="159" customHeight="1" spans="2:119">
      <c r="B159" s="11"/>
      <c r="E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</row>
    <row r="160" customHeight="1" spans="2:119">
      <c r="B160" s="11"/>
      <c r="E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</row>
    <row r="161" customHeight="1" spans="2:119">
      <c r="B161" s="11"/>
      <c r="E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</row>
    <row r="162" customHeight="1" spans="2:119">
      <c r="B162" s="11"/>
      <c r="E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</row>
    <row r="163" customHeight="1" spans="2:119">
      <c r="B163" s="11"/>
      <c r="E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</row>
    <row r="164" customHeight="1" spans="2:119">
      <c r="B164" s="11"/>
      <c r="E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</row>
    <row r="165" customHeight="1" spans="2:119">
      <c r="B165" s="11"/>
      <c r="E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</row>
    <row r="166" customHeight="1" spans="2:119">
      <c r="B166" s="11"/>
      <c r="E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</row>
    <row r="167" customHeight="1" spans="2:119">
      <c r="B167" s="11"/>
      <c r="E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</row>
    <row r="168" customHeight="1" spans="2:119">
      <c r="B168" s="11"/>
      <c r="E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</row>
    <row r="169" customHeight="1" spans="2:119">
      <c r="B169" s="11"/>
      <c r="E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</row>
    <row r="170" customHeight="1" spans="2:119">
      <c r="B170" s="11"/>
      <c r="E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</row>
    <row r="171" customHeight="1" spans="2:119">
      <c r="B171" s="11"/>
      <c r="E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</row>
    <row r="172" customHeight="1" spans="2:119">
      <c r="B172" s="11"/>
      <c r="E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</row>
    <row r="173" customHeight="1" spans="2:119">
      <c r="B173" s="11"/>
      <c r="E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</row>
    <row r="174" customHeight="1" spans="2:119">
      <c r="B174" s="11"/>
      <c r="E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</row>
    <row r="175" customHeight="1" spans="2:119">
      <c r="B175" s="11"/>
      <c r="E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</row>
    <row r="176" customHeight="1" spans="2:119">
      <c r="B176" s="11"/>
      <c r="E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</row>
    <row r="177" customHeight="1" spans="2:119">
      <c r="B177" s="11"/>
      <c r="E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</row>
    <row r="178" customHeight="1" spans="2:119">
      <c r="B178" s="11"/>
      <c r="E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</row>
    <row r="179" customHeight="1" spans="2:119">
      <c r="B179" s="11"/>
      <c r="E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</row>
    <row r="180" customHeight="1" spans="2:119">
      <c r="B180" s="11"/>
      <c r="E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</row>
    <row r="181" customHeight="1" spans="2:119">
      <c r="B181" s="11"/>
      <c r="E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</row>
    <row r="182" customHeight="1" spans="2:119">
      <c r="B182" s="11"/>
      <c r="E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</row>
    <row r="183" customHeight="1" spans="2:119">
      <c r="B183" s="11"/>
      <c r="E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</row>
    <row r="184" customHeight="1" spans="2:119">
      <c r="B184" s="11"/>
      <c r="E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</row>
    <row r="185" customHeight="1" spans="2:119">
      <c r="B185" s="11"/>
      <c r="E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</row>
    <row r="186" customHeight="1" spans="2:119">
      <c r="B186" s="11"/>
      <c r="E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</row>
    <row r="187" customHeight="1" spans="2:119">
      <c r="B187" s="11"/>
      <c r="E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</row>
    <row r="188" customHeight="1" spans="2:119">
      <c r="B188" s="11"/>
      <c r="E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</row>
    <row r="189" customHeight="1" spans="2:119">
      <c r="B189" s="11"/>
      <c r="E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</row>
    <row r="190" customHeight="1" spans="2:119">
      <c r="B190" s="11"/>
      <c r="E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</row>
    <row r="191" customHeight="1" spans="2:119">
      <c r="B191" s="11"/>
      <c r="E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</row>
    <row r="192" customHeight="1" spans="2:119">
      <c r="B192" s="11"/>
      <c r="E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</row>
    <row r="193" customHeight="1" spans="2:119">
      <c r="B193" s="11"/>
      <c r="E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</row>
    <row r="194" customHeight="1" spans="2:119">
      <c r="B194" s="11"/>
      <c r="E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</row>
    <row r="195" customHeight="1" spans="2:119">
      <c r="B195" s="11"/>
      <c r="E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</row>
    <row r="196" customHeight="1" spans="2:119">
      <c r="B196" s="11"/>
      <c r="E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</row>
    <row r="197" customHeight="1" spans="2:119">
      <c r="B197" s="11"/>
      <c r="E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</row>
    <row r="198" customHeight="1" spans="2:119">
      <c r="B198" s="11"/>
      <c r="E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</row>
    <row r="199" customHeight="1" spans="2:119">
      <c r="B199" s="11"/>
      <c r="E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</row>
    <row r="200" customHeight="1" spans="2:119">
      <c r="B200" s="11"/>
      <c r="E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</row>
    <row r="201" customHeight="1" spans="2:119">
      <c r="B201" s="11"/>
      <c r="E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</row>
    <row r="202" customHeight="1" spans="2:119">
      <c r="B202" s="11"/>
      <c r="E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</row>
    <row r="203" customHeight="1" spans="2:119">
      <c r="B203" s="11"/>
      <c r="E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</row>
    <row r="204" customHeight="1" spans="2:119">
      <c r="B204" s="11"/>
      <c r="E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</row>
  </sheetData>
  <mergeCells count="63">
    <mergeCell ref="E3:G3"/>
    <mergeCell ref="H3:S3"/>
    <mergeCell ref="E5:G5"/>
    <mergeCell ref="H5:S5"/>
    <mergeCell ref="E7:G7"/>
    <mergeCell ref="H7:U7"/>
    <mergeCell ref="E9:G9"/>
    <mergeCell ref="H9:U9"/>
    <mergeCell ref="H11:S11"/>
    <mergeCell ref="E20:AF20"/>
    <mergeCell ref="I23:V23"/>
    <mergeCell ref="I25:V25"/>
    <mergeCell ref="I27:V27"/>
    <mergeCell ref="E28:G28"/>
    <mergeCell ref="H28:S28"/>
    <mergeCell ref="E31:G31"/>
    <mergeCell ref="H31:S31"/>
    <mergeCell ref="E33:G33"/>
    <mergeCell ref="H33:S33"/>
    <mergeCell ref="E35:G35"/>
    <mergeCell ref="H35:S35"/>
    <mergeCell ref="E37:G37"/>
    <mergeCell ref="H47:S47"/>
    <mergeCell ref="E48:G48"/>
    <mergeCell ref="H49:S49"/>
    <mergeCell ref="H51:S51"/>
    <mergeCell ref="E53:G53"/>
    <mergeCell ref="H53:S53"/>
    <mergeCell ref="T53:AG53"/>
    <mergeCell ref="H55:S55"/>
    <mergeCell ref="A2:A11"/>
    <mergeCell ref="A12:A19"/>
    <mergeCell ref="A20:A27"/>
    <mergeCell ref="A28:A35"/>
    <mergeCell ref="A36:A45"/>
    <mergeCell ref="A46:A55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</mergeCells>
  <pageMargins left="0.7" right="0.7" top="0.75" bottom="0.75" header="0.3" footer="0.3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0"/>
  <sheetViews>
    <sheetView workbookViewId="0">
      <selection activeCell="E2" sqref="E2:E10"/>
    </sheetView>
  </sheetViews>
  <sheetFormatPr defaultColWidth="17" defaultRowHeight="16.5" customHeight="1"/>
  <cols>
    <col min="1" max="72" width="16.59375" customWidth="1"/>
  </cols>
  <sheetData>
    <row r="1" customHeight="1" spans="1:72">
      <c r="A1" s="101" t="s">
        <v>345</v>
      </c>
      <c r="B1" s="102" t="s">
        <v>0</v>
      </c>
      <c r="C1" s="102" t="s">
        <v>1</v>
      </c>
      <c r="D1" s="101" t="s">
        <v>3</v>
      </c>
      <c r="E1" s="101" t="s">
        <v>502</v>
      </c>
      <c r="F1" s="103" t="s">
        <v>503</v>
      </c>
      <c r="G1" s="104" t="s">
        <v>504</v>
      </c>
      <c r="H1" s="105" t="s">
        <v>505</v>
      </c>
      <c r="I1" s="105" t="s">
        <v>506</v>
      </c>
      <c r="J1" s="106" t="s">
        <v>346</v>
      </c>
      <c r="K1" s="107" t="s">
        <v>347</v>
      </c>
      <c r="L1" s="108" t="s">
        <v>107</v>
      </c>
      <c r="M1" s="109" t="s">
        <v>108</v>
      </c>
      <c r="N1" s="110" t="s">
        <v>350</v>
      </c>
      <c r="O1" s="111" t="s">
        <v>109</v>
      </c>
      <c r="P1" s="112" t="s">
        <v>111</v>
      </c>
      <c r="Q1" s="113" t="s">
        <v>112</v>
      </c>
      <c r="R1" s="108" t="s">
        <v>507</v>
      </c>
      <c r="S1" s="114" t="s">
        <v>9</v>
      </c>
      <c r="T1" s="101" t="s">
        <v>198</v>
      </c>
      <c r="U1" s="115" t="s">
        <v>113</v>
      </c>
      <c r="V1" s="115" t="s">
        <v>114</v>
      </c>
      <c r="W1" s="115" t="s">
        <v>115</v>
      </c>
      <c r="X1" s="116" t="s">
        <v>116</v>
      </c>
      <c r="Y1" s="116" t="s">
        <v>215</v>
      </c>
      <c r="Z1" s="115" t="s">
        <v>117</v>
      </c>
      <c r="AA1" s="117" t="s">
        <v>118</v>
      </c>
      <c r="AB1" s="117" t="s">
        <v>119</v>
      </c>
      <c r="AC1" s="117" t="s">
        <v>120</v>
      </c>
      <c r="AD1" s="117" t="s">
        <v>121</v>
      </c>
      <c r="AE1" s="118" t="s">
        <v>236</v>
      </c>
      <c r="AF1" s="119" t="s">
        <v>237</v>
      </c>
      <c r="AG1" s="118" t="s">
        <v>508</v>
      </c>
      <c r="AH1" s="120" t="s">
        <v>239</v>
      </c>
      <c r="AI1" s="120" t="s">
        <v>214</v>
      </c>
      <c r="AJ1" s="121" t="s">
        <v>238</v>
      </c>
      <c r="AK1" s="122" t="s">
        <v>509</v>
      </c>
      <c r="AL1" s="122" t="s">
        <v>361</v>
      </c>
      <c r="AM1" s="122" t="s">
        <v>362</v>
      </c>
      <c r="AN1" s="122" t="s">
        <v>363</v>
      </c>
      <c r="AO1" s="122" t="s">
        <v>364</v>
      </c>
      <c r="AP1" s="122" t="s">
        <v>365</v>
      </c>
      <c r="AQ1" s="122" t="s">
        <v>366</v>
      </c>
      <c r="AR1" s="122" t="s">
        <v>367</v>
      </c>
      <c r="AS1" s="122" t="s">
        <v>368</v>
      </c>
      <c r="AT1" s="122" t="s">
        <v>369</v>
      </c>
      <c r="AU1" s="123" t="s">
        <v>370</v>
      </c>
      <c r="AV1" s="123" t="s">
        <v>371</v>
      </c>
      <c r="AW1" s="123" t="s">
        <v>372</v>
      </c>
      <c r="AX1" s="123" t="s">
        <v>361</v>
      </c>
      <c r="AY1" s="123" t="s">
        <v>362</v>
      </c>
      <c r="AZ1" s="123" t="s">
        <v>363</v>
      </c>
      <c r="BA1" s="124" t="s">
        <v>364</v>
      </c>
      <c r="BB1" s="124" t="s">
        <v>365</v>
      </c>
      <c r="BC1" s="124" t="s">
        <v>366</v>
      </c>
      <c r="BD1" s="124" t="s">
        <v>367</v>
      </c>
      <c r="BE1" s="124" t="s">
        <v>368</v>
      </c>
      <c r="BF1" s="124" t="s">
        <v>369</v>
      </c>
      <c r="BG1" s="125" t="s">
        <v>373</v>
      </c>
      <c r="BH1" s="125" t="s">
        <v>371</v>
      </c>
      <c r="BI1" s="125" t="s">
        <v>372</v>
      </c>
      <c r="BJ1" s="125" t="s">
        <v>361</v>
      </c>
      <c r="BK1" s="125" t="s">
        <v>362</v>
      </c>
      <c r="BL1" s="125" t="s">
        <v>363</v>
      </c>
      <c r="BM1" s="120" t="s">
        <v>364</v>
      </c>
      <c r="BN1" s="120" t="s">
        <v>365</v>
      </c>
      <c r="BO1" s="120" t="s">
        <v>366</v>
      </c>
      <c r="BP1" s="120" t="s">
        <v>367</v>
      </c>
      <c r="BQ1" s="120" t="s">
        <v>368</v>
      </c>
      <c r="BR1" s="120" t="s">
        <v>369</v>
      </c>
      <c r="BS1" s="126" t="s">
        <v>374</v>
      </c>
      <c r="BT1" s="127" t="s">
        <v>232</v>
      </c>
    </row>
    <row r="2" customHeight="1" spans="1:72">
      <c r="A2" s="127" t="s">
        <v>86</v>
      </c>
      <c r="B2" s="127"/>
      <c r="C2" s="127"/>
      <c r="D2" s="128"/>
      <c r="E2" s="129"/>
      <c r="F2" s="130">
        <v>17.29</v>
      </c>
      <c r="G2" s="130">
        <v>24.92</v>
      </c>
      <c r="H2" s="131" t="e">
        <f t="shared" ref="H2:H10" si="0">INDEX(#NULL!,MATCH(1,(#NULL!=A2)*(#NULL!=C2),0))</f>
        <v>#NULL!</v>
      </c>
      <c r="I2" s="131" t="e">
        <f t="shared" ref="I2:I10" si="1">H2=J2</f>
        <v>#NULL!</v>
      </c>
      <c r="J2" s="132">
        <v>17.3</v>
      </c>
      <c r="K2" s="130">
        <v>24.99</v>
      </c>
      <c r="L2" s="133">
        <f t="shared" ref="L2:L10" si="2">J2-Q2/T2-AD2-AA2-R2-AB2-AC2</f>
        <v>3.53749673347215</v>
      </c>
      <c r="M2" s="134">
        <f t="shared" ref="M2:M10" si="3">L2/J2</f>
        <v>0.204479579969488</v>
      </c>
      <c r="N2" s="131">
        <f t="shared" ref="N2:N10" si="4">K2/1.2</f>
        <v>20.825</v>
      </c>
      <c r="O2" s="135">
        <f t="shared" ref="O2:O10" si="5">(N2-J2)/N2</f>
        <v>0.169267707082833</v>
      </c>
      <c r="P2" s="133">
        <f t="shared" ref="P2:P10" si="6">K2/1.2-J2</f>
        <v>3.525</v>
      </c>
      <c r="Q2" s="131">
        <f t="shared" ref="Q2:Q10" si="7">AF2+AG2</f>
        <v>65.4646902654867</v>
      </c>
      <c r="R2" s="131">
        <f t="shared" ref="R2:R10" si="8">IFERROR(IF(A2="UK",8.95/S2,IF(A2="DE",11.43/S2,IF(A2="FR",15.27/S2,IF(A2="IT",16.34/S2,IF(A2="ES",20.62/S2,IF(A2="NL",12/S2,IF(A2="PL",15.06/S2,IF(A2="SE",18.5/S2,IF(A2="BE",15.27/S2))))))))),0)</f>
        <v>0.559375</v>
      </c>
      <c r="S2" s="127">
        <v>16</v>
      </c>
      <c r="T2" s="136">
        <v>8.5</v>
      </c>
      <c r="U2" s="137">
        <v>0.05</v>
      </c>
      <c r="V2" s="137">
        <v>0.1</v>
      </c>
      <c r="W2" s="137">
        <v>0.01</v>
      </c>
      <c r="X2" s="137">
        <f t="shared" ref="X2:X10" si="9">Q2/(J2*T2)</f>
        <v>0.44518660500161</v>
      </c>
      <c r="Y2" s="137">
        <f t="shared" ref="Y2:Y10" si="10">R2/J2</f>
        <v>0.0323338150289017</v>
      </c>
      <c r="Z2" s="135">
        <v>0.158</v>
      </c>
      <c r="AA2" s="138">
        <f t="shared" ref="AA2:AA10" si="11">J2*U2</f>
        <v>0.865</v>
      </c>
      <c r="AB2" s="138">
        <f t="shared" ref="AB2:AB10" si="12">J2*V2</f>
        <v>1.73</v>
      </c>
      <c r="AC2" s="138">
        <f t="shared" ref="AC2:AC10" si="13">J2*W2</f>
        <v>0.173</v>
      </c>
      <c r="AD2" s="131">
        <f t="shared" ref="AD2:AD10" si="14">J2*Z2</f>
        <v>2.7334</v>
      </c>
      <c r="AE2" s="131">
        <f>61+2.5</f>
        <v>63.5</v>
      </c>
      <c r="AF2" s="139">
        <f t="shared" ref="AF2:AF10" si="15">AE2/1.13</f>
        <v>56.1946902654867</v>
      </c>
      <c r="AG2" s="136">
        <v>9.27</v>
      </c>
      <c r="AH2" s="137">
        <f t="shared" ref="AH2:AH10" si="16">AF2/(J2*T2)</f>
        <v>0.382146822614667</v>
      </c>
      <c r="AI2" s="137">
        <f t="shared" ref="AI2:AI10" si="17">AG2/T2/J2</f>
        <v>0.0630397823869432</v>
      </c>
      <c r="AJ2" s="136">
        <v>9.27</v>
      </c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40" t="s">
        <v>376</v>
      </c>
      <c r="AV2" s="140" t="s">
        <v>376</v>
      </c>
      <c r="AW2" s="140" t="s">
        <v>376</v>
      </c>
      <c r="AX2" s="140" t="s">
        <v>376</v>
      </c>
      <c r="AY2" s="140" t="s">
        <v>376</v>
      </c>
      <c r="AZ2" s="140" t="s">
        <v>376</v>
      </c>
      <c r="BA2" s="140" t="s">
        <v>376</v>
      </c>
      <c r="BB2" s="140" t="s">
        <v>376</v>
      </c>
      <c r="BC2" s="140" t="s">
        <v>376</v>
      </c>
      <c r="BD2" s="140" t="s">
        <v>376</v>
      </c>
      <c r="BE2" s="140" t="s">
        <v>376</v>
      </c>
      <c r="BF2" s="140" t="s">
        <v>376</v>
      </c>
      <c r="BG2" s="140" t="s">
        <v>376</v>
      </c>
      <c r="BH2" s="140" t="s">
        <v>376</v>
      </c>
      <c r="BI2" s="140" t="s">
        <v>376</v>
      </c>
      <c r="BJ2" s="140" t="s">
        <v>376</v>
      </c>
      <c r="BK2" s="140" t="s">
        <v>376</v>
      </c>
      <c r="BL2" s="140" t="s">
        <v>376</v>
      </c>
      <c r="BM2" s="140" t="s">
        <v>376</v>
      </c>
      <c r="BN2" s="140" t="s">
        <v>376</v>
      </c>
      <c r="BO2" s="140" t="s">
        <v>376</v>
      </c>
      <c r="BP2" s="140" t="s">
        <v>376</v>
      </c>
      <c r="BQ2" s="140" t="s">
        <v>376</v>
      </c>
      <c r="BR2" s="140" t="s">
        <v>376</v>
      </c>
      <c r="BS2" s="141"/>
      <c r="BT2" s="142" t="s">
        <v>377</v>
      </c>
    </row>
    <row r="3" customHeight="1" spans="1:72">
      <c r="A3" s="127" t="s">
        <v>280</v>
      </c>
      <c r="B3" s="127"/>
      <c r="C3" s="127"/>
      <c r="D3" s="128"/>
      <c r="E3" s="129"/>
      <c r="F3" s="130">
        <v>20.33</v>
      </c>
      <c r="G3" s="130">
        <v>29.99</v>
      </c>
      <c r="H3" s="131" t="e">
        <f t="shared" si="0"/>
        <v>#NULL!</v>
      </c>
      <c r="I3" s="131" t="e">
        <f t="shared" si="1"/>
        <v>#NULL!</v>
      </c>
      <c r="J3" s="130">
        <v>20.33</v>
      </c>
      <c r="K3" s="130">
        <v>29.99</v>
      </c>
      <c r="L3" s="133">
        <f t="shared" si="2"/>
        <v>4.43279528581679</v>
      </c>
      <c r="M3" s="134">
        <f t="shared" si="3"/>
        <v>0.218042070133634</v>
      </c>
      <c r="N3" s="131">
        <f t="shared" si="4"/>
        <v>24.9916666666667</v>
      </c>
      <c r="O3" s="135">
        <f t="shared" si="5"/>
        <v>0.186528842947649</v>
      </c>
      <c r="P3" s="133">
        <f t="shared" si="6"/>
        <v>4.66166666666667</v>
      </c>
      <c r="Q3" s="131">
        <f t="shared" si="7"/>
        <v>62.7823008849558</v>
      </c>
      <c r="R3" s="131">
        <f t="shared" si="8"/>
        <v>0.714375</v>
      </c>
      <c r="S3" s="127">
        <v>16</v>
      </c>
      <c r="T3" s="136">
        <v>7.4</v>
      </c>
      <c r="U3" s="137">
        <v>0.05</v>
      </c>
      <c r="V3" s="137">
        <v>0.1</v>
      </c>
      <c r="W3" s="137">
        <v>0.01</v>
      </c>
      <c r="X3" s="137">
        <f t="shared" si="9"/>
        <v>0.417318972660266</v>
      </c>
      <c r="Y3" s="137">
        <f t="shared" si="10"/>
        <v>0.0351389572060994</v>
      </c>
      <c r="Z3" s="135">
        <v>0.1695</v>
      </c>
      <c r="AA3" s="138">
        <f t="shared" si="11"/>
        <v>1.0165</v>
      </c>
      <c r="AB3" s="138">
        <f t="shared" si="12"/>
        <v>2.033</v>
      </c>
      <c r="AC3" s="138">
        <f t="shared" si="13"/>
        <v>0.2033</v>
      </c>
      <c r="AD3" s="131">
        <f t="shared" si="14"/>
        <v>3.445935</v>
      </c>
      <c r="AE3" s="131">
        <v>61</v>
      </c>
      <c r="AF3" s="139">
        <f t="shared" si="15"/>
        <v>53.9823008849558</v>
      </c>
      <c r="AG3" s="139">
        <v>8.8</v>
      </c>
      <c r="AH3" s="137">
        <f t="shared" si="16"/>
        <v>0.358824669207773</v>
      </c>
      <c r="AI3" s="137">
        <f t="shared" si="17"/>
        <v>0.0584943034524933</v>
      </c>
      <c r="AJ3" s="139">
        <v>8.8</v>
      </c>
      <c r="AK3" s="137"/>
      <c r="AL3" s="137"/>
      <c r="AM3" s="137"/>
      <c r="AN3" s="137"/>
      <c r="AO3" s="140"/>
      <c r="AP3" s="140"/>
      <c r="AQ3" s="140"/>
      <c r="AR3" s="140"/>
      <c r="AS3" s="140"/>
      <c r="AT3" s="140"/>
      <c r="AU3" s="140" t="s">
        <v>376</v>
      </c>
      <c r="AV3" s="140" t="s">
        <v>376</v>
      </c>
      <c r="AW3" s="140" t="s">
        <v>376</v>
      </c>
      <c r="AX3" s="140" t="s">
        <v>376</v>
      </c>
      <c r="AY3" s="140" t="s">
        <v>376</v>
      </c>
      <c r="AZ3" s="140" t="s">
        <v>376</v>
      </c>
      <c r="BA3" s="140" t="s">
        <v>376</v>
      </c>
      <c r="BB3" s="140" t="s">
        <v>376</v>
      </c>
      <c r="BC3" s="140" t="s">
        <v>376</v>
      </c>
      <c r="BD3" s="140" t="s">
        <v>376</v>
      </c>
      <c r="BE3" s="140" t="s">
        <v>376</v>
      </c>
      <c r="BF3" s="140" t="s">
        <v>376</v>
      </c>
      <c r="BG3" s="140" t="s">
        <v>376</v>
      </c>
      <c r="BH3" s="140" t="s">
        <v>376</v>
      </c>
      <c r="BI3" s="140" t="s">
        <v>376</v>
      </c>
      <c r="BJ3" s="140" t="s">
        <v>376</v>
      </c>
      <c r="BK3" s="140" t="s">
        <v>376</v>
      </c>
      <c r="BL3" s="140" t="s">
        <v>376</v>
      </c>
      <c r="BM3" s="140" t="s">
        <v>376</v>
      </c>
      <c r="BN3" s="140" t="s">
        <v>376</v>
      </c>
      <c r="BO3" s="140" t="s">
        <v>376</v>
      </c>
      <c r="BP3" s="140" t="s">
        <v>376</v>
      </c>
      <c r="BQ3" s="140" t="s">
        <v>376</v>
      </c>
      <c r="BR3" s="140" t="s">
        <v>376</v>
      </c>
      <c r="BS3" s="141"/>
      <c r="BT3" s="142" t="s">
        <v>377</v>
      </c>
    </row>
    <row r="4" customHeight="1" spans="1:72">
      <c r="A4" s="127" t="s">
        <v>285</v>
      </c>
      <c r="B4" s="127"/>
      <c r="C4" s="127"/>
      <c r="D4" s="128"/>
      <c r="E4" s="129"/>
      <c r="F4" s="130">
        <v>20.65</v>
      </c>
      <c r="G4" s="130">
        <v>29.99</v>
      </c>
      <c r="H4" s="131" t="e">
        <f t="shared" si="0"/>
        <v>#NULL!</v>
      </c>
      <c r="I4" s="131" t="e">
        <f t="shared" si="1"/>
        <v>#NULL!</v>
      </c>
      <c r="J4" s="130">
        <v>20.65</v>
      </c>
      <c r="K4" s="130">
        <v>29.99</v>
      </c>
      <c r="L4" s="133">
        <f t="shared" si="2"/>
        <v>3.81883028581679</v>
      </c>
      <c r="M4" s="134">
        <f t="shared" si="3"/>
        <v>0.184931248707835</v>
      </c>
      <c r="N4" s="131">
        <f t="shared" si="4"/>
        <v>24.9916666666667</v>
      </c>
      <c r="O4" s="135">
        <f t="shared" si="5"/>
        <v>0.173724574858286</v>
      </c>
      <c r="P4" s="133">
        <f t="shared" si="6"/>
        <v>4.34166666666667</v>
      </c>
      <c r="Q4" s="131">
        <f t="shared" si="7"/>
        <v>62.7823008849558</v>
      </c>
      <c r="R4" s="131">
        <f t="shared" si="8"/>
        <v>0.954375</v>
      </c>
      <c r="S4" s="127">
        <v>16</v>
      </c>
      <c r="T4" s="136">
        <v>7.4</v>
      </c>
      <c r="U4" s="137">
        <v>0.05</v>
      </c>
      <c r="V4" s="137">
        <v>0.1</v>
      </c>
      <c r="W4" s="137">
        <v>0.01</v>
      </c>
      <c r="X4" s="137">
        <f t="shared" si="9"/>
        <v>0.410852044270373</v>
      </c>
      <c r="Y4" s="137">
        <f t="shared" si="10"/>
        <v>0.0462167070217918</v>
      </c>
      <c r="Z4" s="135">
        <v>0.198</v>
      </c>
      <c r="AA4" s="138">
        <f t="shared" si="11"/>
        <v>1.0325</v>
      </c>
      <c r="AB4" s="138">
        <f t="shared" si="12"/>
        <v>2.065</v>
      </c>
      <c r="AC4" s="138">
        <f t="shared" si="13"/>
        <v>0.2065</v>
      </c>
      <c r="AD4" s="131">
        <f t="shared" si="14"/>
        <v>4.0887</v>
      </c>
      <c r="AE4" s="131">
        <v>61</v>
      </c>
      <c r="AF4" s="139">
        <f t="shared" si="15"/>
        <v>53.9823008849558</v>
      </c>
      <c r="AG4" s="139">
        <v>8.8</v>
      </c>
      <c r="AH4" s="137">
        <f t="shared" si="16"/>
        <v>0.35326419007235</v>
      </c>
      <c r="AI4" s="137">
        <f t="shared" si="17"/>
        <v>0.0575878541980237</v>
      </c>
      <c r="AJ4" s="139">
        <v>8.8</v>
      </c>
      <c r="AK4" s="137"/>
      <c r="AL4" s="137"/>
      <c r="AM4" s="137"/>
      <c r="AN4" s="137"/>
      <c r="AO4" s="140"/>
      <c r="AP4" s="140"/>
      <c r="AQ4" s="140"/>
      <c r="AR4" s="140"/>
      <c r="AS4" s="140"/>
      <c r="AT4" s="140"/>
      <c r="AU4" s="140" t="s">
        <v>376</v>
      </c>
      <c r="AV4" s="140" t="s">
        <v>376</v>
      </c>
      <c r="AW4" s="140" t="s">
        <v>376</v>
      </c>
      <c r="AX4" s="140" t="s">
        <v>376</v>
      </c>
      <c r="AY4" s="140" t="s">
        <v>376</v>
      </c>
      <c r="AZ4" s="140" t="s">
        <v>376</v>
      </c>
      <c r="BA4" s="140" t="s">
        <v>376</v>
      </c>
      <c r="BB4" s="140" t="s">
        <v>376</v>
      </c>
      <c r="BC4" s="140" t="s">
        <v>376</v>
      </c>
      <c r="BD4" s="140" t="s">
        <v>376</v>
      </c>
      <c r="BE4" s="140" t="s">
        <v>376</v>
      </c>
      <c r="BF4" s="140" t="s">
        <v>376</v>
      </c>
      <c r="BG4" s="140" t="s">
        <v>376</v>
      </c>
      <c r="BH4" s="140" t="s">
        <v>376</v>
      </c>
      <c r="BI4" s="140" t="s">
        <v>376</v>
      </c>
      <c r="BJ4" s="140" t="s">
        <v>376</v>
      </c>
      <c r="BK4" s="140" t="s">
        <v>376</v>
      </c>
      <c r="BL4" s="140" t="s">
        <v>376</v>
      </c>
      <c r="BM4" s="140" t="s">
        <v>376</v>
      </c>
      <c r="BN4" s="140" t="s">
        <v>376</v>
      </c>
      <c r="BO4" s="140" t="s">
        <v>376</v>
      </c>
      <c r="BP4" s="140" t="s">
        <v>376</v>
      </c>
      <c r="BQ4" s="140" t="s">
        <v>376</v>
      </c>
      <c r="BR4" s="140" t="s">
        <v>376</v>
      </c>
      <c r="BS4" s="141"/>
      <c r="BT4" s="142" t="s">
        <v>377</v>
      </c>
    </row>
    <row r="5" customHeight="1" spans="1:72">
      <c r="A5" s="127" t="s">
        <v>287</v>
      </c>
      <c r="B5" s="127"/>
      <c r="C5" s="127"/>
      <c r="D5" s="128"/>
      <c r="E5" s="129"/>
      <c r="F5" s="130">
        <v>20.99</v>
      </c>
      <c r="G5" s="130">
        <v>29.99</v>
      </c>
      <c r="H5" s="131" t="e">
        <f t="shared" si="0"/>
        <v>#NULL!</v>
      </c>
      <c r="I5" s="131" t="e">
        <f t="shared" si="1"/>
        <v>#NULL!</v>
      </c>
      <c r="J5" s="130">
        <v>20.99</v>
      </c>
      <c r="K5" s="130">
        <v>29.99</v>
      </c>
      <c r="L5" s="133">
        <f t="shared" si="2"/>
        <v>4.25150128581679</v>
      </c>
      <c r="M5" s="134">
        <f t="shared" si="3"/>
        <v>0.202548894036055</v>
      </c>
      <c r="N5" s="131">
        <f t="shared" si="4"/>
        <v>24.9916666666667</v>
      </c>
      <c r="O5" s="135">
        <f t="shared" si="5"/>
        <v>0.160120040013338</v>
      </c>
      <c r="P5" s="133">
        <f t="shared" si="6"/>
        <v>4.00166666666667</v>
      </c>
      <c r="Q5" s="131">
        <f t="shared" si="7"/>
        <v>62.7823008849558</v>
      </c>
      <c r="R5" s="131">
        <f t="shared" si="8"/>
        <v>1.02125</v>
      </c>
      <c r="S5" s="127">
        <v>16</v>
      </c>
      <c r="T5" s="136">
        <v>7.4</v>
      </c>
      <c r="U5" s="137">
        <v>0.05</v>
      </c>
      <c r="V5" s="137">
        <v>0.1</v>
      </c>
      <c r="W5" s="137">
        <v>0.01</v>
      </c>
      <c r="X5" s="137">
        <f t="shared" si="9"/>
        <v>0.404196984953941</v>
      </c>
      <c r="Y5" s="137">
        <f t="shared" si="10"/>
        <v>0.0486541210100048</v>
      </c>
      <c r="Z5" s="135">
        <v>0.1846</v>
      </c>
      <c r="AA5" s="138">
        <f t="shared" si="11"/>
        <v>1.0495</v>
      </c>
      <c r="AB5" s="138">
        <f t="shared" si="12"/>
        <v>2.099</v>
      </c>
      <c r="AC5" s="138">
        <f t="shared" si="13"/>
        <v>0.2099</v>
      </c>
      <c r="AD5" s="131">
        <f t="shared" si="14"/>
        <v>3.874754</v>
      </c>
      <c r="AE5" s="131">
        <v>61</v>
      </c>
      <c r="AF5" s="139">
        <f t="shared" si="15"/>
        <v>53.9823008849558</v>
      </c>
      <c r="AG5" s="139">
        <v>8.8</v>
      </c>
      <c r="AH5" s="137">
        <f t="shared" si="16"/>
        <v>0.347541949737686</v>
      </c>
      <c r="AI5" s="137">
        <f t="shared" si="17"/>
        <v>0.0566550352162549</v>
      </c>
      <c r="AJ5" s="139">
        <v>8.8</v>
      </c>
      <c r="AK5" s="134"/>
      <c r="AL5" s="134"/>
      <c r="AM5" s="134"/>
      <c r="AN5" s="134"/>
      <c r="AO5" s="140"/>
      <c r="AP5" s="140"/>
      <c r="AQ5" s="140"/>
      <c r="AR5" s="140"/>
      <c r="AS5" s="140"/>
      <c r="AT5" s="140"/>
      <c r="AU5" s="140" t="s">
        <v>376</v>
      </c>
      <c r="AV5" s="140" t="s">
        <v>376</v>
      </c>
      <c r="AW5" s="140" t="s">
        <v>376</v>
      </c>
      <c r="AX5" s="140" t="s">
        <v>376</v>
      </c>
      <c r="AY5" s="140" t="s">
        <v>376</v>
      </c>
      <c r="AZ5" s="140" t="s">
        <v>376</v>
      </c>
      <c r="BA5" s="140" t="s">
        <v>376</v>
      </c>
      <c r="BB5" s="140" t="s">
        <v>376</v>
      </c>
      <c r="BC5" s="140" t="s">
        <v>376</v>
      </c>
      <c r="BD5" s="140" t="s">
        <v>376</v>
      </c>
      <c r="BE5" s="140" t="s">
        <v>376</v>
      </c>
      <c r="BF5" s="140" t="s">
        <v>376</v>
      </c>
      <c r="BG5" s="140" t="s">
        <v>376</v>
      </c>
      <c r="BH5" s="140" t="s">
        <v>376</v>
      </c>
      <c r="BI5" s="140" t="s">
        <v>376</v>
      </c>
      <c r="BJ5" s="140" t="s">
        <v>376</v>
      </c>
      <c r="BK5" s="140" t="s">
        <v>376</v>
      </c>
      <c r="BL5" s="140" t="s">
        <v>376</v>
      </c>
      <c r="BM5" s="140" t="s">
        <v>376</v>
      </c>
      <c r="BN5" s="140" t="s">
        <v>376</v>
      </c>
      <c r="BO5" s="140" t="s">
        <v>376</v>
      </c>
      <c r="BP5" s="140" t="s">
        <v>376</v>
      </c>
      <c r="BQ5" s="140" t="s">
        <v>376</v>
      </c>
      <c r="BR5" s="140" t="s">
        <v>376</v>
      </c>
      <c r="BS5" s="141"/>
      <c r="BT5" s="142" t="s">
        <v>377</v>
      </c>
    </row>
    <row r="6" customHeight="1" spans="1:72">
      <c r="A6" s="127" t="s">
        <v>290</v>
      </c>
      <c r="B6" s="127"/>
      <c r="C6" s="127"/>
      <c r="D6" s="128"/>
      <c r="E6" s="129"/>
      <c r="F6" s="130">
        <v>20.99</v>
      </c>
      <c r="G6" s="130">
        <v>29.99</v>
      </c>
      <c r="H6" s="131" t="e">
        <f t="shared" si="0"/>
        <v>#NULL!</v>
      </c>
      <c r="I6" s="131" t="e">
        <f t="shared" si="1"/>
        <v>#NULL!</v>
      </c>
      <c r="J6" s="130">
        <v>20.99</v>
      </c>
      <c r="K6" s="130">
        <v>29.99</v>
      </c>
      <c r="L6" s="133">
        <f t="shared" si="2"/>
        <v>4.40380128581679</v>
      </c>
      <c r="M6" s="134">
        <f t="shared" si="3"/>
        <v>0.209804730148489</v>
      </c>
      <c r="N6" s="131">
        <f t="shared" si="4"/>
        <v>24.9916666666667</v>
      </c>
      <c r="O6" s="135">
        <f t="shared" si="5"/>
        <v>0.160120040013338</v>
      </c>
      <c r="P6" s="133">
        <f t="shared" si="6"/>
        <v>4.00166666666667</v>
      </c>
      <c r="Q6" s="131">
        <f t="shared" si="7"/>
        <v>62.7823008849558</v>
      </c>
      <c r="R6" s="131">
        <f t="shared" si="8"/>
        <v>1.28875</v>
      </c>
      <c r="S6" s="127">
        <v>16</v>
      </c>
      <c r="T6" s="136">
        <v>7.4</v>
      </c>
      <c r="U6" s="137">
        <v>0.05</v>
      </c>
      <c r="V6" s="137">
        <v>0.1</v>
      </c>
      <c r="W6" s="137">
        <v>0.01</v>
      </c>
      <c r="X6" s="137">
        <f t="shared" si="9"/>
        <v>0.404196984953941</v>
      </c>
      <c r="Y6" s="137">
        <f t="shared" si="10"/>
        <v>0.0613982848975703</v>
      </c>
      <c r="Z6" s="135">
        <v>0.1646</v>
      </c>
      <c r="AA6" s="138">
        <f t="shared" si="11"/>
        <v>1.0495</v>
      </c>
      <c r="AB6" s="138">
        <f t="shared" si="12"/>
        <v>2.099</v>
      </c>
      <c r="AC6" s="138">
        <f t="shared" si="13"/>
        <v>0.2099</v>
      </c>
      <c r="AD6" s="131">
        <f t="shared" si="14"/>
        <v>3.454954</v>
      </c>
      <c r="AE6" s="131">
        <v>61</v>
      </c>
      <c r="AF6" s="139">
        <f t="shared" si="15"/>
        <v>53.9823008849558</v>
      </c>
      <c r="AG6" s="139">
        <v>8.8</v>
      </c>
      <c r="AH6" s="137">
        <f t="shared" si="16"/>
        <v>0.347541949737686</v>
      </c>
      <c r="AI6" s="137">
        <f t="shared" si="17"/>
        <v>0.0566550352162549</v>
      </c>
      <c r="AJ6" s="139">
        <v>8.8</v>
      </c>
      <c r="AK6" s="137"/>
      <c r="AL6" s="137"/>
      <c r="AM6" s="137"/>
      <c r="AN6" s="137"/>
      <c r="AO6" s="140"/>
      <c r="AP6" s="140"/>
      <c r="AQ6" s="140"/>
      <c r="AR6" s="140"/>
      <c r="AS6" s="140"/>
      <c r="AT6" s="140"/>
      <c r="AU6" s="140" t="s">
        <v>376</v>
      </c>
      <c r="AV6" s="140" t="s">
        <v>376</v>
      </c>
      <c r="AW6" s="140" t="s">
        <v>376</v>
      </c>
      <c r="AX6" s="140" t="s">
        <v>376</v>
      </c>
      <c r="AY6" s="140" t="s">
        <v>376</v>
      </c>
      <c r="AZ6" s="140" t="s">
        <v>376</v>
      </c>
      <c r="BA6" s="140" t="s">
        <v>376</v>
      </c>
      <c r="BB6" s="140" t="s">
        <v>376</v>
      </c>
      <c r="BC6" s="140" t="s">
        <v>376</v>
      </c>
      <c r="BD6" s="140" t="s">
        <v>376</v>
      </c>
      <c r="BE6" s="140" t="s">
        <v>376</v>
      </c>
      <c r="BF6" s="140" t="s">
        <v>376</v>
      </c>
      <c r="BG6" s="140" t="s">
        <v>376</v>
      </c>
      <c r="BH6" s="140" t="s">
        <v>376</v>
      </c>
      <c r="BI6" s="140" t="s">
        <v>376</v>
      </c>
      <c r="BJ6" s="140" t="s">
        <v>376</v>
      </c>
      <c r="BK6" s="140" t="s">
        <v>376</v>
      </c>
      <c r="BL6" s="140" t="s">
        <v>376</v>
      </c>
      <c r="BM6" s="140" t="s">
        <v>376</v>
      </c>
      <c r="BN6" s="140" t="s">
        <v>376</v>
      </c>
      <c r="BO6" s="140" t="s">
        <v>376</v>
      </c>
      <c r="BP6" s="140" t="s">
        <v>376</v>
      </c>
      <c r="BQ6" s="140" t="s">
        <v>376</v>
      </c>
      <c r="BR6" s="140" t="s">
        <v>376</v>
      </c>
      <c r="BS6" s="141"/>
      <c r="BT6" s="142" t="s">
        <v>377</v>
      </c>
    </row>
    <row r="7" customHeight="1" spans="1:72">
      <c r="A7" s="127" t="s">
        <v>381</v>
      </c>
      <c r="B7" s="127"/>
      <c r="C7" s="127"/>
      <c r="D7" s="128"/>
      <c r="E7" s="129"/>
      <c r="F7" s="131">
        <v>48</v>
      </c>
      <c r="G7" s="143">
        <v>66.99</v>
      </c>
      <c r="H7" s="131" t="e">
        <f t="shared" si="0"/>
        <v>#NULL!</v>
      </c>
      <c r="I7" s="131" t="e">
        <f t="shared" si="1"/>
        <v>#NULL!</v>
      </c>
      <c r="J7" s="131">
        <v>22</v>
      </c>
      <c r="K7" s="143">
        <v>35</v>
      </c>
      <c r="L7" s="133">
        <f t="shared" si="2"/>
        <v>5.76990528581679</v>
      </c>
      <c r="M7" s="134">
        <f t="shared" si="3"/>
        <v>0.262268422082581</v>
      </c>
      <c r="N7" s="131">
        <f t="shared" si="4"/>
        <v>29.1666666666667</v>
      </c>
      <c r="O7" s="135">
        <f t="shared" si="5"/>
        <v>0.245714285714286</v>
      </c>
      <c r="P7" s="133">
        <f t="shared" si="6"/>
        <v>7.16666666666667</v>
      </c>
      <c r="Q7" s="131">
        <f t="shared" si="7"/>
        <v>62.7823008849558</v>
      </c>
      <c r="R7" s="131">
        <f t="shared" si="8"/>
        <v>0.75</v>
      </c>
      <c r="S7" s="127">
        <v>16</v>
      </c>
      <c r="T7" s="136">
        <v>7.4</v>
      </c>
      <c r="U7" s="137">
        <v>0.05</v>
      </c>
      <c r="V7" s="137">
        <v>0.1</v>
      </c>
      <c r="W7" s="137">
        <v>0.01</v>
      </c>
      <c r="X7" s="137">
        <f t="shared" si="9"/>
        <v>0.38564066882651</v>
      </c>
      <c r="Y7" s="137">
        <f t="shared" si="10"/>
        <v>0.0340909090909091</v>
      </c>
      <c r="Z7" s="135">
        <v>0.158</v>
      </c>
      <c r="AA7" s="138">
        <f t="shared" si="11"/>
        <v>1.1</v>
      </c>
      <c r="AB7" s="138">
        <f t="shared" si="12"/>
        <v>2.2</v>
      </c>
      <c r="AC7" s="138">
        <f t="shared" si="13"/>
        <v>0.22</v>
      </c>
      <c r="AD7" s="131">
        <f t="shared" si="14"/>
        <v>3.476</v>
      </c>
      <c r="AE7" s="131">
        <v>61</v>
      </c>
      <c r="AF7" s="139">
        <f t="shared" si="15"/>
        <v>53.9823008849558</v>
      </c>
      <c r="AG7" s="139">
        <v>8.8</v>
      </c>
      <c r="AH7" s="137">
        <f t="shared" si="16"/>
        <v>0.331586614772455</v>
      </c>
      <c r="AI7" s="137">
        <f t="shared" si="17"/>
        <v>0.0540540540540541</v>
      </c>
      <c r="AJ7" s="139">
        <v>8.8</v>
      </c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 t="s">
        <v>376</v>
      </c>
      <c r="AV7" s="140" t="s">
        <v>376</v>
      </c>
      <c r="AW7" s="140" t="s">
        <v>376</v>
      </c>
      <c r="AX7" s="140" t="s">
        <v>376</v>
      </c>
      <c r="AY7" s="140" t="s">
        <v>376</v>
      </c>
      <c r="AZ7" s="140" t="s">
        <v>376</v>
      </c>
      <c r="BA7" s="140" t="s">
        <v>376</v>
      </c>
      <c r="BB7" s="140" t="s">
        <v>376</v>
      </c>
      <c r="BC7" s="140" t="s">
        <v>376</v>
      </c>
      <c r="BD7" s="140" t="s">
        <v>376</v>
      </c>
      <c r="BE7" s="140" t="s">
        <v>376</v>
      </c>
      <c r="BF7" s="140" t="s">
        <v>376</v>
      </c>
      <c r="BG7" s="140" t="s">
        <v>376</v>
      </c>
      <c r="BH7" s="140" t="s">
        <v>376</v>
      </c>
      <c r="BI7" s="140" t="s">
        <v>376</v>
      </c>
      <c r="BJ7" s="140" t="s">
        <v>376</v>
      </c>
      <c r="BK7" s="140" t="s">
        <v>376</v>
      </c>
      <c r="BL7" s="140" t="s">
        <v>376</v>
      </c>
      <c r="BM7" s="140" t="s">
        <v>376</v>
      </c>
      <c r="BN7" s="140" t="s">
        <v>376</v>
      </c>
      <c r="BO7" s="140" t="s">
        <v>376</v>
      </c>
      <c r="BP7" s="140" t="s">
        <v>376</v>
      </c>
      <c r="BQ7" s="140" t="s">
        <v>376</v>
      </c>
      <c r="BR7" s="140" t="s">
        <v>376</v>
      </c>
      <c r="BS7" s="144" t="e">
        <f>IF(H7&lt;J7,1,0)</f>
        <v>#NULL!</v>
      </c>
      <c r="BT7" s="142" t="s">
        <v>377</v>
      </c>
    </row>
    <row r="8" customHeight="1" spans="1:72">
      <c r="A8" s="127" t="s">
        <v>383</v>
      </c>
      <c r="B8" s="127"/>
      <c r="C8" s="127"/>
      <c r="D8" s="128"/>
      <c r="E8" s="129"/>
      <c r="F8" s="131">
        <v>209.99</v>
      </c>
      <c r="G8" s="143">
        <v>329</v>
      </c>
      <c r="H8" s="131" t="e">
        <f t="shared" si="0"/>
        <v>#NULL!</v>
      </c>
      <c r="I8" s="131" t="e">
        <f t="shared" si="1"/>
        <v>#NULL!</v>
      </c>
      <c r="J8" s="131">
        <v>99</v>
      </c>
      <c r="K8" s="143">
        <v>168</v>
      </c>
      <c r="L8" s="133">
        <f t="shared" si="2"/>
        <v>27.3378119469027</v>
      </c>
      <c r="M8" s="134">
        <f t="shared" si="3"/>
        <v>0.276139514615178</v>
      </c>
      <c r="N8" s="131">
        <f t="shared" si="4"/>
        <v>140</v>
      </c>
      <c r="O8" s="135">
        <f t="shared" si="5"/>
        <v>0.292857142857143</v>
      </c>
      <c r="P8" s="133">
        <f t="shared" si="6"/>
        <v>41</v>
      </c>
      <c r="Q8" s="131">
        <f t="shared" si="7"/>
        <v>62.7823008849558</v>
      </c>
      <c r="R8" s="131">
        <f t="shared" si="8"/>
        <v>0.94125</v>
      </c>
      <c r="S8" s="127">
        <v>16</v>
      </c>
      <c r="T8" s="136">
        <v>1.6</v>
      </c>
      <c r="U8" s="137">
        <v>0.05</v>
      </c>
      <c r="V8" s="137">
        <v>0.1</v>
      </c>
      <c r="W8" s="137">
        <v>0.01</v>
      </c>
      <c r="X8" s="137">
        <f t="shared" si="9"/>
        <v>0.396352909627246</v>
      </c>
      <c r="Y8" s="137">
        <f t="shared" si="10"/>
        <v>0.00950757575757576</v>
      </c>
      <c r="Z8" s="135">
        <v>0.158</v>
      </c>
      <c r="AA8" s="138">
        <f t="shared" si="11"/>
        <v>4.95</v>
      </c>
      <c r="AB8" s="138">
        <f t="shared" si="12"/>
        <v>9.9</v>
      </c>
      <c r="AC8" s="138">
        <f t="shared" si="13"/>
        <v>0.99</v>
      </c>
      <c r="AD8" s="131">
        <f t="shared" si="14"/>
        <v>15.642</v>
      </c>
      <c r="AE8" s="131">
        <v>61</v>
      </c>
      <c r="AF8" s="139">
        <f t="shared" si="15"/>
        <v>53.9823008849558</v>
      </c>
      <c r="AG8" s="139">
        <v>8.8</v>
      </c>
      <c r="AH8" s="137">
        <f t="shared" si="16"/>
        <v>0.34079735407169</v>
      </c>
      <c r="AI8" s="137">
        <f t="shared" si="17"/>
        <v>0.0555555555555556</v>
      </c>
      <c r="AJ8" s="139">
        <v>8.8</v>
      </c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 t="s">
        <v>376</v>
      </c>
      <c r="AV8" s="140" t="s">
        <v>376</v>
      </c>
      <c r="AW8" s="140" t="s">
        <v>376</v>
      </c>
      <c r="AX8" s="140" t="s">
        <v>376</v>
      </c>
      <c r="AY8" s="140" t="s">
        <v>376</v>
      </c>
      <c r="AZ8" s="140" t="s">
        <v>376</v>
      </c>
      <c r="BA8" s="140" t="s">
        <v>376</v>
      </c>
      <c r="BB8" s="140" t="s">
        <v>376</v>
      </c>
      <c r="BC8" s="140" t="s">
        <v>376</v>
      </c>
      <c r="BD8" s="140" t="s">
        <v>376</v>
      </c>
      <c r="BE8" s="140" t="s">
        <v>376</v>
      </c>
      <c r="BF8" s="140" t="s">
        <v>376</v>
      </c>
      <c r="BG8" s="140" t="s">
        <v>376</v>
      </c>
      <c r="BH8" s="140" t="s">
        <v>376</v>
      </c>
      <c r="BI8" s="140" t="s">
        <v>376</v>
      </c>
      <c r="BJ8" s="140" t="s">
        <v>376</v>
      </c>
      <c r="BK8" s="140" t="s">
        <v>376</v>
      </c>
      <c r="BL8" s="140" t="s">
        <v>376</v>
      </c>
      <c r="BM8" s="140" t="s">
        <v>376</v>
      </c>
      <c r="BN8" s="140" t="s">
        <v>376</v>
      </c>
      <c r="BO8" s="140" t="s">
        <v>376</v>
      </c>
      <c r="BP8" s="140" t="s">
        <v>376</v>
      </c>
      <c r="BQ8" s="140" t="s">
        <v>376</v>
      </c>
      <c r="BR8" s="140" t="s">
        <v>376</v>
      </c>
      <c r="BS8" s="144" t="e">
        <f>IF(H8&lt;J8,1,0)</f>
        <v>#NULL!</v>
      </c>
      <c r="BT8" s="142" t="s">
        <v>377</v>
      </c>
    </row>
    <row r="9" customHeight="1" spans="1:72">
      <c r="A9" s="127" t="s">
        <v>385</v>
      </c>
      <c r="B9" s="127"/>
      <c r="C9" s="127"/>
      <c r="D9" s="128"/>
      <c r="E9" s="129"/>
      <c r="F9" s="131">
        <v>474.5115</v>
      </c>
      <c r="G9" s="143">
        <v>720.76</v>
      </c>
      <c r="H9" s="131" t="e">
        <f t="shared" si="0"/>
        <v>#NULL!</v>
      </c>
      <c r="I9" s="131" t="e">
        <f t="shared" si="1"/>
        <v>#NULL!</v>
      </c>
      <c r="J9" s="131">
        <v>270</v>
      </c>
      <c r="K9" s="143">
        <v>538</v>
      </c>
      <c r="L9" s="133">
        <f t="shared" si="2"/>
        <v>60.796581858407</v>
      </c>
      <c r="M9" s="134">
        <f t="shared" si="3"/>
        <v>0.225172525401508</v>
      </c>
      <c r="N9" s="131">
        <f t="shared" si="4"/>
        <v>448.333333333333</v>
      </c>
      <c r="O9" s="135">
        <f t="shared" si="5"/>
        <v>0.397769516728625</v>
      </c>
      <c r="P9" s="133">
        <f t="shared" si="6"/>
        <v>178.333333333333</v>
      </c>
      <c r="Q9" s="131">
        <f t="shared" si="7"/>
        <v>62.7823008849558</v>
      </c>
      <c r="R9" s="131">
        <f t="shared" si="8"/>
        <v>1.15625</v>
      </c>
      <c r="S9" s="127">
        <v>16</v>
      </c>
      <c r="T9" s="136">
        <v>0.6</v>
      </c>
      <c r="U9" s="137">
        <v>0.05</v>
      </c>
      <c r="V9" s="137">
        <v>0.1</v>
      </c>
      <c r="W9" s="137">
        <v>0.01</v>
      </c>
      <c r="X9" s="137">
        <f t="shared" si="9"/>
        <v>0.387545067191085</v>
      </c>
      <c r="Y9" s="137">
        <f t="shared" si="10"/>
        <v>0.00428240740740741</v>
      </c>
      <c r="Z9" s="135">
        <v>0.223</v>
      </c>
      <c r="AA9" s="138">
        <f t="shared" si="11"/>
        <v>13.5</v>
      </c>
      <c r="AB9" s="138">
        <f t="shared" si="12"/>
        <v>27</v>
      </c>
      <c r="AC9" s="138">
        <f t="shared" si="13"/>
        <v>2.7</v>
      </c>
      <c r="AD9" s="131">
        <f t="shared" si="14"/>
        <v>60.21</v>
      </c>
      <c r="AE9" s="131">
        <v>61</v>
      </c>
      <c r="AF9" s="139">
        <f t="shared" si="15"/>
        <v>53.9823008849558</v>
      </c>
      <c r="AG9" s="139">
        <v>8.8</v>
      </c>
      <c r="AH9" s="137">
        <f t="shared" si="16"/>
        <v>0.333224079536764</v>
      </c>
      <c r="AI9" s="137">
        <f t="shared" si="17"/>
        <v>0.054320987654321</v>
      </c>
      <c r="AJ9" s="139">
        <v>8.8</v>
      </c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 t="s">
        <v>376</v>
      </c>
      <c r="AV9" s="140" t="s">
        <v>376</v>
      </c>
      <c r="AW9" s="140" t="s">
        <v>376</v>
      </c>
      <c r="AX9" s="140" t="s">
        <v>376</v>
      </c>
      <c r="AY9" s="140" t="s">
        <v>376</v>
      </c>
      <c r="AZ9" s="140" t="s">
        <v>376</v>
      </c>
      <c r="BA9" s="140" t="s">
        <v>376</v>
      </c>
      <c r="BB9" s="140" t="s">
        <v>376</v>
      </c>
      <c r="BC9" s="140" t="s">
        <v>376</v>
      </c>
      <c r="BD9" s="140" t="s">
        <v>376</v>
      </c>
      <c r="BE9" s="140" t="s">
        <v>376</v>
      </c>
      <c r="BF9" s="140" t="s">
        <v>376</v>
      </c>
      <c r="BG9" s="140" t="s">
        <v>376</v>
      </c>
      <c r="BH9" s="140" t="s">
        <v>376</v>
      </c>
      <c r="BI9" s="140" t="s">
        <v>376</v>
      </c>
      <c r="BJ9" s="140" t="s">
        <v>376</v>
      </c>
      <c r="BK9" s="140" t="s">
        <v>376</v>
      </c>
      <c r="BL9" s="140" t="s">
        <v>376</v>
      </c>
      <c r="BM9" s="140" t="s">
        <v>376</v>
      </c>
      <c r="BN9" s="140" t="s">
        <v>376</v>
      </c>
      <c r="BO9" s="140" t="s">
        <v>376</v>
      </c>
      <c r="BP9" s="140" t="s">
        <v>376</v>
      </c>
      <c r="BQ9" s="140" t="s">
        <v>376</v>
      </c>
      <c r="BR9" s="140" t="s">
        <v>376</v>
      </c>
      <c r="BS9" s="144" t="e">
        <f>IF(H9&lt;J9,1,0)</f>
        <v>#NULL!</v>
      </c>
      <c r="BT9" s="142" t="s">
        <v>377</v>
      </c>
    </row>
    <row r="10" customHeight="1" spans="1:72">
      <c r="A10" s="127" t="s">
        <v>387</v>
      </c>
      <c r="B10" s="127"/>
      <c r="C10" s="127"/>
      <c r="D10" s="128"/>
      <c r="E10" s="129"/>
      <c r="F10" s="131">
        <f>G10*0.7</f>
        <v>23.0923</v>
      </c>
      <c r="G10" s="143">
        <v>32.989</v>
      </c>
      <c r="H10" s="131" t="e">
        <f t="shared" si="0"/>
        <v>#NULL!</v>
      </c>
      <c r="I10" s="131" t="e">
        <f t="shared" si="1"/>
        <v>#NULL!</v>
      </c>
      <c r="J10" s="131">
        <v>23.09</v>
      </c>
      <c r="K10" s="143">
        <v>32.989</v>
      </c>
      <c r="L10" s="133">
        <f t="shared" si="2"/>
        <v>6.07801028581679</v>
      </c>
      <c r="M10" s="134">
        <f t="shared" si="3"/>
        <v>0.263231281325976</v>
      </c>
      <c r="N10" s="131">
        <f t="shared" si="4"/>
        <v>27.4908333333333</v>
      </c>
      <c r="O10" s="135">
        <f t="shared" si="5"/>
        <v>0.16008366425172</v>
      </c>
      <c r="P10" s="133">
        <f t="shared" si="6"/>
        <v>4.40083333333333</v>
      </c>
      <c r="Q10" s="131">
        <f t="shared" si="7"/>
        <v>62.7823008849558</v>
      </c>
      <c r="R10" s="131">
        <f t="shared" si="8"/>
        <v>0.954375</v>
      </c>
      <c r="S10" s="127">
        <v>16</v>
      </c>
      <c r="T10" s="136">
        <v>7.4</v>
      </c>
      <c r="U10" s="137">
        <v>0.06</v>
      </c>
      <c r="V10" s="137">
        <v>0.1</v>
      </c>
      <c r="W10" s="137">
        <v>0.01</v>
      </c>
      <c r="X10" s="137">
        <f t="shared" si="9"/>
        <v>0.367435890609927</v>
      </c>
      <c r="Y10" s="137">
        <f t="shared" si="10"/>
        <v>0.041332828064097</v>
      </c>
      <c r="Z10" s="135">
        <v>0.158</v>
      </c>
      <c r="AA10" s="138">
        <f t="shared" si="11"/>
        <v>1.3854</v>
      </c>
      <c r="AB10" s="138">
        <f t="shared" si="12"/>
        <v>2.309</v>
      </c>
      <c r="AC10" s="138">
        <f t="shared" si="13"/>
        <v>0.2309</v>
      </c>
      <c r="AD10" s="131">
        <f t="shared" si="14"/>
        <v>3.64822</v>
      </c>
      <c r="AE10" s="131">
        <v>61</v>
      </c>
      <c r="AF10" s="139">
        <f t="shared" si="15"/>
        <v>53.9823008849558</v>
      </c>
      <c r="AG10" s="139">
        <v>8.8</v>
      </c>
      <c r="AH10" s="137">
        <f t="shared" si="16"/>
        <v>0.315933543741621</v>
      </c>
      <c r="AI10" s="137">
        <f t="shared" si="17"/>
        <v>0.0515023468683062</v>
      </c>
      <c r="AJ10" s="139">
        <v>8.8</v>
      </c>
      <c r="AK10" s="137"/>
      <c r="AL10" s="137"/>
      <c r="AM10" s="137"/>
      <c r="AN10" s="137"/>
      <c r="AO10" s="140"/>
      <c r="AP10" s="140"/>
      <c r="AQ10" s="140"/>
      <c r="AR10" s="140"/>
      <c r="AS10" s="140"/>
      <c r="AT10" s="140"/>
      <c r="AU10" s="140" t="s">
        <v>376</v>
      </c>
      <c r="AV10" s="140" t="s">
        <v>376</v>
      </c>
      <c r="AW10" s="140" t="s">
        <v>376</v>
      </c>
      <c r="AX10" s="140" t="s">
        <v>376</v>
      </c>
      <c r="AY10" s="140" t="s">
        <v>376</v>
      </c>
      <c r="AZ10" s="140" t="s">
        <v>376</v>
      </c>
      <c r="BA10" s="140" t="s">
        <v>376</v>
      </c>
      <c r="BB10" s="140" t="s">
        <v>376</v>
      </c>
      <c r="BC10" s="140" t="s">
        <v>376</v>
      </c>
      <c r="BD10" s="140" t="s">
        <v>376</v>
      </c>
      <c r="BE10" s="140" t="s">
        <v>376</v>
      </c>
      <c r="BF10" s="140" t="s">
        <v>376</v>
      </c>
      <c r="BG10" s="140" t="s">
        <v>376</v>
      </c>
      <c r="BH10" s="140" t="s">
        <v>376</v>
      </c>
      <c r="BI10" s="140" t="s">
        <v>376</v>
      </c>
      <c r="BJ10" s="140" t="s">
        <v>376</v>
      </c>
      <c r="BK10" s="140" t="s">
        <v>376</v>
      </c>
      <c r="BL10" s="140" t="s">
        <v>376</v>
      </c>
      <c r="BM10" s="140" t="s">
        <v>376</v>
      </c>
      <c r="BN10" s="140" t="s">
        <v>376</v>
      </c>
      <c r="BO10" s="140" t="s">
        <v>376</v>
      </c>
      <c r="BP10" s="140" t="s">
        <v>376</v>
      </c>
      <c r="BQ10" s="140" t="s">
        <v>376</v>
      </c>
      <c r="BR10" s="140" t="s">
        <v>376</v>
      </c>
      <c r="BS10" s="144" t="e">
        <f>IF(H10&lt;J10,1,0)</f>
        <v>#NULL!</v>
      </c>
      <c r="BT10" s="142" t="s">
        <v>377</v>
      </c>
    </row>
    <row r="11" customHeight="1" spans="1:72">
      <c r="A11" s="127"/>
      <c r="B11" s="127"/>
      <c r="C11" s="127"/>
      <c r="D11" s="128"/>
      <c r="E11" s="129"/>
      <c r="F11" s="131"/>
      <c r="G11" s="143"/>
      <c r="H11" s="131"/>
      <c r="I11" s="131"/>
      <c r="J11" s="131"/>
      <c r="K11" s="143"/>
      <c r="L11" s="133"/>
      <c r="M11" s="134"/>
      <c r="N11" s="131"/>
      <c r="O11" s="135"/>
      <c r="P11" s="133"/>
      <c r="Q11" s="131"/>
      <c r="R11" s="131"/>
      <c r="S11" s="127"/>
      <c r="T11" s="136"/>
      <c r="U11" s="137"/>
      <c r="V11" s="137"/>
      <c r="W11" s="137"/>
      <c r="X11" s="137"/>
      <c r="Y11" s="137"/>
      <c r="Z11" s="135"/>
      <c r="AA11" s="138"/>
      <c r="AB11" s="138"/>
      <c r="AC11" s="138"/>
      <c r="AD11" s="131"/>
      <c r="AE11" s="131"/>
      <c r="AF11" s="139"/>
      <c r="AG11" s="139"/>
      <c r="AH11" s="137"/>
      <c r="AI11" s="137"/>
      <c r="AJ11" s="139"/>
      <c r="AK11" s="137"/>
      <c r="AL11" s="137"/>
      <c r="AM11" s="137"/>
      <c r="AN11" s="137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0"/>
      <c r="BJ11" s="140"/>
      <c r="BK11" s="140"/>
      <c r="BL11" s="140"/>
      <c r="BM11" s="140"/>
      <c r="BN11" s="140"/>
      <c r="BO11" s="140"/>
      <c r="BP11" s="140"/>
      <c r="BQ11" s="140"/>
      <c r="BR11" s="140"/>
      <c r="BS11" s="144"/>
      <c r="BT11" s="142"/>
    </row>
    <row r="12" customHeight="1" spans="1:72">
      <c r="A12" s="127"/>
      <c r="B12" s="127"/>
      <c r="C12" s="127"/>
      <c r="D12" s="128"/>
      <c r="E12" s="129"/>
      <c r="F12" s="131"/>
      <c r="G12" s="143"/>
      <c r="H12" s="131"/>
      <c r="I12" s="131"/>
      <c r="J12" s="131"/>
      <c r="K12" s="143"/>
      <c r="L12" s="133"/>
      <c r="M12" s="134"/>
      <c r="N12" s="131"/>
      <c r="O12" s="135"/>
      <c r="P12" s="133"/>
      <c r="Q12" s="131"/>
      <c r="R12" s="131"/>
      <c r="S12" s="127"/>
      <c r="T12" s="136"/>
      <c r="U12" s="137"/>
      <c r="V12" s="137"/>
      <c r="W12" s="137"/>
      <c r="X12" s="137"/>
      <c r="Y12" s="137"/>
      <c r="Z12" s="135"/>
      <c r="AA12" s="138"/>
      <c r="AB12" s="138"/>
      <c r="AC12" s="138"/>
      <c r="AD12" s="131"/>
      <c r="AE12" s="131"/>
      <c r="AF12" s="139"/>
      <c r="AG12" s="139"/>
      <c r="AH12" s="137"/>
      <c r="AI12" s="137"/>
      <c r="AJ12" s="139"/>
      <c r="AK12" s="137"/>
      <c r="AL12" s="137"/>
      <c r="AM12" s="137"/>
      <c r="AN12" s="137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  <c r="BO12" s="140"/>
      <c r="BP12" s="140"/>
      <c r="BQ12" s="140"/>
      <c r="BR12" s="140"/>
      <c r="BS12" s="144"/>
      <c r="BT12" s="142"/>
    </row>
    <row r="13" customHeight="1" spans="1:72">
      <c r="A13" s="127"/>
      <c r="B13" s="127"/>
      <c r="C13" s="127"/>
      <c r="D13" s="128"/>
      <c r="E13" s="129"/>
      <c r="F13" s="131"/>
      <c r="G13" s="143"/>
      <c r="H13" s="131"/>
      <c r="I13" s="131"/>
      <c r="J13" s="131"/>
      <c r="K13" s="143"/>
      <c r="L13" s="133"/>
      <c r="M13" s="134"/>
      <c r="N13" s="131"/>
      <c r="O13" s="135"/>
      <c r="P13" s="133"/>
      <c r="Q13" s="131"/>
      <c r="R13" s="131"/>
      <c r="S13" s="127"/>
      <c r="T13" s="136"/>
      <c r="U13" s="137"/>
      <c r="V13" s="137"/>
      <c r="W13" s="137"/>
      <c r="X13" s="137"/>
      <c r="Y13" s="137"/>
      <c r="Z13" s="135"/>
      <c r="AA13" s="138"/>
      <c r="AB13" s="138"/>
      <c r="AC13" s="138"/>
      <c r="AD13" s="131"/>
      <c r="AE13" s="131"/>
      <c r="AF13" s="139"/>
      <c r="AG13" s="139"/>
      <c r="AH13" s="137"/>
      <c r="AI13" s="137"/>
      <c r="AJ13" s="139"/>
      <c r="AK13" s="137"/>
      <c r="AL13" s="137"/>
      <c r="AM13" s="137"/>
      <c r="AN13" s="137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40"/>
      <c r="BJ13" s="140"/>
      <c r="BK13" s="140"/>
      <c r="BL13" s="140"/>
      <c r="BM13" s="140"/>
      <c r="BN13" s="140"/>
      <c r="BO13" s="140"/>
      <c r="BP13" s="140"/>
      <c r="BQ13" s="140"/>
      <c r="BR13" s="140"/>
      <c r="BS13" s="144"/>
      <c r="BT13" s="142"/>
    </row>
    <row r="14" customHeight="1" spans="1:72">
      <c r="A14" s="127"/>
      <c r="B14" s="127"/>
      <c r="C14" s="127"/>
      <c r="D14" s="128"/>
      <c r="E14" s="129"/>
      <c r="F14" s="131"/>
      <c r="G14" s="143"/>
      <c r="H14" s="131"/>
      <c r="I14" s="131"/>
      <c r="J14" s="131"/>
      <c r="K14" s="143"/>
      <c r="L14" s="133"/>
      <c r="M14" s="134"/>
      <c r="N14" s="131"/>
      <c r="O14" s="135"/>
      <c r="P14" s="133"/>
      <c r="Q14" s="131"/>
      <c r="R14" s="131"/>
      <c r="S14" s="127"/>
      <c r="T14" s="136"/>
      <c r="U14" s="137"/>
      <c r="V14" s="137"/>
      <c r="W14" s="137"/>
      <c r="X14" s="137"/>
      <c r="Y14" s="137"/>
      <c r="Z14" s="135"/>
      <c r="AA14" s="138"/>
      <c r="AB14" s="138"/>
      <c r="AC14" s="138"/>
      <c r="AD14" s="131"/>
      <c r="AE14" s="131"/>
      <c r="AF14" s="139"/>
      <c r="AG14" s="139"/>
      <c r="AH14" s="137"/>
      <c r="AI14" s="137"/>
      <c r="AJ14" s="139"/>
      <c r="AK14" s="137"/>
      <c r="AL14" s="137"/>
      <c r="AM14" s="137"/>
      <c r="AN14" s="137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40"/>
      <c r="BM14" s="140"/>
      <c r="BN14" s="140"/>
      <c r="BO14" s="140"/>
      <c r="BP14" s="140"/>
      <c r="BQ14" s="140"/>
      <c r="BR14" s="140"/>
      <c r="BS14" s="144"/>
      <c r="BT14" s="142"/>
    </row>
    <row r="15" customHeight="1" spans="1:72">
      <c r="A15" s="127"/>
      <c r="B15" s="127"/>
      <c r="C15" s="127"/>
      <c r="D15" s="128"/>
      <c r="E15" s="129"/>
      <c r="F15" s="131"/>
      <c r="G15" s="143"/>
      <c r="H15" s="131"/>
      <c r="I15" s="131"/>
      <c r="J15" s="131"/>
      <c r="K15" s="143"/>
      <c r="L15" s="133"/>
      <c r="M15" s="134"/>
      <c r="N15" s="131"/>
      <c r="O15" s="135"/>
      <c r="P15" s="133"/>
      <c r="Q15" s="131"/>
      <c r="R15" s="131"/>
      <c r="S15" s="127"/>
      <c r="T15" s="136"/>
      <c r="U15" s="137"/>
      <c r="V15" s="137"/>
      <c r="W15" s="137"/>
      <c r="X15" s="137"/>
      <c r="Y15" s="137"/>
      <c r="Z15" s="135"/>
      <c r="AA15" s="138"/>
      <c r="AB15" s="138"/>
      <c r="AC15" s="138"/>
      <c r="AD15" s="131"/>
      <c r="AE15" s="131"/>
      <c r="AF15" s="139"/>
      <c r="AG15" s="139"/>
      <c r="AH15" s="137"/>
      <c r="AI15" s="137"/>
      <c r="AJ15" s="139"/>
      <c r="AK15" s="137"/>
      <c r="AL15" s="137"/>
      <c r="AM15" s="137"/>
      <c r="AN15" s="137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40"/>
      <c r="BI15" s="140"/>
      <c r="BJ15" s="140"/>
      <c r="BK15" s="140"/>
      <c r="BL15" s="140"/>
      <c r="BM15" s="140"/>
      <c r="BN15" s="140"/>
      <c r="BO15" s="140"/>
      <c r="BP15" s="140"/>
      <c r="BQ15" s="140"/>
      <c r="BR15" s="140"/>
      <c r="BS15" s="144"/>
      <c r="BT15" s="142"/>
    </row>
    <row r="16" customHeight="1" spans="1:72">
      <c r="A16" s="127"/>
      <c r="B16" s="127"/>
      <c r="C16" s="127"/>
      <c r="D16" s="128"/>
      <c r="E16" s="129"/>
      <c r="F16" s="131"/>
      <c r="G16" s="143"/>
      <c r="H16" s="131"/>
      <c r="I16" s="131"/>
      <c r="J16" s="131"/>
      <c r="K16" s="143"/>
      <c r="L16" s="133"/>
      <c r="M16" s="134"/>
      <c r="N16" s="131"/>
      <c r="O16" s="135"/>
      <c r="P16" s="133"/>
      <c r="Q16" s="131"/>
      <c r="R16" s="131"/>
      <c r="S16" s="127"/>
      <c r="T16" s="136"/>
      <c r="U16" s="137"/>
      <c r="V16" s="137"/>
      <c r="W16" s="137"/>
      <c r="X16" s="137"/>
      <c r="Y16" s="137"/>
      <c r="Z16" s="135"/>
      <c r="AA16" s="138"/>
      <c r="AB16" s="138"/>
      <c r="AC16" s="138"/>
      <c r="AD16" s="131"/>
      <c r="AE16" s="131"/>
      <c r="AF16" s="139"/>
      <c r="AG16" s="139"/>
      <c r="AH16" s="137"/>
      <c r="AI16" s="137"/>
      <c r="AJ16" s="139"/>
      <c r="AK16" s="137"/>
      <c r="AL16" s="137"/>
      <c r="AM16" s="137"/>
      <c r="AN16" s="137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0"/>
      <c r="BF16" s="140"/>
      <c r="BG16" s="140"/>
      <c r="BH16" s="140"/>
      <c r="BI16" s="140"/>
      <c r="BJ16" s="140"/>
      <c r="BK16" s="140"/>
      <c r="BL16" s="140"/>
      <c r="BM16" s="140"/>
      <c r="BN16" s="140"/>
      <c r="BO16" s="140"/>
      <c r="BP16" s="140"/>
      <c r="BQ16" s="140"/>
      <c r="BR16" s="140"/>
      <c r="BS16" s="144"/>
      <c r="BT16" s="142"/>
    </row>
    <row r="17" customHeight="1" spans="1:72">
      <c r="A17" s="127"/>
      <c r="B17" s="127"/>
      <c r="C17" s="127"/>
      <c r="D17" s="128"/>
      <c r="E17" s="129"/>
      <c r="F17" s="131"/>
      <c r="G17" s="143"/>
      <c r="H17" s="131"/>
      <c r="I17" s="131"/>
      <c r="J17" s="131"/>
      <c r="K17" s="143"/>
      <c r="L17" s="133"/>
      <c r="M17" s="134"/>
      <c r="N17" s="131"/>
      <c r="O17" s="135"/>
      <c r="P17" s="133"/>
      <c r="Q17" s="131"/>
      <c r="R17" s="131"/>
      <c r="S17" s="127"/>
      <c r="T17" s="136"/>
      <c r="U17" s="137"/>
      <c r="V17" s="137"/>
      <c r="W17" s="137"/>
      <c r="X17" s="137"/>
      <c r="Y17" s="137"/>
      <c r="Z17" s="135"/>
      <c r="AA17" s="138"/>
      <c r="AB17" s="138"/>
      <c r="AC17" s="138"/>
      <c r="AD17" s="131"/>
      <c r="AE17" s="131"/>
      <c r="AF17" s="139"/>
      <c r="AG17" s="139"/>
      <c r="AH17" s="137"/>
      <c r="AI17" s="137"/>
      <c r="AJ17" s="139"/>
      <c r="AK17" s="137"/>
      <c r="AL17" s="137"/>
      <c r="AM17" s="137"/>
      <c r="AN17" s="137"/>
      <c r="AO17" s="140"/>
      <c r="AP17" s="140"/>
      <c r="AQ17" s="140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40"/>
      <c r="BI17" s="140"/>
      <c r="BJ17" s="140"/>
      <c r="BK17" s="140"/>
      <c r="BL17" s="140"/>
      <c r="BM17" s="140"/>
      <c r="BN17" s="140"/>
      <c r="BO17" s="140"/>
      <c r="BP17" s="140"/>
      <c r="BQ17" s="140"/>
      <c r="BR17" s="140"/>
      <c r="BS17" s="144"/>
      <c r="BT17" s="142"/>
    </row>
    <row r="18" customHeight="1" spans="1:72">
      <c r="A18" s="127"/>
      <c r="B18" s="127"/>
      <c r="C18" s="127"/>
      <c r="D18" s="128"/>
      <c r="E18" s="129"/>
      <c r="F18" s="131"/>
      <c r="G18" s="143"/>
      <c r="H18" s="131"/>
      <c r="I18" s="131"/>
      <c r="J18" s="131"/>
      <c r="K18" s="143"/>
      <c r="L18" s="133"/>
      <c r="M18" s="134"/>
      <c r="N18" s="131"/>
      <c r="O18" s="135"/>
      <c r="P18" s="133"/>
      <c r="Q18" s="131"/>
      <c r="R18" s="131"/>
      <c r="S18" s="127"/>
      <c r="T18" s="136"/>
      <c r="U18" s="137"/>
      <c r="V18" s="137"/>
      <c r="W18" s="137"/>
      <c r="X18" s="137"/>
      <c r="Y18" s="137"/>
      <c r="Z18" s="135"/>
      <c r="AA18" s="138"/>
      <c r="AB18" s="138"/>
      <c r="AC18" s="138"/>
      <c r="AD18" s="131"/>
      <c r="AE18" s="131"/>
      <c r="AF18" s="139"/>
      <c r="AG18" s="139"/>
      <c r="AH18" s="137"/>
      <c r="AI18" s="137"/>
      <c r="AJ18" s="139"/>
      <c r="AK18" s="137"/>
      <c r="AL18" s="137"/>
      <c r="AM18" s="137"/>
      <c r="AN18" s="137"/>
      <c r="AO18" s="140"/>
      <c r="AP18" s="140"/>
      <c r="AQ18" s="140"/>
      <c r="AR18" s="140"/>
      <c r="AS18" s="140"/>
      <c r="AT18" s="140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  <c r="BE18" s="140"/>
      <c r="BF18" s="140"/>
      <c r="BG18" s="140"/>
      <c r="BH18" s="140"/>
      <c r="BI18" s="140"/>
      <c r="BJ18" s="140"/>
      <c r="BK18" s="140"/>
      <c r="BL18" s="140"/>
      <c r="BM18" s="140"/>
      <c r="BN18" s="140"/>
      <c r="BO18" s="140"/>
      <c r="BP18" s="140"/>
      <c r="BQ18" s="140"/>
      <c r="BR18" s="140"/>
      <c r="BS18" s="144"/>
      <c r="BT18" s="142"/>
    </row>
    <row r="19" customHeight="1" spans="1:72">
      <c r="A19" s="127"/>
      <c r="B19" s="127"/>
      <c r="C19" s="127"/>
      <c r="D19" s="128"/>
      <c r="E19" s="129"/>
      <c r="F19" s="131"/>
      <c r="G19" s="143"/>
      <c r="H19" s="131"/>
      <c r="I19" s="131"/>
      <c r="J19" s="131"/>
      <c r="K19" s="143"/>
      <c r="L19" s="133"/>
      <c r="M19" s="134"/>
      <c r="N19" s="131"/>
      <c r="O19" s="135"/>
      <c r="P19" s="133"/>
      <c r="Q19" s="131"/>
      <c r="R19" s="131"/>
      <c r="S19" s="127"/>
      <c r="T19" s="136"/>
      <c r="U19" s="137"/>
      <c r="V19" s="137"/>
      <c r="W19" s="137"/>
      <c r="X19" s="137"/>
      <c r="Y19" s="137"/>
      <c r="Z19" s="135"/>
      <c r="AA19" s="138"/>
      <c r="AB19" s="138"/>
      <c r="AC19" s="138"/>
      <c r="AD19" s="131"/>
      <c r="AE19" s="131"/>
      <c r="AF19" s="139"/>
      <c r="AG19" s="139"/>
      <c r="AH19" s="137"/>
      <c r="AI19" s="137"/>
      <c r="AJ19" s="139"/>
      <c r="AK19" s="137"/>
      <c r="AL19" s="137"/>
      <c r="AM19" s="137"/>
      <c r="AN19" s="137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  <c r="BK19" s="140"/>
      <c r="BL19" s="140"/>
      <c r="BM19" s="140"/>
      <c r="BN19" s="140"/>
      <c r="BO19" s="140"/>
      <c r="BP19" s="140"/>
      <c r="BQ19" s="140"/>
      <c r="BR19" s="140"/>
      <c r="BS19" s="144"/>
      <c r="BT19" s="142"/>
    </row>
    <row r="20" customHeight="1" spans="1:72">
      <c r="A20" s="127"/>
      <c r="B20" s="127"/>
      <c r="C20" s="127"/>
      <c r="D20" s="128"/>
      <c r="E20" s="129"/>
      <c r="F20" s="131"/>
      <c r="G20" s="143"/>
      <c r="H20" s="131"/>
      <c r="I20" s="131"/>
      <c r="J20" s="131"/>
      <c r="K20" s="143"/>
      <c r="L20" s="133"/>
      <c r="M20" s="134"/>
      <c r="N20" s="131"/>
      <c r="O20" s="135"/>
      <c r="P20" s="133"/>
      <c r="Q20" s="131"/>
      <c r="R20" s="131"/>
      <c r="S20" s="127"/>
      <c r="T20" s="136"/>
      <c r="U20" s="137"/>
      <c r="V20" s="137"/>
      <c r="W20" s="137"/>
      <c r="X20" s="137"/>
      <c r="Y20" s="137"/>
      <c r="Z20" s="135"/>
      <c r="AA20" s="138"/>
      <c r="AB20" s="138"/>
      <c r="AC20" s="138"/>
      <c r="AD20" s="131"/>
      <c r="AE20" s="131"/>
      <c r="AF20" s="139"/>
      <c r="AG20" s="139"/>
      <c r="AH20" s="137"/>
      <c r="AI20" s="137"/>
      <c r="AJ20" s="139"/>
      <c r="AK20" s="137"/>
      <c r="AL20" s="137"/>
      <c r="AM20" s="137"/>
      <c r="AN20" s="137"/>
      <c r="AO20" s="140"/>
      <c r="AP20" s="140"/>
      <c r="AQ20" s="140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0"/>
      <c r="BF20" s="140"/>
      <c r="BG20" s="140"/>
      <c r="BH20" s="140"/>
      <c r="BI20" s="140"/>
      <c r="BJ20" s="140"/>
      <c r="BK20" s="140"/>
      <c r="BL20" s="140"/>
      <c r="BM20" s="140"/>
      <c r="BN20" s="140"/>
      <c r="BO20" s="140"/>
      <c r="BP20" s="140"/>
      <c r="BQ20" s="140"/>
      <c r="BR20" s="140"/>
      <c r="BS20" s="144"/>
      <c r="BT20" s="142"/>
    </row>
  </sheetData>
  <conditionalFormatting sqref="M2">
    <cfRule type="cellIs" dxfId="2" priority="70" operator="lessThanOrEqual">
      <formula>0</formula>
    </cfRule>
  </conditionalFormatting>
  <conditionalFormatting sqref="M7:M20">
    <cfRule type="cellIs" dxfId="2" priority="15" operator="lessThanOrEqual">
      <formula>0</formula>
    </cfRule>
  </conditionalFormatting>
  <conditionalFormatting sqref="M9:M20">
    <cfRule type="cellIs" dxfId="2" priority="8" operator="lessThanOrEqual">
      <formula>0</formula>
    </cfRule>
  </conditionalFormatting>
  <conditionalFormatting sqref="L1:M1 Q1:R1 AA1">
    <cfRule type="cellIs" dxfId="2" priority="140" operator="lessThanOrEqual">
      <formula>0</formula>
    </cfRule>
  </conditionalFormatting>
  <conditionalFormatting sqref="L2:L20 M7:M20 AA7:AC20">
    <cfRule type="cellIs" dxfId="2" priority="3" operator="lessThanOrEqual">
      <formula>0</formula>
    </cfRule>
  </conditionalFormatting>
  <conditionalFormatting sqref="M2 AA2:AC2">
    <cfRule type="cellIs" dxfId="2" priority="95" operator="lessThanOrEqual">
      <formula>0</formula>
    </cfRule>
  </conditionalFormatting>
  <conditionalFormatting sqref="M3:M6 M10:M20 AA3:AC6 AA10:AC20">
    <cfRule type="cellIs" dxfId="2" priority="81" operator="lessThanOrEqual">
      <formula>0</formula>
    </cfRule>
  </conditionalFormatting>
  <conditionalFormatting sqref="M7:M20 AA7:AC20">
    <cfRule type="cellIs" dxfId="2" priority="2" operator="lessThanOrEqual">
      <formula>0</formula>
    </cfRule>
  </conditionalFormatting>
  <conditionalFormatting sqref="M9:M20 AA9:AC20">
    <cfRule type="cellIs" dxfId="2" priority="1" operator="lessThanOrEqual">
      <formula>0</formula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0"/>
  <sheetViews>
    <sheetView workbookViewId="0">
      <selection activeCell="E2" sqref="E2:E20"/>
    </sheetView>
  </sheetViews>
  <sheetFormatPr defaultColWidth="17" defaultRowHeight="16.5" customHeight="1"/>
  <cols>
    <col min="1" max="72" width="16.59375" customWidth="1"/>
  </cols>
  <sheetData>
    <row r="1" customHeight="1" spans="1:72">
      <c r="A1" s="101" t="s">
        <v>345</v>
      </c>
      <c r="B1" s="102" t="s">
        <v>0</v>
      </c>
      <c r="C1" s="102" t="s">
        <v>1</v>
      </c>
      <c r="D1" s="101" t="s">
        <v>3</v>
      </c>
      <c r="E1" s="101" t="s">
        <v>502</v>
      </c>
      <c r="F1" s="103" t="s">
        <v>503</v>
      </c>
      <c r="G1" s="104" t="s">
        <v>504</v>
      </c>
      <c r="H1" s="105" t="s">
        <v>505</v>
      </c>
      <c r="I1" s="105" t="s">
        <v>506</v>
      </c>
      <c r="J1" s="106" t="s">
        <v>346</v>
      </c>
      <c r="K1" s="107" t="s">
        <v>347</v>
      </c>
      <c r="L1" s="108" t="s">
        <v>107</v>
      </c>
      <c r="M1" s="109" t="s">
        <v>108</v>
      </c>
      <c r="N1" s="110" t="s">
        <v>350</v>
      </c>
      <c r="O1" s="111" t="s">
        <v>109</v>
      </c>
      <c r="P1" s="112" t="s">
        <v>111</v>
      </c>
      <c r="Q1" s="113" t="s">
        <v>112</v>
      </c>
      <c r="R1" s="108" t="s">
        <v>507</v>
      </c>
      <c r="S1" s="114" t="s">
        <v>9</v>
      </c>
      <c r="T1" s="101" t="s">
        <v>198</v>
      </c>
      <c r="U1" s="115" t="s">
        <v>113</v>
      </c>
      <c r="V1" s="115" t="s">
        <v>114</v>
      </c>
      <c r="W1" s="115" t="s">
        <v>115</v>
      </c>
      <c r="X1" s="116" t="s">
        <v>116</v>
      </c>
      <c r="Y1" s="116" t="s">
        <v>215</v>
      </c>
      <c r="Z1" s="115" t="s">
        <v>117</v>
      </c>
      <c r="AA1" s="117" t="s">
        <v>118</v>
      </c>
      <c r="AB1" s="117" t="s">
        <v>119</v>
      </c>
      <c r="AC1" s="117" t="s">
        <v>120</v>
      </c>
      <c r="AD1" s="117" t="s">
        <v>121</v>
      </c>
      <c r="AE1" s="118" t="s">
        <v>236</v>
      </c>
      <c r="AF1" s="119" t="s">
        <v>237</v>
      </c>
      <c r="AG1" s="118" t="s">
        <v>508</v>
      </c>
      <c r="AH1" s="120" t="s">
        <v>239</v>
      </c>
      <c r="AI1" s="120" t="s">
        <v>214</v>
      </c>
      <c r="AJ1" s="121" t="s">
        <v>238</v>
      </c>
      <c r="AK1" s="122" t="s">
        <v>509</v>
      </c>
      <c r="AL1" s="122" t="s">
        <v>361</v>
      </c>
      <c r="AM1" s="122" t="s">
        <v>362</v>
      </c>
      <c r="AN1" s="122" t="s">
        <v>363</v>
      </c>
      <c r="AO1" s="122" t="s">
        <v>364</v>
      </c>
      <c r="AP1" s="122" t="s">
        <v>365</v>
      </c>
      <c r="AQ1" s="122" t="s">
        <v>366</v>
      </c>
      <c r="AR1" s="122" t="s">
        <v>367</v>
      </c>
      <c r="AS1" s="122" t="s">
        <v>368</v>
      </c>
      <c r="AT1" s="122" t="s">
        <v>369</v>
      </c>
      <c r="AU1" s="123" t="s">
        <v>370</v>
      </c>
      <c r="AV1" s="123" t="s">
        <v>371</v>
      </c>
      <c r="AW1" s="123" t="s">
        <v>372</v>
      </c>
      <c r="AX1" s="123" t="s">
        <v>361</v>
      </c>
      <c r="AY1" s="123" t="s">
        <v>362</v>
      </c>
      <c r="AZ1" s="123" t="s">
        <v>363</v>
      </c>
      <c r="BA1" s="124" t="s">
        <v>364</v>
      </c>
      <c r="BB1" s="124" t="s">
        <v>365</v>
      </c>
      <c r="BC1" s="124" t="s">
        <v>366</v>
      </c>
      <c r="BD1" s="124" t="s">
        <v>367</v>
      </c>
      <c r="BE1" s="124" t="s">
        <v>368</v>
      </c>
      <c r="BF1" s="124" t="s">
        <v>369</v>
      </c>
      <c r="BG1" s="125" t="s">
        <v>373</v>
      </c>
      <c r="BH1" s="125" t="s">
        <v>371</v>
      </c>
      <c r="BI1" s="125" t="s">
        <v>372</v>
      </c>
      <c r="BJ1" s="125" t="s">
        <v>361</v>
      </c>
      <c r="BK1" s="125" t="s">
        <v>362</v>
      </c>
      <c r="BL1" s="125" t="s">
        <v>363</v>
      </c>
      <c r="BM1" s="120" t="s">
        <v>364</v>
      </c>
      <c r="BN1" s="120" t="s">
        <v>365</v>
      </c>
      <c r="BO1" s="120" t="s">
        <v>366</v>
      </c>
      <c r="BP1" s="120" t="s">
        <v>367</v>
      </c>
      <c r="BQ1" s="120" t="s">
        <v>368</v>
      </c>
      <c r="BR1" s="120" t="s">
        <v>369</v>
      </c>
      <c r="BS1" s="126" t="s">
        <v>374</v>
      </c>
      <c r="BT1" s="127" t="s">
        <v>232</v>
      </c>
    </row>
    <row r="2" customHeight="1" spans="1:72">
      <c r="A2" s="127" t="s">
        <v>86</v>
      </c>
      <c r="B2" s="127" t="s">
        <v>29</v>
      </c>
      <c r="C2" s="127"/>
      <c r="D2" s="128"/>
      <c r="E2" s="129"/>
      <c r="F2" s="130">
        <v>17.29</v>
      </c>
      <c r="G2" s="130">
        <v>24.92</v>
      </c>
      <c r="H2" s="131" t="e">
        <f t="shared" ref="H2:H10" si="0">INDEX(#NULL!,MATCH(1,(#NULL!=A2)*(#NULL!=C2),0))</f>
        <v>#NULL!</v>
      </c>
      <c r="I2" s="131" t="e">
        <f t="shared" ref="I2:I10" si="1">H2=J2</f>
        <v>#NULL!</v>
      </c>
      <c r="J2" s="132">
        <v>17.3</v>
      </c>
      <c r="K2" s="130">
        <v>24.99</v>
      </c>
      <c r="L2" s="133">
        <f t="shared" ref="L2:L10" si="2">J2-Q2/T2-AD2-AA2-R2-AB2-AC2</f>
        <v>3.53749673347215</v>
      </c>
      <c r="M2" s="134">
        <f t="shared" ref="M2:M10" si="3">L2/J2</f>
        <v>0.204479579969488</v>
      </c>
      <c r="N2" s="131">
        <f t="shared" ref="N2:N10" si="4">K2/1.2</f>
        <v>20.825</v>
      </c>
      <c r="O2" s="135">
        <f t="shared" ref="O2:O10" si="5">(N2-J2)/N2</f>
        <v>0.169267707082833</v>
      </c>
      <c r="P2" s="133">
        <f t="shared" ref="P2:P10" si="6">K2/1.2-J2</f>
        <v>3.525</v>
      </c>
      <c r="Q2" s="131">
        <f t="shared" ref="Q2:Q10" si="7">AF2+AG2</f>
        <v>65.4646902654867</v>
      </c>
      <c r="R2" s="131">
        <f t="shared" ref="R2:R10" si="8">IFERROR(IF(A2="UK",8.95/S2,IF(A2="DE",11.43/S2,IF(A2="FR",15.27/S2,IF(A2="IT",16.34/S2,IF(A2="ES",20.62/S2,IF(A2="NL",12/S2,IF(A2="PL",15.06/S2,IF(A2="SE",18.5/S2,IF(A2="BE",15.27/S2))))))))),0)</f>
        <v>0.559375</v>
      </c>
      <c r="S2" s="127">
        <v>16</v>
      </c>
      <c r="T2" s="136">
        <v>8.5</v>
      </c>
      <c r="U2" s="137">
        <v>0.05</v>
      </c>
      <c r="V2" s="137">
        <v>0.1</v>
      </c>
      <c r="W2" s="137">
        <v>0.01</v>
      </c>
      <c r="X2" s="137">
        <f t="shared" ref="X2:X10" si="9">Q2/(J2*T2)</f>
        <v>0.44518660500161</v>
      </c>
      <c r="Y2" s="137">
        <f t="shared" ref="Y2:Y10" si="10">R2/J2</f>
        <v>0.0323338150289017</v>
      </c>
      <c r="Z2" s="135">
        <v>0.158</v>
      </c>
      <c r="AA2" s="138">
        <f t="shared" ref="AA2:AA10" si="11">J2*U2</f>
        <v>0.865</v>
      </c>
      <c r="AB2" s="138">
        <f t="shared" ref="AB2:AB10" si="12">J2*V2</f>
        <v>1.73</v>
      </c>
      <c r="AC2" s="138">
        <f t="shared" ref="AC2:AC10" si="13">J2*W2</f>
        <v>0.173</v>
      </c>
      <c r="AD2" s="131">
        <f t="shared" ref="AD2:AD10" si="14">J2*Z2</f>
        <v>2.7334</v>
      </c>
      <c r="AE2" s="131">
        <f>61+2.5</f>
        <v>63.5</v>
      </c>
      <c r="AF2" s="139">
        <f t="shared" ref="AF2:AF10" si="15">AE2/1.13</f>
        <v>56.1946902654867</v>
      </c>
      <c r="AG2" s="136">
        <v>9.27</v>
      </c>
      <c r="AH2" s="137">
        <f t="shared" ref="AH2:AH10" si="16">AF2/(J2*T2)</f>
        <v>0.382146822614667</v>
      </c>
      <c r="AI2" s="137">
        <f t="shared" ref="AI2:AI10" si="17">AG2/T2/J2</f>
        <v>0.0630397823869432</v>
      </c>
      <c r="AJ2" s="136">
        <v>9.27</v>
      </c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40" t="s">
        <v>376</v>
      </c>
      <c r="AV2" s="140" t="s">
        <v>376</v>
      </c>
      <c r="AW2" s="140" t="s">
        <v>376</v>
      </c>
      <c r="AX2" s="140" t="s">
        <v>376</v>
      </c>
      <c r="AY2" s="140" t="s">
        <v>376</v>
      </c>
      <c r="AZ2" s="140" t="s">
        <v>376</v>
      </c>
      <c r="BA2" s="140" t="s">
        <v>376</v>
      </c>
      <c r="BB2" s="140" t="s">
        <v>376</v>
      </c>
      <c r="BC2" s="140" t="s">
        <v>376</v>
      </c>
      <c r="BD2" s="140" t="s">
        <v>376</v>
      </c>
      <c r="BE2" s="140" t="s">
        <v>376</v>
      </c>
      <c r="BF2" s="140" t="s">
        <v>376</v>
      </c>
      <c r="BG2" s="140" t="s">
        <v>376</v>
      </c>
      <c r="BH2" s="140" t="s">
        <v>376</v>
      </c>
      <c r="BI2" s="140" t="s">
        <v>376</v>
      </c>
      <c r="BJ2" s="140" t="s">
        <v>376</v>
      </c>
      <c r="BK2" s="140" t="s">
        <v>376</v>
      </c>
      <c r="BL2" s="140" t="s">
        <v>376</v>
      </c>
      <c r="BM2" s="140" t="s">
        <v>376</v>
      </c>
      <c r="BN2" s="140" t="s">
        <v>376</v>
      </c>
      <c r="BO2" s="140" t="s">
        <v>376</v>
      </c>
      <c r="BP2" s="140" t="s">
        <v>376</v>
      </c>
      <c r="BQ2" s="140" t="s">
        <v>376</v>
      </c>
      <c r="BR2" s="140" t="s">
        <v>376</v>
      </c>
      <c r="BS2" s="141"/>
      <c r="BT2" s="142" t="s">
        <v>377</v>
      </c>
    </row>
    <row r="3" customHeight="1" spans="1:72">
      <c r="A3" s="127" t="s">
        <v>280</v>
      </c>
      <c r="B3" s="127" t="s">
        <v>27</v>
      </c>
      <c r="C3" s="127"/>
      <c r="D3" s="128"/>
      <c r="E3" s="129"/>
      <c r="F3" s="130">
        <v>20.33</v>
      </c>
      <c r="G3" s="130">
        <v>29.99</v>
      </c>
      <c r="H3" s="131" t="e">
        <f t="shared" si="0"/>
        <v>#NULL!</v>
      </c>
      <c r="I3" s="131" t="e">
        <f t="shared" si="1"/>
        <v>#NULL!</v>
      </c>
      <c r="J3" s="130">
        <v>20.33</v>
      </c>
      <c r="K3" s="130">
        <v>29.99</v>
      </c>
      <c r="L3" s="133">
        <f t="shared" si="2"/>
        <v>4.43279528581679</v>
      </c>
      <c r="M3" s="134">
        <f t="shared" si="3"/>
        <v>0.218042070133634</v>
      </c>
      <c r="N3" s="131">
        <f t="shared" si="4"/>
        <v>24.9916666666667</v>
      </c>
      <c r="O3" s="135">
        <f t="shared" si="5"/>
        <v>0.186528842947649</v>
      </c>
      <c r="P3" s="133">
        <f t="shared" si="6"/>
        <v>4.66166666666667</v>
      </c>
      <c r="Q3" s="131">
        <f t="shared" si="7"/>
        <v>62.7823008849558</v>
      </c>
      <c r="R3" s="131">
        <f t="shared" si="8"/>
        <v>0.714375</v>
      </c>
      <c r="S3" s="127">
        <v>16</v>
      </c>
      <c r="T3" s="136">
        <v>7.4</v>
      </c>
      <c r="U3" s="137">
        <v>0.05</v>
      </c>
      <c r="V3" s="137">
        <v>0.1</v>
      </c>
      <c r="W3" s="137">
        <v>0.01</v>
      </c>
      <c r="X3" s="137">
        <f t="shared" si="9"/>
        <v>0.417318972660266</v>
      </c>
      <c r="Y3" s="137">
        <f t="shared" si="10"/>
        <v>0.0351389572060994</v>
      </c>
      <c r="Z3" s="135">
        <v>0.1695</v>
      </c>
      <c r="AA3" s="138">
        <f t="shared" si="11"/>
        <v>1.0165</v>
      </c>
      <c r="AB3" s="138">
        <f t="shared" si="12"/>
        <v>2.033</v>
      </c>
      <c r="AC3" s="138">
        <f t="shared" si="13"/>
        <v>0.2033</v>
      </c>
      <c r="AD3" s="131">
        <f t="shared" si="14"/>
        <v>3.445935</v>
      </c>
      <c r="AE3" s="131">
        <v>61</v>
      </c>
      <c r="AF3" s="139">
        <f t="shared" si="15"/>
        <v>53.9823008849558</v>
      </c>
      <c r="AG3" s="139">
        <v>8.8</v>
      </c>
      <c r="AH3" s="137">
        <f t="shared" si="16"/>
        <v>0.358824669207773</v>
      </c>
      <c r="AI3" s="137">
        <f t="shared" si="17"/>
        <v>0.0584943034524933</v>
      </c>
      <c r="AJ3" s="139">
        <v>8.8</v>
      </c>
      <c r="AK3" s="137"/>
      <c r="AL3" s="137"/>
      <c r="AM3" s="137"/>
      <c r="AN3" s="137"/>
      <c r="AO3" s="140"/>
      <c r="AP3" s="140"/>
      <c r="AQ3" s="140"/>
      <c r="AR3" s="140"/>
      <c r="AS3" s="140"/>
      <c r="AT3" s="140"/>
      <c r="AU3" s="140" t="s">
        <v>376</v>
      </c>
      <c r="AV3" s="140" t="s">
        <v>376</v>
      </c>
      <c r="AW3" s="140" t="s">
        <v>376</v>
      </c>
      <c r="AX3" s="140" t="s">
        <v>376</v>
      </c>
      <c r="AY3" s="140" t="s">
        <v>376</v>
      </c>
      <c r="AZ3" s="140" t="s">
        <v>376</v>
      </c>
      <c r="BA3" s="140" t="s">
        <v>376</v>
      </c>
      <c r="BB3" s="140" t="s">
        <v>376</v>
      </c>
      <c r="BC3" s="140" t="s">
        <v>376</v>
      </c>
      <c r="BD3" s="140" t="s">
        <v>376</v>
      </c>
      <c r="BE3" s="140" t="s">
        <v>376</v>
      </c>
      <c r="BF3" s="140" t="s">
        <v>376</v>
      </c>
      <c r="BG3" s="140" t="s">
        <v>376</v>
      </c>
      <c r="BH3" s="140" t="s">
        <v>376</v>
      </c>
      <c r="BI3" s="140" t="s">
        <v>376</v>
      </c>
      <c r="BJ3" s="140" t="s">
        <v>376</v>
      </c>
      <c r="BK3" s="140" t="s">
        <v>376</v>
      </c>
      <c r="BL3" s="140" t="s">
        <v>376</v>
      </c>
      <c r="BM3" s="140" t="s">
        <v>376</v>
      </c>
      <c r="BN3" s="140" t="s">
        <v>376</v>
      </c>
      <c r="BO3" s="140" t="s">
        <v>376</v>
      </c>
      <c r="BP3" s="140" t="s">
        <v>376</v>
      </c>
      <c r="BQ3" s="140" t="s">
        <v>376</v>
      </c>
      <c r="BR3" s="140" t="s">
        <v>376</v>
      </c>
      <c r="BS3" s="141"/>
      <c r="BT3" s="142" t="s">
        <v>377</v>
      </c>
    </row>
    <row r="4" customHeight="1" spans="1:72">
      <c r="A4" s="127" t="s">
        <v>285</v>
      </c>
      <c r="B4" s="127" t="s">
        <v>27</v>
      </c>
      <c r="C4" s="127"/>
      <c r="D4" s="128"/>
      <c r="E4" s="129"/>
      <c r="F4" s="130">
        <v>20.65</v>
      </c>
      <c r="G4" s="130">
        <v>29.99</v>
      </c>
      <c r="H4" s="131" t="e">
        <f t="shared" si="0"/>
        <v>#NULL!</v>
      </c>
      <c r="I4" s="131" t="e">
        <f t="shared" si="1"/>
        <v>#NULL!</v>
      </c>
      <c r="J4" s="130">
        <v>20.65</v>
      </c>
      <c r="K4" s="130">
        <v>29.99</v>
      </c>
      <c r="L4" s="133">
        <f t="shared" si="2"/>
        <v>3.81883028581679</v>
      </c>
      <c r="M4" s="134">
        <f t="shared" si="3"/>
        <v>0.184931248707835</v>
      </c>
      <c r="N4" s="131">
        <f t="shared" si="4"/>
        <v>24.9916666666667</v>
      </c>
      <c r="O4" s="135">
        <f t="shared" si="5"/>
        <v>0.173724574858286</v>
      </c>
      <c r="P4" s="133">
        <f t="shared" si="6"/>
        <v>4.34166666666667</v>
      </c>
      <c r="Q4" s="131">
        <f t="shared" si="7"/>
        <v>62.7823008849558</v>
      </c>
      <c r="R4" s="131">
        <f t="shared" si="8"/>
        <v>0.954375</v>
      </c>
      <c r="S4" s="127">
        <v>16</v>
      </c>
      <c r="T4" s="136">
        <v>7.4</v>
      </c>
      <c r="U4" s="137">
        <v>0.05</v>
      </c>
      <c r="V4" s="137">
        <v>0.1</v>
      </c>
      <c r="W4" s="137">
        <v>0.01</v>
      </c>
      <c r="X4" s="137">
        <f t="shared" si="9"/>
        <v>0.410852044270373</v>
      </c>
      <c r="Y4" s="137">
        <f t="shared" si="10"/>
        <v>0.0462167070217918</v>
      </c>
      <c r="Z4" s="135">
        <v>0.198</v>
      </c>
      <c r="AA4" s="138">
        <f t="shared" si="11"/>
        <v>1.0325</v>
      </c>
      <c r="AB4" s="138">
        <f t="shared" si="12"/>
        <v>2.065</v>
      </c>
      <c r="AC4" s="138">
        <f t="shared" si="13"/>
        <v>0.2065</v>
      </c>
      <c r="AD4" s="131">
        <f t="shared" si="14"/>
        <v>4.0887</v>
      </c>
      <c r="AE4" s="131">
        <v>61</v>
      </c>
      <c r="AF4" s="139">
        <f t="shared" si="15"/>
        <v>53.9823008849558</v>
      </c>
      <c r="AG4" s="139">
        <v>8.8</v>
      </c>
      <c r="AH4" s="137">
        <f t="shared" si="16"/>
        <v>0.35326419007235</v>
      </c>
      <c r="AI4" s="137">
        <f t="shared" si="17"/>
        <v>0.0575878541980237</v>
      </c>
      <c r="AJ4" s="139">
        <v>8.8</v>
      </c>
      <c r="AK4" s="137"/>
      <c r="AL4" s="137"/>
      <c r="AM4" s="137"/>
      <c r="AN4" s="137"/>
      <c r="AO4" s="140"/>
      <c r="AP4" s="140"/>
      <c r="AQ4" s="140"/>
      <c r="AR4" s="140"/>
      <c r="AS4" s="140"/>
      <c r="AT4" s="140"/>
      <c r="AU4" s="140" t="s">
        <v>376</v>
      </c>
      <c r="AV4" s="140" t="s">
        <v>376</v>
      </c>
      <c r="AW4" s="140" t="s">
        <v>376</v>
      </c>
      <c r="AX4" s="140" t="s">
        <v>376</v>
      </c>
      <c r="AY4" s="140" t="s">
        <v>376</v>
      </c>
      <c r="AZ4" s="140" t="s">
        <v>376</v>
      </c>
      <c r="BA4" s="140" t="s">
        <v>376</v>
      </c>
      <c r="BB4" s="140" t="s">
        <v>376</v>
      </c>
      <c r="BC4" s="140" t="s">
        <v>376</v>
      </c>
      <c r="BD4" s="140" t="s">
        <v>376</v>
      </c>
      <c r="BE4" s="140" t="s">
        <v>376</v>
      </c>
      <c r="BF4" s="140" t="s">
        <v>376</v>
      </c>
      <c r="BG4" s="140" t="s">
        <v>376</v>
      </c>
      <c r="BH4" s="140" t="s">
        <v>376</v>
      </c>
      <c r="BI4" s="140" t="s">
        <v>376</v>
      </c>
      <c r="BJ4" s="140" t="s">
        <v>376</v>
      </c>
      <c r="BK4" s="140" t="s">
        <v>376</v>
      </c>
      <c r="BL4" s="140" t="s">
        <v>376</v>
      </c>
      <c r="BM4" s="140" t="s">
        <v>376</v>
      </c>
      <c r="BN4" s="140" t="s">
        <v>376</v>
      </c>
      <c r="BO4" s="140" t="s">
        <v>376</v>
      </c>
      <c r="BP4" s="140" t="s">
        <v>376</v>
      </c>
      <c r="BQ4" s="140" t="s">
        <v>376</v>
      </c>
      <c r="BR4" s="140" t="s">
        <v>376</v>
      </c>
      <c r="BS4" s="141"/>
      <c r="BT4" s="142" t="s">
        <v>377</v>
      </c>
    </row>
    <row r="5" customHeight="1" spans="1:72">
      <c r="A5" s="127" t="s">
        <v>287</v>
      </c>
      <c r="B5" s="127" t="s">
        <v>27</v>
      </c>
      <c r="C5" s="127"/>
      <c r="D5" s="128"/>
      <c r="E5" s="129"/>
      <c r="F5" s="130">
        <v>20.99</v>
      </c>
      <c r="G5" s="130">
        <v>29.99</v>
      </c>
      <c r="H5" s="131" t="e">
        <f t="shared" si="0"/>
        <v>#NULL!</v>
      </c>
      <c r="I5" s="131" t="e">
        <f t="shared" si="1"/>
        <v>#NULL!</v>
      </c>
      <c r="J5" s="130">
        <v>20.99</v>
      </c>
      <c r="K5" s="130">
        <v>29.99</v>
      </c>
      <c r="L5" s="133">
        <f t="shared" si="2"/>
        <v>4.25150128581679</v>
      </c>
      <c r="M5" s="134">
        <f t="shared" si="3"/>
        <v>0.202548894036055</v>
      </c>
      <c r="N5" s="131">
        <f t="shared" si="4"/>
        <v>24.9916666666667</v>
      </c>
      <c r="O5" s="135">
        <f t="shared" si="5"/>
        <v>0.160120040013338</v>
      </c>
      <c r="P5" s="133">
        <f t="shared" si="6"/>
        <v>4.00166666666667</v>
      </c>
      <c r="Q5" s="131">
        <f t="shared" si="7"/>
        <v>62.7823008849558</v>
      </c>
      <c r="R5" s="131">
        <f t="shared" si="8"/>
        <v>1.02125</v>
      </c>
      <c r="S5" s="127">
        <v>16</v>
      </c>
      <c r="T5" s="136">
        <v>7.4</v>
      </c>
      <c r="U5" s="137">
        <v>0.05</v>
      </c>
      <c r="V5" s="137">
        <v>0.1</v>
      </c>
      <c r="W5" s="137">
        <v>0.01</v>
      </c>
      <c r="X5" s="137">
        <f t="shared" si="9"/>
        <v>0.404196984953941</v>
      </c>
      <c r="Y5" s="137">
        <f t="shared" si="10"/>
        <v>0.0486541210100048</v>
      </c>
      <c r="Z5" s="135">
        <v>0.1846</v>
      </c>
      <c r="AA5" s="138">
        <f t="shared" si="11"/>
        <v>1.0495</v>
      </c>
      <c r="AB5" s="138">
        <f t="shared" si="12"/>
        <v>2.099</v>
      </c>
      <c r="AC5" s="138">
        <f t="shared" si="13"/>
        <v>0.2099</v>
      </c>
      <c r="AD5" s="131">
        <f t="shared" si="14"/>
        <v>3.874754</v>
      </c>
      <c r="AE5" s="131">
        <v>61</v>
      </c>
      <c r="AF5" s="139">
        <f t="shared" si="15"/>
        <v>53.9823008849558</v>
      </c>
      <c r="AG5" s="139">
        <v>8.8</v>
      </c>
      <c r="AH5" s="137">
        <f t="shared" si="16"/>
        <v>0.347541949737686</v>
      </c>
      <c r="AI5" s="137">
        <f t="shared" si="17"/>
        <v>0.0566550352162549</v>
      </c>
      <c r="AJ5" s="139">
        <v>8.8</v>
      </c>
      <c r="AK5" s="134"/>
      <c r="AL5" s="134"/>
      <c r="AM5" s="134"/>
      <c r="AN5" s="134"/>
      <c r="AO5" s="140"/>
      <c r="AP5" s="140"/>
      <c r="AQ5" s="140"/>
      <c r="AR5" s="140"/>
      <c r="AS5" s="140"/>
      <c r="AT5" s="140"/>
      <c r="AU5" s="140" t="s">
        <v>376</v>
      </c>
      <c r="AV5" s="140" t="s">
        <v>376</v>
      </c>
      <c r="AW5" s="140" t="s">
        <v>376</v>
      </c>
      <c r="AX5" s="140" t="s">
        <v>376</v>
      </c>
      <c r="AY5" s="140" t="s">
        <v>376</v>
      </c>
      <c r="AZ5" s="140" t="s">
        <v>376</v>
      </c>
      <c r="BA5" s="140" t="s">
        <v>376</v>
      </c>
      <c r="BB5" s="140" t="s">
        <v>376</v>
      </c>
      <c r="BC5" s="140" t="s">
        <v>376</v>
      </c>
      <c r="BD5" s="140" t="s">
        <v>376</v>
      </c>
      <c r="BE5" s="140" t="s">
        <v>376</v>
      </c>
      <c r="BF5" s="140" t="s">
        <v>376</v>
      </c>
      <c r="BG5" s="140" t="s">
        <v>376</v>
      </c>
      <c r="BH5" s="140" t="s">
        <v>376</v>
      </c>
      <c r="BI5" s="140" t="s">
        <v>376</v>
      </c>
      <c r="BJ5" s="140" t="s">
        <v>376</v>
      </c>
      <c r="BK5" s="140" t="s">
        <v>376</v>
      </c>
      <c r="BL5" s="140" t="s">
        <v>376</v>
      </c>
      <c r="BM5" s="140" t="s">
        <v>376</v>
      </c>
      <c r="BN5" s="140" t="s">
        <v>376</v>
      </c>
      <c r="BO5" s="140" t="s">
        <v>376</v>
      </c>
      <c r="BP5" s="140" t="s">
        <v>376</v>
      </c>
      <c r="BQ5" s="140" t="s">
        <v>376</v>
      </c>
      <c r="BR5" s="140" t="s">
        <v>376</v>
      </c>
      <c r="BS5" s="141"/>
      <c r="BT5" s="142" t="s">
        <v>377</v>
      </c>
    </row>
    <row r="6" customHeight="1" spans="1:72">
      <c r="A6" s="127" t="s">
        <v>290</v>
      </c>
      <c r="B6" s="127" t="s">
        <v>27</v>
      </c>
      <c r="C6" s="127"/>
      <c r="D6" s="128"/>
      <c r="E6" s="129"/>
      <c r="F6" s="130">
        <v>20.99</v>
      </c>
      <c r="G6" s="130">
        <v>29.99</v>
      </c>
      <c r="H6" s="131" t="e">
        <f t="shared" si="0"/>
        <v>#NULL!</v>
      </c>
      <c r="I6" s="131" t="e">
        <f t="shared" si="1"/>
        <v>#NULL!</v>
      </c>
      <c r="J6" s="130">
        <v>20.99</v>
      </c>
      <c r="K6" s="130">
        <v>29.99</v>
      </c>
      <c r="L6" s="133">
        <f t="shared" si="2"/>
        <v>4.40380128581679</v>
      </c>
      <c r="M6" s="134">
        <f t="shared" si="3"/>
        <v>0.209804730148489</v>
      </c>
      <c r="N6" s="131">
        <f t="shared" si="4"/>
        <v>24.9916666666667</v>
      </c>
      <c r="O6" s="135">
        <f t="shared" si="5"/>
        <v>0.160120040013338</v>
      </c>
      <c r="P6" s="133">
        <f t="shared" si="6"/>
        <v>4.00166666666667</v>
      </c>
      <c r="Q6" s="131">
        <f t="shared" si="7"/>
        <v>62.7823008849558</v>
      </c>
      <c r="R6" s="131">
        <f t="shared" si="8"/>
        <v>1.28875</v>
      </c>
      <c r="S6" s="127">
        <v>16</v>
      </c>
      <c r="T6" s="136">
        <v>7.4</v>
      </c>
      <c r="U6" s="137">
        <v>0.05</v>
      </c>
      <c r="V6" s="137">
        <v>0.1</v>
      </c>
      <c r="W6" s="137">
        <v>0.01</v>
      </c>
      <c r="X6" s="137">
        <f t="shared" si="9"/>
        <v>0.404196984953941</v>
      </c>
      <c r="Y6" s="137">
        <f t="shared" si="10"/>
        <v>0.0613982848975703</v>
      </c>
      <c r="Z6" s="135">
        <v>0.1646</v>
      </c>
      <c r="AA6" s="138">
        <f t="shared" si="11"/>
        <v>1.0495</v>
      </c>
      <c r="AB6" s="138">
        <f t="shared" si="12"/>
        <v>2.099</v>
      </c>
      <c r="AC6" s="138">
        <f t="shared" si="13"/>
        <v>0.2099</v>
      </c>
      <c r="AD6" s="131">
        <f t="shared" si="14"/>
        <v>3.454954</v>
      </c>
      <c r="AE6" s="131">
        <v>61</v>
      </c>
      <c r="AF6" s="139">
        <f t="shared" si="15"/>
        <v>53.9823008849558</v>
      </c>
      <c r="AG6" s="139">
        <v>8.8</v>
      </c>
      <c r="AH6" s="137">
        <f t="shared" si="16"/>
        <v>0.347541949737686</v>
      </c>
      <c r="AI6" s="137">
        <f t="shared" si="17"/>
        <v>0.0566550352162549</v>
      </c>
      <c r="AJ6" s="139">
        <v>8.8</v>
      </c>
      <c r="AK6" s="137"/>
      <c r="AL6" s="137"/>
      <c r="AM6" s="137"/>
      <c r="AN6" s="137"/>
      <c r="AO6" s="140"/>
      <c r="AP6" s="140"/>
      <c r="AQ6" s="140"/>
      <c r="AR6" s="140"/>
      <c r="AS6" s="140"/>
      <c r="AT6" s="140"/>
      <c r="AU6" s="140" t="s">
        <v>376</v>
      </c>
      <c r="AV6" s="140" t="s">
        <v>376</v>
      </c>
      <c r="AW6" s="140" t="s">
        <v>376</v>
      </c>
      <c r="AX6" s="140" t="s">
        <v>376</v>
      </c>
      <c r="AY6" s="140" t="s">
        <v>376</v>
      </c>
      <c r="AZ6" s="140" t="s">
        <v>376</v>
      </c>
      <c r="BA6" s="140" t="s">
        <v>376</v>
      </c>
      <c r="BB6" s="140" t="s">
        <v>376</v>
      </c>
      <c r="BC6" s="140" t="s">
        <v>376</v>
      </c>
      <c r="BD6" s="140" t="s">
        <v>376</v>
      </c>
      <c r="BE6" s="140" t="s">
        <v>376</v>
      </c>
      <c r="BF6" s="140" t="s">
        <v>376</v>
      </c>
      <c r="BG6" s="140" t="s">
        <v>376</v>
      </c>
      <c r="BH6" s="140" t="s">
        <v>376</v>
      </c>
      <c r="BI6" s="140" t="s">
        <v>376</v>
      </c>
      <c r="BJ6" s="140" t="s">
        <v>376</v>
      </c>
      <c r="BK6" s="140" t="s">
        <v>376</v>
      </c>
      <c r="BL6" s="140" t="s">
        <v>376</v>
      </c>
      <c r="BM6" s="140" t="s">
        <v>376</v>
      </c>
      <c r="BN6" s="140" t="s">
        <v>376</v>
      </c>
      <c r="BO6" s="140" t="s">
        <v>376</v>
      </c>
      <c r="BP6" s="140" t="s">
        <v>376</v>
      </c>
      <c r="BQ6" s="140" t="s">
        <v>376</v>
      </c>
      <c r="BR6" s="140" t="s">
        <v>376</v>
      </c>
      <c r="BS6" s="141"/>
      <c r="BT6" s="142" t="s">
        <v>377</v>
      </c>
    </row>
    <row r="7" customHeight="1" spans="1:72">
      <c r="A7" s="127" t="s">
        <v>381</v>
      </c>
      <c r="B7" s="127" t="s">
        <v>27</v>
      </c>
      <c r="C7" s="127"/>
      <c r="D7" s="128"/>
      <c r="E7" s="129"/>
      <c r="F7" s="131">
        <v>48</v>
      </c>
      <c r="G7" s="143">
        <v>66.99</v>
      </c>
      <c r="H7" s="131" t="e">
        <f t="shared" si="0"/>
        <v>#NULL!</v>
      </c>
      <c r="I7" s="131" t="e">
        <f t="shared" si="1"/>
        <v>#NULL!</v>
      </c>
      <c r="J7" s="131">
        <v>22</v>
      </c>
      <c r="K7" s="143">
        <v>35</v>
      </c>
      <c r="L7" s="133">
        <f t="shared" si="2"/>
        <v>5.76990528581679</v>
      </c>
      <c r="M7" s="134">
        <f t="shared" si="3"/>
        <v>0.262268422082581</v>
      </c>
      <c r="N7" s="131">
        <f t="shared" si="4"/>
        <v>29.1666666666667</v>
      </c>
      <c r="O7" s="135">
        <f t="shared" si="5"/>
        <v>0.245714285714286</v>
      </c>
      <c r="P7" s="133">
        <f t="shared" si="6"/>
        <v>7.16666666666667</v>
      </c>
      <c r="Q7" s="131">
        <f t="shared" si="7"/>
        <v>62.7823008849558</v>
      </c>
      <c r="R7" s="131">
        <f t="shared" si="8"/>
        <v>0.75</v>
      </c>
      <c r="S7" s="127">
        <v>16</v>
      </c>
      <c r="T7" s="136">
        <v>7.4</v>
      </c>
      <c r="U7" s="137">
        <v>0.05</v>
      </c>
      <c r="V7" s="137">
        <v>0.1</v>
      </c>
      <c r="W7" s="137">
        <v>0.01</v>
      </c>
      <c r="X7" s="137">
        <f t="shared" si="9"/>
        <v>0.38564066882651</v>
      </c>
      <c r="Y7" s="137">
        <f t="shared" si="10"/>
        <v>0.0340909090909091</v>
      </c>
      <c r="Z7" s="135">
        <v>0.158</v>
      </c>
      <c r="AA7" s="138">
        <f t="shared" si="11"/>
        <v>1.1</v>
      </c>
      <c r="AB7" s="138">
        <f t="shared" si="12"/>
        <v>2.2</v>
      </c>
      <c r="AC7" s="138">
        <f t="shared" si="13"/>
        <v>0.22</v>
      </c>
      <c r="AD7" s="131">
        <f t="shared" si="14"/>
        <v>3.476</v>
      </c>
      <c r="AE7" s="131">
        <v>61</v>
      </c>
      <c r="AF7" s="139">
        <f t="shared" si="15"/>
        <v>53.9823008849558</v>
      </c>
      <c r="AG7" s="139">
        <v>8.8</v>
      </c>
      <c r="AH7" s="137">
        <f t="shared" si="16"/>
        <v>0.331586614772455</v>
      </c>
      <c r="AI7" s="137">
        <f t="shared" si="17"/>
        <v>0.0540540540540541</v>
      </c>
      <c r="AJ7" s="139">
        <v>8.8</v>
      </c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 t="s">
        <v>376</v>
      </c>
      <c r="AV7" s="140" t="s">
        <v>376</v>
      </c>
      <c r="AW7" s="140" t="s">
        <v>376</v>
      </c>
      <c r="AX7" s="140" t="s">
        <v>376</v>
      </c>
      <c r="AY7" s="140" t="s">
        <v>376</v>
      </c>
      <c r="AZ7" s="140" t="s">
        <v>376</v>
      </c>
      <c r="BA7" s="140" t="s">
        <v>376</v>
      </c>
      <c r="BB7" s="140" t="s">
        <v>376</v>
      </c>
      <c r="BC7" s="140" t="s">
        <v>376</v>
      </c>
      <c r="BD7" s="140" t="s">
        <v>376</v>
      </c>
      <c r="BE7" s="140" t="s">
        <v>376</v>
      </c>
      <c r="BF7" s="140" t="s">
        <v>376</v>
      </c>
      <c r="BG7" s="140" t="s">
        <v>376</v>
      </c>
      <c r="BH7" s="140" t="s">
        <v>376</v>
      </c>
      <c r="BI7" s="140" t="s">
        <v>376</v>
      </c>
      <c r="BJ7" s="140" t="s">
        <v>376</v>
      </c>
      <c r="BK7" s="140" t="s">
        <v>376</v>
      </c>
      <c r="BL7" s="140" t="s">
        <v>376</v>
      </c>
      <c r="BM7" s="140" t="s">
        <v>376</v>
      </c>
      <c r="BN7" s="140" t="s">
        <v>376</v>
      </c>
      <c r="BO7" s="140" t="s">
        <v>376</v>
      </c>
      <c r="BP7" s="140" t="s">
        <v>376</v>
      </c>
      <c r="BQ7" s="140" t="s">
        <v>376</v>
      </c>
      <c r="BR7" s="140" t="s">
        <v>376</v>
      </c>
      <c r="BS7" s="144" t="e">
        <f>IF(H7&lt;J7,1,0)</f>
        <v>#NULL!</v>
      </c>
      <c r="BT7" s="142" t="s">
        <v>377</v>
      </c>
    </row>
    <row r="8" customHeight="1" spans="1:72">
      <c r="A8" s="127" t="s">
        <v>383</v>
      </c>
      <c r="B8" s="127" t="s">
        <v>27</v>
      </c>
      <c r="C8" s="127"/>
      <c r="D8" s="128"/>
      <c r="E8" s="129"/>
      <c r="F8" s="131">
        <v>209.99</v>
      </c>
      <c r="G8" s="143">
        <v>329</v>
      </c>
      <c r="H8" s="131" t="e">
        <f t="shared" si="0"/>
        <v>#NULL!</v>
      </c>
      <c r="I8" s="131" t="e">
        <f t="shared" si="1"/>
        <v>#NULL!</v>
      </c>
      <c r="J8" s="131">
        <v>99</v>
      </c>
      <c r="K8" s="143">
        <v>168</v>
      </c>
      <c r="L8" s="133">
        <f t="shared" si="2"/>
        <v>27.3378119469027</v>
      </c>
      <c r="M8" s="134">
        <f t="shared" si="3"/>
        <v>0.276139514615178</v>
      </c>
      <c r="N8" s="131">
        <f t="shared" si="4"/>
        <v>140</v>
      </c>
      <c r="O8" s="135">
        <f t="shared" si="5"/>
        <v>0.292857142857143</v>
      </c>
      <c r="P8" s="133">
        <f t="shared" si="6"/>
        <v>41</v>
      </c>
      <c r="Q8" s="131">
        <f t="shared" si="7"/>
        <v>62.7823008849558</v>
      </c>
      <c r="R8" s="131">
        <f t="shared" si="8"/>
        <v>0.94125</v>
      </c>
      <c r="S8" s="127">
        <v>16</v>
      </c>
      <c r="T8" s="136">
        <v>1.6</v>
      </c>
      <c r="U8" s="137">
        <v>0.05</v>
      </c>
      <c r="V8" s="137">
        <v>0.1</v>
      </c>
      <c r="W8" s="137">
        <v>0.01</v>
      </c>
      <c r="X8" s="137">
        <f t="shared" si="9"/>
        <v>0.396352909627246</v>
      </c>
      <c r="Y8" s="137">
        <f t="shared" si="10"/>
        <v>0.00950757575757576</v>
      </c>
      <c r="Z8" s="135">
        <v>0.158</v>
      </c>
      <c r="AA8" s="138">
        <f t="shared" si="11"/>
        <v>4.95</v>
      </c>
      <c r="AB8" s="138">
        <f t="shared" si="12"/>
        <v>9.9</v>
      </c>
      <c r="AC8" s="138">
        <f t="shared" si="13"/>
        <v>0.99</v>
      </c>
      <c r="AD8" s="131">
        <f t="shared" si="14"/>
        <v>15.642</v>
      </c>
      <c r="AE8" s="131">
        <v>61</v>
      </c>
      <c r="AF8" s="139">
        <f t="shared" si="15"/>
        <v>53.9823008849558</v>
      </c>
      <c r="AG8" s="139">
        <v>8.8</v>
      </c>
      <c r="AH8" s="137">
        <f t="shared" si="16"/>
        <v>0.34079735407169</v>
      </c>
      <c r="AI8" s="137">
        <f t="shared" si="17"/>
        <v>0.0555555555555556</v>
      </c>
      <c r="AJ8" s="139">
        <v>8.8</v>
      </c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 t="s">
        <v>376</v>
      </c>
      <c r="AV8" s="140" t="s">
        <v>376</v>
      </c>
      <c r="AW8" s="140" t="s">
        <v>376</v>
      </c>
      <c r="AX8" s="140" t="s">
        <v>376</v>
      </c>
      <c r="AY8" s="140" t="s">
        <v>376</v>
      </c>
      <c r="AZ8" s="140" t="s">
        <v>376</v>
      </c>
      <c r="BA8" s="140" t="s">
        <v>376</v>
      </c>
      <c r="BB8" s="140" t="s">
        <v>376</v>
      </c>
      <c r="BC8" s="140" t="s">
        <v>376</v>
      </c>
      <c r="BD8" s="140" t="s">
        <v>376</v>
      </c>
      <c r="BE8" s="140" t="s">
        <v>376</v>
      </c>
      <c r="BF8" s="140" t="s">
        <v>376</v>
      </c>
      <c r="BG8" s="140" t="s">
        <v>376</v>
      </c>
      <c r="BH8" s="140" t="s">
        <v>376</v>
      </c>
      <c r="BI8" s="140" t="s">
        <v>376</v>
      </c>
      <c r="BJ8" s="140" t="s">
        <v>376</v>
      </c>
      <c r="BK8" s="140" t="s">
        <v>376</v>
      </c>
      <c r="BL8" s="140" t="s">
        <v>376</v>
      </c>
      <c r="BM8" s="140" t="s">
        <v>376</v>
      </c>
      <c r="BN8" s="140" t="s">
        <v>376</v>
      </c>
      <c r="BO8" s="140" t="s">
        <v>376</v>
      </c>
      <c r="BP8" s="140" t="s">
        <v>376</v>
      </c>
      <c r="BQ8" s="140" t="s">
        <v>376</v>
      </c>
      <c r="BR8" s="140" t="s">
        <v>376</v>
      </c>
      <c r="BS8" s="144" t="e">
        <f>IF(H8&lt;J8,1,0)</f>
        <v>#NULL!</v>
      </c>
      <c r="BT8" s="142" t="s">
        <v>377</v>
      </c>
    </row>
    <row r="9" customHeight="1" spans="1:72">
      <c r="A9" s="127" t="s">
        <v>385</v>
      </c>
      <c r="B9" s="127" t="s">
        <v>27</v>
      </c>
      <c r="C9" s="127"/>
      <c r="D9" s="128"/>
      <c r="E9" s="129"/>
      <c r="F9" s="131">
        <v>474.5115</v>
      </c>
      <c r="G9" s="143">
        <v>720.76</v>
      </c>
      <c r="H9" s="131" t="e">
        <f t="shared" si="0"/>
        <v>#NULL!</v>
      </c>
      <c r="I9" s="131" t="e">
        <f t="shared" si="1"/>
        <v>#NULL!</v>
      </c>
      <c r="J9" s="131">
        <v>270</v>
      </c>
      <c r="K9" s="143">
        <v>538</v>
      </c>
      <c r="L9" s="133">
        <f t="shared" si="2"/>
        <v>60.796581858407</v>
      </c>
      <c r="M9" s="134">
        <f t="shared" si="3"/>
        <v>0.225172525401508</v>
      </c>
      <c r="N9" s="131">
        <f t="shared" si="4"/>
        <v>448.333333333333</v>
      </c>
      <c r="O9" s="135">
        <f t="shared" si="5"/>
        <v>0.397769516728625</v>
      </c>
      <c r="P9" s="133">
        <f t="shared" si="6"/>
        <v>178.333333333333</v>
      </c>
      <c r="Q9" s="131">
        <f t="shared" si="7"/>
        <v>62.7823008849558</v>
      </c>
      <c r="R9" s="131">
        <f t="shared" si="8"/>
        <v>1.15625</v>
      </c>
      <c r="S9" s="127">
        <v>16</v>
      </c>
      <c r="T9" s="136">
        <v>0.6</v>
      </c>
      <c r="U9" s="137">
        <v>0.05</v>
      </c>
      <c r="V9" s="137">
        <v>0.1</v>
      </c>
      <c r="W9" s="137">
        <v>0.01</v>
      </c>
      <c r="X9" s="137">
        <f t="shared" si="9"/>
        <v>0.387545067191085</v>
      </c>
      <c r="Y9" s="137">
        <f t="shared" si="10"/>
        <v>0.00428240740740741</v>
      </c>
      <c r="Z9" s="135">
        <v>0.223</v>
      </c>
      <c r="AA9" s="138">
        <f t="shared" si="11"/>
        <v>13.5</v>
      </c>
      <c r="AB9" s="138">
        <f t="shared" si="12"/>
        <v>27</v>
      </c>
      <c r="AC9" s="138">
        <f t="shared" si="13"/>
        <v>2.7</v>
      </c>
      <c r="AD9" s="131">
        <f t="shared" si="14"/>
        <v>60.21</v>
      </c>
      <c r="AE9" s="131">
        <v>61</v>
      </c>
      <c r="AF9" s="139">
        <f t="shared" si="15"/>
        <v>53.9823008849558</v>
      </c>
      <c r="AG9" s="139">
        <v>8.8</v>
      </c>
      <c r="AH9" s="137">
        <f t="shared" si="16"/>
        <v>0.333224079536764</v>
      </c>
      <c r="AI9" s="137">
        <f t="shared" si="17"/>
        <v>0.054320987654321</v>
      </c>
      <c r="AJ9" s="139">
        <v>8.8</v>
      </c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 t="s">
        <v>376</v>
      </c>
      <c r="AV9" s="140" t="s">
        <v>376</v>
      </c>
      <c r="AW9" s="140" t="s">
        <v>376</v>
      </c>
      <c r="AX9" s="140" t="s">
        <v>376</v>
      </c>
      <c r="AY9" s="140" t="s">
        <v>376</v>
      </c>
      <c r="AZ9" s="140" t="s">
        <v>376</v>
      </c>
      <c r="BA9" s="140" t="s">
        <v>376</v>
      </c>
      <c r="BB9" s="140" t="s">
        <v>376</v>
      </c>
      <c r="BC9" s="140" t="s">
        <v>376</v>
      </c>
      <c r="BD9" s="140" t="s">
        <v>376</v>
      </c>
      <c r="BE9" s="140" t="s">
        <v>376</v>
      </c>
      <c r="BF9" s="140" t="s">
        <v>376</v>
      </c>
      <c r="BG9" s="140" t="s">
        <v>376</v>
      </c>
      <c r="BH9" s="140" t="s">
        <v>376</v>
      </c>
      <c r="BI9" s="140" t="s">
        <v>376</v>
      </c>
      <c r="BJ9" s="140" t="s">
        <v>376</v>
      </c>
      <c r="BK9" s="140" t="s">
        <v>376</v>
      </c>
      <c r="BL9" s="140" t="s">
        <v>376</v>
      </c>
      <c r="BM9" s="140" t="s">
        <v>376</v>
      </c>
      <c r="BN9" s="140" t="s">
        <v>376</v>
      </c>
      <c r="BO9" s="140" t="s">
        <v>376</v>
      </c>
      <c r="BP9" s="140" t="s">
        <v>376</v>
      </c>
      <c r="BQ9" s="140" t="s">
        <v>376</v>
      </c>
      <c r="BR9" s="140" t="s">
        <v>376</v>
      </c>
      <c r="BS9" s="144" t="e">
        <f>IF(H9&lt;J9,1,0)</f>
        <v>#NULL!</v>
      </c>
      <c r="BT9" s="142" t="s">
        <v>377</v>
      </c>
    </row>
    <row r="10" customHeight="1" spans="1:72">
      <c r="A10" s="127" t="s">
        <v>387</v>
      </c>
      <c r="B10" s="127" t="s">
        <v>27</v>
      </c>
      <c r="C10" s="127"/>
      <c r="D10" s="128"/>
      <c r="E10" s="129"/>
      <c r="F10" s="131">
        <f>G10*0.7</f>
        <v>23.0923</v>
      </c>
      <c r="G10" s="143">
        <v>32.989</v>
      </c>
      <c r="H10" s="131" t="e">
        <f t="shared" si="0"/>
        <v>#NULL!</v>
      </c>
      <c r="I10" s="131" t="e">
        <f t="shared" si="1"/>
        <v>#NULL!</v>
      </c>
      <c r="J10" s="131">
        <v>23.09</v>
      </c>
      <c r="K10" s="143">
        <v>32.989</v>
      </c>
      <c r="L10" s="133">
        <f t="shared" si="2"/>
        <v>6.07801028581679</v>
      </c>
      <c r="M10" s="134">
        <f t="shared" si="3"/>
        <v>0.263231281325976</v>
      </c>
      <c r="N10" s="131">
        <f t="shared" si="4"/>
        <v>27.4908333333333</v>
      </c>
      <c r="O10" s="135">
        <f t="shared" si="5"/>
        <v>0.16008366425172</v>
      </c>
      <c r="P10" s="133">
        <f t="shared" si="6"/>
        <v>4.40083333333333</v>
      </c>
      <c r="Q10" s="131">
        <f t="shared" si="7"/>
        <v>62.7823008849558</v>
      </c>
      <c r="R10" s="131">
        <f t="shared" si="8"/>
        <v>0.954375</v>
      </c>
      <c r="S10" s="127">
        <v>16</v>
      </c>
      <c r="T10" s="136">
        <v>7.4</v>
      </c>
      <c r="U10" s="137">
        <v>0.06</v>
      </c>
      <c r="V10" s="137">
        <v>0.1</v>
      </c>
      <c r="W10" s="137">
        <v>0.01</v>
      </c>
      <c r="X10" s="137">
        <f t="shared" si="9"/>
        <v>0.367435890609927</v>
      </c>
      <c r="Y10" s="137">
        <f t="shared" si="10"/>
        <v>0.041332828064097</v>
      </c>
      <c r="Z10" s="135">
        <v>0.158</v>
      </c>
      <c r="AA10" s="138">
        <f t="shared" si="11"/>
        <v>1.3854</v>
      </c>
      <c r="AB10" s="138">
        <f t="shared" si="12"/>
        <v>2.309</v>
      </c>
      <c r="AC10" s="138">
        <f t="shared" si="13"/>
        <v>0.2309</v>
      </c>
      <c r="AD10" s="131">
        <f t="shared" si="14"/>
        <v>3.64822</v>
      </c>
      <c r="AE10" s="131">
        <v>61</v>
      </c>
      <c r="AF10" s="139">
        <f t="shared" si="15"/>
        <v>53.9823008849558</v>
      </c>
      <c r="AG10" s="139">
        <v>8.8</v>
      </c>
      <c r="AH10" s="137">
        <f t="shared" si="16"/>
        <v>0.315933543741621</v>
      </c>
      <c r="AI10" s="137">
        <f t="shared" si="17"/>
        <v>0.0515023468683062</v>
      </c>
      <c r="AJ10" s="139">
        <v>8.8</v>
      </c>
      <c r="AK10" s="137"/>
      <c r="AL10" s="137"/>
      <c r="AM10" s="137"/>
      <c r="AN10" s="137"/>
      <c r="AO10" s="140"/>
      <c r="AP10" s="140"/>
      <c r="AQ10" s="140"/>
      <c r="AR10" s="140"/>
      <c r="AS10" s="140"/>
      <c r="AT10" s="140"/>
      <c r="AU10" s="140" t="s">
        <v>376</v>
      </c>
      <c r="AV10" s="140" t="s">
        <v>376</v>
      </c>
      <c r="AW10" s="140" t="s">
        <v>376</v>
      </c>
      <c r="AX10" s="140" t="s">
        <v>376</v>
      </c>
      <c r="AY10" s="140" t="s">
        <v>376</v>
      </c>
      <c r="AZ10" s="140" t="s">
        <v>376</v>
      </c>
      <c r="BA10" s="140" t="s">
        <v>376</v>
      </c>
      <c r="BB10" s="140" t="s">
        <v>376</v>
      </c>
      <c r="BC10" s="140" t="s">
        <v>376</v>
      </c>
      <c r="BD10" s="140" t="s">
        <v>376</v>
      </c>
      <c r="BE10" s="140" t="s">
        <v>376</v>
      </c>
      <c r="BF10" s="140" t="s">
        <v>376</v>
      </c>
      <c r="BG10" s="140" t="s">
        <v>376</v>
      </c>
      <c r="BH10" s="140" t="s">
        <v>376</v>
      </c>
      <c r="BI10" s="140" t="s">
        <v>376</v>
      </c>
      <c r="BJ10" s="140" t="s">
        <v>376</v>
      </c>
      <c r="BK10" s="140" t="s">
        <v>376</v>
      </c>
      <c r="BL10" s="140" t="s">
        <v>376</v>
      </c>
      <c r="BM10" s="140" t="s">
        <v>376</v>
      </c>
      <c r="BN10" s="140" t="s">
        <v>376</v>
      </c>
      <c r="BO10" s="140" t="s">
        <v>376</v>
      </c>
      <c r="BP10" s="140" t="s">
        <v>376</v>
      </c>
      <c r="BQ10" s="140" t="s">
        <v>376</v>
      </c>
      <c r="BR10" s="140" t="s">
        <v>376</v>
      </c>
      <c r="BS10" s="144" t="e">
        <f>IF(H10&lt;J10,1,0)</f>
        <v>#NULL!</v>
      </c>
      <c r="BT10" s="142" t="s">
        <v>377</v>
      </c>
    </row>
    <row r="11" customHeight="1" spans="1:72">
      <c r="A11" s="127"/>
      <c r="B11" s="127"/>
      <c r="C11" s="127"/>
      <c r="D11" s="128"/>
      <c r="E11" s="129"/>
      <c r="F11" s="131"/>
      <c r="G11" s="143"/>
      <c r="H11" s="131"/>
      <c r="I11" s="131"/>
      <c r="J11" s="131"/>
      <c r="K11" s="143"/>
      <c r="L11" s="133"/>
      <c r="M11" s="134"/>
      <c r="N11" s="131"/>
      <c r="O11" s="135"/>
      <c r="P11" s="133"/>
      <c r="Q11" s="131"/>
      <c r="R11" s="131"/>
      <c r="S11" s="127"/>
      <c r="T11" s="136"/>
      <c r="U11" s="137"/>
      <c r="V11" s="137"/>
      <c r="W11" s="137"/>
      <c r="X11" s="137"/>
      <c r="Y11" s="137"/>
      <c r="Z11" s="135"/>
      <c r="AA11" s="138"/>
      <c r="AB11" s="138"/>
      <c r="AC11" s="138"/>
      <c r="AD11" s="131"/>
      <c r="AE11" s="131"/>
      <c r="AF11" s="139"/>
      <c r="AG11" s="139"/>
      <c r="AH11" s="137"/>
      <c r="AI11" s="137"/>
      <c r="AJ11" s="139"/>
      <c r="AK11" s="137"/>
      <c r="AL11" s="137"/>
      <c r="AM11" s="137"/>
      <c r="AN11" s="137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0"/>
      <c r="BJ11" s="140"/>
      <c r="BK11" s="140"/>
      <c r="BL11" s="140"/>
      <c r="BM11" s="140"/>
      <c r="BN11" s="140"/>
      <c r="BO11" s="140"/>
      <c r="BP11" s="140"/>
      <c r="BQ11" s="140"/>
      <c r="BR11" s="140"/>
      <c r="BS11" s="144"/>
      <c r="BT11" s="142"/>
    </row>
    <row r="12" customHeight="1" spans="1:72">
      <c r="A12" s="127" t="s">
        <v>86</v>
      </c>
      <c r="B12" s="127" t="s">
        <v>510</v>
      </c>
      <c r="C12" s="127"/>
      <c r="D12" s="128"/>
      <c r="E12" s="129"/>
      <c r="F12" s="131">
        <f t="shared" ref="F12:F20" si="18">G12*0.7</f>
        <v>23.0923</v>
      </c>
      <c r="G12" s="143">
        <v>32.989</v>
      </c>
      <c r="H12" s="131" t="e">
        <f t="shared" ref="H12:H20" si="19">INDEX(#NULL!,MATCH(1,(#NULL!=A12)*(#NULL!=C12),0))</f>
        <v>#NULL!</v>
      </c>
      <c r="I12" s="131" t="e">
        <f t="shared" ref="I12:I20" si="20">H12=J12</f>
        <v>#NULL!</v>
      </c>
      <c r="J12" s="131">
        <v>23.09</v>
      </c>
      <c r="K12" s="143">
        <v>32.989</v>
      </c>
      <c r="L12" s="133">
        <f t="shared" ref="L12:L20" si="21">J12-Q12/T12-AD12-AA12-R12-AB12-AC12</f>
        <v>6.47301028581679</v>
      </c>
      <c r="M12" s="134">
        <f t="shared" ref="M12:M20" si="22">L12/J12</f>
        <v>0.280338254041437</v>
      </c>
      <c r="N12" s="131">
        <f t="shared" ref="N12:N20" si="23">K12/1.2</f>
        <v>27.4908333333333</v>
      </c>
      <c r="O12" s="135">
        <f t="shared" ref="O12:O20" si="24">(N12-J12)/N12</f>
        <v>0.16008366425172</v>
      </c>
      <c r="P12" s="133">
        <f t="shared" ref="P12:P20" si="25">K12/1.2-J12</f>
        <v>4.40083333333333</v>
      </c>
      <c r="Q12" s="131">
        <f t="shared" ref="Q12:Q20" si="26">AF12+AG12</f>
        <v>62.7823008849558</v>
      </c>
      <c r="R12" s="131">
        <f t="shared" ref="R12:R20" si="27">IFERROR(IF(A12="UK",8.95/S12,IF(A12="DE",11.43/S12,IF(A12="FR",15.27/S12,IF(A12="IT",16.34/S12,IF(A12="ES",20.62/S12,IF(A12="NL",12/S12,IF(A12="PL",15.06/S12,IF(A12="SE",18.5/S12,IF(A12="BE",15.27/S12))))))))),0)</f>
        <v>0.559375</v>
      </c>
      <c r="S12" s="127">
        <v>16</v>
      </c>
      <c r="T12" s="136">
        <v>7.4</v>
      </c>
      <c r="U12" s="137">
        <v>0.06</v>
      </c>
      <c r="V12" s="137">
        <v>0.1</v>
      </c>
      <c r="W12" s="137">
        <v>0.01</v>
      </c>
      <c r="X12" s="137">
        <f t="shared" ref="X12:X20" si="28">Q12/(J12*T12)</f>
        <v>0.367435890609927</v>
      </c>
      <c r="Y12" s="137">
        <f t="shared" ref="Y12:Y20" si="29">R12/J12</f>
        <v>0.0242258553486358</v>
      </c>
      <c r="Z12" s="135">
        <v>0.158</v>
      </c>
      <c r="AA12" s="138">
        <f t="shared" ref="AA12:AA20" si="30">J12*U12</f>
        <v>1.3854</v>
      </c>
      <c r="AB12" s="138">
        <f t="shared" ref="AB12:AB20" si="31">J12*V12</f>
        <v>2.309</v>
      </c>
      <c r="AC12" s="138">
        <f t="shared" ref="AC12:AC20" si="32">J12*W12</f>
        <v>0.2309</v>
      </c>
      <c r="AD12" s="131">
        <f t="shared" ref="AD12:AD20" si="33">J12*Z12</f>
        <v>3.64822</v>
      </c>
      <c r="AE12" s="131">
        <v>61</v>
      </c>
      <c r="AF12" s="139">
        <f t="shared" ref="AF12:AF20" si="34">AE12/1.13</f>
        <v>53.9823008849558</v>
      </c>
      <c r="AG12" s="139">
        <v>8.8</v>
      </c>
      <c r="AH12" s="137">
        <f t="shared" ref="AH12:AH20" si="35">AF12/(J12*T12)</f>
        <v>0.315933543741621</v>
      </c>
      <c r="AI12" s="137">
        <f t="shared" ref="AI12:AI20" si="36">AG12/T12/J12</f>
        <v>0.0515023468683062</v>
      </c>
      <c r="AJ12" s="139">
        <v>8.8</v>
      </c>
      <c r="AK12" s="137"/>
      <c r="AL12" s="137"/>
      <c r="AM12" s="137"/>
      <c r="AN12" s="137"/>
      <c r="AO12" s="140"/>
      <c r="AP12" s="140"/>
      <c r="AQ12" s="140"/>
      <c r="AR12" s="140"/>
      <c r="AS12" s="140"/>
      <c r="AT12" s="140"/>
      <c r="AU12" s="140" t="s">
        <v>376</v>
      </c>
      <c r="AV12" s="140" t="s">
        <v>376</v>
      </c>
      <c r="AW12" s="140" t="s">
        <v>376</v>
      </c>
      <c r="AX12" s="140" t="s">
        <v>376</v>
      </c>
      <c r="AY12" s="140" t="s">
        <v>376</v>
      </c>
      <c r="AZ12" s="140" t="s">
        <v>376</v>
      </c>
      <c r="BA12" s="140" t="s">
        <v>376</v>
      </c>
      <c r="BB12" s="140" t="s">
        <v>376</v>
      </c>
      <c r="BC12" s="140" t="s">
        <v>376</v>
      </c>
      <c r="BD12" s="140" t="s">
        <v>376</v>
      </c>
      <c r="BE12" s="140" t="s">
        <v>376</v>
      </c>
      <c r="BF12" s="140" t="s">
        <v>376</v>
      </c>
      <c r="BG12" s="140" t="s">
        <v>376</v>
      </c>
      <c r="BH12" s="140" t="s">
        <v>376</v>
      </c>
      <c r="BI12" s="140" t="s">
        <v>376</v>
      </c>
      <c r="BJ12" s="140" t="s">
        <v>376</v>
      </c>
      <c r="BK12" s="140" t="s">
        <v>376</v>
      </c>
      <c r="BL12" s="140" t="s">
        <v>376</v>
      </c>
      <c r="BM12" s="140" t="s">
        <v>376</v>
      </c>
      <c r="BN12" s="140" t="s">
        <v>376</v>
      </c>
      <c r="BO12" s="140" t="s">
        <v>376</v>
      </c>
      <c r="BP12" s="140" t="s">
        <v>376</v>
      </c>
      <c r="BQ12" s="140" t="s">
        <v>376</v>
      </c>
      <c r="BR12" s="140" t="s">
        <v>376</v>
      </c>
      <c r="BS12" s="144" t="e">
        <f t="shared" ref="BS12:BS20" si="37">IF(H12&lt;J12,1,0)</f>
        <v>#NULL!</v>
      </c>
      <c r="BT12" s="142" t="s">
        <v>377</v>
      </c>
    </row>
    <row r="13" customHeight="1" spans="1:72">
      <c r="A13" s="127" t="s">
        <v>280</v>
      </c>
      <c r="B13" s="127" t="s">
        <v>511</v>
      </c>
      <c r="C13" s="127"/>
      <c r="D13" s="128"/>
      <c r="E13" s="129"/>
      <c r="F13" s="131">
        <f t="shared" si="18"/>
        <v>23.0923</v>
      </c>
      <c r="G13" s="143">
        <v>32.989</v>
      </c>
      <c r="H13" s="131" t="e">
        <f t="shared" si="19"/>
        <v>#NULL!</v>
      </c>
      <c r="I13" s="131" t="e">
        <f t="shared" si="20"/>
        <v>#NULL!</v>
      </c>
      <c r="J13" s="131">
        <v>23.09</v>
      </c>
      <c r="K13" s="143">
        <v>32.989</v>
      </c>
      <c r="L13" s="133">
        <f t="shared" si="21"/>
        <v>6.31801028581679</v>
      </c>
      <c r="M13" s="134">
        <f t="shared" si="22"/>
        <v>0.273625391330307</v>
      </c>
      <c r="N13" s="131">
        <f t="shared" si="23"/>
        <v>27.4908333333333</v>
      </c>
      <c r="O13" s="135">
        <f t="shared" si="24"/>
        <v>0.16008366425172</v>
      </c>
      <c r="P13" s="133">
        <f t="shared" si="25"/>
        <v>4.40083333333333</v>
      </c>
      <c r="Q13" s="131">
        <f t="shared" si="26"/>
        <v>62.7823008849558</v>
      </c>
      <c r="R13" s="131">
        <f t="shared" si="27"/>
        <v>0.714375</v>
      </c>
      <c r="S13" s="127">
        <v>16</v>
      </c>
      <c r="T13" s="136">
        <v>7.4</v>
      </c>
      <c r="U13" s="137">
        <v>0.06</v>
      </c>
      <c r="V13" s="137">
        <v>0.1</v>
      </c>
      <c r="W13" s="137">
        <v>0.01</v>
      </c>
      <c r="X13" s="137">
        <f t="shared" si="28"/>
        <v>0.367435890609927</v>
      </c>
      <c r="Y13" s="137">
        <f t="shared" si="29"/>
        <v>0.0309387180597661</v>
      </c>
      <c r="Z13" s="135">
        <v>0.158</v>
      </c>
      <c r="AA13" s="138">
        <f t="shared" si="30"/>
        <v>1.3854</v>
      </c>
      <c r="AB13" s="138">
        <f t="shared" si="31"/>
        <v>2.309</v>
      </c>
      <c r="AC13" s="138">
        <f t="shared" si="32"/>
        <v>0.2309</v>
      </c>
      <c r="AD13" s="131">
        <f t="shared" si="33"/>
        <v>3.64822</v>
      </c>
      <c r="AE13" s="131">
        <v>61</v>
      </c>
      <c r="AF13" s="139">
        <f t="shared" si="34"/>
        <v>53.9823008849558</v>
      </c>
      <c r="AG13" s="139">
        <v>8.8</v>
      </c>
      <c r="AH13" s="137">
        <f t="shared" si="35"/>
        <v>0.315933543741621</v>
      </c>
      <c r="AI13" s="137">
        <f t="shared" si="36"/>
        <v>0.0515023468683062</v>
      </c>
      <c r="AJ13" s="139">
        <v>8.8</v>
      </c>
      <c r="AK13" s="137"/>
      <c r="AL13" s="137"/>
      <c r="AM13" s="137"/>
      <c r="AN13" s="137"/>
      <c r="AO13" s="140"/>
      <c r="AP13" s="140"/>
      <c r="AQ13" s="140"/>
      <c r="AR13" s="140"/>
      <c r="AS13" s="140"/>
      <c r="AT13" s="140"/>
      <c r="AU13" s="140" t="s">
        <v>376</v>
      </c>
      <c r="AV13" s="140" t="s">
        <v>376</v>
      </c>
      <c r="AW13" s="140" t="s">
        <v>376</v>
      </c>
      <c r="AX13" s="140" t="s">
        <v>376</v>
      </c>
      <c r="AY13" s="140" t="s">
        <v>376</v>
      </c>
      <c r="AZ13" s="140" t="s">
        <v>376</v>
      </c>
      <c r="BA13" s="140" t="s">
        <v>376</v>
      </c>
      <c r="BB13" s="140" t="s">
        <v>376</v>
      </c>
      <c r="BC13" s="140" t="s">
        <v>376</v>
      </c>
      <c r="BD13" s="140" t="s">
        <v>376</v>
      </c>
      <c r="BE13" s="140" t="s">
        <v>376</v>
      </c>
      <c r="BF13" s="140" t="s">
        <v>376</v>
      </c>
      <c r="BG13" s="140" t="s">
        <v>376</v>
      </c>
      <c r="BH13" s="140" t="s">
        <v>376</v>
      </c>
      <c r="BI13" s="140" t="s">
        <v>376</v>
      </c>
      <c r="BJ13" s="140" t="s">
        <v>376</v>
      </c>
      <c r="BK13" s="140" t="s">
        <v>376</v>
      </c>
      <c r="BL13" s="140" t="s">
        <v>376</v>
      </c>
      <c r="BM13" s="140" t="s">
        <v>376</v>
      </c>
      <c r="BN13" s="140" t="s">
        <v>376</v>
      </c>
      <c r="BO13" s="140" t="s">
        <v>376</v>
      </c>
      <c r="BP13" s="140" t="s">
        <v>376</v>
      </c>
      <c r="BQ13" s="140" t="s">
        <v>376</v>
      </c>
      <c r="BR13" s="140" t="s">
        <v>376</v>
      </c>
      <c r="BS13" s="144" t="e">
        <f t="shared" si="37"/>
        <v>#NULL!</v>
      </c>
      <c r="BT13" s="142" t="s">
        <v>377</v>
      </c>
    </row>
    <row r="14" customHeight="1" spans="1:72">
      <c r="A14" s="127" t="s">
        <v>285</v>
      </c>
      <c r="B14" s="127" t="s">
        <v>511</v>
      </c>
      <c r="C14" s="127"/>
      <c r="D14" s="128"/>
      <c r="E14" s="129"/>
      <c r="F14" s="131">
        <f t="shared" si="18"/>
        <v>23.0923</v>
      </c>
      <c r="G14" s="143">
        <v>32.989</v>
      </c>
      <c r="H14" s="131" t="e">
        <f t="shared" si="19"/>
        <v>#NULL!</v>
      </c>
      <c r="I14" s="131" t="e">
        <f t="shared" si="20"/>
        <v>#NULL!</v>
      </c>
      <c r="J14" s="131">
        <v>23.09</v>
      </c>
      <c r="K14" s="143">
        <v>32.989</v>
      </c>
      <c r="L14" s="133">
        <f t="shared" si="21"/>
        <v>6.07801028581679</v>
      </c>
      <c r="M14" s="134">
        <f t="shared" si="22"/>
        <v>0.263231281325976</v>
      </c>
      <c r="N14" s="131">
        <f t="shared" si="23"/>
        <v>27.4908333333333</v>
      </c>
      <c r="O14" s="135">
        <f t="shared" si="24"/>
        <v>0.16008366425172</v>
      </c>
      <c r="P14" s="133">
        <f t="shared" si="25"/>
        <v>4.40083333333333</v>
      </c>
      <c r="Q14" s="131">
        <f t="shared" si="26"/>
        <v>62.7823008849558</v>
      </c>
      <c r="R14" s="131">
        <f t="shared" si="27"/>
        <v>0.954375</v>
      </c>
      <c r="S14" s="127">
        <v>16</v>
      </c>
      <c r="T14" s="136">
        <v>7.4</v>
      </c>
      <c r="U14" s="137">
        <v>0.06</v>
      </c>
      <c r="V14" s="137">
        <v>0.1</v>
      </c>
      <c r="W14" s="137">
        <v>0.01</v>
      </c>
      <c r="X14" s="137">
        <f t="shared" si="28"/>
        <v>0.367435890609927</v>
      </c>
      <c r="Y14" s="137">
        <f t="shared" si="29"/>
        <v>0.041332828064097</v>
      </c>
      <c r="Z14" s="135">
        <v>0.158</v>
      </c>
      <c r="AA14" s="138">
        <f t="shared" si="30"/>
        <v>1.3854</v>
      </c>
      <c r="AB14" s="138">
        <f t="shared" si="31"/>
        <v>2.309</v>
      </c>
      <c r="AC14" s="138">
        <f t="shared" si="32"/>
        <v>0.2309</v>
      </c>
      <c r="AD14" s="131">
        <f t="shared" si="33"/>
        <v>3.64822</v>
      </c>
      <c r="AE14" s="131">
        <v>61</v>
      </c>
      <c r="AF14" s="139">
        <f t="shared" si="34"/>
        <v>53.9823008849558</v>
      </c>
      <c r="AG14" s="139">
        <v>8.8</v>
      </c>
      <c r="AH14" s="137">
        <f t="shared" si="35"/>
        <v>0.315933543741621</v>
      </c>
      <c r="AI14" s="137">
        <f t="shared" si="36"/>
        <v>0.0515023468683062</v>
      </c>
      <c r="AJ14" s="139">
        <v>8.8</v>
      </c>
      <c r="AK14" s="137"/>
      <c r="AL14" s="137"/>
      <c r="AM14" s="137"/>
      <c r="AN14" s="137"/>
      <c r="AO14" s="140"/>
      <c r="AP14" s="140"/>
      <c r="AQ14" s="140"/>
      <c r="AR14" s="140"/>
      <c r="AS14" s="140"/>
      <c r="AT14" s="140"/>
      <c r="AU14" s="140" t="s">
        <v>376</v>
      </c>
      <c r="AV14" s="140" t="s">
        <v>376</v>
      </c>
      <c r="AW14" s="140" t="s">
        <v>376</v>
      </c>
      <c r="AX14" s="140" t="s">
        <v>376</v>
      </c>
      <c r="AY14" s="140" t="s">
        <v>376</v>
      </c>
      <c r="AZ14" s="140" t="s">
        <v>376</v>
      </c>
      <c r="BA14" s="140" t="s">
        <v>376</v>
      </c>
      <c r="BB14" s="140" t="s">
        <v>376</v>
      </c>
      <c r="BC14" s="140" t="s">
        <v>376</v>
      </c>
      <c r="BD14" s="140" t="s">
        <v>376</v>
      </c>
      <c r="BE14" s="140" t="s">
        <v>376</v>
      </c>
      <c r="BF14" s="140" t="s">
        <v>376</v>
      </c>
      <c r="BG14" s="140" t="s">
        <v>376</v>
      </c>
      <c r="BH14" s="140" t="s">
        <v>376</v>
      </c>
      <c r="BI14" s="140" t="s">
        <v>376</v>
      </c>
      <c r="BJ14" s="140" t="s">
        <v>376</v>
      </c>
      <c r="BK14" s="140" t="s">
        <v>376</v>
      </c>
      <c r="BL14" s="140" t="s">
        <v>376</v>
      </c>
      <c r="BM14" s="140" t="s">
        <v>376</v>
      </c>
      <c r="BN14" s="140" t="s">
        <v>376</v>
      </c>
      <c r="BO14" s="140" t="s">
        <v>376</v>
      </c>
      <c r="BP14" s="140" t="s">
        <v>376</v>
      </c>
      <c r="BQ14" s="140" t="s">
        <v>376</v>
      </c>
      <c r="BR14" s="140" t="s">
        <v>376</v>
      </c>
      <c r="BS14" s="144" t="e">
        <f t="shared" si="37"/>
        <v>#NULL!</v>
      </c>
      <c r="BT14" s="142" t="s">
        <v>377</v>
      </c>
    </row>
    <row r="15" customHeight="1" spans="1:72">
      <c r="A15" s="127" t="s">
        <v>287</v>
      </c>
      <c r="B15" s="127" t="s">
        <v>511</v>
      </c>
      <c r="C15" s="127"/>
      <c r="D15" s="128"/>
      <c r="E15" s="129"/>
      <c r="F15" s="131">
        <f t="shared" si="18"/>
        <v>23.0923</v>
      </c>
      <c r="G15" s="143">
        <v>32.989</v>
      </c>
      <c r="H15" s="131" t="e">
        <f t="shared" si="19"/>
        <v>#NULL!</v>
      </c>
      <c r="I15" s="131" t="e">
        <f t="shared" si="20"/>
        <v>#NULL!</v>
      </c>
      <c r="J15" s="131">
        <v>23.09</v>
      </c>
      <c r="K15" s="143">
        <v>32.989</v>
      </c>
      <c r="L15" s="133">
        <f t="shared" si="21"/>
        <v>6.01113528581679</v>
      </c>
      <c r="M15" s="134">
        <f t="shared" si="22"/>
        <v>0.260335005882061</v>
      </c>
      <c r="N15" s="131">
        <f t="shared" si="23"/>
        <v>27.4908333333333</v>
      </c>
      <c r="O15" s="135">
        <f t="shared" si="24"/>
        <v>0.16008366425172</v>
      </c>
      <c r="P15" s="133">
        <f t="shared" si="25"/>
        <v>4.40083333333333</v>
      </c>
      <c r="Q15" s="131">
        <f t="shared" si="26"/>
        <v>62.7823008849558</v>
      </c>
      <c r="R15" s="131">
        <f t="shared" si="27"/>
        <v>1.02125</v>
      </c>
      <c r="S15" s="127">
        <v>16</v>
      </c>
      <c r="T15" s="136">
        <v>7.4</v>
      </c>
      <c r="U15" s="137">
        <v>0.06</v>
      </c>
      <c r="V15" s="137">
        <v>0.1</v>
      </c>
      <c r="W15" s="137">
        <v>0.01</v>
      </c>
      <c r="X15" s="137">
        <f t="shared" si="28"/>
        <v>0.367435890609927</v>
      </c>
      <c r="Y15" s="137">
        <f t="shared" si="29"/>
        <v>0.0442291035080121</v>
      </c>
      <c r="Z15" s="135">
        <v>0.158</v>
      </c>
      <c r="AA15" s="138">
        <f t="shared" si="30"/>
        <v>1.3854</v>
      </c>
      <c r="AB15" s="138">
        <f t="shared" si="31"/>
        <v>2.309</v>
      </c>
      <c r="AC15" s="138">
        <f t="shared" si="32"/>
        <v>0.2309</v>
      </c>
      <c r="AD15" s="131">
        <f t="shared" si="33"/>
        <v>3.64822</v>
      </c>
      <c r="AE15" s="131">
        <v>61</v>
      </c>
      <c r="AF15" s="139">
        <f t="shared" si="34"/>
        <v>53.9823008849558</v>
      </c>
      <c r="AG15" s="139">
        <v>8.8</v>
      </c>
      <c r="AH15" s="137">
        <f t="shared" si="35"/>
        <v>0.315933543741621</v>
      </c>
      <c r="AI15" s="137">
        <f t="shared" si="36"/>
        <v>0.0515023468683062</v>
      </c>
      <c r="AJ15" s="139">
        <v>8.8</v>
      </c>
      <c r="AK15" s="137"/>
      <c r="AL15" s="137"/>
      <c r="AM15" s="137"/>
      <c r="AN15" s="137"/>
      <c r="AO15" s="140"/>
      <c r="AP15" s="140"/>
      <c r="AQ15" s="140"/>
      <c r="AR15" s="140"/>
      <c r="AS15" s="140"/>
      <c r="AT15" s="140"/>
      <c r="AU15" s="140" t="s">
        <v>376</v>
      </c>
      <c r="AV15" s="140" t="s">
        <v>376</v>
      </c>
      <c r="AW15" s="140" t="s">
        <v>376</v>
      </c>
      <c r="AX15" s="140" t="s">
        <v>376</v>
      </c>
      <c r="AY15" s="140" t="s">
        <v>376</v>
      </c>
      <c r="AZ15" s="140" t="s">
        <v>376</v>
      </c>
      <c r="BA15" s="140" t="s">
        <v>376</v>
      </c>
      <c r="BB15" s="140" t="s">
        <v>376</v>
      </c>
      <c r="BC15" s="140" t="s">
        <v>376</v>
      </c>
      <c r="BD15" s="140" t="s">
        <v>376</v>
      </c>
      <c r="BE15" s="140" t="s">
        <v>376</v>
      </c>
      <c r="BF15" s="140" t="s">
        <v>376</v>
      </c>
      <c r="BG15" s="140" t="s">
        <v>376</v>
      </c>
      <c r="BH15" s="140" t="s">
        <v>376</v>
      </c>
      <c r="BI15" s="140" t="s">
        <v>376</v>
      </c>
      <c r="BJ15" s="140" t="s">
        <v>376</v>
      </c>
      <c r="BK15" s="140" t="s">
        <v>376</v>
      </c>
      <c r="BL15" s="140" t="s">
        <v>376</v>
      </c>
      <c r="BM15" s="140" t="s">
        <v>376</v>
      </c>
      <c r="BN15" s="140" t="s">
        <v>376</v>
      </c>
      <c r="BO15" s="140" t="s">
        <v>376</v>
      </c>
      <c r="BP15" s="140" t="s">
        <v>376</v>
      </c>
      <c r="BQ15" s="140" t="s">
        <v>376</v>
      </c>
      <c r="BR15" s="140" t="s">
        <v>376</v>
      </c>
      <c r="BS15" s="144" t="e">
        <f t="shared" si="37"/>
        <v>#NULL!</v>
      </c>
      <c r="BT15" s="142" t="s">
        <v>377</v>
      </c>
    </row>
    <row r="16" customHeight="1" spans="1:72">
      <c r="A16" s="127" t="s">
        <v>290</v>
      </c>
      <c r="B16" s="127" t="s">
        <v>511</v>
      </c>
      <c r="C16" s="127"/>
      <c r="D16" s="128"/>
      <c r="E16" s="129"/>
      <c r="F16" s="131">
        <f t="shared" si="18"/>
        <v>23.0923</v>
      </c>
      <c r="G16" s="143">
        <v>32.989</v>
      </c>
      <c r="H16" s="131" t="e">
        <f t="shared" si="19"/>
        <v>#NULL!</v>
      </c>
      <c r="I16" s="131" t="e">
        <f t="shared" si="20"/>
        <v>#NULL!</v>
      </c>
      <c r="J16" s="131">
        <v>23.09</v>
      </c>
      <c r="K16" s="143">
        <v>32.989</v>
      </c>
      <c r="L16" s="133">
        <f t="shared" si="21"/>
        <v>5.74363528581679</v>
      </c>
      <c r="M16" s="134">
        <f t="shared" si="22"/>
        <v>0.2487499041064</v>
      </c>
      <c r="N16" s="131">
        <f t="shared" si="23"/>
        <v>27.4908333333333</v>
      </c>
      <c r="O16" s="135">
        <f t="shared" si="24"/>
        <v>0.16008366425172</v>
      </c>
      <c r="P16" s="133">
        <f t="shared" si="25"/>
        <v>4.40083333333333</v>
      </c>
      <c r="Q16" s="131">
        <f t="shared" si="26"/>
        <v>62.7823008849558</v>
      </c>
      <c r="R16" s="131">
        <f t="shared" si="27"/>
        <v>1.28875</v>
      </c>
      <c r="S16" s="127">
        <v>16</v>
      </c>
      <c r="T16" s="136">
        <v>7.4</v>
      </c>
      <c r="U16" s="137">
        <v>0.06</v>
      </c>
      <c r="V16" s="137">
        <v>0.1</v>
      </c>
      <c r="W16" s="137">
        <v>0.01</v>
      </c>
      <c r="X16" s="137">
        <f t="shared" si="28"/>
        <v>0.367435890609927</v>
      </c>
      <c r="Y16" s="137">
        <f t="shared" si="29"/>
        <v>0.0558142052836726</v>
      </c>
      <c r="Z16" s="135">
        <v>0.158</v>
      </c>
      <c r="AA16" s="138">
        <f t="shared" si="30"/>
        <v>1.3854</v>
      </c>
      <c r="AB16" s="138">
        <f t="shared" si="31"/>
        <v>2.309</v>
      </c>
      <c r="AC16" s="138">
        <f t="shared" si="32"/>
        <v>0.2309</v>
      </c>
      <c r="AD16" s="131">
        <f t="shared" si="33"/>
        <v>3.64822</v>
      </c>
      <c r="AE16" s="131">
        <v>61</v>
      </c>
      <c r="AF16" s="139">
        <f t="shared" si="34"/>
        <v>53.9823008849558</v>
      </c>
      <c r="AG16" s="139">
        <v>8.8</v>
      </c>
      <c r="AH16" s="137">
        <f t="shared" si="35"/>
        <v>0.315933543741621</v>
      </c>
      <c r="AI16" s="137">
        <f t="shared" si="36"/>
        <v>0.0515023468683062</v>
      </c>
      <c r="AJ16" s="139">
        <v>8.8</v>
      </c>
      <c r="AK16" s="137"/>
      <c r="AL16" s="137"/>
      <c r="AM16" s="137"/>
      <c r="AN16" s="137"/>
      <c r="AO16" s="140"/>
      <c r="AP16" s="140"/>
      <c r="AQ16" s="140"/>
      <c r="AR16" s="140"/>
      <c r="AS16" s="140"/>
      <c r="AT16" s="140"/>
      <c r="AU16" s="140" t="s">
        <v>376</v>
      </c>
      <c r="AV16" s="140" t="s">
        <v>376</v>
      </c>
      <c r="AW16" s="140" t="s">
        <v>376</v>
      </c>
      <c r="AX16" s="140" t="s">
        <v>376</v>
      </c>
      <c r="AY16" s="140" t="s">
        <v>376</v>
      </c>
      <c r="AZ16" s="140" t="s">
        <v>376</v>
      </c>
      <c r="BA16" s="140" t="s">
        <v>376</v>
      </c>
      <c r="BB16" s="140" t="s">
        <v>376</v>
      </c>
      <c r="BC16" s="140" t="s">
        <v>376</v>
      </c>
      <c r="BD16" s="140" t="s">
        <v>376</v>
      </c>
      <c r="BE16" s="140" t="s">
        <v>376</v>
      </c>
      <c r="BF16" s="140" t="s">
        <v>376</v>
      </c>
      <c r="BG16" s="140" t="s">
        <v>376</v>
      </c>
      <c r="BH16" s="140" t="s">
        <v>376</v>
      </c>
      <c r="BI16" s="140" t="s">
        <v>376</v>
      </c>
      <c r="BJ16" s="140" t="s">
        <v>376</v>
      </c>
      <c r="BK16" s="140" t="s">
        <v>376</v>
      </c>
      <c r="BL16" s="140" t="s">
        <v>376</v>
      </c>
      <c r="BM16" s="140" t="s">
        <v>376</v>
      </c>
      <c r="BN16" s="140" t="s">
        <v>376</v>
      </c>
      <c r="BO16" s="140" t="s">
        <v>376</v>
      </c>
      <c r="BP16" s="140" t="s">
        <v>376</v>
      </c>
      <c r="BQ16" s="140" t="s">
        <v>376</v>
      </c>
      <c r="BR16" s="140" t="s">
        <v>376</v>
      </c>
      <c r="BS16" s="144" t="e">
        <f t="shared" si="37"/>
        <v>#NULL!</v>
      </c>
      <c r="BT16" s="142" t="s">
        <v>377</v>
      </c>
    </row>
    <row r="17" customHeight="1" spans="1:72">
      <c r="A17" s="127" t="s">
        <v>381</v>
      </c>
      <c r="B17" s="127" t="s">
        <v>511</v>
      </c>
      <c r="C17" s="127"/>
      <c r="D17" s="128"/>
      <c r="E17" s="129"/>
      <c r="F17" s="131">
        <f t="shared" si="18"/>
        <v>23.0923</v>
      </c>
      <c r="G17" s="143">
        <v>32.989</v>
      </c>
      <c r="H17" s="131" t="e">
        <f t="shared" si="19"/>
        <v>#NULL!</v>
      </c>
      <c r="I17" s="131" t="e">
        <f t="shared" si="20"/>
        <v>#NULL!</v>
      </c>
      <c r="J17" s="131">
        <v>23.09</v>
      </c>
      <c r="K17" s="143">
        <v>32.989</v>
      </c>
      <c r="L17" s="133">
        <f t="shared" si="21"/>
        <v>6.28238528581679</v>
      </c>
      <c r="M17" s="134">
        <f t="shared" si="22"/>
        <v>0.272082515626539</v>
      </c>
      <c r="N17" s="131">
        <f t="shared" si="23"/>
        <v>27.4908333333333</v>
      </c>
      <c r="O17" s="135">
        <f t="shared" si="24"/>
        <v>0.16008366425172</v>
      </c>
      <c r="P17" s="133">
        <f t="shared" si="25"/>
        <v>4.40083333333333</v>
      </c>
      <c r="Q17" s="131">
        <f t="shared" si="26"/>
        <v>62.7823008849558</v>
      </c>
      <c r="R17" s="131">
        <f t="shared" si="27"/>
        <v>0.75</v>
      </c>
      <c r="S17" s="127">
        <v>16</v>
      </c>
      <c r="T17" s="136">
        <v>7.4</v>
      </c>
      <c r="U17" s="137">
        <v>0.06</v>
      </c>
      <c r="V17" s="137">
        <v>0.1</v>
      </c>
      <c r="W17" s="137">
        <v>0.01</v>
      </c>
      <c r="X17" s="137">
        <f t="shared" si="28"/>
        <v>0.367435890609927</v>
      </c>
      <c r="Y17" s="137">
        <f t="shared" si="29"/>
        <v>0.032481593763534</v>
      </c>
      <c r="Z17" s="135">
        <v>0.158</v>
      </c>
      <c r="AA17" s="138">
        <f t="shared" si="30"/>
        <v>1.3854</v>
      </c>
      <c r="AB17" s="138">
        <f t="shared" si="31"/>
        <v>2.309</v>
      </c>
      <c r="AC17" s="138">
        <f t="shared" si="32"/>
        <v>0.2309</v>
      </c>
      <c r="AD17" s="131">
        <f t="shared" si="33"/>
        <v>3.64822</v>
      </c>
      <c r="AE17" s="131">
        <v>61</v>
      </c>
      <c r="AF17" s="139">
        <f t="shared" si="34"/>
        <v>53.9823008849558</v>
      </c>
      <c r="AG17" s="139">
        <v>8.8</v>
      </c>
      <c r="AH17" s="137">
        <f t="shared" si="35"/>
        <v>0.315933543741621</v>
      </c>
      <c r="AI17" s="137">
        <f t="shared" si="36"/>
        <v>0.0515023468683062</v>
      </c>
      <c r="AJ17" s="139">
        <v>8.8</v>
      </c>
      <c r="AK17" s="137"/>
      <c r="AL17" s="137"/>
      <c r="AM17" s="137"/>
      <c r="AN17" s="137"/>
      <c r="AO17" s="140"/>
      <c r="AP17" s="140"/>
      <c r="AQ17" s="140"/>
      <c r="AR17" s="140"/>
      <c r="AS17" s="140"/>
      <c r="AT17" s="140"/>
      <c r="AU17" s="140" t="s">
        <v>376</v>
      </c>
      <c r="AV17" s="140" t="s">
        <v>376</v>
      </c>
      <c r="AW17" s="140" t="s">
        <v>376</v>
      </c>
      <c r="AX17" s="140" t="s">
        <v>376</v>
      </c>
      <c r="AY17" s="140" t="s">
        <v>376</v>
      </c>
      <c r="AZ17" s="140" t="s">
        <v>376</v>
      </c>
      <c r="BA17" s="140" t="s">
        <v>376</v>
      </c>
      <c r="BB17" s="140" t="s">
        <v>376</v>
      </c>
      <c r="BC17" s="140" t="s">
        <v>376</v>
      </c>
      <c r="BD17" s="140" t="s">
        <v>376</v>
      </c>
      <c r="BE17" s="140" t="s">
        <v>376</v>
      </c>
      <c r="BF17" s="140" t="s">
        <v>376</v>
      </c>
      <c r="BG17" s="140" t="s">
        <v>376</v>
      </c>
      <c r="BH17" s="140" t="s">
        <v>376</v>
      </c>
      <c r="BI17" s="140" t="s">
        <v>376</v>
      </c>
      <c r="BJ17" s="140" t="s">
        <v>376</v>
      </c>
      <c r="BK17" s="140" t="s">
        <v>376</v>
      </c>
      <c r="BL17" s="140" t="s">
        <v>376</v>
      </c>
      <c r="BM17" s="140" t="s">
        <v>376</v>
      </c>
      <c r="BN17" s="140" t="s">
        <v>376</v>
      </c>
      <c r="BO17" s="140" t="s">
        <v>376</v>
      </c>
      <c r="BP17" s="140" t="s">
        <v>376</v>
      </c>
      <c r="BQ17" s="140" t="s">
        <v>376</v>
      </c>
      <c r="BR17" s="140" t="s">
        <v>376</v>
      </c>
      <c r="BS17" s="144" t="e">
        <f t="shared" si="37"/>
        <v>#NULL!</v>
      </c>
      <c r="BT17" s="142" t="s">
        <v>377</v>
      </c>
    </row>
    <row r="18" customHeight="1" spans="1:72">
      <c r="A18" s="127" t="s">
        <v>383</v>
      </c>
      <c r="B18" s="127" t="s">
        <v>511</v>
      </c>
      <c r="C18" s="127"/>
      <c r="D18" s="128"/>
      <c r="E18" s="129"/>
      <c r="F18" s="131">
        <f t="shared" si="18"/>
        <v>23.0923</v>
      </c>
      <c r="G18" s="143">
        <v>32.989</v>
      </c>
      <c r="H18" s="131" t="e">
        <f t="shared" si="19"/>
        <v>#NULL!</v>
      </c>
      <c r="I18" s="131" t="e">
        <f t="shared" si="20"/>
        <v>#NULL!</v>
      </c>
      <c r="J18" s="131">
        <v>23.09</v>
      </c>
      <c r="K18" s="143">
        <v>32.989</v>
      </c>
      <c r="L18" s="133">
        <f t="shared" si="21"/>
        <v>6.09113528581679</v>
      </c>
      <c r="M18" s="134">
        <f t="shared" si="22"/>
        <v>0.263799709216838</v>
      </c>
      <c r="N18" s="131">
        <f t="shared" si="23"/>
        <v>27.4908333333333</v>
      </c>
      <c r="O18" s="135">
        <f t="shared" si="24"/>
        <v>0.16008366425172</v>
      </c>
      <c r="P18" s="133">
        <f t="shared" si="25"/>
        <v>4.40083333333333</v>
      </c>
      <c r="Q18" s="131">
        <f t="shared" si="26"/>
        <v>62.7823008849558</v>
      </c>
      <c r="R18" s="131">
        <f t="shared" si="27"/>
        <v>0.94125</v>
      </c>
      <c r="S18" s="127">
        <v>16</v>
      </c>
      <c r="T18" s="136">
        <v>7.4</v>
      </c>
      <c r="U18" s="137">
        <v>0.06</v>
      </c>
      <c r="V18" s="137">
        <v>0.1</v>
      </c>
      <c r="W18" s="137">
        <v>0.01</v>
      </c>
      <c r="X18" s="137">
        <f t="shared" si="28"/>
        <v>0.367435890609927</v>
      </c>
      <c r="Y18" s="137">
        <f t="shared" si="29"/>
        <v>0.0407644001732352</v>
      </c>
      <c r="Z18" s="135">
        <v>0.158</v>
      </c>
      <c r="AA18" s="138">
        <f t="shared" si="30"/>
        <v>1.3854</v>
      </c>
      <c r="AB18" s="138">
        <f t="shared" si="31"/>
        <v>2.309</v>
      </c>
      <c r="AC18" s="138">
        <f t="shared" si="32"/>
        <v>0.2309</v>
      </c>
      <c r="AD18" s="131">
        <f t="shared" si="33"/>
        <v>3.64822</v>
      </c>
      <c r="AE18" s="131">
        <v>61</v>
      </c>
      <c r="AF18" s="139">
        <f t="shared" si="34"/>
        <v>53.9823008849558</v>
      </c>
      <c r="AG18" s="139">
        <v>8.8</v>
      </c>
      <c r="AH18" s="137">
        <f t="shared" si="35"/>
        <v>0.315933543741621</v>
      </c>
      <c r="AI18" s="137">
        <f t="shared" si="36"/>
        <v>0.0515023468683062</v>
      </c>
      <c r="AJ18" s="139">
        <v>8.8</v>
      </c>
      <c r="AK18" s="137"/>
      <c r="AL18" s="137"/>
      <c r="AM18" s="137"/>
      <c r="AN18" s="137"/>
      <c r="AO18" s="140"/>
      <c r="AP18" s="140"/>
      <c r="AQ18" s="140"/>
      <c r="AR18" s="140"/>
      <c r="AS18" s="140"/>
      <c r="AT18" s="140"/>
      <c r="AU18" s="140" t="s">
        <v>376</v>
      </c>
      <c r="AV18" s="140" t="s">
        <v>376</v>
      </c>
      <c r="AW18" s="140" t="s">
        <v>376</v>
      </c>
      <c r="AX18" s="140" t="s">
        <v>376</v>
      </c>
      <c r="AY18" s="140" t="s">
        <v>376</v>
      </c>
      <c r="AZ18" s="140" t="s">
        <v>376</v>
      </c>
      <c r="BA18" s="140" t="s">
        <v>376</v>
      </c>
      <c r="BB18" s="140" t="s">
        <v>376</v>
      </c>
      <c r="BC18" s="140" t="s">
        <v>376</v>
      </c>
      <c r="BD18" s="140" t="s">
        <v>376</v>
      </c>
      <c r="BE18" s="140" t="s">
        <v>376</v>
      </c>
      <c r="BF18" s="140" t="s">
        <v>376</v>
      </c>
      <c r="BG18" s="140" t="s">
        <v>376</v>
      </c>
      <c r="BH18" s="140" t="s">
        <v>376</v>
      </c>
      <c r="BI18" s="140" t="s">
        <v>376</v>
      </c>
      <c r="BJ18" s="140" t="s">
        <v>376</v>
      </c>
      <c r="BK18" s="140" t="s">
        <v>376</v>
      </c>
      <c r="BL18" s="140" t="s">
        <v>376</v>
      </c>
      <c r="BM18" s="140" t="s">
        <v>376</v>
      </c>
      <c r="BN18" s="140" t="s">
        <v>376</v>
      </c>
      <c r="BO18" s="140" t="s">
        <v>376</v>
      </c>
      <c r="BP18" s="140" t="s">
        <v>376</v>
      </c>
      <c r="BQ18" s="140" t="s">
        <v>376</v>
      </c>
      <c r="BR18" s="140" t="s">
        <v>376</v>
      </c>
      <c r="BS18" s="144" t="e">
        <f t="shared" si="37"/>
        <v>#NULL!</v>
      </c>
      <c r="BT18" s="142" t="s">
        <v>377</v>
      </c>
    </row>
    <row r="19" customHeight="1" spans="1:72">
      <c r="A19" s="127" t="s">
        <v>385</v>
      </c>
      <c r="B19" s="127" t="s">
        <v>511</v>
      </c>
      <c r="C19" s="127"/>
      <c r="D19" s="128"/>
      <c r="E19" s="129"/>
      <c r="F19" s="131">
        <f t="shared" si="18"/>
        <v>23.0923</v>
      </c>
      <c r="G19" s="143">
        <v>32.989</v>
      </c>
      <c r="H19" s="131" t="e">
        <f t="shared" si="19"/>
        <v>#NULL!</v>
      </c>
      <c r="I19" s="131" t="e">
        <f t="shared" si="20"/>
        <v>#NULL!</v>
      </c>
      <c r="J19" s="131">
        <v>23.09</v>
      </c>
      <c r="K19" s="143">
        <v>32.989</v>
      </c>
      <c r="L19" s="133">
        <f t="shared" si="21"/>
        <v>5.87613528581679</v>
      </c>
      <c r="M19" s="134">
        <f t="shared" si="22"/>
        <v>0.254488319004625</v>
      </c>
      <c r="N19" s="131">
        <f t="shared" si="23"/>
        <v>27.4908333333333</v>
      </c>
      <c r="O19" s="135">
        <f t="shared" si="24"/>
        <v>0.16008366425172</v>
      </c>
      <c r="P19" s="133">
        <f t="shared" si="25"/>
        <v>4.40083333333333</v>
      </c>
      <c r="Q19" s="131">
        <f t="shared" si="26"/>
        <v>62.7823008849558</v>
      </c>
      <c r="R19" s="131">
        <f t="shared" si="27"/>
        <v>1.15625</v>
      </c>
      <c r="S19" s="127">
        <v>16</v>
      </c>
      <c r="T19" s="136">
        <v>7.4</v>
      </c>
      <c r="U19" s="137">
        <v>0.06</v>
      </c>
      <c r="V19" s="137">
        <v>0.1</v>
      </c>
      <c r="W19" s="137">
        <v>0.01</v>
      </c>
      <c r="X19" s="137">
        <f t="shared" si="28"/>
        <v>0.367435890609927</v>
      </c>
      <c r="Y19" s="137">
        <f t="shared" si="29"/>
        <v>0.0500757903854482</v>
      </c>
      <c r="Z19" s="135">
        <v>0.158</v>
      </c>
      <c r="AA19" s="138">
        <f t="shared" si="30"/>
        <v>1.3854</v>
      </c>
      <c r="AB19" s="138">
        <f t="shared" si="31"/>
        <v>2.309</v>
      </c>
      <c r="AC19" s="138">
        <f t="shared" si="32"/>
        <v>0.2309</v>
      </c>
      <c r="AD19" s="131">
        <f t="shared" si="33"/>
        <v>3.64822</v>
      </c>
      <c r="AE19" s="131">
        <v>61</v>
      </c>
      <c r="AF19" s="139">
        <f t="shared" si="34"/>
        <v>53.9823008849558</v>
      </c>
      <c r="AG19" s="139">
        <v>8.8</v>
      </c>
      <c r="AH19" s="137">
        <f t="shared" si="35"/>
        <v>0.315933543741621</v>
      </c>
      <c r="AI19" s="137">
        <f t="shared" si="36"/>
        <v>0.0515023468683062</v>
      </c>
      <c r="AJ19" s="139">
        <v>8.8</v>
      </c>
      <c r="AK19" s="137"/>
      <c r="AL19" s="137"/>
      <c r="AM19" s="137"/>
      <c r="AN19" s="137"/>
      <c r="AO19" s="140"/>
      <c r="AP19" s="140"/>
      <c r="AQ19" s="140"/>
      <c r="AR19" s="140"/>
      <c r="AS19" s="140"/>
      <c r="AT19" s="140"/>
      <c r="AU19" s="140" t="s">
        <v>376</v>
      </c>
      <c r="AV19" s="140" t="s">
        <v>376</v>
      </c>
      <c r="AW19" s="140" t="s">
        <v>376</v>
      </c>
      <c r="AX19" s="140" t="s">
        <v>376</v>
      </c>
      <c r="AY19" s="140" t="s">
        <v>376</v>
      </c>
      <c r="AZ19" s="140" t="s">
        <v>376</v>
      </c>
      <c r="BA19" s="140" t="s">
        <v>376</v>
      </c>
      <c r="BB19" s="140" t="s">
        <v>376</v>
      </c>
      <c r="BC19" s="140" t="s">
        <v>376</v>
      </c>
      <c r="BD19" s="140" t="s">
        <v>376</v>
      </c>
      <c r="BE19" s="140" t="s">
        <v>376</v>
      </c>
      <c r="BF19" s="140" t="s">
        <v>376</v>
      </c>
      <c r="BG19" s="140" t="s">
        <v>376</v>
      </c>
      <c r="BH19" s="140" t="s">
        <v>376</v>
      </c>
      <c r="BI19" s="140" t="s">
        <v>376</v>
      </c>
      <c r="BJ19" s="140" t="s">
        <v>376</v>
      </c>
      <c r="BK19" s="140" t="s">
        <v>376</v>
      </c>
      <c r="BL19" s="140" t="s">
        <v>376</v>
      </c>
      <c r="BM19" s="140" t="s">
        <v>376</v>
      </c>
      <c r="BN19" s="140" t="s">
        <v>376</v>
      </c>
      <c r="BO19" s="140" t="s">
        <v>376</v>
      </c>
      <c r="BP19" s="140" t="s">
        <v>376</v>
      </c>
      <c r="BQ19" s="140" t="s">
        <v>376</v>
      </c>
      <c r="BR19" s="140" t="s">
        <v>376</v>
      </c>
      <c r="BS19" s="144" t="e">
        <f t="shared" si="37"/>
        <v>#NULL!</v>
      </c>
      <c r="BT19" s="142" t="s">
        <v>377</v>
      </c>
    </row>
    <row r="20" customHeight="1" spans="1:72">
      <c r="A20" s="127" t="s">
        <v>387</v>
      </c>
      <c r="B20" s="127" t="s">
        <v>511</v>
      </c>
      <c r="C20" s="127"/>
      <c r="D20" s="128"/>
      <c r="E20" s="129"/>
      <c r="F20" s="131">
        <f t="shared" si="18"/>
        <v>23.0923</v>
      </c>
      <c r="G20" s="143">
        <v>32.989</v>
      </c>
      <c r="H20" s="131" t="e">
        <f t="shared" si="19"/>
        <v>#NULL!</v>
      </c>
      <c r="I20" s="131" t="e">
        <f t="shared" si="20"/>
        <v>#NULL!</v>
      </c>
      <c r="J20" s="131">
        <v>23.09</v>
      </c>
      <c r="K20" s="143">
        <v>32.989</v>
      </c>
      <c r="L20" s="133">
        <f t="shared" si="21"/>
        <v>6.07801028581679</v>
      </c>
      <c r="M20" s="134">
        <f t="shared" si="22"/>
        <v>0.263231281325976</v>
      </c>
      <c r="N20" s="131">
        <f t="shared" si="23"/>
        <v>27.4908333333333</v>
      </c>
      <c r="O20" s="135">
        <f t="shared" si="24"/>
        <v>0.16008366425172</v>
      </c>
      <c r="P20" s="133">
        <f t="shared" si="25"/>
        <v>4.40083333333333</v>
      </c>
      <c r="Q20" s="131">
        <f t="shared" si="26"/>
        <v>62.7823008849558</v>
      </c>
      <c r="R20" s="131">
        <f t="shared" si="27"/>
        <v>0.954375</v>
      </c>
      <c r="S20" s="127">
        <v>16</v>
      </c>
      <c r="T20" s="136">
        <v>7.4</v>
      </c>
      <c r="U20" s="137">
        <v>0.06</v>
      </c>
      <c r="V20" s="137">
        <v>0.1</v>
      </c>
      <c r="W20" s="137">
        <v>0.01</v>
      </c>
      <c r="X20" s="137">
        <f t="shared" si="28"/>
        <v>0.367435890609927</v>
      </c>
      <c r="Y20" s="137">
        <f t="shared" si="29"/>
        <v>0.041332828064097</v>
      </c>
      <c r="Z20" s="135">
        <v>0.158</v>
      </c>
      <c r="AA20" s="138">
        <f t="shared" si="30"/>
        <v>1.3854</v>
      </c>
      <c r="AB20" s="138">
        <f t="shared" si="31"/>
        <v>2.309</v>
      </c>
      <c r="AC20" s="138">
        <f t="shared" si="32"/>
        <v>0.2309</v>
      </c>
      <c r="AD20" s="131">
        <f t="shared" si="33"/>
        <v>3.64822</v>
      </c>
      <c r="AE20" s="131">
        <v>61</v>
      </c>
      <c r="AF20" s="139">
        <f t="shared" si="34"/>
        <v>53.9823008849558</v>
      </c>
      <c r="AG20" s="139">
        <v>8.8</v>
      </c>
      <c r="AH20" s="137">
        <f t="shared" si="35"/>
        <v>0.315933543741621</v>
      </c>
      <c r="AI20" s="137">
        <f t="shared" si="36"/>
        <v>0.0515023468683062</v>
      </c>
      <c r="AJ20" s="139">
        <v>8.8</v>
      </c>
      <c r="AK20" s="137"/>
      <c r="AL20" s="137"/>
      <c r="AM20" s="137"/>
      <c r="AN20" s="137"/>
      <c r="AO20" s="140"/>
      <c r="AP20" s="140"/>
      <c r="AQ20" s="140"/>
      <c r="AR20" s="140"/>
      <c r="AS20" s="140"/>
      <c r="AT20" s="140"/>
      <c r="AU20" s="140" t="s">
        <v>376</v>
      </c>
      <c r="AV20" s="140" t="s">
        <v>376</v>
      </c>
      <c r="AW20" s="140" t="s">
        <v>376</v>
      </c>
      <c r="AX20" s="140" t="s">
        <v>376</v>
      </c>
      <c r="AY20" s="140" t="s">
        <v>376</v>
      </c>
      <c r="AZ20" s="140" t="s">
        <v>376</v>
      </c>
      <c r="BA20" s="140" t="s">
        <v>376</v>
      </c>
      <c r="BB20" s="140" t="s">
        <v>376</v>
      </c>
      <c r="BC20" s="140" t="s">
        <v>376</v>
      </c>
      <c r="BD20" s="140" t="s">
        <v>376</v>
      </c>
      <c r="BE20" s="140" t="s">
        <v>376</v>
      </c>
      <c r="BF20" s="140" t="s">
        <v>376</v>
      </c>
      <c r="BG20" s="140" t="s">
        <v>376</v>
      </c>
      <c r="BH20" s="140" t="s">
        <v>376</v>
      </c>
      <c r="BI20" s="140" t="s">
        <v>376</v>
      </c>
      <c r="BJ20" s="140" t="s">
        <v>376</v>
      </c>
      <c r="BK20" s="140" t="s">
        <v>376</v>
      </c>
      <c r="BL20" s="140" t="s">
        <v>376</v>
      </c>
      <c r="BM20" s="140" t="s">
        <v>376</v>
      </c>
      <c r="BN20" s="140" t="s">
        <v>376</v>
      </c>
      <c r="BO20" s="140" t="s">
        <v>376</v>
      </c>
      <c r="BP20" s="140" t="s">
        <v>376</v>
      </c>
      <c r="BQ20" s="140" t="s">
        <v>376</v>
      </c>
      <c r="BR20" s="140" t="s">
        <v>376</v>
      </c>
      <c r="BS20" s="144" t="e">
        <f t="shared" si="37"/>
        <v>#NULL!</v>
      </c>
      <c r="BT20" s="142" t="s">
        <v>377</v>
      </c>
    </row>
  </sheetData>
  <conditionalFormatting sqref="M2">
    <cfRule type="cellIs" dxfId="2" priority="66" operator="lessThanOrEqual">
      <formula>0</formula>
    </cfRule>
  </conditionalFormatting>
  <conditionalFormatting sqref="M7:M20">
    <cfRule type="cellIs" dxfId="2" priority="23" operator="lessThanOrEqual">
      <formula>0</formula>
    </cfRule>
  </conditionalFormatting>
  <conditionalFormatting sqref="M9:M20">
    <cfRule type="cellIs" dxfId="2" priority="1" operator="lessThanOrEqual">
      <formula>0</formula>
    </cfRule>
  </conditionalFormatting>
  <conditionalFormatting sqref="L1:M1 Q1:R1 AA1">
    <cfRule type="cellIs" dxfId="2" priority="132" operator="lessThanOrEqual">
      <formula>0</formula>
    </cfRule>
  </conditionalFormatting>
  <conditionalFormatting sqref="L2:L20 M7:M20 AA7:AC20">
    <cfRule type="cellIs" dxfId="2" priority="45" operator="lessThanOrEqual">
      <formula>0</formula>
    </cfRule>
  </conditionalFormatting>
  <conditionalFormatting sqref="M2 AA2:AC2">
    <cfRule type="cellIs" dxfId="2" priority="90" operator="lessThanOrEqual">
      <formula>0</formula>
    </cfRule>
  </conditionalFormatting>
  <conditionalFormatting sqref="M3:M6 M10:M20 AA3:AC6 AA10:AC20">
    <cfRule type="cellIs" dxfId="2" priority="7" operator="lessThanOrEqual">
      <formula>0</formula>
    </cfRule>
  </conditionalFormatting>
  <conditionalFormatting sqref="M7:M20 AA7:AC20">
    <cfRule type="cellIs" dxfId="2" priority="14" operator="lessThanOrEqual">
      <formula>0</formula>
    </cfRule>
  </conditionalFormatting>
  <conditionalFormatting sqref="M9:M20 AA9:AC20">
    <cfRule type="cellIs" dxfId="2" priority="3" operator="lessThanOrEqual">
      <formula>0</formula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0"/>
  <sheetViews>
    <sheetView showGridLines="0" workbookViewId="0">
      <selection activeCell="A1" sqref="A1"/>
    </sheetView>
  </sheetViews>
  <sheetFormatPr defaultColWidth="17" defaultRowHeight="16.5" customHeight="1"/>
  <cols>
    <col min="1" max="1" width="5.76041666666667" customWidth="1"/>
    <col min="2" max="2" width="8.72916666666667" customWidth="1"/>
    <col min="3" max="9" width="14.3229166666667" customWidth="1"/>
    <col min="10" max="10" width="26.1875" customWidth="1"/>
    <col min="11" max="11" width="3.13541666666667" customWidth="1"/>
    <col min="12" max="18" width="9.60416666666667" customWidth="1"/>
    <col min="19" max="19" width="3.13541666666667" customWidth="1"/>
    <col min="20" max="20" width="13.1041666666667" customWidth="1"/>
  </cols>
  <sheetData>
    <row r="1" ht="11.25" customHeight="1" spans="1:20">
      <c r="A1" s="60"/>
      <c r="B1" s="60"/>
      <c r="C1" s="60"/>
      <c r="D1" s="61"/>
      <c r="E1" s="61"/>
      <c r="F1" s="61"/>
      <c r="G1" s="60"/>
      <c r="H1" s="60"/>
      <c r="I1" s="60"/>
      <c r="J1" s="60"/>
      <c r="K1" s="60"/>
      <c r="L1" s="60"/>
      <c r="M1" s="62"/>
      <c r="N1" s="62"/>
      <c r="O1" s="62"/>
      <c r="P1" s="62"/>
      <c r="Q1" s="62"/>
      <c r="R1" s="62"/>
      <c r="S1" s="62"/>
      <c r="T1" s="60"/>
    </row>
    <row r="2" ht="45" customHeight="1" spans="1:20">
      <c r="A2" s="60"/>
      <c r="B2" s="63" t="s">
        <v>512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2"/>
      <c r="T2" s="60"/>
    </row>
    <row r="3" ht="11.25" customHeight="1" spans="1:20">
      <c r="A3" s="60"/>
      <c r="B3" s="60"/>
      <c r="C3" s="60"/>
      <c r="D3" s="61"/>
      <c r="E3" s="61"/>
      <c r="F3" s="61"/>
      <c r="G3" s="60"/>
      <c r="H3" s="60"/>
      <c r="I3" s="60"/>
      <c r="J3" s="60"/>
      <c r="K3" s="60"/>
      <c r="L3" s="60"/>
      <c r="M3" s="62"/>
      <c r="N3" s="62"/>
      <c r="O3" s="62"/>
      <c r="P3" s="62"/>
      <c r="Q3" s="62"/>
      <c r="R3" s="62"/>
      <c r="S3" s="62"/>
      <c r="T3" s="60"/>
    </row>
    <row r="4" ht="23.25" customHeight="1" spans="1:20">
      <c r="A4" s="60"/>
      <c r="B4" s="64" t="s">
        <v>513</v>
      </c>
      <c r="C4" s="64" t="s">
        <v>514</v>
      </c>
      <c r="D4" s="65" t="s">
        <v>515</v>
      </c>
      <c r="E4" s="65" t="s">
        <v>516</v>
      </c>
      <c r="F4" s="65" t="s">
        <v>517</v>
      </c>
      <c r="G4" s="64" t="s">
        <v>518</v>
      </c>
      <c r="H4" s="64" t="s">
        <v>519</v>
      </c>
      <c r="I4" s="64" t="s">
        <v>520</v>
      </c>
      <c r="J4" s="64" t="s">
        <v>212</v>
      </c>
      <c r="K4" s="60"/>
      <c r="L4" s="66"/>
      <c r="M4" s="67"/>
      <c r="N4" s="67"/>
      <c r="O4" s="68"/>
      <c r="P4" s="68"/>
      <c r="Q4" s="68"/>
      <c r="R4" s="69"/>
      <c r="S4" s="62"/>
      <c r="T4" s="60"/>
    </row>
    <row r="5" ht="20.25" customHeight="1" spans="1:20">
      <c r="A5" s="60"/>
      <c r="B5" s="70">
        <v>1</v>
      </c>
      <c r="C5" s="70" t="s">
        <v>521</v>
      </c>
      <c r="D5" s="71">
        <v>44350</v>
      </c>
      <c r="E5" s="71">
        <v>44356</v>
      </c>
      <c r="F5" s="70">
        <f ca="1" t="shared" ref="F5:F14" si="0">IF(TODAY()-D5&lt;0,0,TODAY()-D5)</f>
        <v>1631</v>
      </c>
      <c r="G5" s="70">
        <f ca="1" t="shared" ref="G5:G14" si="1">IF(E5&lt;TODAY(),0,E5-TODAY())</f>
        <v>0</v>
      </c>
      <c r="H5" s="70" t="s">
        <v>522</v>
      </c>
      <c r="I5" s="70" t="s">
        <v>523</v>
      </c>
      <c r="J5" s="70"/>
      <c r="K5" s="60"/>
      <c r="L5" s="72">
        <v>2025</v>
      </c>
      <c r="M5" s="73"/>
      <c r="N5" s="74">
        <v>3</v>
      </c>
      <c r="O5" s="75"/>
      <c r="P5" s="76"/>
      <c r="Q5" s="76"/>
      <c r="R5" s="77"/>
      <c r="S5" s="62"/>
      <c r="T5" s="60"/>
    </row>
    <row r="6" ht="20.25" customHeight="1" spans="1:20">
      <c r="A6" s="60"/>
      <c r="B6" s="78">
        <v>2</v>
      </c>
      <c r="C6" s="78" t="s">
        <v>524</v>
      </c>
      <c r="D6" s="79">
        <v>44351</v>
      </c>
      <c r="E6" s="79">
        <v>44359</v>
      </c>
      <c r="F6" s="78">
        <f ca="1" t="shared" si="0"/>
        <v>1630</v>
      </c>
      <c r="G6" s="78">
        <f ca="1" t="shared" si="1"/>
        <v>0</v>
      </c>
      <c r="H6" s="78" t="s">
        <v>522</v>
      </c>
      <c r="I6" s="78" t="s">
        <v>525</v>
      </c>
      <c r="J6" s="78"/>
      <c r="K6" s="60"/>
      <c r="L6" s="80">
        <v>3</v>
      </c>
      <c r="M6" s="81" t="s">
        <v>526</v>
      </c>
      <c r="N6" s="81" t="s">
        <v>527</v>
      </c>
      <c r="O6" s="81" t="s">
        <v>528</v>
      </c>
      <c r="P6" s="81" t="s">
        <v>529</v>
      </c>
      <c r="Q6" s="81" t="s">
        <v>530</v>
      </c>
      <c r="R6" s="82" t="s">
        <v>531</v>
      </c>
      <c r="S6" s="83"/>
      <c r="T6" s="60"/>
    </row>
    <row r="7" ht="20.25" customHeight="1" spans="1:20">
      <c r="A7" s="60"/>
      <c r="B7" s="70">
        <v>3</v>
      </c>
      <c r="C7" s="70" t="s">
        <v>532</v>
      </c>
      <c r="D7" s="71">
        <v>44353</v>
      </c>
      <c r="E7" s="71">
        <v>44363</v>
      </c>
      <c r="F7" s="70">
        <f ca="1" t="shared" si="0"/>
        <v>1628</v>
      </c>
      <c r="G7" s="70">
        <f ca="1" t="shared" si="1"/>
        <v>0</v>
      </c>
      <c r="H7" s="70" t="s">
        <v>522</v>
      </c>
      <c r="I7" s="70" t="s">
        <v>533</v>
      </c>
      <c r="J7" s="70"/>
      <c r="K7" s="60"/>
      <c r="L7" s="84">
        <f>DATE($C$39,$D$39,1)-WEEKDAY(DATE(M36,N36,1),2)</f>
        <v>45711</v>
      </c>
      <c r="M7" s="85">
        <f t="shared" ref="M7:R7" si="2">L7+1</f>
        <v>45712</v>
      </c>
      <c r="N7" s="85">
        <f t="shared" si="2"/>
        <v>45713</v>
      </c>
      <c r="O7" s="85">
        <f t="shared" si="2"/>
        <v>45714</v>
      </c>
      <c r="P7" s="85">
        <f t="shared" si="2"/>
        <v>45715</v>
      </c>
      <c r="Q7" s="85">
        <f t="shared" si="2"/>
        <v>45716</v>
      </c>
      <c r="R7" s="86">
        <f t="shared" si="2"/>
        <v>45717</v>
      </c>
      <c r="S7" s="87"/>
      <c r="T7" s="60"/>
    </row>
    <row r="8" ht="20.25" customHeight="1" spans="1:20">
      <c r="A8" s="60"/>
      <c r="B8" s="78">
        <v>4</v>
      </c>
      <c r="C8" s="78" t="s">
        <v>534</v>
      </c>
      <c r="D8" s="79">
        <v>44353</v>
      </c>
      <c r="E8" s="79">
        <v>44363</v>
      </c>
      <c r="F8" s="78">
        <f ca="1" t="shared" si="0"/>
        <v>1628</v>
      </c>
      <c r="G8" s="78">
        <f ca="1" t="shared" si="1"/>
        <v>0</v>
      </c>
      <c r="H8" s="78" t="s">
        <v>522</v>
      </c>
      <c r="I8" s="78" t="s">
        <v>523</v>
      </c>
      <c r="J8" s="78"/>
      <c r="K8" s="60"/>
      <c r="L8" s="84">
        <f>R7+1</f>
        <v>45718</v>
      </c>
      <c r="M8" s="85">
        <f t="shared" ref="M8:R8" si="3">L8+1</f>
        <v>45719</v>
      </c>
      <c r="N8" s="85">
        <f t="shared" si="3"/>
        <v>45720</v>
      </c>
      <c r="O8" s="85">
        <f t="shared" si="3"/>
        <v>45721</v>
      </c>
      <c r="P8" s="85">
        <f t="shared" si="3"/>
        <v>45722</v>
      </c>
      <c r="Q8" s="85">
        <f t="shared" si="3"/>
        <v>45723</v>
      </c>
      <c r="R8" s="86">
        <f t="shared" si="3"/>
        <v>45724</v>
      </c>
      <c r="S8" s="87"/>
      <c r="T8" s="60"/>
    </row>
    <row r="9" ht="20.25" customHeight="1" spans="1:20">
      <c r="A9" s="60"/>
      <c r="B9" s="70">
        <v>5</v>
      </c>
      <c r="C9" s="70" t="s">
        <v>535</v>
      </c>
      <c r="D9" s="71">
        <v>44354</v>
      </c>
      <c r="E9" s="71">
        <v>44366</v>
      </c>
      <c r="F9" s="70">
        <f ca="1" t="shared" si="0"/>
        <v>1627</v>
      </c>
      <c r="G9" s="70">
        <f ca="1" t="shared" si="1"/>
        <v>0</v>
      </c>
      <c r="H9" s="70" t="s">
        <v>522</v>
      </c>
      <c r="I9" s="70" t="s">
        <v>525</v>
      </c>
      <c r="J9" s="70"/>
      <c r="K9" s="60"/>
      <c r="L9" s="84">
        <f>R8+1</f>
        <v>45725</v>
      </c>
      <c r="M9" s="85">
        <f t="shared" ref="M9:R9" si="4">L9+1</f>
        <v>45726</v>
      </c>
      <c r="N9" s="85">
        <f t="shared" si="4"/>
        <v>45727</v>
      </c>
      <c r="O9" s="85">
        <f t="shared" si="4"/>
        <v>45728</v>
      </c>
      <c r="P9" s="85">
        <f t="shared" si="4"/>
        <v>45729</v>
      </c>
      <c r="Q9" s="85">
        <f t="shared" si="4"/>
        <v>45730</v>
      </c>
      <c r="R9" s="86">
        <f t="shared" si="4"/>
        <v>45731</v>
      </c>
      <c r="S9" s="87"/>
      <c r="T9" s="60"/>
    </row>
    <row r="10" ht="20.25" customHeight="1" spans="1:20">
      <c r="A10" s="60"/>
      <c r="B10" s="78">
        <v>6</v>
      </c>
      <c r="C10" s="78" t="s">
        <v>536</v>
      </c>
      <c r="D10" s="79">
        <v>44355</v>
      </c>
      <c r="E10" s="79">
        <v>44368</v>
      </c>
      <c r="F10" s="78">
        <f ca="1" t="shared" si="0"/>
        <v>1626</v>
      </c>
      <c r="G10" s="78">
        <f ca="1" t="shared" si="1"/>
        <v>0</v>
      </c>
      <c r="H10" s="78" t="s">
        <v>522</v>
      </c>
      <c r="I10" s="78" t="s">
        <v>525</v>
      </c>
      <c r="J10" s="78"/>
      <c r="K10" s="60"/>
      <c r="L10" s="84">
        <f>R9+1</f>
        <v>45732</v>
      </c>
      <c r="M10" s="85">
        <f t="shared" ref="M10:R10" si="5">L10+1</f>
        <v>45733</v>
      </c>
      <c r="N10" s="85">
        <f t="shared" si="5"/>
        <v>45734</v>
      </c>
      <c r="O10" s="85">
        <f t="shared" si="5"/>
        <v>45735</v>
      </c>
      <c r="P10" s="85">
        <f t="shared" si="5"/>
        <v>45736</v>
      </c>
      <c r="Q10" s="85">
        <f t="shared" si="5"/>
        <v>45737</v>
      </c>
      <c r="R10" s="86">
        <f t="shared" si="5"/>
        <v>45738</v>
      </c>
      <c r="S10" s="87"/>
      <c r="T10" s="60"/>
    </row>
    <row r="11" ht="20.25" customHeight="1" spans="1:20">
      <c r="A11" s="60"/>
      <c r="B11" s="70">
        <v>7</v>
      </c>
      <c r="C11" s="70" t="s">
        <v>537</v>
      </c>
      <c r="D11" s="71">
        <v>44356</v>
      </c>
      <c r="E11" s="71">
        <v>44371</v>
      </c>
      <c r="F11" s="70">
        <f ca="1" t="shared" si="0"/>
        <v>1625</v>
      </c>
      <c r="G11" s="70">
        <f ca="1" t="shared" si="1"/>
        <v>0</v>
      </c>
      <c r="H11" s="70" t="s">
        <v>522</v>
      </c>
      <c r="I11" s="70" t="s">
        <v>533</v>
      </c>
      <c r="J11" s="70"/>
      <c r="K11" s="60"/>
      <c r="L11" s="84">
        <f>R10+1</f>
        <v>45739</v>
      </c>
      <c r="M11" s="85">
        <f t="shared" ref="M11:R11" si="6">L11+1</f>
        <v>45740</v>
      </c>
      <c r="N11" s="85">
        <f t="shared" si="6"/>
        <v>45741</v>
      </c>
      <c r="O11" s="85">
        <f t="shared" si="6"/>
        <v>45742</v>
      </c>
      <c r="P11" s="85">
        <f t="shared" si="6"/>
        <v>45743</v>
      </c>
      <c r="Q11" s="85">
        <f t="shared" si="6"/>
        <v>45744</v>
      </c>
      <c r="R11" s="86">
        <f t="shared" si="6"/>
        <v>45745</v>
      </c>
      <c r="S11" s="87"/>
      <c r="T11" s="60"/>
    </row>
    <row r="12" ht="20.25" customHeight="1" spans="1:20">
      <c r="A12" s="60"/>
      <c r="B12" s="78">
        <v>8</v>
      </c>
      <c r="C12" s="78" t="s">
        <v>538</v>
      </c>
      <c r="D12" s="79">
        <v>44359</v>
      </c>
      <c r="E12" s="79">
        <v>44378</v>
      </c>
      <c r="F12" s="78">
        <f ca="1" t="shared" si="0"/>
        <v>1622</v>
      </c>
      <c r="G12" s="78">
        <f ca="1" t="shared" si="1"/>
        <v>0</v>
      </c>
      <c r="H12" s="78" t="s">
        <v>522</v>
      </c>
      <c r="I12" s="78" t="s">
        <v>533</v>
      </c>
      <c r="J12" s="78"/>
      <c r="K12" s="60"/>
      <c r="L12" s="84">
        <f>R11+1</f>
        <v>45746</v>
      </c>
      <c r="M12" s="85">
        <f t="shared" ref="M12:R12" si="7">L12+1</f>
        <v>45747</v>
      </c>
      <c r="N12" s="85">
        <f t="shared" si="7"/>
        <v>45748</v>
      </c>
      <c r="O12" s="85">
        <f t="shared" si="7"/>
        <v>45749</v>
      </c>
      <c r="P12" s="85">
        <f t="shared" si="7"/>
        <v>45750</v>
      </c>
      <c r="Q12" s="85">
        <f t="shared" si="7"/>
        <v>45751</v>
      </c>
      <c r="R12" s="86">
        <f t="shared" si="7"/>
        <v>45752</v>
      </c>
      <c r="S12" s="87"/>
      <c r="T12" s="60"/>
    </row>
    <row r="13" ht="20.25" customHeight="1" spans="1:20">
      <c r="A13" s="60"/>
      <c r="B13" s="70">
        <v>9</v>
      </c>
      <c r="C13" s="70" t="s">
        <v>539</v>
      </c>
      <c r="D13" s="71">
        <v>44363</v>
      </c>
      <c r="E13" s="71">
        <v>44376</v>
      </c>
      <c r="F13" s="70">
        <f ca="1" t="shared" si="0"/>
        <v>1618</v>
      </c>
      <c r="G13" s="70">
        <f ca="1" t="shared" si="1"/>
        <v>0</v>
      </c>
      <c r="H13" s="70" t="s">
        <v>522</v>
      </c>
      <c r="I13" s="70" t="s">
        <v>523</v>
      </c>
      <c r="J13" s="70"/>
      <c r="K13" s="60"/>
      <c r="L13" s="88"/>
      <c r="M13" s="89"/>
      <c r="N13" s="89"/>
      <c r="O13" s="89"/>
      <c r="P13" s="89"/>
      <c r="Q13" s="89"/>
      <c r="R13" s="90"/>
      <c r="S13" s="91"/>
      <c r="T13" s="60"/>
    </row>
    <row r="14" ht="20.25" customHeight="1" spans="1:20">
      <c r="A14" s="60"/>
      <c r="B14" s="78">
        <v>10</v>
      </c>
      <c r="C14" s="78" t="s">
        <v>540</v>
      </c>
      <c r="D14" s="79">
        <v>44370</v>
      </c>
      <c r="E14" s="79">
        <v>44377</v>
      </c>
      <c r="F14" s="78">
        <f ca="1" t="shared" si="0"/>
        <v>1611</v>
      </c>
      <c r="G14" s="78">
        <f ca="1" t="shared" si="1"/>
        <v>0</v>
      </c>
      <c r="H14" s="78" t="s">
        <v>522</v>
      </c>
      <c r="I14" s="78" t="s">
        <v>525</v>
      </c>
      <c r="J14" s="78"/>
      <c r="K14" s="60"/>
      <c r="L14" s="62"/>
      <c r="M14" s="62"/>
      <c r="N14" s="62"/>
      <c r="O14" s="62"/>
      <c r="P14" s="62"/>
      <c r="Q14" s="62"/>
      <c r="R14" s="62"/>
      <c r="S14" s="62"/>
      <c r="T14" s="60"/>
    </row>
    <row r="15" ht="20.25" customHeight="1" spans="1:20">
      <c r="L15" s="92" t="s">
        <v>541</v>
      </c>
      <c r="M15" s="92"/>
      <c r="N15" s="92"/>
      <c r="O15" s="92"/>
      <c r="P15" s="92"/>
      <c r="Q15" s="92"/>
      <c r="R15" s="92"/>
      <c r="S15" s="62"/>
    </row>
    <row r="16" ht="20.25" customHeight="1" spans="1:20">
      <c r="L16" s="92"/>
      <c r="M16" s="92"/>
      <c r="N16" s="92"/>
      <c r="O16" s="92"/>
      <c r="P16" s="92"/>
      <c r="Q16" s="92"/>
      <c r="R16" s="92"/>
      <c r="S16" s="62"/>
    </row>
    <row r="17" ht="24.75" customHeight="1" spans="10:20">
      <c r="J17" s="60"/>
      <c r="K17" s="60"/>
      <c r="L17" s="93" t="s">
        <v>542</v>
      </c>
      <c r="M17" s="94"/>
      <c r="N17" s="94"/>
      <c r="O17" s="94"/>
      <c r="P17" s="94"/>
      <c r="Q17" s="94"/>
      <c r="R17" s="95" t="b">
        <v>1</v>
      </c>
      <c r="S17" s="62"/>
      <c r="T17" s="60"/>
    </row>
    <row r="18" ht="24.75" customHeight="1" spans="10:20">
      <c r="J18" s="60"/>
      <c r="K18" s="60"/>
      <c r="L18" s="96" t="s">
        <v>543</v>
      </c>
      <c r="M18" s="97"/>
      <c r="N18" s="97"/>
      <c r="O18" s="97"/>
      <c r="P18" s="97"/>
      <c r="Q18" s="97"/>
      <c r="R18" s="95" t="b">
        <v>0</v>
      </c>
      <c r="S18" s="62"/>
      <c r="T18" s="60"/>
    </row>
    <row r="19" ht="24.75" customHeight="1" spans="10:20">
      <c r="L19" s="96" t="s">
        <v>544</v>
      </c>
      <c r="M19" s="97"/>
      <c r="N19" s="97"/>
      <c r="O19" s="97"/>
      <c r="P19" s="97"/>
      <c r="Q19" s="97"/>
      <c r="R19" s="95" t="b">
        <v>0</v>
      </c>
      <c r="S19" s="62"/>
      <c r="T19" s="60"/>
    </row>
    <row r="20" ht="24.75" customHeight="1" spans="10:20">
      <c r="L20" s="96" t="s">
        <v>545</v>
      </c>
      <c r="M20" s="97"/>
      <c r="N20" s="97"/>
      <c r="O20" s="97"/>
      <c r="P20" s="97"/>
      <c r="Q20" s="97"/>
      <c r="R20" s="95" t="b">
        <v>0</v>
      </c>
      <c r="S20" s="62"/>
      <c r="T20" s="60"/>
    </row>
    <row r="21" ht="24.75" customHeight="1" spans="10:20">
      <c r="L21" s="96"/>
      <c r="M21" s="97"/>
      <c r="N21" s="97"/>
      <c r="O21" s="97"/>
      <c r="P21" s="97"/>
      <c r="Q21" s="97"/>
      <c r="R21" s="95" t="b">
        <v>0</v>
      </c>
      <c r="S21" s="62"/>
      <c r="T21" s="60"/>
    </row>
    <row r="22" ht="24.75" customHeight="1" spans="10:20">
      <c r="L22" s="96"/>
      <c r="M22" s="97"/>
      <c r="N22" s="97"/>
      <c r="O22" s="97"/>
      <c r="P22" s="97"/>
      <c r="Q22" s="97"/>
      <c r="R22" s="95" t="b">
        <v>0</v>
      </c>
      <c r="S22" s="62"/>
      <c r="T22" s="60"/>
    </row>
    <row r="23" ht="24.75" customHeight="1" spans="10:20">
      <c r="L23" s="96"/>
      <c r="M23" s="97"/>
      <c r="N23" s="97"/>
      <c r="O23" s="97"/>
      <c r="P23" s="97"/>
      <c r="Q23" s="97"/>
      <c r="R23" s="98" t="b">
        <v>0</v>
      </c>
      <c r="S23" s="62"/>
      <c r="T23" s="60"/>
    </row>
    <row r="24" ht="24.75" customHeight="1" spans="10:20">
      <c r="L24" s="96"/>
      <c r="M24" s="97"/>
      <c r="N24" s="97"/>
      <c r="O24" s="97"/>
      <c r="P24" s="97"/>
      <c r="Q24" s="97"/>
      <c r="R24" s="98" t="b">
        <v>0</v>
      </c>
      <c r="S24" s="62"/>
      <c r="T24" s="60"/>
    </row>
    <row r="25" ht="24.75" customHeight="1" spans="10:20">
      <c r="L25" s="96"/>
      <c r="M25" s="97"/>
      <c r="N25" s="97"/>
      <c r="O25" s="97"/>
      <c r="P25" s="97"/>
      <c r="Q25" s="97"/>
      <c r="R25" s="98" t="b">
        <v>0</v>
      </c>
      <c r="S25" s="62"/>
      <c r="T25" s="60"/>
    </row>
    <row r="26" ht="24.75" customHeight="1" spans="10:20">
      <c r="L26" s="96"/>
      <c r="M26" s="97"/>
      <c r="N26" s="97"/>
      <c r="O26" s="97"/>
      <c r="P26" s="97"/>
      <c r="Q26" s="97"/>
      <c r="R26" s="98" t="b">
        <v>0</v>
      </c>
      <c r="S26" s="62"/>
      <c r="T26" s="60"/>
    </row>
    <row r="27" ht="24.75" customHeight="1" spans="10:20">
      <c r="L27" s="96"/>
      <c r="M27" s="97"/>
      <c r="N27" s="97"/>
      <c r="O27" s="97"/>
      <c r="P27" s="97"/>
      <c r="Q27" s="97"/>
      <c r="R27" s="98" t="b">
        <v>0</v>
      </c>
      <c r="S27" s="62"/>
      <c r="T27" s="60"/>
    </row>
    <row r="28" ht="20.25" customHeight="1" spans="10:20">
      <c r="L28" s="62"/>
      <c r="M28" s="62"/>
      <c r="N28" s="62"/>
      <c r="O28" s="62"/>
      <c r="P28" s="62"/>
      <c r="Q28" s="62"/>
      <c r="R28" s="62"/>
      <c r="S28" s="62"/>
    </row>
    <row r="29" ht="20.25" customHeight="1" spans="10:20">
      <c r="L29" s="62"/>
      <c r="M29" s="62"/>
      <c r="N29" s="62"/>
      <c r="O29" s="62"/>
      <c r="P29" s="62"/>
      <c r="Q29" s="62"/>
      <c r="R29" s="62"/>
      <c r="S29" s="62"/>
    </row>
    <row r="30" ht="20.25" customHeight="1" spans="10:20">
      <c r="L30" s="62"/>
      <c r="M30" s="62"/>
      <c r="N30" s="62"/>
      <c r="O30" s="62"/>
      <c r="P30" s="62"/>
      <c r="Q30" s="62"/>
      <c r="R30" s="62"/>
      <c r="S30" s="62"/>
    </row>
    <row r="31" ht="20.25" customHeight="1" spans="10:20">
      <c r="L31" s="62"/>
      <c r="M31" s="62"/>
      <c r="N31" s="62"/>
      <c r="O31" s="62"/>
      <c r="P31" s="62"/>
      <c r="Q31" s="62"/>
      <c r="R31" s="62"/>
      <c r="S31" s="62"/>
    </row>
    <row r="32" ht="20.25" customHeight="1" spans="10:20">
      <c r="L32" s="62"/>
      <c r="M32" s="62"/>
      <c r="N32" s="62"/>
      <c r="O32" s="62"/>
      <c r="P32" s="62"/>
      <c r="Q32" s="62"/>
      <c r="R32" s="62"/>
      <c r="S32" s="62"/>
    </row>
    <row r="33" ht="20.25" customHeight="1" spans="1:20">
      <c r="L33" s="62"/>
      <c r="M33" s="62"/>
      <c r="N33" s="62"/>
      <c r="O33" s="62"/>
      <c r="P33" s="62"/>
      <c r="Q33" s="62"/>
      <c r="R33" s="62"/>
      <c r="S33" s="62"/>
    </row>
    <row r="34" ht="20.25" customHeight="1" spans="1:20">
      <c r="L34" s="62"/>
      <c r="M34" s="62"/>
      <c r="N34" s="62"/>
      <c r="O34" s="62"/>
      <c r="P34" s="62"/>
      <c r="Q34" s="62"/>
      <c r="R34" s="62"/>
      <c r="S34" s="62"/>
    </row>
    <row r="35" ht="19.5" customHeight="1" spans="1:20">
      <c r="L35" s="62"/>
      <c r="M35" s="62"/>
      <c r="N35" s="62"/>
      <c r="O35" s="62"/>
      <c r="P35" s="62"/>
      <c r="Q35" s="62"/>
      <c r="R35" s="62"/>
      <c r="S35" s="62"/>
    </row>
    <row r="36" ht="20.25" customHeight="1" spans="1:20">
      <c r="L36" s="99"/>
      <c r="M36" s="99">
        <f>L5</f>
        <v>2025</v>
      </c>
      <c r="N36" s="100">
        <f>N5</f>
        <v>3</v>
      </c>
      <c r="O36" s="99"/>
      <c r="P36" s="99"/>
      <c r="Q36" s="99"/>
      <c r="R36" s="99"/>
      <c r="S36" s="99"/>
      <c r="T36" s="100"/>
    </row>
    <row r="37" ht="20.25" customHeight="1" spans="1:20">
      <c r="L37" s="62"/>
      <c r="M37" s="62"/>
      <c r="N37" s="62"/>
      <c r="O37" s="62"/>
      <c r="P37" s="62"/>
      <c r="Q37" s="62"/>
      <c r="R37" s="62"/>
      <c r="S37" s="62"/>
    </row>
    <row r="38" ht="20.25" customHeight="1" spans="1:20">
      <c r="L38" s="62"/>
      <c r="M38" s="62"/>
      <c r="N38" s="62"/>
      <c r="O38" s="62"/>
      <c r="P38" s="62"/>
      <c r="Q38" s="62"/>
      <c r="R38" s="62"/>
      <c r="S38" s="62"/>
    </row>
    <row r="39" ht="20.25" customHeight="1" spans="1:20">
      <c r="A39" s="100"/>
      <c r="B39" s="100"/>
      <c r="C39" s="100">
        <f>L5</f>
        <v>2025</v>
      </c>
      <c r="D39" s="100">
        <f>N5</f>
        <v>3</v>
      </c>
      <c r="E39" s="100"/>
      <c r="F39" s="100"/>
      <c r="G39" s="100"/>
      <c r="H39" s="100"/>
      <c r="I39" s="100"/>
      <c r="J39" s="100"/>
      <c r="K39" s="100"/>
      <c r="L39" s="62"/>
      <c r="M39" s="62"/>
      <c r="N39" s="62"/>
      <c r="O39" s="62"/>
      <c r="P39" s="62"/>
      <c r="Q39" s="62"/>
      <c r="R39" s="62"/>
      <c r="S39" s="62"/>
      <c r="T39" s="60"/>
    </row>
    <row r="40" ht="20.25" customHeight="1" spans="1:20">
      <c r="L40" s="62"/>
      <c r="M40" s="62"/>
      <c r="N40" s="62"/>
      <c r="O40" s="62"/>
      <c r="P40" s="62"/>
      <c r="Q40" s="62"/>
      <c r="R40" s="62"/>
      <c r="S40" s="62"/>
    </row>
    <row r="41" ht="20.25" customHeight="1" spans="1:20">
      <c r="L41" s="62"/>
      <c r="M41" s="62"/>
      <c r="N41" s="62"/>
      <c r="O41" s="62"/>
      <c r="P41" s="62"/>
      <c r="Q41" s="62"/>
      <c r="R41" s="62"/>
      <c r="S41" s="62"/>
    </row>
    <row r="42" ht="20.25" customHeight="1" spans="1:20">
      <c r="L42" s="62"/>
      <c r="M42" s="62"/>
      <c r="N42" s="62"/>
      <c r="O42" s="62"/>
      <c r="P42" s="62"/>
      <c r="Q42" s="62"/>
      <c r="R42" s="62"/>
      <c r="S42" s="62"/>
    </row>
    <row r="43" ht="20.25" customHeight="1" spans="1:20">
      <c r="L43" s="62"/>
      <c r="M43" s="62"/>
      <c r="N43" s="62"/>
      <c r="O43" s="62"/>
      <c r="P43" s="62"/>
      <c r="Q43" s="62"/>
      <c r="R43" s="62"/>
      <c r="S43" s="62"/>
    </row>
    <row r="44" ht="20.25" customHeight="1" spans="1:20">
      <c r="L44" s="62"/>
      <c r="M44" s="62"/>
      <c r="N44" s="62"/>
      <c r="O44" s="62"/>
      <c r="P44" s="62"/>
      <c r="Q44" s="62"/>
      <c r="R44" s="62"/>
      <c r="S44" s="62"/>
    </row>
    <row r="45" ht="20.25" customHeight="1" spans="1:20">
      <c r="L45" s="62"/>
      <c r="M45" s="62"/>
      <c r="N45" s="62"/>
      <c r="O45" s="62"/>
      <c r="P45" s="62"/>
      <c r="Q45" s="62"/>
      <c r="R45" s="62"/>
      <c r="S45" s="62"/>
    </row>
    <row r="46" ht="20.25" customHeight="1" spans="1:20">
      <c r="L46" s="62"/>
      <c r="M46" s="62"/>
      <c r="N46" s="62"/>
      <c r="O46" s="62"/>
      <c r="P46" s="62"/>
      <c r="Q46" s="62"/>
      <c r="R46" s="62"/>
      <c r="S46" s="62"/>
    </row>
    <row r="47" ht="20.25" customHeight="1" spans="1:20">
      <c r="L47" s="62"/>
      <c r="M47" s="62"/>
      <c r="N47" s="62"/>
      <c r="O47" s="62"/>
      <c r="P47" s="62"/>
      <c r="Q47" s="62"/>
      <c r="R47" s="62"/>
      <c r="S47" s="62"/>
    </row>
    <row r="48" ht="20.25" customHeight="1" spans="1:20">
      <c r="L48" s="62"/>
      <c r="M48" s="62"/>
      <c r="N48" s="62"/>
      <c r="O48" s="62"/>
      <c r="P48" s="62"/>
      <c r="Q48" s="62"/>
      <c r="R48" s="62"/>
      <c r="S48" s="62"/>
    </row>
    <row r="49" ht="20.25" customHeight="1" spans="12:19">
      <c r="L49" s="62"/>
      <c r="M49" s="62"/>
      <c r="N49" s="62"/>
      <c r="O49" s="62"/>
      <c r="P49" s="62"/>
      <c r="Q49" s="62"/>
      <c r="R49" s="62"/>
      <c r="S49" s="62"/>
    </row>
    <row r="50" ht="20.25" customHeight="1" spans="12:19">
      <c r="L50" s="62"/>
      <c r="M50" s="62"/>
      <c r="N50" s="62"/>
      <c r="O50" s="62"/>
      <c r="P50" s="62"/>
      <c r="Q50" s="62"/>
      <c r="R50" s="62"/>
      <c r="S50" s="62"/>
    </row>
    <row r="51" ht="20.25" customHeight="1" spans="12:19">
      <c r="L51" s="62"/>
      <c r="M51" s="62"/>
      <c r="N51" s="62"/>
      <c r="O51" s="62"/>
      <c r="P51" s="62"/>
      <c r="Q51" s="62"/>
      <c r="R51" s="62"/>
      <c r="S51" s="62"/>
    </row>
    <row r="52" ht="20.25" customHeight="1" spans="12:19">
      <c r="L52" s="62"/>
      <c r="M52" s="62"/>
      <c r="N52" s="62"/>
      <c r="O52" s="62"/>
      <c r="P52" s="62"/>
      <c r="Q52" s="62"/>
      <c r="R52" s="62"/>
      <c r="S52" s="62"/>
    </row>
    <row r="53" ht="20.25" customHeight="1" spans="12:19">
      <c r="L53" s="62"/>
      <c r="M53" s="62"/>
      <c r="N53" s="62"/>
      <c r="O53" s="62"/>
      <c r="P53" s="62"/>
      <c r="Q53" s="62"/>
      <c r="R53" s="62"/>
      <c r="S53" s="62"/>
    </row>
    <row r="54" ht="20.25" customHeight="1" spans="12:19">
      <c r="L54" s="62"/>
      <c r="M54" s="62"/>
      <c r="N54" s="62"/>
      <c r="O54" s="62"/>
      <c r="P54" s="62"/>
      <c r="Q54" s="62"/>
      <c r="R54" s="62"/>
      <c r="S54" s="62"/>
    </row>
    <row r="55" ht="20.25" customHeight="1" spans="12:19">
      <c r="L55" s="62"/>
      <c r="M55" s="62"/>
      <c r="N55" s="62"/>
      <c r="O55" s="62"/>
      <c r="P55" s="62"/>
      <c r="Q55" s="62"/>
      <c r="R55" s="62"/>
      <c r="S55" s="62"/>
    </row>
    <row r="56" ht="20.25" customHeight="1" spans="12:19">
      <c r="L56" s="62"/>
      <c r="M56" s="62"/>
      <c r="N56" s="62"/>
      <c r="O56" s="62"/>
      <c r="P56" s="62"/>
      <c r="Q56" s="62"/>
      <c r="R56" s="62"/>
      <c r="S56" s="62"/>
    </row>
    <row r="57" ht="20.25" customHeight="1" spans="12:19">
      <c r="L57" s="62"/>
      <c r="M57" s="62"/>
      <c r="N57" s="62"/>
      <c r="O57" s="62"/>
      <c r="P57" s="62"/>
      <c r="Q57" s="62"/>
      <c r="R57" s="62"/>
      <c r="S57" s="62"/>
    </row>
    <row r="58" ht="20.25" customHeight="1" spans="12:19">
      <c r="L58" s="62"/>
      <c r="M58" s="62"/>
      <c r="N58" s="62"/>
      <c r="O58" s="62"/>
      <c r="P58" s="62"/>
      <c r="Q58" s="62"/>
      <c r="R58" s="62"/>
      <c r="S58" s="62"/>
    </row>
    <row r="59" ht="20.25" customHeight="1" spans="12:19">
      <c r="L59" s="62"/>
      <c r="M59" s="62"/>
      <c r="N59" s="62"/>
      <c r="O59" s="62"/>
      <c r="P59" s="62"/>
      <c r="Q59" s="62"/>
      <c r="R59" s="62"/>
      <c r="S59" s="62"/>
    </row>
    <row r="60" ht="20.25" customHeight="1" spans="12:19">
      <c r="L60" s="62"/>
      <c r="M60" s="62"/>
      <c r="N60" s="62"/>
      <c r="O60" s="62"/>
      <c r="P60" s="62"/>
      <c r="Q60" s="62"/>
      <c r="R60" s="62"/>
      <c r="S60" s="62"/>
    </row>
    <row r="61" ht="11.4"/>
    <row r="62" ht="11.4"/>
    <row r="63" ht="11.4"/>
    <row r="64" ht="11.4"/>
    <row r="65" ht="11.4"/>
    <row r="66" ht="11.4"/>
    <row r="67" ht="11.4"/>
    <row r="68" ht="11.4"/>
    <row r="69" ht="11.4"/>
    <row r="70" ht="11.4"/>
    <row r="71" ht="11.4"/>
    <row r="72" ht="11.4"/>
    <row r="73" ht="11.4"/>
    <row r="74" ht="11.4"/>
    <row r="75" ht="11.4"/>
    <row r="76" ht="11.4"/>
    <row r="77" ht="11.4"/>
    <row r="78" ht="11.4"/>
    <row r="79" ht="11.4"/>
    <row r="80" ht="11.4"/>
    <row r="81" ht="11.4"/>
    <row r="82" ht="11.4"/>
    <row r="83" ht="11.4"/>
    <row r="84" ht="11.4"/>
    <row r="85" ht="11.4"/>
    <row r="86" ht="11.4"/>
    <row r="87" ht="11.4"/>
    <row r="88" ht="11.4"/>
    <row r="89" ht="11.4"/>
    <row r="90" ht="11.4"/>
    <row r="91" ht="11.4"/>
    <row r="92" ht="11.4"/>
    <row r="93" ht="11.4"/>
    <row r="94" ht="11.4"/>
    <row r="95" ht="11.4"/>
    <row r="96" ht="11.4"/>
    <row r="97" ht="11.4"/>
    <row r="98" ht="11.4"/>
    <row r="99" ht="11.4"/>
    <row r="100" ht="11.4"/>
    <row r="101" ht="11.4"/>
    <row r="102" ht="11.4"/>
    <row r="103" ht="11.4"/>
    <row r="104" ht="11.4"/>
    <row r="105" ht="11.4"/>
    <row r="106" ht="11.4"/>
    <row r="107" ht="11.4"/>
    <row r="108" ht="11.4"/>
    <row r="109" ht="11.4"/>
    <row r="110" ht="11.4"/>
    <row r="111" ht="11.4"/>
    <row r="112" ht="11.4"/>
    <row r="113" ht="11.4"/>
    <row r="114" ht="11.4"/>
    <row r="115" ht="11.4"/>
    <row r="116" ht="11.4"/>
    <row r="117" ht="11.4"/>
    <row r="118" ht="11.4"/>
    <row r="119" ht="11.4"/>
    <row r="120" ht="11.4"/>
    <row r="121" ht="11.4"/>
    <row r="122" ht="11.4"/>
    <row r="123" ht="11.4"/>
    <row r="124" ht="11.4"/>
    <row r="125" ht="11.4"/>
    <row r="126" ht="11.4"/>
    <row r="127" ht="11.4"/>
    <row r="128" ht="11.4"/>
    <row r="129" ht="11.4"/>
    <row r="130" ht="11.4"/>
    <row r="131" ht="11.4"/>
    <row r="132" ht="11.4"/>
    <row r="133" ht="11.4"/>
    <row r="134" ht="11.4"/>
    <row r="135" ht="11.4"/>
    <row r="136" ht="11.4"/>
    <row r="137" ht="11.4"/>
    <row r="138" ht="11.4"/>
    <row r="139" ht="11.4"/>
    <row r="140" ht="11.4"/>
    <row r="141" ht="11.4"/>
    <row r="142" ht="11.4"/>
    <row r="143" ht="11.4"/>
    <row r="144" ht="11.4"/>
    <row r="145" ht="11.4"/>
    <row r="146" ht="11.4"/>
    <row r="147" ht="11.4"/>
    <row r="148" ht="11.4"/>
    <row r="149" ht="11.4"/>
    <row r="150" ht="11.4"/>
    <row r="151" ht="11.4"/>
    <row r="152" ht="11.4"/>
    <row r="153" ht="11.4"/>
    <row r="154" ht="11.4"/>
    <row r="155" ht="11.4"/>
    <row r="156" ht="11.4"/>
    <row r="157" ht="11.4"/>
    <row r="158" ht="11.4"/>
    <row r="159" ht="11.4"/>
    <row r="160" ht="11.4"/>
    <row r="161" ht="11.4"/>
    <row r="162" ht="11.4"/>
    <row r="163" ht="11.4"/>
    <row r="164" ht="11.4"/>
    <row r="165" ht="11.4"/>
    <row r="166" ht="11.4"/>
    <row r="167" ht="11.4"/>
    <row r="168" ht="11.4"/>
    <row r="169" ht="11.4"/>
    <row r="170" ht="11.4"/>
    <row r="171" ht="11.4"/>
    <row r="172" ht="11.4"/>
    <row r="173" ht="11.4"/>
    <row r="174" ht="11.4"/>
    <row r="175" ht="11.4"/>
    <row r="176" ht="11.4"/>
    <row r="177" ht="11.4"/>
    <row r="178" ht="11.4"/>
    <row r="179" ht="11.4"/>
    <row r="180" ht="11.4"/>
    <row r="181" ht="11.4"/>
    <row r="182" ht="11.4"/>
    <row r="183" ht="11.4"/>
    <row r="184" ht="11.4"/>
    <row r="185" ht="11.4"/>
    <row r="186" ht="11.4"/>
    <row r="187" ht="11.4"/>
    <row r="188" ht="11.4"/>
    <row r="189" ht="11.4"/>
    <row r="190" ht="11.4"/>
    <row r="191" ht="11.4"/>
    <row r="192" ht="11.4"/>
    <row r="193" ht="11.4"/>
    <row r="194" ht="11.4"/>
    <row r="195" ht="11.4"/>
    <row r="196" ht="11.4"/>
    <row r="197" ht="11.4"/>
    <row r="198" ht="11.4"/>
    <row r="199" ht="11.4"/>
    <row r="200" ht="11.4"/>
  </sheetData>
  <mergeCells count="14">
    <mergeCell ref="B2:R2"/>
    <mergeCell ref="L5:M5"/>
    <mergeCell ref="L17:Q17"/>
    <mergeCell ref="L18:Q18"/>
    <mergeCell ref="L19:Q19"/>
    <mergeCell ref="L20:Q20"/>
    <mergeCell ref="L21:Q21"/>
    <mergeCell ref="L22:Q22"/>
    <mergeCell ref="L23:Q23"/>
    <mergeCell ref="L24:Q24"/>
    <mergeCell ref="L25:Q25"/>
    <mergeCell ref="L26:Q26"/>
    <mergeCell ref="L27:Q27"/>
    <mergeCell ref="L15:R16"/>
  </mergeCells>
  <conditionalFormatting sqref="L6:R6">
    <cfRule type="expression" dxfId="3" priority="6">
      <formula>MONTH(L6)&lt;&gt;$D$39</formula>
    </cfRule>
  </conditionalFormatting>
  <conditionalFormatting sqref="I5:I14">
    <cfRule type="containsText" dxfId="4" priority="1" operator="between" text="中等">
      <formula>NOT(ISERROR(SEARCH("中等",I5)))</formula>
    </cfRule>
    <cfRule type="containsText" dxfId="5" priority="2" operator="between" text="重要">
      <formula>NOT(ISERROR(SEARCH("重要",I5)))</formula>
    </cfRule>
    <cfRule type="containsText" dxfId="6" priority="4" operator="between" text="日常">
      <formula>NOT(ISERROR(SEARCH("日常",I5)))</formula>
    </cfRule>
  </conditionalFormatting>
  <conditionalFormatting sqref="L17:L27">
    <cfRule type="expression" dxfId="7" priority="3">
      <formula>$R17=TRUE</formula>
    </cfRule>
  </conditionalFormatting>
  <conditionalFormatting sqref="L7:R12">
    <cfRule type="expression" dxfId="8" priority="5">
      <formula>$L$7:$R$12=TODAY()</formula>
    </cfRule>
  </conditionalFormatting>
  <conditionalFormatting sqref="L7:S12">
    <cfRule type="expression" dxfId="3" priority="7">
      <formula>MONTH(L7)&lt;&gt;$D$39</formula>
    </cfRule>
  </conditionalFormatting>
  <dataValidations count="1">
    <dataValidation type="list" allowBlank="1" showErrorMessage="1" error="输入一个列表中的值" sqref="I5:I14" errorStyle="warning" showDropDown="1">
      <formula1>"重要,中等,日常"</formula1>
    </dataValidation>
  </dataValidation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206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K31" sqref="K31"/>
    </sheetView>
  </sheetViews>
  <sheetFormatPr defaultColWidth="17" defaultRowHeight="16.5" customHeight="1"/>
  <cols>
    <col min="1" max="1" width="7.51041666666667" customWidth="1"/>
    <col min="2" max="2" width="15.1875" customWidth="1"/>
    <col min="3" max="3" width="21.6458333333333" customWidth="1"/>
    <col min="4" max="4" width="14.84375" customWidth="1"/>
    <col min="5" max="5" width="10.6458333333333" customWidth="1"/>
    <col min="6" max="6" width="12.0520833333333" customWidth="1"/>
    <col min="7" max="7" width="16.59375" customWidth="1"/>
    <col min="8" max="8" width="6.625" customWidth="1"/>
    <col min="9" max="9" width="9.94791666666667" customWidth="1"/>
    <col min="10" max="10" width="12.5729166666667" customWidth="1"/>
    <col min="11" max="11" width="9.60416666666667" customWidth="1"/>
    <col min="12" max="15" width="16.59375" customWidth="1"/>
    <col min="16" max="16" width="20.0833333333333" customWidth="1"/>
    <col min="17" max="17" width="39.4583333333333" customWidth="1"/>
    <col min="18" max="20" width="16.59375" customWidth="1"/>
    <col min="21" max="21" width="19.7291666666667" customWidth="1"/>
    <col min="22" max="23" width="35.7916666666667" customWidth="1"/>
    <col min="24" max="24" width="16.59375" customWidth="1"/>
    <col min="25" max="25" width="12.9166666666667" customWidth="1"/>
    <col min="26" max="27" width="11.5208333333333" customWidth="1"/>
    <col min="28" max="72" width="16.59375" customWidth="1"/>
    <col min="73" max="73" width="26.5416666666667" customWidth="1"/>
    <col min="74" max="74" width="20.9479166666667" customWidth="1"/>
    <col min="75" max="75" width="20.6041666666667" customWidth="1"/>
    <col min="76" max="77" width="16.59375" customWidth="1"/>
  </cols>
  <sheetData>
    <row r="1" customHeight="1" spans="1:77">
      <c r="A1" s="22" t="s">
        <v>0</v>
      </c>
      <c r="B1" s="22"/>
      <c r="C1" s="23" t="s">
        <v>3</v>
      </c>
      <c r="D1" s="23" t="s">
        <v>546</v>
      </c>
      <c r="E1" s="23" t="s">
        <v>547</v>
      </c>
      <c r="F1" s="23"/>
      <c r="G1" s="23" t="s">
        <v>548</v>
      </c>
      <c r="H1" s="23" t="s">
        <v>345</v>
      </c>
      <c r="I1" s="23" t="s">
        <v>549</v>
      </c>
      <c r="J1" s="23"/>
      <c r="K1" s="23" t="s">
        <v>550</v>
      </c>
      <c r="L1" s="23" t="s">
        <v>551</v>
      </c>
      <c r="M1" s="23" t="s">
        <v>552</v>
      </c>
      <c r="N1" s="23" t="s">
        <v>553</v>
      </c>
      <c r="O1" s="24" t="s">
        <v>554</v>
      </c>
      <c r="P1" s="23" t="s">
        <v>555</v>
      </c>
      <c r="Q1" s="24" t="s">
        <v>556</v>
      </c>
      <c r="R1" s="22" t="s">
        <v>557</v>
      </c>
      <c r="S1" s="25" t="s">
        <v>558</v>
      </c>
      <c r="T1" s="23" t="s">
        <v>559</v>
      </c>
      <c r="U1" s="22" t="s">
        <v>560</v>
      </c>
      <c r="V1" s="22" t="s">
        <v>561</v>
      </c>
      <c r="W1" s="23" t="s">
        <v>562</v>
      </c>
      <c r="X1" s="23" t="s">
        <v>563</v>
      </c>
      <c r="Y1" s="23" t="s">
        <v>564</v>
      </c>
      <c r="Z1" s="23" t="s">
        <v>565</v>
      </c>
      <c r="AA1" s="23" t="s">
        <v>566</v>
      </c>
      <c r="AB1" s="22" t="s">
        <v>567</v>
      </c>
      <c r="AC1" s="23" t="s">
        <v>568</v>
      </c>
      <c r="AD1" s="23" t="s">
        <v>569</v>
      </c>
      <c r="AE1" s="23" t="s">
        <v>570</v>
      </c>
      <c r="AF1" s="23" t="s">
        <v>571</v>
      </c>
      <c r="AG1" s="23" t="s">
        <v>572</v>
      </c>
      <c r="AH1" s="22" t="s">
        <v>573</v>
      </c>
      <c r="AI1" s="22" t="s">
        <v>574</v>
      </c>
      <c r="AJ1" s="22" t="s">
        <v>575</v>
      </c>
      <c r="AK1" s="22" t="s">
        <v>576</v>
      </c>
      <c r="AL1" s="22" t="s">
        <v>577</v>
      </c>
      <c r="AM1" s="22" t="s">
        <v>578</v>
      </c>
      <c r="AN1" s="22" t="s">
        <v>579</v>
      </c>
      <c r="AO1" s="22" t="s">
        <v>580</v>
      </c>
      <c r="AP1" s="22" t="s">
        <v>573</v>
      </c>
      <c r="AQ1" s="22" t="s">
        <v>581</v>
      </c>
      <c r="AR1" s="22" t="s">
        <v>582</v>
      </c>
      <c r="AS1" s="22" t="s">
        <v>583</v>
      </c>
      <c r="AT1" s="22" t="s">
        <v>584</v>
      </c>
      <c r="AU1" s="23" t="s">
        <v>585</v>
      </c>
      <c r="AV1" s="23" t="s">
        <v>586</v>
      </c>
      <c r="AW1" s="23" t="s">
        <v>587</v>
      </c>
      <c r="AX1" s="23" t="s">
        <v>588</v>
      </c>
      <c r="AY1" s="23" t="s">
        <v>589</v>
      </c>
      <c r="AZ1" s="23" t="s">
        <v>590</v>
      </c>
      <c r="BA1" s="23" t="s">
        <v>591</v>
      </c>
      <c r="BB1" s="23" t="s">
        <v>592</v>
      </c>
      <c r="BC1" s="23" t="s">
        <v>593</v>
      </c>
      <c r="BD1" s="23" t="s">
        <v>594</v>
      </c>
      <c r="BE1" s="23" t="s">
        <v>595</v>
      </c>
      <c r="BF1" s="23" t="s">
        <v>596</v>
      </c>
      <c r="BG1" s="23" t="s">
        <v>597</v>
      </c>
      <c r="BH1" s="23" t="s">
        <v>598</v>
      </c>
      <c r="BI1" s="23" t="s">
        <v>599</v>
      </c>
      <c r="BJ1" s="23" t="s">
        <v>600</v>
      </c>
      <c r="BK1" s="23" t="s">
        <v>601</v>
      </c>
      <c r="BL1" s="23" t="s">
        <v>602</v>
      </c>
      <c r="BM1" s="23" t="s">
        <v>603</v>
      </c>
      <c r="BN1" s="23" t="s">
        <v>604</v>
      </c>
      <c r="BO1" s="23" t="s">
        <v>605</v>
      </c>
      <c r="BP1" s="22" t="s">
        <v>606</v>
      </c>
      <c r="BQ1" s="23" t="s">
        <v>607</v>
      </c>
      <c r="BR1" s="23" t="s">
        <v>608</v>
      </c>
      <c r="BS1" s="23" t="s">
        <v>609</v>
      </c>
      <c r="BT1" s="23" t="s">
        <v>610</v>
      </c>
      <c r="BU1" s="26" t="s">
        <v>611</v>
      </c>
      <c r="BV1" s="27" t="s">
        <v>612</v>
      </c>
      <c r="BW1" s="28" t="s">
        <v>613</v>
      </c>
      <c r="BX1" s="22" t="s">
        <v>614</v>
      </c>
      <c r="BY1" s="22" t="s">
        <v>615</v>
      </c>
    </row>
    <row r="2" customHeight="1" spans="1:77">
      <c r="A2" s="29" t="s">
        <v>616</v>
      </c>
      <c r="B2" s="29"/>
      <c r="C2" s="30" t="s">
        <v>617</v>
      </c>
      <c r="D2" s="31">
        <v>45734</v>
      </c>
      <c r="E2" s="29" t="s">
        <v>618</v>
      </c>
      <c r="F2" s="15"/>
      <c r="G2" s="15" t="s">
        <v>619</v>
      </c>
      <c r="H2" s="30" t="s">
        <v>280</v>
      </c>
      <c r="I2" s="30" t="s">
        <v>620</v>
      </c>
      <c r="J2" s="30"/>
      <c r="K2" s="29" t="s">
        <v>621</v>
      </c>
      <c r="L2" s="32" t="s">
        <v>622</v>
      </c>
      <c r="M2" s="30" t="s">
        <v>623</v>
      </c>
      <c r="N2" s="30" t="s">
        <v>624</v>
      </c>
      <c r="O2" s="33" t="s">
        <v>625</v>
      </c>
      <c r="P2" s="29" t="s">
        <v>626</v>
      </c>
      <c r="Q2" s="33" t="s">
        <v>627</v>
      </c>
      <c r="R2" s="34" t="s">
        <v>628</v>
      </c>
      <c r="S2" s="35" t="s">
        <v>629</v>
      </c>
      <c r="T2" s="30" t="s">
        <v>623</v>
      </c>
      <c r="U2" s="30"/>
      <c r="V2" s="35" t="s">
        <v>630</v>
      </c>
      <c r="W2" s="30" t="s">
        <v>631</v>
      </c>
      <c r="X2" s="29" t="s">
        <v>632</v>
      </c>
      <c r="Y2" s="36">
        <v>432</v>
      </c>
      <c r="Z2" s="31">
        <v>45767</v>
      </c>
      <c r="AA2" s="31">
        <v>45777</v>
      </c>
      <c r="AB2" s="31">
        <v>45784</v>
      </c>
      <c r="AC2" s="29" t="s">
        <v>621</v>
      </c>
      <c r="AD2" s="29" t="s">
        <v>621</v>
      </c>
      <c r="AE2" s="29" t="s">
        <v>621</v>
      </c>
      <c r="AF2" s="29" t="s">
        <v>621</v>
      </c>
      <c r="AG2" s="31">
        <v>45754</v>
      </c>
      <c r="AH2" s="31"/>
      <c r="AI2" s="37" t="s">
        <v>633</v>
      </c>
      <c r="AJ2" s="31">
        <v>45776</v>
      </c>
      <c r="AK2" s="37"/>
      <c r="AL2" s="30" t="s">
        <v>634</v>
      </c>
      <c r="AM2" s="29"/>
      <c r="AN2" s="29"/>
      <c r="AO2" s="30">
        <v>5</v>
      </c>
      <c r="AP2" s="31">
        <v>45776</v>
      </c>
      <c r="AQ2" s="29"/>
      <c r="AR2" s="30">
        <v>5</v>
      </c>
      <c r="AS2" s="29"/>
      <c r="AT2" s="29"/>
      <c r="AU2" s="29" t="s">
        <v>621</v>
      </c>
      <c r="AV2" s="29" t="s">
        <v>621</v>
      </c>
      <c r="AW2" s="31">
        <v>45777</v>
      </c>
      <c r="AX2" s="29" t="s">
        <v>621</v>
      </c>
      <c r="AY2" s="31">
        <v>45748</v>
      </c>
      <c r="AZ2" s="31">
        <v>45765</v>
      </c>
      <c r="BA2" s="29" t="s">
        <v>621</v>
      </c>
      <c r="BB2" s="29" t="s">
        <v>621</v>
      </c>
      <c r="BC2" s="29" t="s">
        <v>626</v>
      </c>
      <c r="BD2" s="29" t="s">
        <v>626</v>
      </c>
      <c r="BE2" s="29" t="s">
        <v>621</v>
      </c>
      <c r="BF2" s="29" t="s">
        <v>621</v>
      </c>
      <c r="BG2" s="29" t="s">
        <v>621</v>
      </c>
      <c r="BH2" s="29" t="s">
        <v>626</v>
      </c>
      <c r="BI2" s="29" t="s">
        <v>621</v>
      </c>
      <c r="BJ2" s="29" t="s">
        <v>626</v>
      </c>
      <c r="BK2" s="29" t="s">
        <v>621</v>
      </c>
      <c r="BL2" s="29" t="s">
        <v>621</v>
      </c>
      <c r="BM2" s="38">
        <v>1</v>
      </c>
      <c r="BN2" s="29" t="s">
        <v>626</v>
      </c>
      <c r="BO2" s="29" t="s">
        <v>626</v>
      </c>
      <c r="BP2" s="29" t="s">
        <v>621</v>
      </c>
      <c r="BQ2" s="29" t="s">
        <v>621</v>
      </c>
      <c r="BR2" s="29" t="s">
        <v>621</v>
      </c>
      <c r="BS2" s="29" t="s">
        <v>621</v>
      </c>
      <c r="BT2" s="29" t="s">
        <v>621</v>
      </c>
      <c r="BU2" s="39" t="s">
        <v>635</v>
      </c>
      <c r="BV2" s="30" t="s">
        <v>636</v>
      </c>
      <c r="BW2" s="40" t="s">
        <v>613</v>
      </c>
      <c r="BX2" s="41" t="s">
        <v>637</v>
      </c>
      <c r="BY2" s="41" t="s">
        <v>638</v>
      </c>
    </row>
    <row r="3" customHeight="1" spans="1:77">
      <c r="A3" s="29" t="s">
        <v>639</v>
      </c>
      <c r="B3" s="29"/>
      <c r="C3" s="30" t="s">
        <v>640</v>
      </c>
      <c r="D3" s="31">
        <v>45734</v>
      </c>
      <c r="E3" s="29" t="s">
        <v>618</v>
      </c>
      <c r="F3" s="15"/>
      <c r="G3" s="15" t="s">
        <v>619</v>
      </c>
      <c r="H3" s="30" t="s">
        <v>86</v>
      </c>
      <c r="I3" s="42" t="s">
        <v>620</v>
      </c>
      <c r="J3" s="29"/>
      <c r="K3" s="29" t="s">
        <v>621</v>
      </c>
      <c r="L3" s="32" t="s">
        <v>622</v>
      </c>
      <c r="M3" s="30" t="s">
        <v>623</v>
      </c>
      <c r="N3" s="29" t="s">
        <v>624</v>
      </c>
      <c r="O3" s="33" t="s">
        <v>641</v>
      </c>
      <c r="P3" s="29" t="s">
        <v>626</v>
      </c>
      <c r="Q3" s="33" t="s">
        <v>642</v>
      </c>
      <c r="R3" s="29" t="s">
        <v>623</v>
      </c>
      <c r="S3" s="43"/>
      <c r="T3" s="30" t="s">
        <v>623</v>
      </c>
      <c r="U3" s="30"/>
      <c r="V3" s="44" t="s">
        <v>630</v>
      </c>
      <c r="W3" s="29" t="s">
        <v>643</v>
      </c>
      <c r="X3" s="29" t="s">
        <v>644</v>
      </c>
      <c r="Y3" s="36">
        <v>270</v>
      </c>
      <c r="Z3" s="31">
        <v>45767</v>
      </c>
      <c r="AA3" s="31">
        <v>45777</v>
      </c>
      <c r="AB3" s="31">
        <v>45784</v>
      </c>
      <c r="AC3" s="29" t="s">
        <v>621</v>
      </c>
      <c r="AD3" s="29" t="s">
        <v>621</v>
      </c>
      <c r="AE3" s="29" t="s">
        <v>621</v>
      </c>
      <c r="AF3" s="29" t="s">
        <v>621</v>
      </c>
      <c r="AG3" s="31">
        <v>45754</v>
      </c>
      <c r="AH3" s="31"/>
      <c r="AI3" s="37" t="s">
        <v>633</v>
      </c>
      <c r="AJ3" s="31">
        <v>45776</v>
      </c>
      <c r="AK3" s="37"/>
      <c r="AL3" s="32" t="s">
        <v>634</v>
      </c>
      <c r="AM3" s="32"/>
      <c r="AN3" s="32"/>
      <c r="AO3" s="29">
        <v>5</v>
      </c>
      <c r="AP3" s="31">
        <v>45776</v>
      </c>
      <c r="AQ3" s="29"/>
      <c r="AR3" s="29">
        <v>5</v>
      </c>
      <c r="AS3" s="29"/>
      <c r="AT3" s="29"/>
      <c r="AU3" s="29" t="s">
        <v>621</v>
      </c>
      <c r="AV3" s="29" t="s">
        <v>621</v>
      </c>
      <c r="AW3" s="31">
        <v>45777</v>
      </c>
      <c r="AX3" s="29" t="s">
        <v>621</v>
      </c>
      <c r="AY3" s="31">
        <v>45748</v>
      </c>
      <c r="AZ3" s="31">
        <v>45765</v>
      </c>
      <c r="BA3" s="29" t="s">
        <v>621</v>
      </c>
      <c r="BB3" s="29" t="s">
        <v>621</v>
      </c>
      <c r="BC3" s="29" t="s">
        <v>626</v>
      </c>
      <c r="BD3" s="29" t="s">
        <v>626</v>
      </c>
      <c r="BE3" s="29" t="s">
        <v>621</v>
      </c>
      <c r="BF3" s="29" t="s">
        <v>621</v>
      </c>
      <c r="BG3" s="29" t="s">
        <v>621</v>
      </c>
      <c r="BH3" s="29" t="s">
        <v>626</v>
      </c>
      <c r="BI3" s="29" t="s">
        <v>621</v>
      </c>
      <c r="BJ3" s="29" t="s">
        <v>626</v>
      </c>
      <c r="BK3" s="29" t="s">
        <v>621</v>
      </c>
      <c r="BL3" s="29" t="s">
        <v>621</v>
      </c>
      <c r="BM3" s="38">
        <v>1</v>
      </c>
      <c r="BN3" s="29" t="s">
        <v>626</v>
      </c>
      <c r="BO3" s="29" t="s">
        <v>626</v>
      </c>
      <c r="BP3" s="29" t="s">
        <v>621</v>
      </c>
      <c r="BQ3" s="29" t="s">
        <v>621</v>
      </c>
      <c r="BR3" s="29" t="s">
        <v>621</v>
      </c>
      <c r="BS3" s="29" t="s">
        <v>621</v>
      </c>
      <c r="BT3" s="29" t="s">
        <v>621</v>
      </c>
      <c r="BU3" s="39" t="s">
        <v>635</v>
      </c>
      <c r="BV3" s="29" t="s">
        <v>636</v>
      </c>
      <c r="BW3" s="39" t="s">
        <v>645</v>
      </c>
      <c r="BX3" s="29"/>
      <c r="BY3" s="29"/>
    </row>
    <row r="4" customHeight="1" spans="1:77">
      <c r="A4" s="14"/>
      <c r="B4" s="14"/>
      <c r="C4" s="14"/>
      <c r="D4" s="31"/>
      <c r="E4" s="29"/>
      <c r="F4" s="15"/>
      <c r="G4" s="15"/>
      <c r="H4" s="30"/>
      <c r="I4" s="42"/>
      <c r="J4" s="29"/>
      <c r="K4" s="29"/>
      <c r="L4" s="29"/>
      <c r="M4" s="29"/>
      <c r="N4" s="29"/>
      <c r="O4" s="45"/>
      <c r="P4" s="29"/>
      <c r="Q4" s="43"/>
      <c r="R4" s="29" t="s">
        <v>623</v>
      </c>
      <c r="S4" s="46"/>
      <c r="T4" s="29"/>
      <c r="U4" s="30"/>
      <c r="V4" s="44" t="s">
        <v>630</v>
      </c>
      <c r="W4" s="14"/>
      <c r="X4" s="14"/>
      <c r="Y4" s="14"/>
      <c r="Z4" s="31"/>
      <c r="AA4" s="31"/>
      <c r="AB4" s="31"/>
      <c r="AC4" s="29"/>
      <c r="AD4" s="29"/>
      <c r="AE4" s="29"/>
      <c r="AF4" s="29"/>
      <c r="AG4" s="31"/>
      <c r="AH4" s="31"/>
      <c r="AI4" s="37"/>
      <c r="AJ4" s="31"/>
      <c r="AK4" s="37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31"/>
      <c r="AX4" s="29"/>
      <c r="AY4" s="31"/>
      <c r="AZ4" s="31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38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</row>
    <row r="5" customHeight="1" spans="1:77">
      <c r="A5" s="14" t="s">
        <v>511</v>
      </c>
      <c r="B5" s="15"/>
      <c r="C5" s="14" t="s">
        <v>646</v>
      </c>
      <c r="D5" s="31">
        <v>45734</v>
      </c>
      <c r="E5" s="29" t="s">
        <v>618</v>
      </c>
      <c r="F5" s="15"/>
      <c r="G5" s="15" t="s">
        <v>619</v>
      </c>
      <c r="H5" s="14" t="s">
        <v>280</v>
      </c>
      <c r="I5" s="42" t="s">
        <v>620</v>
      </c>
      <c r="J5" s="29"/>
      <c r="K5" s="14" t="s">
        <v>621</v>
      </c>
      <c r="L5" s="32" t="s">
        <v>622</v>
      </c>
      <c r="M5" s="14" t="s">
        <v>623</v>
      </c>
      <c r="N5" s="42" t="s">
        <v>624</v>
      </c>
      <c r="O5" s="47" t="s">
        <v>625</v>
      </c>
      <c r="P5" s="14" t="s">
        <v>626</v>
      </c>
      <c r="Q5" s="47" t="s">
        <v>627</v>
      </c>
      <c r="R5" s="41" t="s">
        <v>628</v>
      </c>
      <c r="S5" s="33" t="s">
        <v>629</v>
      </c>
      <c r="T5" s="14" t="s">
        <v>623</v>
      </c>
      <c r="U5" s="30"/>
      <c r="V5" s="44" t="s">
        <v>630</v>
      </c>
      <c r="W5" s="14" t="s">
        <v>647</v>
      </c>
      <c r="X5" s="14" t="s">
        <v>648</v>
      </c>
      <c r="Y5" s="48">
        <v>432</v>
      </c>
      <c r="Z5" s="31">
        <v>45767</v>
      </c>
      <c r="AA5" s="31">
        <v>45777</v>
      </c>
      <c r="AB5" s="31">
        <v>45784</v>
      </c>
      <c r="AC5" s="29" t="s">
        <v>621</v>
      </c>
      <c r="AD5" s="29" t="s">
        <v>621</v>
      </c>
      <c r="AE5" s="29" t="s">
        <v>621</v>
      </c>
      <c r="AF5" s="29" t="s">
        <v>621</v>
      </c>
      <c r="AG5" s="31">
        <v>45754</v>
      </c>
      <c r="AH5" s="31"/>
      <c r="AI5" s="37" t="s">
        <v>633</v>
      </c>
      <c r="AJ5" s="31">
        <v>45776</v>
      </c>
      <c r="AK5" s="37"/>
      <c r="AL5" s="32" t="s">
        <v>634</v>
      </c>
      <c r="AM5" s="32"/>
      <c r="AN5" s="32"/>
      <c r="AO5" s="29">
        <v>5</v>
      </c>
      <c r="AP5" s="31">
        <v>45769</v>
      </c>
      <c r="AQ5" s="29"/>
      <c r="AR5" s="29">
        <v>5</v>
      </c>
      <c r="AS5" s="29"/>
      <c r="AT5" s="29"/>
      <c r="AU5" s="29" t="s">
        <v>621</v>
      </c>
      <c r="AV5" s="29" t="s">
        <v>621</v>
      </c>
      <c r="AW5" s="31">
        <v>45777</v>
      </c>
      <c r="AX5" s="29" t="s">
        <v>621</v>
      </c>
      <c r="AY5" s="31">
        <v>45748</v>
      </c>
      <c r="AZ5" s="31">
        <v>45765</v>
      </c>
      <c r="BA5" s="29" t="s">
        <v>621</v>
      </c>
      <c r="BB5" s="29" t="s">
        <v>621</v>
      </c>
      <c r="BC5" s="29" t="s">
        <v>626</v>
      </c>
      <c r="BD5" s="29" t="s">
        <v>626</v>
      </c>
      <c r="BE5" s="29" t="s">
        <v>621</v>
      </c>
      <c r="BF5" s="29" t="s">
        <v>621</v>
      </c>
      <c r="BG5" s="29" t="s">
        <v>621</v>
      </c>
      <c r="BH5" s="29" t="s">
        <v>626</v>
      </c>
      <c r="BI5" s="29" t="s">
        <v>621</v>
      </c>
      <c r="BJ5" s="29" t="s">
        <v>626</v>
      </c>
      <c r="BK5" s="29" t="s">
        <v>621</v>
      </c>
      <c r="BL5" s="29" t="s">
        <v>621</v>
      </c>
      <c r="BM5" s="38">
        <v>1</v>
      </c>
      <c r="BN5" s="29" t="s">
        <v>626</v>
      </c>
      <c r="BO5" s="29" t="s">
        <v>626</v>
      </c>
      <c r="BP5" s="29" t="s">
        <v>621</v>
      </c>
      <c r="BQ5" s="29" t="s">
        <v>621</v>
      </c>
      <c r="BR5" s="29" t="s">
        <v>621</v>
      </c>
      <c r="BS5" s="29" t="s">
        <v>621</v>
      </c>
      <c r="BT5" s="29" t="s">
        <v>621</v>
      </c>
      <c r="BU5" s="29"/>
      <c r="BV5" s="29" t="s">
        <v>636</v>
      </c>
      <c r="BW5" s="29"/>
      <c r="BX5" s="29"/>
      <c r="BY5" s="29"/>
    </row>
    <row r="6" customHeight="1" spans="1:77">
      <c r="A6" s="14" t="s">
        <v>510</v>
      </c>
      <c r="B6" s="15"/>
      <c r="C6" s="14" t="s">
        <v>649</v>
      </c>
      <c r="D6" s="31">
        <v>45734</v>
      </c>
      <c r="E6" s="29" t="s">
        <v>618</v>
      </c>
      <c r="F6" s="15"/>
      <c r="G6" s="15" t="s">
        <v>619</v>
      </c>
      <c r="H6" s="14" t="s">
        <v>86</v>
      </c>
      <c r="I6" s="42" t="s">
        <v>620</v>
      </c>
      <c r="J6" s="29"/>
      <c r="K6" s="14" t="s">
        <v>621</v>
      </c>
      <c r="L6" s="32" t="s">
        <v>622</v>
      </c>
      <c r="M6" s="14" t="s">
        <v>623</v>
      </c>
      <c r="N6" s="42" t="s">
        <v>624</v>
      </c>
      <c r="O6" s="47" t="s">
        <v>641</v>
      </c>
      <c r="P6" s="40" t="s">
        <v>626</v>
      </c>
      <c r="Q6" s="47" t="s">
        <v>642</v>
      </c>
      <c r="R6" s="29" t="s">
        <v>623</v>
      </c>
      <c r="S6" s="45"/>
      <c r="T6" s="14" t="s">
        <v>623</v>
      </c>
      <c r="U6" s="30"/>
      <c r="V6" s="44" t="s">
        <v>630</v>
      </c>
      <c r="W6" s="15" t="s">
        <v>650</v>
      </c>
      <c r="X6" s="15" t="s">
        <v>651</v>
      </c>
      <c r="Y6" s="48">
        <v>270</v>
      </c>
      <c r="Z6" s="31">
        <v>45767</v>
      </c>
      <c r="AA6" s="31">
        <v>45777</v>
      </c>
      <c r="AB6" s="31">
        <v>45784</v>
      </c>
      <c r="AC6" s="29" t="s">
        <v>621</v>
      </c>
      <c r="AD6" s="29" t="s">
        <v>621</v>
      </c>
      <c r="AE6" s="29" t="s">
        <v>621</v>
      </c>
      <c r="AF6" s="29" t="s">
        <v>621</v>
      </c>
      <c r="AG6" s="31">
        <v>45754</v>
      </c>
      <c r="AH6" s="31"/>
      <c r="AI6" s="37" t="s">
        <v>633</v>
      </c>
      <c r="AJ6" s="31">
        <v>45776</v>
      </c>
      <c r="AK6" s="37"/>
      <c r="AL6" s="32" t="s">
        <v>634</v>
      </c>
      <c r="AM6" s="32"/>
      <c r="AN6" s="32"/>
      <c r="AO6" s="29">
        <v>5</v>
      </c>
      <c r="AP6" s="31">
        <v>45769</v>
      </c>
      <c r="AQ6" s="29"/>
      <c r="AR6" s="29">
        <v>5</v>
      </c>
      <c r="AS6" s="29"/>
      <c r="AT6" s="29"/>
      <c r="AU6" s="29" t="s">
        <v>621</v>
      </c>
      <c r="AV6" s="29" t="s">
        <v>621</v>
      </c>
      <c r="AW6" s="31">
        <v>45777</v>
      </c>
      <c r="AX6" s="29" t="s">
        <v>621</v>
      </c>
      <c r="AY6" s="31">
        <v>45748</v>
      </c>
      <c r="AZ6" s="31">
        <v>45765</v>
      </c>
      <c r="BA6" s="29" t="s">
        <v>621</v>
      </c>
      <c r="BB6" s="29" t="s">
        <v>621</v>
      </c>
      <c r="BC6" s="29" t="s">
        <v>626</v>
      </c>
      <c r="BD6" s="29" t="s">
        <v>626</v>
      </c>
      <c r="BE6" s="29" t="s">
        <v>621</v>
      </c>
      <c r="BF6" s="29" t="s">
        <v>621</v>
      </c>
      <c r="BG6" s="29" t="s">
        <v>621</v>
      </c>
      <c r="BH6" s="29" t="s">
        <v>626</v>
      </c>
      <c r="BI6" s="29" t="s">
        <v>621</v>
      </c>
      <c r="BJ6" s="29" t="s">
        <v>626</v>
      </c>
      <c r="BK6" s="29" t="s">
        <v>621</v>
      </c>
      <c r="BL6" s="29" t="s">
        <v>621</v>
      </c>
      <c r="BM6" s="38">
        <v>1</v>
      </c>
      <c r="BN6" s="29" t="s">
        <v>626</v>
      </c>
      <c r="BO6" s="29" t="s">
        <v>626</v>
      </c>
      <c r="BP6" s="29" t="s">
        <v>621</v>
      </c>
      <c r="BQ6" s="29" t="s">
        <v>621</v>
      </c>
      <c r="BR6" s="29" t="s">
        <v>621</v>
      </c>
      <c r="BS6" s="29" t="s">
        <v>621</v>
      </c>
      <c r="BT6" s="29" t="s">
        <v>621</v>
      </c>
      <c r="BU6" s="29"/>
      <c r="BV6" s="29" t="s">
        <v>636</v>
      </c>
      <c r="BW6" s="29"/>
      <c r="BX6" s="29"/>
      <c r="BY6" s="29"/>
    </row>
    <row r="7" customHeight="1" spans="1:77">
      <c r="A7" s="14"/>
      <c r="B7" s="14"/>
      <c r="C7" s="14"/>
      <c r="D7" s="31"/>
      <c r="E7" s="29"/>
      <c r="F7" s="14"/>
      <c r="G7" s="14"/>
      <c r="H7" s="14"/>
      <c r="I7" s="14"/>
      <c r="J7" s="14"/>
      <c r="K7" s="14"/>
      <c r="L7" s="14"/>
      <c r="M7" s="14"/>
      <c r="N7" s="14"/>
      <c r="O7" s="45"/>
      <c r="P7" s="14"/>
      <c r="Q7" s="43"/>
      <c r="R7" s="29" t="s">
        <v>623</v>
      </c>
      <c r="S7" s="49"/>
      <c r="T7" s="15"/>
      <c r="U7" s="15"/>
      <c r="V7" s="49"/>
      <c r="W7" s="15"/>
      <c r="X7" s="15"/>
      <c r="Y7" s="14"/>
      <c r="Z7" s="31"/>
      <c r="AA7" s="31"/>
      <c r="AB7" s="31"/>
      <c r="AC7" s="29"/>
      <c r="AD7" s="29"/>
      <c r="AE7" s="29"/>
      <c r="AF7" s="29"/>
      <c r="AG7" s="31"/>
      <c r="AH7" s="31"/>
      <c r="AI7" s="29"/>
      <c r="AJ7" s="29"/>
      <c r="AK7" s="29"/>
      <c r="AL7" s="29"/>
      <c r="AM7" s="29"/>
      <c r="AN7" s="29"/>
      <c r="AO7" s="29"/>
      <c r="AP7" s="31"/>
      <c r="AQ7" s="29"/>
      <c r="AR7" s="29"/>
      <c r="AS7" s="29"/>
      <c r="AT7" s="29"/>
      <c r="AU7" s="29"/>
      <c r="AV7" s="29"/>
      <c r="AW7" s="29"/>
      <c r="AX7" s="29"/>
      <c r="AY7" s="31">
        <v>45748</v>
      </c>
      <c r="AZ7" s="31">
        <v>45765</v>
      </c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38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</row>
    <row r="8" customHeight="1" spans="1:77">
      <c r="A8" s="14" t="s">
        <v>27</v>
      </c>
      <c r="B8" s="50"/>
      <c r="C8" s="14" t="s">
        <v>652</v>
      </c>
      <c r="D8" s="31">
        <v>45734</v>
      </c>
      <c r="E8" s="29" t="s">
        <v>618</v>
      </c>
      <c r="F8" s="15"/>
      <c r="G8" s="15" t="s">
        <v>619</v>
      </c>
      <c r="H8" s="14" t="s">
        <v>280</v>
      </c>
      <c r="I8" s="14" t="s">
        <v>653</v>
      </c>
      <c r="J8" s="29"/>
      <c r="K8" s="14" t="s">
        <v>621</v>
      </c>
      <c r="L8" s="32" t="s">
        <v>622</v>
      </c>
      <c r="M8" s="51" t="s">
        <v>654</v>
      </c>
      <c r="N8" s="42" t="s">
        <v>624</v>
      </c>
      <c r="O8" s="33" t="s">
        <v>655</v>
      </c>
      <c r="P8" s="40" t="s">
        <v>626</v>
      </c>
      <c r="Q8" s="33" t="s">
        <v>656</v>
      </c>
      <c r="R8" s="41" t="s">
        <v>657</v>
      </c>
      <c r="S8" s="33" t="s">
        <v>658</v>
      </c>
      <c r="T8" s="14" t="s">
        <v>623</v>
      </c>
      <c r="U8" s="51" t="s">
        <v>659</v>
      </c>
      <c r="V8" s="33" t="s">
        <v>660</v>
      </c>
      <c r="W8" s="15" t="s">
        <v>661</v>
      </c>
      <c r="X8" s="15" t="s">
        <v>662</v>
      </c>
      <c r="Y8" s="52">
        <v>360</v>
      </c>
      <c r="Z8" s="31">
        <v>45761</v>
      </c>
      <c r="AA8" s="31">
        <v>45794</v>
      </c>
      <c r="AB8" s="31">
        <v>45802</v>
      </c>
      <c r="AC8" s="29" t="s">
        <v>621</v>
      </c>
      <c r="AD8" s="29" t="s">
        <v>621</v>
      </c>
      <c r="AE8" s="29" t="s">
        <v>621</v>
      </c>
      <c r="AF8" s="29" t="s">
        <v>621</v>
      </c>
      <c r="AG8" s="31">
        <v>45761</v>
      </c>
      <c r="AH8" s="31">
        <v>45769</v>
      </c>
      <c r="AI8" s="29" t="s">
        <v>663</v>
      </c>
      <c r="AJ8" s="31">
        <v>45776</v>
      </c>
      <c r="AK8" s="29"/>
      <c r="AL8" s="32" t="s">
        <v>634</v>
      </c>
      <c r="AM8" s="32"/>
      <c r="AN8" s="32"/>
      <c r="AO8" s="29">
        <v>5</v>
      </c>
      <c r="AP8" s="31">
        <v>45769</v>
      </c>
      <c r="AQ8" s="29"/>
      <c r="AR8" s="29">
        <v>5</v>
      </c>
      <c r="AS8" s="29"/>
      <c r="AT8" s="29"/>
      <c r="AU8" s="29" t="s">
        <v>621</v>
      </c>
      <c r="AV8" s="29" t="s">
        <v>621</v>
      </c>
      <c r="AW8" s="29" t="s">
        <v>621</v>
      </c>
      <c r="AX8" s="29" t="s">
        <v>621</v>
      </c>
      <c r="AY8" s="31">
        <v>45748</v>
      </c>
      <c r="AZ8" s="31">
        <v>45765</v>
      </c>
      <c r="BA8" s="29" t="s">
        <v>621</v>
      </c>
      <c r="BB8" s="29" t="s">
        <v>621</v>
      </c>
      <c r="BC8" s="29" t="s">
        <v>626</v>
      </c>
      <c r="BD8" s="29" t="s">
        <v>626</v>
      </c>
      <c r="BE8" s="29" t="s">
        <v>621</v>
      </c>
      <c r="BF8" s="29" t="s">
        <v>621</v>
      </c>
      <c r="BG8" s="29" t="s">
        <v>621</v>
      </c>
      <c r="BH8" s="29" t="s">
        <v>626</v>
      </c>
      <c r="BI8" s="29" t="s">
        <v>621</v>
      </c>
      <c r="BJ8" s="29" t="s">
        <v>626</v>
      </c>
      <c r="BK8" s="29" t="s">
        <v>621</v>
      </c>
      <c r="BL8" s="29" t="s">
        <v>621</v>
      </c>
      <c r="BM8" s="38">
        <v>1</v>
      </c>
      <c r="BN8" s="29" t="s">
        <v>626</v>
      </c>
      <c r="BO8" s="29" t="s">
        <v>626</v>
      </c>
      <c r="BP8" s="29" t="s">
        <v>621</v>
      </c>
      <c r="BQ8" s="29" t="s">
        <v>621</v>
      </c>
      <c r="BR8" s="29" t="s">
        <v>621</v>
      </c>
      <c r="BS8" s="29" t="s">
        <v>621</v>
      </c>
      <c r="BT8" s="29" t="s">
        <v>621</v>
      </c>
      <c r="BU8" s="29"/>
      <c r="BV8" s="29" t="s">
        <v>636</v>
      </c>
      <c r="BW8" s="29"/>
      <c r="BX8" s="29"/>
      <c r="BY8" s="29"/>
    </row>
    <row r="9" customHeight="1" spans="1:77">
      <c r="A9" s="14" t="s">
        <v>29</v>
      </c>
      <c r="B9" s="15"/>
      <c r="C9" s="14" t="s">
        <v>664</v>
      </c>
      <c r="D9" s="31">
        <v>45734</v>
      </c>
      <c r="E9" s="29" t="s">
        <v>618</v>
      </c>
      <c r="F9" s="15"/>
      <c r="G9" s="15" t="s">
        <v>619</v>
      </c>
      <c r="H9" s="14" t="s">
        <v>86</v>
      </c>
      <c r="I9" s="40" t="s">
        <v>653</v>
      </c>
      <c r="J9" s="29"/>
      <c r="K9" s="14" t="s">
        <v>621</v>
      </c>
      <c r="L9" s="32" t="s">
        <v>622</v>
      </c>
      <c r="M9" s="53" t="s">
        <v>654</v>
      </c>
      <c r="N9" s="42" t="s">
        <v>624</v>
      </c>
      <c r="O9" s="33" t="s">
        <v>665</v>
      </c>
      <c r="P9" s="40" t="s">
        <v>626</v>
      </c>
      <c r="Q9" s="33" t="s">
        <v>666</v>
      </c>
      <c r="R9" s="41" t="s">
        <v>628</v>
      </c>
      <c r="S9" s="45"/>
      <c r="T9" s="14" t="s">
        <v>623</v>
      </c>
      <c r="U9" s="51" t="s">
        <v>659</v>
      </c>
      <c r="V9" s="33" t="s">
        <v>667</v>
      </c>
      <c r="W9" s="14" t="s">
        <v>668</v>
      </c>
      <c r="X9" s="15" t="s">
        <v>669</v>
      </c>
      <c r="Y9" s="52">
        <v>160</v>
      </c>
      <c r="Z9" s="31">
        <v>45761</v>
      </c>
      <c r="AA9" s="31">
        <v>45794</v>
      </c>
      <c r="AB9" s="31">
        <v>45802</v>
      </c>
      <c r="AC9" s="29" t="s">
        <v>621</v>
      </c>
      <c r="AD9" s="29" t="s">
        <v>621</v>
      </c>
      <c r="AE9" s="29" t="s">
        <v>621</v>
      </c>
      <c r="AF9" s="29" t="s">
        <v>621</v>
      </c>
      <c r="AG9" s="31">
        <v>45761</v>
      </c>
      <c r="AH9" s="31">
        <v>45769</v>
      </c>
      <c r="AI9" s="29" t="s">
        <v>663</v>
      </c>
      <c r="AJ9" s="31">
        <v>45776</v>
      </c>
      <c r="AK9" s="29"/>
      <c r="AL9" s="32" t="s">
        <v>634</v>
      </c>
      <c r="AM9" s="32"/>
      <c r="AN9" s="32"/>
      <c r="AO9" s="29">
        <v>5</v>
      </c>
      <c r="AP9" s="31">
        <v>45769</v>
      </c>
      <c r="AQ9" s="29"/>
      <c r="AR9" s="29">
        <v>5</v>
      </c>
      <c r="AS9" s="29"/>
      <c r="AT9" s="29"/>
      <c r="AU9" s="29" t="s">
        <v>621</v>
      </c>
      <c r="AV9" s="29" t="s">
        <v>621</v>
      </c>
      <c r="AW9" s="29" t="s">
        <v>621</v>
      </c>
      <c r="AX9" s="29" t="s">
        <v>621</v>
      </c>
      <c r="AY9" s="31">
        <v>45748</v>
      </c>
      <c r="AZ9" s="31">
        <v>45765</v>
      </c>
      <c r="BA9" s="29" t="s">
        <v>621</v>
      </c>
      <c r="BB9" s="29" t="s">
        <v>621</v>
      </c>
      <c r="BC9" s="29" t="s">
        <v>626</v>
      </c>
      <c r="BD9" s="29" t="s">
        <v>626</v>
      </c>
      <c r="BE9" s="29" t="s">
        <v>621</v>
      </c>
      <c r="BF9" s="29" t="s">
        <v>621</v>
      </c>
      <c r="BG9" s="29" t="s">
        <v>621</v>
      </c>
      <c r="BH9" s="29" t="s">
        <v>626</v>
      </c>
      <c r="BI9" s="29" t="s">
        <v>621</v>
      </c>
      <c r="BJ9" s="29" t="s">
        <v>626</v>
      </c>
      <c r="BK9" s="29" t="s">
        <v>621</v>
      </c>
      <c r="BL9" s="29" t="s">
        <v>621</v>
      </c>
      <c r="BM9" s="38">
        <v>1</v>
      </c>
      <c r="BN9" s="29" t="s">
        <v>626</v>
      </c>
      <c r="BO9" s="29" t="s">
        <v>626</v>
      </c>
      <c r="BP9" s="29" t="s">
        <v>621</v>
      </c>
      <c r="BQ9" s="29" t="s">
        <v>621</v>
      </c>
      <c r="BR9" s="29" t="s">
        <v>621</v>
      </c>
      <c r="BS9" s="29" t="s">
        <v>621</v>
      </c>
      <c r="BT9" s="29" t="s">
        <v>621</v>
      </c>
      <c r="BU9" s="29"/>
      <c r="BV9" s="29" t="s">
        <v>636</v>
      </c>
      <c r="BW9" s="29"/>
      <c r="BX9" s="29"/>
      <c r="BY9" s="29"/>
    </row>
    <row r="10" customHeight="1" spans="1:77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45"/>
      <c r="P10" s="14"/>
      <c r="Q10" s="45"/>
      <c r="R10" s="29" t="s">
        <v>623</v>
      </c>
      <c r="S10" s="49"/>
      <c r="T10" s="15"/>
      <c r="U10" s="15"/>
      <c r="V10" s="49"/>
      <c r="W10" s="15"/>
      <c r="X10" s="15"/>
      <c r="Y10" s="14"/>
      <c r="Z10" s="31"/>
      <c r="AA10" s="14"/>
      <c r="AB10" s="14"/>
      <c r="AC10" s="29"/>
      <c r="AD10" s="29"/>
      <c r="AE10" s="29"/>
      <c r="AF10" s="29"/>
      <c r="AG10" s="31"/>
      <c r="AH10" s="31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31">
        <v>45748</v>
      </c>
      <c r="AZ10" s="31">
        <v>45765</v>
      </c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38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</row>
    <row r="11" customHeight="1" spans="1:77">
      <c r="A11" s="29" t="s">
        <v>616</v>
      </c>
      <c r="B11" s="29"/>
      <c r="C11" s="30" t="s">
        <v>670</v>
      </c>
      <c r="D11" s="31">
        <v>45734</v>
      </c>
      <c r="E11" s="29" t="s">
        <v>618</v>
      </c>
      <c r="F11" s="15"/>
      <c r="G11" s="15" t="s">
        <v>671</v>
      </c>
      <c r="H11" s="14" t="s">
        <v>280</v>
      </c>
      <c r="I11" s="42" t="s">
        <v>620</v>
      </c>
      <c r="J11" s="29"/>
      <c r="K11" s="14" t="s">
        <v>621</v>
      </c>
      <c r="L11" s="14" t="s">
        <v>622</v>
      </c>
      <c r="M11" s="14" t="s">
        <v>623</v>
      </c>
      <c r="N11" s="14" t="s">
        <v>626</v>
      </c>
      <c r="O11" s="54" t="s">
        <v>672</v>
      </c>
      <c r="P11" s="40" t="s">
        <v>626</v>
      </c>
      <c r="Q11" s="45" t="s">
        <v>673</v>
      </c>
      <c r="R11" s="29" t="s">
        <v>623</v>
      </c>
      <c r="S11" s="45"/>
      <c r="T11" s="14" t="s">
        <v>623</v>
      </c>
      <c r="U11" s="14"/>
      <c r="V11" s="44" t="s">
        <v>630</v>
      </c>
      <c r="W11" s="14" t="s">
        <v>674</v>
      </c>
      <c r="X11" s="15" t="s">
        <v>632</v>
      </c>
      <c r="Y11" s="48">
        <v>1080</v>
      </c>
      <c r="Z11" s="31">
        <v>45754</v>
      </c>
      <c r="AA11" s="31">
        <v>45784</v>
      </c>
      <c r="AB11" s="31">
        <v>45784</v>
      </c>
      <c r="AC11" s="29" t="s">
        <v>621</v>
      </c>
      <c r="AD11" s="29" t="s">
        <v>621</v>
      </c>
      <c r="AE11" s="29" t="s">
        <v>621</v>
      </c>
      <c r="AF11" s="29" t="s">
        <v>621</v>
      </c>
      <c r="AG11" s="31">
        <v>45742</v>
      </c>
      <c r="AH11" s="31">
        <v>45769</v>
      </c>
      <c r="AI11" s="30" t="s">
        <v>623</v>
      </c>
      <c r="AJ11" s="31">
        <v>45776</v>
      </c>
      <c r="AK11" s="29"/>
      <c r="AL11" s="30" t="s">
        <v>623</v>
      </c>
      <c r="AM11" s="29"/>
      <c r="AN11" s="29"/>
      <c r="AO11" s="29"/>
      <c r="AP11" s="29"/>
      <c r="AQ11" s="29"/>
      <c r="AR11" s="29"/>
      <c r="AS11" s="29"/>
      <c r="AT11" s="29"/>
      <c r="AU11" s="29" t="s">
        <v>621</v>
      </c>
      <c r="AV11" s="29" t="s">
        <v>621</v>
      </c>
      <c r="AW11" s="29" t="s">
        <v>621</v>
      </c>
      <c r="AX11" s="29" t="s">
        <v>621</v>
      </c>
      <c r="AY11" s="31">
        <v>45748</v>
      </c>
      <c r="AZ11" s="31">
        <v>45765</v>
      </c>
      <c r="BA11" s="29" t="s">
        <v>621</v>
      </c>
      <c r="BB11" s="29" t="s">
        <v>621</v>
      </c>
      <c r="BC11" s="29" t="s">
        <v>626</v>
      </c>
      <c r="BD11" s="29" t="s">
        <v>626</v>
      </c>
      <c r="BE11" s="29" t="s">
        <v>621</v>
      </c>
      <c r="BF11" s="29" t="s">
        <v>621</v>
      </c>
      <c r="BG11" s="29" t="s">
        <v>621</v>
      </c>
      <c r="BH11" s="29" t="s">
        <v>626</v>
      </c>
      <c r="BI11" s="29" t="s">
        <v>621</v>
      </c>
      <c r="BJ11" s="29" t="s">
        <v>626</v>
      </c>
      <c r="BK11" s="29" t="s">
        <v>621</v>
      </c>
      <c r="BL11" s="29" t="s">
        <v>621</v>
      </c>
      <c r="BM11" s="38">
        <v>1</v>
      </c>
      <c r="BN11" s="29" t="s">
        <v>626</v>
      </c>
      <c r="BO11" s="29" t="s">
        <v>626</v>
      </c>
      <c r="BP11" s="29" t="s">
        <v>621</v>
      </c>
      <c r="BQ11" s="29" t="s">
        <v>621</v>
      </c>
      <c r="BR11" s="29" t="s">
        <v>621</v>
      </c>
      <c r="BS11" s="29" t="s">
        <v>621</v>
      </c>
      <c r="BT11" s="29" t="s">
        <v>621</v>
      </c>
      <c r="BU11" s="29"/>
      <c r="BV11" s="29" t="s">
        <v>636</v>
      </c>
      <c r="BW11" s="29"/>
      <c r="BX11" s="29"/>
      <c r="BY11" s="29"/>
    </row>
    <row r="12" customHeight="1" spans="1:77">
      <c r="A12" s="29" t="s">
        <v>616</v>
      </c>
      <c r="B12" s="29"/>
      <c r="C12" s="30" t="s">
        <v>670</v>
      </c>
      <c r="D12" s="31">
        <v>45734</v>
      </c>
      <c r="E12" s="29" t="s">
        <v>618</v>
      </c>
      <c r="F12" s="15"/>
      <c r="G12" s="15" t="s">
        <v>671</v>
      </c>
      <c r="H12" s="14" t="s">
        <v>280</v>
      </c>
      <c r="I12" s="42"/>
      <c r="J12" s="29"/>
      <c r="K12" s="15"/>
      <c r="L12" s="15"/>
      <c r="M12" s="14" t="s">
        <v>623</v>
      </c>
      <c r="N12" s="15"/>
      <c r="O12" s="55"/>
      <c r="P12" s="40"/>
      <c r="Q12" s="45" t="s">
        <v>673</v>
      </c>
      <c r="R12" s="29" t="s">
        <v>623</v>
      </c>
      <c r="S12" s="49"/>
      <c r="T12" s="15"/>
      <c r="U12" s="14"/>
      <c r="V12" s="44" t="s">
        <v>630</v>
      </c>
      <c r="W12" s="14" t="s">
        <v>675</v>
      </c>
      <c r="X12" s="15" t="s">
        <v>632</v>
      </c>
      <c r="Y12" s="14">
        <v>0</v>
      </c>
      <c r="Z12" s="31"/>
      <c r="AA12" s="31"/>
      <c r="AB12" s="31"/>
      <c r="AC12" s="29"/>
      <c r="AD12" s="29"/>
      <c r="AE12" s="29"/>
      <c r="AF12" s="29"/>
      <c r="AG12" s="31"/>
      <c r="AH12" s="31">
        <v>45769</v>
      </c>
      <c r="AI12" s="29" t="s">
        <v>623</v>
      </c>
      <c r="AJ12" s="31">
        <v>45776</v>
      </c>
      <c r="AK12" s="29"/>
      <c r="AL12" s="29" t="s">
        <v>623</v>
      </c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31"/>
      <c r="AZ12" s="31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38"/>
      <c r="BN12" s="29"/>
      <c r="BO12" s="29"/>
      <c r="BP12" s="29"/>
      <c r="BQ12" s="29"/>
      <c r="BR12" s="29"/>
      <c r="BS12" s="29"/>
      <c r="BT12" s="29"/>
      <c r="BU12" s="29"/>
      <c r="BV12" s="29" t="s">
        <v>636</v>
      </c>
      <c r="BW12" s="29"/>
      <c r="BX12" s="29"/>
      <c r="BY12" s="29"/>
    </row>
    <row r="13" customHeight="1" spans="1:77">
      <c r="A13" s="29" t="s">
        <v>639</v>
      </c>
      <c r="B13" s="29"/>
      <c r="C13" s="30" t="s">
        <v>676</v>
      </c>
      <c r="D13" s="31">
        <v>45734</v>
      </c>
      <c r="E13" s="29" t="s">
        <v>618</v>
      </c>
      <c r="F13" s="15"/>
      <c r="G13" s="15" t="s">
        <v>671</v>
      </c>
      <c r="H13" s="14" t="s">
        <v>86</v>
      </c>
      <c r="I13" s="42" t="s">
        <v>620</v>
      </c>
      <c r="J13" s="29"/>
      <c r="K13" s="15" t="s">
        <v>621</v>
      </c>
      <c r="L13" s="15" t="s">
        <v>622</v>
      </c>
      <c r="M13" s="14" t="s">
        <v>623</v>
      </c>
      <c r="N13" s="15" t="s">
        <v>626</v>
      </c>
      <c r="O13" s="54" t="s">
        <v>672</v>
      </c>
      <c r="P13" s="40" t="s">
        <v>626</v>
      </c>
      <c r="Q13" s="45" t="s">
        <v>673</v>
      </c>
      <c r="R13" s="29" t="s">
        <v>623</v>
      </c>
      <c r="S13" s="49"/>
      <c r="T13" s="15" t="s">
        <v>623</v>
      </c>
      <c r="U13" s="14"/>
      <c r="V13" s="44" t="s">
        <v>630</v>
      </c>
      <c r="W13" s="14" t="s">
        <v>677</v>
      </c>
      <c r="X13" s="15" t="s">
        <v>644</v>
      </c>
      <c r="Y13" s="48">
        <v>540</v>
      </c>
      <c r="Z13" s="31">
        <v>45754</v>
      </c>
      <c r="AA13" s="31">
        <v>45794</v>
      </c>
      <c r="AB13" s="31">
        <v>45794</v>
      </c>
      <c r="AC13" s="29" t="s">
        <v>621</v>
      </c>
      <c r="AD13" s="29" t="s">
        <v>621</v>
      </c>
      <c r="AE13" s="29" t="s">
        <v>621</v>
      </c>
      <c r="AF13" s="29" t="s">
        <v>621</v>
      </c>
      <c r="AG13" s="31">
        <v>45742</v>
      </c>
      <c r="AH13" s="31">
        <v>45769</v>
      </c>
      <c r="AI13" s="29" t="s">
        <v>623</v>
      </c>
      <c r="AJ13" s="31">
        <v>45776</v>
      </c>
      <c r="AK13" s="29"/>
      <c r="AL13" s="29" t="s">
        <v>623</v>
      </c>
      <c r="AM13" s="29"/>
      <c r="AN13" s="29"/>
      <c r="AO13" s="29"/>
      <c r="AP13" s="29"/>
      <c r="AQ13" s="29"/>
      <c r="AR13" s="29"/>
      <c r="AS13" s="29"/>
      <c r="AT13" s="29"/>
      <c r="AU13" s="29" t="s">
        <v>621</v>
      </c>
      <c r="AV13" s="29" t="s">
        <v>621</v>
      </c>
      <c r="AW13" s="29" t="s">
        <v>621</v>
      </c>
      <c r="AX13" s="29" t="s">
        <v>621</v>
      </c>
      <c r="AY13" s="31">
        <v>45748</v>
      </c>
      <c r="AZ13" s="31">
        <v>45765</v>
      </c>
      <c r="BA13" s="29" t="s">
        <v>621</v>
      </c>
      <c r="BB13" s="29" t="s">
        <v>621</v>
      </c>
      <c r="BC13" s="29" t="s">
        <v>626</v>
      </c>
      <c r="BD13" s="29" t="s">
        <v>626</v>
      </c>
      <c r="BE13" s="29" t="s">
        <v>621</v>
      </c>
      <c r="BF13" s="29" t="s">
        <v>621</v>
      </c>
      <c r="BG13" s="29" t="s">
        <v>621</v>
      </c>
      <c r="BH13" s="29" t="s">
        <v>626</v>
      </c>
      <c r="BI13" s="29" t="s">
        <v>621</v>
      </c>
      <c r="BJ13" s="29" t="s">
        <v>626</v>
      </c>
      <c r="BK13" s="29" t="s">
        <v>621</v>
      </c>
      <c r="BL13" s="29" t="s">
        <v>621</v>
      </c>
      <c r="BM13" s="38">
        <v>1</v>
      </c>
      <c r="BN13" s="29" t="s">
        <v>626</v>
      </c>
      <c r="BO13" s="29" t="s">
        <v>626</v>
      </c>
      <c r="BP13" s="29" t="s">
        <v>621</v>
      </c>
      <c r="BQ13" s="29" t="s">
        <v>621</v>
      </c>
      <c r="BR13" s="29" t="s">
        <v>621</v>
      </c>
      <c r="BS13" s="29" t="s">
        <v>621</v>
      </c>
      <c r="BT13" s="29" t="s">
        <v>621</v>
      </c>
      <c r="BU13" s="29"/>
      <c r="BV13" s="29" t="s">
        <v>636</v>
      </c>
      <c r="BW13" s="29"/>
      <c r="BX13" s="29"/>
      <c r="BY13" s="29"/>
    </row>
    <row r="14" customHeight="1" spans="1:77">
      <c r="A14" s="14" t="s">
        <v>511</v>
      </c>
      <c r="B14" s="15"/>
      <c r="C14" s="14" t="s">
        <v>678</v>
      </c>
      <c r="D14" s="31">
        <v>45734</v>
      </c>
      <c r="E14" s="29" t="s">
        <v>618</v>
      </c>
      <c r="F14" s="15"/>
      <c r="G14" s="15" t="s">
        <v>671</v>
      </c>
      <c r="H14" s="15" t="s">
        <v>280</v>
      </c>
      <c r="I14" s="42" t="s">
        <v>620</v>
      </c>
      <c r="J14" s="29"/>
      <c r="K14" s="15" t="s">
        <v>621</v>
      </c>
      <c r="L14" s="15" t="s">
        <v>622</v>
      </c>
      <c r="M14" s="14" t="s">
        <v>623</v>
      </c>
      <c r="N14" s="15" t="s">
        <v>626</v>
      </c>
      <c r="O14" s="54" t="s">
        <v>672</v>
      </c>
      <c r="P14" s="40" t="s">
        <v>626</v>
      </c>
      <c r="Q14" s="45" t="s">
        <v>673</v>
      </c>
      <c r="R14" s="29" t="s">
        <v>623</v>
      </c>
      <c r="S14" s="49"/>
      <c r="T14" s="15" t="s">
        <v>623</v>
      </c>
      <c r="U14" s="14"/>
      <c r="V14" s="44" t="s">
        <v>630</v>
      </c>
      <c r="W14" s="14" t="s">
        <v>679</v>
      </c>
      <c r="X14" s="15" t="s">
        <v>648</v>
      </c>
      <c r="Y14" s="48">
        <v>1080</v>
      </c>
      <c r="Z14" s="31">
        <v>45754</v>
      </c>
      <c r="AA14" s="31">
        <v>45784</v>
      </c>
      <c r="AB14" s="31">
        <v>45784</v>
      </c>
      <c r="AC14" s="29" t="s">
        <v>621</v>
      </c>
      <c r="AD14" s="29" t="s">
        <v>621</v>
      </c>
      <c r="AE14" s="29" t="s">
        <v>621</v>
      </c>
      <c r="AF14" s="29" t="s">
        <v>621</v>
      </c>
      <c r="AG14" s="31">
        <v>45742</v>
      </c>
      <c r="AH14" s="31">
        <v>45769</v>
      </c>
      <c r="AI14" s="29" t="s">
        <v>623</v>
      </c>
      <c r="AJ14" s="31">
        <v>45776</v>
      </c>
      <c r="AK14" s="29"/>
      <c r="AL14" s="29" t="s">
        <v>623</v>
      </c>
      <c r="AM14" s="29"/>
      <c r="AN14" s="29"/>
      <c r="AO14" s="29"/>
      <c r="AP14" s="29"/>
      <c r="AQ14" s="29"/>
      <c r="AR14" s="29"/>
      <c r="AS14" s="29"/>
      <c r="AT14" s="29"/>
      <c r="AU14" s="29" t="s">
        <v>621</v>
      </c>
      <c r="AV14" s="29" t="s">
        <v>621</v>
      </c>
      <c r="AW14" s="29" t="s">
        <v>621</v>
      </c>
      <c r="AX14" s="29" t="s">
        <v>621</v>
      </c>
      <c r="AY14" s="31">
        <v>45748</v>
      </c>
      <c r="AZ14" s="31">
        <v>45765</v>
      </c>
      <c r="BA14" s="29" t="s">
        <v>621</v>
      </c>
      <c r="BB14" s="29" t="s">
        <v>621</v>
      </c>
      <c r="BC14" s="29" t="s">
        <v>626</v>
      </c>
      <c r="BD14" s="29" t="s">
        <v>626</v>
      </c>
      <c r="BE14" s="29" t="s">
        <v>621</v>
      </c>
      <c r="BF14" s="29" t="s">
        <v>621</v>
      </c>
      <c r="BG14" s="29" t="s">
        <v>621</v>
      </c>
      <c r="BH14" s="29" t="s">
        <v>626</v>
      </c>
      <c r="BI14" s="29" t="s">
        <v>621</v>
      </c>
      <c r="BJ14" s="29" t="s">
        <v>626</v>
      </c>
      <c r="BK14" s="29" t="s">
        <v>621</v>
      </c>
      <c r="BL14" s="29" t="s">
        <v>621</v>
      </c>
      <c r="BM14" s="38">
        <v>1</v>
      </c>
      <c r="BN14" s="29" t="s">
        <v>626</v>
      </c>
      <c r="BO14" s="29" t="s">
        <v>626</v>
      </c>
      <c r="BP14" s="29" t="s">
        <v>621</v>
      </c>
      <c r="BQ14" s="29" t="s">
        <v>621</v>
      </c>
      <c r="BR14" s="29" t="s">
        <v>621</v>
      </c>
      <c r="BS14" s="29" t="s">
        <v>621</v>
      </c>
      <c r="BT14" s="29" t="s">
        <v>621</v>
      </c>
      <c r="BU14" s="29"/>
      <c r="BV14" s="29" t="s">
        <v>636</v>
      </c>
      <c r="BW14" s="29"/>
      <c r="BX14" s="29"/>
      <c r="BY14" s="29"/>
    </row>
    <row r="15" customHeight="1" spans="1:77">
      <c r="A15" s="14" t="s">
        <v>511</v>
      </c>
      <c r="B15" s="15"/>
      <c r="C15" s="14" t="s">
        <v>678</v>
      </c>
      <c r="D15" s="31">
        <v>45734</v>
      </c>
      <c r="E15" s="29" t="s">
        <v>618</v>
      </c>
      <c r="F15" s="15"/>
      <c r="G15" s="15" t="s">
        <v>671</v>
      </c>
      <c r="H15" s="15" t="s">
        <v>280</v>
      </c>
      <c r="I15" s="42"/>
      <c r="J15" s="29"/>
      <c r="K15" s="15"/>
      <c r="L15" s="15"/>
      <c r="M15" s="14"/>
      <c r="N15" s="15"/>
      <c r="O15" s="55"/>
      <c r="P15" s="40"/>
      <c r="Q15" s="45" t="s">
        <v>673</v>
      </c>
      <c r="R15" s="29" t="s">
        <v>623</v>
      </c>
      <c r="S15" s="49"/>
      <c r="T15" s="15"/>
      <c r="U15" s="14"/>
      <c r="V15" s="44" t="s">
        <v>630</v>
      </c>
      <c r="W15" s="14" t="s">
        <v>680</v>
      </c>
      <c r="X15" s="15" t="s">
        <v>648</v>
      </c>
      <c r="Y15" s="14">
        <v>0</v>
      </c>
      <c r="Z15" s="31"/>
      <c r="AA15" s="31"/>
      <c r="AB15" s="31"/>
      <c r="AC15" s="29"/>
      <c r="AD15" s="29"/>
      <c r="AE15" s="29"/>
      <c r="AF15" s="29"/>
      <c r="AG15" s="31"/>
      <c r="AH15" s="31"/>
      <c r="AI15" s="29" t="s">
        <v>623</v>
      </c>
      <c r="AJ15" s="29"/>
      <c r="AK15" s="29"/>
      <c r="AL15" s="29" t="s">
        <v>623</v>
      </c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31"/>
      <c r="AZ15" s="31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38"/>
      <c r="BN15" s="29"/>
      <c r="BO15" s="29"/>
      <c r="BP15" s="29"/>
      <c r="BQ15" s="29"/>
      <c r="BR15" s="29"/>
      <c r="BS15" s="29"/>
      <c r="BT15" s="29"/>
      <c r="BU15" s="29"/>
      <c r="BV15" s="29" t="s">
        <v>636</v>
      </c>
      <c r="BW15" s="29"/>
      <c r="BX15" s="29"/>
      <c r="BY15" s="29"/>
    </row>
    <row r="16" customHeight="1" spans="1:77">
      <c r="A16" s="14" t="s">
        <v>510</v>
      </c>
      <c r="B16" s="15"/>
      <c r="C16" s="14" t="s">
        <v>681</v>
      </c>
      <c r="D16" s="31">
        <v>45734</v>
      </c>
      <c r="E16" s="29" t="s">
        <v>618</v>
      </c>
      <c r="F16" s="15"/>
      <c r="G16" s="15" t="s">
        <v>671</v>
      </c>
      <c r="H16" s="15" t="s">
        <v>86</v>
      </c>
      <c r="I16" s="42" t="s">
        <v>620</v>
      </c>
      <c r="J16" s="29"/>
      <c r="K16" s="15" t="s">
        <v>621</v>
      </c>
      <c r="L16" s="15" t="s">
        <v>622</v>
      </c>
      <c r="M16" s="14" t="s">
        <v>623</v>
      </c>
      <c r="N16" s="15" t="s">
        <v>626</v>
      </c>
      <c r="O16" s="54" t="s">
        <v>672</v>
      </c>
      <c r="P16" s="40" t="s">
        <v>626</v>
      </c>
      <c r="Q16" s="45" t="s">
        <v>673</v>
      </c>
      <c r="R16" s="29" t="s">
        <v>623</v>
      </c>
      <c r="S16" s="49"/>
      <c r="T16" s="15" t="s">
        <v>623</v>
      </c>
      <c r="U16" s="14"/>
      <c r="V16" s="44" t="s">
        <v>630</v>
      </c>
      <c r="W16" s="14" t="s">
        <v>682</v>
      </c>
      <c r="X16" s="15" t="s">
        <v>651</v>
      </c>
      <c r="Y16" s="48">
        <v>540</v>
      </c>
      <c r="Z16" s="31">
        <v>45754</v>
      </c>
      <c r="AA16" s="31">
        <v>45784</v>
      </c>
      <c r="AB16" s="31">
        <v>45784</v>
      </c>
      <c r="AC16" s="29" t="s">
        <v>621</v>
      </c>
      <c r="AD16" s="29" t="s">
        <v>621</v>
      </c>
      <c r="AE16" s="29" t="s">
        <v>621</v>
      </c>
      <c r="AF16" s="29" t="s">
        <v>621</v>
      </c>
      <c r="AG16" s="31">
        <v>45742</v>
      </c>
      <c r="AH16" s="31">
        <v>45769</v>
      </c>
      <c r="AI16" s="29" t="s">
        <v>623</v>
      </c>
      <c r="AJ16" s="31">
        <v>45776</v>
      </c>
      <c r="AK16" s="29"/>
      <c r="AL16" s="29" t="s">
        <v>623</v>
      </c>
      <c r="AM16" s="29"/>
      <c r="AN16" s="29"/>
      <c r="AO16" s="29"/>
      <c r="AP16" s="29"/>
      <c r="AQ16" s="29"/>
      <c r="AR16" s="29"/>
      <c r="AS16" s="29"/>
      <c r="AT16" s="29"/>
      <c r="AU16" s="29" t="s">
        <v>621</v>
      </c>
      <c r="AV16" s="29" t="s">
        <v>621</v>
      </c>
      <c r="AW16" s="29" t="s">
        <v>621</v>
      </c>
      <c r="AX16" s="29" t="s">
        <v>621</v>
      </c>
      <c r="AY16" s="31">
        <v>45748</v>
      </c>
      <c r="AZ16" s="31">
        <v>45765</v>
      </c>
      <c r="BA16" s="29" t="s">
        <v>621</v>
      </c>
      <c r="BB16" s="29" t="s">
        <v>621</v>
      </c>
      <c r="BC16" s="29" t="s">
        <v>626</v>
      </c>
      <c r="BD16" s="29" t="s">
        <v>626</v>
      </c>
      <c r="BE16" s="29" t="s">
        <v>621</v>
      </c>
      <c r="BF16" s="29" t="s">
        <v>621</v>
      </c>
      <c r="BG16" s="29" t="s">
        <v>621</v>
      </c>
      <c r="BH16" s="29" t="s">
        <v>626</v>
      </c>
      <c r="BI16" s="29" t="s">
        <v>621</v>
      </c>
      <c r="BJ16" s="29" t="s">
        <v>626</v>
      </c>
      <c r="BK16" s="29" t="s">
        <v>621</v>
      </c>
      <c r="BL16" s="29" t="s">
        <v>621</v>
      </c>
      <c r="BM16" s="38">
        <v>1</v>
      </c>
      <c r="BN16" s="29" t="s">
        <v>626</v>
      </c>
      <c r="BO16" s="29" t="s">
        <v>626</v>
      </c>
      <c r="BP16" s="29" t="s">
        <v>621</v>
      </c>
      <c r="BQ16" s="29" t="s">
        <v>621</v>
      </c>
      <c r="BR16" s="29" t="s">
        <v>621</v>
      </c>
      <c r="BS16" s="29" t="s">
        <v>621</v>
      </c>
      <c r="BT16" s="29" t="s">
        <v>621</v>
      </c>
      <c r="BU16" s="29"/>
      <c r="BV16" s="29" t="s">
        <v>636</v>
      </c>
      <c r="BW16" s="29"/>
      <c r="BX16" s="29"/>
      <c r="BY16" s="29"/>
    </row>
    <row r="17" customHeight="1" spans="1:77">
      <c r="A17" s="14" t="s">
        <v>27</v>
      </c>
      <c r="B17" s="15"/>
      <c r="C17" s="14" t="s">
        <v>683</v>
      </c>
      <c r="D17" s="31">
        <v>45734</v>
      </c>
      <c r="E17" s="29" t="s">
        <v>618</v>
      </c>
      <c r="F17" s="15"/>
      <c r="G17" s="15" t="s">
        <v>671</v>
      </c>
      <c r="H17" s="15" t="s">
        <v>280</v>
      </c>
      <c r="I17" s="40" t="s">
        <v>653</v>
      </c>
      <c r="J17" s="29"/>
      <c r="K17" s="15" t="s">
        <v>621</v>
      </c>
      <c r="L17" s="15" t="s">
        <v>622</v>
      </c>
      <c r="M17" s="53" t="s">
        <v>654</v>
      </c>
      <c r="N17" s="15" t="s">
        <v>626</v>
      </c>
      <c r="O17" s="54" t="s">
        <v>672</v>
      </c>
      <c r="P17" s="40" t="s">
        <v>626</v>
      </c>
      <c r="Q17" s="45" t="s">
        <v>673</v>
      </c>
      <c r="R17" s="29" t="s">
        <v>623</v>
      </c>
      <c r="S17" s="49"/>
      <c r="T17" s="15" t="s">
        <v>623</v>
      </c>
      <c r="U17" s="14"/>
      <c r="V17" s="47" t="s">
        <v>660</v>
      </c>
      <c r="W17" s="14" t="s">
        <v>684</v>
      </c>
      <c r="X17" s="15" t="s">
        <v>662</v>
      </c>
      <c r="Y17" s="14">
        <v>0</v>
      </c>
      <c r="Z17" s="31"/>
      <c r="AA17" s="31"/>
      <c r="AB17" s="31"/>
      <c r="AC17" s="29" t="s">
        <v>621</v>
      </c>
      <c r="AD17" s="29" t="s">
        <v>621</v>
      </c>
      <c r="AE17" s="29" t="s">
        <v>621</v>
      </c>
      <c r="AF17" s="29" t="s">
        <v>621</v>
      </c>
      <c r="AG17" s="31">
        <v>45761</v>
      </c>
      <c r="AH17" s="31">
        <v>45769</v>
      </c>
      <c r="AI17" s="29" t="s">
        <v>623</v>
      </c>
      <c r="AJ17" s="31">
        <v>45776</v>
      </c>
      <c r="AK17" s="29"/>
      <c r="AL17" s="29" t="s">
        <v>623</v>
      </c>
      <c r="AM17" s="29"/>
      <c r="AN17" s="29"/>
      <c r="AO17" s="29"/>
      <c r="AP17" s="29"/>
      <c r="AQ17" s="29"/>
      <c r="AR17" s="29"/>
      <c r="AS17" s="29"/>
      <c r="AT17" s="29"/>
      <c r="AU17" s="29" t="s">
        <v>621</v>
      </c>
      <c r="AV17" s="29" t="s">
        <v>621</v>
      </c>
      <c r="AW17" s="29" t="s">
        <v>621</v>
      </c>
      <c r="AX17" s="29" t="s">
        <v>621</v>
      </c>
      <c r="AY17" s="31">
        <v>45748</v>
      </c>
      <c r="AZ17" s="31">
        <v>45765</v>
      </c>
      <c r="BA17" s="29" t="s">
        <v>621</v>
      </c>
      <c r="BB17" s="29" t="s">
        <v>621</v>
      </c>
      <c r="BC17" s="29" t="s">
        <v>626</v>
      </c>
      <c r="BD17" s="29" t="s">
        <v>626</v>
      </c>
      <c r="BE17" s="29" t="s">
        <v>621</v>
      </c>
      <c r="BF17" s="29" t="s">
        <v>621</v>
      </c>
      <c r="BG17" s="29" t="s">
        <v>621</v>
      </c>
      <c r="BH17" s="29" t="s">
        <v>626</v>
      </c>
      <c r="BI17" s="29" t="s">
        <v>621</v>
      </c>
      <c r="BJ17" s="29" t="s">
        <v>626</v>
      </c>
      <c r="BK17" s="29" t="s">
        <v>621</v>
      </c>
      <c r="BL17" s="29" t="s">
        <v>621</v>
      </c>
      <c r="BM17" s="38">
        <v>1</v>
      </c>
      <c r="BN17" s="29" t="s">
        <v>626</v>
      </c>
      <c r="BO17" s="29" t="s">
        <v>626</v>
      </c>
      <c r="BP17" s="29" t="s">
        <v>621</v>
      </c>
      <c r="BQ17" s="29" t="s">
        <v>621</v>
      </c>
      <c r="BR17" s="29" t="s">
        <v>621</v>
      </c>
      <c r="BS17" s="29" t="s">
        <v>621</v>
      </c>
      <c r="BT17" s="29" t="s">
        <v>621</v>
      </c>
      <c r="BU17" s="29"/>
      <c r="BV17" s="29" t="s">
        <v>636</v>
      </c>
      <c r="BW17" s="29"/>
      <c r="BX17" s="29"/>
      <c r="BY17" s="29"/>
    </row>
    <row r="18" customHeight="1" spans="1:77">
      <c r="A18" s="14" t="s">
        <v>27</v>
      </c>
      <c r="B18" s="15"/>
      <c r="C18" s="14" t="s">
        <v>683</v>
      </c>
      <c r="D18" s="31">
        <v>45734</v>
      </c>
      <c r="E18" s="29" t="s">
        <v>618</v>
      </c>
      <c r="F18" s="15"/>
      <c r="G18" s="15" t="s">
        <v>671</v>
      </c>
      <c r="H18" s="15" t="s">
        <v>280</v>
      </c>
      <c r="I18" s="40"/>
      <c r="J18" s="29"/>
      <c r="K18" s="15"/>
      <c r="L18" s="15"/>
      <c r="M18" s="53"/>
      <c r="N18" s="15"/>
      <c r="O18" s="55"/>
      <c r="P18" s="40"/>
      <c r="Q18" s="45" t="s">
        <v>673</v>
      </c>
      <c r="R18" s="29" t="s">
        <v>623</v>
      </c>
      <c r="S18" s="49"/>
      <c r="T18" s="15"/>
      <c r="U18" s="14"/>
      <c r="V18" s="47" t="s">
        <v>660</v>
      </c>
      <c r="W18" s="14" t="s">
        <v>685</v>
      </c>
      <c r="X18" s="15" t="s">
        <v>662</v>
      </c>
      <c r="Y18" s="52">
        <v>1140</v>
      </c>
      <c r="Z18" s="31">
        <v>45761</v>
      </c>
      <c r="AA18" s="31">
        <v>45808</v>
      </c>
      <c r="AB18" s="31">
        <v>45808</v>
      </c>
      <c r="AC18" s="29"/>
      <c r="AD18" s="29"/>
      <c r="AE18" s="29"/>
      <c r="AF18" s="29" t="s">
        <v>621</v>
      </c>
      <c r="AG18" s="31">
        <v>45761</v>
      </c>
      <c r="AH18" s="31">
        <v>45769</v>
      </c>
      <c r="AI18" s="29" t="s">
        <v>623</v>
      </c>
      <c r="AJ18" s="31">
        <v>45776</v>
      </c>
      <c r="AK18" s="29"/>
      <c r="AL18" s="29" t="s">
        <v>623</v>
      </c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1"/>
      <c r="AZ18" s="31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38"/>
      <c r="BN18" s="29"/>
      <c r="BO18" s="29"/>
      <c r="BP18" s="29"/>
      <c r="BQ18" s="29"/>
      <c r="BR18" s="29"/>
      <c r="BS18" s="29"/>
      <c r="BT18" s="29"/>
      <c r="BU18" s="29"/>
      <c r="BV18" s="29" t="s">
        <v>636</v>
      </c>
      <c r="BW18" s="29"/>
      <c r="BX18" s="29"/>
      <c r="BY18" s="29"/>
    </row>
    <row r="19" customHeight="1" spans="1:77">
      <c r="A19" s="14" t="s">
        <v>29</v>
      </c>
      <c r="B19" s="15"/>
      <c r="C19" s="14" t="s">
        <v>686</v>
      </c>
      <c r="D19" s="31">
        <v>45734</v>
      </c>
      <c r="E19" s="29" t="s">
        <v>618</v>
      </c>
      <c r="F19" s="15"/>
      <c r="G19" s="15" t="s">
        <v>671</v>
      </c>
      <c r="H19" s="15" t="s">
        <v>86</v>
      </c>
      <c r="I19" s="40" t="s">
        <v>653</v>
      </c>
      <c r="J19" s="29"/>
      <c r="K19" s="15" t="s">
        <v>621</v>
      </c>
      <c r="L19" s="15" t="s">
        <v>622</v>
      </c>
      <c r="M19" s="53" t="s">
        <v>654</v>
      </c>
      <c r="N19" s="15" t="s">
        <v>626</v>
      </c>
      <c r="O19" s="54" t="s">
        <v>672</v>
      </c>
      <c r="P19" s="40"/>
      <c r="Q19" s="45" t="s">
        <v>673</v>
      </c>
      <c r="R19" s="29" t="s">
        <v>623</v>
      </c>
      <c r="S19" s="49"/>
      <c r="T19" s="15" t="s">
        <v>623</v>
      </c>
      <c r="U19" s="14"/>
      <c r="V19" s="47" t="s">
        <v>660</v>
      </c>
      <c r="W19" s="14" t="s">
        <v>687</v>
      </c>
      <c r="X19" s="15" t="s">
        <v>669</v>
      </c>
      <c r="Y19" s="52">
        <v>340</v>
      </c>
      <c r="Z19" s="31">
        <v>45761</v>
      </c>
      <c r="AA19" s="31">
        <v>45808</v>
      </c>
      <c r="AB19" s="31">
        <v>45808</v>
      </c>
      <c r="AC19" s="29" t="s">
        <v>621</v>
      </c>
      <c r="AD19" s="29" t="s">
        <v>621</v>
      </c>
      <c r="AE19" s="29" t="s">
        <v>621</v>
      </c>
      <c r="AF19" s="29" t="s">
        <v>621</v>
      </c>
      <c r="AG19" s="31">
        <v>45761</v>
      </c>
      <c r="AH19" s="31">
        <v>45769</v>
      </c>
      <c r="AI19" s="29" t="s">
        <v>623</v>
      </c>
      <c r="AJ19" s="31">
        <v>45776</v>
      </c>
      <c r="AK19" s="29"/>
      <c r="AL19" s="29" t="s">
        <v>623</v>
      </c>
      <c r="AM19" s="29"/>
      <c r="AN19" s="29"/>
      <c r="AO19" s="29"/>
      <c r="AP19" s="29"/>
      <c r="AQ19" s="29"/>
      <c r="AR19" s="29"/>
      <c r="AS19" s="29"/>
      <c r="AT19" s="29"/>
      <c r="AU19" s="29" t="s">
        <v>621</v>
      </c>
      <c r="AV19" s="29" t="s">
        <v>621</v>
      </c>
      <c r="AW19" s="29" t="s">
        <v>621</v>
      </c>
      <c r="AX19" s="29" t="s">
        <v>621</v>
      </c>
      <c r="AY19" s="31">
        <v>45748</v>
      </c>
      <c r="AZ19" s="31">
        <v>45765</v>
      </c>
      <c r="BA19" s="29" t="s">
        <v>621</v>
      </c>
      <c r="BB19" s="29" t="s">
        <v>621</v>
      </c>
      <c r="BC19" s="29" t="s">
        <v>626</v>
      </c>
      <c r="BD19" s="29" t="s">
        <v>626</v>
      </c>
      <c r="BE19" s="29" t="s">
        <v>621</v>
      </c>
      <c r="BF19" s="29" t="s">
        <v>621</v>
      </c>
      <c r="BG19" s="29" t="s">
        <v>621</v>
      </c>
      <c r="BH19" s="29" t="s">
        <v>626</v>
      </c>
      <c r="BI19" s="29" t="s">
        <v>621</v>
      </c>
      <c r="BJ19" s="29" t="s">
        <v>626</v>
      </c>
      <c r="BK19" s="29" t="s">
        <v>621</v>
      </c>
      <c r="BL19" s="29" t="s">
        <v>621</v>
      </c>
      <c r="BM19" s="38">
        <v>1</v>
      </c>
      <c r="BN19" s="29" t="s">
        <v>626</v>
      </c>
      <c r="BO19" s="29" t="s">
        <v>626</v>
      </c>
      <c r="BP19" s="29" t="s">
        <v>621</v>
      </c>
      <c r="BQ19" s="29" t="s">
        <v>621</v>
      </c>
      <c r="BR19" s="29" t="s">
        <v>621</v>
      </c>
      <c r="BS19" s="29" t="s">
        <v>621</v>
      </c>
      <c r="BT19" s="29" t="s">
        <v>621</v>
      </c>
      <c r="BU19" s="29"/>
      <c r="BV19" s="29" t="s">
        <v>636</v>
      </c>
      <c r="BW19" s="29"/>
      <c r="BX19" s="29"/>
      <c r="BY19" s="29"/>
    </row>
    <row r="20" customHeight="1" spans="1:77">
      <c r="A20" s="14" t="s">
        <v>29</v>
      </c>
      <c r="B20" s="1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45"/>
      <c r="P20" s="40"/>
      <c r="Q20" s="45"/>
      <c r="R20" s="45"/>
      <c r="S20" s="45"/>
      <c r="T20" s="15"/>
      <c r="U20" s="14"/>
      <c r="V20" s="45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29"/>
      <c r="AJ20" s="29"/>
      <c r="AK20" s="29"/>
      <c r="AL20" s="29"/>
      <c r="AM20" s="29"/>
      <c r="AN20" s="29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31"/>
      <c r="AZ20" s="31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38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</row>
    <row r="21" customHeight="1" spans="1:77">
      <c r="A21" s="14" t="s">
        <v>29</v>
      </c>
      <c r="B21" s="15"/>
      <c r="C21" s="45" t="s">
        <v>688</v>
      </c>
      <c r="D21" s="56">
        <v>45743</v>
      </c>
      <c r="E21" s="29" t="s">
        <v>618</v>
      </c>
      <c r="F21" s="15"/>
      <c r="G21" s="15" t="s">
        <v>619</v>
      </c>
      <c r="H21" s="14" t="s">
        <v>280</v>
      </c>
      <c r="I21" s="42" t="s">
        <v>620</v>
      </c>
      <c r="J21" s="29"/>
      <c r="K21" s="14" t="s">
        <v>621</v>
      </c>
      <c r="L21" s="15" t="s">
        <v>622</v>
      </c>
      <c r="M21" s="51" t="s">
        <v>689</v>
      </c>
      <c r="N21" s="14" t="s">
        <v>622</v>
      </c>
      <c r="O21" s="33" t="s">
        <v>690</v>
      </c>
      <c r="P21" s="40"/>
      <c r="Q21" s="45" t="s">
        <v>673</v>
      </c>
      <c r="R21" s="51" t="s">
        <v>691</v>
      </c>
      <c r="S21" s="45"/>
      <c r="T21" s="15" t="s">
        <v>623</v>
      </c>
      <c r="U21" s="14"/>
      <c r="V21" s="45"/>
      <c r="W21" s="15" t="s">
        <v>688</v>
      </c>
      <c r="X21" s="14"/>
      <c r="Y21" s="14"/>
      <c r="Z21" s="14"/>
      <c r="AA21" s="14"/>
      <c r="AB21" s="14"/>
      <c r="AC21" s="29" t="s">
        <v>621</v>
      </c>
      <c r="AD21" s="29" t="s">
        <v>621</v>
      </c>
      <c r="AE21" s="29" t="s">
        <v>621</v>
      </c>
      <c r="AF21" s="14" t="s">
        <v>621</v>
      </c>
      <c r="AG21" s="14"/>
      <c r="AH21" s="14"/>
      <c r="AI21" s="29" t="s">
        <v>623</v>
      </c>
      <c r="AJ21" s="29"/>
      <c r="AK21" s="29"/>
      <c r="AL21" s="29" t="s">
        <v>623</v>
      </c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14"/>
      <c r="AY21" s="31">
        <v>45748</v>
      </c>
      <c r="AZ21" s="31">
        <v>45765</v>
      </c>
      <c r="BA21" s="29" t="s">
        <v>621</v>
      </c>
      <c r="BB21" s="29" t="s">
        <v>621</v>
      </c>
      <c r="BC21" s="29" t="s">
        <v>626</v>
      </c>
      <c r="BD21" s="29" t="s">
        <v>626</v>
      </c>
      <c r="BE21" s="29" t="s">
        <v>621</v>
      </c>
      <c r="BF21" s="29" t="s">
        <v>621</v>
      </c>
      <c r="BG21" s="29" t="s">
        <v>621</v>
      </c>
      <c r="BH21" s="29" t="s">
        <v>626</v>
      </c>
      <c r="BI21" s="29" t="s">
        <v>621</v>
      </c>
      <c r="BJ21" s="29" t="s">
        <v>626</v>
      </c>
      <c r="BK21" s="29" t="s">
        <v>621</v>
      </c>
      <c r="BL21" s="29" t="s">
        <v>621</v>
      </c>
      <c r="BM21" s="38">
        <v>1</v>
      </c>
      <c r="BN21" s="29" t="s">
        <v>626</v>
      </c>
      <c r="BO21" s="29" t="s">
        <v>626</v>
      </c>
      <c r="BP21" s="29" t="s">
        <v>621</v>
      </c>
      <c r="BQ21" s="29" t="s">
        <v>621</v>
      </c>
      <c r="BR21" s="29" t="s">
        <v>621</v>
      </c>
      <c r="BS21" s="29" t="s">
        <v>621</v>
      </c>
      <c r="BT21" s="29" t="s">
        <v>621</v>
      </c>
      <c r="BU21" s="29"/>
      <c r="BV21" s="29"/>
      <c r="BW21" s="29"/>
      <c r="BX21" s="29"/>
      <c r="BY21" s="29"/>
    </row>
    <row r="22" customHeight="1" spans="1:77">
      <c r="A22" s="14" t="s">
        <v>29</v>
      </c>
      <c r="B22" s="15"/>
      <c r="C22" s="45" t="s">
        <v>692</v>
      </c>
      <c r="D22" s="56">
        <v>45743</v>
      </c>
      <c r="E22" s="29" t="s">
        <v>618</v>
      </c>
      <c r="F22" s="15"/>
      <c r="G22" s="15" t="s">
        <v>619</v>
      </c>
      <c r="H22" s="15" t="s">
        <v>86</v>
      </c>
      <c r="I22" s="42" t="s">
        <v>620</v>
      </c>
      <c r="J22" s="29"/>
      <c r="K22" s="15" t="s">
        <v>621</v>
      </c>
      <c r="L22" s="15" t="s">
        <v>622</v>
      </c>
      <c r="M22" s="51" t="s">
        <v>689</v>
      </c>
      <c r="N22" s="14" t="s">
        <v>622</v>
      </c>
      <c r="O22" s="33" t="s">
        <v>690</v>
      </c>
      <c r="P22" s="40"/>
      <c r="Q22" s="45" t="s">
        <v>673</v>
      </c>
      <c r="R22" s="45"/>
      <c r="S22" s="45"/>
      <c r="T22" s="15" t="s">
        <v>623</v>
      </c>
      <c r="U22" s="14"/>
      <c r="V22" s="45"/>
      <c r="W22" s="15" t="s">
        <v>692</v>
      </c>
      <c r="X22" s="14"/>
      <c r="Y22" s="14"/>
      <c r="Z22" s="14"/>
      <c r="AA22" s="14"/>
      <c r="AB22" s="14"/>
      <c r="AC22" s="29" t="s">
        <v>621</v>
      </c>
      <c r="AD22" s="29" t="s">
        <v>621</v>
      </c>
      <c r="AE22" s="29" t="s">
        <v>621</v>
      </c>
      <c r="AF22" s="15" t="s">
        <v>621</v>
      </c>
      <c r="AG22" s="14"/>
      <c r="AH22" s="14"/>
      <c r="AI22" s="29" t="s">
        <v>623</v>
      </c>
      <c r="AJ22" s="29"/>
      <c r="AK22" s="29"/>
      <c r="AL22" s="29" t="s">
        <v>623</v>
      </c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15"/>
      <c r="AY22" s="31">
        <v>45748</v>
      </c>
      <c r="AZ22" s="31">
        <v>45765</v>
      </c>
      <c r="BA22" s="29" t="s">
        <v>621</v>
      </c>
      <c r="BB22" s="29" t="s">
        <v>621</v>
      </c>
      <c r="BC22" s="29" t="s">
        <v>626</v>
      </c>
      <c r="BD22" s="29" t="s">
        <v>626</v>
      </c>
      <c r="BE22" s="29" t="s">
        <v>621</v>
      </c>
      <c r="BF22" s="29" t="s">
        <v>621</v>
      </c>
      <c r="BG22" s="29" t="s">
        <v>621</v>
      </c>
      <c r="BH22" s="29" t="s">
        <v>626</v>
      </c>
      <c r="BI22" s="29" t="s">
        <v>621</v>
      </c>
      <c r="BJ22" s="29" t="s">
        <v>626</v>
      </c>
      <c r="BK22" s="29" t="s">
        <v>621</v>
      </c>
      <c r="BL22" s="29" t="s">
        <v>621</v>
      </c>
      <c r="BM22" s="38">
        <v>1</v>
      </c>
      <c r="BN22" s="29" t="s">
        <v>626</v>
      </c>
      <c r="BO22" s="29" t="s">
        <v>626</v>
      </c>
      <c r="BP22" s="29" t="s">
        <v>621</v>
      </c>
      <c r="BQ22" s="29" t="s">
        <v>621</v>
      </c>
      <c r="BR22" s="29" t="s">
        <v>621</v>
      </c>
      <c r="BS22" s="29" t="s">
        <v>621</v>
      </c>
      <c r="BT22" s="29" t="s">
        <v>621</v>
      </c>
      <c r="BU22" s="29"/>
      <c r="BV22" s="29"/>
      <c r="BW22" s="29"/>
      <c r="BX22" s="29"/>
      <c r="BY22" s="29"/>
    </row>
    <row r="23" customHeight="1" spans="1:77">
      <c r="A23" s="14" t="s">
        <v>29</v>
      </c>
      <c r="B23" s="15"/>
      <c r="C23" s="45" t="s">
        <v>693</v>
      </c>
      <c r="D23" s="56">
        <v>45749</v>
      </c>
      <c r="E23" s="29" t="s">
        <v>618</v>
      </c>
      <c r="F23" s="15"/>
      <c r="G23" s="15" t="s">
        <v>619</v>
      </c>
      <c r="H23" s="14" t="s">
        <v>280</v>
      </c>
      <c r="I23" s="57" t="s">
        <v>653</v>
      </c>
      <c r="J23" s="29"/>
      <c r="K23" s="14" t="s">
        <v>621</v>
      </c>
      <c r="L23" s="15" t="s">
        <v>622</v>
      </c>
      <c r="M23" s="51" t="s">
        <v>694</v>
      </c>
      <c r="N23" s="14" t="s">
        <v>622</v>
      </c>
      <c r="O23" s="33" t="s">
        <v>690</v>
      </c>
      <c r="P23" s="40"/>
      <c r="Q23" s="45" t="s">
        <v>673</v>
      </c>
      <c r="R23" s="51" t="s">
        <v>695</v>
      </c>
      <c r="S23" s="45"/>
      <c r="T23" s="15" t="s">
        <v>623</v>
      </c>
      <c r="U23" s="14"/>
      <c r="V23" s="45"/>
      <c r="W23" s="14" t="s">
        <v>693</v>
      </c>
      <c r="X23" s="14"/>
      <c r="Y23" s="14"/>
      <c r="Z23" s="14"/>
      <c r="AA23" s="14"/>
      <c r="AB23" s="14"/>
      <c r="AC23" s="29" t="s">
        <v>621</v>
      </c>
      <c r="AD23" s="29" t="s">
        <v>621</v>
      </c>
      <c r="AE23" s="29" t="s">
        <v>621</v>
      </c>
      <c r="AF23" s="15" t="s">
        <v>621</v>
      </c>
      <c r="AG23" s="14"/>
      <c r="AH23" s="14"/>
      <c r="AI23" s="29" t="s">
        <v>623</v>
      </c>
      <c r="AJ23" s="29"/>
      <c r="AK23" s="29"/>
      <c r="AL23" s="29" t="s">
        <v>623</v>
      </c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15"/>
      <c r="AY23" s="31">
        <v>45748</v>
      </c>
      <c r="AZ23" s="31">
        <v>45765</v>
      </c>
      <c r="BA23" s="29" t="s">
        <v>621</v>
      </c>
      <c r="BB23" s="29" t="s">
        <v>621</v>
      </c>
      <c r="BC23" s="29" t="s">
        <v>626</v>
      </c>
      <c r="BD23" s="29" t="s">
        <v>626</v>
      </c>
      <c r="BE23" s="29" t="s">
        <v>621</v>
      </c>
      <c r="BF23" s="29" t="s">
        <v>621</v>
      </c>
      <c r="BG23" s="29" t="s">
        <v>621</v>
      </c>
      <c r="BH23" s="29" t="s">
        <v>626</v>
      </c>
      <c r="BI23" s="29" t="s">
        <v>621</v>
      </c>
      <c r="BJ23" s="29" t="s">
        <v>626</v>
      </c>
      <c r="BK23" s="29" t="s">
        <v>621</v>
      </c>
      <c r="BL23" s="29" t="s">
        <v>621</v>
      </c>
      <c r="BM23" s="38">
        <v>1</v>
      </c>
      <c r="BN23" s="29" t="s">
        <v>626</v>
      </c>
      <c r="BO23" s="29" t="s">
        <v>626</v>
      </c>
      <c r="BP23" s="29" t="s">
        <v>621</v>
      </c>
      <c r="BQ23" s="29" t="s">
        <v>621</v>
      </c>
      <c r="BR23" s="29" t="s">
        <v>621</v>
      </c>
      <c r="BS23" s="29" t="s">
        <v>621</v>
      </c>
      <c r="BT23" s="29" t="s">
        <v>621</v>
      </c>
      <c r="BU23" s="29"/>
      <c r="BV23" s="29"/>
      <c r="BW23" s="29"/>
      <c r="BX23" s="29"/>
      <c r="BY23" s="29"/>
    </row>
    <row r="24" customHeight="1" spans="1:77">
      <c r="A24" s="14" t="s">
        <v>29</v>
      </c>
      <c r="B24" s="15"/>
      <c r="C24" s="45" t="s">
        <v>696</v>
      </c>
      <c r="D24" s="56">
        <v>45749</v>
      </c>
      <c r="E24" s="29" t="s">
        <v>618</v>
      </c>
      <c r="F24" s="15"/>
      <c r="G24" s="15" t="s">
        <v>619</v>
      </c>
      <c r="H24" s="15" t="s">
        <v>86</v>
      </c>
      <c r="I24" s="42" t="s">
        <v>653</v>
      </c>
      <c r="J24" s="29"/>
      <c r="K24" s="15" t="s">
        <v>621</v>
      </c>
      <c r="L24" s="15" t="s">
        <v>622</v>
      </c>
      <c r="M24" s="51" t="s">
        <v>694</v>
      </c>
      <c r="N24" s="14" t="s">
        <v>622</v>
      </c>
      <c r="O24" s="33"/>
      <c r="P24" s="40"/>
      <c r="Q24" s="45" t="s">
        <v>673</v>
      </c>
      <c r="R24" s="45"/>
      <c r="S24" s="45"/>
      <c r="T24" s="15" t="s">
        <v>623</v>
      </c>
      <c r="U24" s="14"/>
      <c r="V24" s="45"/>
      <c r="W24" s="14" t="s">
        <v>696</v>
      </c>
      <c r="X24" s="14"/>
      <c r="Y24" s="14"/>
      <c r="Z24" s="14"/>
      <c r="AA24" s="14"/>
      <c r="AB24" s="14"/>
      <c r="AC24" s="29" t="s">
        <v>621</v>
      </c>
      <c r="AD24" s="29" t="s">
        <v>621</v>
      </c>
      <c r="AE24" s="29" t="s">
        <v>621</v>
      </c>
      <c r="AF24" s="15" t="s">
        <v>621</v>
      </c>
      <c r="AG24" s="14"/>
      <c r="AH24" s="14"/>
      <c r="AI24" s="29" t="s">
        <v>623</v>
      </c>
      <c r="AJ24" s="29"/>
      <c r="AK24" s="29"/>
      <c r="AL24" s="29" t="s">
        <v>623</v>
      </c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15"/>
      <c r="AY24" s="31">
        <v>45748</v>
      </c>
      <c r="AZ24" s="31">
        <v>45765</v>
      </c>
      <c r="BA24" s="29" t="s">
        <v>621</v>
      </c>
      <c r="BB24" s="29" t="s">
        <v>621</v>
      </c>
      <c r="BC24" s="29" t="s">
        <v>626</v>
      </c>
      <c r="BD24" s="29" t="s">
        <v>626</v>
      </c>
      <c r="BE24" s="29" t="s">
        <v>621</v>
      </c>
      <c r="BF24" s="29" t="s">
        <v>621</v>
      </c>
      <c r="BG24" s="29" t="s">
        <v>621</v>
      </c>
      <c r="BH24" s="29" t="s">
        <v>626</v>
      </c>
      <c r="BI24" s="29" t="s">
        <v>621</v>
      </c>
      <c r="BJ24" s="29" t="s">
        <v>626</v>
      </c>
      <c r="BK24" s="29" t="s">
        <v>621</v>
      </c>
      <c r="BL24" s="29" t="s">
        <v>621</v>
      </c>
      <c r="BM24" s="38">
        <v>1</v>
      </c>
      <c r="BN24" s="29" t="s">
        <v>626</v>
      </c>
      <c r="BO24" s="29" t="s">
        <v>626</v>
      </c>
      <c r="BP24" s="29" t="s">
        <v>621</v>
      </c>
      <c r="BQ24" s="29" t="s">
        <v>621</v>
      </c>
      <c r="BR24" s="29" t="s">
        <v>621</v>
      </c>
      <c r="BS24" s="29" t="s">
        <v>621</v>
      </c>
      <c r="BT24" s="29" t="s">
        <v>621</v>
      </c>
      <c r="BU24" s="29"/>
      <c r="BV24" s="29"/>
      <c r="BW24" s="29"/>
      <c r="BX24" s="29"/>
      <c r="BY24" s="29"/>
    </row>
    <row r="25" customHeight="1" spans="1:77">
      <c r="A25" s="14" t="s">
        <v>29</v>
      </c>
      <c r="B25" s="15"/>
      <c r="C25" s="49"/>
      <c r="D25" s="56"/>
      <c r="E25" s="29"/>
      <c r="F25" s="15"/>
      <c r="G25" s="15"/>
      <c r="H25" s="15"/>
      <c r="I25" s="42"/>
      <c r="J25" s="29"/>
      <c r="K25" s="15"/>
      <c r="L25" s="15"/>
      <c r="M25" s="53"/>
      <c r="N25" s="14"/>
      <c r="O25" s="45"/>
      <c r="P25" s="40"/>
      <c r="Q25" s="45"/>
      <c r="R25" s="47"/>
      <c r="S25" s="45"/>
      <c r="T25" s="15" t="s">
        <v>623</v>
      </c>
      <c r="U25" s="14"/>
      <c r="V25" s="45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29" t="s">
        <v>623</v>
      </c>
      <c r="AJ25" s="29"/>
      <c r="AK25" s="29"/>
      <c r="AL25" s="29" t="s">
        <v>623</v>
      </c>
      <c r="AM25" s="29"/>
      <c r="AN25" s="29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31">
        <v>45748</v>
      </c>
      <c r="AZ25" s="31">
        <v>45765</v>
      </c>
      <c r="BA25" s="29" t="s">
        <v>621</v>
      </c>
      <c r="BB25" s="29" t="s">
        <v>621</v>
      </c>
      <c r="BC25" s="29" t="s">
        <v>626</v>
      </c>
      <c r="BD25" s="29" t="s">
        <v>626</v>
      </c>
      <c r="BE25" s="29" t="s">
        <v>621</v>
      </c>
      <c r="BF25" s="29" t="s">
        <v>621</v>
      </c>
      <c r="BG25" s="29" t="s">
        <v>621</v>
      </c>
      <c r="BH25" s="29" t="s">
        <v>626</v>
      </c>
      <c r="BI25" s="29" t="s">
        <v>621</v>
      </c>
      <c r="BJ25" s="29" t="s">
        <v>626</v>
      </c>
      <c r="BK25" s="29" t="s">
        <v>621</v>
      </c>
      <c r="BL25" s="29" t="s">
        <v>621</v>
      </c>
      <c r="BM25" s="38">
        <v>1</v>
      </c>
      <c r="BN25" s="29" t="s">
        <v>626</v>
      </c>
      <c r="BO25" s="29" t="s">
        <v>626</v>
      </c>
      <c r="BP25" s="29" t="s">
        <v>621</v>
      </c>
      <c r="BQ25" s="29" t="s">
        <v>621</v>
      </c>
      <c r="BR25" s="29" t="s">
        <v>621</v>
      </c>
      <c r="BS25" s="29" t="s">
        <v>621</v>
      </c>
      <c r="BT25" s="29" t="s">
        <v>621</v>
      </c>
      <c r="BU25" s="29"/>
      <c r="BV25" s="29"/>
      <c r="BW25" s="29"/>
      <c r="BX25" s="29"/>
      <c r="BY25" s="29"/>
    </row>
    <row r="26" customHeight="1" spans="1:77">
      <c r="A26" s="14" t="s">
        <v>29</v>
      </c>
      <c r="B26" s="15"/>
      <c r="C26" s="45" t="s">
        <v>697</v>
      </c>
      <c r="D26" s="56">
        <v>45754</v>
      </c>
      <c r="E26" s="29" t="s">
        <v>618</v>
      </c>
      <c r="F26" s="15"/>
      <c r="G26" s="15" t="s">
        <v>619</v>
      </c>
      <c r="H26" s="14" t="s">
        <v>280</v>
      </c>
      <c r="I26" s="42" t="s">
        <v>653</v>
      </c>
      <c r="J26" s="29"/>
      <c r="K26" s="15" t="s">
        <v>621</v>
      </c>
      <c r="L26" s="15" t="s">
        <v>622</v>
      </c>
      <c r="M26" s="51" t="s">
        <v>698</v>
      </c>
      <c r="N26" s="14" t="s">
        <v>622</v>
      </c>
      <c r="O26" s="33" t="s">
        <v>699</v>
      </c>
      <c r="P26" s="40"/>
      <c r="Q26" s="33" t="s">
        <v>700</v>
      </c>
      <c r="R26" s="33" t="s">
        <v>701</v>
      </c>
      <c r="S26" s="45"/>
      <c r="T26" s="15" t="s">
        <v>623</v>
      </c>
      <c r="U26" s="14"/>
      <c r="V26" s="45"/>
      <c r="W26" s="15" t="s">
        <v>697</v>
      </c>
      <c r="X26" s="14"/>
      <c r="Y26" s="14"/>
      <c r="Z26" s="14"/>
      <c r="AA26" s="14"/>
      <c r="AB26" s="14"/>
      <c r="AC26" s="14" t="s">
        <v>621</v>
      </c>
      <c r="AD26" s="14" t="s">
        <v>621</v>
      </c>
      <c r="AE26" s="14" t="s">
        <v>621</v>
      </c>
      <c r="AF26" s="14" t="s">
        <v>621</v>
      </c>
      <c r="AG26" s="14"/>
      <c r="AH26" s="14"/>
      <c r="AI26" s="29" t="s">
        <v>623</v>
      </c>
      <c r="AJ26" s="29"/>
      <c r="AK26" s="29"/>
      <c r="AL26" s="29" t="s">
        <v>623</v>
      </c>
      <c r="AM26" s="29"/>
      <c r="AN26" s="29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31">
        <v>45748</v>
      </c>
      <c r="AZ26" s="31">
        <v>45765</v>
      </c>
      <c r="BA26" s="29" t="s">
        <v>621</v>
      </c>
      <c r="BB26" s="29" t="s">
        <v>621</v>
      </c>
      <c r="BC26" s="29" t="s">
        <v>626</v>
      </c>
      <c r="BD26" s="29" t="s">
        <v>626</v>
      </c>
      <c r="BE26" s="29" t="s">
        <v>621</v>
      </c>
      <c r="BF26" s="29" t="s">
        <v>621</v>
      </c>
      <c r="BG26" s="29" t="s">
        <v>621</v>
      </c>
      <c r="BH26" s="29" t="s">
        <v>626</v>
      </c>
      <c r="BI26" s="29" t="s">
        <v>621</v>
      </c>
      <c r="BJ26" s="29" t="s">
        <v>626</v>
      </c>
      <c r="BK26" s="29" t="s">
        <v>621</v>
      </c>
      <c r="BL26" s="29" t="s">
        <v>621</v>
      </c>
      <c r="BM26" s="38">
        <v>1</v>
      </c>
      <c r="BN26" s="29" t="s">
        <v>626</v>
      </c>
      <c r="BO26" s="29" t="s">
        <v>626</v>
      </c>
      <c r="BP26" s="29" t="s">
        <v>621</v>
      </c>
      <c r="BQ26" s="29" t="s">
        <v>621</v>
      </c>
      <c r="BR26" s="29" t="s">
        <v>621</v>
      </c>
      <c r="BS26" s="29" t="s">
        <v>621</v>
      </c>
      <c r="BT26" s="29" t="s">
        <v>621</v>
      </c>
      <c r="BU26" s="29"/>
      <c r="BV26" s="29"/>
      <c r="BW26" s="29"/>
      <c r="BX26" s="29"/>
      <c r="BY26" s="29"/>
    </row>
    <row r="27" customHeight="1" spans="1:77">
      <c r="A27" s="14"/>
      <c r="B27" s="14"/>
      <c r="C27" s="45" t="s">
        <v>702</v>
      </c>
      <c r="D27" s="56">
        <v>45754</v>
      </c>
      <c r="E27" s="29" t="s">
        <v>618</v>
      </c>
      <c r="F27" s="15"/>
      <c r="G27" s="15" t="s">
        <v>619</v>
      </c>
      <c r="H27" s="15" t="s">
        <v>86</v>
      </c>
      <c r="I27" s="42" t="s">
        <v>653</v>
      </c>
      <c r="J27" s="29"/>
      <c r="K27" s="15" t="s">
        <v>621</v>
      </c>
      <c r="L27" s="15"/>
      <c r="M27" s="53" t="s">
        <v>698</v>
      </c>
      <c r="N27" s="14"/>
      <c r="O27" s="47"/>
      <c r="P27" s="40"/>
      <c r="Q27" s="33" t="s">
        <v>703</v>
      </c>
      <c r="R27" s="47" t="s">
        <v>701</v>
      </c>
      <c r="S27" s="45"/>
      <c r="T27" s="15" t="s">
        <v>623</v>
      </c>
      <c r="U27" s="14"/>
      <c r="V27" s="45"/>
      <c r="W27" s="15" t="s">
        <v>702</v>
      </c>
      <c r="X27" s="14"/>
      <c r="Y27" s="14"/>
      <c r="Z27" s="14"/>
      <c r="AA27" s="14"/>
      <c r="AB27" s="14"/>
      <c r="AC27" s="15" t="s">
        <v>621</v>
      </c>
      <c r="AD27" s="15" t="s">
        <v>621</v>
      </c>
      <c r="AE27" s="15" t="s">
        <v>621</v>
      </c>
      <c r="AF27" s="15" t="s">
        <v>621</v>
      </c>
      <c r="AG27" s="14"/>
      <c r="AH27" s="14"/>
      <c r="AI27" s="29" t="s">
        <v>623</v>
      </c>
      <c r="AJ27" s="29"/>
      <c r="AK27" s="29"/>
      <c r="AL27" s="29" t="s">
        <v>623</v>
      </c>
      <c r="AM27" s="29"/>
      <c r="AN27" s="29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31">
        <v>45748</v>
      </c>
      <c r="AZ27" s="31">
        <v>45765</v>
      </c>
      <c r="BA27" s="29" t="s">
        <v>621</v>
      </c>
      <c r="BB27" s="29" t="s">
        <v>621</v>
      </c>
      <c r="BC27" s="29" t="s">
        <v>626</v>
      </c>
      <c r="BD27" s="29" t="s">
        <v>626</v>
      </c>
      <c r="BE27" s="29" t="s">
        <v>621</v>
      </c>
      <c r="BF27" s="29" t="s">
        <v>621</v>
      </c>
      <c r="BG27" s="29" t="s">
        <v>621</v>
      </c>
      <c r="BH27" s="29" t="s">
        <v>626</v>
      </c>
      <c r="BI27" s="29" t="s">
        <v>621</v>
      </c>
      <c r="BJ27" s="29" t="s">
        <v>626</v>
      </c>
      <c r="BK27" s="29" t="s">
        <v>621</v>
      </c>
      <c r="BL27" s="29" t="s">
        <v>621</v>
      </c>
      <c r="BM27" s="38">
        <v>1</v>
      </c>
      <c r="BN27" s="29" t="s">
        <v>626</v>
      </c>
      <c r="BO27" s="29" t="s">
        <v>626</v>
      </c>
      <c r="BP27" s="29" t="s">
        <v>621</v>
      </c>
      <c r="BQ27" s="29" t="s">
        <v>621</v>
      </c>
      <c r="BR27" s="29" t="s">
        <v>621</v>
      </c>
      <c r="BS27" s="29" t="s">
        <v>621</v>
      </c>
      <c r="BT27" s="29" t="s">
        <v>621</v>
      </c>
      <c r="BU27" s="29"/>
      <c r="BV27" s="29"/>
      <c r="BW27" s="29"/>
      <c r="BX27" s="29"/>
      <c r="BY27" s="29"/>
    </row>
    <row r="28" customHeight="1" spans="1:77">
      <c r="A28" s="14"/>
      <c r="B28" s="14"/>
      <c r="C28" s="45" t="s">
        <v>704</v>
      </c>
      <c r="D28" s="56">
        <v>45754</v>
      </c>
      <c r="E28" s="29" t="s">
        <v>618</v>
      </c>
      <c r="F28" s="15"/>
      <c r="G28" s="15" t="s">
        <v>619</v>
      </c>
      <c r="H28" s="14" t="s">
        <v>280</v>
      </c>
      <c r="I28" s="42" t="s">
        <v>653</v>
      </c>
      <c r="J28" s="29"/>
      <c r="K28" s="15" t="s">
        <v>621</v>
      </c>
      <c r="L28" s="15" t="s">
        <v>622</v>
      </c>
      <c r="M28" s="53" t="s">
        <v>698</v>
      </c>
      <c r="N28" s="14" t="s">
        <v>622</v>
      </c>
      <c r="O28" s="47" t="s">
        <v>699</v>
      </c>
      <c r="P28" s="40"/>
      <c r="Q28" s="33" t="s">
        <v>700</v>
      </c>
      <c r="R28" s="47" t="s">
        <v>701</v>
      </c>
      <c r="S28" s="45"/>
      <c r="T28" s="15" t="s">
        <v>623</v>
      </c>
      <c r="U28" s="14"/>
      <c r="V28" s="45"/>
      <c r="W28" s="14" t="s">
        <v>704</v>
      </c>
      <c r="X28" s="14"/>
      <c r="Y28" s="14"/>
      <c r="Z28" s="14"/>
      <c r="AA28" s="14"/>
      <c r="AB28" s="14"/>
      <c r="AC28" s="15" t="s">
        <v>621</v>
      </c>
      <c r="AD28" s="15" t="s">
        <v>621</v>
      </c>
      <c r="AE28" s="15" t="s">
        <v>621</v>
      </c>
      <c r="AF28" s="15" t="s">
        <v>621</v>
      </c>
      <c r="AG28" s="14"/>
      <c r="AH28" s="14"/>
      <c r="AI28" s="29" t="s">
        <v>623</v>
      </c>
      <c r="AJ28" s="29"/>
      <c r="AK28" s="29"/>
      <c r="AL28" s="29" t="s">
        <v>623</v>
      </c>
      <c r="AM28" s="29"/>
      <c r="AN28" s="29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31">
        <v>45748</v>
      </c>
      <c r="AZ28" s="31">
        <v>45765</v>
      </c>
      <c r="BA28" s="29" t="s">
        <v>621</v>
      </c>
      <c r="BB28" s="29" t="s">
        <v>621</v>
      </c>
      <c r="BC28" s="29" t="s">
        <v>626</v>
      </c>
      <c r="BD28" s="29" t="s">
        <v>626</v>
      </c>
      <c r="BE28" s="29" t="s">
        <v>621</v>
      </c>
      <c r="BF28" s="29" t="s">
        <v>621</v>
      </c>
      <c r="BG28" s="29" t="s">
        <v>621</v>
      </c>
      <c r="BH28" s="29" t="s">
        <v>626</v>
      </c>
      <c r="BI28" s="29" t="s">
        <v>621</v>
      </c>
      <c r="BJ28" s="29" t="s">
        <v>626</v>
      </c>
      <c r="BK28" s="29" t="s">
        <v>621</v>
      </c>
      <c r="BL28" s="29" t="s">
        <v>621</v>
      </c>
      <c r="BM28" s="38">
        <v>1</v>
      </c>
      <c r="BN28" s="29" t="s">
        <v>626</v>
      </c>
      <c r="BO28" s="29" t="s">
        <v>626</v>
      </c>
      <c r="BP28" s="29" t="s">
        <v>621</v>
      </c>
      <c r="BQ28" s="29" t="s">
        <v>621</v>
      </c>
      <c r="BR28" s="29" t="s">
        <v>621</v>
      </c>
      <c r="BS28" s="29" t="s">
        <v>621</v>
      </c>
      <c r="BT28" s="29" t="s">
        <v>621</v>
      </c>
      <c r="BU28" s="29"/>
      <c r="BV28" s="29"/>
      <c r="BW28" s="29"/>
      <c r="BX28" s="29"/>
      <c r="BY28" s="29"/>
    </row>
    <row r="29" customHeight="1" spans="1:77">
      <c r="A29" s="14"/>
      <c r="B29" s="14"/>
      <c r="C29" s="45" t="s">
        <v>705</v>
      </c>
      <c r="D29" s="56">
        <v>45754</v>
      </c>
      <c r="E29" s="29" t="s">
        <v>618</v>
      </c>
      <c r="F29" s="15"/>
      <c r="G29" s="15" t="s">
        <v>619</v>
      </c>
      <c r="H29" s="15" t="s">
        <v>86</v>
      </c>
      <c r="I29" s="42" t="s">
        <v>653</v>
      </c>
      <c r="J29" s="29"/>
      <c r="K29" s="15" t="s">
        <v>621</v>
      </c>
      <c r="L29" s="15"/>
      <c r="M29" s="53" t="s">
        <v>698</v>
      </c>
      <c r="N29" s="14"/>
      <c r="O29" s="47"/>
      <c r="P29" s="40"/>
      <c r="Q29" s="33" t="s">
        <v>703</v>
      </c>
      <c r="R29" s="47" t="s">
        <v>701</v>
      </c>
      <c r="S29" s="45"/>
      <c r="T29" s="15" t="s">
        <v>623</v>
      </c>
      <c r="U29" s="14"/>
      <c r="V29" s="45"/>
      <c r="W29" s="14" t="s">
        <v>705</v>
      </c>
      <c r="X29" s="14"/>
      <c r="Y29" s="14"/>
      <c r="Z29" s="14"/>
      <c r="AA29" s="14"/>
      <c r="AB29" s="14"/>
      <c r="AC29" s="15" t="s">
        <v>621</v>
      </c>
      <c r="AD29" s="15" t="s">
        <v>621</v>
      </c>
      <c r="AE29" s="15" t="s">
        <v>621</v>
      </c>
      <c r="AF29" s="15" t="s">
        <v>621</v>
      </c>
      <c r="AG29" s="14"/>
      <c r="AH29" s="14"/>
      <c r="AI29" s="29" t="s">
        <v>623</v>
      </c>
      <c r="AJ29" s="29"/>
      <c r="AK29" s="29"/>
      <c r="AL29" s="29" t="s">
        <v>623</v>
      </c>
      <c r="AM29" s="29"/>
      <c r="AN29" s="29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31">
        <v>45748</v>
      </c>
      <c r="AZ29" s="31">
        <v>45765</v>
      </c>
      <c r="BA29" s="29" t="s">
        <v>621</v>
      </c>
      <c r="BB29" s="29" t="s">
        <v>621</v>
      </c>
      <c r="BC29" s="29" t="s">
        <v>626</v>
      </c>
      <c r="BD29" s="29" t="s">
        <v>626</v>
      </c>
      <c r="BE29" s="29" t="s">
        <v>621</v>
      </c>
      <c r="BF29" s="29" t="s">
        <v>621</v>
      </c>
      <c r="BG29" s="29" t="s">
        <v>621</v>
      </c>
      <c r="BH29" s="29" t="s">
        <v>626</v>
      </c>
      <c r="BI29" s="29" t="s">
        <v>621</v>
      </c>
      <c r="BJ29" s="29" t="s">
        <v>626</v>
      </c>
      <c r="BK29" s="29" t="s">
        <v>621</v>
      </c>
      <c r="BL29" s="29" t="s">
        <v>621</v>
      </c>
      <c r="BM29" s="38">
        <v>1</v>
      </c>
      <c r="BN29" s="29" t="s">
        <v>626</v>
      </c>
      <c r="BO29" s="29" t="s">
        <v>626</v>
      </c>
      <c r="BP29" s="29" t="s">
        <v>621</v>
      </c>
      <c r="BQ29" s="29" t="s">
        <v>621</v>
      </c>
      <c r="BR29" s="29" t="s">
        <v>621</v>
      </c>
      <c r="BS29" s="29" t="s">
        <v>621</v>
      </c>
      <c r="BT29" s="29" t="s">
        <v>621</v>
      </c>
      <c r="BU29" s="29"/>
      <c r="BV29" s="29"/>
      <c r="BW29" s="29"/>
      <c r="BX29" s="29"/>
      <c r="BY29" s="29"/>
    </row>
    <row r="30" customHeight="1" spans="1:77">
      <c r="A30" s="14"/>
      <c r="B30" s="14"/>
      <c r="C30" s="14"/>
      <c r="D30" s="56"/>
      <c r="E30" s="29"/>
      <c r="F30" s="15"/>
      <c r="G30" s="15"/>
      <c r="H30" s="14"/>
      <c r="I30" s="42"/>
      <c r="J30" s="29"/>
      <c r="K30" s="15"/>
      <c r="L30" s="14"/>
      <c r="M30" s="14"/>
      <c r="N30" s="14"/>
      <c r="O30" s="45"/>
      <c r="P30" s="40"/>
      <c r="Q30" s="45"/>
      <c r="R30" s="45"/>
      <c r="S30" s="45"/>
      <c r="T30" s="15" t="s">
        <v>623</v>
      </c>
      <c r="U30" s="14"/>
      <c r="V30" s="45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</row>
    <row r="31" customHeight="1" spans="1:77">
      <c r="A31" s="14"/>
      <c r="B31" s="14"/>
      <c r="C31" s="14"/>
      <c r="D31" s="56"/>
      <c r="E31" s="29"/>
      <c r="F31" s="15"/>
      <c r="G31" s="15"/>
      <c r="H31" s="15"/>
      <c r="I31" s="42"/>
      <c r="J31" s="29"/>
      <c r="K31" s="15"/>
      <c r="L31" s="14"/>
      <c r="M31" s="14"/>
      <c r="N31" s="14"/>
      <c r="O31" s="45"/>
      <c r="P31" s="40"/>
      <c r="Q31" s="45"/>
      <c r="R31" s="45"/>
      <c r="S31" s="45"/>
      <c r="T31" s="15" t="s">
        <v>623</v>
      </c>
      <c r="U31" s="14"/>
      <c r="V31" s="45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</row>
    <row r="32" customHeight="1" spans="1:77">
      <c r="A32" s="14"/>
      <c r="B32" s="14"/>
      <c r="C32" s="14" t="s">
        <v>706</v>
      </c>
      <c r="D32" s="56">
        <v>45758</v>
      </c>
      <c r="E32" s="29" t="s">
        <v>618</v>
      </c>
      <c r="F32" s="15"/>
      <c r="G32" s="15" t="s">
        <v>619</v>
      </c>
      <c r="H32" s="14" t="s">
        <v>280</v>
      </c>
      <c r="I32" s="42" t="s">
        <v>620</v>
      </c>
      <c r="J32" s="29"/>
      <c r="K32" s="15" t="s">
        <v>621</v>
      </c>
      <c r="L32" s="15" t="s">
        <v>622</v>
      </c>
      <c r="M32" s="14"/>
      <c r="N32" s="15" t="s">
        <v>622</v>
      </c>
      <c r="O32" s="45"/>
      <c r="P32" s="40"/>
      <c r="Q32" s="45"/>
      <c r="R32" s="14"/>
      <c r="S32" s="45"/>
      <c r="T32" s="15" t="s">
        <v>623</v>
      </c>
      <c r="U32" s="14"/>
      <c r="V32" s="45"/>
      <c r="W32" s="14" t="s">
        <v>706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</row>
    <row r="33" customHeight="1" spans="1:77">
      <c r="A33" s="14"/>
      <c r="B33" s="14"/>
      <c r="C33" s="14" t="s">
        <v>707</v>
      </c>
      <c r="D33" s="56">
        <v>45758</v>
      </c>
      <c r="E33" s="29" t="s">
        <v>618</v>
      </c>
      <c r="F33" s="15"/>
      <c r="G33" s="15" t="s">
        <v>619</v>
      </c>
      <c r="H33" s="15" t="s">
        <v>86</v>
      </c>
      <c r="I33" s="42" t="s">
        <v>620</v>
      </c>
      <c r="J33" s="29"/>
      <c r="K33" s="15" t="s">
        <v>621</v>
      </c>
      <c r="L33" s="15" t="s">
        <v>622</v>
      </c>
      <c r="M33" s="14"/>
      <c r="N33" s="15" t="s">
        <v>622</v>
      </c>
      <c r="O33" s="45"/>
      <c r="P33" s="40"/>
      <c r="Q33" s="45"/>
      <c r="R33" s="14"/>
      <c r="S33" s="45"/>
      <c r="T33" s="15" t="s">
        <v>623</v>
      </c>
      <c r="U33" s="14"/>
      <c r="V33" s="45"/>
      <c r="W33" s="14" t="s">
        <v>707</v>
      </c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</row>
    <row r="34" customHeight="1" spans="1:77">
      <c r="A34" s="14"/>
      <c r="B34" s="14"/>
      <c r="C34" s="14"/>
      <c r="D34" s="56"/>
      <c r="E34" s="29"/>
      <c r="F34" s="15"/>
      <c r="G34" s="15"/>
      <c r="H34" s="15"/>
      <c r="I34" s="42"/>
      <c r="J34" s="29"/>
      <c r="K34" s="15"/>
      <c r="L34" s="14"/>
      <c r="M34" s="14"/>
      <c r="N34" s="14"/>
      <c r="O34" s="45"/>
      <c r="P34" s="40"/>
      <c r="Q34" s="45"/>
      <c r="R34" s="14"/>
      <c r="S34" s="45"/>
      <c r="T34" s="15" t="s">
        <v>623</v>
      </c>
      <c r="U34" s="14"/>
      <c r="V34" s="45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</row>
    <row r="35" customHeight="1" spans="1:77">
      <c r="A35" s="14"/>
      <c r="B35" s="14"/>
      <c r="C35" s="14"/>
      <c r="D35" s="56"/>
      <c r="E35" s="29"/>
      <c r="F35" s="15"/>
      <c r="G35" s="15"/>
      <c r="H35" s="15"/>
      <c r="I35" s="42"/>
      <c r="J35" s="29"/>
      <c r="K35" s="15"/>
      <c r="L35" s="14"/>
      <c r="M35" s="14"/>
      <c r="N35" s="14"/>
      <c r="O35" s="45"/>
      <c r="P35" s="40"/>
      <c r="Q35" s="45"/>
      <c r="R35" s="14"/>
      <c r="S35" s="45"/>
      <c r="T35" s="15" t="s">
        <v>623</v>
      </c>
      <c r="U35" s="14"/>
      <c r="V35" s="45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</row>
    <row r="36" customHeight="1" spans="1:77">
      <c r="A36" s="14"/>
      <c r="B36" s="14"/>
      <c r="C36" s="58" t="s">
        <v>708</v>
      </c>
      <c r="D36" s="56">
        <v>45758</v>
      </c>
      <c r="E36" s="29" t="s">
        <v>618</v>
      </c>
      <c r="F36" s="15"/>
      <c r="G36" s="15" t="s">
        <v>619</v>
      </c>
      <c r="H36" s="14" t="s">
        <v>280</v>
      </c>
      <c r="I36" s="42" t="s">
        <v>620</v>
      </c>
      <c r="J36" s="29"/>
      <c r="K36" s="15" t="s">
        <v>621</v>
      </c>
      <c r="L36" s="15" t="s">
        <v>622</v>
      </c>
      <c r="M36" s="51" t="s">
        <v>628</v>
      </c>
      <c r="N36" s="15" t="s">
        <v>622</v>
      </c>
      <c r="O36" s="45"/>
      <c r="P36" s="40"/>
      <c r="Q36" s="45"/>
      <c r="R36" s="53" t="s">
        <v>628</v>
      </c>
      <c r="S36" s="45"/>
      <c r="T36" s="15" t="s">
        <v>623</v>
      </c>
      <c r="U36" s="14"/>
      <c r="V36" s="45"/>
      <c r="W36" s="58" t="s">
        <v>708</v>
      </c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</row>
    <row r="37" customHeight="1" spans="1:77">
      <c r="A37" s="14"/>
      <c r="B37" s="14"/>
      <c r="C37" s="14" t="s">
        <v>709</v>
      </c>
      <c r="D37" s="56">
        <v>45758</v>
      </c>
      <c r="E37" s="29" t="s">
        <v>618</v>
      </c>
      <c r="F37" s="15"/>
      <c r="G37" s="15" t="s">
        <v>619</v>
      </c>
      <c r="H37" s="15" t="s">
        <v>86</v>
      </c>
      <c r="I37" s="42" t="s">
        <v>620</v>
      </c>
      <c r="J37" s="29"/>
      <c r="K37" s="15" t="s">
        <v>621</v>
      </c>
      <c r="L37" s="15" t="s">
        <v>622</v>
      </c>
      <c r="M37" s="51" t="s">
        <v>628</v>
      </c>
      <c r="N37" s="15" t="s">
        <v>622</v>
      </c>
      <c r="O37" s="45"/>
      <c r="P37" s="40"/>
      <c r="Q37" s="45"/>
      <c r="R37" s="53" t="s">
        <v>628</v>
      </c>
      <c r="S37" s="45"/>
      <c r="T37" s="15" t="s">
        <v>623</v>
      </c>
      <c r="U37" s="14"/>
      <c r="V37" s="45"/>
      <c r="W37" s="14" t="s">
        <v>709</v>
      </c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</row>
    <row r="38" customHeight="1" spans="1:77">
      <c r="A38" s="14"/>
      <c r="B38" s="14"/>
      <c r="C38" s="14"/>
      <c r="D38" s="56"/>
      <c r="E38" s="29"/>
      <c r="F38" s="15"/>
      <c r="G38" s="15"/>
      <c r="H38" s="15"/>
      <c r="I38" s="42"/>
      <c r="J38" s="29"/>
      <c r="K38" s="15"/>
      <c r="L38" s="14"/>
      <c r="M38" s="14"/>
      <c r="N38" s="14"/>
      <c r="O38" s="45"/>
      <c r="P38" s="40"/>
      <c r="Q38" s="45"/>
      <c r="R38" s="14"/>
      <c r="S38" s="45"/>
      <c r="T38" s="15"/>
      <c r="U38" s="14"/>
      <c r="V38" s="45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</row>
    <row r="39" customHeight="1" spans="1:77">
      <c r="A39" s="14"/>
      <c r="B39" s="14"/>
      <c r="C39" s="14"/>
      <c r="D39" s="56"/>
      <c r="E39" s="29"/>
      <c r="F39" s="15"/>
      <c r="G39" s="15"/>
      <c r="H39" s="15"/>
      <c r="I39" s="42"/>
      <c r="J39" s="29"/>
      <c r="K39" s="15"/>
      <c r="L39" s="14"/>
      <c r="M39" s="14"/>
      <c r="N39" s="14"/>
      <c r="O39" s="45"/>
      <c r="P39" s="40"/>
      <c r="Q39" s="45"/>
      <c r="R39" s="14"/>
      <c r="S39" s="45"/>
      <c r="T39" s="15" t="s">
        <v>623</v>
      </c>
      <c r="U39" s="14"/>
      <c r="V39" s="45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</row>
    <row r="40" customHeight="1" spans="1:77">
      <c r="A40" s="14"/>
      <c r="B40" s="14"/>
      <c r="C40" s="14" t="s">
        <v>710</v>
      </c>
      <c r="D40" s="56">
        <v>45758</v>
      </c>
      <c r="E40" s="29" t="s">
        <v>618</v>
      </c>
      <c r="F40" s="15"/>
      <c r="G40" s="15" t="s">
        <v>619</v>
      </c>
      <c r="H40" s="14" t="s">
        <v>280</v>
      </c>
      <c r="I40" s="42" t="s">
        <v>620</v>
      </c>
      <c r="J40" s="29"/>
      <c r="K40" s="15" t="s">
        <v>621</v>
      </c>
      <c r="L40" s="15" t="s">
        <v>622</v>
      </c>
      <c r="M40" s="1"/>
      <c r="N40" s="15" t="s">
        <v>622</v>
      </c>
      <c r="O40" s="45"/>
      <c r="P40" s="40"/>
      <c r="Q40" s="45"/>
      <c r="R40" s="1"/>
      <c r="S40" s="45"/>
      <c r="T40" s="15" t="s">
        <v>623</v>
      </c>
      <c r="U40" s="14"/>
      <c r="V40" s="45"/>
      <c r="W40" s="15" t="s">
        <v>710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</row>
    <row r="41" customHeight="1" spans="1:77">
      <c r="A41" s="14"/>
      <c r="B41" s="14"/>
      <c r="C41" s="14" t="s">
        <v>711</v>
      </c>
      <c r="D41" s="56">
        <v>45758</v>
      </c>
      <c r="E41" s="29" t="s">
        <v>618</v>
      </c>
      <c r="F41" s="15"/>
      <c r="G41" s="15" t="s">
        <v>619</v>
      </c>
      <c r="H41" s="15" t="s">
        <v>86</v>
      </c>
      <c r="I41" s="42" t="s">
        <v>620</v>
      </c>
      <c r="J41" s="29"/>
      <c r="K41" s="15" t="s">
        <v>621</v>
      </c>
      <c r="L41" s="15" t="s">
        <v>622</v>
      </c>
      <c r="M41" s="1"/>
      <c r="N41" s="15" t="s">
        <v>622</v>
      </c>
      <c r="O41" s="45"/>
      <c r="P41" s="40"/>
      <c r="Q41" s="45"/>
      <c r="R41" s="1"/>
      <c r="S41" s="45"/>
      <c r="T41" s="15" t="s">
        <v>623</v>
      </c>
      <c r="U41" s="14"/>
      <c r="V41" s="45"/>
      <c r="W41" s="15" t="s">
        <v>711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</row>
    <row r="42" customHeight="1" spans="1:77">
      <c r="A42" s="14"/>
      <c r="B42" s="14"/>
      <c r="C42" s="14"/>
      <c r="D42" s="56"/>
      <c r="E42" s="29"/>
      <c r="F42" s="15"/>
      <c r="G42" s="15"/>
      <c r="H42" s="15"/>
      <c r="I42" s="42"/>
      <c r="J42" s="29"/>
      <c r="K42" s="15"/>
      <c r="L42" s="15"/>
      <c r="M42" s="1"/>
      <c r="N42" s="15"/>
      <c r="O42" s="45"/>
      <c r="P42" s="14"/>
      <c r="Q42" s="45"/>
      <c r="R42" s="45"/>
      <c r="S42" s="45"/>
      <c r="T42" s="14"/>
      <c r="U42" s="14"/>
      <c r="V42" s="45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</row>
    <row r="43" customHeight="1" spans="1:77">
      <c r="A43" s="14"/>
      <c r="B43" s="14"/>
      <c r="C43" s="14" t="s">
        <v>712</v>
      </c>
      <c r="D43" s="56">
        <v>45770</v>
      </c>
      <c r="E43" s="29"/>
      <c r="F43" s="15"/>
      <c r="G43" s="15"/>
      <c r="H43" s="15"/>
      <c r="I43" s="42"/>
      <c r="J43" s="29"/>
      <c r="K43" s="14" t="s">
        <v>621</v>
      </c>
      <c r="L43" s="14" t="s">
        <v>622</v>
      </c>
      <c r="M43" s="59" t="s">
        <v>712</v>
      </c>
      <c r="N43" s="14" t="s">
        <v>622</v>
      </c>
      <c r="O43" s="45"/>
      <c r="P43" s="14"/>
      <c r="Q43" s="33" t="s">
        <v>713</v>
      </c>
      <c r="R43" s="33" t="s">
        <v>714</v>
      </c>
      <c r="S43" s="45"/>
      <c r="T43" s="14"/>
      <c r="U43" s="14"/>
      <c r="V43" s="45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</row>
    <row r="44" customHeight="1" spans="1:77">
      <c r="A44" s="14"/>
      <c r="B44" s="14"/>
      <c r="C44" s="14" t="s">
        <v>715</v>
      </c>
      <c r="D44" s="56">
        <v>45770</v>
      </c>
      <c r="E44" s="29" t="s">
        <v>618</v>
      </c>
      <c r="F44" s="15"/>
      <c r="G44" s="15" t="s">
        <v>619</v>
      </c>
      <c r="H44" s="15" t="s">
        <v>86</v>
      </c>
      <c r="I44" s="42" t="s">
        <v>620</v>
      </c>
      <c r="J44" s="29"/>
      <c r="K44" s="15" t="s">
        <v>621</v>
      </c>
      <c r="L44" s="15" t="s">
        <v>622</v>
      </c>
      <c r="M44" s="59" t="s">
        <v>716</v>
      </c>
      <c r="N44" s="15" t="s">
        <v>622</v>
      </c>
      <c r="O44" s="45"/>
      <c r="P44" s="14"/>
      <c r="Q44" s="45"/>
      <c r="R44" s="45"/>
      <c r="S44" s="45"/>
      <c r="T44" s="14"/>
      <c r="U44" s="14"/>
      <c r="V44" s="45"/>
      <c r="W44" s="14" t="s">
        <v>715</v>
      </c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</row>
    <row r="45" customHeight="1" spans="1:77">
      <c r="A45" s="14"/>
      <c r="B45" s="14"/>
      <c r="C45" s="14" t="s">
        <v>717</v>
      </c>
      <c r="D45" s="56">
        <v>45770</v>
      </c>
      <c r="E45" s="29" t="s">
        <v>618</v>
      </c>
      <c r="F45" s="15"/>
      <c r="G45" s="15" t="s">
        <v>619</v>
      </c>
      <c r="H45" s="15" t="s">
        <v>86</v>
      </c>
      <c r="I45" s="42" t="s">
        <v>620</v>
      </c>
      <c r="J45" s="29"/>
      <c r="K45" s="15" t="s">
        <v>621</v>
      </c>
      <c r="L45" s="15" t="s">
        <v>622</v>
      </c>
      <c r="M45" s="59" t="s">
        <v>718</v>
      </c>
      <c r="N45" s="15" t="s">
        <v>622</v>
      </c>
      <c r="O45" s="45"/>
      <c r="P45" s="14"/>
      <c r="Q45" s="45"/>
      <c r="R45" s="45"/>
      <c r="S45" s="45"/>
      <c r="T45" s="14"/>
      <c r="U45" s="14"/>
      <c r="V45" s="45"/>
      <c r="W45" s="14" t="s">
        <v>717</v>
      </c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</row>
    <row r="46" customHeight="1" spans="1:77">
      <c r="A46" s="14" t="s">
        <v>41</v>
      </c>
      <c r="B46" s="14"/>
      <c r="C46" s="1" t="s">
        <v>719</v>
      </c>
      <c r="D46" s="56">
        <v>45859</v>
      </c>
      <c r="E46" s="29" t="s">
        <v>720</v>
      </c>
      <c r="F46" s="15"/>
      <c r="G46" s="15" t="s">
        <v>619</v>
      </c>
      <c r="H46" s="14" t="s">
        <v>78</v>
      </c>
      <c r="I46" s="14"/>
      <c r="J46" s="29"/>
      <c r="K46" s="15" t="s">
        <v>621</v>
      </c>
      <c r="L46" s="15" t="s">
        <v>622</v>
      </c>
      <c r="M46" s="14"/>
      <c r="N46" s="14"/>
      <c r="O46" s="45"/>
      <c r="P46" s="14"/>
      <c r="Q46" s="45"/>
      <c r="R46" s="45"/>
      <c r="S46" s="45"/>
      <c r="T46" s="14"/>
      <c r="U46" s="14"/>
      <c r="V46" s="4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</row>
    <row r="47" customHeight="1" spans="1:77">
      <c r="A47" s="14" t="s">
        <v>38</v>
      </c>
      <c r="B47" s="14"/>
      <c r="C47" s="1" t="s">
        <v>721</v>
      </c>
      <c r="D47" s="56">
        <v>45859</v>
      </c>
      <c r="E47" s="30" t="s">
        <v>720</v>
      </c>
      <c r="F47" s="15"/>
      <c r="G47" s="15" t="s">
        <v>619</v>
      </c>
      <c r="H47" s="15" t="s">
        <v>78</v>
      </c>
      <c r="I47" s="14"/>
      <c r="J47" s="29"/>
      <c r="K47" s="15" t="s">
        <v>621</v>
      </c>
      <c r="L47" s="15" t="s">
        <v>622</v>
      </c>
      <c r="M47" s="14"/>
      <c r="N47" s="14"/>
      <c r="O47" s="45"/>
      <c r="P47" s="14"/>
      <c r="Q47" s="45"/>
      <c r="R47" s="45"/>
      <c r="S47" s="45"/>
      <c r="T47" s="14"/>
      <c r="U47" s="14"/>
      <c r="V47" s="4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</row>
    <row r="48" customHeight="1" spans="1:77">
      <c r="A48" s="14" t="s">
        <v>34</v>
      </c>
      <c r="B48" s="14"/>
      <c r="C48" s="19" t="s">
        <v>722</v>
      </c>
      <c r="D48" s="56">
        <v>45859</v>
      </c>
      <c r="E48" s="29" t="s">
        <v>720</v>
      </c>
      <c r="F48" s="15"/>
      <c r="G48" s="15" t="s">
        <v>619</v>
      </c>
      <c r="H48" s="15" t="s">
        <v>78</v>
      </c>
      <c r="I48" s="14"/>
      <c r="J48" s="29"/>
      <c r="K48" s="15" t="s">
        <v>621</v>
      </c>
      <c r="L48" s="15" t="s">
        <v>622</v>
      </c>
      <c r="M48" s="14"/>
      <c r="N48" s="14"/>
      <c r="O48" s="45"/>
      <c r="P48" s="14"/>
      <c r="Q48" s="45"/>
      <c r="R48" s="45"/>
      <c r="S48" s="45"/>
      <c r="T48" s="14"/>
      <c r="U48" s="14"/>
      <c r="V48" s="4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</row>
    <row r="49" customHeight="1" spans="1:77">
      <c r="A49" s="14" t="s">
        <v>47</v>
      </c>
      <c r="B49" s="14"/>
      <c r="C49" s="19" t="s">
        <v>723</v>
      </c>
      <c r="D49" s="56">
        <v>45859</v>
      </c>
      <c r="E49" s="29" t="s">
        <v>720</v>
      </c>
      <c r="F49" s="15"/>
      <c r="G49" s="15" t="s">
        <v>619</v>
      </c>
      <c r="H49" s="15" t="s">
        <v>78</v>
      </c>
      <c r="I49" s="14"/>
      <c r="J49" s="29"/>
      <c r="K49" s="15" t="s">
        <v>621</v>
      </c>
      <c r="L49" s="15" t="s">
        <v>622</v>
      </c>
      <c r="M49" s="14"/>
      <c r="N49" s="14"/>
      <c r="O49" s="45"/>
      <c r="P49" s="14"/>
      <c r="Q49" s="45"/>
      <c r="R49" s="45"/>
      <c r="S49" s="45"/>
      <c r="T49" s="14"/>
      <c r="U49" s="14"/>
      <c r="V49" s="45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</row>
    <row r="50" customHeight="1" spans="1:77">
      <c r="A50" s="14" t="s">
        <v>44</v>
      </c>
      <c r="B50" s="14"/>
      <c r="C50" s="19" t="s">
        <v>724</v>
      </c>
      <c r="D50" s="56">
        <v>45859</v>
      </c>
      <c r="E50" s="29" t="s">
        <v>720</v>
      </c>
      <c r="F50" s="15"/>
      <c r="G50" s="15" t="s">
        <v>619</v>
      </c>
      <c r="H50" s="15" t="s">
        <v>78</v>
      </c>
      <c r="I50" s="14"/>
      <c r="J50" s="29"/>
      <c r="K50" s="15" t="s">
        <v>621</v>
      </c>
      <c r="L50" s="15" t="s">
        <v>622</v>
      </c>
      <c r="M50" s="14"/>
      <c r="N50" s="14"/>
      <c r="O50" s="45"/>
      <c r="P50" s="14"/>
      <c r="Q50" s="45"/>
      <c r="R50" s="45"/>
      <c r="S50" s="45"/>
      <c r="T50" s="14"/>
      <c r="U50" s="14"/>
      <c r="V50" s="45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</row>
    <row r="51" customHeight="1" spans="1:77">
      <c r="A51" s="14" t="s">
        <v>725</v>
      </c>
      <c r="B51" s="14"/>
      <c r="C51" s="19" t="s">
        <v>726</v>
      </c>
      <c r="D51" s="56">
        <v>45859</v>
      </c>
      <c r="E51" s="29" t="s">
        <v>720</v>
      </c>
      <c r="F51" s="15"/>
      <c r="G51" s="15" t="s">
        <v>619</v>
      </c>
      <c r="H51" s="15" t="s">
        <v>78</v>
      </c>
      <c r="I51" s="14"/>
      <c r="J51" s="29"/>
      <c r="K51" s="15" t="s">
        <v>621</v>
      </c>
      <c r="L51" s="15" t="s">
        <v>622</v>
      </c>
      <c r="M51" s="14"/>
      <c r="N51" s="14"/>
      <c r="O51" s="45"/>
      <c r="P51" s="14"/>
      <c r="Q51" s="45"/>
      <c r="R51" s="45"/>
      <c r="S51" s="45"/>
      <c r="T51" s="14"/>
      <c r="U51" s="14"/>
      <c r="V51" s="45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</row>
    <row r="52" customHeight="1" spans="1:77">
      <c r="A52" s="14" t="s">
        <v>727</v>
      </c>
      <c r="B52" s="14"/>
      <c r="C52" s="19" t="s">
        <v>728</v>
      </c>
      <c r="D52" s="56">
        <v>45859</v>
      </c>
      <c r="E52" s="29" t="s">
        <v>720</v>
      </c>
      <c r="F52" s="15"/>
      <c r="G52" s="15" t="s">
        <v>619</v>
      </c>
      <c r="H52" s="15" t="s">
        <v>78</v>
      </c>
      <c r="I52" s="14"/>
      <c r="J52" s="29"/>
      <c r="K52" s="15" t="s">
        <v>621</v>
      </c>
      <c r="L52" s="15" t="s">
        <v>622</v>
      </c>
      <c r="M52" s="14"/>
      <c r="N52" s="14"/>
      <c r="O52" s="45"/>
      <c r="P52" s="14"/>
      <c r="Q52" s="45"/>
      <c r="R52" s="45"/>
      <c r="S52" s="45"/>
      <c r="T52" s="14"/>
      <c r="U52" s="14"/>
      <c r="V52" s="45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</row>
    <row r="53" customHeight="1" spans="1:77">
      <c r="A53" s="14" t="s">
        <v>729</v>
      </c>
      <c r="B53" s="14"/>
      <c r="C53" s="19" t="s">
        <v>730</v>
      </c>
      <c r="D53" s="56">
        <v>45859</v>
      </c>
      <c r="E53" s="29" t="s">
        <v>720</v>
      </c>
      <c r="F53" s="15"/>
      <c r="G53" s="15" t="s">
        <v>619</v>
      </c>
      <c r="H53" s="15" t="s">
        <v>78</v>
      </c>
      <c r="I53" s="14"/>
      <c r="J53" s="29"/>
      <c r="K53" s="15" t="s">
        <v>621</v>
      </c>
      <c r="L53" s="15" t="s">
        <v>622</v>
      </c>
      <c r="M53" s="14"/>
      <c r="N53" s="14"/>
      <c r="O53" s="45"/>
      <c r="P53" s="14"/>
      <c r="Q53" s="45"/>
      <c r="R53" s="45"/>
      <c r="S53" s="45"/>
      <c r="T53" s="14"/>
      <c r="U53" s="14"/>
      <c r="V53" s="45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</row>
    <row r="54" customHeight="1" spans="1:77">
      <c r="A54" s="14" t="s">
        <v>729</v>
      </c>
      <c r="B54" s="14"/>
      <c r="C54" s="19" t="s">
        <v>731</v>
      </c>
      <c r="D54" s="56">
        <v>45859</v>
      </c>
      <c r="E54" s="29" t="s">
        <v>720</v>
      </c>
      <c r="F54" s="15"/>
      <c r="G54" s="15" t="s">
        <v>619</v>
      </c>
      <c r="H54" s="15" t="s">
        <v>78</v>
      </c>
      <c r="I54" s="14"/>
      <c r="J54" s="29"/>
      <c r="K54" s="15" t="s">
        <v>621</v>
      </c>
      <c r="L54" s="15" t="s">
        <v>622</v>
      </c>
      <c r="M54" s="14"/>
      <c r="N54" s="14"/>
      <c r="O54" s="45"/>
      <c r="P54" s="14"/>
      <c r="Q54" s="45"/>
      <c r="R54" s="45"/>
      <c r="S54" s="45"/>
      <c r="T54" s="14"/>
      <c r="U54" s="14"/>
      <c r="V54" s="45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</row>
    <row r="55" customHeight="1" spans="1:77">
      <c r="A55" s="14" t="s">
        <v>729</v>
      </c>
      <c r="B55" s="14"/>
      <c r="C55" s="19" t="s">
        <v>732</v>
      </c>
      <c r="D55" s="56">
        <v>45859</v>
      </c>
      <c r="E55" s="29" t="s">
        <v>720</v>
      </c>
      <c r="F55" s="15"/>
      <c r="G55" s="15" t="s">
        <v>619</v>
      </c>
      <c r="H55" s="15" t="s">
        <v>78</v>
      </c>
      <c r="I55" s="14"/>
      <c r="J55" s="29"/>
      <c r="K55" s="15" t="s">
        <v>621</v>
      </c>
      <c r="L55" s="15" t="s">
        <v>622</v>
      </c>
      <c r="M55" s="14"/>
      <c r="N55" s="14"/>
      <c r="O55" s="45"/>
      <c r="P55" s="14"/>
      <c r="Q55" s="45"/>
      <c r="R55" s="45"/>
      <c r="S55" s="45"/>
      <c r="T55" s="14"/>
      <c r="U55" s="14"/>
      <c r="V55" s="45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</row>
    <row r="56" customHeight="1" spans="1:77">
      <c r="A56" s="14" t="s">
        <v>733</v>
      </c>
      <c r="B56" s="14"/>
      <c r="C56" s="1" t="s">
        <v>734</v>
      </c>
      <c r="D56" s="56">
        <v>45860</v>
      </c>
      <c r="E56" s="29" t="s">
        <v>720</v>
      </c>
      <c r="F56" s="15"/>
      <c r="G56" s="15" t="s">
        <v>619</v>
      </c>
      <c r="H56" s="14" t="s">
        <v>86</v>
      </c>
      <c r="I56" s="14"/>
      <c r="J56" s="29"/>
      <c r="K56" s="15" t="s">
        <v>621</v>
      </c>
      <c r="L56" s="15" t="s">
        <v>622</v>
      </c>
      <c r="M56" s="14"/>
      <c r="N56" s="14"/>
      <c r="O56" s="45"/>
      <c r="P56" s="14"/>
      <c r="Q56" s="45"/>
      <c r="R56" s="45"/>
      <c r="S56" s="45"/>
      <c r="T56" s="14"/>
      <c r="U56" s="14"/>
      <c r="V56" s="45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</row>
    <row r="57" customHeight="1" spans="1:77">
      <c r="A57" s="14" t="s">
        <v>31</v>
      </c>
      <c r="B57" s="14"/>
      <c r="C57" s="14" t="s">
        <v>735</v>
      </c>
      <c r="D57" s="56">
        <v>45860</v>
      </c>
      <c r="E57" s="29" t="s">
        <v>720</v>
      </c>
      <c r="F57" s="15"/>
      <c r="G57" s="15" t="s">
        <v>619</v>
      </c>
      <c r="H57" s="15" t="s">
        <v>78</v>
      </c>
      <c r="I57" s="14"/>
      <c r="J57" s="29"/>
      <c r="K57" s="15" t="s">
        <v>621</v>
      </c>
      <c r="L57" s="15" t="s">
        <v>622</v>
      </c>
      <c r="M57" s="14"/>
      <c r="N57" s="14"/>
      <c r="O57" s="45"/>
      <c r="P57" s="14"/>
      <c r="Q57" s="45"/>
      <c r="R57" s="45"/>
      <c r="S57" s="45"/>
      <c r="T57" s="14"/>
      <c r="U57" s="14"/>
      <c r="V57" s="45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</row>
    <row r="58" customHeight="1" spans="1:77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45"/>
      <c r="P58" s="14"/>
      <c r="Q58" s="45"/>
      <c r="R58" s="45"/>
      <c r="S58" s="45"/>
      <c r="T58" s="14"/>
      <c r="U58" s="14"/>
      <c r="V58" s="45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</row>
    <row r="59" customHeight="1" spans="1:77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45"/>
      <c r="P59" s="14"/>
      <c r="Q59" s="45"/>
      <c r="R59" s="45"/>
      <c r="S59" s="45"/>
      <c r="T59" s="14"/>
      <c r="U59" s="14"/>
      <c r="V59" s="45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</row>
    <row r="60" customHeight="1" spans="1:77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45"/>
      <c r="P60" s="14"/>
      <c r="Q60" s="45"/>
      <c r="R60" s="45"/>
      <c r="S60" s="45"/>
      <c r="T60" s="14"/>
      <c r="U60" s="14"/>
      <c r="V60" s="45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</row>
    <row r="61" customHeight="1" spans="1:77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45"/>
      <c r="P61" s="14"/>
      <c r="Q61" s="45"/>
      <c r="R61" s="45"/>
      <c r="S61" s="45"/>
      <c r="T61" s="14"/>
      <c r="U61" s="14"/>
      <c r="V61" s="45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</row>
    <row r="62" customHeight="1" spans="1:77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45"/>
      <c r="P62" s="14"/>
      <c r="Q62" s="45"/>
      <c r="R62" s="45"/>
      <c r="S62" s="45"/>
      <c r="T62" s="14"/>
      <c r="U62" s="14"/>
      <c r="V62" s="45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</row>
    <row r="63" customHeight="1" spans="1:77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45"/>
      <c r="P63" s="14"/>
      <c r="Q63" s="45"/>
      <c r="R63" s="45"/>
      <c r="S63" s="45"/>
      <c r="T63" s="14"/>
      <c r="U63" s="14"/>
      <c r="V63" s="45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</row>
    <row r="64" customHeight="1" spans="1:77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45"/>
      <c r="P64" s="14"/>
      <c r="Q64" s="45"/>
      <c r="R64" s="45"/>
      <c r="S64" s="45"/>
      <c r="T64" s="14"/>
      <c r="U64" s="14"/>
      <c r="V64" s="45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</row>
    <row r="65" customHeight="1" spans="1:77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45"/>
      <c r="P65" s="14"/>
      <c r="Q65" s="45"/>
      <c r="R65" s="45"/>
      <c r="S65" s="45"/>
      <c r="T65" s="14"/>
      <c r="U65" s="14"/>
      <c r="V65" s="45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</row>
    <row r="66" customHeight="1" spans="1:77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45"/>
      <c r="P66" s="14"/>
      <c r="Q66" s="45"/>
      <c r="R66" s="45"/>
      <c r="S66" s="45"/>
      <c r="T66" s="14"/>
      <c r="U66" s="14"/>
      <c r="V66" s="45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</row>
    <row r="67" customHeight="1" spans="1:7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45"/>
      <c r="P67" s="14"/>
      <c r="Q67" s="45"/>
      <c r="R67" s="45"/>
      <c r="S67" s="45"/>
      <c r="T67" s="14"/>
      <c r="U67" s="14"/>
      <c r="V67" s="45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</row>
    <row r="68" customHeight="1" spans="1:77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45"/>
      <c r="P68" s="14"/>
      <c r="Q68" s="45"/>
      <c r="R68" s="45"/>
      <c r="S68" s="45"/>
      <c r="T68" s="14"/>
      <c r="U68" s="14"/>
      <c r="V68" s="45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</row>
    <row r="69" customHeight="1" spans="1:77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45"/>
      <c r="P69" s="14"/>
      <c r="Q69" s="45"/>
      <c r="R69" s="45"/>
      <c r="S69" s="45"/>
      <c r="T69" s="14"/>
      <c r="U69" s="14"/>
      <c r="V69" s="45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</row>
    <row r="70" customHeight="1" spans="1:77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45"/>
      <c r="P70" s="14"/>
      <c r="Q70" s="45"/>
      <c r="R70" s="45"/>
      <c r="S70" s="45"/>
      <c r="T70" s="14"/>
      <c r="U70" s="14"/>
      <c r="V70" s="45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</row>
    <row r="71" customHeight="1" spans="1:77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45"/>
      <c r="P71" s="14"/>
      <c r="Q71" s="45"/>
      <c r="R71" s="45"/>
      <c r="S71" s="45"/>
      <c r="T71" s="14"/>
      <c r="U71" s="14"/>
      <c r="V71" s="45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</row>
    <row r="72" customHeight="1" spans="1:77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45"/>
      <c r="P72" s="14"/>
      <c r="Q72" s="45"/>
      <c r="R72" s="45"/>
      <c r="S72" s="45"/>
      <c r="T72" s="14"/>
      <c r="U72" s="14"/>
      <c r="V72" s="45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</row>
    <row r="73" customHeight="1" spans="1:77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45"/>
      <c r="P73" s="14"/>
      <c r="Q73" s="45"/>
      <c r="R73" s="45"/>
      <c r="S73" s="45"/>
      <c r="T73" s="14"/>
      <c r="U73" s="14"/>
      <c r="V73" s="45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</row>
    <row r="74" customHeight="1" spans="1:77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45"/>
      <c r="P74" s="14"/>
      <c r="Q74" s="45"/>
      <c r="R74" s="45"/>
      <c r="S74" s="45"/>
      <c r="T74" s="14"/>
      <c r="U74" s="14"/>
      <c r="V74" s="45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</row>
    <row r="75" customHeight="1" spans="1:77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45"/>
      <c r="P75" s="14"/>
      <c r="Q75" s="45"/>
      <c r="R75" s="45"/>
      <c r="S75" s="45"/>
      <c r="T75" s="14"/>
      <c r="U75" s="14"/>
      <c r="V75" s="45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</row>
    <row r="76" customHeight="1" spans="1:77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45"/>
      <c r="P76" s="14"/>
      <c r="Q76" s="45"/>
      <c r="R76" s="45"/>
      <c r="S76" s="45"/>
      <c r="T76" s="14"/>
      <c r="U76" s="14"/>
      <c r="V76" s="45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</row>
    <row r="77" customHeight="1" spans="1: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45"/>
      <c r="P77" s="14"/>
      <c r="Q77" s="45"/>
      <c r="R77" s="45"/>
      <c r="S77" s="45"/>
      <c r="T77" s="14"/>
      <c r="U77" s="14"/>
      <c r="V77" s="45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</row>
    <row r="78" customHeight="1" spans="1:77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45"/>
      <c r="P78" s="14"/>
      <c r="Q78" s="45"/>
      <c r="R78" s="45"/>
      <c r="S78" s="45"/>
      <c r="T78" s="14"/>
      <c r="U78" s="14"/>
      <c r="V78" s="45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</row>
    <row r="79" customHeight="1" spans="1:77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45"/>
      <c r="P79" s="14"/>
      <c r="Q79" s="45"/>
      <c r="R79" s="45"/>
      <c r="S79" s="45"/>
      <c r="T79" s="14"/>
      <c r="U79" s="14"/>
      <c r="V79" s="45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</row>
    <row r="80" customHeight="1" spans="1:77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45"/>
      <c r="P80" s="14"/>
      <c r="Q80" s="45"/>
      <c r="R80" s="45"/>
      <c r="S80" s="45"/>
      <c r="T80" s="14"/>
      <c r="U80" s="14"/>
      <c r="V80" s="45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</row>
    <row r="81" customHeight="1" spans="1:77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45"/>
      <c r="P81" s="14"/>
      <c r="Q81" s="45"/>
      <c r="R81" s="45"/>
      <c r="S81" s="45"/>
      <c r="T81" s="14"/>
      <c r="U81" s="14"/>
      <c r="V81" s="45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</row>
    <row r="82" customHeight="1" spans="1:77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45"/>
      <c r="P82" s="14"/>
      <c r="Q82" s="45"/>
      <c r="R82" s="45"/>
      <c r="S82" s="45"/>
      <c r="T82" s="14"/>
      <c r="U82" s="14"/>
      <c r="V82" s="45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</row>
    <row r="83" customHeight="1" spans="1:77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45"/>
      <c r="P83" s="14"/>
      <c r="Q83" s="45"/>
      <c r="R83" s="45"/>
      <c r="S83" s="45"/>
      <c r="T83" s="14"/>
      <c r="U83" s="14"/>
      <c r="V83" s="45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</row>
    <row r="84" customHeight="1" spans="1:77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45"/>
      <c r="P84" s="14"/>
      <c r="Q84" s="45"/>
      <c r="R84" s="45"/>
      <c r="S84" s="45"/>
      <c r="T84" s="14"/>
      <c r="U84" s="14"/>
      <c r="V84" s="45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</row>
    <row r="85" customHeight="1" spans="1:77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45"/>
      <c r="P85" s="14"/>
      <c r="Q85" s="45"/>
      <c r="R85" s="45"/>
      <c r="S85" s="45"/>
      <c r="T85" s="14"/>
      <c r="U85" s="14"/>
      <c r="V85" s="45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</row>
    <row r="86" customHeight="1" spans="1:77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45"/>
      <c r="P86" s="14"/>
      <c r="Q86" s="45"/>
      <c r="R86" s="45"/>
      <c r="S86" s="45"/>
      <c r="T86" s="14"/>
      <c r="U86" s="14"/>
      <c r="V86" s="45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</row>
    <row r="87" customHeight="1" spans="1:7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45"/>
      <c r="P87" s="14"/>
      <c r="Q87" s="45"/>
      <c r="R87" s="45"/>
      <c r="S87" s="45"/>
      <c r="T87" s="14"/>
      <c r="U87" s="14"/>
      <c r="V87" s="45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</row>
    <row r="88" customHeight="1" spans="1:77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45"/>
      <c r="P88" s="14"/>
      <c r="Q88" s="45"/>
      <c r="R88" s="45"/>
      <c r="S88" s="45"/>
      <c r="T88" s="14"/>
      <c r="U88" s="14"/>
      <c r="V88" s="45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</row>
    <row r="89" customHeight="1" spans="1:77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45"/>
      <c r="P89" s="14"/>
      <c r="Q89" s="45"/>
      <c r="R89" s="45"/>
      <c r="S89" s="45"/>
      <c r="T89" s="14"/>
      <c r="U89" s="14"/>
      <c r="V89" s="45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</row>
    <row r="90" customHeight="1" spans="1:77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45"/>
      <c r="P90" s="14"/>
      <c r="Q90" s="45"/>
      <c r="R90" s="45"/>
      <c r="S90" s="45"/>
      <c r="T90" s="14"/>
      <c r="U90" s="14"/>
      <c r="V90" s="45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</row>
    <row r="91" customHeight="1" spans="1:77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45"/>
      <c r="P91" s="14"/>
      <c r="Q91" s="45"/>
      <c r="R91" s="45"/>
      <c r="S91" s="45"/>
      <c r="T91" s="14"/>
      <c r="U91" s="14"/>
      <c r="V91" s="45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</row>
    <row r="92" customHeight="1" spans="1:77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45"/>
      <c r="P92" s="14"/>
      <c r="Q92" s="45"/>
      <c r="R92" s="45"/>
      <c r="S92" s="45"/>
      <c r="T92" s="14"/>
      <c r="U92" s="14"/>
      <c r="V92" s="45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</row>
    <row r="93" customHeight="1" spans="1:77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45"/>
      <c r="P93" s="14"/>
      <c r="Q93" s="45"/>
      <c r="R93" s="45"/>
      <c r="S93" s="45"/>
      <c r="T93" s="14"/>
      <c r="U93" s="14"/>
      <c r="V93" s="45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</row>
    <row r="94" customHeight="1" spans="1:77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45"/>
      <c r="P94" s="14"/>
      <c r="Q94" s="45"/>
      <c r="R94" s="45"/>
      <c r="S94" s="45"/>
      <c r="T94" s="14"/>
      <c r="U94" s="14"/>
      <c r="V94" s="45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</row>
    <row r="95" customHeight="1" spans="1:77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45"/>
      <c r="P95" s="14"/>
      <c r="Q95" s="45"/>
      <c r="R95" s="45"/>
      <c r="S95" s="45"/>
      <c r="T95" s="14"/>
      <c r="U95" s="14"/>
      <c r="V95" s="45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</row>
    <row r="96" customHeight="1" spans="1:77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45"/>
      <c r="P96" s="14"/>
      <c r="Q96" s="45"/>
      <c r="R96" s="45"/>
      <c r="S96" s="45"/>
      <c r="T96" s="14"/>
      <c r="U96" s="14"/>
      <c r="V96" s="45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</row>
    <row r="97" customHeight="1" spans="1:7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45"/>
      <c r="P97" s="14"/>
      <c r="Q97" s="45"/>
      <c r="R97" s="45"/>
      <c r="S97" s="45"/>
      <c r="T97" s="14"/>
      <c r="U97" s="14"/>
      <c r="V97" s="45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</row>
    <row r="98" customHeight="1" spans="1:77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45"/>
      <c r="P98" s="14"/>
      <c r="Q98" s="45"/>
      <c r="R98" s="45"/>
      <c r="S98" s="45"/>
      <c r="T98" s="14"/>
      <c r="U98" s="14"/>
      <c r="V98" s="45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</row>
    <row r="99" customHeight="1" spans="1:77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45"/>
      <c r="P99" s="14"/>
      <c r="Q99" s="45"/>
      <c r="R99" s="45"/>
      <c r="S99" s="45"/>
      <c r="T99" s="14"/>
      <c r="U99" s="14"/>
      <c r="V99" s="45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</row>
    <row r="100" customHeight="1" spans="1:77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45"/>
      <c r="P100" s="14"/>
      <c r="Q100" s="45"/>
      <c r="R100" s="45"/>
      <c r="S100" s="45"/>
      <c r="T100" s="14"/>
      <c r="U100" s="14"/>
      <c r="V100" s="45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</row>
    <row r="101" customHeight="1" spans="1:77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45"/>
      <c r="P101" s="14"/>
      <c r="Q101" s="45"/>
      <c r="R101" s="45"/>
      <c r="S101" s="45"/>
      <c r="T101" s="14"/>
      <c r="U101" s="14"/>
      <c r="V101" s="45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</row>
    <row r="102" customHeight="1" spans="1:77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45"/>
      <c r="P102" s="14"/>
      <c r="Q102" s="45"/>
      <c r="R102" s="45"/>
      <c r="S102" s="45"/>
      <c r="T102" s="14"/>
      <c r="U102" s="14"/>
      <c r="V102" s="45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</row>
    <row r="103" customHeight="1" spans="1:77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45"/>
      <c r="P103" s="14"/>
      <c r="Q103" s="45"/>
      <c r="R103" s="45"/>
      <c r="S103" s="45"/>
      <c r="T103" s="14"/>
      <c r="U103" s="14"/>
      <c r="V103" s="45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</row>
    <row r="104" customHeight="1" spans="1:77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45"/>
      <c r="P104" s="14"/>
      <c r="Q104" s="45"/>
      <c r="R104" s="45"/>
      <c r="S104" s="45"/>
      <c r="T104" s="14"/>
      <c r="U104" s="14"/>
      <c r="V104" s="45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</row>
    <row r="105" customHeight="1" spans="1:77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45"/>
      <c r="P105" s="14"/>
      <c r="Q105" s="45"/>
      <c r="R105" s="45"/>
      <c r="S105" s="45"/>
      <c r="T105" s="14"/>
      <c r="U105" s="14"/>
      <c r="V105" s="45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</row>
    <row r="106" customHeight="1" spans="1:77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45"/>
      <c r="P106" s="14"/>
      <c r="Q106" s="45"/>
      <c r="R106" s="45"/>
      <c r="S106" s="45"/>
      <c r="T106" s="14"/>
      <c r="U106" s="14"/>
      <c r="V106" s="45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</row>
    <row r="107" customHeight="1" spans="1:7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45"/>
      <c r="P107" s="14"/>
      <c r="Q107" s="45"/>
      <c r="R107" s="45"/>
      <c r="S107" s="45"/>
      <c r="T107" s="14"/>
      <c r="U107" s="14"/>
      <c r="V107" s="45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</row>
    <row r="108" customHeight="1" spans="1:77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45"/>
      <c r="P108" s="14"/>
      <c r="Q108" s="45"/>
      <c r="R108" s="45"/>
      <c r="S108" s="45"/>
      <c r="T108" s="14"/>
      <c r="U108" s="14"/>
      <c r="V108" s="45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</row>
    <row r="109" customHeight="1" spans="1:77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45"/>
      <c r="P109" s="14"/>
      <c r="Q109" s="45"/>
      <c r="R109" s="45"/>
      <c r="S109" s="45"/>
      <c r="T109" s="14"/>
      <c r="U109" s="14"/>
      <c r="V109" s="45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</row>
    <row r="110" customHeight="1" spans="1:77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45"/>
      <c r="P110" s="14"/>
      <c r="Q110" s="45"/>
      <c r="R110" s="45"/>
      <c r="S110" s="45"/>
      <c r="T110" s="14"/>
      <c r="U110" s="14"/>
      <c r="V110" s="45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</row>
    <row r="111" customHeight="1" spans="1:77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45"/>
      <c r="P111" s="14"/>
      <c r="Q111" s="45"/>
      <c r="R111" s="45"/>
      <c r="S111" s="45"/>
      <c r="T111" s="14"/>
      <c r="U111" s="14"/>
      <c r="V111" s="45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</row>
    <row r="112" customHeight="1" spans="1:77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45"/>
      <c r="P112" s="14"/>
      <c r="Q112" s="45"/>
      <c r="R112" s="45"/>
      <c r="S112" s="45"/>
      <c r="T112" s="14"/>
      <c r="U112" s="14"/>
      <c r="V112" s="45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</row>
    <row r="113" customHeight="1" spans="1:77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45"/>
      <c r="P113" s="14"/>
      <c r="Q113" s="45"/>
      <c r="R113" s="45"/>
      <c r="S113" s="45"/>
      <c r="T113" s="14"/>
      <c r="U113" s="14"/>
      <c r="V113" s="45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</row>
    <row r="114" customHeight="1" spans="1:77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45"/>
      <c r="P114" s="14"/>
      <c r="Q114" s="45"/>
      <c r="R114" s="45"/>
      <c r="S114" s="45"/>
      <c r="T114" s="14"/>
      <c r="U114" s="14"/>
      <c r="V114" s="45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</row>
    <row r="115" customHeight="1" spans="1:77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45"/>
      <c r="P115" s="14"/>
      <c r="Q115" s="45"/>
      <c r="R115" s="45"/>
      <c r="S115" s="45"/>
      <c r="T115" s="14"/>
      <c r="U115" s="14"/>
      <c r="V115" s="45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</row>
    <row r="116" customHeight="1" spans="1:77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45"/>
      <c r="P116" s="14"/>
      <c r="Q116" s="45"/>
      <c r="R116" s="45"/>
      <c r="S116" s="45"/>
      <c r="T116" s="14"/>
      <c r="U116" s="14"/>
      <c r="V116" s="45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</row>
    <row r="117" customHeight="1" spans="1:7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45"/>
      <c r="P117" s="14"/>
      <c r="Q117" s="45"/>
      <c r="R117" s="45"/>
      <c r="S117" s="45"/>
      <c r="T117" s="14"/>
      <c r="U117" s="14"/>
      <c r="V117" s="45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</row>
    <row r="118" customHeight="1" spans="1:77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45"/>
      <c r="P118" s="14"/>
      <c r="Q118" s="45"/>
      <c r="R118" s="45"/>
      <c r="S118" s="45"/>
      <c r="T118" s="14"/>
      <c r="U118" s="14"/>
      <c r="V118" s="45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</row>
    <row r="119" customHeight="1" spans="1:77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45"/>
      <c r="P119" s="14"/>
      <c r="Q119" s="45"/>
      <c r="R119" s="45"/>
      <c r="S119" s="45"/>
      <c r="T119" s="14"/>
      <c r="U119" s="14"/>
      <c r="V119" s="45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</row>
    <row r="120" customHeight="1" spans="1:77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45"/>
      <c r="P120" s="14"/>
      <c r="Q120" s="45"/>
      <c r="R120" s="45"/>
      <c r="S120" s="45"/>
      <c r="T120" s="14"/>
      <c r="U120" s="14"/>
      <c r="V120" s="45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</row>
    <row r="121" customHeight="1" spans="1:77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45"/>
      <c r="P121" s="14"/>
      <c r="Q121" s="45"/>
      <c r="R121" s="45"/>
      <c r="S121" s="45"/>
      <c r="T121" s="14"/>
      <c r="U121" s="14"/>
      <c r="V121" s="45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</row>
    <row r="122" customHeight="1" spans="1:77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45"/>
      <c r="P122" s="14"/>
      <c r="Q122" s="45"/>
      <c r="R122" s="45"/>
      <c r="S122" s="45"/>
      <c r="T122" s="14"/>
      <c r="U122" s="14"/>
      <c r="V122" s="45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</row>
    <row r="123" customHeight="1" spans="1:77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45"/>
      <c r="P123" s="14"/>
      <c r="Q123" s="45"/>
      <c r="R123" s="45"/>
      <c r="S123" s="45"/>
      <c r="T123" s="14"/>
      <c r="U123" s="14"/>
      <c r="V123" s="45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</row>
    <row r="124" customHeight="1" spans="1:77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45"/>
      <c r="P124" s="14"/>
      <c r="Q124" s="45"/>
      <c r="R124" s="45"/>
      <c r="S124" s="45"/>
      <c r="T124" s="14"/>
      <c r="U124" s="14"/>
      <c r="V124" s="45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</row>
    <row r="125" customHeight="1" spans="1:77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45"/>
      <c r="P125" s="14"/>
      <c r="Q125" s="45"/>
      <c r="R125" s="45"/>
      <c r="S125" s="45"/>
      <c r="T125" s="14"/>
      <c r="U125" s="14"/>
      <c r="V125" s="45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</row>
    <row r="126" customHeight="1" spans="1:77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45"/>
      <c r="P126" s="14"/>
      <c r="Q126" s="45"/>
      <c r="R126" s="45"/>
      <c r="S126" s="45"/>
      <c r="T126" s="14"/>
      <c r="U126" s="14"/>
      <c r="V126" s="45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</row>
    <row r="127" customHeight="1" spans="1:7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45"/>
      <c r="P127" s="14"/>
      <c r="Q127" s="45"/>
      <c r="R127" s="45"/>
      <c r="S127" s="45"/>
      <c r="T127" s="14"/>
      <c r="U127" s="14"/>
      <c r="V127" s="45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</row>
    <row r="128" customHeight="1" spans="1:77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45"/>
      <c r="P128" s="14"/>
      <c r="Q128" s="45"/>
      <c r="R128" s="45"/>
      <c r="S128" s="45"/>
      <c r="T128" s="14"/>
      <c r="U128" s="14"/>
      <c r="V128" s="45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</row>
    <row r="129" customHeight="1" spans="1:77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45"/>
      <c r="P129" s="14"/>
      <c r="Q129" s="45"/>
      <c r="R129" s="45"/>
      <c r="S129" s="45"/>
      <c r="T129" s="14"/>
      <c r="U129" s="14"/>
      <c r="V129" s="45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</row>
    <row r="130" customHeight="1" spans="1:77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45"/>
      <c r="P130" s="14"/>
      <c r="Q130" s="45"/>
      <c r="R130" s="45"/>
      <c r="S130" s="45"/>
      <c r="T130" s="14"/>
      <c r="U130" s="14"/>
      <c r="V130" s="45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</row>
    <row r="131" customHeight="1" spans="1:77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45"/>
      <c r="P131" s="14"/>
      <c r="Q131" s="45"/>
      <c r="R131" s="45"/>
      <c r="S131" s="45"/>
      <c r="T131" s="14"/>
      <c r="U131" s="14"/>
      <c r="V131" s="45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</row>
    <row r="132" customHeight="1" spans="1:77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45"/>
      <c r="P132" s="14"/>
      <c r="Q132" s="45"/>
      <c r="R132" s="45"/>
      <c r="S132" s="45"/>
      <c r="T132" s="14"/>
      <c r="U132" s="14"/>
      <c r="V132" s="45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</row>
    <row r="133" customHeight="1" spans="1:77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45"/>
      <c r="P133" s="14"/>
      <c r="Q133" s="45"/>
      <c r="R133" s="45"/>
      <c r="S133" s="45"/>
      <c r="T133" s="14"/>
      <c r="U133" s="14"/>
      <c r="V133" s="45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</row>
    <row r="134" customHeight="1" spans="1:77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45"/>
      <c r="P134" s="14"/>
      <c r="Q134" s="45"/>
      <c r="R134" s="45"/>
      <c r="S134" s="45"/>
      <c r="T134" s="14"/>
      <c r="U134" s="14"/>
      <c r="V134" s="45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</row>
    <row r="135" customHeight="1" spans="1:77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45"/>
      <c r="P135" s="14"/>
      <c r="Q135" s="45"/>
      <c r="R135" s="45"/>
      <c r="S135" s="45"/>
      <c r="T135" s="14"/>
      <c r="U135" s="14"/>
      <c r="V135" s="45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</row>
    <row r="136" customHeight="1" spans="1:77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45"/>
      <c r="P136" s="14"/>
      <c r="Q136" s="45"/>
      <c r="R136" s="45"/>
      <c r="S136" s="45"/>
      <c r="T136" s="14"/>
      <c r="U136" s="14"/>
      <c r="V136" s="45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</row>
    <row r="137" customHeight="1" spans="1:7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45"/>
      <c r="P137" s="14"/>
      <c r="Q137" s="45"/>
      <c r="R137" s="45"/>
      <c r="S137" s="45"/>
      <c r="T137" s="14"/>
      <c r="U137" s="14"/>
      <c r="V137" s="45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</row>
    <row r="138" customHeight="1" spans="1:77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45"/>
      <c r="P138" s="14"/>
      <c r="Q138" s="45"/>
      <c r="R138" s="45"/>
      <c r="S138" s="45"/>
      <c r="T138" s="14"/>
      <c r="U138" s="14"/>
      <c r="V138" s="45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</row>
    <row r="139" customHeight="1" spans="1:77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45"/>
      <c r="P139" s="14"/>
      <c r="Q139" s="45"/>
      <c r="R139" s="45"/>
      <c r="S139" s="45"/>
      <c r="T139" s="14"/>
      <c r="U139" s="14"/>
      <c r="V139" s="45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</row>
    <row r="140" customHeight="1" spans="1:77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45"/>
      <c r="P140" s="14"/>
      <c r="Q140" s="45"/>
      <c r="R140" s="45"/>
      <c r="S140" s="45"/>
      <c r="T140" s="14"/>
      <c r="U140" s="14"/>
      <c r="V140" s="45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</row>
    <row r="141" customHeight="1" spans="1:77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45"/>
      <c r="P141" s="14"/>
      <c r="Q141" s="45"/>
      <c r="R141" s="45"/>
      <c r="S141" s="45"/>
      <c r="T141" s="14"/>
      <c r="U141" s="14"/>
      <c r="V141" s="45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</row>
    <row r="142" customHeight="1" spans="1:77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45"/>
      <c r="P142" s="14"/>
      <c r="Q142" s="45"/>
      <c r="R142" s="45"/>
      <c r="S142" s="45"/>
      <c r="T142" s="14"/>
      <c r="U142" s="14"/>
      <c r="V142" s="45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</row>
    <row r="143" customHeight="1" spans="1:77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45"/>
      <c r="P143" s="14"/>
      <c r="Q143" s="45"/>
      <c r="R143" s="45"/>
      <c r="S143" s="45"/>
      <c r="T143" s="14"/>
      <c r="U143" s="14"/>
      <c r="V143" s="45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</row>
    <row r="144" customHeight="1" spans="1:77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45"/>
      <c r="P144" s="14"/>
      <c r="Q144" s="45"/>
      <c r="R144" s="45"/>
      <c r="S144" s="45"/>
      <c r="T144" s="14"/>
      <c r="U144" s="14"/>
      <c r="V144" s="45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</row>
    <row r="145" customHeight="1" spans="1:77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45"/>
      <c r="P145" s="14"/>
      <c r="Q145" s="45"/>
      <c r="R145" s="45"/>
      <c r="S145" s="45"/>
      <c r="T145" s="14"/>
      <c r="U145" s="14"/>
      <c r="V145" s="45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</row>
    <row r="146" customHeight="1" spans="1:77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45"/>
      <c r="P146" s="14"/>
      <c r="Q146" s="45"/>
      <c r="R146" s="45"/>
      <c r="S146" s="45"/>
      <c r="T146" s="14"/>
      <c r="U146" s="14"/>
      <c r="V146" s="45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</row>
    <row r="147" customHeight="1" spans="1:7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45"/>
      <c r="P147" s="14"/>
      <c r="Q147" s="45"/>
      <c r="R147" s="45"/>
      <c r="S147" s="45"/>
      <c r="T147" s="14"/>
      <c r="U147" s="14"/>
      <c r="V147" s="45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</row>
    <row r="148" customHeight="1" spans="1:77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45"/>
      <c r="P148" s="14"/>
      <c r="Q148" s="45"/>
      <c r="R148" s="45"/>
      <c r="S148" s="45"/>
      <c r="T148" s="14"/>
      <c r="U148" s="14"/>
      <c r="V148" s="45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</row>
    <row r="149" customHeight="1" spans="1:77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45"/>
      <c r="P149" s="14"/>
      <c r="Q149" s="45"/>
      <c r="R149" s="45"/>
      <c r="S149" s="45"/>
      <c r="T149" s="14"/>
      <c r="U149" s="14"/>
      <c r="V149" s="45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</row>
    <row r="150" customHeight="1" spans="1:77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45"/>
      <c r="P150" s="14"/>
      <c r="Q150" s="45"/>
      <c r="R150" s="45"/>
      <c r="S150" s="45"/>
      <c r="T150" s="14"/>
      <c r="U150" s="14"/>
      <c r="V150" s="45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</row>
    <row r="151" customHeight="1" spans="1:77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45"/>
      <c r="P151" s="14"/>
      <c r="Q151" s="45"/>
      <c r="R151" s="45"/>
      <c r="S151" s="45"/>
      <c r="T151" s="14"/>
      <c r="U151" s="14"/>
      <c r="V151" s="45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</row>
    <row r="152" customHeight="1" spans="1:77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45"/>
      <c r="P152" s="14"/>
      <c r="Q152" s="45"/>
      <c r="R152" s="45"/>
      <c r="S152" s="45"/>
      <c r="T152" s="14"/>
      <c r="U152" s="14"/>
      <c r="V152" s="45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</row>
    <row r="153" customHeight="1" spans="1:77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45"/>
      <c r="P153" s="14"/>
      <c r="Q153" s="45"/>
      <c r="R153" s="45"/>
      <c r="S153" s="45"/>
      <c r="T153" s="14"/>
      <c r="U153" s="14"/>
      <c r="V153" s="45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</row>
    <row r="154" customHeight="1" spans="1:77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45"/>
      <c r="P154" s="14"/>
      <c r="Q154" s="45"/>
      <c r="R154" s="45"/>
      <c r="S154" s="45"/>
      <c r="T154" s="14"/>
      <c r="U154" s="14"/>
      <c r="V154" s="45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</row>
    <row r="155" customHeight="1" spans="1:77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45"/>
      <c r="P155" s="14"/>
      <c r="Q155" s="45"/>
      <c r="R155" s="45"/>
      <c r="S155" s="45"/>
      <c r="T155" s="14"/>
      <c r="U155" s="14"/>
      <c r="V155" s="45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</row>
    <row r="156" customHeight="1" spans="1:77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45"/>
      <c r="P156" s="14"/>
      <c r="Q156" s="45"/>
      <c r="R156" s="45"/>
      <c r="S156" s="45"/>
      <c r="T156" s="14"/>
      <c r="U156" s="14"/>
      <c r="V156" s="45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</row>
    <row r="157" customHeight="1" spans="1:7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45"/>
      <c r="P157" s="14"/>
      <c r="Q157" s="45"/>
      <c r="R157" s="45"/>
      <c r="S157" s="45"/>
      <c r="T157" s="14"/>
      <c r="U157" s="14"/>
      <c r="V157" s="45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</row>
    <row r="158" customHeight="1" spans="1:77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45"/>
      <c r="P158" s="14"/>
      <c r="Q158" s="45"/>
      <c r="R158" s="45"/>
      <c r="S158" s="45"/>
      <c r="T158" s="14"/>
      <c r="U158" s="14"/>
      <c r="V158" s="45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</row>
    <row r="159" customHeight="1" spans="1:77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45"/>
      <c r="P159" s="14"/>
      <c r="Q159" s="45"/>
      <c r="R159" s="45"/>
      <c r="S159" s="45"/>
      <c r="T159" s="14"/>
      <c r="U159" s="14"/>
      <c r="V159" s="45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</row>
    <row r="160" customHeight="1" spans="1:77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45"/>
      <c r="P160" s="14"/>
      <c r="Q160" s="45"/>
      <c r="R160" s="45"/>
      <c r="S160" s="45"/>
      <c r="T160" s="14"/>
      <c r="U160" s="14"/>
      <c r="V160" s="45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</row>
    <row r="161" customHeight="1" spans="1:77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45"/>
      <c r="P161" s="14"/>
      <c r="Q161" s="45"/>
      <c r="R161" s="45"/>
      <c r="S161" s="45"/>
      <c r="T161" s="14"/>
      <c r="U161" s="14"/>
      <c r="V161" s="45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</row>
    <row r="162" customHeight="1" spans="1:77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45"/>
      <c r="P162" s="14"/>
      <c r="Q162" s="45"/>
      <c r="R162" s="45"/>
      <c r="S162" s="45"/>
      <c r="T162" s="14"/>
      <c r="U162" s="14"/>
      <c r="V162" s="45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</row>
    <row r="163" customHeight="1" spans="1:77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45"/>
      <c r="P163" s="14"/>
      <c r="Q163" s="45"/>
      <c r="R163" s="45"/>
      <c r="S163" s="45"/>
      <c r="T163" s="14"/>
      <c r="U163" s="14"/>
      <c r="V163" s="45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</row>
    <row r="164" customHeight="1" spans="1:77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45"/>
      <c r="P164" s="14"/>
      <c r="Q164" s="45"/>
      <c r="R164" s="45"/>
      <c r="S164" s="45"/>
      <c r="T164" s="14"/>
      <c r="U164" s="14"/>
      <c r="V164" s="45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</row>
    <row r="165" customHeight="1" spans="1:77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45"/>
      <c r="P165" s="14"/>
      <c r="Q165" s="45"/>
      <c r="R165" s="45"/>
      <c r="S165" s="45"/>
      <c r="T165" s="14"/>
      <c r="U165" s="14"/>
      <c r="V165" s="45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</row>
    <row r="166" customHeight="1" spans="1:77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45"/>
      <c r="P166" s="14"/>
      <c r="Q166" s="45"/>
      <c r="R166" s="45"/>
      <c r="S166" s="45"/>
      <c r="T166" s="14"/>
      <c r="U166" s="14"/>
      <c r="V166" s="45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</row>
    <row r="167" customHeight="1" spans="1:7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45"/>
      <c r="P167" s="14"/>
      <c r="Q167" s="45"/>
      <c r="R167" s="45"/>
      <c r="S167" s="45"/>
      <c r="T167" s="14"/>
      <c r="U167" s="14"/>
      <c r="V167" s="45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</row>
    <row r="168" customHeight="1" spans="1:77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45"/>
      <c r="P168" s="14"/>
      <c r="Q168" s="45"/>
      <c r="R168" s="45"/>
      <c r="S168" s="45"/>
      <c r="T168" s="14"/>
      <c r="U168" s="14"/>
      <c r="V168" s="45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</row>
    <row r="169" customHeight="1" spans="1:77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45"/>
      <c r="P169" s="14"/>
      <c r="Q169" s="45"/>
      <c r="R169" s="45"/>
      <c r="S169" s="45"/>
      <c r="T169" s="14"/>
      <c r="U169" s="14"/>
      <c r="V169" s="45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</row>
    <row r="170" customHeight="1" spans="1:77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45"/>
      <c r="P170" s="14"/>
      <c r="Q170" s="45"/>
      <c r="R170" s="45"/>
      <c r="S170" s="45"/>
      <c r="T170" s="14"/>
      <c r="U170" s="14"/>
      <c r="V170" s="45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</row>
    <row r="171" customHeight="1" spans="1:77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45"/>
      <c r="P171" s="14"/>
      <c r="Q171" s="45"/>
      <c r="R171" s="45"/>
      <c r="S171" s="45"/>
      <c r="T171" s="14"/>
      <c r="U171" s="14"/>
      <c r="V171" s="45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</row>
    <row r="172" customHeight="1" spans="1:77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45"/>
      <c r="P172" s="14"/>
      <c r="Q172" s="45"/>
      <c r="R172" s="45"/>
      <c r="S172" s="45"/>
      <c r="T172" s="14"/>
      <c r="U172" s="14"/>
      <c r="V172" s="45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</row>
    <row r="173" customHeight="1" spans="1:77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45"/>
      <c r="P173" s="14"/>
      <c r="Q173" s="45"/>
      <c r="R173" s="45"/>
      <c r="S173" s="45"/>
      <c r="T173" s="14"/>
      <c r="U173" s="14"/>
      <c r="V173" s="45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</row>
    <row r="174" customHeight="1" spans="1:77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45"/>
      <c r="P174" s="14"/>
      <c r="Q174" s="45"/>
      <c r="R174" s="45"/>
      <c r="S174" s="45"/>
      <c r="T174" s="14"/>
      <c r="U174" s="14"/>
      <c r="V174" s="45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</row>
    <row r="175" customHeight="1" spans="1:77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45"/>
      <c r="P175" s="14"/>
      <c r="Q175" s="45"/>
      <c r="R175" s="45"/>
      <c r="S175" s="45"/>
      <c r="T175" s="14"/>
      <c r="U175" s="14"/>
      <c r="V175" s="45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</row>
    <row r="176" customHeight="1" spans="1:77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45"/>
      <c r="P176" s="14"/>
      <c r="Q176" s="45"/>
      <c r="R176" s="45"/>
      <c r="S176" s="45"/>
      <c r="T176" s="14"/>
      <c r="U176" s="14"/>
      <c r="V176" s="45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</row>
    <row r="177" customHeight="1" spans="1: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45"/>
      <c r="P177" s="14"/>
      <c r="Q177" s="45"/>
      <c r="R177" s="45"/>
      <c r="S177" s="45"/>
      <c r="T177" s="14"/>
      <c r="U177" s="14"/>
      <c r="V177" s="45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</row>
    <row r="178" customHeight="1" spans="1:77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45"/>
      <c r="P178" s="14"/>
      <c r="Q178" s="45"/>
      <c r="R178" s="45"/>
      <c r="S178" s="45"/>
      <c r="T178" s="14"/>
      <c r="U178" s="14"/>
      <c r="V178" s="45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</row>
    <row r="179" customHeight="1" spans="1:77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45"/>
      <c r="P179" s="14"/>
      <c r="Q179" s="45"/>
      <c r="R179" s="45"/>
      <c r="S179" s="45"/>
      <c r="T179" s="14"/>
      <c r="U179" s="14"/>
      <c r="V179" s="45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</row>
    <row r="180" customHeight="1" spans="1:77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45"/>
      <c r="P180" s="14"/>
      <c r="Q180" s="45"/>
      <c r="R180" s="45"/>
      <c r="S180" s="45"/>
      <c r="T180" s="14"/>
      <c r="U180" s="14"/>
      <c r="V180" s="45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</row>
    <row r="181" customHeight="1" spans="1:77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45"/>
      <c r="P181" s="14"/>
      <c r="Q181" s="45"/>
      <c r="R181" s="45"/>
      <c r="S181" s="45"/>
      <c r="T181" s="14"/>
      <c r="U181" s="14"/>
      <c r="V181" s="45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</row>
    <row r="182" customHeight="1" spans="1:77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45"/>
      <c r="P182" s="14"/>
      <c r="Q182" s="45"/>
      <c r="R182" s="45"/>
      <c r="S182" s="45"/>
      <c r="T182" s="14"/>
      <c r="U182" s="14"/>
      <c r="V182" s="45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</row>
    <row r="183" customHeight="1" spans="1:77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45"/>
      <c r="P183" s="14"/>
      <c r="Q183" s="45"/>
      <c r="R183" s="45"/>
      <c r="S183" s="45"/>
      <c r="T183" s="14"/>
      <c r="U183" s="14"/>
      <c r="V183" s="45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</row>
    <row r="184" customHeight="1" spans="1:77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45"/>
      <c r="P184" s="14"/>
      <c r="Q184" s="45"/>
      <c r="R184" s="45"/>
      <c r="S184" s="45"/>
      <c r="T184" s="14"/>
      <c r="U184" s="14"/>
      <c r="V184" s="45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</row>
    <row r="185" customHeight="1" spans="1:77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45"/>
      <c r="P185" s="14"/>
      <c r="Q185" s="45"/>
      <c r="R185" s="45"/>
      <c r="S185" s="45"/>
      <c r="T185" s="14"/>
      <c r="U185" s="14"/>
      <c r="V185" s="45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</row>
    <row r="186" customHeight="1" spans="1:77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45"/>
      <c r="P186" s="14"/>
      <c r="Q186" s="45"/>
      <c r="R186" s="45"/>
      <c r="S186" s="45"/>
      <c r="T186" s="14"/>
      <c r="U186" s="14"/>
      <c r="V186" s="45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</row>
    <row r="187" customHeight="1" spans="1:7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45"/>
      <c r="P187" s="14"/>
      <c r="Q187" s="45"/>
      <c r="R187" s="45"/>
      <c r="S187" s="45"/>
      <c r="T187" s="14"/>
      <c r="U187" s="14"/>
      <c r="V187" s="45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</row>
    <row r="188" customHeight="1" spans="1:77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45"/>
      <c r="P188" s="14"/>
      <c r="Q188" s="45"/>
      <c r="R188" s="45"/>
      <c r="S188" s="45"/>
      <c r="T188" s="14"/>
      <c r="U188" s="14"/>
      <c r="V188" s="45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</row>
    <row r="189" customHeight="1" spans="1:77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45"/>
      <c r="P189" s="14"/>
      <c r="Q189" s="45"/>
      <c r="R189" s="45"/>
      <c r="S189" s="45"/>
      <c r="T189" s="14"/>
      <c r="U189" s="14"/>
      <c r="V189" s="45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</row>
    <row r="190" customHeight="1" spans="1:77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45"/>
      <c r="P190" s="14"/>
      <c r="Q190" s="45"/>
      <c r="R190" s="45"/>
      <c r="S190" s="45"/>
      <c r="T190" s="14"/>
      <c r="U190" s="14"/>
      <c r="V190" s="45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</row>
    <row r="191" customHeight="1" spans="1:77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45"/>
      <c r="P191" s="14"/>
      <c r="Q191" s="45"/>
      <c r="R191" s="45"/>
      <c r="S191" s="45"/>
      <c r="T191" s="14"/>
      <c r="U191" s="14"/>
      <c r="V191" s="45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</row>
    <row r="192" customHeight="1" spans="1:77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45"/>
      <c r="P192" s="14"/>
      <c r="Q192" s="45"/>
      <c r="R192" s="45"/>
      <c r="S192" s="45"/>
      <c r="T192" s="14"/>
      <c r="U192" s="14"/>
      <c r="V192" s="45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</row>
    <row r="193" customHeight="1" spans="1:77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45"/>
      <c r="P193" s="14"/>
      <c r="Q193" s="45"/>
      <c r="R193" s="45"/>
      <c r="S193" s="45"/>
      <c r="T193" s="14"/>
      <c r="U193" s="14"/>
      <c r="V193" s="45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</row>
    <row r="194" customHeight="1" spans="1:77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45"/>
      <c r="P194" s="14"/>
      <c r="Q194" s="45"/>
      <c r="R194" s="45"/>
      <c r="S194" s="45"/>
      <c r="T194" s="14"/>
      <c r="U194" s="14"/>
      <c r="V194" s="45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</row>
    <row r="195" customHeight="1" spans="1:77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45"/>
      <c r="P195" s="14"/>
      <c r="Q195" s="45"/>
      <c r="R195" s="45"/>
      <c r="S195" s="45"/>
      <c r="T195" s="14"/>
      <c r="U195" s="14"/>
      <c r="V195" s="45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</row>
    <row r="196" customHeight="1" spans="1:77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45"/>
      <c r="P196" s="14"/>
      <c r="Q196" s="45"/>
      <c r="R196" s="45"/>
      <c r="S196" s="45"/>
      <c r="T196" s="14"/>
      <c r="U196" s="14"/>
      <c r="V196" s="45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</row>
    <row r="197" customHeight="1" spans="1:7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45"/>
      <c r="P197" s="14"/>
      <c r="Q197" s="45"/>
      <c r="R197" s="45"/>
      <c r="S197" s="45"/>
      <c r="T197" s="14"/>
      <c r="U197" s="14"/>
      <c r="V197" s="45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</row>
    <row r="198" customHeight="1" spans="1:77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45"/>
      <c r="P198" s="14"/>
      <c r="Q198" s="45"/>
      <c r="R198" s="45"/>
      <c r="S198" s="45"/>
      <c r="T198" s="14"/>
      <c r="U198" s="14"/>
      <c r="V198" s="45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</row>
    <row r="199" customHeight="1" spans="1:77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45"/>
      <c r="P199" s="14"/>
      <c r="Q199" s="45"/>
      <c r="R199" s="45"/>
      <c r="S199" s="45"/>
      <c r="T199" s="14"/>
      <c r="U199" s="14"/>
      <c r="V199" s="45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</row>
    <row r="200" customHeight="1" spans="1:77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45"/>
      <c r="P200" s="14"/>
      <c r="Q200" s="45"/>
      <c r="R200" s="45"/>
      <c r="S200" s="45"/>
      <c r="T200" s="14"/>
      <c r="U200" s="14"/>
      <c r="V200" s="45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</row>
    <row r="201" customHeight="1" spans="1:77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45"/>
      <c r="P201" s="14"/>
      <c r="Q201" s="45"/>
      <c r="R201" s="45"/>
      <c r="S201" s="45"/>
      <c r="T201" s="14"/>
      <c r="U201" s="14"/>
      <c r="V201" s="45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</row>
    <row r="202" customHeight="1" spans="1:77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45"/>
      <c r="P202" s="14"/>
      <c r="Q202" s="45"/>
      <c r="R202" s="45"/>
      <c r="S202" s="45"/>
      <c r="T202" s="14"/>
      <c r="U202" s="14"/>
      <c r="V202" s="45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</row>
    <row r="203" customHeight="1" spans="1:77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45"/>
      <c r="P203" s="14"/>
      <c r="Q203" s="45"/>
      <c r="R203" s="45"/>
      <c r="S203" s="45"/>
      <c r="T203" s="14"/>
      <c r="U203" s="14"/>
      <c r="V203" s="45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</row>
    <row r="204" customHeight="1" spans="1:77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45"/>
      <c r="P204" s="14"/>
      <c r="Q204" s="45"/>
      <c r="R204" s="45"/>
      <c r="S204" s="45"/>
      <c r="T204" s="14"/>
      <c r="U204" s="14"/>
      <c r="V204" s="45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</row>
    <row r="205" customHeight="1" spans="1:77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45"/>
      <c r="P205" s="14"/>
      <c r="Q205" s="45"/>
      <c r="R205" s="45"/>
      <c r="S205" s="45"/>
      <c r="T205" s="14"/>
      <c r="U205" s="14"/>
      <c r="V205" s="45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</row>
    <row r="206" customHeight="1" spans="1:77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45"/>
      <c r="P206" s="14"/>
      <c r="Q206" s="45"/>
      <c r="R206" s="45"/>
      <c r="S206" s="45"/>
      <c r="T206" s="14"/>
      <c r="U206" s="14"/>
      <c r="V206" s="45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</row>
  </sheetData>
  <hyperlinks>
    <hyperlink ref="BU1" r:id="rId3" display="关键词库搭建"/>
    <hyperlink ref="O2" r:id="rId4" display="德国 电动牙刷关键词收集数据-德国标题2关键词库搭建"/>
    <hyperlink ref="Q2" r:id="rId5" display="德国电动牙刷- 项目跟进表-阳亚运-20250325"/>
    <hyperlink ref="R2" r:id="rId6" display="市调"/>
    <hyperlink ref="S2" r:id="rId7" display="电动牙刷德国ASIN 定投广告"/>
    <hyperlink ref="V2" r:id="rId8" display="电动牙刷VC 选品利润测算表_EU V1.0欧洲五国"/>
    <hyperlink ref="BU2" r:id="rId9" display="3.1关键词库高效搭建策略方法.pdf "/>
    <hyperlink ref="BX2" r:id="rId10" display="项目跟进表模板"/>
    <hyperlink ref="BY2" r:id="rId11" display="Listing后台全属性填写标准"/>
    <hyperlink ref="O3" r:id="rId12" display="英国 电动牙刷关键词收集数据-德国标题2关键词库搭建"/>
    <hyperlink ref="Q3" r:id="rId13" display="英国电动牙刷- 项目跟进表-阳亚运-20250325"/>
    <hyperlink ref="V3" r:id="rId8" display="电动牙刷VC 选品利润测算表_EU V1.0欧洲五国"/>
    <hyperlink ref="BU3" r:id="rId9" display="3.1关键词库高效搭建策略方法.pdf "/>
    <hyperlink ref="BW3" r:id="rId10" display="项目跟进表--20241016"/>
    <hyperlink ref="V4" r:id="rId8" display="电动牙刷VC 选品利润测算表_EU V1.0欧洲五国"/>
    <hyperlink ref="O5" r:id="rId4" display="德国 电动牙刷关键词收集数据-德国标题2关键词库搭建"/>
    <hyperlink ref="Q5" r:id="rId5" display="德国电动牙刷- 项目跟进表-阳亚运-20250325"/>
    <hyperlink ref="R5" r:id="rId6" display="市调"/>
    <hyperlink ref="S5" r:id="rId7" display="电动牙刷德国ASIN 定投广告"/>
    <hyperlink ref="V5" r:id="rId8" display="电动牙刷VC 选品利润测算表_EU V1.0欧洲五国"/>
    <hyperlink ref="O6" r:id="rId12" display="英国 电动牙刷关键词收集数据-德国标题2关键词库搭建"/>
    <hyperlink ref="Q6" r:id="rId13" display="英国电动牙刷- 项目跟进表-阳亚运-20250325"/>
    <hyperlink ref="V6" r:id="rId8" display="电动牙刷VC 选品利润测算表_EU V1.0欧洲五国"/>
    <hyperlink ref="M8" r:id="rId14" display="德国除螨仪竞品分析"/>
    <hyperlink ref="O8" r:id="rId15" display="德国除螨仪标题和关键词库搭建"/>
    <hyperlink ref="Q8" r:id="rId16" display="德国除螨仪 - 项目跟进表-阳亚运-20250325"/>
    <hyperlink ref="R8" r:id="rId17" display="除螨仪市调"/>
    <hyperlink ref="S8" r:id="rId18" display="德国除螨仪的推广计划——德国除螨仪 欧洲"/>
    <hyperlink ref="U8" r:id="rId19" display="德国除螨仪 -盈利模型分析"/>
    <hyperlink ref="V8" r:id="rId20" display="欧洲除螨仪 VC 选品利润测算表_EU V1.0欧洲五国"/>
    <hyperlink ref="M9" r:id="rId14" display="德国除螨仪竞品分析"/>
    <hyperlink ref="O9" r:id="rId21" display="英国除螨仪标题 关键词库搭建"/>
    <hyperlink ref="Q9" r:id="rId22" display="英国除螨仪 - 项目跟进表-阳亚运-20250325"/>
    <hyperlink ref="R9" r:id="rId23" display="市调"/>
    <hyperlink ref="U9" r:id="rId19" display="德国除螨仪 -盈利模型分析"/>
    <hyperlink ref="V9" r:id="rId20" display="欧洲五国VC选品利润测算表EU V10"/>
    <hyperlink ref="V11" r:id="rId8" display="电动牙刷VC 选品利润测算表_EU V1.0欧洲五国"/>
    <hyperlink ref="V12" r:id="rId8" display="电动牙刷VC 选品利润测算表_EU V1.0欧洲五国"/>
    <hyperlink ref="V13" r:id="rId8" display="电动牙刷VC 选品利润测算表_EU V1.0欧洲五国"/>
    <hyperlink ref="V14" r:id="rId8" display="电动牙刷VC 选品利润测算表_EU V1.0欧洲五国"/>
    <hyperlink ref="V15" r:id="rId8" display="电动牙刷VC 选品利润测算表_EU V1.0欧洲五国"/>
    <hyperlink ref="V16" r:id="rId8" display="电动牙刷VC 选品利润测算表_EU V1.0欧洲五国"/>
    <hyperlink ref="M17" r:id="rId14" display="德国除螨仪竞品分析"/>
    <hyperlink ref="V17" r:id="rId20" display="欧洲除螨仪 VC 选品利润测算表_EU V1.0欧洲五国"/>
    <hyperlink ref="V18" r:id="rId20" display="欧洲除螨仪 VC 选品利润测算表_EU V1.0欧洲五国"/>
    <hyperlink ref="M19" r:id="rId14" display="德国除螨仪竞品分析"/>
    <hyperlink ref="V19" r:id="rId20" display="欧洲除螨仪 VC 选品利润测算表_EU V1.0欧洲五国"/>
    <hyperlink ref="M21" r:id="rId24" display="德国超声波清洗机竞争程度分析"/>
    <hyperlink ref="O21" r:id="rId25" display="德国牙套超声波清洗机标题和关键词库搭建"/>
    <hyperlink ref="R21" r:id="rId26" display="超声波清洗机市调"/>
    <hyperlink ref="M22" r:id="rId24" display="德国超声波清洗机竞争程度分析"/>
    <hyperlink ref="O22" r:id="rId25" display="德国牙套超声波清洗机标题和关键词库搭建"/>
    <hyperlink ref="M23" r:id="rId27" display="杆式吸尘器竞品分析-84ASIN"/>
    <hyperlink ref="O23" r:id="rId25" display="德国牙套超声波清洗机标题和关键词库搭建"/>
    <hyperlink ref="R23" r:id="rId28" display="杆式吸尘器市调"/>
    <hyperlink ref="M24" r:id="rId27" display="杆式吸尘器竞品分析-84ASIN"/>
    <hyperlink ref="M26" r:id="rId29" display="空气净化器 竞品分析"/>
    <hyperlink ref="O26" r:id="rId30" display="德国空气净化器标题和关键词库搭建"/>
    <hyperlink ref="Q26" r:id="rId31" display="德国空气净化器 - 项目跟进表-阳亚运-20250611"/>
    <hyperlink ref="R26" r:id="rId32" display="空气净化器市调"/>
    <hyperlink ref="M27" r:id="rId29" display="空气净化器 竞品分析"/>
    <hyperlink ref="Q27" r:id="rId33" display="英国空气净化器 - 项目跟进表-阳亚运-20250611"/>
    <hyperlink ref="R27" r:id="rId32" display="空气净化器市调"/>
    <hyperlink ref="M28" r:id="rId29" display="空气净化器 竞品分析"/>
    <hyperlink ref="O28" r:id="rId30" display="德国空气净化器标题和关键词库搭建"/>
    <hyperlink ref="Q28" r:id="rId31" display="德国空气净化器 - 项目跟进表-阳亚运-20250611"/>
    <hyperlink ref="R28" r:id="rId32" display="空气净化器市调"/>
    <hyperlink ref="M29" r:id="rId29" display="空气净化器 竞品分析"/>
    <hyperlink ref="Q29" r:id="rId33" display="英国空气净化器 - 项目跟进表-阳亚运-20250611"/>
    <hyperlink ref="R29" r:id="rId32" display="空气净化器市调"/>
    <hyperlink ref="M36" r:id="rId34" display="市调"/>
    <hyperlink ref="R36" r:id="rId34" display="市调"/>
    <hyperlink ref="M37" r:id="rId34" display="市调"/>
    <hyperlink ref="R37" r:id="rId34" display="市调"/>
    <hyperlink ref="M43" r:id="rId35" display="智能电子口喷美国"/>
    <hyperlink ref="Q43" r:id="rId36" display="US 口喷市调 SIF所有数据oral spray"/>
    <hyperlink ref="R43" r:id="rId37" display="US口喷市调 Tik Tok所有数据ALL"/>
    <hyperlink ref="M44" r:id="rId38" display="DE 口腔喷雾剂Mundsprays(卖家精灵)"/>
    <hyperlink ref="M45" r:id="rId39" display="UK(口腔喷雾剂)Sprays"/>
  </hyperlinks>
  <pageMargins left="0.7" right="0.7" top="0.75" bottom="0.75" header="0.3" footer="0.3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0"/>
  <sheetViews>
    <sheetView workbookViewId="0">
      <pane ySplit="2" topLeftCell="A3" activePane="bottomLeft" state="frozen"/>
      <selection/>
      <selection pane="bottomLeft" activeCell="B1" sqref="B$1:B$1048576"/>
    </sheetView>
  </sheetViews>
  <sheetFormatPr defaultColWidth="17" defaultRowHeight="16.5" customHeight="1"/>
  <cols>
    <col min="1" max="1" width="18.5104166666667" customWidth="1"/>
    <col min="2" max="2" width="32.125" customWidth="1"/>
    <col min="3" max="3" width="7.33333333333333" customWidth="1"/>
    <col min="4" max="4" width="16.59375" customWidth="1"/>
    <col min="5" max="5" width="12.9166666666667" customWidth="1"/>
    <col min="6" max="6" width="13.4375" customWidth="1"/>
    <col min="7" max="10" width="10.125" customWidth="1"/>
    <col min="11" max="20" width="16.59375" customWidth="1"/>
  </cols>
  <sheetData>
    <row r="1" customHeight="1" spans="1:20">
      <c r="A1" s="10" t="s">
        <v>736</v>
      </c>
      <c r="B1" s="11"/>
      <c r="C1" s="10" t="s">
        <v>249</v>
      </c>
      <c r="D1" s="10" t="s">
        <v>99</v>
      </c>
      <c r="E1" s="10" t="s">
        <v>737</v>
      </c>
      <c r="F1" s="10" t="s">
        <v>268</v>
      </c>
      <c r="G1" s="10" t="s">
        <v>738</v>
      </c>
      <c r="H1" s="10" t="s">
        <v>738</v>
      </c>
      <c r="I1" s="10" t="s">
        <v>739</v>
      </c>
      <c r="J1" s="12" t="s">
        <v>740</v>
      </c>
      <c r="K1" s="13" t="s">
        <v>741</v>
      </c>
      <c r="L1" s="12" t="s">
        <v>738</v>
      </c>
      <c r="M1" s="10" t="s">
        <v>742</v>
      </c>
      <c r="N1" s="10" t="s">
        <v>743</v>
      </c>
      <c r="O1" s="10" t="s">
        <v>744</v>
      </c>
      <c r="P1" s="11"/>
      <c r="Q1" s="11"/>
      <c r="R1" s="11"/>
      <c r="S1" s="11"/>
      <c r="T1" s="11"/>
    </row>
    <row r="2" customHeight="1" spans="1:20">
      <c r="A2" s="14" t="s">
        <v>745</v>
      </c>
      <c r="B2" s="14"/>
      <c r="C2" s="15" t="s">
        <v>84</v>
      </c>
      <c r="D2" s="14" t="s">
        <v>89</v>
      </c>
      <c r="E2" s="16">
        <v>96</v>
      </c>
      <c r="F2" s="14">
        <v>408</v>
      </c>
      <c r="G2" s="14">
        <f>13.8+2.7+2.5</f>
        <v>19</v>
      </c>
      <c r="H2" s="14">
        <v>13.8</v>
      </c>
      <c r="I2" s="14">
        <v>100</v>
      </c>
      <c r="J2" s="17">
        <v>0</v>
      </c>
      <c r="K2" s="18">
        <f>G2*F2+I2</f>
        <v>7852</v>
      </c>
      <c r="L2" s="17">
        <f t="shared" ref="L2:L9" si="0">K2/E2</f>
        <v>81.7916666666667</v>
      </c>
      <c r="M2" s="18">
        <f>(K2+K3+K4)/400</f>
        <v>56.5185</v>
      </c>
      <c r="N2" s="14" t="s">
        <v>746</v>
      </c>
      <c r="O2" s="14" t="s">
        <v>747</v>
      </c>
      <c r="P2" s="15"/>
      <c r="Q2" s="14"/>
      <c r="R2" s="14"/>
    </row>
    <row r="3" customHeight="1" spans="1:20">
      <c r="A3" s="15" t="s">
        <v>745</v>
      </c>
      <c r="B3" s="14"/>
      <c r="C3" s="15" t="s">
        <v>84</v>
      </c>
      <c r="D3" s="14" t="s">
        <v>748</v>
      </c>
      <c r="E3" s="16">
        <v>132</v>
      </c>
      <c r="F3" s="14">
        <v>561</v>
      </c>
      <c r="G3" s="14">
        <f>9.8+2.7+2.5</f>
        <v>15</v>
      </c>
      <c r="H3" s="14">
        <v>9.8</v>
      </c>
      <c r="I3" s="14">
        <v>100</v>
      </c>
      <c r="J3" s="17">
        <v>0</v>
      </c>
      <c r="K3" s="18">
        <f>G3*F3+I3</f>
        <v>8515</v>
      </c>
      <c r="L3" s="17">
        <f t="shared" si="0"/>
        <v>64.5075757575758</v>
      </c>
      <c r="M3" s="18"/>
      <c r="N3" s="15" t="s">
        <v>746</v>
      </c>
      <c r="O3" s="15" t="s">
        <v>747</v>
      </c>
      <c r="P3" s="1"/>
      <c r="Q3" s="19"/>
      <c r="R3" s="1"/>
    </row>
    <row r="4" customHeight="1" spans="1:20">
      <c r="A4" s="15" t="s">
        <v>745</v>
      </c>
      <c r="B4" s="14"/>
      <c r="C4" s="15" t="s">
        <v>84</v>
      </c>
      <c r="D4" s="15" t="s">
        <v>748</v>
      </c>
      <c r="E4" s="16">
        <v>172</v>
      </c>
      <c r="F4" s="14">
        <v>731</v>
      </c>
      <c r="G4" s="14">
        <f>8.9+2.7+2.5-5.7</f>
        <v>8.4</v>
      </c>
      <c r="H4" s="14">
        <v>8.9</v>
      </c>
      <c r="I4" s="14">
        <v>100</v>
      </c>
      <c r="J4" s="17">
        <v>0</v>
      </c>
      <c r="K4" s="18">
        <f>G4*F4+I4</f>
        <v>6240.4</v>
      </c>
      <c r="L4" s="17">
        <f t="shared" si="0"/>
        <v>36.2813953488372</v>
      </c>
      <c r="M4" s="18" t="s">
        <v>749</v>
      </c>
      <c r="N4" s="15" t="s">
        <v>746</v>
      </c>
      <c r="O4" s="15" t="s">
        <v>747</v>
      </c>
      <c r="P4" s="19"/>
      <c r="Q4" s="19"/>
      <c r="R4" s="1"/>
    </row>
    <row r="5" customHeight="1" spans="1:20">
      <c r="A5" s="15" t="s">
        <v>745</v>
      </c>
      <c r="B5" s="14"/>
      <c r="C5" s="15" t="s">
        <v>84</v>
      </c>
      <c r="D5" s="15" t="s">
        <v>748</v>
      </c>
      <c r="E5" s="16">
        <v>600</v>
      </c>
      <c r="F5" s="14">
        <v>2550</v>
      </c>
      <c r="G5" s="14">
        <f>7.5+2.7+2.5</f>
        <v>12.7</v>
      </c>
      <c r="H5" s="14">
        <v>7.5</v>
      </c>
      <c r="I5" s="14">
        <v>100</v>
      </c>
      <c r="J5" s="17">
        <v>0</v>
      </c>
      <c r="K5" s="18">
        <f>G5*F5+I5</f>
        <v>32485</v>
      </c>
      <c r="L5" s="17">
        <f t="shared" si="0"/>
        <v>54.1416666666667</v>
      </c>
      <c r="M5" s="18">
        <f>K5/E5</f>
        <v>54.1416666666667</v>
      </c>
      <c r="N5" s="15" t="s">
        <v>746</v>
      </c>
      <c r="O5" s="15" t="s">
        <v>747</v>
      </c>
      <c r="P5" s="19"/>
      <c r="Q5" s="19"/>
      <c r="R5" s="1"/>
    </row>
    <row r="6" customHeight="1" spans="1:20">
      <c r="A6" s="15" t="s">
        <v>745</v>
      </c>
      <c r="B6" s="14"/>
      <c r="C6" s="15" t="s">
        <v>78</v>
      </c>
      <c r="D6" s="14" t="s">
        <v>20</v>
      </c>
      <c r="E6" s="16">
        <v>360</v>
      </c>
      <c r="F6" s="14">
        <v>1531</v>
      </c>
      <c r="G6" s="14">
        <v>8.5</v>
      </c>
      <c r="H6" s="14">
        <v>8.5</v>
      </c>
      <c r="I6" s="14">
        <f>350+400</f>
        <v>750</v>
      </c>
      <c r="J6" s="17">
        <f>79*0.3*0.027*7.8</f>
        <v>4.99122</v>
      </c>
      <c r="K6" s="18">
        <f>G6*F6+I6+J6*E6</f>
        <v>15560.3392</v>
      </c>
      <c r="L6" s="17">
        <f t="shared" si="0"/>
        <v>43.2231644444444</v>
      </c>
      <c r="M6" s="18">
        <f>(K6+K7)/1500</f>
        <v>25.9853628571429</v>
      </c>
      <c r="N6" s="14" t="s">
        <v>750</v>
      </c>
      <c r="O6" s="15" t="s">
        <v>747</v>
      </c>
    </row>
    <row r="7" customHeight="1" spans="1:20">
      <c r="A7" s="15" t="s">
        <v>745</v>
      </c>
      <c r="B7" s="14"/>
      <c r="C7" s="15" t="s">
        <v>78</v>
      </c>
      <c r="D7" s="14" t="s">
        <v>751</v>
      </c>
      <c r="E7" s="16">
        <v>1140</v>
      </c>
      <c r="F7" s="14">
        <v>27.9</v>
      </c>
      <c r="G7" s="20">
        <f>43600/70</f>
        <v>622.857142857143</v>
      </c>
      <c r="H7" s="14">
        <v>70</v>
      </c>
      <c r="I7" s="14">
        <v>350</v>
      </c>
      <c r="J7" s="17">
        <f>79*0.3*0.027*7.8</f>
        <v>4.99122</v>
      </c>
      <c r="K7" s="18">
        <f>G7*F7+I7+J7*E7</f>
        <v>23417.7050857143</v>
      </c>
      <c r="L7" s="17">
        <f t="shared" si="0"/>
        <v>20.541846566416</v>
      </c>
      <c r="M7" s="18"/>
      <c r="N7" s="14" t="s">
        <v>752</v>
      </c>
      <c r="O7" s="14"/>
    </row>
    <row r="8" customHeight="1" spans="1:20">
      <c r="A8" s="15" t="s">
        <v>745</v>
      </c>
      <c r="B8" s="14"/>
      <c r="C8" s="15" t="s">
        <v>86</v>
      </c>
      <c r="D8" s="15" t="s">
        <v>20</v>
      </c>
      <c r="E8" s="16">
        <v>160</v>
      </c>
      <c r="F8" s="14">
        <v>681</v>
      </c>
      <c r="G8" s="14">
        <v>10.5</v>
      </c>
      <c r="H8" s="14">
        <v>10.5</v>
      </c>
      <c r="I8" s="15">
        <f>350+400</f>
        <v>750</v>
      </c>
      <c r="J8" s="17">
        <f>79*0.3*0.027*9</f>
        <v>5.7591</v>
      </c>
      <c r="K8" s="18">
        <f>G8*F8+I8+J8*E8</f>
        <v>8821.956</v>
      </c>
      <c r="L8" s="17">
        <f t="shared" si="0"/>
        <v>55.137225</v>
      </c>
      <c r="M8" s="18">
        <f>(K8+K9)/500</f>
        <v>32.94618</v>
      </c>
      <c r="N8" s="15" t="s">
        <v>750</v>
      </c>
      <c r="O8" s="15" t="s">
        <v>747</v>
      </c>
    </row>
    <row r="9" customHeight="1" spans="1:20">
      <c r="A9" s="15" t="s">
        <v>745</v>
      </c>
      <c r="B9" s="14"/>
      <c r="C9" s="15" t="s">
        <v>86</v>
      </c>
      <c r="D9" s="14" t="s">
        <v>21</v>
      </c>
      <c r="E9" s="16">
        <v>340</v>
      </c>
      <c r="F9" s="14">
        <v>8.672</v>
      </c>
      <c r="G9" s="14">
        <v>570</v>
      </c>
      <c r="H9" s="14">
        <v>570</v>
      </c>
      <c r="I9" s="15">
        <f>350+400</f>
        <v>750</v>
      </c>
      <c r="J9" s="17">
        <f>79*0.3*0.027*9</f>
        <v>5.7591</v>
      </c>
      <c r="K9" s="18">
        <f>G9*F9+I9+J9*E9</f>
        <v>7651.134</v>
      </c>
      <c r="L9" s="17">
        <f t="shared" si="0"/>
        <v>22.5033352941176</v>
      </c>
      <c r="M9" s="18"/>
      <c r="N9" s="14" t="s">
        <v>753</v>
      </c>
      <c r="O9" s="15" t="s">
        <v>747</v>
      </c>
    </row>
    <row r="10" customHeight="1" spans="1:20">
      <c r="A10" s="15"/>
      <c r="C10" s="14"/>
      <c r="D10" s="14"/>
      <c r="E10" s="14"/>
      <c r="F10" s="14"/>
      <c r="G10" s="14"/>
      <c r="H10" s="1"/>
      <c r="I10" s="14"/>
      <c r="J10" s="17"/>
      <c r="K10" s="18"/>
      <c r="L10" s="17"/>
      <c r="M10" s="14"/>
      <c r="N10" s="14"/>
    </row>
    <row r="11" customHeight="1" spans="1:20">
      <c r="A11" s="14">
        <v>1</v>
      </c>
      <c r="B11" s="14"/>
      <c r="C11" s="15" t="s">
        <v>78</v>
      </c>
      <c r="D11" s="14" t="s">
        <v>754</v>
      </c>
      <c r="E11" s="14">
        <v>100</v>
      </c>
      <c r="F11" s="14">
        <v>40</v>
      </c>
      <c r="G11" s="14">
        <v>30</v>
      </c>
      <c r="H11" s="1"/>
      <c r="I11" s="14">
        <v>350</v>
      </c>
      <c r="J11" s="17">
        <v>0</v>
      </c>
      <c r="K11" s="18">
        <f>F11*G11+I11</f>
        <v>1550</v>
      </c>
      <c r="L11" s="17">
        <f>K11/E11</f>
        <v>15.5</v>
      </c>
      <c r="M11" s="20">
        <f>(K11+K12)/600</f>
        <v>6.64916666666667</v>
      </c>
      <c r="N11" s="14" t="s">
        <v>755</v>
      </c>
    </row>
    <row r="12" customHeight="1" spans="1:20">
      <c r="A12" s="15">
        <v>1</v>
      </c>
      <c r="B12" s="14"/>
      <c r="C12" s="15" t="s">
        <v>78</v>
      </c>
      <c r="D12" s="14" t="s">
        <v>756</v>
      </c>
      <c r="E12" s="14">
        <v>500</v>
      </c>
      <c r="F12" s="14">
        <v>199</v>
      </c>
      <c r="G12" s="14">
        <v>10.5</v>
      </c>
      <c r="H12" s="1"/>
      <c r="I12" s="15">
        <v>350</v>
      </c>
      <c r="J12" s="17">
        <v>0</v>
      </c>
      <c r="K12" s="18">
        <f>F12*G12+I12</f>
        <v>2439.5</v>
      </c>
      <c r="L12" s="17">
        <f>K12/E12</f>
        <v>4.879</v>
      </c>
      <c r="M12" s="20"/>
      <c r="N12" s="15" t="s">
        <v>755</v>
      </c>
      <c r="O12" s="1"/>
    </row>
    <row r="13" customHeight="1" spans="1:20">
      <c r="A13" s="15">
        <v>1</v>
      </c>
      <c r="B13" s="14"/>
      <c r="C13" s="15" t="s">
        <v>86</v>
      </c>
      <c r="D13" s="14" t="s">
        <v>757</v>
      </c>
      <c r="E13" s="14">
        <v>100</v>
      </c>
      <c r="F13" s="14">
        <v>40</v>
      </c>
      <c r="G13" s="14">
        <v>37</v>
      </c>
      <c r="H13" s="1"/>
      <c r="I13" s="15">
        <v>350</v>
      </c>
      <c r="J13" s="17">
        <v>0</v>
      </c>
      <c r="K13" s="18">
        <f>F13*G13+I13</f>
        <v>1830</v>
      </c>
      <c r="L13" s="17">
        <f>K13/E13</f>
        <v>18.3</v>
      </c>
      <c r="M13" s="20">
        <f>(K13+K14)/400</f>
        <v>9.35</v>
      </c>
      <c r="N13" s="15" t="s">
        <v>755</v>
      </c>
    </row>
    <row r="14" customHeight="1" spans="1:20">
      <c r="A14" s="15">
        <v>1</v>
      </c>
      <c r="B14" s="14"/>
      <c r="C14" s="15" t="s">
        <v>86</v>
      </c>
      <c r="D14" s="14" t="s">
        <v>758</v>
      </c>
      <c r="E14" s="14">
        <v>300</v>
      </c>
      <c r="F14" s="14">
        <v>120</v>
      </c>
      <c r="G14" s="14">
        <v>13</v>
      </c>
      <c r="H14" s="1"/>
      <c r="I14" s="15">
        <v>350</v>
      </c>
      <c r="J14" s="17">
        <v>0</v>
      </c>
      <c r="K14" s="18">
        <f>F14*G14+I14</f>
        <v>1910</v>
      </c>
      <c r="L14" s="17">
        <f>K14/E14</f>
        <v>6.36666666666667</v>
      </c>
      <c r="M14" s="14"/>
      <c r="N14" s="15" t="s">
        <v>755</v>
      </c>
    </row>
    <row r="15" customHeight="1" spans="1:20">
      <c r="A15" s="14"/>
      <c r="C15" s="14"/>
      <c r="D15" s="14"/>
      <c r="E15" s="14"/>
      <c r="F15" s="14"/>
      <c r="G15" s="14"/>
      <c r="H15" s="1"/>
      <c r="I15" s="14"/>
      <c r="J15" s="17"/>
      <c r="K15" s="18"/>
      <c r="L15" s="17"/>
      <c r="M15" s="14"/>
      <c r="N15" s="14"/>
    </row>
    <row r="16" customHeight="1" spans="1:20">
      <c r="A16" s="14" t="s">
        <v>759</v>
      </c>
      <c r="B16" s="14"/>
      <c r="C16" s="15" t="s">
        <v>78</v>
      </c>
      <c r="D16" s="14" t="s">
        <v>20</v>
      </c>
      <c r="E16" s="21">
        <v>500</v>
      </c>
      <c r="F16" s="14">
        <v>2123</v>
      </c>
      <c r="G16" s="20">
        <v>10.8</v>
      </c>
      <c r="H16" s="14"/>
      <c r="I16" s="14">
        <v>350</v>
      </c>
      <c r="J16" s="17">
        <v>0</v>
      </c>
      <c r="K16" s="18">
        <f>G16*F16+I16+J16*E16</f>
        <v>23278.4</v>
      </c>
      <c r="L16" s="17">
        <f>K16/E16</f>
        <v>46.5568</v>
      </c>
      <c r="M16" s="18">
        <f>(K16+K17)/2000</f>
        <v>29.520115</v>
      </c>
      <c r="N16" s="14" t="s">
        <v>760</v>
      </c>
      <c r="O16" s="15" t="s">
        <v>747</v>
      </c>
      <c r="P16" s="1"/>
      <c r="Q16" s="1"/>
      <c r="R16" s="1"/>
      <c r="S16" s="1"/>
      <c r="T16" s="1"/>
    </row>
    <row r="17" customHeight="1" spans="1:20">
      <c r="A17" s="14" t="s">
        <v>761</v>
      </c>
      <c r="B17" s="14"/>
      <c r="C17" s="15" t="s">
        <v>78</v>
      </c>
      <c r="D17" s="14" t="s">
        <v>751</v>
      </c>
      <c r="E17" s="21">
        <v>1500</v>
      </c>
      <c r="F17" s="15">
        <v>36.7</v>
      </c>
      <c r="G17" s="20">
        <v>750</v>
      </c>
      <c r="H17" s="14"/>
      <c r="I17" s="14">
        <v>750</v>
      </c>
      <c r="J17" s="17">
        <f>79*0.3*0.027*7.8</f>
        <v>4.99122</v>
      </c>
      <c r="K17" s="18">
        <f>G17*F17+I17+J17*E17</f>
        <v>35761.83</v>
      </c>
      <c r="L17" s="17">
        <f>K17/E17</f>
        <v>23.84122</v>
      </c>
      <c r="M17" s="18"/>
      <c r="N17" s="14" t="s">
        <v>762</v>
      </c>
      <c r="O17" s="15" t="s">
        <v>747</v>
      </c>
      <c r="P17" s="1"/>
      <c r="Q17" s="1"/>
      <c r="R17" s="1"/>
      <c r="S17" s="1"/>
      <c r="T17" s="1"/>
    </row>
    <row r="18" customHeight="1" spans="1:20">
      <c r="A18" s="14" t="s">
        <v>763</v>
      </c>
      <c r="B18" s="14"/>
      <c r="C18" s="15" t="s">
        <v>86</v>
      </c>
      <c r="D18" s="14" t="s">
        <v>764</v>
      </c>
      <c r="E18" s="21">
        <v>500</v>
      </c>
      <c r="F18" s="14">
        <v>12.8</v>
      </c>
      <c r="G18" s="14">
        <v>590</v>
      </c>
      <c r="H18" s="14"/>
      <c r="I18" s="15">
        <v>650</v>
      </c>
      <c r="J18" s="17">
        <f>79*0.3*0.02*9</f>
        <v>4.266</v>
      </c>
      <c r="K18" s="18">
        <f>G18*F18+I18+J18*E18</f>
        <v>10335</v>
      </c>
      <c r="L18" s="17">
        <f>K18/E18</f>
        <v>20.67</v>
      </c>
      <c r="M18" s="18"/>
      <c r="N18" s="14" t="s">
        <v>765</v>
      </c>
      <c r="O18" s="15" t="s">
        <v>747</v>
      </c>
      <c r="P18" s="1"/>
      <c r="Q18" s="1"/>
      <c r="R18" s="1"/>
      <c r="S18" s="1"/>
      <c r="T18" s="1"/>
    </row>
    <row r="19" customHeight="1" spans="1:20">
      <c r="A19" s="14" t="s">
        <v>759</v>
      </c>
      <c r="B19" s="14"/>
      <c r="C19" s="15" t="s">
        <v>78</v>
      </c>
      <c r="D19" s="14" t="s">
        <v>751</v>
      </c>
      <c r="E19" s="21">
        <v>1000</v>
      </c>
      <c r="F19" s="14">
        <v>25</v>
      </c>
      <c r="G19" s="20">
        <v>650</v>
      </c>
      <c r="H19" s="14"/>
      <c r="I19" s="14">
        <v>750</v>
      </c>
      <c r="J19" s="17">
        <f>79*0.3*0.027*7.8</f>
        <v>4.99122</v>
      </c>
      <c r="K19" s="18">
        <f>G19*F19+I19+J19*E19</f>
        <v>21991.22</v>
      </c>
      <c r="L19" s="17">
        <f>K19/E19</f>
        <v>21.99122</v>
      </c>
      <c r="M19" s="18"/>
      <c r="N19" s="14" t="s">
        <v>752</v>
      </c>
      <c r="O19" s="15" t="s">
        <v>747</v>
      </c>
      <c r="P19" s="1"/>
    </row>
    <row r="20" customHeight="1" spans="1:20">
      <c r="A20" s="14"/>
      <c r="C20" s="14"/>
      <c r="D20" s="14"/>
      <c r="E20" s="14"/>
      <c r="F20" s="14"/>
      <c r="G20" s="14"/>
      <c r="H20" s="1"/>
      <c r="I20" s="14"/>
      <c r="J20" s="17"/>
      <c r="K20" s="18"/>
      <c r="L20" s="17"/>
      <c r="M20" s="14"/>
      <c r="N20" s="14"/>
    </row>
    <row r="21" customHeight="1" spans="1:20">
      <c r="A21" s="14" t="s">
        <v>766</v>
      </c>
      <c r="B21" s="14"/>
      <c r="C21" s="15" t="s">
        <v>86</v>
      </c>
      <c r="D21" s="14" t="s">
        <v>764</v>
      </c>
      <c r="E21" s="14">
        <v>500</v>
      </c>
      <c r="F21" s="14">
        <v>12.7</v>
      </c>
      <c r="G21" s="20">
        <v>540</v>
      </c>
      <c r="H21" s="14"/>
      <c r="I21" s="14">
        <v>650</v>
      </c>
      <c r="J21" s="17">
        <f>79*0.3*0.02*9</f>
        <v>4.266</v>
      </c>
      <c r="K21" s="18">
        <f>G21*F21+I21+J21*E21</f>
        <v>9641</v>
      </c>
      <c r="L21" s="17">
        <f>K21/E21</f>
        <v>19.282</v>
      </c>
      <c r="M21" s="18"/>
      <c r="N21" s="15" t="s">
        <v>765</v>
      </c>
      <c r="O21" s="1"/>
      <c r="P21" s="1"/>
      <c r="Q21" s="1"/>
      <c r="R21" s="1"/>
      <c r="S21" s="1"/>
      <c r="T21" s="1"/>
    </row>
    <row r="22" customHeight="1" spans="1:20">
      <c r="A22" s="14" t="s">
        <v>766</v>
      </c>
      <c r="B22" s="14"/>
      <c r="C22" s="14" t="s">
        <v>78</v>
      </c>
      <c r="D22" s="14" t="s">
        <v>751</v>
      </c>
      <c r="E22" s="14">
        <v>2000</v>
      </c>
      <c r="F22" s="14">
        <v>50</v>
      </c>
      <c r="G22" s="20">
        <f>34500/68</f>
        <v>507.352941176471</v>
      </c>
      <c r="H22" s="14"/>
      <c r="I22" s="14">
        <v>650</v>
      </c>
      <c r="J22" s="17">
        <f>79*0.3*0.022*7.8</f>
        <v>4.06692</v>
      </c>
      <c r="K22" s="18">
        <f>G22*F22+I22+J22*E22+2000</f>
        <v>36151.4870588235</v>
      </c>
      <c r="L22" s="17">
        <f>K22/E22</f>
        <v>18.0757435294118</v>
      </c>
      <c r="M22" s="18"/>
      <c r="N22" s="14" t="s">
        <v>753</v>
      </c>
      <c r="P22" s="1"/>
    </row>
    <row r="23" customHeight="1" spans="1:20">
      <c r="A23" s="15" t="s">
        <v>766</v>
      </c>
      <c r="B23" s="14"/>
      <c r="C23" s="14" t="s">
        <v>78</v>
      </c>
      <c r="D23" s="14"/>
      <c r="E23" s="14">
        <v>500</v>
      </c>
      <c r="F23" s="14"/>
      <c r="G23" s="20"/>
      <c r="H23" s="14"/>
      <c r="I23" s="14"/>
      <c r="J23" s="17">
        <f>79*0.3*0.022*7.8</f>
        <v>4.06692</v>
      </c>
      <c r="K23" s="18">
        <f>G23*F23+I23+J23*E23</f>
        <v>2033.46</v>
      </c>
      <c r="L23" s="17">
        <f>K23/E23</f>
        <v>4.06692</v>
      </c>
      <c r="M23" s="18"/>
      <c r="N23" s="14" t="s">
        <v>753</v>
      </c>
    </row>
    <row r="24" customHeight="1" spans="1:20">
      <c r="A24" s="14"/>
      <c r="C24" s="14"/>
      <c r="D24" s="14"/>
      <c r="E24" s="14"/>
      <c r="F24" s="14"/>
      <c r="G24" s="14"/>
      <c r="H24" s="1"/>
      <c r="I24" s="14"/>
      <c r="J24" s="17"/>
      <c r="K24" s="18"/>
      <c r="L24" s="17"/>
      <c r="M24" s="14"/>
      <c r="N24" s="14"/>
    </row>
    <row r="25" customHeight="1" spans="1:20">
      <c r="A25" s="14" t="s">
        <v>767</v>
      </c>
      <c r="B25" s="14"/>
      <c r="C25" s="14" t="s">
        <v>78</v>
      </c>
      <c r="D25" s="14" t="s">
        <v>20</v>
      </c>
      <c r="E25" s="14">
        <v>225</v>
      </c>
      <c r="F25" s="21">
        <v>470</v>
      </c>
      <c r="G25" s="14">
        <v>8.5</v>
      </c>
      <c r="H25" s="1"/>
      <c r="I25" s="15">
        <v>700</v>
      </c>
      <c r="J25" s="17">
        <f>50*0.3*0.022*7.8</f>
        <v>2.574</v>
      </c>
      <c r="K25" s="18">
        <f t="shared" ref="K25:K33" si="1">G25*F25+I25+J25*E25</f>
        <v>5274.15</v>
      </c>
      <c r="L25" s="17">
        <f t="shared" ref="L25:L33" si="2">K25/E25</f>
        <v>23.4406666666667</v>
      </c>
      <c r="M25" s="20">
        <f>(K25+K26)/(E25+E26)</f>
        <v>16.7507676767677</v>
      </c>
      <c r="N25" s="14" t="s">
        <v>753</v>
      </c>
    </row>
    <row r="26" customHeight="1" spans="1:20">
      <c r="A26" s="15" t="s">
        <v>767</v>
      </c>
      <c r="B26" s="14"/>
      <c r="C26" s="14" t="s">
        <v>78</v>
      </c>
      <c r="D26" s="14" t="s">
        <v>764</v>
      </c>
      <c r="E26" s="14">
        <v>765</v>
      </c>
      <c r="F26" s="21">
        <v>1600</v>
      </c>
      <c r="G26" s="14">
        <v>5.4</v>
      </c>
      <c r="H26" s="1"/>
      <c r="I26" s="14">
        <v>700</v>
      </c>
      <c r="J26" s="17">
        <f>50*0.3*0.022*7.8</f>
        <v>2.574</v>
      </c>
      <c r="K26" s="18">
        <f t="shared" si="1"/>
        <v>11309.11</v>
      </c>
      <c r="L26" s="17">
        <f t="shared" si="2"/>
        <v>14.7831503267974</v>
      </c>
      <c r="M26" s="20"/>
      <c r="N26" s="14" t="s">
        <v>753</v>
      </c>
    </row>
    <row r="27" customHeight="1" spans="1:20">
      <c r="A27" s="15" t="s">
        <v>767</v>
      </c>
      <c r="B27" s="14"/>
      <c r="C27" s="14" t="s">
        <v>86</v>
      </c>
      <c r="D27" s="14" t="s">
        <v>20</v>
      </c>
      <c r="E27" s="14">
        <v>135</v>
      </c>
      <c r="F27" s="21">
        <v>282</v>
      </c>
      <c r="G27" s="14">
        <v>9</v>
      </c>
      <c r="H27" s="1"/>
      <c r="I27" s="15">
        <v>700</v>
      </c>
      <c r="J27" s="17">
        <f>50*0.3*0.022*7.8</f>
        <v>2.574</v>
      </c>
      <c r="K27" s="18">
        <f t="shared" si="1"/>
        <v>3585.49</v>
      </c>
      <c r="L27" s="17">
        <f t="shared" si="2"/>
        <v>26.5591851851852</v>
      </c>
      <c r="M27" s="20">
        <f>(K27+K28)/(E27+E28)</f>
        <v>15.6701111111111</v>
      </c>
      <c r="N27" s="14" t="s">
        <v>753</v>
      </c>
    </row>
    <row r="28" customHeight="1" spans="1:20">
      <c r="A28" s="15" t="s">
        <v>767</v>
      </c>
      <c r="B28" s="14"/>
      <c r="C28" s="14" t="s">
        <v>86</v>
      </c>
      <c r="D28" s="14" t="s">
        <v>764</v>
      </c>
      <c r="E28" s="14">
        <v>405</v>
      </c>
      <c r="F28" s="21">
        <v>847</v>
      </c>
      <c r="G28" s="14">
        <v>3.7</v>
      </c>
      <c r="H28" s="1"/>
      <c r="I28" s="15">
        <v>700</v>
      </c>
      <c r="J28" s="17">
        <f>50*0.3*0.022*7.8</f>
        <v>2.574</v>
      </c>
      <c r="K28" s="18">
        <f t="shared" si="1"/>
        <v>4876.37</v>
      </c>
      <c r="L28" s="17">
        <f t="shared" si="2"/>
        <v>12.0404197530864</v>
      </c>
      <c r="M28" s="20"/>
      <c r="N28" s="14" t="s">
        <v>753</v>
      </c>
      <c r="P28" s="1"/>
    </row>
    <row r="29" customHeight="1" spans="1:20">
      <c r="A29" s="15" t="s">
        <v>767</v>
      </c>
      <c r="B29" s="14"/>
      <c r="C29" s="14" t="s">
        <v>78</v>
      </c>
      <c r="D29" s="14" t="s">
        <v>20</v>
      </c>
      <c r="E29" s="14">
        <v>108</v>
      </c>
      <c r="F29" s="21">
        <v>89</v>
      </c>
      <c r="G29" s="15">
        <v>8.5</v>
      </c>
      <c r="H29" s="1"/>
      <c r="I29" s="14">
        <v>0</v>
      </c>
      <c r="J29" s="17">
        <f>20*0.3*0.022*7.8</f>
        <v>1.0296</v>
      </c>
      <c r="K29" s="18">
        <f t="shared" si="1"/>
        <v>867.6968</v>
      </c>
      <c r="L29" s="17">
        <f t="shared" si="2"/>
        <v>8.03422962962963</v>
      </c>
      <c r="M29" s="20"/>
      <c r="N29" s="14" t="s">
        <v>753</v>
      </c>
    </row>
    <row r="30" customHeight="1" spans="1:20">
      <c r="A30" s="15" t="s">
        <v>767</v>
      </c>
      <c r="B30" s="14"/>
      <c r="C30" s="14" t="s">
        <v>86</v>
      </c>
      <c r="D30" s="14" t="s">
        <v>20</v>
      </c>
      <c r="E30" s="14">
        <v>54</v>
      </c>
      <c r="F30" s="21">
        <v>45</v>
      </c>
      <c r="G30" s="15">
        <v>9</v>
      </c>
      <c r="H30" s="1"/>
      <c r="I30" s="14">
        <v>0</v>
      </c>
      <c r="J30" s="17">
        <f>20*0.3*0.022*7.8</f>
        <v>1.0296</v>
      </c>
      <c r="K30" s="18">
        <f t="shared" si="1"/>
        <v>460.5984</v>
      </c>
      <c r="L30" s="17">
        <f t="shared" si="2"/>
        <v>8.5296</v>
      </c>
      <c r="M30" s="20"/>
      <c r="N30" s="14" t="s">
        <v>753</v>
      </c>
    </row>
    <row r="31" customHeight="1" spans="1:20">
      <c r="A31" s="15" t="s">
        <v>767</v>
      </c>
      <c r="B31" s="14"/>
      <c r="C31" s="14" t="s">
        <v>84</v>
      </c>
      <c r="D31" s="14" t="s">
        <v>21</v>
      </c>
      <c r="E31" s="14">
        <v>180</v>
      </c>
      <c r="F31" s="21">
        <v>377</v>
      </c>
      <c r="G31" s="14">
        <v>5.7</v>
      </c>
      <c r="H31" s="1"/>
      <c r="I31" s="14">
        <v>350</v>
      </c>
      <c r="J31" s="17"/>
      <c r="K31" s="18">
        <f t="shared" si="1"/>
        <v>2498.9</v>
      </c>
      <c r="L31" s="17">
        <f t="shared" si="2"/>
        <v>13.8827777777778</v>
      </c>
      <c r="M31" s="20">
        <f>(K31+K32)/(E31+E32)</f>
        <v>15.4551851851852</v>
      </c>
      <c r="N31" s="14" t="s">
        <v>753</v>
      </c>
    </row>
    <row r="32" customHeight="1" spans="1:20">
      <c r="A32" s="15" t="s">
        <v>767</v>
      </c>
      <c r="B32" s="14"/>
      <c r="C32" s="14" t="s">
        <v>84</v>
      </c>
      <c r="D32" s="14" t="s">
        <v>21</v>
      </c>
      <c r="E32" s="14">
        <v>360</v>
      </c>
      <c r="F32" s="21">
        <v>753</v>
      </c>
      <c r="G32" s="15">
        <v>7.3</v>
      </c>
      <c r="H32" s="1"/>
      <c r="I32" s="14">
        <v>350</v>
      </c>
      <c r="J32" s="17"/>
      <c r="K32" s="18">
        <f t="shared" si="1"/>
        <v>5846.9</v>
      </c>
      <c r="L32" s="17">
        <f t="shared" si="2"/>
        <v>16.2413888888889</v>
      </c>
      <c r="M32" s="14"/>
      <c r="N32" s="14" t="s">
        <v>753</v>
      </c>
    </row>
    <row r="33" customHeight="1" spans="1:14">
      <c r="A33" s="15" t="s">
        <v>767</v>
      </c>
      <c r="B33" s="14"/>
      <c r="C33" s="14" t="s">
        <v>84</v>
      </c>
      <c r="D33" s="14" t="s">
        <v>21</v>
      </c>
      <c r="E33" s="14">
        <v>54</v>
      </c>
      <c r="F33" s="21">
        <v>45</v>
      </c>
      <c r="G33" s="14">
        <v>10.5</v>
      </c>
      <c r="H33" s="1"/>
      <c r="I33" s="14"/>
      <c r="J33" s="17"/>
      <c r="K33" s="18">
        <f t="shared" si="1"/>
        <v>472.5</v>
      </c>
      <c r="L33" s="17">
        <f t="shared" si="2"/>
        <v>8.75</v>
      </c>
      <c r="M33" s="14"/>
      <c r="N33" s="14" t="s">
        <v>753</v>
      </c>
    </row>
    <row r="34" customHeight="1" spans="1:14">
      <c r="A34" s="14"/>
      <c r="C34" s="14"/>
      <c r="D34" s="14"/>
      <c r="E34" s="14"/>
      <c r="F34" s="14"/>
      <c r="G34" s="14"/>
      <c r="H34" s="1"/>
      <c r="I34" s="14"/>
      <c r="J34" s="17"/>
      <c r="K34" s="18"/>
      <c r="L34" s="17"/>
      <c r="M34" s="14"/>
      <c r="N34" s="14"/>
    </row>
    <row r="35" customHeight="1" spans="1:14">
      <c r="A35" s="14"/>
      <c r="C35" s="14"/>
      <c r="D35" s="14"/>
      <c r="E35" s="14"/>
      <c r="F35" s="14"/>
      <c r="G35" s="14"/>
      <c r="H35" s="1"/>
      <c r="I35" s="14"/>
      <c r="J35" s="17"/>
      <c r="K35" s="18"/>
      <c r="L35" s="17"/>
      <c r="M35" s="14"/>
      <c r="N35" s="14"/>
    </row>
    <row r="36" customHeight="1" spans="1:14">
      <c r="A36" s="14"/>
      <c r="C36" s="14"/>
      <c r="D36" s="14"/>
      <c r="E36" s="14"/>
      <c r="F36" s="14"/>
      <c r="G36" s="14"/>
      <c r="H36" s="1"/>
      <c r="I36" s="14"/>
      <c r="J36" s="17"/>
      <c r="K36" s="18"/>
      <c r="L36" s="17"/>
      <c r="M36" s="14"/>
      <c r="N36" s="14"/>
    </row>
    <row r="37" customHeight="1" spans="1:14">
      <c r="A37" s="14"/>
      <c r="C37" s="14"/>
      <c r="D37" s="14"/>
      <c r="E37" s="14"/>
      <c r="F37" s="14"/>
      <c r="G37" s="14"/>
      <c r="H37" s="1"/>
      <c r="I37" s="14"/>
      <c r="J37" s="17"/>
      <c r="K37" s="18"/>
      <c r="L37" s="17"/>
      <c r="M37" s="14"/>
      <c r="N37" s="14"/>
    </row>
    <row r="38" customHeight="1" spans="1:14">
      <c r="A38" s="14"/>
      <c r="C38" s="14"/>
      <c r="D38" s="14"/>
      <c r="E38" s="14"/>
      <c r="F38" s="14"/>
      <c r="G38" s="14"/>
      <c r="H38" s="1"/>
      <c r="I38" s="14"/>
      <c r="J38" s="17"/>
      <c r="K38" s="18"/>
      <c r="L38" s="17"/>
      <c r="M38" s="14"/>
      <c r="N38" s="14"/>
    </row>
    <row r="39" customHeight="1" spans="1:14">
      <c r="A39" s="14"/>
      <c r="C39" s="14"/>
      <c r="D39" s="14"/>
      <c r="E39" s="14"/>
      <c r="F39" s="14"/>
      <c r="G39" s="14"/>
      <c r="H39" s="1"/>
      <c r="I39" s="14"/>
      <c r="J39" s="17"/>
      <c r="K39" s="18"/>
      <c r="L39" s="17"/>
      <c r="M39" s="14"/>
      <c r="N39" s="14"/>
    </row>
    <row r="40" customHeight="1" spans="1:14">
      <c r="A40" s="14"/>
      <c r="C40" s="14"/>
      <c r="D40" s="14"/>
      <c r="E40" s="14"/>
      <c r="F40" s="14"/>
      <c r="G40" s="14"/>
      <c r="H40" s="1"/>
      <c r="I40" s="14"/>
      <c r="J40" s="17"/>
      <c r="K40" s="18"/>
      <c r="L40" s="17"/>
      <c r="M40" s="14"/>
      <c r="N40" s="14"/>
    </row>
    <row r="41" customHeight="1" spans="1:14">
      <c r="A41" s="14"/>
      <c r="C41" s="14"/>
      <c r="D41" s="14"/>
      <c r="E41" s="14"/>
      <c r="F41" s="14"/>
      <c r="G41" s="14"/>
      <c r="H41" s="1"/>
      <c r="I41" s="14"/>
      <c r="J41" s="17"/>
      <c r="K41" s="18"/>
      <c r="L41" s="17"/>
      <c r="M41" s="14"/>
      <c r="N41" s="14"/>
    </row>
    <row r="42" customHeight="1" spans="1:14">
      <c r="A42" s="14"/>
      <c r="C42" s="14"/>
      <c r="D42" s="14"/>
      <c r="E42" s="14"/>
      <c r="F42" s="14"/>
      <c r="G42" s="14"/>
      <c r="H42" s="1"/>
      <c r="I42" s="14"/>
      <c r="J42" s="17"/>
      <c r="K42" s="18"/>
      <c r="L42" s="17"/>
      <c r="M42" s="14"/>
      <c r="N42" s="14"/>
    </row>
    <row r="43" customHeight="1" spans="1:14">
      <c r="A43" s="14"/>
      <c r="C43" s="14"/>
      <c r="D43" s="14"/>
      <c r="E43" s="14"/>
      <c r="F43" s="14"/>
      <c r="G43" s="14"/>
      <c r="H43" s="1"/>
      <c r="I43" s="14"/>
      <c r="J43" s="17"/>
      <c r="K43" s="18"/>
      <c r="L43" s="17"/>
      <c r="M43" s="14"/>
      <c r="N43" s="14"/>
    </row>
    <row r="44" customHeight="1" spans="1:14">
      <c r="A44" s="14"/>
      <c r="C44" s="14"/>
      <c r="D44" s="14"/>
      <c r="E44" s="14"/>
      <c r="F44" s="14"/>
      <c r="G44" s="14"/>
      <c r="H44" s="1"/>
      <c r="I44" s="14"/>
      <c r="J44" s="17"/>
      <c r="K44" s="18"/>
      <c r="L44" s="17"/>
      <c r="M44" s="14"/>
      <c r="N44" s="14"/>
    </row>
    <row r="45" customHeight="1" spans="1:14">
      <c r="A45" s="14"/>
      <c r="C45" s="14"/>
      <c r="D45" s="14"/>
      <c r="E45" s="14"/>
      <c r="F45" s="14"/>
      <c r="G45" s="14"/>
      <c r="H45" s="1"/>
      <c r="I45" s="14"/>
      <c r="J45" s="17"/>
      <c r="K45" s="18"/>
      <c r="L45" s="17"/>
      <c r="M45" s="14"/>
      <c r="N45" s="14"/>
    </row>
    <row r="46" customHeight="1" spans="1:14">
      <c r="A46" s="14"/>
      <c r="C46" s="14"/>
      <c r="D46" s="14"/>
      <c r="E46" s="14"/>
      <c r="F46" s="14"/>
      <c r="G46" s="14"/>
      <c r="H46" s="1"/>
      <c r="I46" s="14"/>
      <c r="J46" s="17"/>
      <c r="K46" s="18"/>
      <c r="L46" s="17"/>
      <c r="M46" s="14"/>
      <c r="N46" s="14"/>
    </row>
    <row r="47" customHeight="1" spans="1:14">
      <c r="A47" s="14"/>
      <c r="C47" s="14"/>
      <c r="D47" s="14"/>
      <c r="E47" s="14"/>
      <c r="F47" s="14"/>
      <c r="G47" s="14"/>
      <c r="H47" s="1"/>
      <c r="I47" s="14"/>
      <c r="J47" s="17"/>
      <c r="K47" s="18"/>
      <c r="L47" s="17"/>
      <c r="M47" s="14"/>
      <c r="N47" s="14"/>
    </row>
    <row r="48" customHeight="1" spans="1:14">
      <c r="A48" s="14"/>
      <c r="C48" s="14"/>
      <c r="D48" s="14"/>
      <c r="E48" s="14"/>
      <c r="F48" s="14"/>
      <c r="G48" s="14"/>
      <c r="H48" s="1"/>
      <c r="I48" s="14"/>
      <c r="J48" s="17"/>
      <c r="K48" s="18"/>
      <c r="L48" s="17"/>
      <c r="M48" s="14"/>
      <c r="N48" s="14"/>
    </row>
    <row r="49" customHeight="1" spans="1:14">
      <c r="A49" s="14"/>
      <c r="C49" s="14"/>
      <c r="D49" s="14"/>
      <c r="E49" s="14"/>
      <c r="F49" s="14"/>
      <c r="G49" s="14"/>
      <c r="H49" s="1"/>
      <c r="I49" s="14"/>
      <c r="J49" s="17"/>
      <c r="K49" s="18"/>
      <c r="L49" s="17"/>
      <c r="M49" s="14"/>
      <c r="N49" s="14"/>
    </row>
    <row r="50" customHeight="1" spans="1:14">
      <c r="A50" s="14"/>
      <c r="C50" s="14"/>
      <c r="D50" s="14"/>
      <c r="E50" s="14"/>
      <c r="F50" s="14"/>
      <c r="G50" s="14"/>
      <c r="H50" s="1"/>
      <c r="I50" s="14"/>
      <c r="J50" s="17"/>
      <c r="K50" s="18"/>
      <c r="L50" s="17"/>
      <c r="M50" s="14"/>
      <c r="N50" s="14"/>
    </row>
    <row r="51" customHeight="1" spans="1:14">
      <c r="A51" s="14"/>
      <c r="C51" s="14"/>
      <c r="D51" s="14"/>
      <c r="E51" s="14"/>
      <c r="F51" s="14"/>
      <c r="G51" s="14"/>
      <c r="H51" s="1"/>
      <c r="I51" s="14"/>
      <c r="J51" s="17"/>
      <c r="K51" s="18"/>
      <c r="L51" s="17"/>
      <c r="M51" s="14"/>
      <c r="N51" s="14"/>
    </row>
    <row r="52" customHeight="1" spans="1:14">
      <c r="A52" s="14"/>
      <c r="C52" s="14"/>
      <c r="D52" s="14"/>
      <c r="E52" s="14"/>
      <c r="F52" s="14"/>
      <c r="G52" s="14"/>
      <c r="H52" s="1"/>
      <c r="I52" s="14"/>
      <c r="J52" s="17"/>
      <c r="K52" s="18"/>
      <c r="L52" s="17"/>
      <c r="M52" s="14"/>
      <c r="N52" s="14"/>
    </row>
    <row r="53" customHeight="1" spans="1:14">
      <c r="A53" s="14"/>
      <c r="C53" s="14"/>
      <c r="D53" s="14"/>
      <c r="E53" s="14"/>
      <c r="F53" s="14"/>
      <c r="G53" s="14"/>
      <c r="H53" s="1"/>
      <c r="I53" s="14"/>
      <c r="J53" s="17"/>
      <c r="K53" s="18"/>
      <c r="L53" s="17"/>
      <c r="M53" s="14"/>
      <c r="N53" s="14"/>
    </row>
    <row r="54" customHeight="1" spans="1:14">
      <c r="A54" s="14"/>
      <c r="C54" s="14"/>
      <c r="D54" s="14"/>
      <c r="E54" s="14"/>
      <c r="F54" s="14"/>
      <c r="G54" s="14"/>
      <c r="H54" s="1"/>
      <c r="I54" s="14"/>
      <c r="J54" s="17"/>
      <c r="K54" s="18"/>
      <c r="L54" s="17"/>
      <c r="M54" s="14"/>
      <c r="N54" s="14"/>
    </row>
    <row r="55" customHeight="1" spans="1:14">
      <c r="A55" s="14"/>
      <c r="C55" s="14"/>
      <c r="D55" s="14"/>
      <c r="E55" s="14"/>
      <c r="F55" s="14"/>
      <c r="G55" s="14"/>
      <c r="H55" s="1"/>
      <c r="I55" s="14"/>
      <c r="J55" s="17"/>
      <c r="K55" s="18"/>
      <c r="L55" s="17"/>
      <c r="M55" s="14"/>
      <c r="N55" s="14"/>
    </row>
    <row r="56" customHeight="1" spans="1:14">
      <c r="A56" s="14"/>
      <c r="C56" s="14"/>
      <c r="D56" s="14"/>
      <c r="E56" s="14"/>
      <c r="F56" s="14"/>
      <c r="G56" s="14"/>
      <c r="H56" s="1"/>
      <c r="I56" s="14"/>
      <c r="J56" s="17"/>
      <c r="K56" s="18"/>
      <c r="L56" s="17"/>
      <c r="M56" s="14"/>
      <c r="N56" s="14"/>
    </row>
    <row r="57" customHeight="1" spans="1:14">
      <c r="A57" s="14"/>
      <c r="C57" s="14"/>
      <c r="D57" s="14"/>
      <c r="E57" s="14"/>
      <c r="F57" s="14"/>
      <c r="G57" s="14"/>
      <c r="H57" s="1"/>
      <c r="I57" s="14"/>
      <c r="J57" s="17"/>
      <c r="K57" s="18"/>
      <c r="L57" s="17"/>
      <c r="M57" s="14"/>
      <c r="N57" s="14"/>
    </row>
    <row r="58" customHeight="1" spans="1:14">
      <c r="A58" s="14"/>
      <c r="C58" s="14"/>
      <c r="D58" s="14"/>
      <c r="E58" s="14"/>
      <c r="F58" s="14"/>
      <c r="G58" s="14"/>
      <c r="H58" s="1"/>
      <c r="I58" s="14"/>
      <c r="J58" s="17"/>
      <c r="K58" s="18"/>
      <c r="L58" s="17"/>
      <c r="M58" s="14"/>
      <c r="N58" s="14"/>
    </row>
    <row r="59" customHeight="1" spans="1:14">
      <c r="A59" s="14"/>
      <c r="C59" s="14"/>
      <c r="D59" s="14"/>
      <c r="E59" s="14"/>
      <c r="F59" s="14"/>
      <c r="G59" s="14"/>
      <c r="H59" s="1"/>
      <c r="I59" s="14"/>
      <c r="J59" s="17"/>
      <c r="K59" s="18"/>
      <c r="L59" s="17"/>
      <c r="M59" s="14"/>
      <c r="N59" s="14"/>
    </row>
    <row r="60" customHeight="1" spans="1:14">
      <c r="A60" s="14"/>
      <c r="C60" s="14"/>
      <c r="D60" s="14"/>
      <c r="E60" s="14"/>
      <c r="F60" s="14"/>
      <c r="G60" s="14"/>
      <c r="H60" s="1"/>
      <c r="I60" s="14"/>
      <c r="J60" s="17"/>
      <c r="K60" s="18"/>
      <c r="L60" s="17"/>
      <c r="M60" s="14"/>
      <c r="N60" s="14"/>
    </row>
    <row r="61" customHeight="1" spans="1:14">
      <c r="A61" s="14"/>
      <c r="C61" s="14"/>
      <c r="D61" s="14"/>
      <c r="E61" s="14"/>
      <c r="F61" s="14"/>
      <c r="G61" s="14"/>
      <c r="H61" s="1"/>
      <c r="I61" s="14"/>
      <c r="J61" s="17"/>
      <c r="K61" s="18"/>
      <c r="L61" s="17"/>
      <c r="M61" s="14"/>
      <c r="N61" s="14"/>
    </row>
    <row r="62" customHeight="1" spans="1:14">
      <c r="A62" s="14"/>
      <c r="C62" s="14"/>
      <c r="D62" s="14"/>
      <c r="E62" s="14"/>
      <c r="F62" s="14"/>
      <c r="G62" s="14"/>
      <c r="H62" s="1"/>
      <c r="I62" s="14"/>
      <c r="J62" s="17"/>
      <c r="K62" s="18"/>
      <c r="L62" s="17"/>
      <c r="M62" s="14"/>
      <c r="N62" s="14"/>
    </row>
    <row r="63" customHeight="1" spans="1:14">
      <c r="A63" s="14"/>
      <c r="C63" s="14"/>
      <c r="D63" s="14"/>
      <c r="E63" s="14"/>
      <c r="F63" s="14"/>
      <c r="G63" s="14"/>
      <c r="H63" s="1"/>
      <c r="I63" s="14"/>
      <c r="J63" s="17"/>
      <c r="K63" s="18"/>
      <c r="L63" s="17"/>
      <c r="M63" s="14"/>
      <c r="N63" s="14"/>
    </row>
    <row r="64" customHeight="1" spans="1:14">
      <c r="A64" s="14"/>
      <c r="C64" s="14"/>
      <c r="D64" s="14"/>
      <c r="E64" s="14"/>
      <c r="F64" s="14"/>
      <c r="G64" s="14"/>
      <c r="H64" s="1"/>
      <c r="I64" s="14"/>
      <c r="J64" s="17"/>
      <c r="K64" s="18"/>
      <c r="L64" s="17"/>
      <c r="M64" s="14"/>
      <c r="N64" s="14"/>
    </row>
    <row r="65" customHeight="1" spans="1:14">
      <c r="A65" s="14"/>
      <c r="C65" s="14"/>
      <c r="D65" s="14"/>
      <c r="E65" s="14"/>
      <c r="F65" s="14"/>
      <c r="G65" s="14"/>
      <c r="H65" s="1"/>
      <c r="I65" s="14"/>
      <c r="J65" s="17"/>
      <c r="K65" s="18"/>
      <c r="L65" s="17"/>
      <c r="M65" s="14"/>
      <c r="N65" s="14"/>
    </row>
    <row r="66" customHeight="1" spans="1:14">
      <c r="A66" s="14"/>
      <c r="C66" s="14"/>
      <c r="D66" s="14"/>
      <c r="E66" s="14"/>
      <c r="F66" s="14"/>
      <c r="G66" s="14"/>
      <c r="H66" s="1"/>
      <c r="I66" s="14"/>
      <c r="J66" s="17"/>
      <c r="K66" s="18"/>
      <c r="L66" s="17"/>
      <c r="M66" s="14"/>
      <c r="N66" s="14"/>
    </row>
    <row r="67" customHeight="1" spans="1:14">
      <c r="A67" s="14"/>
      <c r="C67" s="14"/>
      <c r="D67" s="14"/>
      <c r="E67" s="14"/>
      <c r="F67" s="14"/>
      <c r="G67" s="14"/>
      <c r="H67" s="1"/>
      <c r="I67" s="14"/>
      <c r="J67" s="17"/>
      <c r="K67" s="18"/>
      <c r="L67" s="17"/>
      <c r="M67" s="14"/>
      <c r="N67" s="14"/>
    </row>
    <row r="68" customHeight="1" spans="1:14">
      <c r="A68" s="14"/>
      <c r="C68" s="14"/>
      <c r="D68" s="14"/>
      <c r="E68" s="14"/>
      <c r="F68" s="14"/>
      <c r="G68" s="14"/>
      <c r="H68" s="1"/>
      <c r="I68" s="14"/>
      <c r="J68" s="17"/>
      <c r="K68" s="18"/>
      <c r="L68" s="17"/>
      <c r="M68" s="14"/>
      <c r="N68" s="14"/>
    </row>
    <row r="69" customHeight="1" spans="1:14">
      <c r="A69" s="14"/>
      <c r="C69" s="14"/>
      <c r="D69" s="14"/>
      <c r="E69" s="14"/>
      <c r="F69" s="14"/>
      <c r="G69" s="14"/>
      <c r="H69" s="1"/>
      <c r="I69" s="14"/>
      <c r="J69" s="17"/>
      <c r="K69" s="18"/>
      <c r="L69" s="17"/>
      <c r="M69" s="14"/>
      <c r="N69" s="14"/>
    </row>
    <row r="70" customHeight="1" spans="1:14">
      <c r="A70" s="14"/>
      <c r="C70" s="14"/>
      <c r="D70" s="14"/>
      <c r="E70" s="14"/>
      <c r="F70" s="14"/>
      <c r="G70" s="14"/>
      <c r="H70" s="1"/>
      <c r="I70" s="14"/>
      <c r="J70" s="17"/>
      <c r="K70" s="18"/>
      <c r="L70" s="17"/>
      <c r="M70" s="14"/>
      <c r="N70" s="14"/>
    </row>
    <row r="71" customHeight="1" spans="1:14">
      <c r="A71" s="14"/>
      <c r="C71" s="14"/>
      <c r="D71" s="14"/>
      <c r="E71" s="14"/>
      <c r="F71" s="14"/>
      <c r="G71" s="14"/>
      <c r="H71" s="1"/>
      <c r="I71" s="14"/>
      <c r="J71" s="17"/>
      <c r="K71" s="18"/>
      <c r="L71" s="17"/>
      <c r="M71" s="14"/>
      <c r="N71" s="14"/>
    </row>
    <row r="72" customHeight="1" spans="1:14">
      <c r="A72" s="14"/>
      <c r="C72" s="14"/>
      <c r="D72" s="14"/>
      <c r="E72" s="14"/>
      <c r="F72" s="14"/>
      <c r="G72" s="14"/>
      <c r="H72" s="1"/>
      <c r="I72" s="14"/>
      <c r="J72" s="17"/>
      <c r="K72" s="18"/>
      <c r="L72" s="17"/>
      <c r="M72" s="14"/>
      <c r="N72" s="14"/>
    </row>
    <row r="73" customHeight="1" spans="1:14">
      <c r="A73" s="14"/>
      <c r="C73" s="14"/>
      <c r="D73" s="14"/>
      <c r="E73" s="14"/>
      <c r="F73" s="14"/>
      <c r="G73" s="14"/>
      <c r="H73" s="1"/>
      <c r="I73" s="14"/>
      <c r="J73" s="17"/>
      <c r="K73" s="18"/>
      <c r="L73" s="17"/>
      <c r="M73" s="14"/>
      <c r="N73" s="14"/>
    </row>
    <row r="74" customHeight="1" spans="1:14">
      <c r="A74" s="14"/>
      <c r="C74" s="14"/>
      <c r="D74" s="14"/>
      <c r="E74" s="14"/>
      <c r="F74" s="14"/>
      <c r="G74" s="14"/>
      <c r="H74" s="1"/>
      <c r="I74" s="14"/>
      <c r="J74" s="17"/>
      <c r="K74" s="18"/>
      <c r="L74" s="17"/>
      <c r="M74" s="14"/>
      <c r="N74" s="14"/>
    </row>
    <row r="75" customHeight="1" spans="1:14">
      <c r="A75" s="14"/>
      <c r="C75" s="14"/>
      <c r="D75" s="14"/>
      <c r="E75" s="14"/>
      <c r="F75" s="14"/>
      <c r="G75" s="14"/>
      <c r="H75" s="1"/>
      <c r="I75" s="14"/>
      <c r="J75" s="17"/>
      <c r="K75" s="18"/>
      <c r="L75" s="17"/>
      <c r="M75" s="14"/>
      <c r="N75" s="14"/>
    </row>
    <row r="76" customHeight="1" spans="1:14">
      <c r="A76" s="14"/>
      <c r="C76" s="14"/>
      <c r="D76" s="14"/>
      <c r="E76" s="14"/>
      <c r="F76" s="14"/>
      <c r="G76" s="14"/>
      <c r="H76" s="1"/>
      <c r="I76" s="14"/>
      <c r="J76" s="17"/>
      <c r="K76" s="18"/>
      <c r="L76" s="17"/>
      <c r="M76" s="14"/>
      <c r="N76" s="14"/>
    </row>
    <row r="77" customHeight="1" spans="1:14">
      <c r="A77" s="14"/>
      <c r="C77" s="14"/>
      <c r="D77" s="14"/>
      <c r="E77" s="14"/>
      <c r="F77" s="14"/>
      <c r="G77" s="14"/>
      <c r="H77" s="1"/>
      <c r="I77" s="14"/>
      <c r="J77" s="17"/>
      <c r="K77" s="18"/>
      <c r="L77" s="17"/>
      <c r="M77" s="14"/>
      <c r="N77" s="14"/>
    </row>
    <row r="78" customHeight="1" spans="1:14">
      <c r="A78" s="14"/>
      <c r="C78" s="14"/>
      <c r="D78" s="14"/>
      <c r="E78" s="14"/>
      <c r="F78" s="14"/>
      <c r="G78" s="14"/>
      <c r="H78" s="1"/>
      <c r="I78" s="14"/>
      <c r="J78" s="17"/>
      <c r="K78" s="18"/>
      <c r="L78" s="17"/>
      <c r="M78" s="14"/>
      <c r="N78" s="14"/>
    </row>
    <row r="79" customHeight="1" spans="1:14">
      <c r="A79" s="14"/>
      <c r="C79" s="14"/>
      <c r="D79" s="14"/>
      <c r="E79" s="14"/>
      <c r="F79" s="14"/>
      <c r="G79" s="14"/>
      <c r="H79" s="1"/>
      <c r="I79" s="14"/>
      <c r="J79" s="17"/>
      <c r="K79" s="18"/>
      <c r="L79" s="17"/>
      <c r="M79" s="14"/>
      <c r="N79" s="14"/>
    </row>
    <row r="80" customHeight="1" spans="1:14">
      <c r="A80" s="14"/>
      <c r="C80" s="14"/>
      <c r="D80" s="14"/>
      <c r="E80" s="14"/>
      <c r="F80" s="14"/>
      <c r="G80" s="14"/>
      <c r="H80" s="1"/>
      <c r="I80" s="14"/>
      <c r="J80" s="17"/>
      <c r="K80" s="18"/>
      <c r="L80" s="17"/>
      <c r="M80" s="14"/>
      <c r="N80" s="14"/>
    </row>
    <row r="81" customHeight="1" spans="1:14">
      <c r="A81" s="14"/>
      <c r="C81" s="14"/>
      <c r="D81" s="14"/>
      <c r="E81" s="14"/>
      <c r="F81" s="14"/>
      <c r="G81" s="14"/>
      <c r="H81" s="1"/>
      <c r="I81" s="14"/>
      <c r="J81" s="17"/>
      <c r="K81" s="18"/>
      <c r="L81" s="17"/>
      <c r="M81" s="14"/>
      <c r="N81" s="14"/>
    </row>
    <row r="82" customHeight="1" spans="1:14">
      <c r="A82" s="14"/>
      <c r="C82" s="14"/>
      <c r="D82" s="14"/>
      <c r="E82" s="14"/>
      <c r="F82" s="14"/>
      <c r="G82" s="14"/>
      <c r="H82" s="1"/>
      <c r="I82" s="14"/>
      <c r="J82" s="17"/>
      <c r="K82" s="18"/>
      <c r="L82" s="17"/>
      <c r="M82" s="14"/>
      <c r="N82" s="14"/>
    </row>
    <row r="83" customHeight="1" spans="1:14">
      <c r="A83" s="14"/>
      <c r="C83" s="14"/>
      <c r="D83" s="14"/>
      <c r="E83" s="14"/>
      <c r="F83" s="14"/>
      <c r="G83" s="14"/>
      <c r="H83" s="1"/>
      <c r="I83" s="14"/>
      <c r="J83" s="17"/>
      <c r="K83" s="18"/>
      <c r="L83" s="17"/>
      <c r="M83" s="14"/>
      <c r="N83" s="14"/>
    </row>
    <row r="84" customHeight="1" spans="1:14">
      <c r="A84" s="14"/>
      <c r="C84" s="14"/>
      <c r="D84" s="14"/>
      <c r="E84" s="14"/>
      <c r="F84" s="14"/>
      <c r="G84" s="14"/>
      <c r="H84" s="1"/>
      <c r="I84" s="14"/>
      <c r="J84" s="17"/>
      <c r="K84" s="18"/>
      <c r="L84" s="17"/>
      <c r="M84" s="14"/>
      <c r="N84" s="14"/>
    </row>
    <row r="85" customHeight="1" spans="1:14">
      <c r="A85" s="14"/>
      <c r="C85" s="14"/>
      <c r="D85" s="14"/>
      <c r="E85" s="14"/>
      <c r="F85" s="14"/>
      <c r="G85" s="14"/>
      <c r="H85" s="1"/>
      <c r="I85" s="14"/>
      <c r="J85" s="17"/>
      <c r="K85" s="18"/>
      <c r="L85" s="17"/>
      <c r="M85" s="14"/>
      <c r="N85" s="14"/>
    </row>
    <row r="86" customHeight="1" spans="1:14">
      <c r="A86" s="14"/>
      <c r="C86" s="14"/>
      <c r="D86" s="14"/>
      <c r="E86" s="14"/>
      <c r="F86" s="14"/>
      <c r="G86" s="14"/>
      <c r="H86" s="1"/>
      <c r="I86" s="14"/>
      <c r="J86" s="17"/>
      <c r="K86" s="18"/>
      <c r="L86" s="17"/>
      <c r="M86" s="14"/>
      <c r="N86" s="14"/>
    </row>
    <row r="87" customHeight="1" spans="1:14">
      <c r="A87" s="14"/>
      <c r="C87" s="14"/>
      <c r="D87" s="14"/>
      <c r="E87" s="14"/>
      <c r="F87" s="14"/>
      <c r="G87" s="14"/>
      <c r="H87" s="1"/>
      <c r="I87" s="14"/>
      <c r="J87" s="17"/>
      <c r="K87" s="18"/>
      <c r="L87" s="17"/>
      <c r="M87" s="14"/>
      <c r="N87" s="14"/>
    </row>
    <row r="88" customHeight="1" spans="1:14">
      <c r="A88" s="14"/>
      <c r="C88" s="14"/>
      <c r="D88" s="14"/>
      <c r="E88" s="14"/>
      <c r="F88" s="14"/>
      <c r="G88" s="14"/>
      <c r="H88" s="1"/>
      <c r="I88" s="14"/>
      <c r="J88" s="17"/>
      <c r="K88" s="18"/>
      <c r="L88" s="17"/>
      <c r="M88" s="14"/>
      <c r="N88" s="14"/>
    </row>
    <row r="89" customHeight="1" spans="1:14">
      <c r="A89" s="14"/>
      <c r="C89" s="14"/>
      <c r="D89" s="14"/>
      <c r="E89" s="14"/>
      <c r="F89" s="14"/>
      <c r="G89" s="14"/>
      <c r="H89" s="1"/>
      <c r="I89" s="14"/>
      <c r="J89" s="17"/>
      <c r="K89" s="18"/>
      <c r="L89" s="17"/>
      <c r="M89" s="14"/>
      <c r="N89" s="14"/>
    </row>
    <row r="90" customHeight="1" spans="1:14">
      <c r="A90" s="14"/>
      <c r="C90" s="14"/>
      <c r="D90" s="14"/>
      <c r="E90" s="14"/>
      <c r="F90" s="14"/>
      <c r="G90" s="14"/>
      <c r="H90" s="1"/>
      <c r="I90" s="14"/>
      <c r="J90" s="17"/>
      <c r="K90" s="18"/>
      <c r="L90" s="17"/>
      <c r="M90" s="14"/>
      <c r="N90" s="14"/>
    </row>
    <row r="91" customHeight="1" spans="1:14">
      <c r="A91" s="14"/>
      <c r="C91" s="14"/>
      <c r="D91" s="14"/>
      <c r="E91" s="14"/>
      <c r="F91" s="14"/>
      <c r="G91" s="14"/>
      <c r="H91" s="1"/>
      <c r="I91" s="14"/>
      <c r="J91" s="17"/>
      <c r="K91" s="18"/>
      <c r="L91" s="17"/>
      <c r="M91" s="14"/>
      <c r="N91" s="14"/>
    </row>
    <row r="92" customHeight="1" spans="1:14">
      <c r="A92" s="14"/>
      <c r="C92" s="14"/>
      <c r="D92" s="14"/>
      <c r="E92" s="14"/>
      <c r="F92" s="14"/>
      <c r="G92" s="14"/>
      <c r="H92" s="1"/>
      <c r="I92" s="14"/>
      <c r="J92" s="17"/>
      <c r="K92" s="18"/>
      <c r="L92" s="17"/>
      <c r="M92" s="14"/>
      <c r="N92" s="14"/>
    </row>
    <row r="93" customHeight="1" spans="1:14">
      <c r="A93" s="14"/>
      <c r="C93" s="14"/>
      <c r="D93" s="14"/>
      <c r="E93" s="14"/>
      <c r="F93" s="14"/>
      <c r="G93" s="14"/>
      <c r="H93" s="1"/>
      <c r="I93" s="14"/>
      <c r="J93" s="17"/>
      <c r="K93" s="18"/>
      <c r="L93" s="17"/>
      <c r="M93" s="14"/>
      <c r="N93" s="14"/>
    </row>
    <row r="94" customHeight="1" spans="1:14">
      <c r="A94" s="14"/>
      <c r="C94" s="14"/>
      <c r="D94" s="14"/>
      <c r="E94" s="14"/>
      <c r="F94" s="14"/>
      <c r="G94" s="14"/>
      <c r="H94" s="1"/>
      <c r="I94" s="14"/>
      <c r="J94" s="17"/>
      <c r="K94" s="18"/>
      <c r="L94" s="17"/>
      <c r="M94" s="14"/>
      <c r="N94" s="14"/>
    </row>
    <row r="95" customHeight="1" spans="1:14">
      <c r="A95" s="14"/>
      <c r="C95" s="14"/>
      <c r="D95" s="14"/>
      <c r="E95" s="14"/>
      <c r="F95" s="14"/>
      <c r="G95" s="14"/>
      <c r="H95" s="1"/>
      <c r="I95" s="14"/>
      <c r="J95" s="17"/>
      <c r="K95" s="18"/>
      <c r="L95" s="17"/>
      <c r="M95" s="14"/>
      <c r="N95" s="14"/>
    </row>
    <row r="96" customHeight="1" spans="1:14">
      <c r="A96" s="14"/>
      <c r="C96" s="14"/>
      <c r="D96" s="14"/>
      <c r="E96" s="14"/>
      <c r="F96" s="14"/>
      <c r="G96" s="14"/>
      <c r="H96" s="1"/>
      <c r="I96" s="14"/>
      <c r="J96" s="17"/>
      <c r="K96" s="18"/>
      <c r="L96" s="17"/>
      <c r="M96" s="14"/>
      <c r="N96" s="14"/>
    </row>
    <row r="97" customHeight="1" spans="1:14">
      <c r="A97" s="14"/>
      <c r="C97" s="14"/>
      <c r="D97" s="14"/>
      <c r="E97" s="14"/>
      <c r="F97" s="14"/>
      <c r="G97" s="14"/>
      <c r="H97" s="1"/>
      <c r="I97" s="14"/>
      <c r="J97" s="17"/>
      <c r="K97" s="18"/>
      <c r="L97" s="17"/>
      <c r="M97" s="14"/>
      <c r="N97" s="14"/>
    </row>
    <row r="98" customHeight="1" spans="1:14">
      <c r="A98" s="14"/>
      <c r="C98" s="14"/>
      <c r="D98" s="14"/>
      <c r="E98" s="14"/>
      <c r="F98" s="14"/>
      <c r="G98" s="14"/>
      <c r="H98" s="1"/>
      <c r="I98" s="14"/>
      <c r="J98" s="17"/>
      <c r="K98" s="18"/>
      <c r="L98" s="17"/>
      <c r="M98" s="14"/>
      <c r="N98" s="14"/>
    </row>
    <row r="99" customHeight="1" spans="1:14">
      <c r="A99" s="14"/>
      <c r="C99" s="14"/>
      <c r="D99" s="14"/>
      <c r="E99" s="14"/>
      <c r="F99" s="14"/>
      <c r="G99" s="14"/>
      <c r="H99" s="1"/>
      <c r="I99" s="14"/>
      <c r="J99" s="17"/>
      <c r="K99" s="18"/>
      <c r="L99" s="17"/>
      <c r="M99" s="14"/>
      <c r="N99" s="14"/>
    </row>
    <row r="100" customHeight="1" spans="1:14">
      <c r="A100" s="14"/>
      <c r="C100" s="14"/>
      <c r="D100" s="14"/>
      <c r="E100" s="14"/>
      <c r="F100" s="14"/>
      <c r="G100" s="14"/>
      <c r="H100" s="1"/>
      <c r="I100" s="14"/>
      <c r="J100" s="17"/>
      <c r="K100" s="18"/>
      <c r="L100" s="17"/>
      <c r="M100" s="14"/>
      <c r="N100" s="14"/>
    </row>
    <row r="101" customHeight="1" spans="1:14">
      <c r="A101" s="14"/>
      <c r="C101" s="14"/>
      <c r="D101" s="14"/>
      <c r="E101" s="14"/>
      <c r="F101" s="14"/>
      <c r="G101" s="14"/>
      <c r="H101" s="1"/>
      <c r="I101" s="14"/>
      <c r="J101" s="17"/>
      <c r="K101" s="18"/>
      <c r="L101" s="17"/>
      <c r="M101" s="14"/>
      <c r="N101" s="14"/>
    </row>
    <row r="102" customHeight="1" spans="1:14">
      <c r="A102" s="14"/>
      <c r="C102" s="14"/>
      <c r="D102" s="14"/>
      <c r="E102" s="14"/>
      <c r="F102" s="14"/>
      <c r="G102" s="14"/>
      <c r="H102" s="1"/>
      <c r="I102" s="14"/>
      <c r="J102" s="17"/>
      <c r="K102" s="18"/>
      <c r="L102" s="17"/>
      <c r="M102" s="14"/>
      <c r="N102" s="14"/>
    </row>
    <row r="103" customHeight="1" spans="1:14">
      <c r="A103" s="14"/>
      <c r="C103" s="14"/>
      <c r="D103" s="14"/>
      <c r="E103" s="14"/>
      <c r="F103" s="14"/>
      <c r="G103" s="14"/>
      <c r="H103" s="1"/>
      <c r="I103" s="14"/>
      <c r="J103" s="17"/>
      <c r="K103" s="18"/>
      <c r="L103" s="17"/>
      <c r="M103" s="14"/>
      <c r="N103" s="14"/>
    </row>
    <row r="104" customHeight="1" spans="1:14">
      <c r="A104" s="14"/>
      <c r="C104" s="14"/>
      <c r="D104" s="14"/>
      <c r="E104" s="14"/>
      <c r="F104" s="14"/>
      <c r="G104" s="14"/>
      <c r="H104" s="1"/>
      <c r="I104" s="14"/>
      <c r="J104" s="17"/>
      <c r="K104" s="18"/>
      <c r="L104" s="17"/>
      <c r="M104" s="14"/>
      <c r="N104" s="14"/>
    </row>
    <row r="105" customHeight="1" spans="1:14">
      <c r="A105" s="14"/>
      <c r="C105" s="14"/>
      <c r="D105" s="14"/>
      <c r="E105" s="14"/>
      <c r="F105" s="14"/>
      <c r="G105" s="14"/>
      <c r="H105" s="1"/>
      <c r="I105" s="14"/>
      <c r="J105" s="17"/>
      <c r="K105" s="18"/>
      <c r="L105" s="17"/>
      <c r="M105" s="14"/>
      <c r="N105" s="14"/>
    </row>
    <row r="106" customHeight="1" spans="1:14">
      <c r="A106" s="14"/>
      <c r="C106" s="14"/>
      <c r="D106" s="14"/>
      <c r="E106" s="14"/>
      <c r="F106" s="14"/>
      <c r="G106" s="14"/>
      <c r="H106" s="1"/>
      <c r="I106" s="14"/>
      <c r="J106" s="17"/>
      <c r="K106" s="18"/>
      <c r="L106" s="17"/>
      <c r="M106" s="14"/>
      <c r="N106" s="14"/>
    </row>
    <row r="107" customHeight="1" spans="1:14">
      <c r="A107" s="14"/>
      <c r="C107" s="14"/>
      <c r="D107" s="14"/>
      <c r="E107" s="14"/>
      <c r="F107" s="14"/>
      <c r="G107" s="14"/>
      <c r="H107" s="1"/>
      <c r="I107" s="14"/>
      <c r="J107" s="17"/>
      <c r="K107" s="18"/>
      <c r="L107" s="17"/>
      <c r="M107" s="14"/>
      <c r="N107" s="14"/>
    </row>
    <row r="108" customHeight="1" spans="1:14">
      <c r="A108" s="14"/>
      <c r="C108" s="14"/>
      <c r="D108" s="14"/>
      <c r="E108" s="14"/>
      <c r="F108" s="14"/>
      <c r="G108" s="14"/>
      <c r="H108" s="1"/>
      <c r="I108" s="14"/>
      <c r="J108" s="17"/>
      <c r="K108" s="18"/>
      <c r="L108" s="17"/>
      <c r="M108" s="14"/>
      <c r="N108" s="14"/>
    </row>
    <row r="109" customHeight="1" spans="1:14">
      <c r="A109" s="14"/>
      <c r="C109" s="14"/>
      <c r="D109" s="14"/>
      <c r="E109" s="14"/>
      <c r="F109" s="14"/>
      <c r="G109" s="14"/>
      <c r="H109" s="1"/>
      <c r="I109" s="14"/>
      <c r="J109" s="17"/>
      <c r="K109" s="18"/>
      <c r="L109" s="17"/>
      <c r="M109" s="14"/>
      <c r="N109" s="14"/>
    </row>
    <row r="110" customHeight="1" spans="1:14">
      <c r="A110" s="14"/>
      <c r="C110" s="14"/>
      <c r="D110" s="14"/>
      <c r="E110" s="14"/>
      <c r="F110" s="14"/>
      <c r="G110" s="14"/>
      <c r="H110" s="1"/>
      <c r="I110" s="14"/>
      <c r="J110" s="17"/>
      <c r="K110" s="18"/>
      <c r="L110" s="17"/>
      <c r="M110" s="14"/>
      <c r="N110" s="14"/>
    </row>
    <row r="111" customHeight="1" spans="1:14">
      <c r="A111" s="14"/>
      <c r="C111" s="14"/>
      <c r="D111" s="14"/>
      <c r="E111" s="14"/>
      <c r="F111" s="14"/>
      <c r="G111" s="14"/>
      <c r="H111" s="1"/>
      <c r="I111" s="14"/>
      <c r="J111" s="17"/>
      <c r="K111" s="18"/>
      <c r="L111" s="17"/>
      <c r="M111" s="14"/>
      <c r="N111" s="14"/>
    </row>
    <row r="112" customHeight="1" spans="1:14">
      <c r="A112" s="14"/>
      <c r="C112" s="14"/>
      <c r="D112" s="14"/>
      <c r="E112" s="14"/>
      <c r="F112" s="14"/>
      <c r="G112" s="14"/>
      <c r="H112" s="1"/>
      <c r="I112" s="14"/>
      <c r="J112" s="17"/>
      <c r="K112" s="18"/>
      <c r="L112" s="17"/>
      <c r="M112" s="14"/>
      <c r="N112" s="14"/>
    </row>
    <row r="113" customHeight="1" spans="1:14">
      <c r="A113" s="14"/>
      <c r="C113" s="14"/>
      <c r="D113" s="14"/>
      <c r="E113" s="14"/>
      <c r="F113" s="14"/>
      <c r="G113" s="14"/>
      <c r="H113" s="1"/>
      <c r="I113" s="14"/>
      <c r="J113" s="17"/>
      <c r="K113" s="18"/>
      <c r="L113" s="17"/>
      <c r="M113" s="14"/>
      <c r="N113" s="14"/>
    </row>
    <row r="114" customHeight="1" spans="1:14">
      <c r="A114" s="14"/>
      <c r="C114" s="14"/>
      <c r="D114" s="14"/>
      <c r="E114" s="14"/>
      <c r="F114" s="14"/>
      <c r="G114" s="14"/>
      <c r="H114" s="1"/>
      <c r="I114" s="14"/>
      <c r="J114" s="17"/>
      <c r="K114" s="18"/>
      <c r="L114" s="17"/>
      <c r="M114" s="14"/>
      <c r="N114" s="14"/>
    </row>
    <row r="115" customHeight="1" spans="1:14">
      <c r="A115" s="14"/>
      <c r="C115" s="14"/>
      <c r="D115" s="14"/>
      <c r="E115" s="14"/>
      <c r="F115" s="14"/>
      <c r="G115" s="14"/>
      <c r="H115" s="1"/>
      <c r="I115" s="14"/>
      <c r="J115" s="17"/>
      <c r="K115" s="18"/>
      <c r="L115" s="17"/>
      <c r="M115" s="14"/>
      <c r="N115" s="14"/>
    </row>
    <row r="116" customHeight="1" spans="1:14">
      <c r="A116" s="14"/>
      <c r="C116" s="14"/>
      <c r="D116" s="14"/>
      <c r="E116" s="14"/>
      <c r="F116" s="14"/>
      <c r="G116" s="14"/>
      <c r="H116" s="1"/>
      <c r="I116" s="14"/>
      <c r="J116" s="17"/>
      <c r="K116" s="18"/>
      <c r="L116" s="17"/>
      <c r="M116" s="14"/>
      <c r="N116" s="14"/>
    </row>
    <row r="117" customHeight="1" spans="1:14">
      <c r="A117" s="14"/>
      <c r="C117" s="14"/>
      <c r="D117" s="14"/>
      <c r="E117" s="14"/>
      <c r="F117" s="14"/>
      <c r="G117" s="14"/>
      <c r="H117" s="1"/>
      <c r="I117" s="14"/>
      <c r="J117" s="17"/>
      <c r="K117" s="18"/>
      <c r="L117" s="17"/>
      <c r="M117" s="14"/>
      <c r="N117" s="14"/>
    </row>
    <row r="118" customHeight="1" spans="1:14">
      <c r="A118" s="14"/>
      <c r="C118" s="14"/>
      <c r="D118" s="14"/>
      <c r="E118" s="14"/>
      <c r="F118" s="14"/>
      <c r="G118" s="14"/>
      <c r="H118" s="1"/>
      <c r="I118" s="14"/>
      <c r="J118" s="17"/>
      <c r="K118" s="18"/>
      <c r="L118" s="17"/>
      <c r="M118" s="14"/>
      <c r="N118" s="14"/>
    </row>
    <row r="119" customHeight="1" spans="1:14">
      <c r="A119" s="14"/>
      <c r="C119" s="14"/>
      <c r="D119" s="14"/>
      <c r="E119" s="14"/>
      <c r="F119" s="14"/>
      <c r="G119" s="14"/>
      <c r="H119" s="1"/>
      <c r="I119" s="14"/>
      <c r="J119" s="17"/>
      <c r="K119" s="18"/>
      <c r="L119" s="17"/>
      <c r="M119" s="14"/>
      <c r="N119" s="14"/>
    </row>
    <row r="120" customHeight="1" spans="1:14">
      <c r="A120" s="14"/>
      <c r="C120" s="14"/>
      <c r="D120" s="14"/>
      <c r="E120" s="14"/>
      <c r="F120" s="14"/>
      <c r="G120" s="14"/>
      <c r="H120" s="1"/>
      <c r="I120" s="14"/>
      <c r="J120" s="17"/>
      <c r="K120" s="18"/>
      <c r="L120" s="17"/>
      <c r="M120" s="14"/>
      <c r="N120" s="14"/>
    </row>
    <row r="121" customHeight="1" spans="1:14">
      <c r="A121" s="14"/>
      <c r="C121" s="14"/>
      <c r="D121" s="14"/>
      <c r="E121" s="14"/>
      <c r="F121" s="14"/>
      <c r="G121" s="14"/>
      <c r="H121" s="1"/>
      <c r="I121" s="14"/>
      <c r="J121" s="17"/>
      <c r="K121" s="18"/>
      <c r="L121" s="17"/>
      <c r="M121" s="14"/>
      <c r="N121" s="14"/>
    </row>
    <row r="122" customHeight="1" spans="1:14">
      <c r="A122" s="14"/>
      <c r="C122" s="14"/>
      <c r="D122" s="14"/>
      <c r="E122" s="14"/>
      <c r="F122" s="14"/>
      <c r="G122" s="14"/>
      <c r="H122" s="1"/>
      <c r="I122" s="14"/>
      <c r="J122" s="17"/>
      <c r="K122" s="18"/>
      <c r="L122" s="17"/>
      <c r="M122" s="14"/>
      <c r="N122" s="14"/>
    </row>
    <row r="123" customHeight="1" spans="1:14">
      <c r="A123" s="14"/>
      <c r="C123" s="14"/>
      <c r="D123" s="14"/>
      <c r="E123" s="14"/>
      <c r="F123" s="14"/>
      <c r="G123" s="14"/>
      <c r="H123" s="1"/>
      <c r="I123" s="14"/>
      <c r="J123" s="17"/>
      <c r="K123" s="18"/>
      <c r="L123" s="17"/>
      <c r="M123" s="14"/>
      <c r="N123" s="14"/>
    </row>
    <row r="124" customHeight="1" spans="1:14">
      <c r="A124" s="14"/>
      <c r="C124" s="14"/>
      <c r="D124" s="14"/>
      <c r="E124" s="14"/>
      <c r="F124" s="14"/>
      <c r="G124" s="14"/>
      <c r="H124" s="1"/>
      <c r="I124" s="14"/>
      <c r="J124" s="17"/>
      <c r="K124" s="18"/>
      <c r="L124" s="17"/>
      <c r="M124" s="14"/>
      <c r="N124" s="14"/>
    </row>
    <row r="125" customHeight="1" spans="1:14">
      <c r="A125" s="14"/>
      <c r="C125" s="14"/>
      <c r="D125" s="14"/>
      <c r="E125" s="14"/>
      <c r="F125" s="14"/>
      <c r="G125" s="14"/>
      <c r="H125" s="1"/>
      <c r="I125" s="14"/>
      <c r="J125" s="17"/>
      <c r="K125" s="18"/>
      <c r="L125" s="17"/>
      <c r="M125" s="14"/>
      <c r="N125" s="14"/>
    </row>
    <row r="126" customHeight="1" spans="1:14">
      <c r="A126" s="14"/>
      <c r="C126" s="14"/>
      <c r="D126" s="14"/>
      <c r="E126" s="14"/>
      <c r="F126" s="14"/>
      <c r="G126" s="14"/>
      <c r="H126" s="1"/>
      <c r="I126" s="14"/>
      <c r="J126" s="17"/>
      <c r="K126" s="18"/>
      <c r="L126" s="17"/>
      <c r="M126" s="14"/>
      <c r="N126" s="14"/>
    </row>
    <row r="127" customHeight="1" spans="1:14">
      <c r="A127" s="14"/>
      <c r="C127" s="14"/>
      <c r="D127" s="14"/>
      <c r="E127" s="14"/>
      <c r="F127" s="14"/>
      <c r="G127" s="14"/>
      <c r="H127" s="1"/>
      <c r="I127" s="14"/>
      <c r="J127" s="17"/>
      <c r="K127" s="18"/>
      <c r="L127" s="17"/>
      <c r="M127" s="14"/>
      <c r="N127" s="14"/>
    </row>
    <row r="128" customHeight="1" spans="1:14">
      <c r="A128" s="14"/>
      <c r="C128" s="14"/>
      <c r="D128" s="14"/>
      <c r="E128" s="14"/>
      <c r="F128" s="14"/>
      <c r="G128" s="14"/>
      <c r="H128" s="1"/>
      <c r="I128" s="14"/>
      <c r="J128" s="17"/>
      <c r="K128" s="18"/>
      <c r="L128" s="17"/>
      <c r="M128" s="14"/>
      <c r="N128" s="14"/>
    </row>
    <row r="129" customHeight="1" spans="1:14">
      <c r="A129" s="14"/>
      <c r="C129" s="14"/>
      <c r="D129" s="14"/>
      <c r="E129" s="14"/>
      <c r="F129" s="14"/>
      <c r="G129" s="14"/>
      <c r="H129" s="1"/>
      <c r="I129" s="14"/>
      <c r="J129" s="17"/>
      <c r="K129" s="18"/>
      <c r="L129" s="17"/>
      <c r="M129" s="14"/>
      <c r="N129" s="14"/>
    </row>
    <row r="130" customHeight="1" spans="1:14">
      <c r="A130" s="14"/>
      <c r="C130" s="14"/>
      <c r="D130" s="14"/>
      <c r="E130" s="14"/>
      <c r="F130" s="14"/>
      <c r="G130" s="14"/>
      <c r="H130" s="1"/>
      <c r="I130" s="14"/>
      <c r="J130" s="17"/>
      <c r="K130" s="18"/>
      <c r="L130" s="17"/>
      <c r="M130" s="14"/>
      <c r="N130" s="14"/>
    </row>
    <row r="131" customHeight="1" spans="1:14">
      <c r="A131" s="14"/>
      <c r="C131" s="14"/>
      <c r="D131" s="14"/>
      <c r="E131" s="14"/>
      <c r="F131" s="14"/>
      <c r="G131" s="14"/>
      <c r="H131" s="1"/>
      <c r="I131" s="14"/>
      <c r="J131" s="17"/>
      <c r="K131" s="18"/>
      <c r="L131" s="17"/>
      <c r="M131" s="14"/>
      <c r="N131" s="14"/>
    </row>
    <row r="132" customHeight="1" spans="1:14">
      <c r="A132" s="14"/>
      <c r="C132" s="14"/>
      <c r="D132" s="14"/>
      <c r="E132" s="14"/>
      <c r="F132" s="14"/>
      <c r="G132" s="14"/>
      <c r="H132" s="1"/>
      <c r="I132" s="14"/>
      <c r="J132" s="17"/>
      <c r="K132" s="18"/>
      <c r="L132" s="17"/>
      <c r="M132" s="14"/>
      <c r="N132" s="14"/>
    </row>
    <row r="133" customHeight="1" spans="1:14">
      <c r="A133" s="14"/>
      <c r="C133" s="14"/>
      <c r="D133" s="14"/>
      <c r="E133" s="14"/>
      <c r="F133" s="14"/>
      <c r="G133" s="14"/>
      <c r="H133" s="1"/>
      <c r="I133" s="14"/>
      <c r="J133" s="17"/>
      <c r="K133" s="18"/>
      <c r="L133" s="17"/>
      <c r="M133" s="14"/>
      <c r="N133" s="14"/>
    </row>
    <row r="134" customHeight="1" spans="1:14">
      <c r="A134" s="14"/>
      <c r="C134" s="14"/>
      <c r="D134" s="14"/>
      <c r="E134" s="14"/>
      <c r="F134" s="14"/>
      <c r="G134" s="14"/>
      <c r="H134" s="1"/>
      <c r="I134" s="14"/>
      <c r="J134" s="17"/>
      <c r="K134" s="18"/>
      <c r="L134" s="17"/>
      <c r="M134" s="14"/>
      <c r="N134" s="14"/>
    </row>
    <row r="135" customHeight="1" spans="1:14">
      <c r="A135" s="14"/>
      <c r="C135" s="14"/>
      <c r="D135" s="14"/>
      <c r="E135" s="14"/>
      <c r="F135" s="14"/>
      <c r="G135" s="14"/>
      <c r="H135" s="1"/>
      <c r="I135" s="14"/>
      <c r="J135" s="17"/>
      <c r="K135" s="18"/>
      <c r="L135" s="17"/>
      <c r="M135" s="14"/>
      <c r="N135" s="14"/>
    </row>
    <row r="136" customHeight="1" spans="1:14">
      <c r="A136" s="14"/>
      <c r="C136" s="14"/>
      <c r="D136" s="14"/>
      <c r="E136" s="14"/>
      <c r="F136" s="14"/>
      <c r="G136" s="14"/>
      <c r="H136" s="1"/>
      <c r="I136" s="14"/>
      <c r="J136" s="17"/>
      <c r="K136" s="18"/>
      <c r="L136" s="17"/>
      <c r="M136" s="14"/>
      <c r="N136" s="14"/>
    </row>
    <row r="137" customHeight="1" spans="1:14">
      <c r="A137" s="14"/>
      <c r="C137" s="14"/>
      <c r="D137" s="14"/>
      <c r="E137" s="14"/>
      <c r="F137" s="14"/>
      <c r="G137" s="14"/>
      <c r="H137" s="1"/>
      <c r="I137" s="14"/>
      <c r="J137" s="17"/>
      <c r="K137" s="18"/>
      <c r="L137" s="17"/>
      <c r="M137" s="14"/>
      <c r="N137" s="14"/>
    </row>
    <row r="138" customHeight="1" spans="1:14">
      <c r="A138" s="14"/>
      <c r="C138" s="14"/>
      <c r="D138" s="14"/>
      <c r="E138" s="14"/>
      <c r="F138" s="14"/>
      <c r="G138" s="14"/>
      <c r="H138" s="1"/>
      <c r="I138" s="14"/>
      <c r="J138" s="17"/>
      <c r="K138" s="18"/>
      <c r="L138" s="17"/>
      <c r="M138" s="14"/>
      <c r="N138" s="14"/>
    </row>
    <row r="139" customHeight="1" spans="1:14">
      <c r="A139" s="14"/>
      <c r="C139" s="14"/>
      <c r="D139" s="14"/>
      <c r="E139" s="14"/>
      <c r="F139" s="14"/>
      <c r="G139" s="14"/>
      <c r="H139" s="1"/>
      <c r="I139" s="14"/>
      <c r="J139" s="17"/>
      <c r="K139" s="18"/>
      <c r="L139" s="17"/>
      <c r="M139" s="14"/>
      <c r="N139" s="14"/>
    </row>
    <row r="140" customHeight="1" spans="1:14">
      <c r="A140" s="14"/>
      <c r="C140" s="14"/>
      <c r="D140" s="14"/>
      <c r="E140" s="14"/>
      <c r="F140" s="14"/>
      <c r="G140" s="14"/>
      <c r="H140" s="1"/>
      <c r="I140" s="14"/>
      <c r="J140" s="17"/>
      <c r="K140" s="18"/>
      <c r="L140" s="17"/>
      <c r="M140" s="14"/>
      <c r="N140" s="14"/>
    </row>
    <row r="141" customHeight="1" spans="1:14">
      <c r="A141" s="14"/>
      <c r="C141" s="14"/>
      <c r="D141" s="14"/>
      <c r="E141" s="14"/>
      <c r="F141" s="14"/>
      <c r="G141" s="14"/>
      <c r="H141" s="1"/>
      <c r="I141" s="14"/>
      <c r="J141" s="17"/>
      <c r="K141" s="18"/>
      <c r="L141" s="17"/>
      <c r="M141" s="14"/>
      <c r="N141" s="14"/>
    </row>
    <row r="142" customHeight="1" spans="1:14">
      <c r="A142" s="14"/>
      <c r="C142" s="14"/>
      <c r="D142" s="14"/>
      <c r="E142" s="14"/>
      <c r="F142" s="14"/>
      <c r="G142" s="14"/>
      <c r="H142" s="1"/>
      <c r="I142" s="14"/>
      <c r="J142" s="17"/>
      <c r="K142" s="18"/>
      <c r="L142" s="17"/>
      <c r="M142" s="14"/>
      <c r="N142" s="14"/>
    </row>
    <row r="143" customHeight="1" spans="1:14">
      <c r="A143" s="14"/>
      <c r="C143" s="14"/>
      <c r="D143" s="14"/>
      <c r="E143" s="14"/>
      <c r="F143" s="14"/>
      <c r="G143" s="14"/>
      <c r="H143" s="1"/>
      <c r="I143" s="14"/>
      <c r="J143" s="17"/>
      <c r="K143" s="18"/>
      <c r="L143" s="17"/>
      <c r="M143" s="14"/>
      <c r="N143" s="14"/>
    </row>
    <row r="144" customHeight="1" spans="1:14">
      <c r="A144" s="14"/>
      <c r="C144" s="14"/>
      <c r="D144" s="14"/>
      <c r="E144" s="14"/>
      <c r="F144" s="14"/>
      <c r="G144" s="14"/>
      <c r="H144" s="1"/>
      <c r="I144" s="14"/>
      <c r="J144" s="17"/>
      <c r="K144" s="18"/>
      <c r="L144" s="17"/>
      <c r="M144" s="14"/>
      <c r="N144" s="14"/>
    </row>
    <row r="145" customHeight="1" spans="1:14">
      <c r="A145" s="14"/>
      <c r="C145" s="14"/>
      <c r="D145" s="14"/>
      <c r="E145" s="14"/>
      <c r="F145" s="14"/>
      <c r="G145" s="14"/>
      <c r="H145" s="1"/>
      <c r="I145" s="14"/>
      <c r="J145" s="17"/>
      <c r="K145" s="18"/>
      <c r="L145" s="17"/>
      <c r="M145" s="14"/>
      <c r="N145" s="14"/>
    </row>
    <row r="146" customHeight="1" spans="1:14">
      <c r="A146" s="14"/>
      <c r="C146" s="14"/>
      <c r="D146" s="14"/>
      <c r="E146" s="14"/>
      <c r="F146" s="14"/>
      <c r="G146" s="14"/>
      <c r="H146" s="1"/>
      <c r="I146" s="14"/>
      <c r="J146" s="17"/>
      <c r="K146" s="18"/>
      <c r="L146" s="17"/>
      <c r="M146" s="14"/>
      <c r="N146" s="14"/>
    </row>
    <row r="147" customHeight="1" spans="1:14">
      <c r="A147" s="14"/>
      <c r="C147" s="14"/>
      <c r="D147" s="14"/>
      <c r="E147" s="14"/>
      <c r="F147" s="14"/>
      <c r="G147" s="14"/>
      <c r="H147" s="1"/>
      <c r="I147" s="14"/>
      <c r="J147" s="17"/>
      <c r="K147" s="18"/>
      <c r="L147" s="17"/>
      <c r="M147" s="14"/>
      <c r="N147" s="14"/>
    </row>
    <row r="148" customHeight="1" spans="1:14">
      <c r="A148" s="14"/>
      <c r="C148" s="14"/>
      <c r="D148" s="14"/>
      <c r="E148" s="14"/>
      <c r="F148" s="14"/>
      <c r="G148" s="14"/>
      <c r="H148" s="1"/>
      <c r="I148" s="14"/>
      <c r="J148" s="17"/>
      <c r="K148" s="18"/>
      <c r="L148" s="17"/>
      <c r="M148" s="14"/>
      <c r="N148" s="14"/>
    </row>
    <row r="149" customHeight="1" spans="1:14">
      <c r="A149" s="14"/>
      <c r="C149" s="14"/>
      <c r="D149" s="14"/>
      <c r="E149" s="14"/>
      <c r="F149" s="14"/>
      <c r="G149" s="14"/>
      <c r="H149" s="1"/>
      <c r="I149" s="14"/>
      <c r="J149" s="17"/>
      <c r="K149" s="18"/>
      <c r="L149" s="17"/>
      <c r="M149" s="14"/>
      <c r="N149" s="14"/>
    </row>
    <row r="150" customHeight="1" spans="1:14">
      <c r="A150" s="14"/>
      <c r="C150" s="14"/>
      <c r="D150" s="14"/>
      <c r="E150" s="14"/>
      <c r="F150" s="14"/>
      <c r="G150" s="14"/>
      <c r="H150" s="1"/>
      <c r="I150" s="14"/>
      <c r="J150" s="17"/>
      <c r="K150" s="18"/>
      <c r="L150" s="17"/>
      <c r="M150" s="14"/>
      <c r="N150" s="14"/>
    </row>
    <row r="151" customHeight="1" spans="1:14">
      <c r="A151" s="14"/>
      <c r="C151" s="14"/>
      <c r="D151" s="14"/>
      <c r="E151" s="14"/>
      <c r="F151" s="14"/>
      <c r="G151" s="14"/>
      <c r="H151" s="1"/>
      <c r="I151" s="14"/>
      <c r="J151" s="17"/>
      <c r="K151" s="18"/>
      <c r="L151" s="17"/>
      <c r="M151" s="14"/>
      <c r="N151" s="14"/>
    </row>
    <row r="152" customHeight="1" spans="1:14">
      <c r="A152" s="14"/>
      <c r="C152" s="14"/>
      <c r="D152" s="14"/>
      <c r="E152" s="14"/>
      <c r="F152" s="14"/>
      <c r="G152" s="14"/>
      <c r="H152" s="1"/>
      <c r="I152" s="14"/>
      <c r="J152" s="17"/>
      <c r="K152" s="18"/>
      <c r="L152" s="17"/>
      <c r="M152" s="14"/>
      <c r="N152" s="14"/>
    </row>
    <row r="153" customHeight="1" spans="1:14">
      <c r="A153" s="14"/>
      <c r="C153" s="14"/>
      <c r="D153" s="14"/>
      <c r="E153" s="14"/>
      <c r="F153" s="14"/>
      <c r="G153" s="14"/>
      <c r="H153" s="1"/>
      <c r="I153" s="14"/>
      <c r="J153" s="17"/>
      <c r="K153" s="18"/>
      <c r="L153" s="17"/>
      <c r="M153" s="14"/>
      <c r="N153" s="14"/>
    </row>
    <row r="154" customHeight="1" spans="1:14">
      <c r="A154" s="14"/>
      <c r="C154" s="14"/>
      <c r="D154" s="14"/>
      <c r="E154" s="14"/>
      <c r="F154" s="14"/>
      <c r="G154" s="14"/>
      <c r="H154" s="1"/>
      <c r="I154" s="14"/>
      <c r="J154" s="17"/>
      <c r="K154" s="18"/>
      <c r="L154" s="17"/>
      <c r="M154" s="14"/>
      <c r="N154" s="14"/>
    </row>
    <row r="155" customHeight="1" spans="1:14">
      <c r="A155" s="14"/>
      <c r="C155" s="14"/>
      <c r="D155" s="14"/>
      <c r="E155" s="14"/>
      <c r="F155" s="14"/>
      <c r="G155" s="14"/>
      <c r="H155" s="1"/>
      <c r="I155" s="14"/>
      <c r="J155" s="17"/>
      <c r="K155" s="18"/>
      <c r="L155" s="17"/>
      <c r="M155" s="14"/>
      <c r="N155" s="14"/>
    </row>
    <row r="156" customHeight="1" spans="1:14">
      <c r="A156" s="14"/>
      <c r="C156" s="14"/>
      <c r="D156" s="14"/>
      <c r="E156" s="14"/>
      <c r="F156" s="14"/>
      <c r="G156" s="14"/>
      <c r="H156" s="1"/>
      <c r="I156" s="14"/>
      <c r="J156" s="17"/>
      <c r="K156" s="18"/>
      <c r="L156" s="17"/>
      <c r="M156" s="14"/>
      <c r="N156" s="14"/>
    </row>
    <row r="157" customHeight="1" spans="1:14">
      <c r="A157" s="14"/>
      <c r="C157" s="14"/>
      <c r="D157" s="14"/>
      <c r="E157" s="14"/>
      <c r="F157" s="14"/>
      <c r="G157" s="14"/>
      <c r="H157" s="1"/>
      <c r="I157" s="14"/>
      <c r="J157" s="17"/>
      <c r="K157" s="18"/>
      <c r="L157" s="17"/>
      <c r="M157" s="14"/>
      <c r="N157" s="14"/>
    </row>
    <row r="158" customHeight="1" spans="1:14">
      <c r="A158" s="14"/>
      <c r="C158" s="14"/>
      <c r="D158" s="14"/>
      <c r="E158" s="14"/>
      <c r="F158" s="14"/>
      <c r="G158" s="14"/>
      <c r="H158" s="1"/>
      <c r="I158" s="14"/>
      <c r="J158" s="17"/>
      <c r="K158" s="18"/>
      <c r="L158" s="17"/>
      <c r="M158" s="14"/>
      <c r="N158" s="14"/>
    </row>
    <row r="159" customHeight="1" spans="1:14">
      <c r="A159" s="14"/>
      <c r="C159" s="14"/>
      <c r="D159" s="14"/>
      <c r="E159" s="14"/>
      <c r="F159" s="14"/>
      <c r="G159" s="14"/>
      <c r="H159" s="1"/>
      <c r="I159" s="14"/>
      <c r="J159" s="17"/>
      <c r="K159" s="18"/>
      <c r="L159" s="17"/>
      <c r="M159" s="14"/>
      <c r="N159" s="14"/>
    </row>
    <row r="160" customHeight="1" spans="1:14">
      <c r="A160" s="14"/>
      <c r="C160" s="14"/>
      <c r="D160" s="14"/>
      <c r="E160" s="14"/>
      <c r="F160" s="14"/>
      <c r="G160" s="14"/>
      <c r="H160" s="1"/>
      <c r="I160" s="14"/>
      <c r="J160" s="17"/>
      <c r="K160" s="18"/>
      <c r="L160" s="17"/>
      <c r="M160" s="14"/>
      <c r="N160" s="14"/>
    </row>
    <row r="161" customHeight="1" spans="1:14">
      <c r="A161" s="14"/>
      <c r="C161" s="14"/>
      <c r="D161" s="14"/>
      <c r="E161" s="14"/>
      <c r="F161" s="14"/>
      <c r="G161" s="14"/>
      <c r="H161" s="1"/>
      <c r="I161" s="14"/>
      <c r="J161" s="17"/>
      <c r="K161" s="18"/>
      <c r="L161" s="17"/>
      <c r="M161" s="14"/>
      <c r="N161" s="14"/>
    </row>
    <row r="162" customHeight="1" spans="1:14">
      <c r="A162" s="14"/>
      <c r="C162" s="14"/>
      <c r="D162" s="14"/>
      <c r="E162" s="14"/>
      <c r="F162" s="14"/>
      <c r="G162" s="14"/>
      <c r="H162" s="1"/>
      <c r="I162" s="14"/>
      <c r="J162" s="17"/>
      <c r="K162" s="18"/>
      <c r="L162" s="17"/>
      <c r="M162" s="14"/>
      <c r="N162" s="14"/>
    </row>
    <row r="163" customHeight="1" spans="1:14">
      <c r="A163" s="14"/>
      <c r="C163" s="14"/>
      <c r="D163" s="14"/>
      <c r="E163" s="14"/>
      <c r="F163" s="14"/>
      <c r="G163" s="14"/>
      <c r="H163" s="1"/>
      <c r="I163" s="14"/>
      <c r="J163" s="17"/>
      <c r="K163" s="18"/>
      <c r="L163" s="17"/>
      <c r="M163" s="14"/>
      <c r="N163" s="14"/>
    </row>
    <row r="164" customHeight="1" spans="1:14">
      <c r="A164" s="14"/>
      <c r="C164" s="14"/>
      <c r="D164" s="14"/>
      <c r="E164" s="14"/>
      <c r="F164" s="14"/>
      <c r="G164" s="14"/>
      <c r="H164" s="1"/>
      <c r="I164" s="14"/>
      <c r="J164" s="17"/>
      <c r="K164" s="18"/>
      <c r="L164" s="17"/>
      <c r="M164" s="14"/>
      <c r="N164" s="14"/>
    </row>
    <row r="165" customHeight="1" spans="1:14">
      <c r="A165" s="14"/>
      <c r="C165" s="14"/>
      <c r="D165" s="14"/>
      <c r="E165" s="14"/>
      <c r="F165" s="14"/>
      <c r="G165" s="14"/>
      <c r="H165" s="1"/>
      <c r="I165" s="14"/>
      <c r="J165" s="17"/>
      <c r="K165" s="18"/>
      <c r="L165" s="17"/>
      <c r="M165" s="14"/>
      <c r="N165" s="14"/>
    </row>
    <row r="166" customHeight="1" spans="1:14">
      <c r="A166" s="14"/>
      <c r="C166" s="14"/>
      <c r="D166" s="14"/>
      <c r="E166" s="14"/>
      <c r="F166" s="14"/>
      <c r="G166" s="14"/>
      <c r="H166" s="1"/>
      <c r="I166" s="14"/>
      <c r="J166" s="17"/>
      <c r="K166" s="18"/>
      <c r="L166" s="17"/>
      <c r="M166" s="14"/>
      <c r="N166" s="14"/>
    </row>
    <row r="167" customHeight="1" spans="1:14">
      <c r="A167" s="14"/>
      <c r="C167" s="14"/>
      <c r="D167" s="14"/>
      <c r="E167" s="14"/>
      <c r="F167" s="14"/>
      <c r="G167" s="14"/>
      <c r="H167" s="1"/>
      <c r="I167" s="14"/>
      <c r="J167" s="17"/>
      <c r="K167" s="18"/>
      <c r="L167" s="17"/>
      <c r="M167" s="14"/>
      <c r="N167" s="14"/>
    </row>
    <row r="168" customHeight="1" spans="1:14">
      <c r="A168" s="14"/>
      <c r="C168" s="14"/>
      <c r="D168" s="14"/>
      <c r="E168" s="14"/>
      <c r="F168" s="14"/>
      <c r="G168" s="14"/>
      <c r="H168" s="1"/>
      <c r="I168" s="14"/>
      <c r="J168" s="17"/>
      <c r="K168" s="18"/>
      <c r="L168" s="17"/>
      <c r="M168" s="14"/>
      <c r="N168" s="14"/>
    </row>
    <row r="169" customHeight="1" spans="1:14">
      <c r="A169" s="14"/>
      <c r="C169" s="14"/>
      <c r="D169" s="14"/>
      <c r="E169" s="14"/>
      <c r="F169" s="14"/>
      <c r="G169" s="14"/>
      <c r="H169" s="1"/>
      <c r="I169" s="14"/>
      <c r="J169" s="17"/>
      <c r="K169" s="18"/>
      <c r="L169" s="17"/>
      <c r="M169" s="14"/>
      <c r="N169" s="14"/>
    </row>
    <row r="170" customHeight="1" spans="1:14">
      <c r="A170" s="14"/>
      <c r="C170" s="14"/>
      <c r="D170" s="14"/>
      <c r="E170" s="14"/>
      <c r="F170" s="14"/>
      <c r="G170" s="14"/>
      <c r="H170" s="1"/>
      <c r="I170" s="14"/>
      <c r="J170" s="17"/>
      <c r="K170" s="18"/>
      <c r="L170" s="17"/>
      <c r="M170" s="14"/>
      <c r="N170" s="14"/>
    </row>
    <row r="171" customHeight="1" spans="1:14">
      <c r="A171" s="14"/>
      <c r="C171" s="14"/>
      <c r="D171" s="14"/>
      <c r="E171" s="14"/>
      <c r="F171" s="14"/>
      <c r="G171" s="14"/>
      <c r="H171" s="1"/>
      <c r="I171" s="14"/>
      <c r="J171" s="17"/>
      <c r="K171" s="18"/>
      <c r="L171" s="17"/>
      <c r="M171" s="14"/>
      <c r="N171" s="14"/>
    </row>
    <row r="172" customHeight="1" spans="1:14">
      <c r="A172" s="14"/>
      <c r="C172" s="14"/>
      <c r="D172" s="14"/>
      <c r="E172" s="14"/>
      <c r="F172" s="14"/>
      <c r="G172" s="14"/>
      <c r="H172" s="1"/>
      <c r="I172" s="14"/>
      <c r="J172" s="17"/>
      <c r="K172" s="18"/>
      <c r="L172" s="17"/>
      <c r="M172" s="14"/>
      <c r="N172" s="14"/>
    </row>
    <row r="173" customHeight="1" spans="1:14">
      <c r="A173" s="14"/>
      <c r="C173" s="14"/>
      <c r="D173" s="14"/>
      <c r="E173" s="14"/>
      <c r="F173" s="14"/>
      <c r="G173" s="14"/>
      <c r="H173" s="1"/>
      <c r="I173" s="14"/>
      <c r="J173" s="17"/>
      <c r="K173" s="18"/>
      <c r="L173" s="17"/>
      <c r="M173" s="14"/>
      <c r="N173" s="14"/>
    </row>
    <row r="174" customHeight="1" spans="1:14">
      <c r="A174" s="14"/>
      <c r="C174" s="14"/>
      <c r="D174" s="14"/>
      <c r="E174" s="14"/>
      <c r="F174" s="14"/>
      <c r="G174" s="14"/>
      <c r="H174" s="1"/>
      <c r="I174" s="14"/>
      <c r="J174" s="17"/>
      <c r="K174" s="18"/>
      <c r="L174" s="17"/>
      <c r="M174" s="14"/>
      <c r="N174" s="14"/>
    </row>
    <row r="175" customHeight="1" spans="1:14">
      <c r="A175" s="14"/>
      <c r="C175" s="14"/>
      <c r="D175" s="14"/>
      <c r="E175" s="14"/>
      <c r="F175" s="14"/>
      <c r="G175" s="14"/>
      <c r="H175" s="1"/>
      <c r="I175" s="14"/>
      <c r="J175" s="17"/>
      <c r="K175" s="18"/>
      <c r="L175" s="17"/>
      <c r="M175" s="14"/>
      <c r="N175" s="14"/>
    </row>
    <row r="176" customHeight="1" spans="1:14">
      <c r="A176" s="14"/>
      <c r="C176" s="14"/>
      <c r="D176" s="14"/>
      <c r="E176" s="14"/>
      <c r="F176" s="14"/>
      <c r="G176" s="14"/>
      <c r="H176" s="1"/>
      <c r="I176" s="14"/>
      <c r="J176" s="17"/>
      <c r="K176" s="18"/>
      <c r="L176" s="17"/>
      <c r="M176" s="14"/>
      <c r="N176" s="14"/>
    </row>
    <row r="177" customHeight="1" spans="1:14">
      <c r="A177" s="14"/>
      <c r="C177" s="14"/>
      <c r="D177" s="14"/>
      <c r="E177" s="14"/>
      <c r="F177" s="14"/>
      <c r="G177" s="14"/>
      <c r="H177" s="1"/>
      <c r="I177" s="14"/>
      <c r="J177" s="17"/>
      <c r="K177" s="18"/>
      <c r="L177" s="17"/>
      <c r="M177" s="14"/>
      <c r="N177" s="14"/>
    </row>
    <row r="178" customHeight="1" spans="1:14">
      <c r="A178" s="14"/>
      <c r="C178" s="14"/>
      <c r="D178" s="14"/>
      <c r="E178" s="14"/>
      <c r="F178" s="14"/>
      <c r="G178" s="14"/>
      <c r="H178" s="1"/>
      <c r="I178" s="14"/>
      <c r="J178" s="17"/>
      <c r="K178" s="18"/>
      <c r="L178" s="17"/>
      <c r="M178" s="14"/>
      <c r="N178" s="14"/>
    </row>
    <row r="179" customHeight="1" spans="1:14">
      <c r="A179" s="14"/>
      <c r="C179" s="14"/>
      <c r="D179" s="14"/>
      <c r="E179" s="14"/>
      <c r="F179" s="14"/>
      <c r="G179" s="14"/>
      <c r="H179" s="1"/>
      <c r="I179" s="14"/>
      <c r="J179" s="17"/>
      <c r="K179" s="18"/>
      <c r="L179" s="17"/>
      <c r="M179" s="14"/>
      <c r="N179" s="14"/>
    </row>
    <row r="180" customHeight="1" spans="1:14">
      <c r="A180" s="14"/>
      <c r="C180" s="14"/>
      <c r="D180" s="14"/>
      <c r="E180" s="14"/>
      <c r="F180" s="14"/>
      <c r="G180" s="14"/>
      <c r="H180" s="1"/>
      <c r="I180" s="14"/>
      <c r="J180" s="17"/>
      <c r="K180" s="18"/>
      <c r="L180" s="17"/>
      <c r="M180" s="14"/>
      <c r="N180" s="14"/>
    </row>
    <row r="181" customHeight="1" spans="1:14">
      <c r="A181" s="14"/>
      <c r="C181" s="14"/>
      <c r="D181" s="14"/>
      <c r="E181" s="14"/>
      <c r="F181" s="14"/>
      <c r="G181" s="14"/>
      <c r="H181" s="1"/>
      <c r="I181" s="14"/>
      <c r="J181" s="17"/>
      <c r="K181" s="18"/>
      <c r="L181" s="17"/>
      <c r="M181" s="14"/>
      <c r="N181" s="14"/>
    </row>
    <row r="182" customHeight="1" spans="1:14">
      <c r="A182" s="14"/>
      <c r="C182" s="14"/>
      <c r="D182" s="14"/>
      <c r="E182" s="14"/>
      <c r="F182" s="14"/>
      <c r="G182" s="14"/>
      <c r="H182" s="1"/>
      <c r="I182" s="14"/>
      <c r="J182" s="17"/>
      <c r="K182" s="18"/>
      <c r="L182" s="17"/>
      <c r="M182" s="14"/>
      <c r="N182" s="14"/>
    </row>
    <row r="183" customHeight="1" spans="1:14">
      <c r="A183" s="14"/>
      <c r="C183" s="14"/>
      <c r="D183" s="14"/>
      <c r="E183" s="14"/>
      <c r="F183" s="14"/>
      <c r="G183" s="14"/>
      <c r="H183" s="1"/>
      <c r="I183" s="14"/>
      <c r="J183" s="17"/>
      <c r="K183" s="18"/>
      <c r="L183" s="17"/>
      <c r="M183" s="14"/>
      <c r="N183" s="14"/>
    </row>
    <row r="184" customHeight="1" spans="1:14">
      <c r="A184" s="14"/>
      <c r="C184" s="14"/>
      <c r="D184" s="14"/>
      <c r="E184" s="14"/>
      <c r="F184" s="14"/>
      <c r="G184" s="14"/>
      <c r="H184" s="1"/>
      <c r="I184" s="14"/>
      <c r="J184" s="17"/>
      <c r="K184" s="18"/>
      <c r="L184" s="17"/>
      <c r="M184" s="14"/>
      <c r="N184" s="14"/>
    </row>
    <row r="185" customHeight="1" spans="1:14">
      <c r="A185" s="14"/>
      <c r="C185" s="14"/>
      <c r="D185" s="14"/>
      <c r="E185" s="14"/>
      <c r="F185" s="14"/>
      <c r="G185" s="14"/>
      <c r="H185" s="1"/>
      <c r="I185" s="14"/>
      <c r="J185" s="17"/>
      <c r="K185" s="18"/>
      <c r="L185" s="17"/>
      <c r="M185" s="14"/>
      <c r="N185" s="14"/>
    </row>
    <row r="186" customHeight="1" spans="1:14">
      <c r="A186" s="14"/>
      <c r="C186" s="14"/>
      <c r="D186" s="14"/>
      <c r="E186" s="14"/>
      <c r="F186" s="14"/>
      <c r="G186" s="14"/>
      <c r="H186" s="1"/>
      <c r="I186" s="14"/>
      <c r="J186" s="17"/>
      <c r="K186" s="18"/>
      <c r="L186" s="17"/>
      <c r="M186" s="14"/>
      <c r="N186" s="14"/>
    </row>
    <row r="187" customHeight="1" spans="1:14">
      <c r="A187" s="14"/>
      <c r="C187" s="14"/>
      <c r="D187" s="14"/>
      <c r="E187" s="14"/>
      <c r="F187" s="14"/>
      <c r="G187" s="14"/>
      <c r="H187" s="1"/>
      <c r="I187" s="14"/>
      <c r="J187" s="17"/>
      <c r="K187" s="18"/>
      <c r="L187" s="17"/>
      <c r="M187" s="14"/>
      <c r="N187" s="14"/>
    </row>
    <row r="188" customHeight="1" spans="1:14">
      <c r="A188" s="14"/>
      <c r="C188" s="14"/>
      <c r="D188" s="14"/>
      <c r="E188" s="14"/>
      <c r="F188" s="14"/>
      <c r="G188" s="14"/>
      <c r="H188" s="1"/>
      <c r="I188" s="14"/>
      <c r="J188" s="17"/>
      <c r="K188" s="18"/>
      <c r="L188" s="17"/>
      <c r="M188" s="14"/>
      <c r="N188" s="14"/>
    </row>
    <row r="189" customHeight="1" spans="1:14">
      <c r="A189" s="14"/>
      <c r="C189" s="14"/>
      <c r="D189" s="14"/>
      <c r="E189" s="14"/>
      <c r="F189" s="14"/>
      <c r="G189" s="14"/>
      <c r="H189" s="1"/>
      <c r="I189" s="14"/>
      <c r="J189" s="17"/>
      <c r="K189" s="18"/>
      <c r="L189" s="17"/>
      <c r="M189" s="14"/>
      <c r="N189" s="14"/>
    </row>
    <row r="190" customHeight="1" spans="1:14">
      <c r="A190" s="14"/>
      <c r="C190" s="14"/>
      <c r="D190" s="14"/>
      <c r="E190" s="14"/>
      <c r="F190" s="14"/>
      <c r="G190" s="14"/>
      <c r="H190" s="1"/>
      <c r="I190" s="14"/>
      <c r="J190" s="17"/>
      <c r="K190" s="18"/>
      <c r="L190" s="17"/>
      <c r="M190" s="14"/>
      <c r="N190" s="14"/>
    </row>
    <row r="191" customHeight="1" spans="1:14">
      <c r="A191" s="14"/>
      <c r="C191" s="14"/>
      <c r="D191" s="14"/>
      <c r="E191" s="14"/>
      <c r="F191" s="14"/>
      <c r="G191" s="14"/>
      <c r="H191" s="1"/>
      <c r="I191" s="14"/>
      <c r="J191" s="17"/>
      <c r="K191" s="18"/>
      <c r="L191" s="17"/>
      <c r="M191" s="14"/>
      <c r="N191" s="14"/>
    </row>
    <row r="192" customHeight="1" spans="1:14">
      <c r="A192" s="14"/>
      <c r="C192" s="14"/>
      <c r="D192" s="14"/>
      <c r="E192" s="14"/>
      <c r="F192" s="14"/>
      <c r="G192" s="14"/>
      <c r="H192" s="1"/>
      <c r="I192" s="14"/>
      <c r="J192" s="17"/>
      <c r="K192" s="18"/>
      <c r="L192" s="17"/>
      <c r="M192" s="14"/>
      <c r="N192" s="14"/>
    </row>
    <row r="193" customHeight="1" spans="1:14">
      <c r="A193" s="14"/>
      <c r="C193" s="14"/>
      <c r="D193" s="14"/>
      <c r="E193" s="14"/>
      <c r="F193" s="14"/>
      <c r="G193" s="14"/>
      <c r="H193" s="1"/>
      <c r="I193" s="14"/>
      <c r="J193" s="17"/>
      <c r="K193" s="18"/>
      <c r="L193" s="17"/>
      <c r="M193" s="14"/>
      <c r="N193" s="14"/>
    </row>
    <row r="194" customHeight="1" spans="1:14">
      <c r="A194" s="14"/>
      <c r="C194" s="14"/>
      <c r="D194" s="14"/>
      <c r="E194" s="14"/>
      <c r="F194" s="14"/>
      <c r="G194" s="14"/>
      <c r="H194" s="1"/>
      <c r="I194" s="14"/>
      <c r="J194" s="17"/>
      <c r="K194" s="18"/>
      <c r="L194" s="17"/>
      <c r="M194" s="14"/>
      <c r="N194" s="14"/>
    </row>
    <row r="195" customHeight="1" spans="1:14">
      <c r="A195" s="14"/>
      <c r="C195" s="14"/>
      <c r="D195" s="14"/>
      <c r="E195" s="14"/>
      <c r="F195" s="14"/>
      <c r="G195" s="14"/>
      <c r="H195" s="1"/>
      <c r="I195" s="14"/>
      <c r="J195" s="17"/>
      <c r="K195" s="18"/>
      <c r="L195" s="17"/>
      <c r="M195" s="14"/>
      <c r="N195" s="14"/>
    </row>
    <row r="196" customHeight="1" spans="1:14">
      <c r="A196" s="14"/>
      <c r="C196" s="14"/>
      <c r="D196" s="14"/>
      <c r="E196" s="14"/>
      <c r="F196" s="14"/>
      <c r="G196" s="14"/>
      <c r="H196" s="1"/>
      <c r="I196" s="14"/>
      <c r="J196" s="17"/>
      <c r="K196" s="18"/>
      <c r="L196" s="17"/>
      <c r="M196" s="14"/>
      <c r="N196" s="14"/>
    </row>
    <row r="197" customHeight="1" spans="1:14">
      <c r="A197" s="14"/>
      <c r="C197" s="14"/>
      <c r="D197" s="14"/>
      <c r="E197" s="14"/>
      <c r="F197" s="14"/>
      <c r="G197" s="14"/>
      <c r="H197" s="1"/>
      <c r="I197" s="14"/>
      <c r="J197" s="17"/>
      <c r="K197" s="18"/>
      <c r="L197" s="17"/>
      <c r="M197" s="14"/>
      <c r="N197" s="14"/>
    </row>
    <row r="198" customHeight="1" spans="1:14">
      <c r="A198" s="14"/>
      <c r="C198" s="14"/>
      <c r="D198" s="14"/>
      <c r="E198" s="14"/>
      <c r="F198" s="14"/>
      <c r="G198" s="14"/>
      <c r="H198" s="1"/>
      <c r="I198" s="14"/>
      <c r="J198" s="17"/>
      <c r="K198" s="18"/>
      <c r="L198" s="17"/>
      <c r="M198" s="14"/>
      <c r="N198" s="14"/>
    </row>
    <row r="199" customHeight="1" spans="1:14">
      <c r="A199" s="14"/>
      <c r="C199" s="14"/>
      <c r="D199" s="14"/>
      <c r="E199" s="14"/>
      <c r="F199" s="14"/>
      <c r="G199" s="14"/>
      <c r="H199" s="1"/>
      <c r="I199" s="14"/>
      <c r="J199" s="17"/>
      <c r="K199" s="18"/>
      <c r="L199" s="17"/>
      <c r="M199" s="14"/>
      <c r="N199" s="14"/>
    </row>
    <row r="200" customHeight="1" spans="1:14">
      <c r="A200" s="14"/>
      <c r="C200" s="14"/>
      <c r="D200" s="14"/>
      <c r="E200" s="14"/>
      <c r="F200" s="14"/>
      <c r="G200" s="14"/>
      <c r="H200" s="1"/>
      <c r="I200" s="14"/>
      <c r="J200" s="17"/>
      <c r="K200" s="18"/>
      <c r="L200" s="17"/>
      <c r="M200" s="14"/>
      <c r="N200" s="14"/>
    </row>
  </sheetData>
  <pageMargins left="0.7" right="0.7" top="0.75" bottom="0.75" header="0.3" footer="0.3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0"/>
  <sheetViews>
    <sheetView workbookViewId="0">
      <selection activeCell="A1" sqref="A1"/>
    </sheetView>
  </sheetViews>
  <sheetFormatPr defaultColWidth="17" defaultRowHeight="16.5" customHeight="1"/>
  <cols>
    <col min="1" max="1" width="139.333333333333" customWidth="1"/>
    <col min="2" max="18" width="16.59375" customWidth="1"/>
  </cols>
  <sheetData>
    <row r="1" customHeight="1" spans="1:1">
      <c r="A1" s="4" t="s">
        <v>768</v>
      </c>
    </row>
    <row r="2" customHeight="1" spans="1:1">
      <c r="A2" s="5" t="s">
        <v>769</v>
      </c>
    </row>
    <row r="3" customHeight="1" spans="1:1">
      <c r="A3" s="5" t="s">
        <v>770</v>
      </c>
    </row>
    <row r="4" customHeight="1" spans="1:1">
      <c r="A4" s="5" t="s">
        <v>771</v>
      </c>
    </row>
    <row r="5" customHeight="1" spans="1:1">
      <c r="A5" s="6"/>
    </row>
    <row r="6" customHeight="1" spans="1:1">
      <c r="A6" s="6"/>
    </row>
    <row r="7" customHeight="1" spans="1:1">
      <c r="A7" s="5" t="s">
        <v>772</v>
      </c>
    </row>
    <row r="8" customHeight="1" spans="1:1">
      <c r="A8" s="5" t="s">
        <v>773</v>
      </c>
    </row>
    <row r="9" customHeight="1" spans="1:1">
      <c r="A9" s="5" t="s">
        <v>774</v>
      </c>
    </row>
    <row r="10" customHeight="1" spans="1:1">
      <c r="A10" s="6"/>
    </row>
    <row r="11" customHeight="1" spans="1:1">
      <c r="A11" s="6"/>
    </row>
    <row r="12" customHeight="1" spans="1:1">
      <c r="A12" s="6"/>
    </row>
    <row r="13" customHeight="1" spans="1:1">
      <c r="A13" s="6"/>
    </row>
    <row r="14" customHeight="1" spans="1:1">
      <c r="A14" s="5" t="s">
        <v>775</v>
      </c>
    </row>
    <row r="15" customHeight="1" spans="1:1">
      <c r="A15" s="7" t="s">
        <v>776</v>
      </c>
    </row>
    <row r="16" customHeight="1" spans="1:1">
      <c r="A16" s="5" t="s">
        <v>777</v>
      </c>
    </row>
    <row r="17" customHeight="1" spans="1:1">
      <c r="A17" s="6"/>
    </row>
    <row r="18" customHeight="1" spans="1:1">
      <c r="A18" s="6"/>
    </row>
    <row r="19" customHeight="1" spans="1:1">
      <c r="A19" s="6"/>
    </row>
    <row r="20" customHeight="1" spans="1:1">
      <c r="A20" s="6"/>
    </row>
    <row r="21" customHeight="1" spans="1:1">
      <c r="A21" s="5" t="s">
        <v>778</v>
      </c>
    </row>
    <row r="22" customHeight="1" spans="1:1">
      <c r="A22" s="5" t="s">
        <v>779</v>
      </c>
    </row>
    <row r="23" customHeight="1" spans="1:1">
      <c r="A23" s="6"/>
    </row>
    <row r="24" customHeight="1" spans="1:1">
      <c r="A24" s="6"/>
    </row>
    <row r="25" customHeight="1" spans="1:1">
      <c r="A25" s="5" t="s">
        <v>780</v>
      </c>
    </row>
    <row r="26" customHeight="1" spans="1:1">
      <c r="A26" s="6"/>
    </row>
    <row r="27" customHeight="1" spans="1:1">
      <c r="A27" s="6"/>
    </row>
    <row r="28" customHeight="1" spans="1:1">
      <c r="A28" s="6"/>
    </row>
    <row r="29" customHeight="1" spans="1:1">
      <c r="A29" s="6"/>
    </row>
    <row r="30" customHeight="1" spans="1:1">
      <c r="A30" s="6"/>
    </row>
    <row r="31" customHeight="1" spans="1:1">
      <c r="A31" s="6"/>
    </row>
    <row r="32" customHeight="1" spans="1:1">
      <c r="A32" s="6"/>
    </row>
    <row r="33" customHeight="1" spans="1:1">
      <c r="A33" s="8"/>
    </row>
    <row r="34" customHeight="1" spans="1:1">
      <c r="A34" s="8"/>
    </row>
    <row r="35" customHeight="1" spans="1:1">
      <c r="A35" s="8"/>
    </row>
    <row r="36" customHeight="1" spans="1:1">
      <c r="A36" s="8"/>
    </row>
    <row r="37" customHeight="1" spans="1:1">
      <c r="A37" s="8"/>
    </row>
    <row r="38" customHeight="1" spans="1:1">
      <c r="A38" s="9"/>
    </row>
    <row r="39" customHeight="1" spans="1:1">
      <c r="A39" s="9"/>
    </row>
    <row r="40" customHeight="1" spans="1:1">
      <c r="A40" s="9"/>
    </row>
    <row r="41" customHeight="1" spans="1:1">
      <c r="A41" s="9"/>
    </row>
    <row r="42" customHeight="1" spans="1:1">
      <c r="A42" s="9"/>
    </row>
    <row r="43" customHeight="1" spans="1:1">
      <c r="A43" s="9"/>
    </row>
    <row r="44" customHeight="1" spans="1:1">
      <c r="A44" s="9"/>
    </row>
    <row r="45" customHeight="1" spans="1:1">
      <c r="A45" s="9"/>
    </row>
    <row r="46" customHeight="1" spans="1:1">
      <c r="A46" s="9"/>
    </row>
    <row r="47" customHeight="1" spans="1:1">
      <c r="A47" s="9"/>
    </row>
    <row r="48" customHeight="1" spans="1:1">
      <c r="A48" s="9"/>
    </row>
    <row r="49" customHeight="1" spans="1:1">
      <c r="A49" s="9"/>
    </row>
    <row r="50" customHeight="1" spans="1:1">
      <c r="A50" s="9"/>
    </row>
    <row r="51" customHeight="1" spans="1:1">
      <c r="A51" s="9"/>
    </row>
    <row r="52" customHeight="1" spans="1:1">
      <c r="A52" s="9"/>
    </row>
    <row r="53" customHeight="1" spans="1:1">
      <c r="A53" s="9"/>
    </row>
    <row r="54" customHeight="1" spans="1:1">
      <c r="A54" s="9"/>
    </row>
    <row r="55" customHeight="1" spans="1:1">
      <c r="A55" s="9"/>
    </row>
    <row r="56" customHeight="1" spans="1:1">
      <c r="A56" s="9"/>
    </row>
    <row r="57" customHeight="1" spans="1:1">
      <c r="A57" s="9"/>
    </row>
    <row r="58" customHeight="1" spans="1:1">
      <c r="A58" s="9"/>
    </row>
    <row r="59" customHeight="1" spans="1:1">
      <c r="A59" s="9"/>
    </row>
    <row r="60" customHeight="1" spans="1:1">
      <c r="A60" s="9"/>
    </row>
    <row r="61" customHeight="1" spans="1:1">
      <c r="A61" s="9"/>
    </row>
    <row r="62" customHeight="1" spans="1:1">
      <c r="A62" s="9"/>
    </row>
    <row r="63" customHeight="1" spans="1:1">
      <c r="A63" s="9"/>
    </row>
    <row r="64" customHeight="1" spans="1:1">
      <c r="A64" s="9"/>
    </row>
    <row r="65" customHeight="1" spans="1:1">
      <c r="A65" s="9"/>
    </row>
    <row r="66" customHeight="1" spans="1:1">
      <c r="A66" s="9"/>
    </row>
    <row r="67" customHeight="1" spans="1:1">
      <c r="A67" s="9"/>
    </row>
    <row r="68" customHeight="1" spans="1:1">
      <c r="A68" s="9"/>
    </row>
    <row r="69" customHeight="1" spans="1:1">
      <c r="A69" s="9"/>
    </row>
    <row r="70" customHeight="1" spans="1:1">
      <c r="A70" s="9"/>
    </row>
    <row r="71" customHeight="1" spans="1:1">
      <c r="A71" s="9"/>
    </row>
    <row r="72" customHeight="1" spans="1:1">
      <c r="A72" s="9"/>
    </row>
    <row r="73" customHeight="1" spans="1:1">
      <c r="A73" s="9"/>
    </row>
    <row r="74" customHeight="1" spans="1:1">
      <c r="A74" s="9"/>
    </row>
    <row r="75" customHeight="1" spans="1:1">
      <c r="A75" s="9"/>
    </row>
    <row r="76" customHeight="1" spans="1:1">
      <c r="A76" s="9"/>
    </row>
    <row r="77" customHeight="1" spans="1:1">
      <c r="A77" s="9"/>
    </row>
    <row r="78" customHeight="1" spans="1:1">
      <c r="A78" s="9"/>
    </row>
    <row r="79" customHeight="1" spans="1:1">
      <c r="A79" s="9"/>
    </row>
    <row r="80" customHeight="1" spans="1:1">
      <c r="A80" s="9"/>
    </row>
    <row r="81" customHeight="1" spans="1:1">
      <c r="A81" s="9"/>
    </row>
    <row r="82" customHeight="1" spans="1:1">
      <c r="A82" s="9"/>
    </row>
    <row r="83" customHeight="1" spans="1:1">
      <c r="A83" s="9"/>
    </row>
    <row r="84" customHeight="1" spans="1:1">
      <c r="A84" s="9"/>
    </row>
    <row r="85" customHeight="1" spans="1:1">
      <c r="A85" s="9"/>
    </row>
    <row r="86" customHeight="1" spans="1:1">
      <c r="A86" s="9"/>
    </row>
    <row r="87" customHeight="1" spans="1:1">
      <c r="A87" s="9"/>
    </row>
    <row r="88" customHeight="1" spans="1:1">
      <c r="A88" s="9"/>
    </row>
    <row r="89" customHeight="1" spans="1:1">
      <c r="A89" s="9"/>
    </row>
    <row r="90" customHeight="1" spans="1:1">
      <c r="A90" s="9"/>
    </row>
    <row r="91" customHeight="1" spans="1:1">
      <c r="A91" s="9"/>
    </row>
    <row r="92" customHeight="1" spans="1:1">
      <c r="A92" s="9"/>
    </row>
    <row r="93" customHeight="1" spans="1:1">
      <c r="A93" s="9"/>
    </row>
    <row r="94" customHeight="1" spans="1:1">
      <c r="A94" s="9"/>
    </row>
    <row r="95" customHeight="1" spans="1:1">
      <c r="A95" s="9"/>
    </row>
    <row r="96" customHeight="1" spans="1:1">
      <c r="A96" s="9"/>
    </row>
    <row r="97" customHeight="1" spans="1:1">
      <c r="A97" s="9"/>
    </row>
    <row r="98" customHeight="1" spans="1:1">
      <c r="A98" s="9"/>
    </row>
    <row r="99" customHeight="1" spans="1:1">
      <c r="A99" s="9"/>
    </row>
    <row r="100" customHeight="1" spans="1:1">
      <c r="A100" s="9"/>
    </row>
    <row r="101" customHeight="1" spans="1:1">
      <c r="A101" s="9"/>
    </row>
    <row r="102" customHeight="1" spans="1:1">
      <c r="A102" s="9"/>
    </row>
    <row r="103" customHeight="1" spans="1:1">
      <c r="A103" s="9"/>
    </row>
    <row r="104" customHeight="1" spans="1:1">
      <c r="A104" s="9"/>
    </row>
    <row r="105" customHeight="1" spans="1:1">
      <c r="A105" s="9"/>
    </row>
    <row r="106" customHeight="1" spans="1:1">
      <c r="A106" s="9"/>
    </row>
    <row r="107" customHeight="1" spans="1:1">
      <c r="A107" s="9"/>
    </row>
    <row r="108" customHeight="1" spans="1:1">
      <c r="A108" s="9"/>
    </row>
    <row r="109" customHeight="1" spans="1:1">
      <c r="A109" s="9"/>
    </row>
    <row r="110" customHeight="1" spans="1:1">
      <c r="A110" s="9"/>
    </row>
    <row r="111" customHeight="1" spans="1:1">
      <c r="A111" s="9"/>
    </row>
    <row r="112" customHeight="1" spans="1:1">
      <c r="A112" s="9"/>
    </row>
    <row r="113" customHeight="1" spans="1:1">
      <c r="A113" s="9"/>
    </row>
    <row r="114" customHeight="1" spans="1:1">
      <c r="A114" s="9"/>
    </row>
    <row r="115" customHeight="1" spans="1:1">
      <c r="A115" s="9"/>
    </row>
    <row r="116" customHeight="1" spans="1:1">
      <c r="A116" s="9"/>
    </row>
    <row r="117" customHeight="1" spans="1:1">
      <c r="A117" s="9"/>
    </row>
    <row r="118" customHeight="1" spans="1:1">
      <c r="A118" s="9"/>
    </row>
    <row r="119" customHeight="1" spans="1:1">
      <c r="A119" s="9"/>
    </row>
    <row r="120" customHeight="1" spans="1:1">
      <c r="A120" s="9"/>
    </row>
    <row r="121" customHeight="1" spans="1:1">
      <c r="A121" s="9"/>
    </row>
    <row r="122" customHeight="1" spans="1:1">
      <c r="A122" s="9"/>
    </row>
    <row r="123" customHeight="1" spans="1:1">
      <c r="A123" s="9"/>
    </row>
    <row r="124" customHeight="1" spans="1:1">
      <c r="A124" s="9"/>
    </row>
    <row r="125" customHeight="1" spans="1:1">
      <c r="A125" s="9"/>
    </row>
    <row r="126" customHeight="1" spans="1:1">
      <c r="A126" s="9"/>
    </row>
    <row r="127" customHeight="1" spans="1:1">
      <c r="A127" s="9"/>
    </row>
    <row r="128" customHeight="1" spans="1:1">
      <c r="A128" s="9"/>
    </row>
    <row r="129" customHeight="1" spans="1:1">
      <c r="A129" s="9"/>
    </row>
    <row r="130" customHeight="1" spans="1:1">
      <c r="A130" s="9"/>
    </row>
    <row r="131" customHeight="1" spans="1:1">
      <c r="A131" s="9"/>
    </row>
    <row r="132" customHeight="1" spans="1:1">
      <c r="A132" s="9"/>
    </row>
    <row r="133" customHeight="1" spans="1:1">
      <c r="A133" s="9"/>
    </row>
    <row r="134" customHeight="1" spans="1:1">
      <c r="A134" s="9"/>
    </row>
    <row r="135" customHeight="1" spans="1:1">
      <c r="A135" s="9"/>
    </row>
    <row r="136" customHeight="1" spans="1:1">
      <c r="A136" s="9"/>
    </row>
    <row r="137" customHeight="1" spans="1:1">
      <c r="A137" s="9"/>
    </row>
    <row r="138" customHeight="1" spans="1:1">
      <c r="A138" s="9"/>
    </row>
    <row r="139" customHeight="1" spans="1:1">
      <c r="A139" s="9"/>
    </row>
    <row r="140" customHeight="1" spans="1:1">
      <c r="A140" s="9"/>
    </row>
    <row r="141" customHeight="1" spans="1:1">
      <c r="A141" s="9"/>
    </row>
    <row r="142" customHeight="1" spans="1:1">
      <c r="A142" s="9"/>
    </row>
    <row r="143" customHeight="1" spans="1:1">
      <c r="A143" s="9"/>
    </row>
    <row r="144" customHeight="1" spans="1:1">
      <c r="A144" s="9"/>
    </row>
    <row r="145" customHeight="1" spans="1:1">
      <c r="A145" s="9"/>
    </row>
    <row r="146" customHeight="1" spans="1:1">
      <c r="A146" s="9"/>
    </row>
    <row r="147" customHeight="1" spans="1:1">
      <c r="A147" s="9"/>
    </row>
    <row r="148" customHeight="1" spans="1:1">
      <c r="A148" s="9"/>
    </row>
    <row r="149" customHeight="1" spans="1:1">
      <c r="A149" s="9"/>
    </row>
    <row r="150" customHeight="1" spans="1:1">
      <c r="A150" s="9"/>
    </row>
    <row r="151" customHeight="1" spans="1:1">
      <c r="A151" s="9"/>
    </row>
    <row r="152" customHeight="1" spans="1:1">
      <c r="A152" s="9"/>
    </row>
    <row r="153" customHeight="1" spans="1:1">
      <c r="A153" s="9"/>
    </row>
    <row r="154" customHeight="1" spans="1:1">
      <c r="A154" s="9"/>
    </row>
    <row r="155" customHeight="1" spans="1:1">
      <c r="A155" s="9"/>
    </row>
    <row r="156" customHeight="1" spans="1:1">
      <c r="A156" s="9"/>
    </row>
    <row r="157" customHeight="1" spans="1:1">
      <c r="A157" s="9"/>
    </row>
    <row r="158" customHeight="1" spans="1:1">
      <c r="A158" s="9"/>
    </row>
    <row r="159" customHeight="1" spans="1:1">
      <c r="A159" s="9"/>
    </row>
    <row r="160" customHeight="1" spans="1:1">
      <c r="A160" s="9"/>
    </row>
    <row r="161" customHeight="1" spans="1:1">
      <c r="A161" s="9"/>
    </row>
    <row r="162" customHeight="1" spans="1:1">
      <c r="A162" s="9"/>
    </row>
    <row r="163" customHeight="1" spans="1:1">
      <c r="A163" s="9"/>
    </row>
    <row r="164" customHeight="1" spans="1:1">
      <c r="A164" s="9"/>
    </row>
    <row r="165" customHeight="1" spans="1:1">
      <c r="A165" s="9"/>
    </row>
    <row r="166" customHeight="1" spans="1:1">
      <c r="A166" s="9"/>
    </row>
    <row r="167" customHeight="1" spans="1:1">
      <c r="A167" s="9"/>
    </row>
    <row r="168" customHeight="1" spans="1:1">
      <c r="A168" s="9"/>
    </row>
    <row r="169" customHeight="1" spans="1:1">
      <c r="A169" s="9"/>
    </row>
    <row r="170" customHeight="1" spans="1:1">
      <c r="A170" s="9"/>
    </row>
    <row r="171" customHeight="1" spans="1:1">
      <c r="A171" s="9"/>
    </row>
    <row r="172" customHeight="1" spans="1:1">
      <c r="A172" s="9"/>
    </row>
    <row r="173" customHeight="1" spans="1:1">
      <c r="A173" s="9"/>
    </row>
    <row r="174" customHeight="1" spans="1:1">
      <c r="A174" s="9"/>
    </row>
    <row r="175" customHeight="1" spans="1:1">
      <c r="A175" s="9"/>
    </row>
    <row r="176" customHeight="1" spans="1:1">
      <c r="A176" s="9"/>
    </row>
    <row r="177" customHeight="1" spans="1:1">
      <c r="A177" s="9"/>
    </row>
    <row r="178" customHeight="1" spans="1:1">
      <c r="A178" s="9"/>
    </row>
    <row r="179" customHeight="1" spans="1:1">
      <c r="A179" s="9"/>
    </row>
    <row r="180" customHeight="1" spans="1:1">
      <c r="A180" s="9"/>
    </row>
    <row r="181" customHeight="1" spans="1:1">
      <c r="A181" s="9"/>
    </row>
    <row r="182" customHeight="1" spans="1:1">
      <c r="A182" s="9"/>
    </row>
    <row r="183" customHeight="1" spans="1:1">
      <c r="A183" s="9"/>
    </row>
    <row r="184" customHeight="1" spans="1:1">
      <c r="A184" s="9"/>
    </row>
    <row r="185" customHeight="1" spans="1:1">
      <c r="A185" s="9"/>
    </row>
    <row r="186" customHeight="1" spans="1:1">
      <c r="A186" s="9"/>
    </row>
    <row r="187" customHeight="1" spans="1:1">
      <c r="A187" s="9"/>
    </row>
    <row r="188" customHeight="1" spans="1:1">
      <c r="A188" s="9"/>
    </row>
    <row r="189" customHeight="1" spans="1:1">
      <c r="A189" s="9"/>
    </row>
    <row r="190" customHeight="1" spans="1:1">
      <c r="A190" s="9"/>
    </row>
    <row r="191" customHeight="1" spans="1:1">
      <c r="A191" s="9"/>
    </row>
    <row r="192" customHeight="1" spans="1:1">
      <c r="A192" s="9"/>
    </row>
    <row r="193" customHeight="1" spans="1:1">
      <c r="A193" s="9"/>
    </row>
    <row r="194" customHeight="1" spans="1:1">
      <c r="A194" s="9"/>
    </row>
    <row r="195" customHeight="1" spans="1:1">
      <c r="A195" s="9"/>
    </row>
    <row r="196" customHeight="1" spans="1:1">
      <c r="A196" s="9"/>
    </row>
    <row r="197" customHeight="1" spans="1:1">
      <c r="A197" s="9"/>
    </row>
    <row r="198" customHeight="1" spans="1:1">
      <c r="A198" s="9"/>
    </row>
    <row r="199" customHeight="1" spans="1:1">
      <c r="A199" s="9"/>
    </row>
    <row r="200" customHeight="1" spans="1:1">
      <c r="A200" s="9"/>
    </row>
  </sheetData>
  <hyperlinks>
    <hyperlink ref="A2" r:id="rId1" display="https://www.tiktok.com/@/video/7507733538158972191?shop_region=US"/>
    <hyperlink ref="A3" r:id="rId2" display="https://www.tiktok.com/@/video/7505007970158185771?shop_region=US"/>
    <hyperlink ref="A4" r:id="rId3" display="https://www.tiktok.com/@/video/7510315444860063022?shop_region=US"/>
    <hyperlink ref="A7" r:id="rId4" display="https://www.tiktok.com/@/video/7509468659413372206?shop_region=US"/>
    <hyperlink ref="A8" r:id="rId5" display="https://www.tiktok.com/@/video/7507463120143600939?shop_region=US"/>
    <hyperlink ref="A9" r:id="rId6" display="https://www.tiktok.com/@/video/7509602854680710443?shop_region=US"/>
    <hyperlink ref="A14" r:id="rId7" display="https://www.tiktok.com/@/video/7512260049553607966?shop_region=US"/>
    <hyperlink ref="A15" r:id="rId8" display="https://www.tiktok.com/@/video/7510281518846135582?shop_region=US"/>
    <hyperlink ref="A16" r:id="rId9" display="https://www.tiktok.com/@/video/7512121539337194782?shop_region=US"/>
    <hyperlink ref="A21" r:id="rId10" display="https://www.tiktok.com/@/video/7512217482250177838?shop_region=US"/>
    <hyperlink ref="A22" r:id="rId11" display="https://www.tiktok.com/@/video/7510822530660289823?shop_region=US"/>
    <hyperlink ref="A25" r:id="rId12" display="https://www.tiktok.com/@/video/7513258934547860779?shop_region=US"/>
  </hyperlink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A1"/>
    </sheetView>
  </sheetViews>
  <sheetFormatPr defaultColWidth="17" defaultRowHeight="16.5" customHeight="1" outlineLevelCol="7"/>
  <cols>
    <col min="1" max="1" width="7.67708333333333" customWidth="1"/>
    <col min="2" max="18" width="16.59375" customWidth="1"/>
  </cols>
  <sheetData>
    <row r="1" customHeight="1" spans="1:8">
      <c r="A1" s="1" t="s">
        <v>280</v>
      </c>
      <c r="B1" s="2">
        <v>0.1695</v>
      </c>
      <c r="D1" s="3">
        <v>0.19</v>
      </c>
      <c r="F1" s="3">
        <v>0.3</v>
      </c>
      <c r="G1" s="1"/>
    </row>
    <row r="2" customHeight="1" spans="1:8">
      <c r="A2" s="1" t="s">
        <v>285</v>
      </c>
      <c r="B2" s="2">
        <v>0.198</v>
      </c>
      <c r="D2" s="3">
        <v>0.2</v>
      </c>
      <c r="F2" s="3">
        <v>0.1</v>
      </c>
    </row>
    <row r="3" customHeight="1" spans="1:8">
      <c r="A3" s="1" t="s">
        <v>287</v>
      </c>
      <c r="B3" s="2">
        <v>0.1846</v>
      </c>
      <c r="D3" s="3">
        <v>0.22</v>
      </c>
      <c r="F3" s="3">
        <v>0.3</v>
      </c>
    </row>
    <row r="4" customHeight="1" spans="1:8">
      <c r="A4" s="1" t="s">
        <v>290</v>
      </c>
      <c r="B4" s="2">
        <v>0.1646</v>
      </c>
      <c r="D4" s="3">
        <v>0.21</v>
      </c>
      <c r="F4" s="3">
        <v>0.3</v>
      </c>
    </row>
    <row r="5" customHeight="1" spans="1:8">
      <c r="A5" s="1" t="s">
        <v>86</v>
      </c>
      <c r="B5" s="2">
        <v>0.158</v>
      </c>
      <c r="D5" s="3">
        <v>0.2</v>
      </c>
    </row>
    <row r="6" customHeight="1" spans="1:8">
      <c r="A6" s="1" t="s">
        <v>387</v>
      </c>
      <c r="B6" s="2">
        <v>0.158</v>
      </c>
    </row>
    <row r="7" customHeight="1" spans="1:8">
      <c r="A7" s="1" t="s">
        <v>385</v>
      </c>
      <c r="B7" s="2">
        <v>0.223</v>
      </c>
    </row>
    <row r="8" customHeight="1" spans="1:8">
      <c r="A8" s="1" t="s">
        <v>381</v>
      </c>
      <c r="B8" s="2">
        <v>0.158</v>
      </c>
    </row>
    <row r="9" customHeight="1" spans="1:8">
      <c r="A9" s="1" t="s">
        <v>781</v>
      </c>
    </row>
    <row r="10" customHeight="1" spans="1:8">
      <c r="B10" s="1" t="s">
        <v>205</v>
      </c>
      <c r="D10" s="1" t="s">
        <v>258</v>
      </c>
    </row>
    <row r="13" customHeight="1" spans="1:8">
      <c r="H13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产品信息</vt:lpstr>
      <vt:lpstr>美国DF上架测算</vt:lpstr>
      <vt:lpstr>美国SC毛利测算</vt:lpstr>
      <vt:lpstr>美国VC毛利测算</vt:lpstr>
      <vt:lpstr>欧洲SC毛利测算</vt:lpstr>
      <vt:lpstr>欧洲VC毛利测算</vt:lpstr>
      <vt:lpstr>活动排期</vt:lpstr>
      <vt:lpstr>美国DI毛利测算</vt:lpstr>
      <vt:lpstr>欧洲DI毛利测算</vt:lpstr>
      <vt:lpstr>日历工作计划表</vt:lpstr>
      <vt:lpstr>2025欧洲listing SOP流程</vt:lpstr>
      <vt:lpstr>发货物流价格</vt:lpstr>
      <vt:lpstr>TK视频链接</vt:lpstr>
      <vt:lpstr>佣金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2025-11-18T08:40:00Z</dcterms:created>
  <dcterms:modified xsi:type="dcterms:W3CDTF">2025-11-20T02:25:20Z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8DCC1A6F4F024D289A0ADFE7691A8BE0_13</vt:lpwstr>
  </property>
  <property fmtid="{D5CDD505-2E9C-101B-9397-08002B2CF9AE}" pid="3" name="KSOProductBuildVer">
    <vt:lpwstr>2052-12.1.0.23542</vt:lpwstr>
  </property>
</Properties>
</file>