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activeTab="2"/>
  </bookViews>
  <sheets>
    <sheet name="推广目标" sheetId="1" r:id="rId1"/>
    <sheet name="推广计划" sheetId="5" r:id="rId2"/>
    <sheet name="广告计划" sheetId="8" r:id="rId3"/>
    <sheet name="利润&amp;ROI测算" sheetId="4" r:id="rId4"/>
    <sheet name="账号&amp;备货规划"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F2" authorId="0">
      <text>
        <r>
          <rPr>
            <b/>
            <sz val="9"/>
            <rFont val="宋体"/>
            <charset val="134"/>
          </rPr>
          <t xml:space="preserve">作者:
</t>
        </r>
      </text>
    </comment>
    <comment ref="H2" authorId="0">
      <text>
        <r>
          <rPr>
            <b/>
            <sz val="9"/>
            <rFont val="宋体"/>
            <charset val="134"/>
          </rPr>
          <t>作者:</t>
        </r>
        <r>
          <rPr>
            <sz val="9"/>
            <rFont val="宋体"/>
            <charset val="134"/>
          </rPr>
          <t xml:space="preserve">
币种：当地国家币种</t>
        </r>
      </text>
    </comment>
    <comment ref="V2" authorId="0">
      <text>
        <r>
          <rPr>
            <b/>
            <sz val="9"/>
            <rFont val="宋体"/>
            <charset val="134"/>
          </rPr>
          <t>作者:</t>
        </r>
        <r>
          <rPr>
            <sz val="9"/>
            <rFont val="宋体"/>
            <charset val="134"/>
          </rPr>
          <t xml:space="preserve">
按照10% coupon计算</t>
        </r>
      </text>
    </comment>
    <comment ref="BB2" authorId="0">
      <text>
        <r>
          <rPr>
            <b/>
            <sz val="9"/>
            <rFont val="宋体"/>
            <charset val="134"/>
          </rPr>
          <t>作者:</t>
        </r>
        <r>
          <rPr>
            <sz val="9"/>
            <rFont val="宋体"/>
            <charset val="134"/>
          </rPr>
          <t xml:space="preserve">
增加礼品卡测评费
预计400*$8</t>
        </r>
      </text>
    </comment>
    <comment ref="BR2" authorId="0">
      <text>
        <r>
          <rPr>
            <b/>
            <sz val="9"/>
            <rFont val="宋体"/>
            <charset val="134"/>
          </rPr>
          <t>作者:</t>
        </r>
        <r>
          <rPr>
            <sz val="9"/>
            <rFont val="宋体"/>
            <charset val="134"/>
          </rPr>
          <t xml:space="preserve">
增加礼品卡测评费用400*$8</t>
        </r>
      </text>
    </comment>
  </commentList>
</comments>
</file>

<file path=xl/sharedStrings.xml><?xml version="1.0" encoding="utf-8"?>
<sst xmlns="http://schemas.openxmlformats.org/spreadsheetml/2006/main" count="383" uniqueCount="228">
  <si>
    <t>SKU：                     ASIN：</t>
  </si>
  <si>
    <t>上架销售时间：</t>
  </si>
  <si>
    <t>推广周期：</t>
  </si>
  <si>
    <t>2月28日-5月31日</t>
  </si>
  <si>
    <t>排名目标：</t>
  </si>
  <si>
    <t>Portable Power Banks #20</t>
  </si>
  <si>
    <t>目标销量：</t>
  </si>
  <si>
    <t>50pcs/天</t>
  </si>
  <si>
    <t>目标管理</t>
  </si>
  <si>
    <t>目标</t>
  </si>
  <si>
    <t>ASIN 1</t>
  </si>
  <si>
    <t>对标竞品</t>
  </si>
  <si>
    <t>目标排名</t>
  </si>
  <si>
    <t>目标日销</t>
  </si>
  <si>
    <t>价格</t>
  </si>
  <si>
    <t>rating</t>
  </si>
  <si>
    <t>评分</t>
  </si>
  <si>
    <t>主推词</t>
  </si>
  <si>
    <t>WEEK</t>
  </si>
  <si>
    <t>Date</t>
  </si>
  <si>
    <t>SKU</t>
  </si>
  <si>
    <t>售价</t>
  </si>
  <si>
    <t>COUPON</t>
  </si>
  <si>
    <t>Action</t>
  </si>
  <si>
    <t>目标平均日销</t>
  </si>
  <si>
    <t>周销</t>
  </si>
  <si>
    <t>Review星级/数量</t>
  </si>
  <si>
    <t>REVIEW计划</t>
  </si>
  <si>
    <t>周消耗库存</t>
  </si>
  <si>
    <t>销售额</t>
  </si>
  <si>
    <t>日均流量</t>
  </si>
  <si>
    <t>转化率</t>
  </si>
  <si>
    <t>主关键词自然搜索排名</t>
  </si>
  <si>
    <t>广告计划</t>
  </si>
  <si>
    <t>库存计划</t>
  </si>
  <si>
    <t>送出数量</t>
  </si>
  <si>
    <t>措施</t>
  </si>
  <si>
    <t>广告日预算</t>
  </si>
  <si>
    <t>每日点击</t>
  </si>
  <si>
    <t>CPC</t>
  </si>
  <si>
    <t>CVR</t>
  </si>
  <si>
    <t>广告日订单</t>
  </si>
  <si>
    <t>广告订单占比</t>
  </si>
  <si>
    <t>LBS库存</t>
  </si>
  <si>
    <t>SZ</t>
  </si>
  <si>
    <t>LBS在途</t>
  </si>
  <si>
    <t>LBS发货</t>
  </si>
  <si>
    <t>采购计划</t>
  </si>
  <si>
    <t>WEEK1</t>
  </si>
  <si>
    <t xml:space="preserve">
2.28-3.6</t>
  </si>
  <si>
    <t>coupon+广告</t>
  </si>
  <si>
    <t>主推关键词：power bank, portable charger
目标：第5页</t>
  </si>
  <si>
    <t>2490海运</t>
  </si>
  <si>
    <t>WEEK2</t>
  </si>
  <si>
    <t xml:space="preserve">
3.7-3.13</t>
  </si>
  <si>
    <t>主推关键词：power bank, portable charger
目标：第4页</t>
  </si>
  <si>
    <t>WEEK3</t>
  </si>
  <si>
    <t xml:space="preserve">
3.14-3.20</t>
  </si>
  <si>
    <t>主推关键词：power bank, portable charger
目标：第3页</t>
  </si>
  <si>
    <t>1310卡派</t>
  </si>
  <si>
    <t>720至TT
600至RUI备用</t>
  </si>
  <si>
    <t>WEEK4</t>
  </si>
  <si>
    <t xml:space="preserve">
3.21-3.27</t>
  </si>
  <si>
    <t>7DD+加大广告投放</t>
  </si>
  <si>
    <t>WEEK5</t>
  </si>
  <si>
    <t xml:space="preserve">
3.28-4.3</t>
  </si>
  <si>
    <t>主推关键词：power bank, portable charger
目标：第2页</t>
  </si>
  <si>
    <t>WEEK6</t>
  </si>
  <si>
    <t>4.4-4.10</t>
  </si>
  <si>
    <t xml:space="preserve">900至TT
</t>
  </si>
  <si>
    <t>WEEK7</t>
  </si>
  <si>
    <t>4.11-4.17</t>
  </si>
  <si>
    <t>1980(PD)</t>
  </si>
  <si>
    <t>WEEK8</t>
  </si>
  <si>
    <t>4.18-4.24</t>
  </si>
  <si>
    <t>主推关键词：power bank, portable charger
目标：第1页</t>
  </si>
  <si>
    <t>900至TT</t>
  </si>
  <si>
    <t>WEEK9</t>
  </si>
  <si>
    <t>4.25-5.1</t>
  </si>
  <si>
    <t>1500卡派</t>
  </si>
  <si>
    <t>WEEK10</t>
  </si>
  <si>
    <t>5.2-5.8</t>
  </si>
  <si>
    <t>680至TT</t>
  </si>
  <si>
    <t>WEEK11</t>
  </si>
  <si>
    <t>5.9-5.15</t>
  </si>
  <si>
    <t>WEEK12</t>
  </si>
  <si>
    <t>5.16-5.22</t>
  </si>
  <si>
    <t>1980卡派</t>
  </si>
  <si>
    <t>切换到RUI卖</t>
  </si>
  <si>
    <t>WEEK13</t>
  </si>
  <si>
    <t>5.23-5.29</t>
  </si>
  <si>
    <r>
      <rPr>
        <b/>
        <i/>
        <sz val="11"/>
        <color rgb="FFFF0000"/>
        <rFont val="等线"/>
        <charset val="134"/>
        <scheme val="minor"/>
      </rPr>
      <t>预估量说明：</t>
    </r>
    <r>
      <rPr>
        <sz val="11"/>
        <color theme="1"/>
        <rFont val="等线"/>
        <charset val="134"/>
        <scheme val="minor"/>
      </rPr>
      <t xml:space="preserve">
</t>
    </r>
    <r>
      <rPr>
        <b/>
        <sz val="11"/>
        <color theme="1"/>
        <rFont val="等线"/>
        <charset val="134"/>
        <scheme val="minor"/>
      </rPr>
      <t>平均cpc和转化率的值的预估方法：</t>
    </r>
    <r>
      <rPr>
        <sz val="11"/>
        <color theme="1"/>
        <rFont val="等线"/>
        <charset val="134"/>
        <scheme val="minor"/>
      </rPr>
      <t xml:space="preserve">
1.市场调研得到同行平均cpc的基础上适当上调；
2.正在做的同品类商品的历史cpc基础上适当上调；
</t>
    </r>
    <r>
      <rPr>
        <b/>
        <sz val="11"/>
        <color theme="1"/>
        <rFont val="等线"/>
        <charset val="134"/>
        <scheme val="minor"/>
      </rPr>
      <t>平均cpc和转化率计划制定的说明：</t>
    </r>
    <r>
      <rPr>
        <sz val="11"/>
        <color theme="1"/>
        <rFont val="等线"/>
        <charset val="134"/>
        <scheme val="minor"/>
      </rPr>
      <t xml:space="preserve">
新品期间波动大，采用梯度预估
eg:当cpc为2.5$,转化率为5%的时候，完成日销目标对应的广告费为105$/天；
    当cpc为2.3$.转化率为7%的时候，完成日销目标对应的广告费为69$/天</t>
    </r>
  </si>
  <si>
    <t>广告销量</t>
  </si>
  <si>
    <t>广告销售额</t>
  </si>
  <si>
    <t>广告费</t>
  </si>
  <si>
    <t>点击量</t>
  </si>
  <si>
    <t>预估量</t>
  </si>
  <si>
    <t>广告结构</t>
  </si>
  <si>
    <t>广告目标及关注指标</t>
  </si>
  <si>
    <t>广告关键词</t>
  </si>
  <si>
    <t>不同广告类型预算分配</t>
  </si>
  <si>
    <t>平均cpc</t>
  </si>
  <si>
    <t>广告转化率</t>
  </si>
  <si>
    <t>campaign1：自动广告
campaign2：手动广告测试组B
campaign3：SD-categories
campaign4：PT
campaign5：手动广告核心关键词E</t>
  </si>
  <si>
    <r>
      <rPr>
        <sz val="11"/>
        <color theme="1"/>
        <rFont val="等线"/>
        <charset val="134"/>
        <scheme val="minor"/>
      </rPr>
      <t xml:space="preserve">有效流量引入
</t>
    </r>
    <r>
      <rPr>
        <b/>
        <sz val="9"/>
        <color theme="1"/>
        <rFont val="等线"/>
        <charset val="134"/>
        <scheme val="minor"/>
      </rPr>
      <t>点击率；转化率；订单量</t>
    </r>
  </si>
  <si>
    <t>power bank（主推）
powerbank
power bank fast charging
phone charger power bank
power bank iphone
usb power bank
phone power bank
usb c power bank
power bank fast charge
portable power bank
fast charge power bank
power bank 10000mah
phone battery power bank
iphone battery power bank
samsung power bank
iphone power bank charger
slim power bank
power bank charger
10000 mah power bank
portable battery power bank
quick charge 3.0 power bank
usb c pd power bank
portable charger（主推）
portable charger iphone
portable phone charger
iphone portable charger battery
usb c portable charger
mobile phone charger portable
portable phone charger power bank
portable charger usb c
portable charger samsung
long lasting portable charger
portable charger 10000mah
portable phone charger samsung
battery bank
usb battery pack
iphone battery pack
usb c battery pack
phone charger pack
battery pack phone charger
iphone power pack</t>
  </si>
  <si>
    <t>campaign1：自动广告
campaign2：手动广告测试组B
campaign3：SD-categories
campaign4：PT
campaign5：手动广告核心关键词E
campaign6：SBV-PT / SBV-KT</t>
  </si>
  <si>
    <t>SP:70%
SD:15%
SB:15%</t>
  </si>
  <si>
    <t>campaign1：自动广告
campaign2：手动广告主推词BP
campaign3：SD-categories
campaign4：PT
campaign5：手动广告核心关键词E
campaign6：SBV-PT / SBV-KT</t>
  </si>
  <si>
    <r>
      <rPr>
        <sz val="11"/>
        <color theme="1"/>
        <rFont val="等线"/>
        <charset val="134"/>
        <scheme val="minor"/>
      </rPr>
      <t xml:space="preserve">推动销售
</t>
    </r>
    <r>
      <rPr>
        <b/>
        <sz val="9"/>
        <color theme="1"/>
        <rFont val="等线"/>
        <charset val="134"/>
        <scheme val="minor"/>
      </rPr>
      <t>点击率；转化率；订单量；Acos</t>
    </r>
  </si>
  <si>
    <t>campaign1：自动广告
campaign2：手动广告主推词PE
campaign3：SD-categories
campaign4：PT
campaign5：手动广告核心关键词E
campaign6：SBV-PT / SBV-KT</t>
  </si>
  <si>
    <r>
      <rPr>
        <sz val="11"/>
        <color theme="1"/>
        <rFont val="等线"/>
        <charset val="134"/>
        <scheme val="minor"/>
      </rPr>
      <t xml:space="preserve">防守&amp;进攻
</t>
    </r>
    <r>
      <rPr>
        <b/>
        <sz val="9"/>
        <color theme="1"/>
        <rFont val="等线"/>
        <charset val="134"/>
        <scheme val="minor"/>
      </rPr>
      <t>转化率；订单量；Acos/Roas</t>
    </r>
  </si>
  <si>
    <t>SP:60%
SD:20%
SB:20%</t>
  </si>
  <si>
    <t>5.23-5.31</t>
  </si>
  <si>
    <t>细分项</t>
  </si>
  <si>
    <t>1月</t>
  </si>
  <si>
    <t>2月</t>
  </si>
  <si>
    <t>3月</t>
  </si>
  <si>
    <t>达标后每月销售</t>
  </si>
  <si>
    <t>状态</t>
  </si>
  <si>
    <t>Asin</t>
  </si>
  <si>
    <t>Model#</t>
  </si>
  <si>
    <t>国家</t>
  </si>
  <si>
    <t>佣金比例</t>
  </si>
  <si>
    <r>
      <rPr>
        <b/>
        <sz val="12"/>
        <color rgb="FFFF0000"/>
        <rFont val="Calibri"/>
        <charset val="134"/>
      </rPr>
      <t>RMA</t>
    </r>
    <r>
      <rPr>
        <b/>
        <sz val="12"/>
        <color rgb="FFFF0000"/>
        <rFont val="宋体"/>
        <charset val="134"/>
      </rPr>
      <t>比例</t>
    </r>
  </si>
  <si>
    <t>广告费占比</t>
  </si>
  <si>
    <r>
      <rPr>
        <b/>
        <sz val="12"/>
        <color rgb="FFFF0000"/>
        <rFont val="Calibri"/>
        <charset val="134"/>
      </rPr>
      <t>MC/</t>
    </r>
    <r>
      <rPr>
        <b/>
        <sz val="12"/>
        <color rgb="FFFF0000"/>
        <rFont val="宋体"/>
        <charset val="134"/>
      </rPr>
      <t>个</t>
    </r>
  </si>
  <si>
    <r>
      <rPr>
        <b/>
        <sz val="12"/>
        <color rgb="FFFF0000"/>
        <rFont val="Calibri"/>
        <charset val="134"/>
      </rPr>
      <t>FBA</t>
    </r>
    <r>
      <rPr>
        <b/>
        <sz val="12"/>
        <color rgb="FFFF0000"/>
        <rFont val="宋体"/>
        <charset val="134"/>
      </rPr>
      <t>配送费</t>
    </r>
  </si>
  <si>
    <r>
      <rPr>
        <b/>
        <sz val="12"/>
        <color rgb="FF000000"/>
        <rFont val="宋体"/>
        <charset val="134"/>
      </rPr>
      <t>退换货分摊</t>
    </r>
    <r>
      <rPr>
        <b/>
        <sz val="12"/>
        <color rgb="FF000000"/>
        <rFont val="Calibri"/>
        <charset val="134"/>
      </rPr>
      <t xml:space="preserve">
/</t>
    </r>
    <r>
      <rPr>
        <b/>
        <sz val="12"/>
        <color rgb="FF000000"/>
        <rFont val="宋体"/>
        <charset val="134"/>
      </rPr>
      <t>个</t>
    </r>
  </si>
  <si>
    <t>VAT</t>
  </si>
  <si>
    <t>待办操作</t>
  </si>
  <si>
    <t>月销量</t>
  </si>
  <si>
    <t>销售总额</t>
  </si>
  <si>
    <t>MC</t>
  </si>
  <si>
    <t>佣金</t>
  </si>
  <si>
    <t>配送费</t>
  </si>
  <si>
    <r>
      <rPr>
        <b/>
        <sz val="12"/>
        <color rgb="FF000000"/>
        <rFont val="Calibri"/>
        <charset val="134"/>
      </rPr>
      <t>RMA</t>
    </r>
    <r>
      <rPr>
        <b/>
        <sz val="12"/>
        <color rgb="FF000000"/>
        <rFont val="宋体"/>
        <charset val="134"/>
      </rPr>
      <t>扣减</t>
    </r>
  </si>
  <si>
    <t>促销费</t>
  </si>
  <si>
    <t>成本总计</t>
  </si>
  <si>
    <t>回款额
UK</t>
  </si>
  <si>
    <t>回款率</t>
  </si>
  <si>
    <r>
      <rPr>
        <b/>
        <sz val="12"/>
        <color rgb="FF000000"/>
        <rFont val="宋体"/>
        <charset val="134"/>
      </rPr>
      <t xml:space="preserve">净毛利 </t>
    </r>
    <r>
      <rPr>
        <b/>
        <sz val="12"/>
        <color rgb="FF000000"/>
        <rFont val="宋体"/>
        <charset val="134"/>
      </rPr>
      <t>US</t>
    </r>
  </si>
  <si>
    <t>净毛利率</t>
  </si>
  <si>
    <t>操作</t>
  </si>
  <si>
    <t xml:space="preserve">VAT
</t>
  </si>
  <si>
    <r>
      <rPr>
        <b/>
        <sz val="12"/>
        <color rgb="FF000000"/>
        <rFont val="宋体"/>
        <charset val="134"/>
      </rPr>
      <t>回款额
U</t>
    </r>
    <r>
      <rPr>
        <b/>
        <sz val="12"/>
        <color rgb="FF000000"/>
        <rFont val="宋体"/>
        <charset val="134"/>
      </rPr>
      <t>S</t>
    </r>
  </si>
  <si>
    <t>净毛利 US</t>
  </si>
  <si>
    <t>产品成本</t>
  </si>
  <si>
    <t>回款额
EU</t>
  </si>
  <si>
    <t>净毛利 EU</t>
  </si>
  <si>
    <t>欧洲</t>
  </si>
  <si>
    <t>价格利润测算</t>
  </si>
  <si>
    <t>Model</t>
  </si>
  <si>
    <t>Price</t>
  </si>
  <si>
    <t>All cost</t>
  </si>
  <si>
    <t>Profit</t>
  </si>
  <si>
    <t>Profit%</t>
  </si>
  <si>
    <t>退货均摊</t>
  </si>
  <si>
    <t>VAT税率</t>
  </si>
  <si>
    <t>佣金率</t>
  </si>
  <si>
    <t>退货率</t>
  </si>
  <si>
    <t>折扣% off</t>
  </si>
  <si>
    <t>底价</t>
  </si>
  <si>
    <t>x</t>
  </si>
  <si>
    <t>xx</t>
  </si>
  <si>
    <t>ROI测算</t>
  </si>
  <si>
    <t>月份</t>
  </si>
  <si>
    <t>总销售额</t>
  </si>
  <si>
    <t>回款额
US/EU</t>
  </si>
  <si>
    <t>累计净毛利</t>
  </si>
  <si>
    <t>4月</t>
  </si>
  <si>
    <t>5月</t>
  </si>
  <si>
    <t>6月</t>
  </si>
  <si>
    <t>7月</t>
  </si>
  <si>
    <t>8月</t>
  </si>
  <si>
    <t>9月</t>
  </si>
  <si>
    <t>10月</t>
  </si>
  <si>
    <t>11月</t>
  </si>
  <si>
    <t>12月</t>
  </si>
  <si>
    <t>采购单</t>
  </si>
  <si>
    <t>中仓</t>
  </si>
  <si>
    <t>FBA调拨</t>
  </si>
  <si>
    <t>采购单类型</t>
  </si>
  <si>
    <t>下采购购单日期</t>
  </si>
  <si>
    <t>采购数量</t>
  </si>
  <si>
    <t>入中仓时间</t>
  </si>
  <si>
    <t>入仓数量</t>
  </si>
  <si>
    <t>是否备安全库存</t>
  </si>
  <si>
    <t>安全库存数量</t>
  </si>
  <si>
    <t>调拨时间</t>
  </si>
  <si>
    <t>物流方式</t>
  </si>
  <si>
    <t>调拨数量</t>
  </si>
  <si>
    <t>调拨账号</t>
  </si>
  <si>
    <t>首单</t>
  </si>
  <si>
    <t>2021.12.7</t>
  </si>
  <si>
    <t>2022.1.16</t>
  </si>
  <si>
    <t>是</t>
  </si>
  <si>
    <t>2022.1.19</t>
  </si>
  <si>
    <t>海运</t>
  </si>
  <si>
    <t>LBS</t>
  </si>
  <si>
    <t>2022.2.11</t>
  </si>
  <si>
    <t>空派</t>
  </si>
  <si>
    <t>TT</t>
  </si>
  <si>
    <t>2022.3.18</t>
  </si>
  <si>
    <t>卡派</t>
  </si>
  <si>
    <t>翻单1</t>
  </si>
  <si>
    <t>2022.3.22</t>
  </si>
  <si>
    <t>2022.4.22</t>
  </si>
  <si>
    <t>否</t>
  </si>
  <si>
    <t>2022.4.23</t>
  </si>
  <si>
    <t>翻单2</t>
  </si>
  <si>
    <t>2022.4.12</t>
  </si>
  <si>
    <t>2022.5.12</t>
  </si>
  <si>
    <t>2022.5.13</t>
  </si>
  <si>
    <t>翻单3</t>
  </si>
  <si>
    <t>2022.4.28</t>
  </si>
  <si>
    <t>2022.5.28</t>
  </si>
  <si>
    <t>2022.5.29</t>
  </si>
  <si>
    <t>翻单4</t>
  </si>
  <si>
    <t>2022.5.19</t>
  </si>
  <si>
    <t>2022.7.1</t>
  </si>
  <si>
    <t>2022.7.2</t>
  </si>
  <si>
    <t>采购交期45天，翻单1，2，3由于时间关系需要催单30天交付，若无法提前交付时间，则需提前下单或走部分空运</t>
  </si>
  <si>
    <t>FBA详细备货见推广计划</t>
  </si>
  <si>
    <t>安全库存</t>
  </si>
  <si>
    <t>1. 备货数量较保守，可能会有销量上涨，此部分库存用来避免断货</t>
  </si>
  <si>
    <t>2. 防止主要销售账号出现异常时，其他账号无货可售的情况</t>
  </si>
  <si>
    <t>3. 安全库存遵循先进先出原则</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</si>
</sst>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 numFmtId="177" formatCode="0_);[Red]\(0\)"/>
    <numFmt numFmtId="178" formatCode="0.00_);[Red]\(0.00\)"/>
    <numFmt numFmtId="179" formatCode="0_);\(0\)"/>
    <numFmt numFmtId="180" formatCode="0.00_ "/>
    <numFmt numFmtId="181" formatCode="0_ "/>
    <numFmt numFmtId="182" formatCode="0.0%"/>
  </numFmts>
  <fonts count="53">
    <font>
      <sz val="11"/>
      <color theme="1"/>
      <name val="等线"/>
      <charset val="134"/>
      <scheme val="minor"/>
    </font>
    <font>
      <sz val="10"/>
      <color theme="1"/>
      <name val="微软雅黑"/>
      <charset val="134"/>
    </font>
    <font>
      <sz val="10"/>
      <color rgb="FFFF0000"/>
      <name val="微软雅黑"/>
      <charset val="134"/>
    </font>
    <font>
      <sz val="8"/>
      <color theme="1"/>
      <name val="微软雅黑"/>
      <charset val="134"/>
    </font>
    <font>
      <sz val="18"/>
      <color rgb="FFFF0000"/>
      <name val="微软雅黑"/>
      <charset val="134"/>
    </font>
    <font>
      <b/>
      <sz val="12"/>
      <color rgb="FF000000"/>
      <name val="宋体"/>
      <charset val="134"/>
    </font>
    <font>
      <b/>
      <sz val="12"/>
      <color rgb="FF000000"/>
      <name val="Calibri"/>
      <charset val="134"/>
    </font>
    <font>
      <b/>
      <sz val="12"/>
      <color rgb="FFFF0000"/>
      <name val="宋体"/>
      <charset val="134"/>
    </font>
    <font>
      <b/>
      <sz val="12"/>
      <color rgb="FFFF0000"/>
      <name val="Calibri"/>
      <charset val="134"/>
    </font>
    <font>
      <sz val="12"/>
      <color rgb="FF000000"/>
      <name val="宋体"/>
      <charset val="134"/>
    </font>
    <font>
      <sz val="12"/>
      <color rgb="FF000000"/>
      <name val="Calibri"/>
      <charset val="134"/>
    </font>
    <font>
      <sz val="11"/>
      <color theme="1"/>
      <name val="微软雅黑"/>
      <charset val="134"/>
    </font>
    <font>
      <sz val="12"/>
      <color rgb="FF000000"/>
      <name val="微软雅黑"/>
      <charset val="134"/>
    </font>
    <font>
      <b/>
      <sz val="11"/>
      <color rgb="FF000000"/>
      <name val="微软雅黑"/>
      <charset val="134"/>
    </font>
    <font>
      <b/>
      <sz val="11"/>
      <color theme="1"/>
      <name val="微软雅黑"/>
      <charset val="134"/>
    </font>
    <font>
      <b/>
      <sz val="11"/>
      <color rgb="FFFF0000"/>
      <name val="微软雅黑"/>
      <charset val="134"/>
    </font>
    <font>
      <sz val="9"/>
      <color theme="1"/>
      <name val="微软雅黑"/>
      <charset val="134"/>
    </font>
    <font>
      <sz val="11"/>
      <color rgb="FF000000"/>
      <name val="微软雅黑"/>
      <charset val="134"/>
    </font>
    <font>
      <sz val="9"/>
      <name val="微软雅黑"/>
      <charset val="134"/>
    </font>
    <font>
      <b/>
      <sz val="12"/>
      <name val="宋体"/>
      <charset val="134"/>
    </font>
    <font>
      <b/>
      <sz val="10"/>
      <name val="微软雅黑"/>
      <charset val="134"/>
    </font>
    <font>
      <b/>
      <sz val="11"/>
      <color theme="1"/>
      <name val="等线"/>
      <charset val="134"/>
      <scheme val="minor"/>
    </font>
    <font>
      <b/>
      <sz val="10"/>
      <color rgb="FFFF0000"/>
      <name val="微软雅黑"/>
      <charset val="134"/>
    </font>
    <font>
      <b/>
      <i/>
      <sz val="11"/>
      <color theme="1"/>
      <name val="等线"/>
      <charset val="134"/>
      <scheme val="minor"/>
    </font>
    <font>
      <sz val="11"/>
      <name val="等线"/>
      <charset val="134"/>
      <scheme val="minor"/>
    </font>
    <font>
      <i/>
      <sz val="11"/>
      <name val="等线"/>
      <charset val="134"/>
      <scheme val="minor"/>
    </font>
    <font>
      <sz val="9"/>
      <color rgb="FFFF0000"/>
      <name val="微软雅黑"/>
      <charset val="134"/>
    </font>
    <font>
      <b/>
      <sz val="11"/>
      <color rgb="FFFF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宋体"/>
      <charset val="134"/>
    </font>
    <font>
      <sz val="12"/>
      <name val="宋体"/>
      <charset val="134"/>
    </font>
    <font>
      <b/>
      <sz val="9"/>
      <color theme="1"/>
      <name val="等线"/>
      <charset val="134"/>
      <scheme val="minor"/>
    </font>
    <font>
      <b/>
      <i/>
      <sz val="11"/>
      <color rgb="FFFF0000"/>
      <name val="等线"/>
      <charset val="134"/>
      <scheme val="minor"/>
    </font>
    <font>
      <b/>
      <sz val="9"/>
      <name val="宋体"/>
      <charset val="134"/>
    </font>
    <font>
      <sz val="9"/>
      <name val="宋体"/>
      <charset val="134"/>
    </font>
  </fonts>
  <fills count="46">
    <fill>
      <patternFill patternType="none"/>
    </fill>
    <fill>
      <patternFill patternType="gray125"/>
    </fill>
    <fill>
      <patternFill patternType="solid">
        <fgColor rgb="FF92D050"/>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rgb="FFFFC000"/>
        <bgColor indexed="64"/>
      </patternFill>
    </fill>
    <fill>
      <patternFill patternType="solid">
        <fgColor rgb="FFFFFF00"/>
        <bgColor rgb="FF000000"/>
      </patternFill>
    </fill>
    <fill>
      <patternFill patternType="solid">
        <fgColor rgb="FFACB9CA"/>
        <bgColor rgb="FF000000"/>
      </patternFill>
    </fill>
    <fill>
      <patternFill patternType="solid">
        <fgColor rgb="FFFFC000"/>
        <bgColor rgb="FF000000"/>
      </patternFill>
    </fill>
    <fill>
      <patternFill patternType="solid">
        <fgColor theme="9" tint="0.599993896298105"/>
        <bgColor rgb="FF000000"/>
      </patternFill>
    </fill>
    <fill>
      <patternFill patternType="solid">
        <fgColor rgb="FFFFFF00"/>
        <bgColor indexed="64"/>
      </patternFill>
    </fill>
    <fill>
      <patternFill patternType="solid">
        <fgColor theme="7" tint="0.799890133365886"/>
        <bgColor indexed="64"/>
      </patternFill>
    </fill>
    <fill>
      <patternFill patternType="solid">
        <fgColor theme="7" tint="0.799920651875362"/>
        <bgColor indexed="64"/>
      </patternFill>
    </fill>
    <fill>
      <patternFill patternType="solid">
        <fgColor indexed="44"/>
        <bgColor indexed="64"/>
      </patternFill>
    </fill>
    <fill>
      <patternFill patternType="solid">
        <fgColor theme="7"/>
        <bgColor indexed="64"/>
      </patternFill>
    </fill>
    <fill>
      <patternFill patternType="solid">
        <fgColor theme="7" tint="0.799951170384838"/>
        <bgColor indexed="64"/>
      </patternFill>
    </fill>
    <fill>
      <patternFill patternType="solid">
        <fgColor theme="5" tint="0.799920651875362"/>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right/>
      <top/>
      <bottom style="thin">
        <color auto="1"/>
      </bottom>
      <diagonal/>
    </border>
    <border>
      <left style="thin">
        <color auto="1"/>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bottom style="thin">
        <color auto="1"/>
      </bottom>
      <diagonal/>
    </border>
    <border>
      <left style="medium">
        <color auto="1"/>
      </left>
      <right style="medium">
        <color auto="1"/>
      </right>
      <top/>
      <bottom/>
      <diagonal/>
    </border>
    <border>
      <left style="medium">
        <color auto="1"/>
      </left>
      <right style="medium">
        <color auto="1"/>
      </right>
      <top style="double">
        <color auto="1"/>
      </top>
      <bottom style="double">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double">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double">
        <color auto="1"/>
      </bottom>
      <diagonal/>
    </border>
    <border>
      <left style="thin">
        <color auto="1"/>
      </left>
      <right style="thin">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18" borderId="27"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8" applyNumberFormat="0" applyFill="0" applyAlignment="0" applyProtection="0">
      <alignment vertical="center"/>
    </xf>
    <xf numFmtId="0" fontId="34" fillId="0" borderId="28" applyNumberFormat="0" applyFill="0" applyAlignment="0" applyProtection="0">
      <alignment vertical="center"/>
    </xf>
    <xf numFmtId="0" fontId="35" fillId="0" borderId="29" applyNumberFormat="0" applyFill="0" applyAlignment="0" applyProtection="0">
      <alignment vertical="center"/>
    </xf>
    <xf numFmtId="0" fontId="35" fillId="0" borderId="0" applyNumberFormat="0" applyFill="0" applyBorder="0" applyAlignment="0" applyProtection="0">
      <alignment vertical="center"/>
    </xf>
    <xf numFmtId="0" fontId="36" fillId="19" borderId="30" applyNumberFormat="0" applyAlignment="0" applyProtection="0">
      <alignment vertical="center"/>
    </xf>
    <xf numFmtId="0" fontId="37" fillId="20" borderId="31" applyNumberFormat="0" applyAlignment="0" applyProtection="0">
      <alignment vertical="center"/>
    </xf>
    <xf numFmtId="0" fontId="38" fillId="20" borderId="30" applyNumberFormat="0" applyAlignment="0" applyProtection="0">
      <alignment vertical="center"/>
    </xf>
    <xf numFmtId="0" fontId="39" fillId="21" borderId="32" applyNumberFormat="0" applyAlignment="0" applyProtection="0">
      <alignment vertical="center"/>
    </xf>
    <xf numFmtId="0" fontId="40" fillId="0" borderId="33" applyNumberFormat="0" applyFill="0" applyAlignment="0" applyProtection="0">
      <alignment vertical="center"/>
    </xf>
    <xf numFmtId="0" fontId="41" fillId="0" borderId="34" applyNumberFormat="0" applyFill="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5"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5" fillId="35" borderId="0" applyNumberFormat="0" applyBorder="0" applyAlignment="0" applyProtection="0">
      <alignment vertical="center"/>
    </xf>
    <xf numFmtId="0" fontId="45" fillId="14" borderId="0" applyNumberFormat="0" applyBorder="0" applyAlignment="0" applyProtection="0">
      <alignment vertical="center"/>
    </xf>
    <xf numFmtId="0" fontId="46" fillId="36" borderId="0" applyNumberFormat="0" applyBorder="0" applyAlignment="0" applyProtection="0">
      <alignment vertical="center"/>
    </xf>
    <xf numFmtId="0" fontId="46" fillId="4" borderId="0" applyNumberFormat="0" applyBorder="0" applyAlignment="0" applyProtection="0">
      <alignment vertical="center"/>
    </xf>
    <xf numFmtId="0" fontId="45" fillId="37" borderId="0" applyNumberFormat="0" applyBorder="0" applyAlignment="0" applyProtection="0">
      <alignment vertical="center"/>
    </xf>
    <xf numFmtId="0" fontId="45" fillId="38" borderId="0" applyNumberFormat="0" applyBorder="0" applyAlignment="0" applyProtection="0">
      <alignment vertical="center"/>
    </xf>
    <xf numFmtId="0" fontId="46" fillId="39" borderId="0" applyNumberFormat="0" applyBorder="0" applyAlignment="0" applyProtection="0">
      <alignment vertical="center"/>
    </xf>
    <xf numFmtId="0" fontId="46" fillId="40" borderId="0" applyNumberFormat="0" applyBorder="0" applyAlignment="0" applyProtection="0">
      <alignment vertical="center"/>
    </xf>
    <xf numFmtId="0" fontId="45" fillId="41" borderId="0" applyNumberFormat="0" applyBorder="0" applyAlignment="0" applyProtection="0">
      <alignment vertical="center"/>
    </xf>
    <xf numFmtId="0" fontId="45" fillId="42" borderId="0" applyNumberFormat="0" applyBorder="0" applyAlignment="0" applyProtection="0">
      <alignment vertical="center"/>
    </xf>
    <xf numFmtId="0" fontId="46" fillId="43" borderId="0" applyNumberFormat="0" applyBorder="0" applyAlignment="0" applyProtection="0">
      <alignment vertical="center"/>
    </xf>
    <xf numFmtId="0" fontId="46" fillId="44" borderId="0" applyNumberFormat="0" applyBorder="0" applyAlignment="0" applyProtection="0">
      <alignment vertical="center"/>
    </xf>
    <xf numFmtId="0" fontId="45" fillId="45" borderId="0" applyNumberFormat="0" applyBorder="0" applyAlignment="0" applyProtection="0">
      <alignment vertical="center"/>
    </xf>
    <xf numFmtId="0" fontId="47" fillId="0" borderId="0">
      <alignment vertical="center"/>
    </xf>
    <xf numFmtId="0" fontId="0" fillId="0" borderId="0">
      <alignment vertical="center"/>
    </xf>
    <xf numFmtId="0" fontId="48" fillId="0" borderId="0">
      <alignment vertical="center"/>
    </xf>
  </cellStyleXfs>
  <cellXfs count="238">
    <xf numFmtId="0" fontId="0" fillId="0" borderId="0" xfId="0"/>
    <xf numFmtId="0" fontId="1" fillId="0" borderId="0" xfId="0" applyFont="1" applyAlignment="1">
      <alignment horizontal="center" vertical="center"/>
    </xf>
    <xf numFmtId="0" fontId="1" fillId="0" borderId="0" xfId="0" applyFont="1"/>
    <xf numFmtId="0" fontId="1" fillId="0" borderId="0" xfId="0" applyFont="1" applyAlignment="1">
      <alignment horizontal="center"/>
    </xf>
    <xf numFmtId="0" fontId="1" fillId="2" borderId="0" xfId="0" applyFont="1" applyFill="1"/>
    <xf numFmtId="0" fontId="1" fillId="3" borderId="0" xfId="0" applyFont="1" applyFill="1"/>
    <xf numFmtId="0" fontId="1" fillId="4" borderId="0" xfId="0" applyFont="1" applyFill="1"/>
    <xf numFmtId="0" fontId="1" fillId="4" borderId="0" xfId="0" applyFont="1" applyFill="1" applyAlignment="1">
      <alignment horizontal="left"/>
    </xf>
    <xf numFmtId="0" fontId="1" fillId="4" borderId="0" xfId="0" applyFont="1" applyFill="1" applyAlignment="1">
      <alignment horizontal="right"/>
    </xf>
    <xf numFmtId="0" fontId="1" fillId="0" borderId="0" xfId="0" applyFont="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horizontal="right" vertical="center"/>
    </xf>
    <xf numFmtId="0" fontId="2" fillId="0" borderId="0" xfId="0" applyFont="1"/>
    <xf numFmtId="0" fontId="3" fillId="0" borderId="0" xfId="0" applyNumberFormat="1" applyFont="1" applyFill="1" applyBorder="1" applyAlignment="1">
      <alignment horizontal="left" vertical="center" wrapText="1"/>
    </xf>
    <xf numFmtId="0" fontId="4" fillId="0" borderId="0" xfId="0" applyFont="1"/>
    <xf numFmtId="176" fontId="3" fillId="0" borderId="0" xfId="0" applyNumberFormat="1" applyFont="1" applyFill="1" applyBorder="1" applyAlignment="1">
      <alignment horizontal="left" vertical="center"/>
    </xf>
    <xf numFmtId="0" fontId="1" fillId="0" borderId="0" xfId="0" applyFont="1" applyFill="1" applyBorder="1" applyAlignment="1">
      <alignment vertical="center"/>
    </xf>
    <xf numFmtId="0" fontId="0" fillId="0" borderId="0" xfId="0" applyFont="1" applyFill="1" applyAlignment="1"/>
    <xf numFmtId="0" fontId="0" fillId="0" borderId="0" xfId="0" applyAlignment="1">
      <alignment wrapText="1"/>
    </xf>
    <xf numFmtId="0" fontId="0" fillId="0" borderId="0" xfId="0" applyFill="1"/>
    <xf numFmtId="0" fontId="0" fillId="5" borderId="0" xfId="0" applyFill="1"/>
    <xf numFmtId="0" fontId="0" fillId="0" borderId="0" xfId="0" applyAlignment="1">
      <alignment horizontal="left"/>
    </xf>
    <xf numFmtId="0" fontId="5"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5" fillId="7" borderId="2" xfId="0" applyFont="1" applyFill="1" applyBorder="1" applyAlignment="1">
      <alignment horizontal="center" vertical="center" wrapText="1"/>
    </xf>
    <xf numFmtId="0" fontId="6" fillId="7" borderId="1" xfId="0" applyFont="1" applyFill="1" applyBorder="1" applyAlignment="1">
      <alignment horizontal="center" vertical="center" wrapText="1"/>
    </xf>
    <xf numFmtId="177" fontId="6" fillId="7" borderId="3" xfId="0" applyNumberFormat="1" applyFont="1" applyFill="1" applyBorder="1" applyAlignment="1">
      <alignment horizontal="center" vertical="center" wrapText="1"/>
    </xf>
    <xf numFmtId="178" fontId="6" fillId="7" borderId="3" xfId="0" applyNumberFormat="1" applyFont="1" applyFill="1" applyBorder="1" applyAlignment="1">
      <alignment horizontal="center" vertical="center" wrapText="1"/>
    </xf>
    <xf numFmtId="178" fontId="5" fillId="8" borderId="4" xfId="0" applyNumberFormat="1" applyFont="1" applyFill="1" applyBorder="1" applyAlignment="1">
      <alignment horizontal="center" vertical="center" wrapText="1"/>
    </xf>
    <xf numFmtId="178" fontId="6" fillId="8" borderId="3" xfId="0" applyNumberFormat="1" applyFont="1" applyFill="1" applyBorder="1" applyAlignment="1">
      <alignment horizontal="center" vertical="center" wrapText="1"/>
    </xf>
    <xf numFmtId="178" fontId="6" fillId="8" borderId="3" xfId="0" applyNumberFormat="1" applyFont="1" applyFill="1" applyBorder="1" applyAlignment="1">
      <alignment vertical="center" wrapText="1"/>
    </xf>
    <xf numFmtId="178" fontId="5" fillId="6" borderId="4" xfId="0" applyNumberFormat="1" applyFont="1" applyFill="1" applyBorder="1" applyAlignment="1">
      <alignment horizontal="center" vertical="center" wrapText="1"/>
    </xf>
    <xf numFmtId="178" fontId="6" fillId="6" borderId="3" xfId="0" applyNumberFormat="1" applyFont="1" applyFill="1" applyBorder="1" applyAlignment="1">
      <alignment horizontal="center" vertical="center" wrapText="1"/>
    </xf>
    <xf numFmtId="178" fontId="6" fillId="6" borderId="3" xfId="0" applyNumberFormat="1" applyFont="1" applyFill="1" applyBorder="1" applyAlignment="1">
      <alignment vertical="center" wrapText="1"/>
    </xf>
    <xf numFmtId="178" fontId="5" fillId="9" borderId="4" xfId="0" applyNumberFormat="1" applyFont="1" applyFill="1" applyBorder="1" applyAlignment="1">
      <alignment horizontal="center" vertical="center" wrapText="1"/>
    </xf>
    <xf numFmtId="178" fontId="6" fillId="9" borderId="3" xfId="0" applyNumberFormat="1" applyFont="1" applyFill="1" applyBorder="1" applyAlignment="1">
      <alignment horizontal="center" vertical="center" wrapText="1"/>
    </xf>
    <xf numFmtId="178" fontId="6" fillId="9" borderId="3" xfId="0" applyNumberFormat="1" applyFont="1" applyFill="1" applyBorder="1" applyAlignment="1">
      <alignment vertical="center" wrapText="1"/>
    </xf>
    <xf numFmtId="0" fontId="7" fillId="6" borderId="5" xfId="0" applyFont="1" applyFill="1" applyBorder="1" applyAlignment="1">
      <alignment horizontal="center" vertical="center" wrapText="1"/>
    </xf>
    <xf numFmtId="0" fontId="8" fillId="6" borderId="5" xfId="0" applyFont="1" applyFill="1" applyBorder="1" applyAlignment="1">
      <alignment horizontal="center" vertical="center" wrapText="1"/>
    </xf>
    <xf numFmtId="10" fontId="8" fillId="6" borderId="5" xfId="0" applyNumberFormat="1" applyFont="1" applyFill="1" applyBorder="1" applyAlignment="1">
      <alignment horizontal="center" vertical="center" wrapText="1"/>
    </xf>
    <xf numFmtId="10" fontId="7" fillId="6" borderId="5" xfId="0" applyNumberFormat="1" applyFont="1" applyFill="1" applyBorder="1" applyAlignment="1">
      <alignment horizontal="center" vertical="center" wrapText="1"/>
    </xf>
    <xf numFmtId="0" fontId="5" fillId="6" borderId="5" xfId="0" applyFont="1" applyFill="1" applyBorder="1" applyAlignment="1">
      <alignment horizontal="center" vertical="center" wrapText="1"/>
    </xf>
    <xf numFmtId="178" fontId="5" fillId="7" borderId="5" xfId="0" applyNumberFormat="1" applyFont="1" applyFill="1" applyBorder="1" applyAlignment="1">
      <alignment horizontal="center" vertical="center" wrapText="1"/>
    </xf>
    <xf numFmtId="178" fontId="7" fillId="7" borderId="5" xfId="0" applyNumberFormat="1" applyFont="1" applyFill="1" applyBorder="1" applyAlignment="1">
      <alignment horizontal="center" vertical="center" wrapText="1"/>
    </xf>
    <xf numFmtId="177" fontId="5" fillId="7" borderId="5" xfId="0" applyNumberFormat="1" applyFont="1" applyFill="1" applyBorder="1" applyAlignment="1">
      <alignment horizontal="center" vertical="center" wrapText="1"/>
    </xf>
    <xf numFmtId="178" fontId="6" fillId="7" borderId="5" xfId="0" applyNumberFormat="1" applyFont="1" applyFill="1" applyBorder="1" applyAlignment="1">
      <alignment horizontal="center" vertical="center" wrapText="1"/>
    </xf>
    <xf numFmtId="178" fontId="5" fillId="7" borderId="3" xfId="0" applyNumberFormat="1" applyFont="1" applyFill="1" applyBorder="1" applyAlignment="1">
      <alignment horizontal="center" vertical="center" wrapText="1"/>
    </xf>
    <xf numFmtId="178" fontId="5" fillId="8" borderId="5" xfId="0" applyNumberFormat="1" applyFont="1" applyFill="1" applyBorder="1" applyAlignment="1">
      <alignment horizontal="center" vertical="center" wrapText="1"/>
    </xf>
    <xf numFmtId="178" fontId="6" fillId="8" borderId="5" xfId="0" applyNumberFormat="1" applyFont="1" applyFill="1" applyBorder="1" applyAlignment="1">
      <alignment horizontal="center" vertical="center" wrapText="1"/>
    </xf>
    <xf numFmtId="178" fontId="5" fillId="6" borderId="5" xfId="0" applyNumberFormat="1" applyFont="1" applyFill="1" applyBorder="1" applyAlignment="1">
      <alignment horizontal="center" vertical="center" wrapText="1"/>
    </xf>
    <xf numFmtId="178" fontId="6" fillId="6" borderId="5" xfId="0" applyNumberFormat="1" applyFont="1" applyFill="1" applyBorder="1" applyAlignment="1">
      <alignment horizontal="center" vertical="center" wrapText="1"/>
    </xf>
    <xf numFmtId="178" fontId="5" fillId="9" borderId="5" xfId="0" applyNumberFormat="1" applyFont="1" applyFill="1" applyBorder="1" applyAlignment="1">
      <alignment horizontal="center" vertical="center" wrapText="1"/>
    </xf>
    <xf numFmtId="178" fontId="6" fillId="9" borderId="5" xfId="0" applyNumberFormat="1" applyFont="1" applyFill="1" applyBorder="1" applyAlignment="1">
      <alignment horizontal="center" vertical="center" wrapText="1"/>
    </xf>
    <xf numFmtId="0" fontId="9" fillId="0" borderId="5" xfId="0" applyFont="1" applyFill="1" applyBorder="1" applyAlignment="1">
      <alignment horizontal="left" vertical="center"/>
    </xf>
    <xf numFmtId="0" fontId="10" fillId="0" borderId="5" xfId="0" applyFont="1" applyFill="1" applyBorder="1" applyAlignment="1">
      <alignment horizontal="left" vertical="center"/>
    </xf>
    <xf numFmtId="0" fontId="11" fillId="0" borderId="5" xfId="0" applyFont="1" applyFill="1" applyBorder="1" applyAlignment="1">
      <alignment horizontal="left" vertical="center"/>
    </xf>
    <xf numFmtId="0" fontId="9" fillId="0" borderId="5" xfId="0" applyFont="1" applyFill="1" applyBorder="1" applyAlignment="1">
      <alignment horizontal="center" vertical="center"/>
    </xf>
    <xf numFmtId="9" fontId="10" fillId="0" borderId="5" xfId="3" applyNumberFormat="1" applyFont="1" applyFill="1" applyBorder="1" applyAlignment="1">
      <alignment vertical="center" wrapText="1"/>
    </xf>
    <xf numFmtId="9" fontId="10" fillId="0" borderId="5" xfId="3" applyNumberFormat="1" applyFont="1" applyFill="1" applyBorder="1" applyAlignment="1" applyProtection="1">
      <alignment horizontal="center" vertical="center" wrapText="1"/>
    </xf>
    <xf numFmtId="2" fontId="10" fillId="0" borderId="5" xfId="0" applyNumberFormat="1" applyFont="1" applyFill="1" applyBorder="1" applyAlignment="1">
      <alignment horizontal="center" vertical="center" wrapText="1"/>
    </xf>
    <xf numFmtId="2" fontId="9" fillId="0" borderId="5" xfId="0" applyNumberFormat="1" applyFont="1" applyFill="1" applyBorder="1" applyAlignment="1">
      <alignment horizontal="center" vertical="center" wrapText="1"/>
    </xf>
    <xf numFmtId="178" fontId="10" fillId="2" borderId="5" xfId="0" applyNumberFormat="1" applyFont="1" applyFill="1" applyBorder="1" applyAlignment="1">
      <alignment horizontal="center" vertical="center" wrapText="1"/>
    </xf>
    <xf numFmtId="177" fontId="10" fillId="2" borderId="5" xfId="0" applyNumberFormat="1" applyFont="1" applyFill="1" applyBorder="1" applyAlignment="1">
      <alignment horizontal="center" vertical="center" wrapText="1"/>
    </xf>
    <xf numFmtId="177" fontId="10" fillId="0" borderId="5" xfId="0" applyNumberFormat="1" applyFont="1" applyFill="1" applyBorder="1" applyAlignment="1">
      <alignment horizontal="center" vertical="center" wrapText="1"/>
    </xf>
    <xf numFmtId="1" fontId="10" fillId="0" borderId="5" xfId="0" applyNumberFormat="1" applyFont="1" applyFill="1" applyBorder="1" applyAlignment="1">
      <alignment horizontal="center" vertical="center" wrapText="1"/>
    </xf>
    <xf numFmtId="0" fontId="10" fillId="0" borderId="5" xfId="0" applyFont="1" applyFill="1" applyBorder="1" applyAlignment="1">
      <alignment horizontal="center" vertical="center" wrapText="1"/>
    </xf>
    <xf numFmtId="178" fontId="10" fillId="0" borderId="5" xfId="0" applyNumberFormat="1" applyFont="1" applyFill="1" applyBorder="1" applyAlignment="1">
      <alignment horizontal="center" vertical="center" wrapText="1"/>
    </xf>
    <xf numFmtId="9" fontId="10" fillId="0" borderId="5" xfId="3" applyFont="1" applyFill="1" applyBorder="1" applyAlignment="1">
      <alignment horizontal="center" vertical="center" wrapText="1"/>
    </xf>
    <xf numFmtId="179" fontId="10" fillId="0" borderId="5" xfId="0" applyNumberFormat="1" applyFont="1" applyFill="1" applyBorder="1" applyAlignment="1">
      <alignment horizontal="center" vertical="center" wrapText="1"/>
    </xf>
    <xf numFmtId="0" fontId="10" fillId="0" borderId="5" xfId="0" applyFont="1" applyFill="1" applyBorder="1" applyAlignment="1">
      <alignment horizontal="center" vertical="center"/>
    </xf>
    <xf numFmtId="0" fontId="10" fillId="5" borderId="0" xfId="0" applyFont="1" applyFill="1" applyAlignment="1">
      <alignment horizontal="left" vertical="center"/>
    </xf>
    <xf numFmtId="0" fontId="10" fillId="5" borderId="0" xfId="0" applyFont="1" applyFill="1" applyAlignment="1">
      <alignment horizontal="center" vertical="center"/>
    </xf>
    <xf numFmtId="9" fontId="10" fillId="5" borderId="0" xfId="3" applyFont="1" applyFill="1" applyAlignment="1">
      <alignment vertical="center" wrapText="1"/>
    </xf>
    <xf numFmtId="9" fontId="10" fillId="5" borderId="0" xfId="3" applyNumberFormat="1" applyFont="1" applyFill="1" applyAlignment="1">
      <alignment vertical="center" wrapText="1"/>
    </xf>
    <xf numFmtId="9" fontId="10" fillId="5" borderId="0" xfId="3" applyNumberFormat="1" applyFont="1" applyFill="1" applyAlignment="1" applyProtection="1">
      <alignment horizontal="center" vertical="center" wrapText="1"/>
    </xf>
    <xf numFmtId="2" fontId="10" fillId="5" borderId="0" xfId="0" applyNumberFormat="1" applyFont="1" applyFill="1" applyAlignment="1">
      <alignment horizontal="center" vertical="center" wrapText="1"/>
    </xf>
    <xf numFmtId="2" fontId="9" fillId="5" borderId="0" xfId="0" applyNumberFormat="1" applyFont="1" applyFill="1" applyAlignment="1">
      <alignment horizontal="center" vertical="center" wrapText="1"/>
    </xf>
    <xf numFmtId="178" fontId="10" fillId="5" borderId="0" xfId="0" applyNumberFormat="1" applyFont="1" applyFill="1" applyAlignment="1">
      <alignment horizontal="center" vertical="center" wrapText="1"/>
    </xf>
    <xf numFmtId="177" fontId="10" fillId="5" borderId="0" xfId="0" applyNumberFormat="1" applyFont="1" applyFill="1" applyAlignment="1">
      <alignment horizontal="center" vertical="center" wrapText="1"/>
    </xf>
    <xf numFmtId="0" fontId="10" fillId="5" borderId="0" xfId="0" applyFont="1" applyFill="1" applyAlignment="1">
      <alignment horizontal="center" vertical="center" wrapText="1"/>
    </xf>
    <xf numFmtId="0" fontId="12" fillId="0" borderId="0" xfId="0" applyFont="1" applyFill="1" applyAlignment="1">
      <alignment horizontal="left" vertical="center"/>
    </xf>
    <xf numFmtId="0" fontId="10" fillId="0" borderId="0" xfId="0" applyFont="1" applyFill="1" applyAlignment="1">
      <alignment horizontal="left" vertical="center"/>
    </xf>
    <xf numFmtId="0" fontId="10" fillId="0" borderId="0" xfId="0" applyFont="1" applyFill="1" applyAlignment="1">
      <alignment horizontal="center" vertical="center"/>
    </xf>
    <xf numFmtId="9" fontId="10" fillId="0" borderId="0" xfId="3" applyFont="1" applyFill="1" applyAlignment="1">
      <alignment vertical="center" wrapText="1"/>
    </xf>
    <xf numFmtId="9" fontId="10" fillId="0" borderId="0" xfId="3" applyNumberFormat="1" applyFont="1" applyFill="1" applyAlignment="1">
      <alignment vertical="center" wrapText="1"/>
    </xf>
    <xf numFmtId="9" fontId="10" fillId="0" borderId="0" xfId="3" applyNumberFormat="1" applyFont="1" applyFill="1" applyAlignment="1" applyProtection="1">
      <alignment horizontal="center" vertical="center" wrapText="1"/>
    </xf>
    <xf numFmtId="2" fontId="10" fillId="0" borderId="0" xfId="0" applyNumberFormat="1" applyFont="1" applyFill="1" applyAlignment="1">
      <alignment horizontal="center" vertical="center" wrapText="1"/>
    </xf>
    <xf numFmtId="2" fontId="9" fillId="0" borderId="0" xfId="0" applyNumberFormat="1" applyFont="1" applyFill="1" applyAlignment="1">
      <alignment horizontal="center" vertical="center" wrapText="1"/>
    </xf>
    <xf numFmtId="178" fontId="10" fillId="0" borderId="0" xfId="0" applyNumberFormat="1" applyFont="1" applyFill="1" applyAlignment="1">
      <alignment horizontal="center" vertical="center" wrapText="1"/>
    </xf>
    <xf numFmtId="177" fontId="10" fillId="0" borderId="0" xfId="0" applyNumberFormat="1" applyFont="1" applyFill="1" applyAlignment="1">
      <alignment horizontal="center" vertical="center" wrapText="1"/>
    </xf>
    <xf numFmtId="1" fontId="10" fillId="0" borderId="0" xfId="0" applyNumberFormat="1" applyFont="1" applyFill="1" applyAlignment="1">
      <alignment horizontal="center" vertical="center" wrapText="1"/>
    </xf>
    <xf numFmtId="0" fontId="10" fillId="0" borderId="0" xfId="0" applyFont="1" applyFill="1" applyAlignment="1">
      <alignment horizontal="center" vertical="center" wrapText="1"/>
    </xf>
    <xf numFmtId="9" fontId="10" fillId="0" borderId="0" xfId="3" applyFont="1" applyFill="1" applyAlignment="1">
      <alignment horizontal="center" vertical="center" wrapText="1"/>
    </xf>
    <xf numFmtId="177" fontId="6" fillId="0" borderId="0" xfId="0" applyNumberFormat="1" applyFont="1" applyFill="1" applyAlignment="1">
      <alignment horizontal="center" vertical="center" wrapText="1"/>
    </xf>
    <xf numFmtId="0" fontId="13" fillId="2" borderId="5" xfId="0" applyFont="1" applyFill="1" applyBorder="1" applyAlignment="1">
      <alignment horizontal="left" vertical="center" wrapText="1"/>
    </xf>
    <xf numFmtId="0" fontId="14" fillId="2" borderId="5" xfId="0" applyFont="1" applyFill="1" applyBorder="1" applyAlignment="1">
      <alignment horizontal="left" vertical="center" wrapText="1"/>
    </xf>
    <xf numFmtId="10" fontId="13" fillId="2" borderId="5" xfId="0" applyNumberFormat="1" applyFont="1" applyFill="1" applyBorder="1" applyAlignment="1">
      <alignment horizontal="left" vertical="center" wrapText="1"/>
    </xf>
    <xf numFmtId="178" fontId="13" fillId="2" borderId="5" xfId="0" applyNumberFormat="1" applyFont="1" applyFill="1" applyBorder="1" applyAlignment="1">
      <alignment horizontal="left" vertical="center" wrapText="1"/>
    </xf>
    <xf numFmtId="0" fontId="15" fillId="2" borderId="5" xfId="0" applyFont="1" applyFill="1" applyBorder="1" applyAlignment="1">
      <alignment horizontal="left" vertical="center" wrapText="1"/>
    </xf>
    <xf numFmtId="0" fontId="16" fillId="2" borderId="5" xfId="0" applyFont="1" applyFill="1" applyBorder="1" applyAlignment="1">
      <alignment horizontal="left" vertical="center"/>
    </xf>
    <xf numFmtId="0" fontId="11" fillId="2" borderId="5" xfId="0" applyFont="1" applyFill="1" applyBorder="1" applyAlignment="1">
      <alignment horizontal="left" vertical="center"/>
    </xf>
    <xf numFmtId="178" fontId="11" fillId="2" borderId="5" xfId="0" applyNumberFormat="1" applyFont="1" applyFill="1" applyBorder="1" applyAlignment="1">
      <alignment horizontal="left" vertical="center"/>
    </xf>
    <xf numFmtId="178" fontId="15" fillId="2" borderId="5" xfId="0" applyNumberFormat="1" applyFont="1" applyFill="1" applyBorder="1" applyAlignment="1">
      <alignment horizontal="left" vertical="center"/>
    </xf>
    <xf numFmtId="10" fontId="17" fillId="2" borderId="5" xfId="0" applyNumberFormat="1" applyFont="1" applyFill="1" applyBorder="1" applyAlignment="1">
      <alignment horizontal="left" vertical="center" wrapText="1"/>
    </xf>
    <xf numFmtId="9" fontId="11" fillId="2" borderId="5" xfId="0" applyNumberFormat="1" applyFont="1" applyFill="1" applyBorder="1" applyAlignment="1">
      <alignment horizontal="left" vertical="center"/>
    </xf>
    <xf numFmtId="10" fontId="11" fillId="2" borderId="5" xfId="0" applyNumberFormat="1" applyFont="1" applyFill="1" applyBorder="1" applyAlignment="1">
      <alignment horizontal="left" vertical="center"/>
    </xf>
    <xf numFmtId="0" fontId="16" fillId="2" borderId="0" xfId="0" applyFont="1" applyFill="1" applyBorder="1" applyAlignment="1">
      <alignment horizontal="left" vertical="center"/>
    </xf>
    <xf numFmtId="0" fontId="11" fillId="2" borderId="0" xfId="0" applyFont="1" applyFill="1" applyBorder="1" applyAlignment="1">
      <alignment horizontal="left" vertical="center"/>
    </xf>
    <xf numFmtId="178" fontId="11" fillId="2" borderId="0" xfId="0" applyNumberFormat="1" applyFont="1" applyFill="1" applyBorder="1" applyAlignment="1">
      <alignment horizontal="left" vertical="center"/>
    </xf>
    <xf numFmtId="178" fontId="15" fillId="2" borderId="0" xfId="0" applyNumberFormat="1" applyFont="1" applyFill="1" applyBorder="1" applyAlignment="1">
      <alignment horizontal="left" vertical="center"/>
    </xf>
    <xf numFmtId="10" fontId="17" fillId="2" borderId="0" xfId="0" applyNumberFormat="1" applyFont="1" applyFill="1" applyBorder="1" applyAlignment="1">
      <alignment horizontal="left" vertical="center" wrapText="1"/>
    </xf>
    <xf numFmtId="9" fontId="11" fillId="2" borderId="0" xfId="0" applyNumberFormat="1" applyFont="1" applyFill="1" applyBorder="1" applyAlignment="1">
      <alignment horizontal="left" vertical="center"/>
    </xf>
    <xf numFmtId="10" fontId="11" fillId="2" borderId="0" xfId="0" applyNumberFormat="1" applyFont="1" applyFill="1" applyBorder="1" applyAlignment="1">
      <alignment horizontal="left" vertical="center"/>
    </xf>
    <xf numFmtId="0" fontId="0" fillId="0" borderId="0" xfId="0" applyFont="1"/>
    <xf numFmtId="0" fontId="18" fillId="10" borderId="5" xfId="0" applyFont="1" applyFill="1" applyBorder="1" applyAlignment="1">
      <alignment horizontal="center" vertical="center"/>
    </xf>
    <xf numFmtId="178" fontId="19" fillId="7" borderId="5" xfId="0" applyNumberFormat="1" applyFont="1" applyFill="1" applyBorder="1" applyAlignment="1">
      <alignment horizontal="center" vertical="center" wrapText="1"/>
    </xf>
    <xf numFmtId="178" fontId="5" fillId="0" borderId="0" xfId="0" applyNumberFormat="1" applyFont="1" applyFill="1" applyBorder="1" applyAlignment="1">
      <alignment horizontal="center" vertical="center" wrapText="1"/>
    </xf>
    <xf numFmtId="0" fontId="16" fillId="11" borderId="5" xfId="50" applyFont="1" applyFill="1" applyBorder="1" applyAlignment="1">
      <alignment horizontal="center" vertical="center"/>
    </xf>
    <xf numFmtId="0" fontId="16" fillId="11" borderId="5" xfId="50" applyFont="1" applyFill="1" applyBorder="1" applyAlignment="1">
      <alignment horizontal="left" vertical="center"/>
    </xf>
    <xf numFmtId="177" fontId="16" fillId="11" borderId="5" xfId="50" applyNumberFormat="1" applyFont="1" applyFill="1" applyBorder="1" applyAlignment="1">
      <alignment horizontal="left" vertical="center"/>
    </xf>
    <xf numFmtId="1" fontId="16" fillId="11" borderId="5" xfId="50" applyNumberFormat="1" applyFont="1" applyFill="1" applyBorder="1" applyAlignment="1">
      <alignment horizontal="left" vertical="center"/>
    </xf>
    <xf numFmtId="178" fontId="16" fillId="11" borderId="5" xfId="50" applyNumberFormat="1" applyFont="1" applyFill="1" applyBorder="1" applyAlignment="1">
      <alignment horizontal="left" vertical="center"/>
    </xf>
    <xf numFmtId="9" fontId="16" fillId="11" borderId="5" xfId="50" applyNumberFormat="1" applyFont="1" applyFill="1" applyBorder="1" applyAlignment="1">
      <alignment horizontal="left" vertical="center"/>
    </xf>
    <xf numFmtId="9" fontId="16" fillId="11" borderId="4" xfId="50" applyNumberFormat="1" applyFont="1" applyFill="1" applyBorder="1" applyAlignment="1">
      <alignment horizontal="left" vertical="center"/>
    </xf>
    <xf numFmtId="177" fontId="0" fillId="0" borderId="5" xfId="0" applyNumberFormat="1" applyBorder="1"/>
    <xf numFmtId="177" fontId="16" fillId="0" borderId="0" xfId="50" applyNumberFormat="1" applyFont="1" applyFill="1" applyBorder="1" applyAlignment="1">
      <alignment horizontal="left" vertical="center"/>
    </xf>
    <xf numFmtId="177" fontId="0" fillId="0" borderId="0" xfId="0" applyNumberFormat="1" applyFill="1" applyBorder="1"/>
    <xf numFmtId="0" fontId="16" fillId="0" borderId="0" xfId="50" applyFont="1" applyFill="1" applyBorder="1" applyAlignment="1">
      <alignment horizontal="left" vertical="center"/>
    </xf>
    <xf numFmtId="0" fontId="0" fillId="0" borderId="0" xfId="0" applyAlignment="1">
      <alignment horizontal="center" vertical="center" wrapText="1"/>
    </xf>
    <xf numFmtId="0" fontId="0" fillId="0" borderId="0" xfId="0" applyAlignment="1">
      <alignment vertical="center"/>
    </xf>
    <xf numFmtId="180" fontId="0" fillId="0" borderId="0" xfId="0" applyNumberFormat="1" applyAlignment="1">
      <alignment vertical="center"/>
    </xf>
    <xf numFmtId="180" fontId="0" fillId="0" borderId="0" xfId="0" applyNumberFormat="1"/>
    <xf numFmtId="181" fontId="0" fillId="0" borderId="0" xfId="0" applyNumberFormat="1"/>
    <xf numFmtId="182" fontId="0" fillId="0" borderId="0" xfId="3" applyNumberFormat="1" applyFont="1" applyAlignment="1"/>
    <xf numFmtId="0" fontId="0" fillId="12" borderId="0" xfId="0" applyFont="1" applyFill="1" applyAlignment="1">
      <alignment horizontal="left" vertical="top" wrapText="1"/>
    </xf>
    <xf numFmtId="0" fontId="0" fillId="0" borderId="0" xfId="0" applyFont="1" applyAlignment="1">
      <alignment vertical="top" wrapText="1"/>
    </xf>
    <xf numFmtId="0" fontId="0" fillId="12" borderId="1" xfId="0" applyFont="1" applyFill="1" applyBorder="1" applyAlignment="1">
      <alignment horizontal="left" vertical="top" wrapText="1"/>
    </xf>
    <xf numFmtId="0" fontId="0" fillId="0" borderId="1" xfId="0" applyFont="1" applyBorder="1" applyAlignment="1">
      <alignment vertical="top" wrapText="1"/>
    </xf>
    <xf numFmtId="0" fontId="20" fillId="13" borderId="5" xfId="51" applyFont="1" applyFill="1" applyBorder="1" applyAlignment="1">
      <alignment horizontal="center" vertical="center" wrapText="1"/>
    </xf>
    <xf numFmtId="0" fontId="20" fillId="12" borderId="5" xfId="51" applyFont="1" applyFill="1" applyBorder="1" applyAlignment="1">
      <alignment horizontal="center" vertical="center" wrapText="1"/>
    </xf>
    <xf numFmtId="181" fontId="20" fillId="12" borderId="5" xfId="51" applyNumberFormat="1" applyFont="1" applyFill="1" applyBorder="1" applyAlignment="1">
      <alignment horizontal="center" vertical="center" wrapText="1"/>
    </xf>
    <xf numFmtId="0" fontId="21" fillId="14" borderId="5" xfId="0" applyFont="1" applyFill="1" applyBorder="1" applyAlignment="1">
      <alignment horizontal="center" vertical="center" wrapText="1"/>
    </xf>
    <xf numFmtId="0" fontId="22" fillId="12" borderId="5" xfId="51" applyFont="1" applyFill="1" applyBorder="1" applyAlignment="1">
      <alignment horizontal="center" vertical="center" wrapText="1"/>
    </xf>
    <xf numFmtId="0" fontId="22" fillId="12" borderId="6" xfId="51" applyFont="1" applyFill="1" applyBorder="1" applyAlignment="1">
      <alignment horizontal="center" vertical="center" wrapText="1"/>
    </xf>
    <xf numFmtId="0" fontId="20" fillId="13" borderId="6" xfId="51" applyFont="1" applyFill="1" applyBorder="1" applyAlignment="1">
      <alignment horizontal="center" vertical="center" wrapText="1"/>
    </xf>
    <xf numFmtId="0" fontId="20" fillId="12" borderId="6" xfId="51" applyFont="1" applyFill="1" applyBorder="1" applyAlignment="1">
      <alignment horizontal="center" vertical="center" wrapText="1"/>
    </xf>
    <xf numFmtId="181" fontId="20" fillId="12" borderId="6" xfId="51" applyNumberFormat="1" applyFont="1" applyFill="1" applyBorder="1" applyAlignment="1">
      <alignment horizontal="center" vertical="center" wrapText="1"/>
    </xf>
    <xf numFmtId="0" fontId="23" fillId="12" borderId="6" xfId="0" applyFont="1" applyFill="1" applyBorder="1" applyAlignment="1">
      <alignment horizontal="center" vertical="center" wrapText="1"/>
    </xf>
    <xf numFmtId="182" fontId="23" fillId="12" borderId="6" xfId="3" applyNumberFormat="1" applyFont="1" applyFill="1" applyBorder="1" applyAlignment="1">
      <alignment horizontal="center" vertical="center" wrapText="1"/>
    </xf>
    <xf numFmtId="0" fontId="22" fillId="12" borderId="7" xfId="51" applyFont="1" applyFill="1" applyBorder="1" applyAlignment="1">
      <alignment horizontal="center" vertical="center" wrapText="1"/>
    </xf>
    <xf numFmtId="0" fontId="16" fillId="0" borderId="8"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10" xfId="0" applyFont="1" applyBorder="1" applyAlignment="1">
      <alignment horizontal="center" vertical="center" wrapText="1"/>
    </xf>
    <xf numFmtId="9" fontId="16" fillId="0" borderId="10" xfId="0" applyNumberFormat="1" applyFont="1" applyBorder="1" applyAlignment="1">
      <alignment horizontal="center" vertical="center" wrapText="1"/>
    </xf>
    <xf numFmtId="1" fontId="16" fillId="0" borderId="10" xfId="0" applyNumberFormat="1" applyFont="1" applyBorder="1" applyAlignment="1">
      <alignment horizontal="center" vertical="center" wrapText="1"/>
    </xf>
    <xf numFmtId="181" fontId="0" fillId="0" borderId="9" xfId="0" applyNumberFormat="1" applyBorder="1" applyAlignment="1">
      <alignment horizontal="center" vertical="center"/>
    </xf>
    <xf numFmtId="180" fontId="0" fillId="0" borderId="9" xfId="0" applyNumberFormat="1" applyBorder="1" applyAlignment="1">
      <alignment horizontal="center" vertical="center"/>
    </xf>
    <xf numFmtId="9" fontId="0" fillId="0" borderId="9" xfId="3" applyFont="1" applyBorder="1" applyAlignment="1">
      <alignment horizontal="center" vertical="center"/>
    </xf>
    <xf numFmtId="180" fontId="24" fillId="0" borderId="9" xfId="0" applyNumberFormat="1" applyFont="1" applyBorder="1"/>
    <xf numFmtId="181" fontId="24" fillId="0" borderId="9" xfId="0" applyNumberFormat="1" applyFont="1" applyBorder="1"/>
    <xf numFmtId="0" fontId="25" fillId="12" borderId="10" xfId="0" applyFont="1" applyFill="1" applyBorder="1"/>
    <xf numFmtId="182" fontId="25" fillId="15" borderId="10" xfId="3" applyNumberFormat="1" applyFont="1" applyFill="1" applyBorder="1" applyAlignment="1"/>
    <xf numFmtId="0" fontId="0" fillId="0" borderId="11" xfId="0" applyFont="1" applyBorder="1" applyAlignment="1">
      <alignment horizontal="left" vertical="center" wrapText="1"/>
    </xf>
    <xf numFmtId="0" fontId="0" fillId="0" borderId="12" xfId="0" applyBorder="1" applyAlignment="1">
      <alignment horizontal="center" vertical="center" wrapText="1"/>
    </xf>
    <xf numFmtId="0" fontId="0" fillId="0" borderId="13" xfId="0" applyFont="1" applyBorder="1" applyAlignment="1">
      <alignment horizontal="left" vertical="top" wrapText="1"/>
    </xf>
    <xf numFmtId="0" fontId="0" fillId="0" borderId="13" xfId="0" applyBorder="1" applyAlignment="1">
      <alignment horizontal="center" vertical="center"/>
    </xf>
    <xf numFmtId="0" fontId="16" fillId="0" borderId="14" xfId="0" applyFont="1" applyBorder="1" applyAlignment="1">
      <alignment horizontal="center" vertical="center" wrapText="1"/>
    </xf>
    <xf numFmtId="0" fontId="16" fillId="0" borderId="5" xfId="0" applyFont="1" applyBorder="1" applyAlignment="1">
      <alignment horizontal="center" vertical="center" wrapText="1"/>
    </xf>
    <xf numFmtId="9" fontId="16" fillId="0" borderId="5" xfId="0" applyNumberFormat="1" applyFont="1" applyBorder="1" applyAlignment="1">
      <alignment horizontal="center" vertical="center" wrapText="1"/>
    </xf>
    <xf numFmtId="1" fontId="16" fillId="0" borderId="5" xfId="0" applyNumberFormat="1" applyFont="1" applyBorder="1" applyAlignment="1">
      <alignment horizontal="center" vertical="center" wrapText="1"/>
    </xf>
    <xf numFmtId="181" fontId="0" fillId="0" borderId="5" xfId="0" applyNumberFormat="1" applyBorder="1" applyAlignment="1">
      <alignment horizontal="center" vertical="center"/>
    </xf>
    <xf numFmtId="180" fontId="0" fillId="0" borderId="5" xfId="0" applyNumberFormat="1" applyBorder="1" applyAlignment="1">
      <alignment horizontal="center" vertical="center"/>
    </xf>
    <xf numFmtId="9" fontId="0" fillId="0" borderId="5" xfId="3" applyFont="1" applyBorder="1" applyAlignment="1">
      <alignment horizontal="center" vertical="center"/>
    </xf>
    <xf numFmtId="180" fontId="0" fillId="0" borderId="5" xfId="0" applyNumberFormat="1" applyBorder="1"/>
    <xf numFmtId="181" fontId="0" fillId="0" borderId="5" xfId="0" applyNumberFormat="1" applyBorder="1"/>
    <xf numFmtId="0" fontId="0" fillId="0" borderId="15" xfId="0" applyBorder="1" applyAlignment="1">
      <alignment horizontal="left" vertical="center" wrapText="1"/>
    </xf>
    <xf numFmtId="0" fontId="0" fillId="0" borderId="13" xfId="0" applyBorder="1" applyAlignment="1">
      <alignment horizontal="left" vertical="top" wrapText="1"/>
    </xf>
    <xf numFmtId="0" fontId="16" fillId="0" borderId="16" xfId="0" applyFont="1" applyBorder="1" applyAlignment="1">
      <alignment horizontal="center" vertical="center" wrapText="1"/>
    </xf>
    <xf numFmtId="0" fontId="16" fillId="0" borderId="17" xfId="0" applyFont="1" applyBorder="1" applyAlignment="1">
      <alignment horizontal="center" vertical="center" wrapText="1"/>
    </xf>
    <xf numFmtId="9" fontId="16" fillId="0" borderId="17" xfId="0" applyNumberFormat="1" applyFont="1" applyBorder="1" applyAlignment="1">
      <alignment horizontal="center" vertical="center" wrapText="1"/>
    </xf>
    <xf numFmtId="1" fontId="16" fillId="0" borderId="17" xfId="0" applyNumberFormat="1" applyFont="1" applyBorder="1" applyAlignment="1">
      <alignment horizontal="center" vertical="center" wrapText="1"/>
    </xf>
    <xf numFmtId="181" fontId="0" fillId="0" borderId="17" xfId="0" applyNumberFormat="1" applyBorder="1" applyAlignment="1">
      <alignment horizontal="center" vertical="center"/>
    </xf>
    <xf numFmtId="180" fontId="0" fillId="0" borderId="17" xfId="0" applyNumberFormat="1" applyBorder="1" applyAlignment="1">
      <alignment horizontal="center" vertical="center"/>
    </xf>
    <xf numFmtId="9" fontId="0" fillId="0" borderId="17" xfId="3" applyFont="1" applyBorder="1" applyAlignment="1">
      <alignment horizontal="center" vertical="center"/>
    </xf>
    <xf numFmtId="180" fontId="0" fillId="0" borderId="17" xfId="0" applyNumberFormat="1" applyBorder="1"/>
    <xf numFmtId="181" fontId="0" fillId="0" borderId="17" xfId="0" applyNumberFormat="1" applyBorder="1"/>
    <xf numFmtId="0" fontId="0" fillId="0" borderId="18" xfId="0" applyBorder="1" applyAlignment="1">
      <alignment horizontal="left" vertical="center" wrapText="1"/>
    </xf>
    <xf numFmtId="0" fontId="0" fillId="0" borderId="19" xfId="0" applyBorder="1" applyAlignment="1">
      <alignment horizontal="center" vertical="center"/>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181" fontId="0" fillId="0" borderId="10" xfId="0" applyNumberFormat="1" applyBorder="1" applyAlignment="1">
      <alignment horizontal="center" vertical="center"/>
    </xf>
    <xf numFmtId="180" fontId="0" fillId="0" borderId="10" xfId="0" applyNumberFormat="1" applyBorder="1" applyAlignment="1">
      <alignment horizontal="center" vertical="center"/>
    </xf>
    <xf numFmtId="9" fontId="0" fillId="0" borderId="10" xfId="3" applyFont="1" applyBorder="1" applyAlignment="1">
      <alignment horizontal="center" vertical="center"/>
    </xf>
    <xf numFmtId="180" fontId="0" fillId="0" borderId="10" xfId="0" applyNumberFormat="1" applyBorder="1"/>
    <xf numFmtId="181" fontId="0" fillId="0" borderId="10" xfId="0" applyNumberFormat="1" applyBorder="1"/>
    <xf numFmtId="0" fontId="0" fillId="0" borderId="22" xfId="0" applyFont="1" applyBorder="1" applyAlignment="1">
      <alignment horizontal="left" vertical="center" wrapText="1"/>
    </xf>
    <xf numFmtId="0" fontId="0" fillId="0" borderId="23" xfId="0" applyBorder="1" applyAlignment="1">
      <alignment horizontal="center" vertical="center" wrapText="1"/>
    </xf>
    <xf numFmtId="0" fontId="16" fillId="0" borderId="7" xfId="0" applyFont="1" applyBorder="1" applyAlignment="1">
      <alignment horizontal="center" vertical="center" wrapText="1"/>
    </xf>
    <xf numFmtId="0" fontId="16" fillId="0" borderId="24" xfId="0" applyFont="1" applyBorder="1" applyAlignment="1">
      <alignment horizontal="center" vertical="center" wrapText="1"/>
    </xf>
    <xf numFmtId="180" fontId="24" fillId="0" borderId="10" xfId="0" applyNumberFormat="1" applyFont="1" applyBorder="1"/>
    <xf numFmtId="181" fontId="24" fillId="0" borderId="10" xfId="0" applyNumberFormat="1" applyFont="1" applyBorder="1"/>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19" xfId="0" applyBorder="1" applyAlignment="1">
      <alignment horizontal="left" vertical="top" wrapText="1"/>
    </xf>
    <xf numFmtId="9" fontId="0" fillId="0" borderId="0" xfId="3" applyFont="1" applyAlignment="1">
      <alignment vertical="center"/>
    </xf>
    <xf numFmtId="0" fontId="22" fillId="13" borderId="6" xfId="51" applyFont="1" applyFill="1" applyBorder="1" applyAlignment="1">
      <alignment horizontal="center" vertical="center" wrapText="1"/>
    </xf>
    <xf numFmtId="0" fontId="22" fillId="13" borderId="5" xfId="51" applyFont="1" applyFill="1" applyBorder="1" applyAlignment="1">
      <alignment horizontal="center" vertical="center" wrapText="1"/>
    </xf>
    <xf numFmtId="0" fontId="20" fillId="13" borderId="7" xfId="51" applyFont="1" applyFill="1" applyBorder="1" applyAlignment="1">
      <alignment horizontal="center" vertical="center" wrapText="1"/>
    </xf>
    <xf numFmtId="0" fontId="22" fillId="13" borderId="2" xfId="51" applyFont="1" applyFill="1" applyBorder="1" applyAlignment="1">
      <alignment horizontal="center" vertical="center" wrapText="1"/>
    </xf>
    <xf numFmtId="0" fontId="22" fillId="13" borderId="1" xfId="51" applyFont="1" applyFill="1" applyBorder="1" applyAlignment="1">
      <alignment horizontal="center" vertical="center" wrapText="1"/>
    </xf>
    <xf numFmtId="0" fontId="20" fillId="13" borderId="9" xfId="51" applyFont="1" applyFill="1" applyBorder="1" applyAlignment="1">
      <alignment horizontal="center" vertical="center" wrapText="1"/>
    </xf>
    <xf numFmtId="0" fontId="22" fillId="13" borderId="9" xfId="51" applyFont="1" applyFill="1" applyBorder="1" applyAlignment="1">
      <alignment horizontal="center" vertical="center" wrapText="1"/>
    </xf>
    <xf numFmtId="10" fontId="22" fillId="13" borderId="5" xfId="51" applyNumberFormat="1" applyFont="1" applyFill="1" applyBorder="1" applyAlignment="1">
      <alignment horizontal="center" vertical="center" wrapText="1"/>
    </xf>
    <xf numFmtId="9" fontId="22" fillId="13" borderId="5" xfId="3" applyFont="1" applyFill="1" applyBorder="1" applyAlignment="1">
      <alignment horizontal="center" vertical="center" wrapText="1"/>
    </xf>
    <xf numFmtId="0" fontId="16" fillId="0" borderId="5" xfId="0" applyFont="1" applyBorder="1" applyAlignment="1">
      <alignment vertical="center" wrapText="1"/>
    </xf>
    <xf numFmtId="181" fontId="16" fillId="0" borderId="5" xfId="0" applyNumberFormat="1" applyFont="1" applyBorder="1" applyAlignment="1">
      <alignment vertical="center" wrapText="1"/>
    </xf>
    <xf numFmtId="0" fontId="16" fillId="0" borderId="5" xfId="0" applyFont="1" applyFill="1" applyBorder="1" applyAlignment="1">
      <alignment horizontal="left" vertical="center" wrapText="1"/>
    </xf>
    <xf numFmtId="0" fontId="16" fillId="0" borderId="5" xfId="0" applyFont="1" applyFill="1" applyBorder="1" applyAlignment="1">
      <alignment vertical="center" wrapText="1"/>
    </xf>
    <xf numFmtId="178" fontId="16" fillId="0" borderId="5" xfId="0" applyNumberFormat="1" applyFont="1" applyBorder="1" applyAlignment="1">
      <alignment horizontal="center" vertical="center" wrapText="1"/>
    </xf>
    <xf numFmtId="181" fontId="16" fillId="0" borderId="5" xfId="0" applyNumberFormat="1" applyFont="1" applyBorder="1" applyAlignment="1">
      <alignment horizontal="center" vertical="center" wrapText="1"/>
    </xf>
    <xf numFmtId="10" fontId="16" fillId="0" borderId="5" xfId="0" applyNumberFormat="1" applyFont="1" applyBorder="1" applyAlignment="1">
      <alignment horizontal="center" vertical="center" wrapText="1"/>
    </xf>
    <xf numFmtId="9" fontId="0" fillId="0" borderId="5" xfId="3" applyFont="1" applyBorder="1" applyAlignment="1">
      <alignment vertical="center"/>
    </xf>
    <xf numFmtId="0" fontId="18" fillId="0" borderId="5" xfId="0" applyFont="1" applyBorder="1" applyAlignment="1">
      <alignment vertical="center" wrapText="1"/>
    </xf>
    <xf numFmtId="0" fontId="16" fillId="0" borderId="0" xfId="0" applyFont="1" applyAlignment="1">
      <alignment horizontal="center" vertical="center" wrapText="1"/>
    </xf>
    <xf numFmtId="0" fontId="26" fillId="0" borderId="5" xfId="0" applyFont="1" applyBorder="1" applyAlignment="1">
      <alignment vertical="center" wrapText="1"/>
    </xf>
    <xf numFmtId="9" fontId="16" fillId="0" borderId="5" xfId="0" applyNumberFormat="1" applyFont="1" applyBorder="1" applyAlignment="1">
      <alignment vertical="center" wrapText="1"/>
    </xf>
    <xf numFmtId="0" fontId="0" fillId="0" borderId="0" xfId="0" applyFont="1" applyAlignment="1">
      <alignment vertical="center"/>
    </xf>
    <xf numFmtId="0" fontId="16" fillId="0" borderId="0" xfId="0" applyFont="1" applyBorder="1" applyAlignment="1">
      <alignment horizontal="center" vertical="center" wrapText="1"/>
    </xf>
    <xf numFmtId="0" fontId="21" fillId="16" borderId="0" xfId="0" applyFont="1" applyFill="1" applyAlignment="1">
      <alignment horizontal="left"/>
    </xf>
    <xf numFmtId="0" fontId="21" fillId="0" borderId="0" xfId="0" applyFont="1"/>
    <xf numFmtId="31" fontId="27" fillId="0" borderId="0" xfId="0" applyNumberFormat="1" applyFont="1" applyAlignment="1">
      <alignment horizontal="right"/>
    </xf>
    <xf numFmtId="0" fontId="27" fillId="0" borderId="0" xfId="0" applyFont="1" applyAlignment="1">
      <alignment horizontal="right"/>
    </xf>
    <xf numFmtId="0" fontId="21" fillId="17" borderId="5" xfId="0" applyFont="1" applyFill="1" applyBorder="1" applyAlignment="1">
      <alignment horizontal="left" vertical="center"/>
    </xf>
    <xf numFmtId="0" fontId="21" fillId="16" borderId="5" xfId="0" applyFont="1" applyFill="1" applyBorder="1" applyAlignment="1">
      <alignment horizontal="left" vertical="center"/>
    </xf>
    <xf numFmtId="0" fontId="0" fillId="0" borderId="5" xfId="0" applyBorder="1" applyAlignment="1">
      <alignment horizontal="left" vertical="center"/>
    </xf>
    <xf numFmtId="0" fontId="0" fillId="0" borderId="5" xfId="0" applyFont="1" applyBorder="1" applyAlignment="1">
      <alignment horizontal="left" vertical="center"/>
    </xf>
    <xf numFmtId="0" fontId="0" fillId="0" borderId="5" xfId="0" applyFont="1" applyBorder="1" applyAlignment="1">
      <alignment horizontal="left" vertical="center" wrapText="1"/>
    </xf>
    <xf numFmtId="0" fontId="0" fillId="0" borderId="5" xfId="0" applyBorder="1" applyAlignment="1">
      <alignment horizontal="lef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3"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workbookViewId="0">
      <selection activeCell="B21" sqref="B21"/>
    </sheetView>
  </sheetViews>
  <sheetFormatPr defaultColWidth="9" defaultRowHeight="13.8" outlineLevelCol="4"/>
  <cols>
    <col min="1" max="1" width="15.1296296296296" customWidth="1"/>
    <col min="2" max="2" width="53.1111111111111" customWidth="1"/>
    <col min="3" max="3" width="29.8888888888889" customWidth="1"/>
    <col min="4" max="4" width="13.1296296296296" customWidth="1"/>
  </cols>
  <sheetData>
    <row r="1" spans="1:5">
      <c r="A1" s="228" t="s">
        <v>0</v>
      </c>
      <c r="B1" s="228"/>
      <c r="C1" s="228"/>
      <c r="D1" s="228"/>
      <c r="E1" s="228"/>
    </row>
    <row r="3" ht="21" customHeight="1" spans="1:5">
      <c r="A3" s="229" t="s">
        <v>1</v>
      </c>
      <c r="B3" s="230">
        <v>45716</v>
      </c>
    </row>
    <row r="4" ht="21" customHeight="1" spans="1:5">
      <c r="A4" s="229" t="s">
        <v>2</v>
      </c>
      <c r="B4" s="231" t="s">
        <v>3</v>
      </c>
    </row>
    <row r="5" ht="21" customHeight="1" spans="1:5">
      <c r="A5" s="229" t="s">
        <v>4</v>
      </c>
      <c r="B5" s="231" t="s">
        <v>5</v>
      </c>
    </row>
    <row r="6" ht="21" customHeight="1" spans="1:5">
      <c r="A6" s="229" t="s">
        <v>6</v>
      </c>
      <c r="B6" s="231" t="s">
        <v>7</v>
      </c>
    </row>
    <row r="10" spans="1:5">
      <c r="A10" s="232" t="s">
        <v>8</v>
      </c>
      <c r="B10" s="232" t="s">
        <v>9</v>
      </c>
      <c r="C10" s="232" t="s">
        <v>10</v>
      </c>
    </row>
    <row r="11" spans="1:5">
      <c r="A11" s="233" t="s">
        <v>11</v>
      </c>
      <c r="B11" s="234"/>
      <c r="C11" s="234"/>
    </row>
    <row r="12" spans="1:5">
      <c r="A12" s="233" t="s">
        <v>12</v>
      </c>
      <c r="B12" s="235"/>
      <c r="C12" s="234"/>
    </row>
    <row r="13" spans="1:5">
      <c r="A13" s="233" t="s">
        <v>13</v>
      </c>
      <c r="B13" s="234"/>
      <c r="C13" s="235"/>
    </row>
    <row r="14" spans="1:5">
      <c r="A14" s="233" t="s">
        <v>14</v>
      </c>
      <c r="B14" s="234"/>
      <c r="C14" s="234"/>
    </row>
    <row r="15" spans="1:5">
      <c r="A15" s="233" t="s">
        <v>15</v>
      </c>
      <c r="B15" s="234"/>
      <c r="C15" s="234"/>
    </row>
    <row r="16" spans="1:5">
      <c r="A16" s="233" t="s">
        <v>16</v>
      </c>
      <c r="B16" s="234"/>
      <c r="C16" s="234"/>
    </row>
    <row r="17" spans="1:3">
      <c r="A17" s="233" t="s">
        <v>17</v>
      </c>
      <c r="B17" s="236"/>
      <c r="C17" s="237"/>
    </row>
  </sheetData>
  <mergeCells count="1">
    <mergeCell ref="A1:E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8"/>
  <sheetViews>
    <sheetView workbookViewId="0">
      <pane xSplit="2" ySplit="2" topLeftCell="C3" activePane="bottomRight" state="frozen"/>
      <selection/>
      <selection pane="topRight"/>
      <selection pane="bottomLeft"/>
      <selection pane="bottomRight" activeCell="E24" sqref="E24"/>
    </sheetView>
  </sheetViews>
  <sheetFormatPr defaultColWidth="9" defaultRowHeight="13.8"/>
  <cols>
    <col min="1" max="1" width="9" style="129"/>
    <col min="2" max="2" width="9.87962962962963" style="129" customWidth="1"/>
    <col min="3" max="3" width="11.75" style="129" customWidth="1"/>
    <col min="4" max="4" width="9" style="129"/>
    <col min="5" max="5" width="16.7777777777778" style="129" customWidth="1"/>
    <col min="6" max="6" width="12.1296296296296" style="129" customWidth="1"/>
    <col min="7" max="9" width="9" style="129"/>
    <col min="10" max="10" width="13.7777777777778" style="129" customWidth="1"/>
    <col min="11" max="11" width="9" style="129" customWidth="1"/>
    <col min="12" max="12" width="13.1296296296296" style="129" customWidth="1"/>
    <col min="13" max="13" width="9" style="129" customWidth="1"/>
    <col min="14" max="16" width="8.12962962962963" style="129" customWidth="1"/>
    <col min="17" max="17" width="21.6296296296296" style="129" customWidth="1"/>
    <col min="18" max="22" width="9" style="129"/>
    <col min="23" max="23" width="11.3796296296296" style="204" customWidth="1"/>
    <col min="24" max="24" width="9" style="204" customWidth="1"/>
    <col min="25" max="26" width="9" style="129"/>
    <col min="27" max="28" width="8" style="129" customWidth="1"/>
    <col min="29" max="16384" width="9" style="129"/>
  </cols>
  <sheetData>
    <row r="1" ht="15.6" spans="1:31">
      <c r="A1" s="144" t="s">
        <v>18</v>
      </c>
      <c r="B1" s="144" t="s">
        <v>19</v>
      </c>
      <c r="C1" s="205" t="s">
        <v>20</v>
      </c>
      <c r="D1" s="205" t="s">
        <v>21</v>
      </c>
      <c r="E1" s="205" t="s">
        <v>22</v>
      </c>
      <c r="F1" s="205" t="s">
        <v>23</v>
      </c>
      <c r="G1" s="205" t="s">
        <v>24</v>
      </c>
      <c r="H1" s="144" t="s">
        <v>25</v>
      </c>
      <c r="I1" s="205" t="s">
        <v>12</v>
      </c>
      <c r="J1" s="205" t="s">
        <v>26</v>
      </c>
      <c r="K1" s="206" t="s">
        <v>27</v>
      </c>
      <c r="L1" s="206"/>
      <c r="M1" s="207" t="s">
        <v>28</v>
      </c>
      <c r="N1" s="144" t="s">
        <v>29</v>
      </c>
      <c r="O1" s="144" t="s">
        <v>30</v>
      </c>
      <c r="P1" s="205" t="s">
        <v>31</v>
      </c>
      <c r="Q1" s="205" t="s">
        <v>32</v>
      </c>
      <c r="R1" s="138" t="s">
        <v>33</v>
      </c>
      <c r="S1" s="138"/>
      <c r="T1" s="138"/>
      <c r="U1" s="138"/>
      <c r="V1" s="138"/>
      <c r="W1" s="138"/>
      <c r="X1" s="208" t="s">
        <v>34</v>
      </c>
      <c r="Y1" s="209"/>
      <c r="Z1" s="209"/>
      <c r="AA1" s="209"/>
      <c r="AB1" s="209"/>
      <c r="AC1" s="209"/>
      <c r="AD1" s="209"/>
    </row>
    <row r="2" ht="31.2" spans="1:31">
      <c r="A2" s="210"/>
      <c r="B2" s="210"/>
      <c r="C2" s="211"/>
      <c r="D2" s="211"/>
      <c r="E2" s="211"/>
      <c r="F2" s="211"/>
      <c r="G2" s="211"/>
      <c r="H2" s="210"/>
      <c r="I2" s="211"/>
      <c r="J2" s="211"/>
      <c r="K2" s="206" t="s">
        <v>35</v>
      </c>
      <c r="L2" s="206" t="s">
        <v>36</v>
      </c>
      <c r="M2" s="210"/>
      <c r="N2" s="210"/>
      <c r="O2" s="210"/>
      <c r="P2" s="211"/>
      <c r="Q2" s="211"/>
      <c r="R2" s="138" t="s">
        <v>37</v>
      </c>
      <c r="S2" s="138" t="s">
        <v>38</v>
      </c>
      <c r="T2" s="206" t="s">
        <v>39</v>
      </c>
      <c r="U2" s="212" t="s">
        <v>40</v>
      </c>
      <c r="V2" s="138" t="s">
        <v>41</v>
      </c>
      <c r="W2" s="213" t="s">
        <v>42</v>
      </c>
      <c r="X2" s="213"/>
      <c r="Y2" s="213"/>
      <c r="Z2" s="213" t="s">
        <v>43</v>
      </c>
      <c r="AA2" s="213" t="s">
        <v>44</v>
      </c>
      <c r="AB2" s="213" t="s">
        <v>45</v>
      </c>
      <c r="AC2" s="213" t="s">
        <v>46</v>
      </c>
      <c r="AD2" s="213" t="s">
        <v>47</v>
      </c>
    </row>
    <row r="3" ht="41.25" customHeight="1" spans="1:31">
      <c r="A3" s="167" t="s">
        <v>48</v>
      </c>
      <c r="B3" s="167" t="s">
        <v>49</v>
      </c>
      <c r="C3" s="214"/>
      <c r="D3" s="214">
        <v>54.99</v>
      </c>
      <c r="E3" s="215">
        <v>5</v>
      </c>
      <c r="F3" s="214" t="s">
        <v>50</v>
      </c>
      <c r="G3" s="167">
        <v>18</v>
      </c>
      <c r="H3" s="167">
        <f>G3*7</f>
        <v>126</v>
      </c>
      <c r="I3" s="167">
        <v>60</v>
      </c>
      <c r="J3" s="167">
        <v>4.6</v>
      </c>
      <c r="K3" s="167"/>
      <c r="L3" s="216"/>
      <c r="M3" s="167"/>
      <c r="N3" s="167">
        <f>D3*H3</f>
        <v>6928.74</v>
      </c>
      <c r="O3" s="169">
        <f>G3/P3</f>
        <v>100</v>
      </c>
      <c r="P3" s="168">
        <v>0.18</v>
      </c>
      <c r="Q3" s="217" t="s">
        <v>51</v>
      </c>
      <c r="R3" s="218">
        <f>T3*S3</f>
        <v>80.1818181818182</v>
      </c>
      <c r="S3" s="219">
        <f>V3/U3</f>
        <v>114.545454545455</v>
      </c>
      <c r="T3" s="218">
        <v>0.7</v>
      </c>
      <c r="U3" s="220">
        <v>0.11</v>
      </c>
      <c r="V3" s="169">
        <f>G3*W3</f>
        <v>12.6</v>
      </c>
      <c r="W3" s="221">
        <v>0.7</v>
      </c>
      <c r="X3" s="167">
        <v>1200</v>
      </c>
      <c r="Y3" s="167">
        <v>0</v>
      </c>
      <c r="Z3" s="167">
        <v>0</v>
      </c>
      <c r="AA3" s="167">
        <v>1310</v>
      </c>
      <c r="AB3" s="167" t="s">
        <v>52</v>
      </c>
      <c r="AC3" s="167"/>
      <c r="AD3" s="167"/>
    </row>
    <row r="4" ht="41.25" customHeight="1" spans="1:31">
      <c r="A4" s="167" t="s">
        <v>53</v>
      </c>
      <c r="B4" s="167" t="s">
        <v>54</v>
      </c>
      <c r="C4" s="214"/>
      <c r="D4" s="214">
        <v>54.99</v>
      </c>
      <c r="E4" s="215">
        <v>5</v>
      </c>
      <c r="F4" s="214" t="s">
        <v>50</v>
      </c>
      <c r="G4" s="167">
        <v>28</v>
      </c>
      <c r="H4" s="167">
        <f t="shared" ref="H4:H15" si="0">G4*7</f>
        <v>196</v>
      </c>
      <c r="I4" s="167">
        <v>40</v>
      </c>
      <c r="J4" s="167">
        <v>4.6</v>
      </c>
      <c r="K4" s="167"/>
      <c r="L4" s="216"/>
      <c r="M4" s="167"/>
      <c r="N4" s="167">
        <f t="shared" ref="N4:N15" si="1">D4*H4</f>
        <v>10778.04</v>
      </c>
      <c r="O4" s="169">
        <f t="shared" ref="O4:O15" si="2">G4/P4</f>
        <v>140</v>
      </c>
      <c r="P4" s="168">
        <v>0.2</v>
      </c>
      <c r="Q4" s="217" t="s">
        <v>55</v>
      </c>
      <c r="R4" s="218">
        <f t="shared" ref="R4:R15" si="3">T4*S4</f>
        <v>98.5833333333333</v>
      </c>
      <c r="S4" s="219">
        <f t="shared" ref="S4:S15" si="4">V4/U4</f>
        <v>151.666666666667</v>
      </c>
      <c r="T4" s="218">
        <v>0.65</v>
      </c>
      <c r="U4" s="220">
        <v>0.12</v>
      </c>
      <c r="V4" s="169">
        <f t="shared" ref="V4:V15" si="5">G4*W4</f>
        <v>18.2</v>
      </c>
      <c r="W4" s="221">
        <v>0.65</v>
      </c>
      <c r="X4" s="167">
        <f>X3-H3</f>
        <v>1074</v>
      </c>
      <c r="Y4" s="167">
        <v>0</v>
      </c>
      <c r="Z4" s="167">
        <v>0</v>
      </c>
      <c r="AA4" s="167">
        <v>1310</v>
      </c>
      <c r="AB4" s="167">
        <v>2490</v>
      </c>
      <c r="AC4" s="167"/>
      <c r="AD4" s="167"/>
    </row>
    <row r="5" ht="41.25" customHeight="1" spans="1:31">
      <c r="A5" s="167" t="s">
        <v>56</v>
      </c>
      <c r="B5" s="167" t="s">
        <v>57</v>
      </c>
      <c r="C5" s="214"/>
      <c r="D5" s="214">
        <v>54.99</v>
      </c>
      <c r="E5" s="215">
        <v>3</v>
      </c>
      <c r="F5" s="222" t="s">
        <v>50</v>
      </c>
      <c r="G5" s="167">
        <v>33</v>
      </c>
      <c r="H5" s="167">
        <f t="shared" si="0"/>
        <v>231</v>
      </c>
      <c r="I5" s="223">
        <v>30</v>
      </c>
      <c r="J5" s="167">
        <v>4.6</v>
      </c>
      <c r="K5" s="167"/>
      <c r="L5" s="216"/>
      <c r="M5" s="167"/>
      <c r="N5" s="167">
        <f t="shared" si="1"/>
        <v>12702.69</v>
      </c>
      <c r="O5" s="169">
        <f t="shared" si="2"/>
        <v>150</v>
      </c>
      <c r="P5" s="168">
        <v>0.22</v>
      </c>
      <c r="Q5" s="217" t="s">
        <v>58</v>
      </c>
      <c r="R5" s="218">
        <f t="shared" si="3"/>
        <v>91.3846153846154</v>
      </c>
      <c r="S5" s="219">
        <f t="shared" si="4"/>
        <v>152.307692307692</v>
      </c>
      <c r="T5" s="218">
        <v>0.6</v>
      </c>
      <c r="U5" s="220">
        <v>0.13</v>
      </c>
      <c r="V5" s="169">
        <f t="shared" si="5"/>
        <v>19.8</v>
      </c>
      <c r="W5" s="221">
        <v>0.6</v>
      </c>
      <c r="X5" s="167">
        <f>X4-H4</f>
        <v>878</v>
      </c>
      <c r="Y5" s="167">
        <v>0</v>
      </c>
      <c r="Z5" s="167">
        <v>2490</v>
      </c>
      <c r="AA5" s="167">
        <v>0</v>
      </c>
      <c r="AB5" s="167" t="s">
        <v>59</v>
      </c>
      <c r="AC5" s="167" t="s">
        <v>60</v>
      </c>
      <c r="AD5" s="167"/>
    </row>
    <row r="6" ht="41.25" customHeight="1" spans="1:31">
      <c r="A6" s="167" t="s">
        <v>61</v>
      </c>
      <c r="B6" s="167" t="s">
        <v>62</v>
      </c>
      <c r="C6" s="214"/>
      <c r="D6" s="214">
        <v>54.99</v>
      </c>
      <c r="E6" s="215"/>
      <c r="F6" s="224" t="s">
        <v>63</v>
      </c>
      <c r="G6" s="167">
        <v>52</v>
      </c>
      <c r="H6" s="167">
        <f t="shared" si="0"/>
        <v>364</v>
      </c>
      <c r="I6" s="167">
        <v>20</v>
      </c>
      <c r="J6" s="167">
        <v>4.6</v>
      </c>
      <c r="K6" s="167"/>
      <c r="L6" s="216"/>
      <c r="M6" s="167"/>
      <c r="N6" s="167">
        <f t="shared" si="1"/>
        <v>20016.36</v>
      </c>
      <c r="O6" s="169">
        <f t="shared" si="2"/>
        <v>185.714285714286</v>
      </c>
      <c r="P6" s="168">
        <v>0.28</v>
      </c>
      <c r="Q6" s="217" t="s">
        <v>58</v>
      </c>
      <c r="R6" s="218">
        <f t="shared" si="3"/>
        <v>95.3333333333333</v>
      </c>
      <c r="S6" s="219">
        <f t="shared" si="4"/>
        <v>173.333333333333</v>
      </c>
      <c r="T6" s="218">
        <v>0.55</v>
      </c>
      <c r="U6" s="220">
        <v>0.15</v>
      </c>
      <c r="V6" s="169">
        <f t="shared" si="5"/>
        <v>26</v>
      </c>
      <c r="W6" s="221">
        <v>0.5</v>
      </c>
      <c r="X6" s="167">
        <f>X5-H5+720</f>
        <v>1367</v>
      </c>
      <c r="Y6" s="167">
        <v>600</v>
      </c>
      <c r="Z6" s="167">
        <v>1170</v>
      </c>
      <c r="AA6" s="167">
        <v>0</v>
      </c>
      <c r="AB6" s="167">
        <v>1310</v>
      </c>
      <c r="AC6" s="167"/>
      <c r="AD6" s="167">
        <v>1500</v>
      </c>
    </row>
    <row r="7" ht="41.25" customHeight="1" spans="1:31">
      <c r="A7" s="167" t="s">
        <v>64</v>
      </c>
      <c r="B7" s="167" t="s">
        <v>65</v>
      </c>
      <c r="C7" s="214"/>
      <c r="D7" s="214">
        <v>54.99</v>
      </c>
      <c r="E7" s="215">
        <v>2</v>
      </c>
      <c r="F7" s="214" t="s">
        <v>50</v>
      </c>
      <c r="G7" s="167">
        <v>38</v>
      </c>
      <c r="H7" s="167">
        <f t="shared" si="0"/>
        <v>266</v>
      </c>
      <c r="I7" s="167">
        <v>28</v>
      </c>
      <c r="J7" s="167">
        <v>4.6</v>
      </c>
      <c r="K7" s="167"/>
      <c r="L7" s="216"/>
      <c r="M7" s="167"/>
      <c r="N7" s="167">
        <f t="shared" si="1"/>
        <v>14627.34</v>
      </c>
      <c r="O7" s="169">
        <f t="shared" si="2"/>
        <v>165.217391304348</v>
      </c>
      <c r="P7" s="168">
        <v>0.23</v>
      </c>
      <c r="Q7" s="217" t="s">
        <v>66</v>
      </c>
      <c r="R7" s="218">
        <f t="shared" si="3"/>
        <v>76.6333333333333</v>
      </c>
      <c r="S7" s="219">
        <f t="shared" si="4"/>
        <v>139.333333333333</v>
      </c>
      <c r="T7" s="218">
        <v>0.55</v>
      </c>
      <c r="U7" s="220">
        <v>0.15</v>
      </c>
      <c r="V7" s="169">
        <f t="shared" si="5"/>
        <v>20.9</v>
      </c>
      <c r="W7" s="221">
        <v>0.55</v>
      </c>
      <c r="X7" s="167">
        <f>X6-H6</f>
        <v>1003</v>
      </c>
      <c r="Y7" s="167">
        <v>600</v>
      </c>
      <c r="Z7" s="167">
        <v>1170</v>
      </c>
      <c r="AA7" s="167">
        <v>0</v>
      </c>
      <c r="AB7" s="167">
        <v>1310</v>
      </c>
      <c r="AC7" s="167"/>
      <c r="AD7" s="167"/>
    </row>
    <row r="8" ht="41.25" customHeight="1" spans="1:31">
      <c r="A8" s="167" t="s">
        <v>67</v>
      </c>
      <c r="B8" s="167" t="s">
        <v>68</v>
      </c>
      <c r="C8" s="214"/>
      <c r="D8" s="214">
        <v>54.99</v>
      </c>
      <c r="E8" s="225">
        <v>0.1</v>
      </c>
      <c r="F8" s="222" t="s">
        <v>50</v>
      </c>
      <c r="G8" s="167">
        <v>41</v>
      </c>
      <c r="H8" s="167">
        <f t="shared" si="0"/>
        <v>287</v>
      </c>
      <c r="I8" s="167">
        <v>26</v>
      </c>
      <c r="J8" s="167">
        <v>4.6</v>
      </c>
      <c r="K8" s="167"/>
      <c r="L8" s="216"/>
      <c r="M8" s="167"/>
      <c r="N8" s="167">
        <f t="shared" si="1"/>
        <v>15782.13</v>
      </c>
      <c r="O8" s="169">
        <f t="shared" si="2"/>
        <v>170.833333333333</v>
      </c>
      <c r="P8" s="168">
        <v>0.24</v>
      </c>
      <c r="Q8" s="217" t="s">
        <v>66</v>
      </c>
      <c r="R8" s="218">
        <f t="shared" si="3"/>
        <v>75.1666666666667</v>
      </c>
      <c r="S8" s="219">
        <f t="shared" si="4"/>
        <v>136.666666666667</v>
      </c>
      <c r="T8" s="218">
        <v>0.55</v>
      </c>
      <c r="U8" s="220">
        <v>0.15</v>
      </c>
      <c r="V8" s="169">
        <f t="shared" si="5"/>
        <v>20.5</v>
      </c>
      <c r="W8" s="221">
        <v>0.5</v>
      </c>
      <c r="X8" s="167">
        <f>X7-H7</f>
        <v>737</v>
      </c>
      <c r="Y8" s="167">
        <v>600</v>
      </c>
      <c r="Z8" s="167">
        <v>1170</v>
      </c>
      <c r="AA8" s="167">
        <v>0</v>
      </c>
      <c r="AB8" s="167">
        <v>1310</v>
      </c>
      <c r="AC8" s="167" t="s">
        <v>69</v>
      </c>
      <c r="AD8" s="167"/>
    </row>
    <row r="9" ht="41.25" customHeight="1" spans="1:31">
      <c r="A9" s="167" t="s">
        <v>70</v>
      </c>
      <c r="B9" s="167" t="s">
        <v>71</v>
      </c>
      <c r="C9" s="214"/>
      <c r="D9" s="214">
        <v>54.99</v>
      </c>
      <c r="E9" s="215"/>
      <c r="F9" s="224" t="s">
        <v>63</v>
      </c>
      <c r="G9" s="167">
        <v>65</v>
      </c>
      <c r="H9" s="167">
        <f t="shared" si="0"/>
        <v>455</v>
      </c>
      <c r="I9" s="167">
        <v>20</v>
      </c>
      <c r="J9" s="167">
        <v>4.6</v>
      </c>
      <c r="K9" s="167"/>
      <c r="L9" s="216"/>
      <c r="M9" s="167"/>
      <c r="N9" s="167">
        <f t="shared" si="1"/>
        <v>25020.45</v>
      </c>
      <c r="O9" s="169">
        <f t="shared" si="2"/>
        <v>216.666666666667</v>
      </c>
      <c r="P9" s="168">
        <v>0.3</v>
      </c>
      <c r="Q9" s="217" t="s">
        <v>66</v>
      </c>
      <c r="R9" s="218">
        <f t="shared" si="3"/>
        <v>81.25</v>
      </c>
      <c r="S9" s="219">
        <f t="shared" si="4"/>
        <v>162.5</v>
      </c>
      <c r="T9" s="218">
        <v>0.5</v>
      </c>
      <c r="U9" s="220">
        <v>0.16</v>
      </c>
      <c r="V9" s="169">
        <f t="shared" si="5"/>
        <v>26</v>
      </c>
      <c r="W9" s="221">
        <v>0.4</v>
      </c>
      <c r="X9" s="167">
        <f>X8-H8+900</f>
        <v>1350</v>
      </c>
      <c r="Y9" s="167">
        <v>600</v>
      </c>
      <c r="Z9" s="167">
        <f>Z8-900</f>
        <v>270</v>
      </c>
      <c r="AA9" s="167">
        <v>0</v>
      </c>
      <c r="AB9" s="167">
        <v>1310</v>
      </c>
      <c r="AC9" s="167"/>
      <c r="AD9" s="167" t="s">
        <v>72</v>
      </c>
    </row>
    <row r="10" ht="41.25" customHeight="1" spans="1:31">
      <c r="A10" s="167" t="s">
        <v>73</v>
      </c>
      <c r="B10" s="167" t="s">
        <v>74</v>
      </c>
      <c r="C10" s="214"/>
      <c r="D10" s="214">
        <v>54.99</v>
      </c>
      <c r="E10" s="225">
        <v>0.1</v>
      </c>
      <c r="F10" s="214" t="s">
        <v>50</v>
      </c>
      <c r="G10" s="167">
        <v>44</v>
      </c>
      <c r="H10" s="167">
        <f t="shared" si="0"/>
        <v>308</v>
      </c>
      <c r="I10" s="167">
        <v>25</v>
      </c>
      <c r="J10" s="167">
        <v>4.6</v>
      </c>
      <c r="K10" s="167"/>
      <c r="L10" s="216"/>
      <c r="M10" s="167"/>
      <c r="N10" s="167">
        <f t="shared" si="1"/>
        <v>16936.92</v>
      </c>
      <c r="O10" s="169">
        <f t="shared" si="2"/>
        <v>176</v>
      </c>
      <c r="P10" s="168">
        <v>0.25</v>
      </c>
      <c r="Q10" s="217" t="s">
        <v>75</v>
      </c>
      <c r="R10" s="218">
        <f t="shared" si="3"/>
        <v>61.875</v>
      </c>
      <c r="S10" s="219">
        <f t="shared" si="4"/>
        <v>123.75</v>
      </c>
      <c r="T10" s="218">
        <v>0.5</v>
      </c>
      <c r="U10" s="220">
        <v>0.16</v>
      </c>
      <c r="V10" s="169">
        <f t="shared" si="5"/>
        <v>19.8</v>
      </c>
      <c r="W10" s="221">
        <v>0.45</v>
      </c>
      <c r="X10" s="167">
        <f>X9-H9</f>
        <v>895</v>
      </c>
      <c r="Y10" s="167">
        <v>600</v>
      </c>
      <c r="Z10" s="167">
        <v>1580</v>
      </c>
      <c r="AA10" s="167">
        <v>1500</v>
      </c>
      <c r="AB10" s="167">
        <v>0</v>
      </c>
      <c r="AC10" s="167" t="s">
        <v>76</v>
      </c>
      <c r="AD10" s="167"/>
    </row>
    <row r="11" ht="41.25" customHeight="1" spans="1:31">
      <c r="A11" s="167" t="s">
        <v>77</v>
      </c>
      <c r="B11" s="167" t="s">
        <v>78</v>
      </c>
      <c r="C11" s="214"/>
      <c r="D11" s="214">
        <v>54.99</v>
      </c>
      <c r="E11" s="225">
        <v>0.1</v>
      </c>
      <c r="F11" s="222" t="s">
        <v>50</v>
      </c>
      <c r="G11" s="167">
        <v>46</v>
      </c>
      <c r="H11" s="167">
        <f t="shared" si="0"/>
        <v>322</v>
      </c>
      <c r="I11" s="167">
        <v>24</v>
      </c>
      <c r="J11" s="167">
        <v>4.6</v>
      </c>
      <c r="K11" s="167"/>
      <c r="L11" s="216"/>
      <c r="M11" s="167"/>
      <c r="N11" s="167">
        <f t="shared" si="1"/>
        <v>17706.78</v>
      </c>
      <c r="O11" s="169">
        <f t="shared" si="2"/>
        <v>176.923076923077</v>
      </c>
      <c r="P11" s="168">
        <v>0.26</v>
      </c>
      <c r="Q11" s="217" t="s">
        <v>75</v>
      </c>
      <c r="R11" s="218">
        <f t="shared" si="3"/>
        <v>57.5</v>
      </c>
      <c r="S11" s="219">
        <f t="shared" si="4"/>
        <v>115</v>
      </c>
      <c r="T11" s="218">
        <v>0.5</v>
      </c>
      <c r="U11" s="220">
        <v>0.16</v>
      </c>
      <c r="V11" s="169">
        <f t="shared" si="5"/>
        <v>18.4</v>
      </c>
      <c r="W11" s="221">
        <v>0.4</v>
      </c>
      <c r="X11" s="167">
        <f>X10-H10+900</f>
        <v>1487</v>
      </c>
      <c r="Y11" s="167">
        <v>600</v>
      </c>
      <c r="Z11" s="167">
        <v>680</v>
      </c>
      <c r="AA11" s="167">
        <v>0</v>
      </c>
      <c r="AB11" s="167" t="s">
        <v>79</v>
      </c>
      <c r="AC11" s="167"/>
      <c r="AD11" s="167">
        <v>2100</v>
      </c>
    </row>
    <row r="12" ht="41.25" customHeight="1" spans="1:31">
      <c r="A12" s="167" t="s">
        <v>80</v>
      </c>
      <c r="B12" s="167" t="s">
        <v>81</v>
      </c>
      <c r="C12" s="214"/>
      <c r="D12" s="214">
        <v>54.99</v>
      </c>
      <c r="E12" s="215"/>
      <c r="F12" s="224" t="s">
        <v>63</v>
      </c>
      <c r="G12" s="167">
        <v>70</v>
      </c>
      <c r="H12" s="167">
        <f t="shared" si="0"/>
        <v>490</v>
      </c>
      <c r="I12" s="167">
        <v>20</v>
      </c>
      <c r="J12" s="167">
        <v>4.6</v>
      </c>
      <c r="K12" s="167"/>
      <c r="L12" s="216"/>
      <c r="N12" s="167">
        <f t="shared" si="1"/>
        <v>26945.1</v>
      </c>
      <c r="O12" s="169">
        <f t="shared" si="2"/>
        <v>225.806451612903</v>
      </c>
      <c r="P12" s="168">
        <v>0.31</v>
      </c>
      <c r="Q12" s="217" t="s">
        <v>75</v>
      </c>
      <c r="R12" s="218">
        <f t="shared" si="3"/>
        <v>76.5625</v>
      </c>
      <c r="S12" s="219">
        <f t="shared" si="4"/>
        <v>153.125</v>
      </c>
      <c r="T12" s="218">
        <v>0.5</v>
      </c>
      <c r="U12" s="220">
        <v>0.16</v>
      </c>
      <c r="V12" s="169">
        <f t="shared" si="5"/>
        <v>24.5</v>
      </c>
      <c r="W12" s="221">
        <v>0.35</v>
      </c>
      <c r="X12" s="167">
        <f>X11-H11</f>
        <v>1165</v>
      </c>
      <c r="Y12" s="167">
        <v>600</v>
      </c>
      <c r="Z12" s="167">
        <v>680</v>
      </c>
      <c r="AA12" s="167">
        <v>0</v>
      </c>
      <c r="AB12" s="167">
        <v>1500</v>
      </c>
      <c r="AC12" s="167" t="s">
        <v>82</v>
      </c>
      <c r="AD12" s="167"/>
    </row>
    <row r="13" ht="41.25" customHeight="1" spans="1:31">
      <c r="A13" s="167" t="s">
        <v>83</v>
      </c>
      <c r="B13" s="167" t="s">
        <v>84</v>
      </c>
      <c r="C13" s="214"/>
      <c r="D13" s="214">
        <v>54.99</v>
      </c>
      <c r="E13" s="215">
        <v>2</v>
      </c>
      <c r="F13" s="214" t="s">
        <v>50</v>
      </c>
      <c r="G13" s="167">
        <v>48</v>
      </c>
      <c r="H13" s="167">
        <f t="shared" si="0"/>
        <v>336</v>
      </c>
      <c r="I13" s="167">
        <v>22</v>
      </c>
      <c r="J13" s="167">
        <v>4.6</v>
      </c>
      <c r="K13" s="167"/>
      <c r="L13" s="216"/>
      <c r="N13" s="167">
        <f t="shared" si="1"/>
        <v>18476.64</v>
      </c>
      <c r="O13" s="169">
        <f t="shared" si="2"/>
        <v>177.777777777778</v>
      </c>
      <c r="P13" s="168">
        <v>0.27</v>
      </c>
      <c r="Q13" s="217" t="s">
        <v>75</v>
      </c>
      <c r="R13" s="218">
        <f t="shared" si="3"/>
        <v>52.5</v>
      </c>
      <c r="S13" s="219">
        <f t="shared" si="4"/>
        <v>105</v>
      </c>
      <c r="T13" s="218">
        <v>0.5</v>
      </c>
      <c r="U13" s="220">
        <v>0.16</v>
      </c>
      <c r="V13" s="169">
        <f t="shared" si="5"/>
        <v>16.8</v>
      </c>
      <c r="W13" s="221">
        <v>0.35</v>
      </c>
      <c r="X13" s="167">
        <f>X12-H12+680</f>
        <v>1355</v>
      </c>
      <c r="Y13" s="167">
        <v>600</v>
      </c>
      <c r="Z13" s="167">
        <v>0</v>
      </c>
      <c r="AA13" s="167">
        <v>1980</v>
      </c>
      <c r="AB13" s="167">
        <v>1500</v>
      </c>
      <c r="AC13" s="167"/>
      <c r="AD13" s="167"/>
    </row>
    <row r="14" ht="41.25" customHeight="1" spans="1:31">
      <c r="A14" s="167" t="s">
        <v>85</v>
      </c>
      <c r="B14" s="167" t="s">
        <v>86</v>
      </c>
      <c r="C14" s="214"/>
      <c r="D14" s="214">
        <v>54.99</v>
      </c>
      <c r="E14" s="225">
        <v>0.1</v>
      </c>
      <c r="F14" s="222" t="s">
        <v>50</v>
      </c>
      <c r="G14" s="167">
        <v>50</v>
      </c>
      <c r="H14" s="167">
        <f t="shared" si="0"/>
        <v>350</v>
      </c>
      <c r="I14" s="167">
        <v>21</v>
      </c>
      <c r="J14" s="167">
        <v>4.6</v>
      </c>
      <c r="K14" s="167"/>
      <c r="L14" s="216"/>
      <c r="N14" s="167">
        <f t="shared" si="1"/>
        <v>19246.5</v>
      </c>
      <c r="O14" s="169">
        <f t="shared" si="2"/>
        <v>178.571428571429</v>
      </c>
      <c r="P14" s="168">
        <v>0.28</v>
      </c>
      <c r="Q14" s="217" t="s">
        <v>75</v>
      </c>
      <c r="R14" s="218">
        <f t="shared" si="3"/>
        <v>46.875</v>
      </c>
      <c r="S14" s="219">
        <f t="shared" si="4"/>
        <v>93.75</v>
      </c>
      <c r="T14" s="218">
        <v>0.5</v>
      </c>
      <c r="U14" s="220">
        <v>0.16</v>
      </c>
      <c r="V14" s="169">
        <f t="shared" si="5"/>
        <v>15</v>
      </c>
      <c r="W14" s="221">
        <v>0.3</v>
      </c>
      <c r="X14" s="167">
        <v>1355</v>
      </c>
      <c r="Y14" s="167">
        <f>Y13-H13</f>
        <v>264</v>
      </c>
      <c r="Z14" s="167">
        <v>1500</v>
      </c>
      <c r="AA14" s="167">
        <v>0</v>
      </c>
      <c r="AB14" s="167" t="s">
        <v>87</v>
      </c>
      <c r="AC14" s="167"/>
      <c r="AD14" s="167"/>
      <c r="AE14" s="226" t="s">
        <v>88</v>
      </c>
    </row>
    <row r="15" ht="41.25" customHeight="1" spans="1:31">
      <c r="A15" s="167" t="s">
        <v>89</v>
      </c>
      <c r="B15" s="167" t="s">
        <v>90</v>
      </c>
      <c r="C15" s="214"/>
      <c r="D15" s="214">
        <v>54.99</v>
      </c>
      <c r="E15" s="225">
        <v>0.1</v>
      </c>
      <c r="F15" s="224" t="s">
        <v>63</v>
      </c>
      <c r="G15" s="167">
        <v>75</v>
      </c>
      <c r="H15" s="167">
        <f t="shared" si="0"/>
        <v>525</v>
      </c>
      <c r="I15" s="167">
        <v>20</v>
      </c>
      <c r="J15" s="167">
        <v>4.6</v>
      </c>
      <c r="K15" s="167"/>
      <c r="L15" s="216"/>
      <c r="N15" s="167">
        <f t="shared" si="1"/>
        <v>28869.75</v>
      </c>
      <c r="O15" s="169">
        <f t="shared" si="2"/>
        <v>234.375</v>
      </c>
      <c r="P15" s="168">
        <v>0.32</v>
      </c>
      <c r="Q15" s="217" t="s">
        <v>75</v>
      </c>
      <c r="R15" s="218">
        <f t="shared" si="3"/>
        <v>66.1764705882353</v>
      </c>
      <c r="S15" s="219">
        <f t="shared" si="4"/>
        <v>132.352941176471</v>
      </c>
      <c r="T15" s="218">
        <v>0.5</v>
      </c>
      <c r="U15" s="220">
        <v>0.17</v>
      </c>
      <c r="V15" s="169">
        <f t="shared" si="5"/>
        <v>22.5</v>
      </c>
      <c r="W15" s="221">
        <v>0.3</v>
      </c>
      <c r="X15" s="167">
        <f>X14-H14</f>
        <v>1005</v>
      </c>
      <c r="Y15" s="167">
        <v>264</v>
      </c>
      <c r="Z15" s="167">
        <v>1500</v>
      </c>
      <c r="AA15" s="167">
        <v>2100</v>
      </c>
      <c r="AB15" s="167">
        <v>1980</v>
      </c>
      <c r="AC15" s="167"/>
      <c r="AD15" s="167"/>
    </row>
    <row r="16" spans="1:31">
      <c r="A16" s="227"/>
    </row>
    <row r="18" ht="15.6" spans="14:14">
      <c r="N18" s="63"/>
    </row>
  </sheetData>
  <mergeCells count="18">
    <mergeCell ref="K1:L1"/>
    <mergeCell ref="R1:W1"/>
    <mergeCell ref="X1:AD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399914548173467"/>
  </sheetPr>
  <dimension ref="A1:R63"/>
  <sheetViews>
    <sheetView tabSelected="1" zoomScale="90" zoomScaleNormal="90" workbookViewId="0">
      <pane xSplit="10" ySplit="11" topLeftCell="K18" activePane="bottomRight" state="frozen"/>
      <selection/>
      <selection pane="topRight"/>
      <selection pane="bottomLeft"/>
      <selection pane="bottomRight" activeCell="L2" sqref="L2"/>
    </sheetView>
  </sheetViews>
  <sheetFormatPr defaultColWidth="7.25" defaultRowHeight="13.8"/>
  <cols>
    <col min="1" max="1" width="8.12962962962963" style="129" customWidth="1"/>
    <col min="2" max="2" width="11.3796296296296" style="129" customWidth="1"/>
    <col min="3" max="4" width="7.25" style="129"/>
    <col min="5" max="5" width="8.37962962962963" style="129"/>
    <col min="6" max="6" width="7.25" style="129"/>
    <col min="7" max="7" width="5.37962962962963" style="129" customWidth="1"/>
    <col min="8" max="8" width="5.62962962962963" style="129" customWidth="1"/>
    <col min="9" max="9" width="7.87962962962963" style="130" customWidth="1"/>
    <col min="10" max="10" width="14.8055555555556" customWidth="1"/>
    <col min="11" max="11" width="8.37962962962963" style="131" customWidth="1"/>
    <col min="12" max="12" width="15.3055555555556" style="132" customWidth="1"/>
    <col min="13" max="13" width="17.8981481481481" customWidth="1"/>
    <col min="14" max="14" width="19.3796296296296" style="133" customWidth="1"/>
    <col min="15" max="15" width="36.4166666666667" customWidth="1"/>
    <col min="16" max="16" width="34.9351851851852" customWidth="1"/>
    <col min="17" max="17" width="35.6296296296296" customWidth="1"/>
    <col min="18" max="18" width="17.7777777777778" customWidth="1"/>
  </cols>
  <sheetData>
    <row r="1" ht="14.25" customHeight="1" spans="1:18">
      <c r="A1" s="134" t="s">
        <v>91</v>
      </c>
      <c r="B1" s="134"/>
      <c r="C1" s="134"/>
      <c r="D1" s="134"/>
      <c r="E1" s="134"/>
      <c r="F1" s="134"/>
      <c r="G1" s="134"/>
      <c r="H1" s="134"/>
      <c r="I1" s="134"/>
      <c r="J1" s="134"/>
      <c r="K1" s="135"/>
      <c r="L1" s="135"/>
    </row>
    <row r="2" spans="1:18">
      <c r="A2" s="134"/>
      <c r="B2" s="134"/>
      <c r="C2" s="134"/>
      <c r="D2" s="134"/>
      <c r="E2" s="134"/>
      <c r="F2" s="134"/>
      <c r="G2" s="134"/>
      <c r="H2" s="134"/>
      <c r="I2" s="134"/>
      <c r="J2" s="134"/>
      <c r="K2" s="135"/>
      <c r="L2" s="135"/>
    </row>
    <row r="3" spans="1:18">
      <c r="A3" s="134"/>
      <c r="B3" s="134"/>
      <c r="C3" s="134"/>
      <c r="D3" s="134"/>
      <c r="E3" s="134"/>
      <c r="F3" s="134"/>
      <c r="G3" s="134"/>
      <c r="H3" s="134"/>
      <c r="I3" s="134"/>
      <c r="J3" s="134"/>
      <c r="K3" s="135"/>
      <c r="L3" s="135"/>
    </row>
    <row r="4" spans="1:18">
      <c r="A4" s="134"/>
      <c r="B4" s="134"/>
      <c r="C4" s="134"/>
      <c r="D4" s="134"/>
      <c r="E4" s="134"/>
      <c r="F4" s="134"/>
      <c r="G4" s="134"/>
      <c r="H4" s="134"/>
      <c r="I4" s="134"/>
      <c r="J4" s="134"/>
      <c r="K4" s="135"/>
      <c r="L4" s="135"/>
    </row>
    <row r="5" spans="1:18">
      <c r="A5" s="134"/>
      <c r="B5" s="134"/>
      <c r="C5" s="134"/>
      <c r="D5" s="134"/>
      <c r="E5" s="134"/>
      <c r="F5" s="134"/>
      <c r="G5" s="134"/>
      <c r="H5" s="134"/>
      <c r="I5" s="134"/>
      <c r="J5" s="134"/>
      <c r="K5" s="135"/>
      <c r="L5" s="135"/>
    </row>
    <row r="6" spans="1:18">
      <c r="A6" s="134"/>
      <c r="B6" s="134"/>
      <c r="C6" s="134"/>
      <c r="D6" s="134"/>
      <c r="E6" s="134"/>
      <c r="F6" s="134"/>
      <c r="G6" s="134"/>
      <c r="H6" s="134"/>
      <c r="I6" s="134"/>
      <c r="J6" s="134"/>
      <c r="K6" s="135"/>
      <c r="L6" s="135"/>
    </row>
    <row r="7" spans="1:18">
      <c r="A7" s="134"/>
      <c r="B7" s="134"/>
      <c r="C7" s="134"/>
      <c r="D7" s="134"/>
      <c r="E7" s="134"/>
      <c r="F7" s="134"/>
      <c r="G7" s="134"/>
      <c r="H7" s="134"/>
      <c r="I7" s="134"/>
      <c r="J7" s="134"/>
      <c r="K7" s="135"/>
      <c r="L7" s="135"/>
    </row>
    <row r="8" spans="1:18">
      <c r="A8" s="134"/>
      <c r="B8" s="134"/>
      <c r="C8" s="134"/>
      <c r="D8" s="134"/>
      <c r="E8" s="134"/>
      <c r="F8" s="134"/>
      <c r="G8" s="134"/>
      <c r="H8" s="134"/>
      <c r="I8" s="134"/>
      <c r="J8" s="134"/>
      <c r="K8" s="135"/>
      <c r="L8" s="135"/>
    </row>
    <row r="9" spans="1:18">
      <c r="A9" s="136"/>
      <c r="B9" s="136"/>
      <c r="C9" s="136"/>
      <c r="D9" s="136"/>
      <c r="E9" s="136"/>
      <c r="F9" s="136"/>
      <c r="G9" s="136"/>
      <c r="H9" s="136"/>
      <c r="I9" s="136"/>
      <c r="J9" s="136"/>
      <c r="K9" s="137"/>
      <c r="L9" s="137"/>
    </row>
    <row r="10" s="128" customFormat="1" ht="18" customHeight="1" spans="1:18">
      <c r="A10" s="138" t="s">
        <v>18</v>
      </c>
      <c r="B10" s="138" t="s">
        <v>19</v>
      </c>
      <c r="C10" s="138" t="s">
        <v>21</v>
      </c>
      <c r="D10" s="138" t="s">
        <v>24</v>
      </c>
      <c r="E10" s="138" t="s">
        <v>29</v>
      </c>
      <c r="F10" s="138" t="s">
        <v>31</v>
      </c>
      <c r="G10" s="138" t="s">
        <v>30</v>
      </c>
      <c r="H10" s="139" t="s">
        <v>92</v>
      </c>
      <c r="I10" s="139" t="s">
        <v>93</v>
      </c>
      <c r="J10" s="139" t="s">
        <v>42</v>
      </c>
      <c r="K10" s="139" t="s">
        <v>94</v>
      </c>
      <c r="L10" s="140" t="s">
        <v>95</v>
      </c>
      <c r="M10" s="141" t="s">
        <v>96</v>
      </c>
      <c r="N10" s="141"/>
      <c r="O10" s="142" t="s">
        <v>97</v>
      </c>
      <c r="P10" s="143" t="s">
        <v>98</v>
      </c>
      <c r="Q10" s="142" t="s">
        <v>99</v>
      </c>
      <c r="R10" s="142" t="s">
        <v>100</v>
      </c>
    </row>
    <row r="11" s="128" customFormat="1" ht="18" customHeight="1" spans="1:18">
      <c r="A11" s="144"/>
      <c r="B11" s="144"/>
      <c r="C11" s="144"/>
      <c r="D11" s="144"/>
      <c r="E11" s="144"/>
      <c r="F11" s="144"/>
      <c r="G11" s="144"/>
      <c r="H11" s="145"/>
      <c r="I11" s="145"/>
      <c r="J11" s="145"/>
      <c r="K11" s="145"/>
      <c r="L11" s="146" t="s">
        <v>95</v>
      </c>
      <c r="M11" s="147" t="s">
        <v>101</v>
      </c>
      <c r="N11" s="148" t="s">
        <v>102</v>
      </c>
      <c r="O11" s="143"/>
      <c r="P11" s="149"/>
      <c r="Q11" s="143"/>
      <c r="R11" s="143"/>
    </row>
    <row r="12" ht="18" customHeight="1" spans="1:18">
      <c r="A12" s="150" t="s">
        <v>48</v>
      </c>
      <c r="B12" s="151" t="s">
        <v>49</v>
      </c>
      <c r="C12" s="152">
        <f>推广计划!D3</f>
        <v>54.99</v>
      </c>
      <c r="D12" s="152">
        <f>推广计划!G3</f>
        <v>18</v>
      </c>
      <c r="E12" s="152">
        <f>C12*D12*7</f>
        <v>6928.74</v>
      </c>
      <c r="F12" s="153">
        <f>推广计划!P3</f>
        <v>0.18</v>
      </c>
      <c r="G12" s="154">
        <f>D12/F12</f>
        <v>100</v>
      </c>
      <c r="H12" s="155">
        <f>D12*J12</f>
        <v>12.6</v>
      </c>
      <c r="I12" s="156">
        <f>H12*C12</f>
        <v>692.874</v>
      </c>
      <c r="J12" s="157">
        <v>0.7</v>
      </c>
      <c r="K12" s="158">
        <f t="shared" ref="K12:K27" si="0">L12*M12</f>
        <v>80.1818181818182</v>
      </c>
      <c r="L12" s="159">
        <f>$H$12/N12</f>
        <v>114.545454545455</v>
      </c>
      <c r="M12" s="160">
        <f>推广计划!T3</f>
        <v>0.7</v>
      </c>
      <c r="N12" s="161">
        <f>推广计划!U3</f>
        <v>0.11</v>
      </c>
      <c r="O12" s="162" t="s">
        <v>103</v>
      </c>
      <c r="P12" s="163" t="s">
        <v>104</v>
      </c>
      <c r="Q12" s="164" t="s">
        <v>105</v>
      </c>
      <c r="R12" s="165"/>
    </row>
    <row r="13" ht="18" customHeight="1" spans="1:18">
      <c r="A13" s="166"/>
      <c r="B13" s="167"/>
      <c r="C13" s="167"/>
      <c r="D13" s="167"/>
      <c r="E13" s="167"/>
      <c r="F13" s="168"/>
      <c r="G13" s="169"/>
      <c r="H13" s="170"/>
      <c r="I13" s="171"/>
      <c r="J13" s="172"/>
      <c r="K13" s="173">
        <f t="shared" si="0"/>
        <v>80.1818181818182</v>
      </c>
      <c r="L13" s="174">
        <f>$H$12/N13</f>
        <v>114.545454545455</v>
      </c>
      <c r="M13" s="160">
        <f>推广计划!T3</f>
        <v>0.7</v>
      </c>
      <c r="N13" s="161">
        <f>推广计划!U3</f>
        <v>0.11</v>
      </c>
      <c r="O13" s="175"/>
      <c r="P13" s="163"/>
      <c r="Q13" s="176"/>
      <c r="R13" s="165"/>
    </row>
    <row r="14" ht="18" customHeight="1" spans="1:18">
      <c r="A14" s="166"/>
      <c r="B14" s="167"/>
      <c r="C14" s="167"/>
      <c r="D14" s="167"/>
      <c r="E14" s="167"/>
      <c r="F14" s="168"/>
      <c r="G14" s="169"/>
      <c r="H14" s="170"/>
      <c r="I14" s="171"/>
      <c r="J14" s="172"/>
      <c r="K14" s="173">
        <f t="shared" si="0"/>
        <v>80.1818181818182</v>
      </c>
      <c r="L14" s="174">
        <f t="shared" ref="L14:L15" si="1">$H$12/N14</f>
        <v>114.545454545455</v>
      </c>
      <c r="M14" s="160">
        <f>推广计划!T3</f>
        <v>0.7</v>
      </c>
      <c r="N14" s="161">
        <f>推广计划!U3</f>
        <v>0.11</v>
      </c>
      <c r="O14" s="175"/>
      <c r="P14" s="163"/>
      <c r="Q14" s="176"/>
      <c r="R14" s="165"/>
    </row>
    <row r="15" ht="44.1" customHeight="1" spans="1:18">
      <c r="A15" s="177"/>
      <c r="B15" s="178"/>
      <c r="C15" s="178"/>
      <c r="D15" s="178"/>
      <c r="E15" s="178"/>
      <c r="F15" s="179"/>
      <c r="G15" s="180"/>
      <c r="H15" s="181"/>
      <c r="I15" s="182"/>
      <c r="J15" s="183"/>
      <c r="K15" s="184">
        <f t="shared" si="0"/>
        <v>80.1818181818182</v>
      </c>
      <c r="L15" s="185">
        <f t="shared" si="1"/>
        <v>114.545454545455</v>
      </c>
      <c r="M15" s="160">
        <f>推广计划!T3</f>
        <v>0.7</v>
      </c>
      <c r="N15" s="161">
        <f>推广计划!U3</f>
        <v>0.11</v>
      </c>
      <c r="O15" s="186"/>
      <c r="P15" s="163"/>
      <c r="Q15" s="176"/>
      <c r="R15" s="187"/>
    </row>
    <row r="16" ht="21" customHeight="1" spans="1:18">
      <c r="A16" s="188" t="s">
        <v>53</v>
      </c>
      <c r="B16" s="189" t="s">
        <v>54</v>
      </c>
      <c r="C16" s="152">
        <f>推广计划!D4</f>
        <v>54.99</v>
      </c>
      <c r="D16" s="152">
        <f>推广计划!G4</f>
        <v>28</v>
      </c>
      <c r="E16" s="152">
        <f>C16*D16*7</f>
        <v>10778.04</v>
      </c>
      <c r="F16" s="153">
        <f>推广计划!P4</f>
        <v>0.2</v>
      </c>
      <c r="G16" s="154">
        <f>D16/F16</f>
        <v>140</v>
      </c>
      <c r="H16" s="190">
        <f>D16*J16</f>
        <v>18.2</v>
      </c>
      <c r="I16" s="191">
        <f>H16*C16</f>
        <v>1000.818</v>
      </c>
      <c r="J16" s="192">
        <v>0.65</v>
      </c>
      <c r="K16" s="193">
        <f t="shared" si="0"/>
        <v>98.5833333333333</v>
      </c>
      <c r="L16" s="194">
        <f>$H$16/N16</f>
        <v>151.666666666667</v>
      </c>
      <c r="M16" s="160">
        <f>推广计划!T4</f>
        <v>0.65</v>
      </c>
      <c r="N16" s="161">
        <f>推广计划!U4</f>
        <v>0.12</v>
      </c>
      <c r="O16" s="195" t="s">
        <v>106</v>
      </c>
      <c r="P16" s="163"/>
      <c r="Q16" s="176"/>
      <c r="R16" s="196" t="s">
        <v>107</v>
      </c>
    </row>
    <row r="17" ht="21" customHeight="1" spans="1:18">
      <c r="A17" s="166"/>
      <c r="B17" s="197"/>
      <c r="C17" s="167"/>
      <c r="D17" s="167"/>
      <c r="E17" s="167"/>
      <c r="F17" s="168"/>
      <c r="G17" s="169"/>
      <c r="H17" s="170"/>
      <c r="I17" s="171"/>
      <c r="J17" s="172"/>
      <c r="K17" s="173">
        <f t="shared" si="0"/>
        <v>98.5833333333333</v>
      </c>
      <c r="L17" s="174">
        <f>$H$16/N17</f>
        <v>151.666666666667</v>
      </c>
      <c r="M17" s="160">
        <f>推广计划!T4</f>
        <v>0.65</v>
      </c>
      <c r="N17" s="161">
        <f>推广计划!U4</f>
        <v>0.12</v>
      </c>
      <c r="O17" s="175"/>
      <c r="P17" s="163"/>
      <c r="Q17" s="176"/>
      <c r="R17" s="165"/>
    </row>
    <row r="18" ht="21" customHeight="1" spans="1:18">
      <c r="A18" s="166"/>
      <c r="B18" s="197"/>
      <c r="C18" s="167"/>
      <c r="D18" s="167"/>
      <c r="E18" s="167"/>
      <c r="F18" s="168"/>
      <c r="G18" s="169"/>
      <c r="H18" s="170"/>
      <c r="I18" s="171"/>
      <c r="J18" s="172"/>
      <c r="K18" s="173">
        <f t="shared" si="0"/>
        <v>98.5833333333333</v>
      </c>
      <c r="L18" s="174">
        <f>$H$16/N18</f>
        <v>151.666666666667</v>
      </c>
      <c r="M18" s="160">
        <f>推广计划!T4</f>
        <v>0.65</v>
      </c>
      <c r="N18" s="161">
        <f>推广计划!U4</f>
        <v>0.12</v>
      </c>
      <c r="O18" s="175"/>
      <c r="P18" s="163"/>
      <c r="Q18" s="176"/>
      <c r="R18" s="165"/>
    </row>
    <row r="19" ht="21" customHeight="1" spans="1:18">
      <c r="A19" s="177"/>
      <c r="B19" s="198"/>
      <c r="C19" s="178"/>
      <c r="D19" s="178"/>
      <c r="E19" s="178"/>
      <c r="F19" s="179"/>
      <c r="G19" s="180"/>
      <c r="H19" s="181"/>
      <c r="I19" s="182"/>
      <c r="J19" s="183"/>
      <c r="K19" s="184">
        <f t="shared" si="0"/>
        <v>98.5833333333333</v>
      </c>
      <c r="L19" s="185">
        <f t="shared" ref="L19" si="2">$H$16/N19</f>
        <v>151.666666666667</v>
      </c>
      <c r="M19" s="160">
        <f>推广计划!T4</f>
        <v>0.65</v>
      </c>
      <c r="N19" s="161">
        <f>推广计划!U4</f>
        <v>0.12</v>
      </c>
      <c r="O19" s="186"/>
      <c r="P19" s="163"/>
      <c r="Q19" s="176"/>
      <c r="R19" s="165"/>
    </row>
    <row r="20" ht="22.35" customHeight="1" spans="1:18">
      <c r="A20" s="150" t="s">
        <v>56</v>
      </c>
      <c r="B20" s="189" t="s">
        <v>57</v>
      </c>
      <c r="C20" s="152">
        <f>推广计划!D5</f>
        <v>54.99</v>
      </c>
      <c r="D20" s="152">
        <f>推广计划!G5</f>
        <v>33</v>
      </c>
      <c r="E20" s="152">
        <f>C20*D20*7</f>
        <v>12702.69</v>
      </c>
      <c r="F20" s="153">
        <f>推广计划!P5</f>
        <v>0.22</v>
      </c>
      <c r="G20" s="154">
        <f>D20/F20</f>
        <v>150</v>
      </c>
      <c r="H20" s="190">
        <f>D20*J20</f>
        <v>19.8</v>
      </c>
      <c r="I20" s="191">
        <f>H20*C20</f>
        <v>1088.802</v>
      </c>
      <c r="J20" s="192">
        <v>0.6</v>
      </c>
      <c r="K20" s="199">
        <f t="shared" si="0"/>
        <v>91.3846153846154</v>
      </c>
      <c r="L20" s="200">
        <f>$H$20/N20</f>
        <v>152.307692307692</v>
      </c>
      <c r="M20" s="160">
        <f>推广计划!T5</f>
        <v>0.6</v>
      </c>
      <c r="N20" s="161">
        <f>推广计划!U5</f>
        <v>0.13</v>
      </c>
      <c r="O20" s="195" t="s">
        <v>106</v>
      </c>
      <c r="P20" s="163"/>
      <c r="Q20" s="176"/>
      <c r="R20" s="165"/>
    </row>
    <row r="21" ht="22.35" customHeight="1" spans="1:18">
      <c r="A21" s="166"/>
      <c r="B21" s="197"/>
      <c r="C21" s="167"/>
      <c r="D21" s="167"/>
      <c r="E21" s="167"/>
      <c r="F21" s="168"/>
      <c r="G21" s="169"/>
      <c r="H21" s="170"/>
      <c r="I21" s="171"/>
      <c r="J21" s="172"/>
      <c r="K21" s="173">
        <f t="shared" si="0"/>
        <v>91.3846153846154</v>
      </c>
      <c r="L21" s="174">
        <f t="shared" ref="L21:L23" si="3">$H$20/N21</f>
        <v>152.307692307692</v>
      </c>
      <c r="M21" s="160">
        <f>推广计划!T5</f>
        <v>0.6</v>
      </c>
      <c r="N21" s="161">
        <f>推广计划!U5</f>
        <v>0.13</v>
      </c>
      <c r="O21" s="175"/>
      <c r="P21" s="163"/>
      <c r="Q21" s="176"/>
      <c r="R21" s="165"/>
    </row>
    <row r="22" ht="22.35" customHeight="1" spans="1:18">
      <c r="A22" s="166"/>
      <c r="B22" s="197"/>
      <c r="C22" s="167"/>
      <c r="D22" s="167"/>
      <c r="E22" s="167"/>
      <c r="F22" s="168"/>
      <c r="G22" s="169"/>
      <c r="H22" s="170"/>
      <c r="I22" s="171"/>
      <c r="J22" s="172"/>
      <c r="K22" s="173">
        <f t="shared" si="0"/>
        <v>91.3846153846154</v>
      </c>
      <c r="L22" s="174">
        <f t="shared" si="3"/>
        <v>152.307692307692</v>
      </c>
      <c r="M22" s="160">
        <f>推广计划!T5</f>
        <v>0.6</v>
      </c>
      <c r="N22" s="161">
        <f>推广计划!U5</f>
        <v>0.13</v>
      </c>
      <c r="O22" s="175"/>
      <c r="P22" s="163"/>
      <c r="Q22" s="176"/>
      <c r="R22" s="165"/>
    </row>
    <row r="23" ht="22.35" customHeight="1" spans="1:18">
      <c r="A23" s="177"/>
      <c r="B23" s="198"/>
      <c r="C23" s="178"/>
      <c r="D23" s="178"/>
      <c r="E23" s="178"/>
      <c r="F23" s="179"/>
      <c r="G23" s="180"/>
      <c r="H23" s="181"/>
      <c r="I23" s="182"/>
      <c r="J23" s="183"/>
      <c r="K23" s="184">
        <f t="shared" si="0"/>
        <v>91.3846153846154</v>
      </c>
      <c r="L23" s="185">
        <f t="shared" si="3"/>
        <v>152.307692307692</v>
      </c>
      <c r="M23" s="160">
        <f>推广计划!T5</f>
        <v>0.6</v>
      </c>
      <c r="N23" s="161">
        <f>推广计划!U5</f>
        <v>0.13</v>
      </c>
      <c r="O23" s="186"/>
      <c r="P23" s="163"/>
      <c r="Q23" s="176"/>
      <c r="R23" s="187"/>
    </row>
    <row r="24" ht="24" customHeight="1" spans="1:18">
      <c r="A24" s="188" t="s">
        <v>61</v>
      </c>
      <c r="B24" s="189" t="s">
        <v>62</v>
      </c>
      <c r="C24" s="152">
        <f>推广计划!D6</f>
        <v>54.99</v>
      </c>
      <c r="D24" s="152">
        <f>推广计划!G6</f>
        <v>52</v>
      </c>
      <c r="E24" s="152">
        <f>C24*D24*7</f>
        <v>20016.36</v>
      </c>
      <c r="F24" s="153">
        <f>推广计划!P6</f>
        <v>0.28</v>
      </c>
      <c r="G24" s="154">
        <f>D24/F24</f>
        <v>185.714285714286</v>
      </c>
      <c r="H24" s="190">
        <f>D24*J24</f>
        <v>28.6</v>
      </c>
      <c r="I24" s="191">
        <f>H24*C24</f>
        <v>1572.714</v>
      </c>
      <c r="J24" s="192">
        <v>0.55</v>
      </c>
      <c r="K24" s="199">
        <f t="shared" si="0"/>
        <v>104.866666666667</v>
      </c>
      <c r="L24" s="200">
        <f>$H$24/N24</f>
        <v>190.666666666667</v>
      </c>
      <c r="M24" s="160">
        <f>推广计划!T6</f>
        <v>0.55</v>
      </c>
      <c r="N24" s="161">
        <f>推广计划!U6</f>
        <v>0.15</v>
      </c>
      <c r="O24" s="195" t="s">
        <v>106</v>
      </c>
      <c r="P24" s="163"/>
      <c r="Q24" s="176"/>
      <c r="R24" s="196" t="s">
        <v>107</v>
      </c>
    </row>
    <row r="25" ht="24" customHeight="1" spans="1:18">
      <c r="A25" s="166"/>
      <c r="B25" s="197"/>
      <c r="C25" s="167"/>
      <c r="D25" s="167"/>
      <c r="E25" s="167"/>
      <c r="F25" s="168"/>
      <c r="G25" s="169"/>
      <c r="H25" s="170"/>
      <c r="I25" s="171"/>
      <c r="J25" s="172"/>
      <c r="K25" s="173">
        <f t="shared" si="0"/>
        <v>104.866666666667</v>
      </c>
      <c r="L25" s="174">
        <f>$H$24/N25</f>
        <v>190.666666666667</v>
      </c>
      <c r="M25" s="160">
        <f>推广计划!T6</f>
        <v>0.55</v>
      </c>
      <c r="N25" s="161">
        <f>推广计划!U6</f>
        <v>0.15</v>
      </c>
      <c r="O25" s="175"/>
      <c r="P25" s="163"/>
      <c r="Q25" s="176"/>
      <c r="R25" s="165"/>
    </row>
    <row r="26" ht="24" customHeight="1" spans="1:18">
      <c r="A26" s="166"/>
      <c r="B26" s="197"/>
      <c r="C26" s="167"/>
      <c r="D26" s="167"/>
      <c r="E26" s="167"/>
      <c r="F26" s="168"/>
      <c r="G26" s="169"/>
      <c r="H26" s="170"/>
      <c r="I26" s="171"/>
      <c r="J26" s="172"/>
      <c r="K26" s="173">
        <f t="shared" si="0"/>
        <v>104.866666666667</v>
      </c>
      <c r="L26" s="174">
        <f t="shared" ref="L26:L27" si="4">$H$24/N26</f>
        <v>190.666666666667</v>
      </c>
      <c r="M26" s="160">
        <f>推广计划!T6</f>
        <v>0.55</v>
      </c>
      <c r="N26" s="161">
        <f>推广计划!U6</f>
        <v>0.15</v>
      </c>
      <c r="O26" s="175"/>
      <c r="P26" s="163"/>
      <c r="Q26" s="176"/>
      <c r="R26" s="165"/>
    </row>
    <row r="27" ht="24" customHeight="1" spans="1:18">
      <c r="A27" s="177"/>
      <c r="B27" s="198"/>
      <c r="C27" s="178"/>
      <c r="D27" s="178"/>
      <c r="E27" s="178"/>
      <c r="F27" s="179"/>
      <c r="G27" s="180"/>
      <c r="H27" s="181"/>
      <c r="I27" s="182"/>
      <c r="J27" s="183"/>
      <c r="K27" s="184">
        <f t="shared" si="0"/>
        <v>104.866666666667</v>
      </c>
      <c r="L27" s="185">
        <f t="shared" si="4"/>
        <v>190.666666666667</v>
      </c>
      <c r="M27" s="160">
        <f>推广计划!T6</f>
        <v>0.55</v>
      </c>
      <c r="N27" s="161">
        <f>推广计划!U6</f>
        <v>0.15</v>
      </c>
      <c r="O27" s="186"/>
      <c r="P27" s="201"/>
      <c r="Q27" s="176"/>
      <c r="R27" s="165"/>
    </row>
    <row r="28" ht="24.95" customHeight="1" spans="1:18">
      <c r="A28" s="150" t="s">
        <v>64</v>
      </c>
      <c r="B28" s="189" t="s">
        <v>65</v>
      </c>
      <c r="C28" s="152">
        <f>推广计划!D7</f>
        <v>54.99</v>
      </c>
      <c r="D28" s="152">
        <f>推广计划!G7</f>
        <v>38</v>
      </c>
      <c r="E28" s="152">
        <f>C28*D28*7</f>
        <v>14627.34</v>
      </c>
      <c r="F28" s="153">
        <f>推广计划!P7</f>
        <v>0.23</v>
      </c>
      <c r="G28" s="154">
        <f>D28/F28</f>
        <v>165.217391304348</v>
      </c>
      <c r="H28" s="190">
        <f>D28*J28</f>
        <v>19</v>
      </c>
      <c r="I28" s="191">
        <f>H28*C28</f>
        <v>1044.81</v>
      </c>
      <c r="J28" s="192">
        <v>0.5</v>
      </c>
      <c r="K28" s="193">
        <f t="shared" ref="K28:K31" si="5">L28*M28</f>
        <v>69.6666666666667</v>
      </c>
      <c r="L28" s="194">
        <f>$H$28/N28</f>
        <v>126.666666666667</v>
      </c>
      <c r="M28" s="160">
        <f>推广计划!T7</f>
        <v>0.55</v>
      </c>
      <c r="N28" s="161">
        <f>推广计划!U7</f>
        <v>0.15</v>
      </c>
      <c r="O28" s="195" t="s">
        <v>108</v>
      </c>
      <c r="P28" s="202" t="s">
        <v>109</v>
      </c>
      <c r="Q28" s="176"/>
      <c r="R28" s="165"/>
    </row>
    <row r="29" ht="24.95" customHeight="1" spans="1:18">
      <c r="A29" s="166"/>
      <c r="B29" s="197"/>
      <c r="C29" s="167"/>
      <c r="D29" s="167"/>
      <c r="E29" s="167"/>
      <c r="F29" s="168"/>
      <c r="G29" s="169"/>
      <c r="H29" s="170"/>
      <c r="I29" s="171"/>
      <c r="J29" s="172"/>
      <c r="K29" s="173">
        <f t="shared" si="5"/>
        <v>69.6666666666667</v>
      </c>
      <c r="L29" s="174">
        <f>$H$28/N29</f>
        <v>126.666666666667</v>
      </c>
      <c r="M29" s="160">
        <f>推广计划!T7</f>
        <v>0.55</v>
      </c>
      <c r="N29" s="161">
        <f>推广计划!U7</f>
        <v>0.15</v>
      </c>
      <c r="O29" s="175"/>
      <c r="P29" s="163"/>
      <c r="Q29" s="176"/>
      <c r="R29" s="165"/>
    </row>
    <row r="30" ht="24.95" customHeight="1" spans="1:18">
      <c r="A30" s="166"/>
      <c r="B30" s="197"/>
      <c r="C30" s="167"/>
      <c r="D30" s="167"/>
      <c r="E30" s="167"/>
      <c r="F30" s="168"/>
      <c r="G30" s="169"/>
      <c r="H30" s="170"/>
      <c r="I30" s="171"/>
      <c r="J30" s="172"/>
      <c r="K30" s="173">
        <f t="shared" si="5"/>
        <v>69.6666666666667</v>
      </c>
      <c r="L30" s="174">
        <f t="shared" ref="L30:L31" si="6">$H$28/N30</f>
        <v>126.666666666667</v>
      </c>
      <c r="M30" s="160">
        <f>推广计划!T7</f>
        <v>0.55</v>
      </c>
      <c r="N30" s="161">
        <f>推广计划!U7</f>
        <v>0.15</v>
      </c>
      <c r="O30" s="175"/>
      <c r="P30" s="163"/>
      <c r="Q30" s="176"/>
      <c r="R30" s="165"/>
    </row>
    <row r="31" ht="24.95" customHeight="1" spans="1:18">
      <c r="A31" s="177"/>
      <c r="B31" s="198"/>
      <c r="C31" s="178"/>
      <c r="D31" s="178"/>
      <c r="E31" s="178"/>
      <c r="F31" s="179"/>
      <c r="G31" s="180"/>
      <c r="H31" s="181"/>
      <c r="I31" s="182"/>
      <c r="J31" s="183"/>
      <c r="K31" s="184">
        <f t="shared" si="5"/>
        <v>69.6666666666667</v>
      </c>
      <c r="L31" s="185">
        <f t="shared" si="6"/>
        <v>126.666666666667</v>
      </c>
      <c r="M31" s="160">
        <f>推广计划!T7</f>
        <v>0.55</v>
      </c>
      <c r="N31" s="161">
        <f>推广计划!U7</f>
        <v>0.15</v>
      </c>
      <c r="O31" s="186"/>
      <c r="P31" s="163"/>
      <c r="Q31" s="176"/>
      <c r="R31" s="187"/>
    </row>
    <row r="32" ht="24.95" customHeight="1" spans="1:18">
      <c r="A32" s="188" t="s">
        <v>67</v>
      </c>
      <c r="B32" s="189" t="s">
        <v>68</v>
      </c>
      <c r="C32" s="152">
        <f>推广计划!D8</f>
        <v>54.99</v>
      </c>
      <c r="D32" s="152">
        <f>推广计划!G8</f>
        <v>41</v>
      </c>
      <c r="E32" s="152">
        <f>C32*D32*7</f>
        <v>15782.13</v>
      </c>
      <c r="F32" s="153">
        <f>推广计划!P8</f>
        <v>0.24</v>
      </c>
      <c r="G32" s="154">
        <f>D32/F32</f>
        <v>170.833333333333</v>
      </c>
      <c r="H32" s="190">
        <f t="shared" ref="H32:H60" si="7">D32*J32</f>
        <v>20.5</v>
      </c>
      <c r="I32" s="191">
        <f t="shared" ref="I32:I60" si="8">H32*C32</f>
        <v>1127.295</v>
      </c>
      <c r="J32" s="192">
        <v>0.5</v>
      </c>
      <c r="K32" s="193">
        <f t="shared" ref="K32:K35" si="9">L32*M32</f>
        <v>75.1666666666667</v>
      </c>
      <c r="L32" s="194">
        <f>$H$32/N32</f>
        <v>136.666666666667</v>
      </c>
      <c r="M32" s="160">
        <f>推广计划!T8</f>
        <v>0.55</v>
      </c>
      <c r="N32" s="161">
        <f>推广计划!U8</f>
        <v>0.15</v>
      </c>
      <c r="O32" s="195" t="s">
        <v>108</v>
      </c>
      <c r="P32" s="163"/>
      <c r="Q32" s="176"/>
      <c r="R32" s="196" t="s">
        <v>107</v>
      </c>
    </row>
    <row r="33" ht="24.95" customHeight="1" spans="1:18">
      <c r="A33" s="166"/>
      <c r="B33" s="197"/>
      <c r="C33" s="167"/>
      <c r="D33" s="167"/>
      <c r="E33" s="167"/>
      <c r="F33" s="168"/>
      <c r="G33" s="169"/>
      <c r="H33" s="170"/>
      <c r="I33" s="171"/>
      <c r="J33" s="172"/>
      <c r="K33" s="173">
        <f t="shared" si="9"/>
        <v>75.1666666666667</v>
      </c>
      <c r="L33" s="174">
        <f t="shared" ref="L33:L35" si="10">$H$32/N33</f>
        <v>136.666666666667</v>
      </c>
      <c r="M33" s="160">
        <f>推广计划!T8</f>
        <v>0.55</v>
      </c>
      <c r="N33" s="161">
        <f>推广计划!U8</f>
        <v>0.15</v>
      </c>
      <c r="O33" s="175"/>
      <c r="P33" s="163"/>
      <c r="Q33" s="176"/>
      <c r="R33" s="165"/>
    </row>
    <row r="34" ht="24.95" customHeight="1" spans="1:18">
      <c r="A34" s="166"/>
      <c r="B34" s="197"/>
      <c r="C34" s="167"/>
      <c r="D34" s="167"/>
      <c r="E34" s="167"/>
      <c r="F34" s="168"/>
      <c r="G34" s="169"/>
      <c r="H34" s="170"/>
      <c r="I34" s="171"/>
      <c r="J34" s="172"/>
      <c r="K34" s="173">
        <f t="shared" si="9"/>
        <v>75.1666666666667</v>
      </c>
      <c r="L34" s="174">
        <f t="shared" si="10"/>
        <v>136.666666666667</v>
      </c>
      <c r="M34" s="160">
        <f>推广计划!T8</f>
        <v>0.55</v>
      </c>
      <c r="N34" s="161">
        <f>推广计划!U8</f>
        <v>0.15</v>
      </c>
      <c r="O34" s="175"/>
      <c r="P34" s="163"/>
      <c r="Q34" s="176"/>
      <c r="R34" s="165"/>
    </row>
    <row r="35" ht="24.95" customHeight="1" spans="1:18">
      <c r="A35" s="177"/>
      <c r="B35" s="198"/>
      <c r="C35" s="178"/>
      <c r="D35" s="178"/>
      <c r="E35" s="178"/>
      <c r="F35" s="179"/>
      <c r="G35" s="180"/>
      <c r="H35" s="181"/>
      <c r="I35" s="182"/>
      <c r="J35" s="183"/>
      <c r="K35" s="184">
        <f t="shared" si="9"/>
        <v>75.1666666666667</v>
      </c>
      <c r="L35" s="185">
        <f t="shared" si="10"/>
        <v>136.666666666667</v>
      </c>
      <c r="M35" s="160">
        <f>推广计划!T8</f>
        <v>0.55</v>
      </c>
      <c r="N35" s="161">
        <f>推广计划!U8</f>
        <v>0.15</v>
      </c>
      <c r="O35" s="186"/>
      <c r="P35" s="163"/>
      <c r="Q35" s="176"/>
      <c r="R35" s="165"/>
    </row>
    <row r="36" ht="24.95" customHeight="1" spans="1:18">
      <c r="A36" s="150" t="s">
        <v>70</v>
      </c>
      <c r="B36" s="189" t="s">
        <v>71</v>
      </c>
      <c r="C36" s="152">
        <f>推广计划!D9</f>
        <v>54.99</v>
      </c>
      <c r="D36" s="152">
        <f>推广计划!G9</f>
        <v>65</v>
      </c>
      <c r="E36" s="152">
        <f>C36*D36*7</f>
        <v>25020.45</v>
      </c>
      <c r="F36" s="153">
        <f>推广计划!P9</f>
        <v>0.3</v>
      </c>
      <c r="G36" s="154">
        <f>D36/F36</f>
        <v>216.666666666667</v>
      </c>
      <c r="H36" s="190">
        <f t="shared" si="7"/>
        <v>32.5</v>
      </c>
      <c r="I36" s="191">
        <f t="shared" si="8"/>
        <v>1787.175</v>
      </c>
      <c r="J36" s="192">
        <v>0.5</v>
      </c>
      <c r="K36" s="193">
        <f t="shared" ref="K36:K63" si="11">L36*M36</f>
        <v>101.5625</v>
      </c>
      <c r="L36" s="194">
        <f>$H$36/N36</f>
        <v>203.125</v>
      </c>
      <c r="M36" s="160">
        <f>推广计划!T9</f>
        <v>0.5</v>
      </c>
      <c r="N36" s="161">
        <f>推广计划!U9</f>
        <v>0.16</v>
      </c>
      <c r="O36" s="195" t="s">
        <v>108</v>
      </c>
      <c r="P36" s="163"/>
      <c r="Q36" s="176"/>
      <c r="R36" s="165"/>
    </row>
    <row r="37" ht="24.95" customHeight="1" spans="1:18">
      <c r="A37" s="166"/>
      <c r="B37" s="197"/>
      <c r="C37" s="167"/>
      <c r="D37" s="167"/>
      <c r="E37" s="167"/>
      <c r="F37" s="168"/>
      <c r="G37" s="169"/>
      <c r="H37" s="170"/>
      <c r="I37" s="171"/>
      <c r="J37" s="172"/>
      <c r="K37" s="173">
        <f t="shared" si="11"/>
        <v>101.5625</v>
      </c>
      <c r="L37" s="174">
        <f>$H$36/N37</f>
        <v>203.125</v>
      </c>
      <c r="M37" s="160">
        <f>推广计划!T9</f>
        <v>0.5</v>
      </c>
      <c r="N37" s="161">
        <f>推广计划!U9</f>
        <v>0.16</v>
      </c>
      <c r="O37" s="175"/>
      <c r="P37" s="163"/>
      <c r="Q37" s="176"/>
      <c r="R37" s="165"/>
    </row>
    <row r="38" ht="24.95" customHeight="1" spans="1:18">
      <c r="A38" s="166"/>
      <c r="B38" s="197"/>
      <c r="C38" s="167"/>
      <c r="D38" s="167"/>
      <c r="E38" s="167"/>
      <c r="F38" s="168"/>
      <c r="G38" s="169"/>
      <c r="H38" s="170"/>
      <c r="I38" s="171"/>
      <c r="J38" s="172"/>
      <c r="K38" s="173">
        <f t="shared" si="11"/>
        <v>101.5625</v>
      </c>
      <c r="L38" s="174">
        <f>$H$36/N38</f>
        <v>203.125</v>
      </c>
      <c r="M38" s="160">
        <f>推广计划!T9</f>
        <v>0.5</v>
      </c>
      <c r="N38" s="161">
        <f>推广计划!U9</f>
        <v>0.16</v>
      </c>
      <c r="O38" s="175"/>
      <c r="P38" s="163"/>
      <c r="Q38" s="176"/>
      <c r="R38" s="165"/>
    </row>
    <row r="39" ht="24.95" customHeight="1" spans="1:18">
      <c r="A39" s="177"/>
      <c r="B39" s="198"/>
      <c r="C39" s="178"/>
      <c r="D39" s="178"/>
      <c r="E39" s="178"/>
      <c r="F39" s="179"/>
      <c r="G39" s="180"/>
      <c r="H39" s="181"/>
      <c r="I39" s="182"/>
      <c r="J39" s="183"/>
      <c r="K39" s="184">
        <f t="shared" si="11"/>
        <v>101.5625</v>
      </c>
      <c r="L39" s="185">
        <f t="shared" ref="L39" si="12">$H$36/N39</f>
        <v>203.125</v>
      </c>
      <c r="M39" s="160">
        <f>推广计划!T9</f>
        <v>0.5</v>
      </c>
      <c r="N39" s="161">
        <f>推广计划!U9</f>
        <v>0.16</v>
      </c>
      <c r="O39" s="186"/>
      <c r="P39" s="163"/>
      <c r="Q39" s="176"/>
      <c r="R39" s="187"/>
    </row>
    <row r="40" ht="24.95" customHeight="1" spans="1:18">
      <c r="A40" s="188" t="s">
        <v>73</v>
      </c>
      <c r="B40" s="189" t="s">
        <v>74</v>
      </c>
      <c r="C40" s="152">
        <f>推广计划!D10</f>
        <v>54.99</v>
      </c>
      <c r="D40" s="152">
        <f>推广计划!G10</f>
        <v>44</v>
      </c>
      <c r="E40" s="152">
        <f>C40*D40*7</f>
        <v>16936.92</v>
      </c>
      <c r="F40" s="153">
        <f>推广计划!P10</f>
        <v>0.25</v>
      </c>
      <c r="G40" s="154">
        <f>D40/F40</f>
        <v>176</v>
      </c>
      <c r="H40" s="190">
        <f t="shared" si="7"/>
        <v>19.8</v>
      </c>
      <c r="I40" s="191">
        <f t="shared" si="8"/>
        <v>1088.802</v>
      </c>
      <c r="J40" s="192">
        <v>0.45</v>
      </c>
      <c r="K40" s="193">
        <f t="shared" si="11"/>
        <v>61.875</v>
      </c>
      <c r="L40" s="194">
        <f>$H$40/N40</f>
        <v>123.75</v>
      </c>
      <c r="M40" s="160">
        <f>推广计划!T10</f>
        <v>0.5</v>
      </c>
      <c r="N40" s="161">
        <f>推广计划!U10</f>
        <v>0.16</v>
      </c>
      <c r="O40" s="195" t="s">
        <v>108</v>
      </c>
      <c r="P40" s="163"/>
      <c r="Q40" s="176"/>
      <c r="R40" s="196" t="s">
        <v>107</v>
      </c>
    </row>
    <row r="41" ht="24.95" customHeight="1" spans="1:18">
      <c r="A41" s="166"/>
      <c r="B41" s="197"/>
      <c r="C41" s="167"/>
      <c r="D41" s="167"/>
      <c r="E41" s="167"/>
      <c r="F41" s="168"/>
      <c r="G41" s="169"/>
      <c r="H41" s="170"/>
      <c r="I41" s="171"/>
      <c r="J41" s="172"/>
      <c r="K41" s="173">
        <f t="shared" si="11"/>
        <v>61.875</v>
      </c>
      <c r="L41" s="174">
        <f t="shared" ref="L41:L43" si="13">$H$40/N41</f>
        <v>123.75</v>
      </c>
      <c r="M41" s="160">
        <f>推广计划!T10</f>
        <v>0.5</v>
      </c>
      <c r="N41" s="161">
        <f>推广计划!U10</f>
        <v>0.16</v>
      </c>
      <c r="O41" s="175"/>
      <c r="P41" s="163"/>
      <c r="Q41" s="176"/>
      <c r="R41" s="165"/>
    </row>
    <row r="42" ht="24.95" customHeight="1" spans="1:18">
      <c r="A42" s="166"/>
      <c r="B42" s="197"/>
      <c r="C42" s="167"/>
      <c r="D42" s="167"/>
      <c r="E42" s="167"/>
      <c r="F42" s="168"/>
      <c r="G42" s="169"/>
      <c r="H42" s="170"/>
      <c r="I42" s="171"/>
      <c r="J42" s="172"/>
      <c r="K42" s="173">
        <f t="shared" si="11"/>
        <v>61.875</v>
      </c>
      <c r="L42" s="174">
        <f t="shared" si="13"/>
        <v>123.75</v>
      </c>
      <c r="M42" s="160">
        <f>推广计划!T10</f>
        <v>0.5</v>
      </c>
      <c r="N42" s="161">
        <f>推广计划!U10</f>
        <v>0.16</v>
      </c>
      <c r="O42" s="175"/>
      <c r="P42" s="163"/>
      <c r="Q42" s="176"/>
      <c r="R42" s="165"/>
    </row>
    <row r="43" ht="24.95" customHeight="1" spans="1:18">
      <c r="A43" s="177"/>
      <c r="B43" s="198"/>
      <c r="C43" s="178"/>
      <c r="D43" s="178"/>
      <c r="E43" s="178"/>
      <c r="F43" s="179"/>
      <c r="G43" s="180"/>
      <c r="H43" s="181"/>
      <c r="I43" s="182"/>
      <c r="J43" s="183"/>
      <c r="K43" s="184">
        <f t="shared" si="11"/>
        <v>61.875</v>
      </c>
      <c r="L43" s="185">
        <f t="shared" si="13"/>
        <v>123.75</v>
      </c>
      <c r="M43" s="160">
        <f>推广计划!T10</f>
        <v>0.5</v>
      </c>
      <c r="N43" s="161">
        <f>推广计划!U10</f>
        <v>0.16</v>
      </c>
      <c r="O43" s="186"/>
      <c r="P43" s="163"/>
      <c r="Q43" s="176"/>
      <c r="R43" s="165"/>
    </row>
    <row r="44" ht="24.95" customHeight="1" spans="1:18">
      <c r="A44" s="150" t="s">
        <v>77</v>
      </c>
      <c r="B44" s="189" t="s">
        <v>78</v>
      </c>
      <c r="C44" s="152">
        <f>推广计划!D11</f>
        <v>54.99</v>
      </c>
      <c r="D44" s="152">
        <f>推广计划!G11</f>
        <v>46</v>
      </c>
      <c r="E44" s="152">
        <f>C44*D44*7</f>
        <v>17706.78</v>
      </c>
      <c r="F44" s="153">
        <f>推广计划!P11</f>
        <v>0.26</v>
      </c>
      <c r="G44" s="154">
        <f>D44/F44</f>
        <v>176.923076923077</v>
      </c>
      <c r="H44" s="190">
        <f t="shared" si="7"/>
        <v>20.7</v>
      </c>
      <c r="I44" s="191">
        <f t="shared" si="8"/>
        <v>1138.293</v>
      </c>
      <c r="J44" s="192">
        <v>0.45</v>
      </c>
      <c r="K44" s="193">
        <f t="shared" si="11"/>
        <v>64.6875</v>
      </c>
      <c r="L44" s="194">
        <f>$H$44/N44</f>
        <v>129.375</v>
      </c>
      <c r="M44" s="160">
        <f>推广计划!T11</f>
        <v>0.5</v>
      </c>
      <c r="N44" s="161">
        <f>推广计划!U11</f>
        <v>0.16</v>
      </c>
      <c r="O44" s="195" t="s">
        <v>108</v>
      </c>
      <c r="P44" s="163"/>
      <c r="Q44" s="176"/>
      <c r="R44" s="165"/>
    </row>
    <row r="45" ht="24.95" customHeight="1" spans="1:18">
      <c r="A45" s="166"/>
      <c r="B45" s="197"/>
      <c r="C45" s="167"/>
      <c r="D45" s="167"/>
      <c r="E45" s="167"/>
      <c r="F45" s="168"/>
      <c r="G45" s="169"/>
      <c r="H45" s="170"/>
      <c r="I45" s="171"/>
      <c r="J45" s="172"/>
      <c r="K45" s="173">
        <f t="shared" si="11"/>
        <v>64.6875</v>
      </c>
      <c r="L45" s="174">
        <f t="shared" ref="L45:L47" si="14">$H$44/N45</f>
        <v>129.375</v>
      </c>
      <c r="M45" s="160">
        <f>推广计划!T11</f>
        <v>0.5</v>
      </c>
      <c r="N45" s="161">
        <f>推广计划!U11</f>
        <v>0.16</v>
      </c>
      <c r="O45" s="175"/>
      <c r="P45" s="163"/>
      <c r="Q45" s="176"/>
      <c r="R45" s="165"/>
    </row>
    <row r="46" ht="24.95" customHeight="1" spans="1:18">
      <c r="A46" s="166"/>
      <c r="B46" s="197"/>
      <c r="C46" s="167"/>
      <c r="D46" s="167"/>
      <c r="E46" s="167"/>
      <c r="F46" s="168"/>
      <c r="G46" s="169"/>
      <c r="H46" s="170"/>
      <c r="I46" s="171"/>
      <c r="J46" s="172"/>
      <c r="K46" s="173">
        <f t="shared" si="11"/>
        <v>64.6875</v>
      </c>
      <c r="L46" s="174">
        <f t="shared" si="14"/>
        <v>129.375</v>
      </c>
      <c r="M46" s="160">
        <f>推广计划!T11</f>
        <v>0.5</v>
      </c>
      <c r="N46" s="161">
        <f>推广计划!U11</f>
        <v>0.16</v>
      </c>
      <c r="O46" s="175"/>
      <c r="P46" s="163"/>
      <c r="Q46" s="176"/>
      <c r="R46" s="165"/>
    </row>
    <row r="47" ht="24.95" customHeight="1" spans="1:18">
      <c r="A47" s="177"/>
      <c r="B47" s="198"/>
      <c r="C47" s="178"/>
      <c r="D47" s="178"/>
      <c r="E47" s="178"/>
      <c r="F47" s="179"/>
      <c r="G47" s="180"/>
      <c r="H47" s="181"/>
      <c r="I47" s="182"/>
      <c r="J47" s="183"/>
      <c r="K47" s="184">
        <f t="shared" si="11"/>
        <v>64.6875</v>
      </c>
      <c r="L47" s="185">
        <f t="shared" si="14"/>
        <v>129.375</v>
      </c>
      <c r="M47" s="160">
        <f>推广计划!T11</f>
        <v>0.5</v>
      </c>
      <c r="N47" s="161">
        <f>推广计划!U11</f>
        <v>0.16</v>
      </c>
      <c r="O47" s="186"/>
      <c r="P47" s="163"/>
      <c r="Q47" s="176"/>
      <c r="R47" s="187"/>
    </row>
    <row r="48" ht="24.95" customHeight="1" spans="1:18">
      <c r="A48" s="188" t="s">
        <v>80</v>
      </c>
      <c r="B48" s="189" t="s">
        <v>81</v>
      </c>
      <c r="C48" s="152">
        <f>推广计划!D12</f>
        <v>54.99</v>
      </c>
      <c r="D48" s="152">
        <f>推广计划!G12</f>
        <v>70</v>
      </c>
      <c r="E48" s="152">
        <f>C48*D48*7</f>
        <v>26945.1</v>
      </c>
      <c r="F48" s="153">
        <f>推广计划!P12</f>
        <v>0.31</v>
      </c>
      <c r="G48" s="154">
        <f>D48/F48</f>
        <v>225.806451612903</v>
      </c>
      <c r="H48" s="190">
        <f t="shared" si="7"/>
        <v>28</v>
      </c>
      <c r="I48" s="191">
        <f t="shared" si="8"/>
        <v>1539.72</v>
      </c>
      <c r="J48" s="192">
        <v>0.4</v>
      </c>
      <c r="K48" s="193">
        <f t="shared" si="11"/>
        <v>87.5</v>
      </c>
      <c r="L48" s="194">
        <f>$H$48/N48</f>
        <v>175</v>
      </c>
      <c r="M48" s="160">
        <f>推广计划!T12</f>
        <v>0.5</v>
      </c>
      <c r="N48" s="161">
        <f>推广计划!U12</f>
        <v>0.16</v>
      </c>
      <c r="O48" s="195" t="s">
        <v>108</v>
      </c>
      <c r="P48" s="163"/>
      <c r="Q48" s="176"/>
      <c r="R48" s="196" t="s">
        <v>107</v>
      </c>
    </row>
    <row r="49" ht="24.95" customHeight="1" spans="1:18">
      <c r="A49" s="166"/>
      <c r="B49" s="197"/>
      <c r="C49" s="167"/>
      <c r="D49" s="167"/>
      <c r="E49" s="167"/>
      <c r="F49" s="168"/>
      <c r="G49" s="169"/>
      <c r="H49" s="170"/>
      <c r="I49" s="171"/>
      <c r="J49" s="172"/>
      <c r="K49" s="173">
        <f t="shared" si="11"/>
        <v>87.5</v>
      </c>
      <c r="L49" s="174">
        <f t="shared" ref="L49:L51" si="15">$H$48/N49</f>
        <v>175</v>
      </c>
      <c r="M49" s="160">
        <f>推广计划!T12</f>
        <v>0.5</v>
      </c>
      <c r="N49" s="161">
        <f>推广计划!U12</f>
        <v>0.16</v>
      </c>
      <c r="O49" s="175"/>
      <c r="P49" s="163"/>
      <c r="Q49" s="176"/>
      <c r="R49" s="165"/>
    </row>
    <row r="50" ht="24.95" customHeight="1" spans="1:18">
      <c r="A50" s="166"/>
      <c r="B50" s="197"/>
      <c r="C50" s="167"/>
      <c r="D50" s="167"/>
      <c r="E50" s="167"/>
      <c r="F50" s="168"/>
      <c r="G50" s="169"/>
      <c r="H50" s="170"/>
      <c r="I50" s="171"/>
      <c r="J50" s="172"/>
      <c r="K50" s="173">
        <f t="shared" si="11"/>
        <v>87.5</v>
      </c>
      <c r="L50" s="174">
        <f t="shared" si="15"/>
        <v>175</v>
      </c>
      <c r="M50" s="160">
        <f>推广计划!T12</f>
        <v>0.5</v>
      </c>
      <c r="N50" s="161">
        <f>推广计划!U12</f>
        <v>0.16</v>
      </c>
      <c r="O50" s="175"/>
      <c r="P50" s="163"/>
      <c r="Q50" s="176"/>
      <c r="R50" s="165"/>
    </row>
    <row r="51" ht="24.95" customHeight="1" spans="1:18">
      <c r="A51" s="177"/>
      <c r="B51" s="198"/>
      <c r="C51" s="178"/>
      <c r="D51" s="178"/>
      <c r="E51" s="178"/>
      <c r="F51" s="179"/>
      <c r="G51" s="180"/>
      <c r="H51" s="181"/>
      <c r="I51" s="182"/>
      <c r="J51" s="183"/>
      <c r="K51" s="184">
        <f t="shared" si="11"/>
        <v>87.5</v>
      </c>
      <c r="L51" s="185">
        <f t="shared" si="15"/>
        <v>175</v>
      </c>
      <c r="M51" s="160">
        <f>推广计划!T12</f>
        <v>0.5</v>
      </c>
      <c r="N51" s="161">
        <f>推广计划!U12</f>
        <v>0.16</v>
      </c>
      <c r="O51" s="186"/>
      <c r="P51" s="163"/>
      <c r="Q51" s="176"/>
      <c r="R51" s="165"/>
    </row>
    <row r="52" ht="24.95" customHeight="1" spans="1:18">
      <c r="A52" s="150" t="s">
        <v>83</v>
      </c>
      <c r="B52" s="189" t="s">
        <v>84</v>
      </c>
      <c r="C52" s="152">
        <f>推广计划!D13</f>
        <v>54.99</v>
      </c>
      <c r="D52" s="152">
        <f>推广计划!G13</f>
        <v>48</v>
      </c>
      <c r="E52" s="152">
        <f>C52*D52*7</f>
        <v>18476.64</v>
      </c>
      <c r="F52" s="153">
        <f>推广计划!P13</f>
        <v>0.27</v>
      </c>
      <c r="G52" s="154">
        <f>D52/F52</f>
        <v>177.777777777778</v>
      </c>
      <c r="H52" s="190">
        <f t="shared" si="7"/>
        <v>16.8</v>
      </c>
      <c r="I52" s="191">
        <f t="shared" si="8"/>
        <v>923.832</v>
      </c>
      <c r="J52" s="192">
        <v>0.35</v>
      </c>
      <c r="K52" s="193">
        <f t="shared" si="11"/>
        <v>52.5</v>
      </c>
      <c r="L52" s="194">
        <f>$H$52/N52</f>
        <v>105</v>
      </c>
      <c r="M52" s="160">
        <f>推广计划!T13</f>
        <v>0.5</v>
      </c>
      <c r="N52" s="161">
        <f>推广计划!U13</f>
        <v>0.16</v>
      </c>
      <c r="O52" s="195" t="s">
        <v>108</v>
      </c>
      <c r="P52" s="163"/>
      <c r="Q52" s="176"/>
      <c r="R52" s="165"/>
    </row>
    <row r="53" ht="24.95" customHeight="1" spans="1:18">
      <c r="A53" s="166"/>
      <c r="B53" s="197"/>
      <c r="C53" s="167"/>
      <c r="D53" s="167"/>
      <c r="E53" s="167"/>
      <c r="F53" s="168"/>
      <c r="G53" s="169"/>
      <c r="H53" s="170"/>
      <c r="I53" s="171"/>
      <c r="J53" s="172"/>
      <c r="K53" s="173">
        <f t="shared" si="11"/>
        <v>52.5</v>
      </c>
      <c r="L53" s="174">
        <f>$H$52/N53</f>
        <v>105</v>
      </c>
      <c r="M53" s="160">
        <f>推广计划!T13</f>
        <v>0.5</v>
      </c>
      <c r="N53" s="161">
        <f>推广计划!U13</f>
        <v>0.16</v>
      </c>
      <c r="O53" s="175"/>
      <c r="P53" s="163"/>
      <c r="Q53" s="176"/>
      <c r="R53" s="165"/>
    </row>
    <row r="54" ht="24.95" customHeight="1" spans="1:18">
      <c r="A54" s="166"/>
      <c r="B54" s="197"/>
      <c r="C54" s="167"/>
      <c r="D54" s="167"/>
      <c r="E54" s="167"/>
      <c r="F54" s="168"/>
      <c r="G54" s="169"/>
      <c r="H54" s="170"/>
      <c r="I54" s="171"/>
      <c r="J54" s="172"/>
      <c r="K54" s="173">
        <f t="shared" si="11"/>
        <v>52.5</v>
      </c>
      <c r="L54" s="174">
        <f>$H$52/N54</f>
        <v>105</v>
      </c>
      <c r="M54" s="160">
        <f>推广计划!T13</f>
        <v>0.5</v>
      </c>
      <c r="N54" s="161">
        <f>推广计划!U13</f>
        <v>0.16</v>
      </c>
      <c r="O54" s="175"/>
      <c r="P54" s="163"/>
      <c r="Q54" s="176"/>
      <c r="R54" s="165"/>
    </row>
    <row r="55" ht="24.95" customHeight="1" spans="1:18">
      <c r="A55" s="177"/>
      <c r="B55" s="198"/>
      <c r="C55" s="178"/>
      <c r="D55" s="178"/>
      <c r="E55" s="178"/>
      <c r="F55" s="179"/>
      <c r="G55" s="180"/>
      <c r="H55" s="181"/>
      <c r="I55" s="182"/>
      <c r="J55" s="183"/>
      <c r="K55" s="184">
        <f t="shared" si="11"/>
        <v>52.5</v>
      </c>
      <c r="L55" s="185">
        <f>$H$52/N55</f>
        <v>105</v>
      </c>
      <c r="M55" s="160">
        <f>推广计划!T13</f>
        <v>0.5</v>
      </c>
      <c r="N55" s="161">
        <f>推广计划!U13</f>
        <v>0.16</v>
      </c>
      <c r="O55" s="186"/>
      <c r="P55" s="201"/>
      <c r="Q55" s="176"/>
      <c r="R55" s="187"/>
    </row>
    <row r="56" ht="24.95" customHeight="1" spans="1:18">
      <c r="A56" s="188" t="s">
        <v>85</v>
      </c>
      <c r="B56" s="189" t="s">
        <v>86</v>
      </c>
      <c r="C56" s="152">
        <f>推广计划!D14</f>
        <v>54.99</v>
      </c>
      <c r="D56" s="152">
        <f>推广计划!G14</f>
        <v>50</v>
      </c>
      <c r="E56" s="152">
        <f>C56*D56*7</f>
        <v>19246.5</v>
      </c>
      <c r="F56" s="153">
        <f>推广计划!P14</f>
        <v>0.28</v>
      </c>
      <c r="G56" s="154">
        <f>D56/F56</f>
        <v>178.571428571429</v>
      </c>
      <c r="H56" s="190">
        <f>D56*J56</f>
        <v>15</v>
      </c>
      <c r="I56" s="191">
        <f t="shared" si="8"/>
        <v>824.85</v>
      </c>
      <c r="J56" s="192">
        <v>0.3</v>
      </c>
      <c r="K56" s="193">
        <f t="shared" si="11"/>
        <v>46.875</v>
      </c>
      <c r="L56" s="194">
        <f>$H$56/N56</f>
        <v>93.75</v>
      </c>
      <c r="M56" s="160">
        <f>推广计划!T14</f>
        <v>0.5</v>
      </c>
      <c r="N56" s="161">
        <f>推广计划!U14</f>
        <v>0.16</v>
      </c>
      <c r="O56" s="195" t="s">
        <v>110</v>
      </c>
      <c r="P56" s="202" t="s">
        <v>111</v>
      </c>
      <c r="Q56" s="176"/>
      <c r="R56" s="196" t="s">
        <v>112</v>
      </c>
    </row>
    <row r="57" ht="24.95" customHeight="1" spans="1:18">
      <c r="A57" s="166"/>
      <c r="B57" s="197"/>
      <c r="C57" s="167"/>
      <c r="D57" s="167"/>
      <c r="E57" s="167"/>
      <c r="F57" s="168"/>
      <c r="G57" s="169"/>
      <c r="H57" s="170"/>
      <c r="I57" s="171"/>
      <c r="J57" s="172"/>
      <c r="K57" s="173">
        <f t="shared" si="11"/>
        <v>46.875</v>
      </c>
      <c r="L57" s="174">
        <f>$H$56/N57</f>
        <v>93.75</v>
      </c>
      <c r="M57" s="160">
        <f>推广计划!T14</f>
        <v>0.5</v>
      </c>
      <c r="N57" s="161">
        <f>推广计划!U14</f>
        <v>0.16</v>
      </c>
      <c r="O57" s="175"/>
      <c r="P57" s="163"/>
      <c r="Q57" s="176"/>
      <c r="R57" s="165"/>
    </row>
    <row r="58" ht="24.95" customHeight="1" spans="1:18">
      <c r="A58" s="166"/>
      <c r="B58" s="197"/>
      <c r="C58" s="167"/>
      <c r="D58" s="167"/>
      <c r="E58" s="167"/>
      <c r="F58" s="168"/>
      <c r="G58" s="169"/>
      <c r="H58" s="170"/>
      <c r="I58" s="171"/>
      <c r="J58" s="172"/>
      <c r="K58" s="173">
        <f t="shared" si="11"/>
        <v>46.875</v>
      </c>
      <c r="L58" s="174">
        <f t="shared" ref="L58:L59" si="16">$H$56/N58</f>
        <v>93.75</v>
      </c>
      <c r="M58" s="160">
        <f>推广计划!T14</f>
        <v>0.5</v>
      </c>
      <c r="N58" s="161">
        <f>推广计划!U14</f>
        <v>0.16</v>
      </c>
      <c r="O58" s="175"/>
      <c r="P58" s="163"/>
      <c r="Q58" s="176"/>
      <c r="R58" s="165"/>
    </row>
    <row r="59" ht="24.95" customHeight="1" spans="1:18">
      <c r="A59" s="177"/>
      <c r="B59" s="198"/>
      <c r="C59" s="178"/>
      <c r="D59" s="178"/>
      <c r="E59" s="178"/>
      <c r="F59" s="179"/>
      <c r="G59" s="180"/>
      <c r="H59" s="181"/>
      <c r="I59" s="182"/>
      <c r="J59" s="183"/>
      <c r="K59" s="184">
        <f t="shared" si="11"/>
        <v>46.875</v>
      </c>
      <c r="L59" s="185">
        <f t="shared" si="16"/>
        <v>93.75</v>
      </c>
      <c r="M59" s="160">
        <f>推广计划!T14</f>
        <v>0.5</v>
      </c>
      <c r="N59" s="161">
        <f>推广计划!U14</f>
        <v>0.16</v>
      </c>
      <c r="O59" s="186"/>
      <c r="P59" s="163"/>
      <c r="Q59" s="176"/>
      <c r="R59" s="165"/>
    </row>
    <row r="60" ht="24.95" customHeight="1" spans="1:18">
      <c r="A60" s="150" t="s">
        <v>89</v>
      </c>
      <c r="B60" s="189" t="s">
        <v>113</v>
      </c>
      <c r="C60" s="152">
        <f>推广计划!D15</f>
        <v>54.99</v>
      </c>
      <c r="D60" s="152">
        <f>推广计划!G15</f>
        <v>75</v>
      </c>
      <c r="E60" s="152">
        <f>C60*D60*7</f>
        <v>28869.75</v>
      </c>
      <c r="F60" s="153">
        <f>推广计划!P15</f>
        <v>0.32</v>
      </c>
      <c r="G60" s="154">
        <f>D60/F60</f>
        <v>234.375</v>
      </c>
      <c r="H60" s="190">
        <f t="shared" si="7"/>
        <v>22.5</v>
      </c>
      <c r="I60" s="191">
        <f t="shared" si="8"/>
        <v>1237.275</v>
      </c>
      <c r="J60" s="192">
        <v>0.3</v>
      </c>
      <c r="K60" s="193">
        <f t="shared" si="11"/>
        <v>66.1764705882353</v>
      </c>
      <c r="L60" s="194">
        <f>$H$60/N60</f>
        <v>132.352941176471</v>
      </c>
      <c r="M60" s="160">
        <f>推广计划!T15</f>
        <v>0.5</v>
      </c>
      <c r="N60" s="161">
        <f>推广计划!U15</f>
        <v>0.17</v>
      </c>
      <c r="O60" s="195" t="s">
        <v>110</v>
      </c>
      <c r="P60" s="163"/>
      <c r="Q60" s="176"/>
      <c r="R60" s="165"/>
    </row>
    <row r="61" ht="24.95" customHeight="1" spans="1:18">
      <c r="A61" s="166"/>
      <c r="B61" s="197"/>
      <c r="C61" s="167"/>
      <c r="D61" s="167"/>
      <c r="E61" s="167"/>
      <c r="F61" s="168"/>
      <c r="G61" s="169"/>
      <c r="H61" s="170"/>
      <c r="I61" s="171"/>
      <c r="J61" s="172"/>
      <c r="K61" s="173">
        <f t="shared" si="11"/>
        <v>66.1764705882353</v>
      </c>
      <c r="L61" s="174">
        <f t="shared" ref="L61:L63" si="17">$H$60/N61</f>
        <v>132.352941176471</v>
      </c>
      <c r="M61" s="160">
        <f>推广计划!T15</f>
        <v>0.5</v>
      </c>
      <c r="N61" s="161">
        <f>推广计划!U15</f>
        <v>0.17</v>
      </c>
      <c r="O61" s="175"/>
      <c r="P61" s="163"/>
      <c r="Q61" s="176"/>
      <c r="R61" s="165"/>
    </row>
    <row r="62" ht="24.95" customHeight="1" spans="1:18">
      <c r="A62" s="166"/>
      <c r="B62" s="197"/>
      <c r="C62" s="167"/>
      <c r="D62" s="167"/>
      <c r="E62" s="167"/>
      <c r="F62" s="168"/>
      <c r="G62" s="169"/>
      <c r="H62" s="170"/>
      <c r="I62" s="171"/>
      <c r="J62" s="172"/>
      <c r="K62" s="173">
        <f t="shared" si="11"/>
        <v>66.1764705882353</v>
      </c>
      <c r="L62" s="174">
        <f t="shared" si="17"/>
        <v>132.352941176471</v>
      </c>
      <c r="M62" s="160">
        <f>推广计划!T15</f>
        <v>0.5</v>
      </c>
      <c r="N62" s="161">
        <f>推广计划!U15</f>
        <v>0.17</v>
      </c>
      <c r="O62" s="175"/>
      <c r="P62" s="163"/>
      <c r="Q62" s="176"/>
      <c r="R62" s="165"/>
    </row>
    <row r="63" ht="24.95" customHeight="1" spans="1:18">
      <c r="A63" s="177"/>
      <c r="B63" s="198"/>
      <c r="C63" s="178"/>
      <c r="D63" s="178"/>
      <c r="E63" s="178"/>
      <c r="F63" s="179"/>
      <c r="G63" s="180"/>
      <c r="H63" s="181"/>
      <c r="I63" s="182"/>
      <c r="J63" s="183"/>
      <c r="K63" s="184">
        <f t="shared" si="11"/>
        <v>66.1764705882353</v>
      </c>
      <c r="L63" s="185">
        <f t="shared" si="17"/>
        <v>132.352941176471</v>
      </c>
      <c r="M63" s="160">
        <f>推广计划!T15</f>
        <v>0.5</v>
      </c>
      <c r="N63" s="161">
        <f>推广计划!U15</f>
        <v>0.17</v>
      </c>
      <c r="O63" s="186"/>
      <c r="P63" s="201"/>
      <c r="Q63" s="203"/>
      <c r="R63" s="187"/>
    </row>
  </sheetData>
  <mergeCells count="172">
    <mergeCell ref="M10:N10"/>
    <mergeCell ref="A10:A11"/>
    <mergeCell ref="A12:A15"/>
    <mergeCell ref="A16:A19"/>
    <mergeCell ref="A20:A23"/>
    <mergeCell ref="A24:A27"/>
    <mergeCell ref="A28:A31"/>
    <mergeCell ref="A32:A35"/>
    <mergeCell ref="A36:A39"/>
    <mergeCell ref="A40:A43"/>
    <mergeCell ref="A44:A47"/>
    <mergeCell ref="A48:A51"/>
    <mergeCell ref="A52:A55"/>
    <mergeCell ref="A56:A59"/>
    <mergeCell ref="A60:A63"/>
    <mergeCell ref="B10:B11"/>
    <mergeCell ref="B12:B15"/>
    <mergeCell ref="B16:B19"/>
    <mergeCell ref="B20:B23"/>
    <mergeCell ref="B24:B27"/>
    <mergeCell ref="B28:B31"/>
    <mergeCell ref="B32:B35"/>
    <mergeCell ref="B36:B39"/>
    <mergeCell ref="B40:B43"/>
    <mergeCell ref="B44:B47"/>
    <mergeCell ref="B48:B51"/>
    <mergeCell ref="B52:B55"/>
    <mergeCell ref="B56:B59"/>
    <mergeCell ref="B60:B63"/>
    <mergeCell ref="C10:C11"/>
    <mergeCell ref="C12:C15"/>
    <mergeCell ref="C16:C19"/>
    <mergeCell ref="C20:C23"/>
    <mergeCell ref="C24:C27"/>
    <mergeCell ref="C28:C31"/>
    <mergeCell ref="C32:C35"/>
    <mergeCell ref="C36:C39"/>
    <mergeCell ref="C40:C43"/>
    <mergeCell ref="C44:C47"/>
    <mergeCell ref="C48:C51"/>
    <mergeCell ref="C52:C55"/>
    <mergeCell ref="C56:C59"/>
    <mergeCell ref="C60:C63"/>
    <mergeCell ref="D10:D11"/>
    <mergeCell ref="D12:D15"/>
    <mergeCell ref="D16:D19"/>
    <mergeCell ref="D20:D23"/>
    <mergeCell ref="D24:D27"/>
    <mergeCell ref="D28:D31"/>
    <mergeCell ref="D32:D35"/>
    <mergeCell ref="D36:D39"/>
    <mergeCell ref="D40:D43"/>
    <mergeCell ref="D44:D47"/>
    <mergeCell ref="D48:D51"/>
    <mergeCell ref="D52:D55"/>
    <mergeCell ref="D56:D59"/>
    <mergeCell ref="D60:D63"/>
    <mergeCell ref="E10:E11"/>
    <mergeCell ref="E12:E15"/>
    <mergeCell ref="E16:E19"/>
    <mergeCell ref="E20:E23"/>
    <mergeCell ref="E24:E27"/>
    <mergeCell ref="E28:E31"/>
    <mergeCell ref="E32:E35"/>
    <mergeCell ref="E36:E39"/>
    <mergeCell ref="E40:E43"/>
    <mergeCell ref="E44:E47"/>
    <mergeCell ref="E48:E51"/>
    <mergeCell ref="E52:E55"/>
    <mergeCell ref="E56:E59"/>
    <mergeCell ref="E60:E63"/>
    <mergeCell ref="F10:F11"/>
    <mergeCell ref="F12:F15"/>
    <mergeCell ref="F16:F19"/>
    <mergeCell ref="F20:F23"/>
    <mergeCell ref="F24:F27"/>
    <mergeCell ref="F28:F31"/>
    <mergeCell ref="F32:F35"/>
    <mergeCell ref="F36:F39"/>
    <mergeCell ref="F40:F43"/>
    <mergeCell ref="F44:F47"/>
    <mergeCell ref="F48:F51"/>
    <mergeCell ref="F52:F55"/>
    <mergeCell ref="F56:F59"/>
    <mergeCell ref="F60:F63"/>
    <mergeCell ref="G10:G11"/>
    <mergeCell ref="G12:G15"/>
    <mergeCell ref="G16:G19"/>
    <mergeCell ref="G20:G23"/>
    <mergeCell ref="G24:G27"/>
    <mergeCell ref="G28:G31"/>
    <mergeCell ref="G32:G35"/>
    <mergeCell ref="G36:G39"/>
    <mergeCell ref="G40:G43"/>
    <mergeCell ref="G44:G47"/>
    <mergeCell ref="G48:G51"/>
    <mergeCell ref="G52:G55"/>
    <mergeCell ref="G56:G59"/>
    <mergeCell ref="G60:G63"/>
    <mergeCell ref="H10:H11"/>
    <mergeCell ref="H12:H15"/>
    <mergeCell ref="H16:H19"/>
    <mergeCell ref="H20:H23"/>
    <mergeCell ref="H24:H27"/>
    <mergeCell ref="H28:H31"/>
    <mergeCell ref="H32:H35"/>
    <mergeCell ref="H36:H39"/>
    <mergeCell ref="H40:H43"/>
    <mergeCell ref="H44:H47"/>
    <mergeCell ref="H48:H51"/>
    <mergeCell ref="H52:H55"/>
    <mergeCell ref="H56:H59"/>
    <mergeCell ref="H60:H63"/>
    <mergeCell ref="I10:I11"/>
    <mergeCell ref="I12:I15"/>
    <mergeCell ref="I16:I19"/>
    <mergeCell ref="I20:I23"/>
    <mergeCell ref="I24:I27"/>
    <mergeCell ref="I28:I31"/>
    <mergeCell ref="I32:I35"/>
    <mergeCell ref="I36:I39"/>
    <mergeCell ref="I40:I43"/>
    <mergeCell ref="I44:I47"/>
    <mergeCell ref="I48:I51"/>
    <mergeCell ref="I52:I55"/>
    <mergeCell ref="I56:I59"/>
    <mergeCell ref="I60:I63"/>
    <mergeCell ref="J10:J11"/>
    <mergeCell ref="J12:J15"/>
    <mergeCell ref="J16:J19"/>
    <mergeCell ref="J20:J23"/>
    <mergeCell ref="J24:J27"/>
    <mergeCell ref="J28:J31"/>
    <mergeCell ref="J32:J35"/>
    <mergeCell ref="J36:J39"/>
    <mergeCell ref="J40:J43"/>
    <mergeCell ref="J44:J47"/>
    <mergeCell ref="J48:J51"/>
    <mergeCell ref="J52:J55"/>
    <mergeCell ref="J56:J59"/>
    <mergeCell ref="J60:J63"/>
    <mergeCell ref="K10:K11"/>
    <mergeCell ref="L10:L11"/>
    <mergeCell ref="O10:O11"/>
    <mergeCell ref="O12:O15"/>
    <mergeCell ref="O16:O19"/>
    <mergeCell ref="O20:O23"/>
    <mergeCell ref="O24:O27"/>
    <mergeCell ref="O28:O31"/>
    <mergeCell ref="O32:O35"/>
    <mergeCell ref="O36:O39"/>
    <mergeCell ref="O40:O43"/>
    <mergeCell ref="O44:O47"/>
    <mergeCell ref="O48:O51"/>
    <mergeCell ref="O52:O55"/>
    <mergeCell ref="O56:O59"/>
    <mergeCell ref="O60:O63"/>
    <mergeCell ref="P10:P11"/>
    <mergeCell ref="P12:P27"/>
    <mergeCell ref="P28:P55"/>
    <mergeCell ref="P56:P63"/>
    <mergeCell ref="Q10:Q11"/>
    <mergeCell ref="Q12:Q63"/>
    <mergeCell ref="R10:R11"/>
    <mergeCell ref="R12:R15"/>
    <mergeCell ref="R16:R23"/>
    <mergeCell ref="R24:R31"/>
    <mergeCell ref="R32:R39"/>
    <mergeCell ref="R40:R47"/>
    <mergeCell ref="R48:R55"/>
    <mergeCell ref="R56:R63"/>
    <mergeCell ref="A1:J9"/>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34"/>
  <sheetViews>
    <sheetView zoomScale="120" zoomScaleNormal="120" workbookViewId="0">
      <selection activeCell="F43" sqref="F43"/>
    </sheetView>
  </sheetViews>
  <sheetFormatPr defaultColWidth="9" defaultRowHeight="13.8"/>
  <cols>
    <col min="1" max="1" width="11.75" customWidth="1"/>
    <col min="2" max="2" width="15.6296296296296" customWidth="1"/>
    <col min="3" max="3" width="10.25" customWidth="1"/>
    <col min="4" max="4" width="13.5" customWidth="1"/>
    <col min="5" max="5" width="10" customWidth="1"/>
    <col min="6" max="6" width="9.66666666666667"/>
    <col min="7" max="7" width="9.37962962962963" customWidth="1"/>
    <col min="8" max="8" width="9.87962962962963" customWidth="1"/>
    <col min="9" max="10" width="9.66666666666667"/>
    <col min="12" max="12" width="12.25" customWidth="1"/>
    <col min="13" max="14" width="13.1296296296296" customWidth="1"/>
    <col min="15" max="15" width="9.66666666666667"/>
    <col min="18" max="18" width="12.6296296296296"/>
    <col min="21" max="21" width="13.8796296296296" customWidth="1"/>
    <col min="24" max="24" width="10.5" customWidth="1"/>
    <col min="37" max="37" width="12" customWidth="1"/>
    <col min="40" max="40" width="11.1296296296296" customWidth="1"/>
    <col min="53" max="53" width="9.44444444444444"/>
    <col min="54" max="54" width="12.8796296296296" customWidth="1"/>
    <col min="56" max="56" width="11.8796296296296" customWidth="1"/>
    <col min="69" max="69" width="9.44444444444444"/>
    <col min="72" max="72" width="10.6666666666667"/>
  </cols>
  <sheetData>
    <row r="1" s="17" customFormat="1" ht="15.6" spans="1:75">
      <c r="A1" s="22" t="s">
        <v>114</v>
      </c>
      <c r="B1" s="23"/>
      <c r="C1" s="23"/>
      <c r="D1" s="23"/>
      <c r="E1" s="23"/>
      <c r="F1" s="23"/>
      <c r="G1" s="23"/>
      <c r="H1" s="23"/>
      <c r="I1" s="23"/>
      <c r="J1" s="23"/>
      <c r="K1" s="23"/>
      <c r="L1" s="24" t="s">
        <v>115</v>
      </c>
      <c r="M1" s="25"/>
      <c r="N1" s="25"/>
      <c r="O1" s="26"/>
      <c r="P1" s="26"/>
      <c r="Q1" s="26"/>
      <c r="R1" s="26"/>
      <c r="S1" s="27"/>
      <c r="T1" s="27"/>
      <c r="U1" s="27"/>
      <c r="V1" s="27"/>
      <c r="W1" s="26"/>
      <c r="X1" s="27"/>
      <c r="Y1" s="27"/>
      <c r="Z1" s="27"/>
      <c r="AA1" s="27"/>
      <c r="AB1" s="28" t="s">
        <v>116</v>
      </c>
      <c r="AC1" s="29"/>
      <c r="AD1" s="29"/>
      <c r="AE1" s="30"/>
      <c r="AF1" s="30"/>
      <c r="AG1" s="30"/>
      <c r="AH1" s="30"/>
      <c r="AI1" s="30"/>
      <c r="AJ1" s="30"/>
      <c r="AK1" s="30"/>
      <c r="AL1" s="30"/>
      <c r="AM1" s="30"/>
      <c r="AN1" s="30"/>
      <c r="AO1" s="30"/>
      <c r="AP1" s="30"/>
      <c r="AQ1" s="30"/>
      <c r="AR1" s="31" t="s">
        <v>117</v>
      </c>
      <c r="AS1" s="32"/>
      <c r="AT1" s="33"/>
      <c r="AU1" s="33"/>
      <c r="AV1" s="33"/>
      <c r="AW1" s="33"/>
      <c r="AX1" s="33"/>
      <c r="AY1" s="33"/>
      <c r="AZ1" s="33"/>
      <c r="BA1" s="33"/>
      <c r="BB1" s="33"/>
      <c r="BC1" s="33"/>
      <c r="BD1" s="33"/>
      <c r="BE1" s="33"/>
      <c r="BF1" s="33"/>
      <c r="BG1" s="33"/>
      <c r="BH1" s="34" t="s">
        <v>118</v>
      </c>
      <c r="BI1" s="35"/>
      <c r="BJ1" s="36"/>
      <c r="BK1" s="36"/>
      <c r="BL1" s="36"/>
      <c r="BM1" s="36"/>
      <c r="BN1" s="36"/>
      <c r="BO1" s="36"/>
      <c r="BP1" s="36"/>
      <c r="BQ1" s="36"/>
      <c r="BR1" s="36"/>
      <c r="BS1" s="36"/>
      <c r="BT1" s="36"/>
      <c r="BU1" s="36"/>
      <c r="BV1" s="36"/>
      <c r="BW1" s="36"/>
    </row>
    <row r="2" s="18" customFormat="1" ht="46.8" spans="1:75">
      <c r="A2" s="37" t="s">
        <v>119</v>
      </c>
      <c r="B2" s="38" t="s">
        <v>120</v>
      </c>
      <c r="C2" s="38" t="s">
        <v>121</v>
      </c>
      <c r="D2" s="37" t="s">
        <v>122</v>
      </c>
      <c r="E2" s="37" t="s">
        <v>123</v>
      </c>
      <c r="F2" s="39" t="s">
        <v>124</v>
      </c>
      <c r="G2" s="40" t="s">
        <v>125</v>
      </c>
      <c r="H2" s="38" t="s">
        <v>126</v>
      </c>
      <c r="I2" s="38" t="s">
        <v>127</v>
      </c>
      <c r="J2" s="41" t="s">
        <v>128</v>
      </c>
      <c r="K2" s="41" t="s">
        <v>129</v>
      </c>
      <c r="L2" s="42" t="s">
        <v>130</v>
      </c>
      <c r="M2" s="42" t="s">
        <v>21</v>
      </c>
      <c r="N2" s="43" t="s">
        <v>131</v>
      </c>
      <c r="O2" s="44" t="s">
        <v>132</v>
      </c>
      <c r="P2" s="44" t="s">
        <v>133</v>
      </c>
      <c r="Q2" s="44" t="s">
        <v>134</v>
      </c>
      <c r="R2" s="44" t="s">
        <v>135</v>
      </c>
      <c r="S2" s="45" t="s">
        <v>136</v>
      </c>
      <c r="T2" s="42" t="s">
        <v>94</v>
      </c>
      <c r="U2" s="42" t="s">
        <v>137</v>
      </c>
      <c r="V2" s="42" t="s">
        <v>129</v>
      </c>
      <c r="W2" s="44" t="s">
        <v>138</v>
      </c>
      <c r="X2" s="42" t="s">
        <v>139</v>
      </c>
      <c r="Y2" s="42" t="s">
        <v>140</v>
      </c>
      <c r="Z2" s="42" t="s">
        <v>141</v>
      </c>
      <c r="AA2" s="46" t="s">
        <v>142</v>
      </c>
      <c r="AB2" s="47" t="s">
        <v>143</v>
      </c>
      <c r="AC2" s="47" t="s">
        <v>21</v>
      </c>
      <c r="AD2" s="47" t="s">
        <v>131</v>
      </c>
      <c r="AE2" s="47" t="s">
        <v>132</v>
      </c>
      <c r="AF2" s="47" t="s">
        <v>133</v>
      </c>
      <c r="AG2" s="47" t="s">
        <v>134</v>
      </c>
      <c r="AH2" s="47" t="s">
        <v>135</v>
      </c>
      <c r="AI2" s="48" t="s">
        <v>136</v>
      </c>
      <c r="AJ2" s="47" t="s">
        <v>94</v>
      </c>
      <c r="AK2" s="47" t="s">
        <v>137</v>
      </c>
      <c r="AL2" s="47" t="s">
        <v>144</v>
      </c>
      <c r="AM2" s="47" t="s">
        <v>138</v>
      </c>
      <c r="AN2" s="47" t="s">
        <v>145</v>
      </c>
      <c r="AO2" s="47" t="s">
        <v>140</v>
      </c>
      <c r="AP2" s="47" t="s">
        <v>141</v>
      </c>
      <c r="AQ2" s="47" t="s">
        <v>142</v>
      </c>
      <c r="AR2" s="49" t="s">
        <v>143</v>
      </c>
      <c r="AS2" s="49" t="s">
        <v>21</v>
      </c>
      <c r="AT2" s="49" t="s">
        <v>131</v>
      </c>
      <c r="AU2" s="49" t="s">
        <v>132</v>
      </c>
      <c r="AV2" s="49" t="s">
        <v>133</v>
      </c>
      <c r="AW2" s="49" t="s">
        <v>134</v>
      </c>
      <c r="AX2" s="49" t="s">
        <v>135</v>
      </c>
      <c r="AY2" s="50" t="s">
        <v>136</v>
      </c>
      <c r="AZ2" s="49" t="s">
        <v>94</v>
      </c>
      <c r="BA2" s="49" t="s">
        <v>137</v>
      </c>
      <c r="BB2" s="49" t="s">
        <v>129</v>
      </c>
      <c r="BC2" s="49" t="s">
        <v>138</v>
      </c>
      <c r="BD2" s="49" t="s">
        <v>145</v>
      </c>
      <c r="BE2" s="49" t="s">
        <v>140</v>
      </c>
      <c r="BF2" s="49" t="s">
        <v>146</v>
      </c>
      <c r="BG2" s="49" t="s">
        <v>142</v>
      </c>
      <c r="BH2" s="51" t="s">
        <v>143</v>
      </c>
      <c r="BI2" s="51" t="s">
        <v>21</v>
      </c>
      <c r="BJ2" s="51" t="s">
        <v>131</v>
      </c>
      <c r="BK2" s="51" t="s">
        <v>132</v>
      </c>
      <c r="BL2" s="51" t="s">
        <v>147</v>
      </c>
      <c r="BM2" s="51" t="s">
        <v>134</v>
      </c>
      <c r="BN2" s="51" t="s">
        <v>135</v>
      </c>
      <c r="BO2" s="52" t="s">
        <v>136</v>
      </c>
      <c r="BP2" s="51" t="s">
        <v>94</v>
      </c>
      <c r="BQ2" s="51" t="s">
        <v>137</v>
      </c>
      <c r="BR2" s="51" t="s">
        <v>129</v>
      </c>
      <c r="BS2" s="51" t="s">
        <v>138</v>
      </c>
      <c r="BT2" s="51" t="s">
        <v>148</v>
      </c>
      <c r="BU2" s="51" t="s">
        <v>140</v>
      </c>
      <c r="BV2" s="51" t="s">
        <v>149</v>
      </c>
      <c r="BW2" s="51" t="s">
        <v>142</v>
      </c>
    </row>
    <row r="3" s="19" customFormat="1" ht="15.6" spans="1:75">
      <c r="A3" s="53"/>
      <c r="B3" s="54"/>
      <c r="C3" s="55"/>
      <c r="D3" s="56" t="s">
        <v>150</v>
      </c>
      <c r="E3" s="57">
        <v>0.15</v>
      </c>
      <c r="F3" s="57">
        <v>0.05</v>
      </c>
      <c r="G3" s="58">
        <v>0.15</v>
      </c>
      <c r="H3" s="59">
        <f>115.04/8</f>
        <v>14.38</v>
      </c>
      <c r="I3" s="59">
        <v>3.16</v>
      </c>
      <c r="J3" s="59">
        <f>(H3+I3)*F3</f>
        <v>0.877</v>
      </c>
      <c r="K3" s="59">
        <v>0.166666666666667</v>
      </c>
      <c r="L3" s="60"/>
      <c r="M3" s="61">
        <f>推广计划!D3</f>
        <v>54.99</v>
      </c>
      <c r="N3" s="62">
        <v>300</v>
      </c>
      <c r="O3" s="63">
        <f>M3*N3</f>
        <v>16497</v>
      </c>
      <c r="P3" s="63">
        <f>$H3*N3</f>
        <v>4314</v>
      </c>
      <c r="Q3" s="63">
        <f>M3*$E3*N3</f>
        <v>2474.55</v>
      </c>
      <c r="R3" s="63">
        <f>I3*N3</f>
        <v>948</v>
      </c>
      <c r="S3" s="63">
        <f>$J3*N3</f>
        <v>263.1</v>
      </c>
      <c r="T3" s="64">
        <f>O3*18%</f>
        <v>2969.46</v>
      </c>
      <c r="U3" s="65">
        <f>O3*15%</f>
        <v>2474.55</v>
      </c>
      <c r="V3" s="64">
        <f>O3*K3</f>
        <v>2749.50000000001</v>
      </c>
      <c r="W3" s="63">
        <f>P3+Q3+R3+S3+T3+U3+V3</f>
        <v>16193.16</v>
      </c>
      <c r="X3" s="66">
        <f>O3-Q3-R3-T3-U3-V3</f>
        <v>4880.94</v>
      </c>
      <c r="Y3" s="67">
        <f>X3/O3</f>
        <v>0.295868339698127</v>
      </c>
      <c r="Z3" s="63">
        <f>O3-W3</f>
        <v>303.839999999995</v>
      </c>
      <c r="AA3" s="67">
        <f>Z3/O3</f>
        <v>0.0184178941625747</v>
      </c>
      <c r="AB3" s="60"/>
      <c r="AC3" s="61">
        <f>推广计划!D3</f>
        <v>54.99</v>
      </c>
      <c r="AD3" s="62">
        <v>500</v>
      </c>
      <c r="AE3" s="63">
        <f>AC3*AD3</f>
        <v>27495</v>
      </c>
      <c r="AF3" s="63">
        <f>$H3*AD3</f>
        <v>7190</v>
      </c>
      <c r="AG3" s="63">
        <f>AC3*$E3*AD3</f>
        <v>4124.25</v>
      </c>
      <c r="AH3" s="63">
        <f>AD3*I3</f>
        <v>1580</v>
      </c>
      <c r="AI3" s="63">
        <f>$J3*AD3</f>
        <v>438.5</v>
      </c>
      <c r="AJ3" s="64">
        <f>AE3*10%</f>
        <v>2749.5</v>
      </c>
      <c r="AK3" s="65">
        <f>AE3*15%</f>
        <v>4124.25</v>
      </c>
      <c r="AL3" s="64">
        <f>AE3*K3</f>
        <v>4582.50000000001</v>
      </c>
      <c r="AM3" s="63">
        <f>AF3+AG3+AH3+AI3+AJ3+AK3+AL3</f>
        <v>24789</v>
      </c>
      <c r="AN3" s="66">
        <f>AE3-AG3-AH3-AJ3-AL3</f>
        <v>14458.75</v>
      </c>
      <c r="AO3" s="67">
        <f>AN3/AE3</f>
        <v>0.525868339698127</v>
      </c>
      <c r="AP3" s="63">
        <f>AE3-AM3</f>
        <v>2705.99999999999</v>
      </c>
      <c r="AQ3" s="67">
        <f>AP3/AE3</f>
        <v>0.0984178941625748</v>
      </c>
      <c r="AR3" s="60"/>
      <c r="AS3" s="61">
        <f>推广计划!D3</f>
        <v>54.99</v>
      </c>
      <c r="AT3" s="62">
        <v>700</v>
      </c>
      <c r="AU3" s="63">
        <f>AS3*AT3</f>
        <v>38493</v>
      </c>
      <c r="AV3" s="63">
        <f>$H3*AT3</f>
        <v>10066</v>
      </c>
      <c r="AW3" s="63">
        <f>AS3*$E3*AT3</f>
        <v>5773.95</v>
      </c>
      <c r="AX3" s="63">
        <f>AT3*I3</f>
        <v>2212</v>
      </c>
      <c r="AY3" s="63">
        <f>$J3*AT3</f>
        <v>613.9</v>
      </c>
      <c r="AZ3" s="64">
        <f>AU3*7%</f>
        <v>2694.51</v>
      </c>
      <c r="BA3" s="65">
        <f>AU3*15%</f>
        <v>5773.95</v>
      </c>
      <c r="BB3" s="64">
        <f>K3*AU3</f>
        <v>6415.50000000001</v>
      </c>
      <c r="BC3" s="63">
        <f>AV3+AW3+AX3+AY3+AZ3+BA3+BB3</f>
        <v>33549.81</v>
      </c>
      <c r="BD3" s="66">
        <f>AU3-AW3-AX3-AZ3-BB3</f>
        <v>21397.04</v>
      </c>
      <c r="BE3" s="67">
        <f>BD3/AU3</f>
        <v>0.555868339698127</v>
      </c>
      <c r="BF3" s="63">
        <f>AU3-BC3</f>
        <v>4943.18999999999</v>
      </c>
      <c r="BG3" s="67">
        <f>BF3/AU3</f>
        <v>0.128417894162575</v>
      </c>
      <c r="BH3" s="60"/>
      <c r="BI3" s="61">
        <f>推广计划!D3</f>
        <v>54.99</v>
      </c>
      <c r="BJ3" s="62">
        <v>900</v>
      </c>
      <c r="BK3" s="63">
        <f>BI3*BJ3</f>
        <v>49491</v>
      </c>
      <c r="BL3" s="63">
        <f>$H3*BJ3</f>
        <v>12942</v>
      </c>
      <c r="BM3" s="63">
        <f>E3*BK3</f>
        <v>7423.65</v>
      </c>
      <c r="BN3" s="68">
        <f>I3*BJ3</f>
        <v>2844</v>
      </c>
      <c r="BO3" s="63">
        <f>$J3*BJ3</f>
        <v>789.3</v>
      </c>
      <c r="BP3" s="64">
        <f>BK3*13%</f>
        <v>6433.83</v>
      </c>
      <c r="BQ3" s="65">
        <f>BK3*15%</f>
        <v>7423.65</v>
      </c>
      <c r="BR3" s="64">
        <f>K3*BK3</f>
        <v>8248.50000000002</v>
      </c>
      <c r="BS3" s="63">
        <f>BL3+BM3+BN3+BO3+BP3+BQ3+BR3</f>
        <v>46104.93</v>
      </c>
      <c r="BT3" s="66">
        <f>BK3-BM3-BN3-BP3-BR3</f>
        <v>24541.02</v>
      </c>
      <c r="BU3" s="67">
        <f>BT3/BK3</f>
        <v>0.495868339698127</v>
      </c>
      <c r="BV3" s="63">
        <f>BK3-BS3</f>
        <v>3386.06999999999</v>
      </c>
      <c r="BW3" s="67">
        <f>BV3/BK3</f>
        <v>0.0684178941625747</v>
      </c>
    </row>
    <row r="4" s="19" customFormat="1" ht="15.6" spans="1:75">
      <c r="A4" s="53"/>
      <c r="B4" s="54"/>
      <c r="C4" s="55"/>
      <c r="D4" s="56" t="s">
        <v>150</v>
      </c>
      <c r="E4" s="57">
        <v>0.15</v>
      </c>
      <c r="F4" s="57">
        <v>0.05</v>
      </c>
      <c r="G4" s="58">
        <v>0.15</v>
      </c>
      <c r="H4" s="59">
        <f>115.04/8</f>
        <v>14.38</v>
      </c>
      <c r="I4" s="59">
        <v>3.16</v>
      </c>
      <c r="J4" s="59">
        <f>(H4+I4)*F4</f>
        <v>0.877</v>
      </c>
      <c r="K4" s="59">
        <v>0.166666666666667</v>
      </c>
      <c r="L4" s="60"/>
      <c r="M4" s="61">
        <f>推广计划!D3</f>
        <v>54.99</v>
      </c>
      <c r="N4" s="62">
        <v>300</v>
      </c>
      <c r="O4" s="63">
        <f>M4*N4</f>
        <v>16497</v>
      </c>
      <c r="P4" s="63">
        <f>$H4*N4</f>
        <v>4314</v>
      </c>
      <c r="Q4" s="63">
        <f>M4*$E4*N4</f>
        <v>2474.55</v>
      </c>
      <c r="R4" s="63">
        <f>I4*N4</f>
        <v>948</v>
      </c>
      <c r="S4" s="63">
        <f>$J4*N4</f>
        <v>263.1</v>
      </c>
      <c r="T4" s="64">
        <f>O4*18%</f>
        <v>2969.46</v>
      </c>
      <c r="U4" s="65">
        <f>O4*15%</f>
        <v>2474.55</v>
      </c>
      <c r="V4" s="64">
        <f>O4*K4</f>
        <v>2749.50000000001</v>
      </c>
      <c r="W4" s="63">
        <f>P4+Q4+R4+S4+T4+U4+V4</f>
        <v>16193.16</v>
      </c>
      <c r="X4" s="66">
        <f>O4-Q4-R4-T4-U4-V4</f>
        <v>4880.94</v>
      </c>
      <c r="Y4" s="67">
        <f>X4/O4</f>
        <v>0.295868339698127</v>
      </c>
      <c r="Z4" s="63">
        <f>O4-W4</f>
        <v>303.839999999995</v>
      </c>
      <c r="AA4" s="67">
        <f>Z4/O4</f>
        <v>0.0184178941625747</v>
      </c>
      <c r="AB4" s="60"/>
      <c r="AC4" s="61">
        <f>推广计划!D3</f>
        <v>54.99</v>
      </c>
      <c r="AD4" s="62">
        <v>500</v>
      </c>
      <c r="AE4" s="63">
        <f>AC4*AD4</f>
        <v>27495</v>
      </c>
      <c r="AF4" s="63">
        <f>$H4*AD4</f>
        <v>7190</v>
      </c>
      <c r="AG4" s="63">
        <f>AC4*$E4*AD4</f>
        <v>4124.25</v>
      </c>
      <c r="AH4" s="63">
        <f>AD4*I4</f>
        <v>1580</v>
      </c>
      <c r="AI4" s="63">
        <f>$J4*AD4</f>
        <v>438.5</v>
      </c>
      <c r="AJ4" s="64">
        <f>AE4*10%</f>
        <v>2749.5</v>
      </c>
      <c r="AK4" s="65">
        <f>AE4*15%</f>
        <v>4124.25</v>
      </c>
      <c r="AL4" s="64">
        <f>AE4*K4</f>
        <v>4582.50000000001</v>
      </c>
      <c r="AM4" s="63">
        <f>AF4+AG4+AH4+AI4+AJ4+AK4+AL4</f>
        <v>24789</v>
      </c>
      <c r="AN4" s="66">
        <f>AE4-AG4-AH4-AJ4-AL4</f>
        <v>14458.75</v>
      </c>
      <c r="AO4" s="67">
        <f>AN4/AE4</f>
        <v>0.525868339698127</v>
      </c>
      <c r="AP4" s="63">
        <f>AE4-AM4</f>
        <v>2705.99999999999</v>
      </c>
      <c r="AQ4" s="67">
        <f>AP4/AE4</f>
        <v>0.0984178941625748</v>
      </c>
      <c r="AR4" s="60"/>
      <c r="AS4" s="61">
        <f>推广计划!D3</f>
        <v>54.99</v>
      </c>
      <c r="AT4" s="62">
        <v>700</v>
      </c>
      <c r="AU4" s="63">
        <f>AS4*AT4</f>
        <v>38493</v>
      </c>
      <c r="AV4" s="63">
        <f>$H4*AT4</f>
        <v>10066</v>
      </c>
      <c r="AW4" s="63">
        <f>AS4*$E4*AT4</f>
        <v>5773.95</v>
      </c>
      <c r="AX4" s="63">
        <f>AT4*I4</f>
        <v>2212</v>
      </c>
      <c r="AY4" s="63">
        <f>$J4*AT4</f>
        <v>613.9</v>
      </c>
      <c r="AZ4" s="64">
        <f>AU4*7%</f>
        <v>2694.51</v>
      </c>
      <c r="BA4" s="65">
        <f>AU4*15%</f>
        <v>5773.95</v>
      </c>
      <c r="BB4" s="64">
        <f>K4*AU4</f>
        <v>6415.50000000001</v>
      </c>
      <c r="BC4" s="63">
        <f>AV4+AW4+AX4+AY4+AZ4+BA4+BB4</f>
        <v>33549.81</v>
      </c>
      <c r="BD4" s="66">
        <f>AU4-AW4-AX4-AZ4-BB4</f>
        <v>21397.04</v>
      </c>
      <c r="BE4" s="67">
        <f>BD4/AU4</f>
        <v>0.555868339698127</v>
      </c>
      <c r="BF4" s="63">
        <f>AU4-BC4</f>
        <v>4943.18999999999</v>
      </c>
      <c r="BG4" s="67">
        <f>BF4/AU4</f>
        <v>0.128417894162575</v>
      </c>
      <c r="BH4" s="60"/>
      <c r="BI4" s="61">
        <f>推广计划!D3</f>
        <v>54.99</v>
      </c>
      <c r="BJ4" s="62">
        <v>900</v>
      </c>
      <c r="BK4" s="63">
        <f>BI4*BJ4</f>
        <v>49491</v>
      </c>
      <c r="BL4" s="63">
        <f>$H4*BJ4</f>
        <v>12942</v>
      </c>
      <c r="BM4" s="63">
        <f>E4*BK4</f>
        <v>7423.65</v>
      </c>
      <c r="BN4" s="68">
        <f>I4*BJ4</f>
        <v>2844</v>
      </c>
      <c r="BO4" s="63">
        <f>$J4*BJ4</f>
        <v>789.3</v>
      </c>
      <c r="BP4" s="64">
        <f>BK4*13%</f>
        <v>6433.83</v>
      </c>
      <c r="BQ4" s="65">
        <f>BK4*15%</f>
        <v>7423.65</v>
      </c>
      <c r="BR4" s="64">
        <f>K4*BK4</f>
        <v>8248.50000000002</v>
      </c>
      <c r="BS4" s="63">
        <f>BL4+BM4+BN4+BO4+BP4+BQ4+BR4</f>
        <v>46104.93</v>
      </c>
      <c r="BT4" s="66">
        <f>BK4-BM4-BN4-BP4-BR4</f>
        <v>24541.02</v>
      </c>
      <c r="BU4" s="67">
        <f>BT4/BK4</f>
        <v>0.495868339698127</v>
      </c>
      <c r="BV4" s="63">
        <f>BK4-BS4</f>
        <v>3386.06999999999</v>
      </c>
      <c r="BW4" s="67">
        <f>BV4/BK4</f>
        <v>0.0684178941625747</v>
      </c>
    </row>
    <row r="5" s="19" customFormat="1" ht="15.6" spans="1:75">
      <c r="A5" s="53"/>
      <c r="B5" s="54"/>
      <c r="C5" s="55"/>
      <c r="D5" s="56" t="s">
        <v>150</v>
      </c>
      <c r="E5" s="57">
        <v>0.15</v>
      </c>
      <c r="F5" s="57">
        <v>0.05</v>
      </c>
      <c r="G5" s="58">
        <v>0.15</v>
      </c>
      <c r="H5" s="59">
        <f>115.04/8</f>
        <v>14.38</v>
      </c>
      <c r="I5" s="59">
        <v>3.16</v>
      </c>
      <c r="J5" s="59">
        <f>(H5+I5)*F5</f>
        <v>0.877</v>
      </c>
      <c r="K5" s="59">
        <v>0.166666666666667</v>
      </c>
      <c r="L5" s="60"/>
      <c r="M5" s="61">
        <f>推广计划!D4</f>
        <v>54.99</v>
      </c>
      <c r="N5" s="62">
        <v>300</v>
      </c>
      <c r="O5" s="63">
        <f>M5*N5</f>
        <v>16497</v>
      </c>
      <c r="P5" s="63">
        <f>$H5*N5</f>
        <v>4314</v>
      </c>
      <c r="Q5" s="63">
        <f>M5*$E5*N5</f>
        <v>2474.55</v>
      </c>
      <c r="R5" s="63">
        <f>I5*N5</f>
        <v>948</v>
      </c>
      <c r="S5" s="63">
        <f>$J5*N5</f>
        <v>263.1</v>
      </c>
      <c r="T5" s="64">
        <f>O5*18%</f>
        <v>2969.46</v>
      </c>
      <c r="U5" s="65">
        <f>O5*15%</f>
        <v>2474.55</v>
      </c>
      <c r="V5" s="64">
        <f>O5*K5</f>
        <v>2749.50000000001</v>
      </c>
      <c r="W5" s="63">
        <f>P5+Q5+R5+S5+T5+U5+V5</f>
        <v>16193.16</v>
      </c>
      <c r="X5" s="66">
        <f>O5-Q5-R5-T5-U5-V5</f>
        <v>4880.94</v>
      </c>
      <c r="Y5" s="67">
        <f>X5/O5</f>
        <v>0.295868339698127</v>
      </c>
      <c r="Z5" s="63">
        <f>O5-W5</f>
        <v>303.839999999995</v>
      </c>
      <c r="AA5" s="67">
        <f>Z5/O5</f>
        <v>0.0184178941625747</v>
      </c>
      <c r="AB5" s="60"/>
      <c r="AC5" s="61">
        <f>推广计划!D3</f>
        <v>54.99</v>
      </c>
      <c r="AD5" s="62">
        <v>500</v>
      </c>
      <c r="AE5" s="63">
        <f>AC5*AD5</f>
        <v>27495</v>
      </c>
      <c r="AF5" s="63">
        <f>$H5*AD5</f>
        <v>7190</v>
      </c>
      <c r="AG5" s="63">
        <f>AC5*$E5*AD5</f>
        <v>4124.25</v>
      </c>
      <c r="AH5" s="63">
        <f>AD5*I5</f>
        <v>1580</v>
      </c>
      <c r="AI5" s="63">
        <f>$J5*AD5</f>
        <v>438.5</v>
      </c>
      <c r="AJ5" s="64">
        <f>AE5*10%</f>
        <v>2749.5</v>
      </c>
      <c r="AK5" s="65">
        <f>AE5*15%</f>
        <v>4124.25</v>
      </c>
      <c r="AL5" s="64">
        <f>AE5*K5</f>
        <v>4582.50000000001</v>
      </c>
      <c r="AM5" s="63">
        <f>AF5+AG5+AH5+AI5+AJ5+AK5+AL5</f>
        <v>24789</v>
      </c>
      <c r="AN5" s="66">
        <f>AE5-AG5-AH5-AJ5-AL5</f>
        <v>14458.75</v>
      </c>
      <c r="AO5" s="67">
        <f>AN5/AE5</f>
        <v>0.525868339698127</v>
      </c>
      <c r="AP5" s="63">
        <f>AE5-AM5</f>
        <v>2705.99999999999</v>
      </c>
      <c r="AQ5" s="67">
        <f>AP5/AE5</f>
        <v>0.0984178941625748</v>
      </c>
      <c r="AR5" s="60"/>
      <c r="AS5" s="61">
        <f>推广计划!D3</f>
        <v>54.99</v>
      </c>
      <c r="AT5" s="62">
        <v>700</v>
      </c>
      <c r="AU5" s="63">
        <f>AS5*AT5</f>
        <v>38493</v>
      </c>
      <c r="AV5" s="63">
        <f>$H5*AT5</f>
        <v>10066</v>
      </c>
      <c r="AW5" s="63">
        <f>AS5*$E5*AT5</f>
        <v>5773.95</v>
      </c>
      <c r="AX5" s="63">
        <f>AT5*I5</f>
        <v>2212</v>
      </c>
      <c r="AY5" s="63">
        <f>$J5*AT5</f>
        <v>613.9</v>
      </c>
      <c r="AZ5" s="64">
        <f>AU5*7%</f>
        <v>2694.51</v>
      </c>
      <c r="BA5" s="65">
        <f>AU5*15%</f>
        <v>5773.95</v>
      </c>
      <c r="BB5" s="64">
        <f>K5*AU5</f>
        <v>6415.50000000001</v>
      </c>
      <c r="BC5" s="63">
        <f>AV5+AW5+AX5+AY5+AZ5+BA5+BB5</f>
        <v>33549.81</v>
      </c>
      <c r="BD5" s="66">
        <f>AU5-AW5-AX5-AZ5-BB5</f>
        <v>21397.04</v>
      </c>
      <c r="BE5" s="67">
        <f>BD5/AU5</f>
        <v>0.555868339698127</v>
      </c>
      <c r="BF5" s="63">
        <f>AU5-BC5</f>
        <v>4943.18999999999</v>
      </c>
      <c r="BG5" s="67">
        <f>BF5/AU5</f>
        <v>0.128417894162575</v>
      </c>
      <c r="BH5" s="60"/>
      <c r="BI5" s="61">
        <f>推广计划!D3</f>
        <v>54.99</v>
      </c>
      <c r="BJ5" s="62">
        <v>900</v>
      </c>
      <c r="BK5" s="63">
        <f>BI5*BJ5</f>
        <v>49491</v>
      </c>
      <c r="BL5" s="63">
        <f>$H5*BJ5</f>
        <v>12942</v>
      </c>
      <c r="BM5" s="63">
        <f>E5*BK5</f>
        <v>7423.65</v>
      </c>
      <c r="BN5" s="68">
        <f>I5*BJ5</f>
        <v>2844</v>
      </c>
      <c r="BO5" s="63">
        <f>$J5*BJ5</f>
        <v>789.3</v>
      </c>
      <c r="BP5" s="64">
        <f>BK5*13%</f>
        <v>6433.83</v>
      </c>
      <c r="BQ5" s="65">
        <f>BK5*15%</f>
        <v>7423.65</v>
      </c>
      <c r="BR5" s="64">
        <f>K5*BK5</f>
        <v>8248.50000000002</v>
      </c>
      <c r="BS5" s="63">
        <f>BL5+BM5+BN5+BO5+BP5+BQ5+BR5</f>
        <v>46104.93</v>
      </c>
      <c r="BT5" s="66">
        <f>BK5-BM5-BN5-BP5-BR5</f>
        <v>24541.02</v>
      </c>
      <c r="BU5" s="67">
        <f>BT5/BK5</f>
        <v>0.495868339698127</v>
      </c>
      <c r="BV5" s="63">
        <f>BK5-BS5</f>
        <v>3386.06999999999</v>
      </c>
      <c r="BW5" s="67">
        <f>BV5/BK5</f>
        <v>0.0684178941625747</v>
      </c>
    </row>
    <row r="6" s="19" customFormat="1" ht="15.6" spans="1:75">
      <c r="A6" s="54"/>
      <c r="B6" s="54"/>
      <c r="C6" s="55"/>
      <c r="D6" s="69"/>
      <c r="E6" s="57"/>
      <c r="F6" s="57"/>
      <c r="G6" s="58"/>
      <c r="H6" s="59"/>
      <c r="I6" s="59"/>
      <c r="J6" s="59"/>
      <c r="K6" s="59"/>
      <c r="L6" s="60"/>
      <c r="M6" s="66"/>
      <c r="N6" s="63"/>
      <c r="O6" s="63"/>
      <c r="P6" s="63"/>
      <c r="Q6" s="63"/>
      <c r="R6" s="63"/>
      <c r="S6" s="63"/>
      <c r="T6" s="64"/>
      <c r="U6" s="65"/>
      <c r="V6" s="64"/>
      <c r="W6" s="63"/>
      <c r="X6" s="66"/>
      <c r="Y6" s="67"/>
      <c r="Z6" s="63"/>
      <c r="AA6" s="67"/>
      <c r="AB6" s="60"/>
      <c r="AC6" s="66"/>
      <c r="AD6" s="63"/>
      <c r="AE6" s="63"/>
      <c r="AF6" s="63"/>
      <c r="AG6" s="63"/>
      <c r="AH6" s="63"/>
      <c r="AI6" s="63"/>
      <c r="AJ6" s="64"/>
      <c r="AK6" s="65"/>
      <c r="AL6" s="64"/>
      <c r="AM6" s="63"/>
      <c r="AN6" s="66"/>
      <c r="AO6" s="67"/>
      <c r="AP6" s="63"/>
      <c r="AQ6" s="67"/>
      <c r="AR6" s="60"/>
      <c r="AS6" s="61"/>
      <c r="AT6" s="62"/>
      <c r="AU6" s="63"/>
      <c r="AV6" s="63"/>
      <c r="AW6" s="63"/>
      <c r="AX6" s="63"/>
      <c r="AY6" s="63"/>
      <c r="AZ6" s="64"/>
      <c r="BA6" s="65"/>
      <c r="BB6" s="64"/>
      <c r="BC6" s="63"/>
      <c r="BD6" s="66"/>
      <c r="BE6" s="67"/>
      <c r="BF6" s="63"/>
      <c r="BG6" s="67"/>
      <c r="BH6" s="60"/>
      <c r="BI6" s="66"/>
      <c r="BJ6" s="63"/>
      <c r="BK6" s="63"/>
      <c r="BL6" s="63"/>
      <c r="BM6" s="63"/>
      <c r="BN6" s="63"/>
      <c r="BO6" s="63"/>
      <c r="BP6" s="64"/>
      <c r="BQ6" s="65"/>
      <c r="BR6" s="64"/>
      <c r="BS6" s="63"/>
      <c r="BT6" s="66"/>
      <c r="BU6" s="67"/>
      <c r="BV6" s="63"/>
      <c r="BW6" s="67"/>
    </row>
    <row r="7" s="19" customFormat="1" ht="15.6" spans="1:75">
      <c r="A7" s="54"/>
      <c r="B7" s="54"/>
      <c r="C7" s="55"/>
      <c r="D7" s="69"/>
      <c r="E7" s="57"/>
      <c r="F7" s="57"/>
      <c r="G7" s="58"/>
      <c r="H7" s="59"/>
      <c r="I7" s="59"/>
      <c r="J7" s="59"/>
      <c r="K7" s="59"/>
      <c r="L7" s="60"/>
      <c r="M7" s="66"/>
      <c r="N7" s="63"/>
      <c r="O7" s="63"/>
      <c r="P7" s="63"/>
      <c r="Q7" s="63"/>
      <c r="R7" s="63"/>
      <c r="S7" s="63"/>
      <c r="T7" s="64"/>
      <c r="U7" s="65"/>
      <c r="V7" s="64"/>
      <c r="W7" s="63"/>
      <c r="X7" s="66"/>
      <c r="Y7" s="67"/>
      <c r="Z7" s="63"/>
      <c r="AA7" s="67"/>
      <c r="AB7" s="60"/>
      <c r="AC7" s="66"/>
      <c r="AD7" s="63"/>
      <c r="AE7" s="63"/>
      <c r="AF7" s="63"/>
      <c r="AG7" s="63"/>
      <c r="AH7" s="63"/>
      <c r="AI7" s="63"/>
      <c r="AJ7" s="64"/>
      <c r="AK7" s="65"/>
      <c r="AL7" s="64"/>
      <c r="AM7" s="63"/>
      <c r="AN7" s="66"/>
      <c r="AO7" s="67"/>
      <c r="AP7" s="63"/>
      <c r="AQ7" s="67"/>
      <c r="AR7" s="60"/>
      <c r="AS7" s="66"/>
      <c r="AT7" s="63"/>
      <c r="AU7" s="63"/>
      <c r="AV7" s="63"/>
      <c r="AW7" s="63"/>
      <c r="AX7" s="63"/>
      <c r="AY7" s="63"/>
      <c r="AZ7" s="64"/>
      <c r="BA7" s="65"/>
      <c r="BB7" s="64"/>
      <c r="BC7" s="63"/>
      <c r="BD7" s="66"/>
      <c r="BE7" s="67"/>
      <c r="BF7" s="63"/>
      <c r="BG7" s="67"/>
      <c r="BH7" s="60"/>
      <c r="BI7" s="66"/>
      <c r="BJ7" s="63"/>
      <c r="BK7" s="63"/>
      <c r="BL7" s="63"/>
      <c r="BM7" s="63"/>
      <c r="BN7" s="63"/>
      <c r="BO7" s="63"/>
      <c r="BP7" s="64"/>
      <c r="BQ7" s="65"/>
      <c r="BR7" s="64"/>
      <c r="BS7" s="63"/>
      <c r="BT7" s="66"/>
      <c r="BU7" s="67"/>
      <c r="BV7" s="63"/>
      <c r="BW7" s="67"/>
    </row>
    <row r="8" s="20" customFormat="1" ht="15.6" spans="1:75">
      <c r="A8" s="70"/>
      <c r="B8" s="70"/>
      <c r="C8" s="70"/>
      <c r="D8" s="71"/>
      <c r="E8" s="72"/>
      <c r="F8" s="73"/>
      <c r="G8" s="74"/>
      <c r="H8" s="75"/>
      <c r="I8" s="75"/>
      <c r="J8" s="75"/>
      <c r="K8" s="75"/>
      <c r="L8" s="76"/>
      <c r="M8" s="77"/>
      <c r="N8" s="78">
        <f t="shared" ref="N8:X8" si="0">SUM(N3:N6)</f>
        <v>900</v>
      </c>
      <c r="O8" s="78">
        <f t="shared" si="0"/>
        <v>49491</v>
      </c>
      <c r="P8" s="78">
        <f t="shared" si="0"/>
        <v>12942</v>
      </c>
      <c r="Q8" s="78">
        <f t="shared" si="0"/>
        <v>7423.65</v>
      </c>
      <c r="R8" s="78">
        <f t="shared" si="0"/>
        <v>2844</v>
      </c>
      <c r="S8" s="78">
        <f t="shared" si="0"/>
        <v>789.3</v>
      </c>
      <c r="T8" s="78">
        <f t="shared" si="0"/>
        <v>8908.38</v>
      </c>
      <c r="U8" s="79">
        <f t="shared" si="0"/>
        <v>7423.65</v>
      </c>
      <c r="V8" s="79">
        <f t="shared" si="0"/>
        <v>8248.50000000002</v>
      </c>
      <c r="W8" s="79">
        <f t="shared" si="0"/>
        <v>48579.48</v>
      </c>
      <c r="X8" s="79">
        <f t="shared" si="0"/>
        <v>14642.82</v>
      </c>
      <c r="Y8" s="78">
        <f>X8/O8</f>
        <v>0.295868339698127</v>
      </c>
      <c r="Z8" s="78">
        <f>SUM(Z3:Z6)</f>
        <v>911.519999999984</v>
      </c>
      <c r="AA8" s="78">
        <f>Z8/O8</f>
        <v>0.0184178941625747</v>
      </c>
      <c r="AB8" s="76"/>
      <c r="AC8" s="78"/>
      <c r="AD8" s="78">
        <f t="shared" ref="AD8:AN8" si="1">SUM(AD3:AD6)</f>
        <v>1500</v>
      </c>
      <c r="AE8" s="78">
        <f t="shared" si="1"/>
        <v>82485</v>
      </c>
      <c r="AF8" s="78">
        <f t="shared" si="1"/>
        <v>21570</v>
      </c>
      <c r="AG8" s="78">
        <f t="shared" si="1"/>
        <v>12372.75</v>
      </c>
      <c r="AH8" s="78">
        <f t="shared" si="1"/>
        <v>4740</v>
      </c>
      <c r="AI8" s="78">
        <f t="shared" si="1"/>
        <v>1315.5</v>
      </c>
      <c r="AJ8" s="78">
        <f t="shared" si="1"/>
        <v>8248.5</v>
      </c>
      <c r="AK8" s="79">
        <f t="shared" si="1"/>
        <v>12372.75</v>
      </c>
      <c r="AL8" s="79">
        <f t="shared" si="1"/>
        <v>13747.5</v>
      </c>
      <c r="AM8" s="79">
        <f t="shared" si="1"/>
        <v>74367</v>
      </c>
      <c r="AN8" s="79">
        <f t="shared" si="1"/>
        <v>43376.25</v>
      </c>
      <c r="AO8" s="78">
        <f>AN8/AE8</f>
        <v>0.525868339698127</v>
      </c>
      <c r="AP8" s="79">
        <f>SUM(AP3:AP6)</f>
        <v>8117.99999999998</v>
      </c>
      <c r="AQ8" s="78">
        <f>AP8/AE8</f>
        <v>0.0984178941625748</v>
      </c>
      <c r="AR8" s="76"/>
      <c r="AS8" s="77"/>
      <c r="AT8" s="78">
        <f t="shared" ref="AT8:BD8" si="2">SUM(AT3:AT6)</f>
        <v>2100</v>
      </c>
      <c r="AU8" s="78">
        <f t="shared" si="2"/>
        <v>115479</v>
      </c>
      <c r="AV8" s="78">
        <f t="shared" si="2"/>
        <v>30198</v>
      </c>
      <c r="AW8" s="78">
        <f t="shared" si="2"/>
        <v>17321.85</v>
      </c>
      <c r="AX8" s="78">
        <f t="shared" si="2"/>
        <v>6636</v>
      </c>
      <c r="AY8" s="78">
        <f t="shared" si="2"/>
        <v>1841.7</v>
      </c>
      <c r="AZ8" s="78">
        <f t="shared" si="2"/>
        <v>8083.53</v>
      </c>
      <c r="BA8" s="79">
        <f t="shared" si="2"/>
        <v>17321.85</v>
      </c>
      <c r="BB8" s="79">
        <f t="shared" si="2"/>
        <v>19246.5</v>
      </c>
      <c r="BC8" s="79">
        <f t="shared" si="2"/>
        <v>100649.43</v>
      </c>
      <c r="BD8" s="79">
        <f t="shared" si="2"/>
        <v>64191.12</v>
      </c>
      <c r="BE8" s="78">
        <f>BD8/AU8</f>
        <v>0.555868339698127</v>
      </c>
      <c r="BF8" s="79">
        <f>SUM(BF3:BF6)</f>
        <v>14829.57</v>
      </c>
      <c r="BG8" s="78">
        <f>BF8/AU8</f>
        <v>0.128417894162575</v>
      </c>
      <c r="BH8" s="76"/>
      <c r="BI8" s="77"/>
      <c r="BJ8" s="78">
        <f t="shared" ref="BJ8:BT8" si="3">SUM(BJ3:BJ6)</f>
        <v>2700</v>
      </c>
      <c r="BK8" s="78">
        <f t="shared" si="3"/>
        <v>148473</v>
      </c>
      <c r="BL8" s="78">
        <f t="shared" si="3"/>
        <v>38826</v>
      </c>
      <c r="BM8" s="78">
        <f t="shared" si="3"/>
        <v>22270.95</v>
      </c>
      <c r="BN8" s="78">
        <f t="shared" si="3"/>
        <v>8532</v>
      </c>
      <c r="BO8" s="78">
        <f t="shared" si="3"/>
        <v>2367.9</v>
      </c>
      <c r="BP8" s="78">
        <f t="shared" si="3"/>
        <v>19301.49</v>
      </c>
      <c r="BQ8" s="79">
        <f t="shared" si="3"/>
        <v>22270.95</v>
      </c>
      <c r="BR8" s="79">
        <f t="shared" si="3"/>
        <v>24745.5000000001</v>
      </c>
      <c r="BS8" s="79">
        <f t="shared" si="3"/>
        <v>138314.79</v>
      </c>
      <c r="BT8" s="79">
        <f t="shared" si="3"/>
        <v>73623.0599999999</v>
      </c>
      <c r="BU8" s="78">
        <f>BT8/BK8</f>
        <v>0.495868339698127</v>
      </c>
      <c r="BV8" s="79">
        <f>SUM(BV3:BV6)</f>
        <v>10158.21</v>
      </c>
      <c r="BW8" s="78">
        <f>BV8/BK8</f>
        <v>0.0684178941625747</v>
      </c>
    </row>
    <row r="9" s="20" customFormat="1" ht="15.6" spans="1:75">
      <c r="A9" s="70"/>
      <c r="B9" s="70"/>
      <c r="C9" s="70"/>
      <c r="D9" s="71"/>
      <c r="E9" s="72"/>
      <c r="F9" s="73"/>
      <c r="G9" s="74"/>
      <c r="H9" s="75"/>
      <c r="I9" s="75"/>
      <c r="J9" s="75"/>
      <c r="K9" s="75"/>
      <c r="L9" s="76"/>
      <c r="M9" s="77"/>
      <c r="N9" s="78"/>
      <c r="O9" s="78"/>
      <c r="P9" s="78"/>
      <c r="Q9" s="78"/>
      <c r="R9" s="78"/>
      <c r="S9" s="78"/>
      <c r="T9" s="78"/>
      <c r="U9" s="79"/>
      <c r="V9" s="79"/>
      <c r="W9" s="79"/>
      <c r="X9" s="79"/>
      <c r="Y9" s="78"/>
      <c r="Z9" s="78"/>
      <c r="AA9" s="78"/>
      <c r="AB9" s="76"/>
      <c r="AC9" s="78"/>
      <c r="AD9" s="78"/>
      <c r="AE9" s="78"/>
      <c r="AF9" s="78"/>
      <c r="AG9" s="78"/>
      <c r="AH9" s="78"/>
      <c r="AI9" s="78"/>
      <c r="AJ9" s="78"/>
      <c r="AK9" s="79"/>
      <c r="AL9" s="79"/>
      <c r="AM9" s="79"/>
      <c r="AN9" s="79"/>
      <c r="AO9" s="78"/>
      <c r="AP9" s="79"/>
      <c r="AQ9" s="78"/>
      <c r="AR9" s="76"/>
      <c r="AS9" s="77"/>
      <c r="AT9" s="78"/>
      <c r="AU9" s="78"/>
      <c r="AV9" s="78"/>
      <c r="AW9" s="78"/>
      <c r="AX9" s="78"/>
      <c r="AY9" s="78"/>
      <c r="AZ9" s="78"/>
      <c r="BA9" s="79"/>
      <c r="BB9" s="79"/>
      <c r="BC9" s="79"/>
      <c r="BD9" s="79"/>
      <c r="BE9" s="78"/>
      <c r="BF9" s="79"/>
      <c r="BG9" s="78"/>
      <c r="BH9" s="76"/>
      <c r="BI9" s="77"/>
      <c r="BJ9" s="78"/>
      <c r="BK9" s="78"/>
      <c r="BL9" s="78"/>
      <c r="BM9" s="78"/>
      <c r="BN9" s="78"/>
      <c r="BO9" s="78"/>
      <c r="BP9" s="78"/>
      <c r="BQ9" s="79"/>
      <c r="BR9" s="79"/>
      <c r="BS9" s="79"/>
      <c r="BT9" s="79"/>
      <c r="BU9" s="78"/>
      <c r="BV9" s="79"/>
      <c r="BW9" s="78"/>
    </row>
    <row r="10" s="19" customFormat="1" ht="17.4" spans="1:75">
      <c r="A10" s="80" t="s">
        <v>151</v>
      </c>
      <c r="B10" s="81"/>
      <c r="C10" s="81"/>
      <c r="D10" s="82"/>
      <c r="E10" s="83"/>
      <c r="F10" s="84"/>
      <c r="G10" s="85"/>
      <c r="H10" s="86"/>
      <c r="I10" s="86"/>
      <c r="J10" s="86"/>
      <c r="K10" s="86"/>
      <c r="L10" s="87"/>
      <c r="M10" s="88"/>
      <c r="N10" s="89"/>
      <c r="O10" s="89"/>
      <c r="P10" s="89"/>
      <c r="Q10" s="89"/>
      <c r="R10" s="89"/>
      <c r="S10" s="89"/>
      <c r="T10" s="90"/>
      <c r="U10" s="91"/>
      <c r="V10" s="90"/>
      <c r="W10" s="89"/>
      <c r="X10" s="88"/>
      <c r="Y10" s="92"/>
      <c r="Z10" s="89"/>
      <c r="AA10" s="92"/>
      <c r="AB10" s="87"/>
      <c r="AC10" s="88"/>
      <c r="AD10" s="89"/>
      <c r="AE10" s="89"/>
      <c r="AF10" s="89"/>
      <c r="AG10" s="89"/>
      <c r="AH10" s="89"/>
      <c r="AI10" s="89"/>
      <c r="AJ10" s="90"/>
      <c r="AK10" s="91"/>
      <c r="AL10" s="90"/>
      <c r="AM10" s="89"/>
      <c r="AN10" s="88"/>
      <c r="AO10" s="92"/>
      <c r="AP10" s="93"/>
      <c r="AQ10" s="92"/>
      <c r="AR10" s="87"/>
      <c r="AS10" s="88"/>
      <c r="AT10" s="89"/>
      <c r="AU10" s="89"/>
      <c r="AV10" s="89"/>
      <c r="AW10" s="89"/>
      <c r="AX10" s="89"/>
      <c r="AY10" s="89"/>
      <c r="AZ10" s="90"/>
      <c r="BA10" s="91"/>
      <c r="BB10" s="90"/>
      <c r="BC10" s="89"/>
      <c r="BD10" s="88"/>
      <c r="BE10" s="92"/>
      <c r="BF10" s="93"/>
      <c r="BG10" s="92"/>
    </row>
    <row r="11" s="21" customFormat="1" ht="16.2" spans="1:75">
      <c r="A11" s="94" t="s">
        <v>120</v>
      </c>
      <c r="B11" s="94" t="s">
        <v>152</v>
      </c>
      <c r="C11" s="95" t="s">
        <v>153</v>
      </c>
      <c r="D11" s="95" t="s">
        <v>154</v>
      </c>
      <c r="E11" s="95" t="s">
        <v>155</v>
      </c>
      <c r="F11" s="96" t="s">
        <v>156</v>
      </c>
      <c r="G11" s="95" t="s">
        <v>133</v>
      </c>
      <c r="H11" s="97" t="s">
        <v>134</v>
      </c>
      <c r="I11" s="94" t="s">
        <v>135</v>
      </c>
      <c r="J11" s="97" t="s">
        <v>157</v>
      </c>
      <c r="K11" s="97" t="s">
        <v>158</v>
      </c>
      <c r="L11" s="94" t="s">
        <v>159</v>
      </c>
      <c r="M11" s="94" t="s">
        <v>160</v>
      </c>
      <c r="N11" s="98" t="s">
        <v>161</v>
      </c>
      <c r="O11" s="97" t="s">
        <v>162</v>
      </c>
    </row>
    <row r="12" s="21" customFormat="1" ht="16.2" spans="1:75">
      <c r="A12" s="99" t="s">
        <v>163</v>
      </c>
      <c r="B12" s="100" t="s">
        <v>164</v>
      </c>
      <c r="C12" s="101">
        <f>$M$3</f>
        <v>54.99</v>
      </c>
      <c r="D12" s="101">
        <f>G12+H12+I12+J12+K12*C12+C12*N12</f>
        <v>37.703</v>
      </c>
      <c r="E12" s="102">
        <f>C12-D12</f>
        <v>17.287</v>
      </c>
      <c r="F12" s="103">
        <f>E12/C12</f>
        <v>0.314366248408801</v>
      </c>
      <c r="G12" s="101">
        <v>14.38</v>
      </c>
      <c r="H12" s="101">
        <f>C12*L12</f>
        <v>8.2485</v>
      </c>
      <c r="I12" s="101">
        <f>$I$3</f>
        <v>3.16</v>
      </c>
      <c r="J12" s="101">
        <f>C12*M12</f>
        <v>2.7495</v>
      </c>
      <c r="K12" s="101">
        <v>0.166666666666667</v>
      </c>
      <c r="L12" s="104">
        <f>$E$3</f>
        <v>0.15</v>
      </c>
      <c r="M12" s="105">
        <f>$F$3</f>
        <v>0.05</v>
      </c>
      <c r="N12" s="104">
        <v>0</v>
      </c>
      <c r="O12" s="102">
        <f>(G12+I12)/(1-L12-M12-K12)</f>
        <v>27.6947368421053</v>
      </c>
    </row>
    <row r="13" s="21" customFormat="1" ht="16.2" spans="1:75">
      <c r="A13" s="99" t="s">
        <v>163</v>
      </c>
      <c r="B13" s="100" t="s">
        <v>164</v>
      </c>
      <c r="C13" s="101">
        <f t="shared" ref="C13:C18" si="4">$M$3</f>
        <v>54.99</v>
      </c>
      <c r="D13" s="101">
        <f t="shared" ref="D13:D17" si="5">G13+H13+I13+J13+K13*C13+C13*N13</f>
        <v>40.4525</v>
      </c>
      <c r="E13" s="102">
        <f t="shared" ref="E13:E17" si="6">C13-D13</f>
        <v>14.5375</v>
      </c>
      <c r="F13" s="103">
        <f t="shared" ref="F13:F17" si="7">E13/C13</f>
        <v>0.264366248408801</v>
      </c>
      <c r="G13" s="101">
        <v>14.38</v>
      </c>
      <c r="H13" s="101">
        <f t="shared" ref="H12:H18" si="8">C13*L13</f>
        <v>8.2485</v>
      </c>
      <c r="I13" s="101">
        <f t="shared" ref="I13:I18" si="9">$I$3</f>
        <v>3.16</v>
      </c>
      <c r="J13" s="101">
        <f t="shared" ref="J12:J18" si="10">C13*M13</f>
        <v>2.7495</v>
      </c>
      <c r="K13" s="101">
        <v>0.166666666666667</v>
      </c>
      <c r="L13" s="104">
        <f t="shared" ref="L13:L18" si="11">$E$3</f>
        <v>0.15</v>
      </c>
      <c r="M13" s="105">
        <f t="shared" ref="M13:M18" si="12">$F$3</f>
        <v>0.05</v>
      </c>
      <c r="N13" s="104">
        <v>0.05</v>
      </c>
      <c r="O13" s="102">
        <f t="shared" ref="O13:O18" si="13">(G13+I13)/(1-L13-M13-K13)</f>
        <v>27.6947368421053</v>
      </c>
    </row>
    <row r="14" s="21" customFormat="1" ht="16.2" spans="1:75">
      <c r="A14" s="99" t="s">
        <v>163</v>
      </c>
      <c r="B14" s="100" t="s">
        <v>164</v>
      </c>
      <c r="C14" s="101">
        <f t="shared" si="4"/>
        <v>54.99</v>
      </c>
      <c r="D14" s="101">
        <f t="shared" si="5"/>
        <v>43.202</v>
      </c>
      <c r="E14" s="102">
        <f t="shared" si="6"/>
        <v>11.788</v>
      </c>
      <c r="F14" s="103">
        <f t="shared" si="7"/>
        <v>0.214366248408801</v>
      </c>
      <c r="G14" s="101">
        <v>14.38</v>
      </c>
      <c r="H14" s="101">
        <f t="shared" si="8"/>
        <v>8.2485</v>
      </c>
      <c r="I14" s="101">
        <f t="shared" si="9"/>
        <v>3.16</v>
      </c>
      <c r="J14" s="101">
        <f t="shared" si="10"/>
        <v>2.7495</v>
      </c>
      <c r="K14" s="101">
        <v>0.166666666666667</v>
      </c>
      <c r="L14" s="104">
        <f t="shared" si="11"/>
        <v>0.15</v>
      </c>
      <c r="M14" s="105">
        <f t="shared" si="12"/>
        <v>0.05</v>
      </c>
      <c r="N14" s="104">
        <v>0.1</v>
      </c>
      <c r="O14" s="102">
        <f t="shared" si="13"/>
        <v>27.6947368421053</v>
      </c>
    </row>
    <row r="15" s="21" customFormat="1" ht="16.2" spans="1:75">
      <c r="A15" s="99" t="s">
        <v>163</v>
      </c>
      <c r="B15" s="100" t="s">
        <v>164</v>
      </c>
      <c r="C15" s="101">
        <f t="shared" si="4"/>
        <v>54.99</v>
      </c>
      <c r="D15" s="101">
        <f t="shared" si="5"/>
        <v>45.9515</v>
      </c>
      <c r="E15" s="102">
        <f t="shared" si="6"/>
        <v>9.03849999999998</v>
      </c>
      <c r="F15" s="103">
        <f t="shared" si="7"/>
        <v>0.164366248408801</v>
      </c>
      <c r="G15" s="101">
        <v>14.38</v>
      </c>
      <c r="H15" s="101">
        <f t="shared" si="8"/>
        <v>8.2485</v>
      </c>
      <c r="I15" s="101">
        <f t="shared" si="9"/>
        <v>3.16</v>
      </c>
      <c r="J15" s="101">
        <f t="shared" si="10"/>
        <v>2.7495</v>
      </c>
      <c r="K15" s="101">
        <v>0.166666666666667</v>
      </c>
      <c r="L15" s="104">
        <f t="shared" si="11"/>
        <v>0.15</v>
      </c>
      <c r="M15" s="105">
        <f t="shared" si="12"/>
        <v>0.05</v>
      </c>
      <c r="N15" s="104">
        <v>0.15</v>
      </c>
      <c r="O15" s="102">
        <f t="shared" si="13"/>
        <v>27.6947368421053</v>
      </c>
    </row>
    <row r="16" s="21" customFormat="1" ht="16.2" spans="1:75">
      <c r="A16" s="99" t="s">
        <v>163</v>
      </c>
      <c r="B16" s="100" t="s">
        <v>164</v>
      </c>
      <c r="C16" s="101">
        <f t="shared" si="4"/>
        <v>54.99</v>
      </c>
      <c r="D16" s="101">
        <f t="shared" si="5"/>
        <v>48.701</v>
      </c>
      <c r="E16" s="102">
        <f t="shared" si="6"/>
        <v>6.28899999999998</v>
      </c>
      <c r="F16" s="103">
        <f t="shared" si="7"/>
        <v>0.114366248408801</v>
      </c>
      <c r="G16" s="101">
        <v>14.38</v>
      </c>
      <c r="H16" s="101">
        <f t="shared" si="8"/>
        <v>8.2485</v>
      </c>
      <c r="I16" s="101">
        <f t="shared" si="9"/>
        <v>3.16</v>
      </c>
      <c r="J16" s="101">
        <f t="shared" si="10"/>
        <v>2.7495</v>
      </c>
      <c r="K16" s="101">
        <v>0.166666666666667</v>
      </c>
      <c r="L16" s="104">
        <f t="shared" si="11"/>
        <v>0.15</v>
      </c>
      <c r="M16" s="105">
        <f t="shared" si="12"/>
        <v>0.05</v>
      </c>
      <c r="N16" s="104">
        <v>0.2</v>
      </c>
      <c r="O16" s="102">
        <f t="shared" si="13"/>
        <v>27.6947368421053</v>
      </c>
    </row>
    <row r="17" s="21" customFormat="1" ht="16.2" spans="1:19">
      <c r="A17" s="99" t="s">
        <v>163</v>
      </c>
      <c r="B17" s="100" t="s">
        <v>164</v>
      </c>
      <c r="C17" s="101">
        <f t="shared" si="4"/>
        <v>54.99</v>
      </c>
      <c r="D17" s="101">
        <f t="shared" si="5"/>
        <v>51.4505</v>
      </c>
      <c r="E17" s="102">
        <f t="shared" si="6"/>
        <v>3.53949999999998</v>
      </c>
      <c r="F17" s="103">
        <f t="shared" si="7"/>
        <v>0.0643662484088011</v>
      </c>
      <c r="G17" s="101">
        <v>14.38</v>
      </c>
      <c r="H17" s="101">
        <f t="shared" si="8"/>
        <v>8.2485</v>
      </c>
      <c r="I17" s="101">
        <f t="shared" si="9"/>
        <v>3.16</v>
      </c>
      <c r="J17" s="101">
        <f t="shared" si="10"/>
        <v>2.7495</v>
      </c>
      <c r="K17" s="101">
        <v>0.166666666666667</v>
      </c>
      <c r="L17" s="104">
        <f t="shared" si="11"/>
        <v>0.15</v>
      </c>
      <c r="M17" s="105">
        <f t="shared" si="12"/>
        <v>0.05</v>
      </c>
      <c r="N17" s="104">
        <v>0.25</v>
      </c>
      <c r="O17" s="102">
        <f t="shared" si="13"/>
        <v>27.6947368421053</v>
      </c>
    </row>
    <row r="18" s="21" customFormat="1" ht="16.2" spans="1:19">
      <c r="A18" s="99" t="s">
        <v>163</v>
      </c>
      <c r="B18" s="100" t="s">
        <v>164</v>
      </c>
      <c r="C18" s="101">
        <f t="shared" si="4"/>
        <v>54.99</v>
      </c>
      <c r="D18" s="101">
        <f t="shared" ref="D18" si="14">G18+H18+I18+J18+K18*C18+C18*N18</f>
        <v>54.2</v>
      </c>
      <c r="E18" s="102">
        <f t="shared" ref="E18" si="15">C18-D18</f>
        <v>0.789999999999978</v>
      </c>
      <c r="F18" s="103">
        <f t="shared" ref="F18" si="16">E18/C18</f>
        <v>0.0143662484088012</v>
      </c>
      <c r="G18" s="101">
        <v>14.38</v>
      </c>
      <c r="H18" s="101">
        <f t="shared" si="8"/>
        <v>8.2485</v>
      </c>
      <c r="I18" s="101">
        <f t="shared" si="9"/>
        <v>3.16</v>
      </c>
      <c r="J18" s="101">
        <f t="shared" si="10"/>
        <v>2.7495</v>
      </c>
      <c r="K18" s="101">
        <v>0.166666666666667</v>
      </c>
      <c r="L18" s="104">
        <f t="shared" si="11"/>
        <v>0.15</v>
      </c>
      <c r="M18" s="105">
        <f t="shared" si="12"/>
        <v>0.05</v>
      </c>
      <c r="N18" s="104">
        <v>0.3</v>
      </c>
      <c r="O18" s="102">
        <f t="shared" si="13"/>
        <v>27.6947368421053</v>
      </c>
    </row>
    <row r="19" s="21" customFormat="1" ht="16.2" spans="1:19">
      <c r="A19" s="99"/>
      <c r="B19" s="100"/>
      <c r="C19" s="101"/>
      <c r="D19" s="101"/>
      <c r="E19" s="102"/>
      <c r="F19" s="103"/>
      <c r="G19" s="101"/>
      <c r="H19" s="101"/>
      <c r="I19" s="101"/>
      <c r="J19" s="101"/>
      <c r="K19" s="101"/>
      <c r="L19" s="104"/>
      <c r="M19" s="105"/>
      <c r="N19" s="104"/>
      <c r="O19" s="102"/>
    </row>
    <row r="20" s="21" customFormat="1" ht="16.2" spans="1:19">
      <c r="A20" s="106"/>
      <c r="B20" s="107"/>
      <c r="C20" s="108"/>
      <c r="D20" s="108"/>
      <c r="E20" s="109"/>
      <c r="F20" s="110"/>
      <c r="G20" s="108"/>
      <c r="H20" s="108"/>
      <c r="I20" s="108"/>
      <c r="J20" s="108"/>
      <c r="K20" s="108"/>
      <c r="L20" s="111"/>
      <c r="M20" s="112"/>
      <c r="N20" s="111"/>
      <c r="O20" s="109"/>
    </row>
    <row r="21" spans="1:19">
      <c r="A21" s="113" t="s">
        <v>165</v>
      </c>
    </row>
    <row r="22" s="18" customFormat="1" ht="31.2" spans="1:19">
      <c r="A22" s="114" t="s">
        <v>166</v>
      </c>
      <c r="B22" s="42" t="s">
        <v>21</v>
      </c>
      <c r="C22" s="115" t="s">
        <v>131</v>
      </c>
      <c r="D22" s="44" t="s">
        <v>167</v>
      </c>
      <c r="E22" s="44" t="s">
        <v>133</v>
      </c>
      <c r="F22" s="44" t="s">
        <v>134</v>
      </c>
      <c r="G22" s="44" t="s">
        <v>135</v>
      </c>
      <c r="H22" s="45" t="s">
        <v>136</v>
      </c>
      <c r="I22" s="42" t="s">
        <v>94</v>
      </c>
      <c r="J22" s="115" t="s">
        <v>137</v>
      </c>
      <c r="K22" s="115" t="s">
        <v>129</v>
      </c>
      <c r="L22" s="44" t="s">
        <v>138</v>
      </c>
      <c r="M22" s="42" t="s">
        <v>168</v>
      </c>
      <c r="N22" s="42" t="s">
        <v>140</v>
      </c>
      <c r="O22" s="42" t="s">
        <v>141</v>
      </c>
      <c r="P22" s="46" t="s">
        <v>142</v>
      </c>
      <c r="Q22" s="42" t="s">
        <v>169</v>
      </c>
      <c r="R22" s="116"/>
      <c r="S22" s="116"/>
    </row>
    <row r="23" spans="1:19">
      <c r="A23" s="117" t="s">
        <v>115</v>
      </c>
      <c r="B23" s="118">
        <v>46.74</v>
      </c>
      <c r="C23" s="119">
        <f>N5</f>
        <v>300</v>
      </c>
      <c r="D23" s="119">
        <f t="shared" ref="D23:P23" si="17">O3</f>
        <v>16497</v>
      </c>
      <c r="E23" s="119">
        <f t="shared" si="17"/>
        <v>4314</v>
      </c>
      <c r="F23" s="119">
        <f t="shared" si="17"/>
        <v>2474.55</v>
      </c>
      <c r="G23" s="119">
        <f t="shared" si="17"/>
        <v>948</v>
      </c>
      <c r="H23" s="119">
        <f t="shared" si="17"/>
        <v>263.1</v>
      </c>
      <c r="I23" s="120">
        <f t="shared" si="17"/>
        <v>2969.46</v>
      </c>
      <c r="J23" s="118">
        <f t="shared" si="17"/>
        <v>2474.55</v>
      </c>
      <c r="K23" s="120">
        <f t="shared" si="17"/>
        <v>2749.50000000001</v>
      </c>
      <c r="L23" s="119">
        <f t="shared" si="17"/>
        <v>16193.16</v>
      </c>
      <c r="M23" s="121">
        <f t="shared" si="17"/>
        <v>4880.94</v>
      </c>
      <c r="N23" s="122">
        <f t="shared" si="17"/>
        <v>0.295868339698127</v>
      </c>
      <c r="O23" s="119">
        <f t="shared" si="17"/>
        <v>303.839999999995</v>
      </c>
      <c r="P23" s="123">
        <f t="shared" si="17"/>
        <v>0.0184178941625747</v>
      </c>
      <c r="Q23" s="124">
        <f>O23</f>
        <v>303.839999999995</v>
      </c>
      <c r="R23" s="125"/>
      <c r="S23" s="126"/>
    </row>
    <row r="24" spans="1:19">
      <c r="A24" s="117" t="s">
        <v>116</v>
      </c>
      <c r="B24" s="118">
        <v>46.74</v>
      </c>
      <c r="C24" s="119">
        <f>AD5</f>
        <v>500</v>
      </c>
      <c r="D24" s="119">
        <f t="shared" ref="D24:P24" si="18">AE4</f>
        <v>27495</v>
      </c>
      <c r="E24" s="119">
        <f t="shared" si="18"/>
        <v>7190</v>
      </c>
      <c r="F24" s="119">
        <f t="shared" si="18"/>
        <v>4124.25</v>
      </c>
      <c r="G24" s="119">
        <f t="shared" si="18"/>
        <v>1580</v>
      </c>
      <c r="H24" s="119">
        <f t="shared" si="18"/>
        <v>438.5</v>
      </c>
      <c r="I24" s="119">
        <f t="shared" si="18"/>
        <v>2749.5</v>
      </c>
      <c r="J24" s="118">
        <f t="shared" si="18"/>
        <v>4124.25</v>
      </c>
      <c r="K24" s="119">
        <f t="shared" si="18"/>
        <v>4582.50000000001</v>
      </c>
      <c r="L24" s="119">
        <f t="shared" si="18"/>
        <v>24789</v>
      </c>
      <c r="M24" s="119">
        <f t="shared" si="18"/>
        <v>14458.75</v>
      </c>
      <c r="N24" s="122">
        <f t="shared" si="18"/>
        <v>0.525868339698127</v>
      </c>
      <c r="O24" s="118">
        <f t="shared" si="18"/>
        <v>2705.99999999999</v>
      </c>
      <c r="P24" s="123">
        <f t="shared" si="18"/>
        <v>0.0984178941625748</v>
      </c>
      <c r="Q24" s="124">
        <f>SUM(O23:O24)</f>
        <v>3009.83999999999</v>
      </c>
      <c r="R24" s="125"/>
      <c r="S24" s="126"/>
    </row>
    <row r="25" spans="1:19">
      <c r="A25" s="117" t="s">
        <v>117</v>
      </c>
      <c r="B25" s="118">
        <v>46.74</v>
      </c>
      <c r="C25" s="119">
        <f>AT5</f>
        <v>700</v>
      </c>
      <c r="D25" s="119">
        <f>AU4</f>
        <v>38493</v>
      </c>
      <c r="E25" s="119">
        <f>AV4</f>
        <v>10066</v>
      </c>
      <c r="F25" s="119">
        <f t="shared" ref="F25:P25" si="19">AW4</f>
        <v>5773.95</v>
      </c>
      <c r="G25" s="119">
        <f t="shared" si="19"/>
        <v>2212</v>
      </c>
      <c r="H25" s="119">
        <f t="shared" si="19"/>
        <v>613.9</v>
      </c>
      <c r="I25" s="119">
        <f t="shared" si="19"/>
        <v>2694.51</v>
      </c>
      <c r="J25" s="119">
        <f t="shared" si="19"/>
        <v>5773.95</v>
      </c>
      <c r="K25" s="119">
        <f t="shared" si="19"/>
        <v>6415.50000000001</v>
      </c>
      <c r="L25" s="119">
        <f t="shared" si="19"/>
        <v>33549.81</v>
      </c>
      <c r="M25" s="119">
        <f t="shared" si="19"/>
        <v>21397.04</v>
      </c>
      <c r="N25" s="122">
        <f t="shared" si="19"/>
        <v>0.555868339698127</v>
      </c>
      <c r="O25" s="119">
        <f t="shared" si="19"/>
        <v>4943.18999999999</v>
      </c>
      <c r="P25" s="123">
        <f t="shared" si="19"/>
        <v>0.128417894162575</v>
      </c>
      <c r="Q25" s="124">
        <f>SUM(O23:O25)</f>
        <v>7953.02999999998</v>
      </c>
      <c r="R25" s="125"/>
      <c r="S25" s="126"/>
    </row>
    <row r="26" spans="1:19">
      <c r="A26" s="117" t="s">
        <v>170</v>
      </c>
      <c r="B26" s="118">
        <v>46.74</v>
      </c>
      <c r="C26" s="119">
        <f>BJ5</f>
        <v>900</v>
      </c>
      <c r="D26" s="118">
        <f t="shared" ref="D26:P26" si="20">BK3</f>
        <v>49491</v>
      </c>
      <c r="E26" s="118">
        <f t="shared" si="20"/>
        <v>12942</v>
      </c>
      <c r="F26" s="118">
        <f t="shared" si="20"/>
        <v>7423.65</v>
      </c>
      <c r="G26" s="118">
        <f t="shared" si="20"/>
        <v>2844</v>
      </c>
      <c r="H26" s="118">
        <f t="shared" si="20"/>
        <v>789.3</v>
      </c>
      <c r="I26" s="118">
        <f t="shared" si="20"/>
        <v>6433.83</v>
      </c>
      <c r="J26" s="118">
        <f t="shared" si="20"/>
        <v>7423.65</v>
      </c>
      <c r="K26" s="118">
        <f t="shared" si="20"/>
        <v>8248.50000000002</v>
      </c>
      <c r="L26" s="118">
        <f t="shared" si="20"/>
        <v>46104.93</v>
      </c>
      <c r="M26" s="118">
        <f t="shared" si="20"/>
        <v>24541.02</v>
      </c>
      <c r="N26" s="122">
        <f t="shared" si="20"/>
        <v>0.495868339698127</v>
      </c>
      <c r="O26" s="118">
        <f t="shared" si="20"/>
        <v>3386.06999999999</v>
      </c>
      <c r="P26" s="123">
        <f t="shared" si="20"/>
        <v>0.0684178941625747</v>
      </c>
      <c r="Q26" s="124">
        <f>SUM(O23:O26)</f>
        <v>11339.1</v>
      </c>
      <c r="R26" s="127"/>
      <c r="S26" s="126"/>
    </row>
    <row r="27" spans="1:19">
      <c r="A27" s="117" t="s">
        <v>171</v>
      </c>
      <c r="B27" s="118">
        <v>46.74</v>
      </c>
      <c r="C27" s="119">
        <f>BJ5</f>
        <v>900</v>
      </c>
      <c r="D27" s="118">
        <f t="shared" ref="D27:P27" si="21">BK4</f>
        <v>49491</v>
      </c>
      <c r="E27" s="118">
        <f t="shared" si="21"/>
        <v>12942</v>
      </c>
      <c r="F27" s="118">
        <f t="shared" si="21"/>
        <v>7423.65</v>
      </c>
      <c r="G27" s="118">
        <f t="shared" si="21"/>
        <v>2844</v>
      </c>
      <c r="H27" s="118">
        <f t="shared" si="21"/>
        <v>789.3</v>
      </c>
      <c r="I27" s="118">
        <f t="shared" si="21"/>
        <v>6433.83</v>
      </c>
      <c r="J27" s="118">
        <f t="shared" si="21"/>
        <v>7423.65</v>
      </c>
      <c r="K27" s="118">
        <f t="shared" si="21"/>
        <v>8248.50000000002</v>
      </c>
      <c r="L27" s="118">
        <f t="shared" si="21"/>
        <v>46104.93</v>
      </c>
      <c r="M27" s="118">
        <f t="shared" si="21"/>
        <v>24541.02</v>
      </c>
      <c r="N27" s="122">
        <f t="shared" si="21"/>
        <v>0.495868339698127</v>
      </c>
      <c r="O27" s="118">
        <f t="shared" si="21"/>
        <v>3386.06999999999</v>
      </c>
      <c r="P27" s="123">
        <f t="shared" si="21"/>
        <v>0.0684178941625747</v>
      </c>
      <c r="Q27" s="124">
        <f>SUM(O23:O27)</f>
        <v>14725.1699999999</v>
      </c>
      <c r="R27" s="127"/>
      <c r="S27" s="126"/>
    </row>
    <row r="28" spans="1:19">
      <c r="A28" s="117" t="s">
        <v>172</v>
      </c>
      <c r="B28" s="118">
        <v>46.74</v>
      </c>
      <c r="C28" s="119">
        <f t="shared" ref="C28:P28" si="22">BJ5</f>
        <v>900</v>
      </c>
      <c r="D28" s="118">
        <f t="shared" si="22"/>
        <v>49491</v>
      </c>
      <c r="E28" s="118">
        <f t="shared" si="22"/>
        <v>12942</v>
      </c>
      <c r="F28" s="118">
        <f t="shared" si="22"/>
        <v>7423.65</v>
      </c>
      <c r="G28" s="118">
        <f t="shared" si="22"/>
        <v>2844</v>
      </c>
      <c r="H28" s="118">
        <f t="shared" si="22"/>
        <v>789.3</v>
      </c>
      <c r="I28" s="118">
        <f t="shared" si="22"/>
        <v>6433.83</v>
      </c>
      <c r="J28" s="118">
        <f t="shared" si="22"/>
        <v>7423.65</v>
      </c>
      <c r="K28" s="118">
        <f t="shared" si="22"/>
        <v>8248.50000000002</v>
      </c>
      <c r="L28" s="118">
        <f t="shared" si="22"/>
        <v>46104.93</v>
      </c>
      <c r="M28" s="118">
        <f t="shared" si="22"/>
        <v>24541.02</v>
      </c>
      <c r="N28" s="122">
        <f t="shared" si="22"/>
        <v>0.495868339698127</v>
      </c>
      <c r="O28" s="118">
        <f t="shared" si="22"/>
        <v>3386.06999999999</v>
      </c>
      <c r="P28" s="123">
        <f t="shared" si="22"/>
        <v>0.0684178941625747</v>
      </c>
      <c r="Q28" s="124">
        <f>SUM(O23:O28)</f>
        <v>18111.2399999999</v>
      </c>
      <c r="R28" s="127"/>
      <c r="S28" s="126"/>
    </row>
    <row r="29" hidden="1" spans="1:19">
      <c r="A29" s="117" t="s">
        <v>173</v>
      </c>
      <c r="B29" s="118">
        <v>46.74</v>
      </c>
      <c r="C29" s="119">
        <f t="shared" ref="C29:P29" si="23">BJ5</f>
        <v>900</v>
      </c>
      <c r="D29" s="118">
        <f t="shared" si="23"/>
        <v>49491</v>
      </c>
      <c r="E29" s="118">
        <f t="shared" si="23"/>
        <v>12942</v>
      </c>
      <c r="F29" s="118">
        <f t="shared" si="23"/>
        <v>7423.65</v>
      </c>
      <c r="G29" s="118">
        <f t="shared" si="23"/>
        <v>2844</v>
      </c>
      <c r="H29" s="118">
        <f t="shared" si="23"/>
        <v>789.3</v>
      </c>
      <c r="I29" s="118">
        <f t="shared" si="23"/>
        <v>6433.83</v>
      </c>
      <c r="J29" s="118">
        <f t="shared" si="23"/>
        <v>7423.65</v>
      </c>
      <c r="K29" s="118">
        <f t="shared" si="23"/>
        <v>8248.50000000002</v>
      </c>
      <c r="L29" s="118">
        <f t="shared" si="23"/>
        <v>46104.93</v>
      </c>
      <c r="M29" s="118">
        <f t="shared" si="23"/>
        <v>24541.02</v>
      </c>
      <c r="N29" s="122">
        <f t="shared" si="23"/>
        <v>0.495868339698127</v>
      </c>
      <c r="O29" s="118">
        <f t="shared" si="23"/>
        <v>3386.06999999999</v>
      </c>
      <c r="P29" s="123">
        <f t="shared" si="23"/>
        <v>0.0684178941625747</v>
      </c>
      <c r="Q29" s="124">
        <f>SUM(O23:O29)</f>
        <v>21497.3099999999</v>
      </c>
      <c r="R29" s="127"/>
      <c r="S29" s="126"/>
    </row>
    <row r="30" hidden="1" spans="1:19">
      <c r="A30" s="117" t="s">
        <v>174</v>
      </c>
      <c r="B30" s="118">
        <v>46.74</v>
      </c>
      <c r="C30" s="119">
        <f t="shared" ref="C30:P30" si="24">BJ5</f>
        <v>900</v>
      </c>
      <c r="D30" s="118">
        <f t="shared" si="24"/>
        <v>49491</v>
      </c>
      <c r="E30" s="118">
        <f t="shared" si="24"/>
        <v>12942</v>
      </c>
      <c r="F30" s="118">
        <f t="shared" si="24"/>
        <v>7423.65</v>
      </c>
      <c r="G30" s="118">
        <f t="shared" si="24"/>
        <v>2844</v>
      </c>
      <c r="H30" s="118">
        <f t="shared" si="24"/>
        <v>789.3</v>
      </c>
      <c r="I30" s="118">
        <f t="shared" si="24"/>
        <v>6433.83</v>
      </c>
      <c r="J30" s="118">
        <f t="shared" si="24"/>
        <v>7423.65</v>
      </c>
      <c r="K30" s="118">
        <f t="shared" si="24"/>
        <v>8248.50000000002</v>
      </c>
      <c r="L30" s="118">
        <f t="shared" si="24"/>
        <v>46104.93</v>
      </c>
      <c r="M30" s="118">
        <f t="shared" si="24"/>
        <v>24541.02</v>
      </c>
      <c r="N30" s="122">
        <f t="shared" si="24"/>
        <v>0.495868339698127</v>
      </c>
      <c r="O30" s="118">
        <f t="shared" si="24"/>
        <v>3386.06999999999</v>
      </c>
      <c r="P30" s="123">
        <f t="shared" si="24"/>
        <v>0.0684178941625747</v>
      </c>
      <c r="Q30" s="124">
        <f>SUM(O27:O30)</f>
        <v>13544.28</v>
      </c>
      <c r="R30" s="127"/>
      <c r="S30" s="126"/>
    </row>
    <row r="31" hidden="1" spans="1:19">
      <c r="A31" s="117" t="s">
        <v>175</v>
      </c>
      <c r="B31" s="118">
        <v>46.74</v>
      </c>
      <c r="C31" s="119">
        <v>900</v>
      </c>
      <c r="D31" s="118">
        <v>49491</v>
      </c>
      <c r="E31" s="118">
        <v>12942</v>
      </c>
      <c r="F31" s="118">
        <v>7423.65</v>
      </c>
      <c r="G31" s="118">
        <v>2844</v>
      </c>
      <c r="H31" s="118">
        <v>789.3</v>
      </c>
      <c r="I31" s="118">
        <v>6433.83</v>
      </c>
      <c r="J31" s="118">
        <v>7423.65</v>
      </c>
      <c r="K31" s="118">
        <v>8248.50000000002</v>
      </c>
      <c r="L31" s="118">
        <v>46104.93</v>
      </c>
      <c r="M31" s="118">
        <v>24541.02</v>
      </c>
      <c r="N31" s="122">
        <v>0.495868339698127</v>
      </c>
      <c r="O31" s="118">
        <v>3386.06999999999</v>
      </c>
      <c r="P31" s="123">
        <v>0.0684178941625747</v>
      </c>
      <c r="Q31" s="124">
        <f>SUM(O23:O31)</f>
        <v>28269.4499999999</v>
      </c>
      <c r="R31" s="127"/>
      <c r="S31" s="126"/>
    </row>
    <row r="32" hidden="1" spans="1:19">
      <c r="A32" s="117" t="s">
        <v>176</v>
      </c>
      <c r="B32" s="118">
        <v>46.74</v>
      </c>
      <c r="C32" s="119">
        <v>900</v>
      </c>
      <c r="D32" s="118">
        <v>49491</v>
      </c>
      <c r="E32" s="118">
        <v>12942</v>
      </c>
      <c r="F32" s="118">
        <v>7423.65</v>
      </c>
      <c r="G32" s="118">
        <v>2844</v>
      </c>
      <c r="H32" s="118">
        <v>789.3</v>
      </c>
      <c r="I32" s="118">
        <v>6433.83</v>
      </c>
      <c r="J32" s="118">
        <v>7423.65</v>
      </c>
      <c r="K32" s="118">
        <v>8248.50000000002</v>
      </c>
      <c r="L32" s="118">
        <v>46104.93</v>
      </c>
      <c r="M32" s="118">
        <v>24541.02</v>
      </c>
      <c r="N32" s="122">
        <v>0.495868339698127</v>
      </c>
      <c r="O32" s="118">
        <v>3386.06999999999</v>
      </c>
      <c r="P32" s="123">
        <v>0.0684178941625747</v>
      </c>
      <c r="Q32" s="124">
        <f>SUM(O23:O32)</f>
        <v>31655.5199999999</v>
      </c>
      <c r="R32" s="127"/>
      <c r="S32" s="126"/>
    </row>
    <row r="33" hidden="1" spans="1:19">
      <c r="A33" s="117" t="s">
        <v>177</v>
      </c>
      <c r="B33" s="118">
        <v>46.74</v>
      </c>
      <c r="C33" s="119">
        <v>900</v>
      </c>
      <c r="D33" s="118">
        <v>49491</v>
      </c>
      <c r="E33" s="118">
        <v>12942</v>
      </c>
      <c r="F33" s="118">
        <v>7423.65</v>
      </c>
      <c r="G33" s="118">
        <v>2844</v>
      </c>
      <c r="H33" s="118">
        <v>789.3</v>
      </c>
      <c r="I33" s="118">
        <v>6433.83</v>
      </c>
      <c r="J33" s="118">
        <v>7423.65</v>
      </c>
      <c r="K33" s="118">
        <v>8248.50000000002</v>
      </c>
      <c r="L33" s="118">
        <v>46104.93</v>
      </c>
      <c r="M33" s="118">
        <v>24541.02</v>
      </c>
      <c r="N33" s="122">
        <v>0.495868339698127</v>
      </c>
      <c r="O33" s="118">
        <v>3386.06999999999</v>
      </c>
      <c r="P33" s="123">
        <v>0.0684178941625747</v>
      </c>
      <c r="Q33" s="124">
        <f>SUM(O23:O33)</f>
        <v>35041.5899999999</v>
      </c>
      <c r="R33" s="127"/>
      <c r="S33" s="126"/>
    </row>
    <row r="34" hidden="1" spans="1:19">
      <c r="A34" s="117" t="s">
        <v>178</v>
      </c>
      <c r="B34" s="118">
        <v>46.74</v>
      </c>
      <c r="C34" s="119">
        <v>900</v>
      </c>
      <c r="D34" s="118">
        <v>49491</v>
      </c>
      <c r="E34" s="118">
        <v>12942</v>
      </c>
      <c r="F34" s="118">
        <v>7423.65</v>
      </c>
      <c r="G34" s="118">
        <v>2844</v>
      </c>
      <c r="H34" s="118">
        <v>789.3</v>
      </c>
      <c r="I34" s="118">
        <v>6433.83</v>
      </c>
      <c r="J34" s="118">
        <v>7423.65</v>
      </c>
      <c r="K34" s="118">
        <v>8248.50000000002</v>
      </c>
      <c r="L34" s="118">
        <v>46104.93</v>
      </c>
      <c r="M34" s="118">
        <v>24541.02</v>
      </c>
      <c r="N34" s="122">
        <v>0.495868339698127</v>
      </c>
      <c r="O34" s="118">
        <v>3386.06999999999</v>
      </c>
      <c r="P34" s="123">
        <v>0.0684178941625747</v>
      </c>
      <c r="Q34" s="124">
        <f>SUM(O23:O34)</f>
        <v>38427.6599999999</v>
      </c>
      <c r="R34" s="127"/>
      <c r="S34" s="126"/>
    </row>
  </sheetData>
  <mergeCells count="5">
    <mergeCell ref="A1:J1"/>
    <mergeCell ref="L1:N1"/>
    <mergeCell ref="AB1:AD1"/>
    <mergeCell ref="AR1:AS1"/>
    <mergeCell ref="BH1:BI1"/>
  </mergeCells>
  <pageMargins left="0.7" right="0.7" top="0.75" bottom="0.75" header="0.3" footer="0.3"/>
  <headerFooter/>
  <ignoredErrors>
    <ignoredError sqref="B30:P30" formula="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
  <sheetViews>
    <sheetView zoomScale="130" zoomScaleNormal="130" topLeftCell="A4" workbookViewId="0">
      <selection activeCell="F27" sqref="F27"/>
    </sheetView>
  </sheetViews>
  <sheetFormatPr defaultColWidth="9" defaultRowHeight="15"/>
  <cols>
    <col min="1" max="1" width="9" style="2"/>
    <col min="2" max="2" width="13.1296296296296" style="2" customWidth="1"/>
    <col min="3" max="3" width="9" style="2"/>
    <col min="4" max="4" width="9.62962962962963" style="2" customWidth="1"/>
    <col min="5" max="5" width="8.75" style="2" customWidth="1"/>
    <col min="6" max="6" width="12.25" style="2" customWidth="1"/>
    <col min="7" max="7" width="10.5" style="2" customWidth="1"/>
    <col min="8" max="8" width="15.6296296296296" style="2" customWidth="1"/>
    <col min="9" max="9" width="16.5" style="2" customWidth="1"/>
    <col min="10" max="10" width="11.6296296296296" style="2" customWidth="1"/>
    <col min="11" max="16384" width="9" style="2"/>
  </cols>
  <sheetData>
    <row r="1" spans="1:11">
      <c r="A1" s="3" t="s">
        <v>179</v>
      </c>
      <c r="B1" s="3"/>
      <c r="C1" s="3"/>
      <c r="D1" s="3" t="s">
        <v>180</v>
      </c>
      <c r="E1" s="3"/>
      <c r="F1" s="3"/>
      <c r="G1" s="3"/>
      <c r="H1" s="3" t="s">
        <v>181</v>
      </c>
      <c r="I1" s="3"/>
      <c r="J1" s="3"/>
      <c r="K1" s="3"/>
    </row>
    <row r="2" spans="1:11">
      <c r="A2" s="2" t="s">
        <v>182</v>
      </c>
      <c r="B2" s="2" t="s">
        <v>183</v>
      </c>
      <c r="C2" s="2" t="s">
        <v>184</v>
      </c>
      <c r="D2" s="2" t="s">
        <v>185</v>
      </c>
      <c r="E2" s="2" t="s">
        <v>186</v>
      </c>
      <c r="F2" s="2" t="s">
        <v>187</v>
      </c>
      <c r="G2" s="2" t="s">
        <v>188</v>
      </c>
      <c r="H2" s="2" t="s">
        <v>189</v>
      </c>
      <c r="I2" s="2" t="s">
        <v>190</v>
      </c>
      <c r="J2" s="2" t="s">
        <v>191</v>
      </c>
      <c r="K2" s="2" t="s">
        <v>192</v>
      </c>
    </row>
    <row r="3" spans="1:11">
      <c r="A3" s="1" t="s">
        <v>193</v>
      </c>
      <c r="B3" s="1" t="s">
        <v>194</v>
      </c>
      <c r="C3" s="1">
        <v>5000</v>
      </c>
      <c r="D3" s="1" t="s">
        <v>195</v>
      </c>
      <c r="E3" s="1">
        <v>4988</v>
      </c>
      <c r="F3" s="1" t="s">
        <v>196</v>
      </c>
      <c r="G3" s="1">
        <v>1000</v>
      </c>
      <c r="H3" s="4" t="s">
        <v>197</v>
      </c>
      <c r="I3" s="4" t="s">
        <v>198</v>
      </c>
      <c r="J3" s="4">
        <v>2490</v>
      </c>
      <c r="K3" s="2" t="s">
        <v>199</v>
      </c>
    </row>
    <row r="4" spans="1:11">
      <c r="A4" s="1"/>
      <c r="B4" s="1"/>
      <c r="C4" s="1"/>
      <c r="D4" s="1"/>
      <c r="E4" s="1"/>
      <c r="F4" s="1"/>
      <c r="G4" s="1"/>
      <c r="H4" s="5" t="s">
        <v>200</v>
      </c>
      <c r="I4" s="5" t="s">
        <v>201</v>
      </c>
      <c r="J4" s="5">
        <v>1200</v>
      </c>
      <c r="K4" s="2" t="s">
        <v>202</v>
      </c>
    </row>
    <row r="5" spans="1:11">
      <c r="A5" s="1"/>
      <c r="B5" s="1"/>
      <c r="C5" s="1"/>
      <c r="D5" s="1"/>
      <c r="E5" s="1"/>
      <c r="F5" s="1"/>
      <c r="G5" s="1"/>
      <c r="H5" s="6" t="s">
        <v>203</v>
      </c>
      <c r="I5" s="6" t="s">
        <v>204</v>
      </c>
      <c r="J5" s="6">
        <v>1310</v>
      </c>
      <c r="K5" s="2" t="s">
        <v>199</v>
      </c>
    </row>
    <row r="6" spans="1:11">
      <c r="A6" s="1" t="s">
        <v>205</v>
      </c>
      <c r="B6" s="1" t="s">
        <v>206</v>
      </c>
      <c r="C6" s="1">
        <v>1500</v>
      </c>
      <c r="D6" s="1" t="s">
        <v>207</v>
      </c>
      <c r="E6" s="1">
        <v>1500</v>
      </c>
      <c r="F6" s="1" t="s">
        <v>208</v>
      </c>
      <c r="G6" s="1">
        <v>0</v>
      </c>
      <c r="H6" s="7" t="s">
        <v>209</v>
      </c>
      <c r="I6" s="7" t="s">
        <v>204</v>
      </c>
      <c r="J6" s="8">
        <v>1500</v>
      </c>
    </row>
    <row r="7" s="1" customFormat="1" spans="1:11">
      <c r="A7" s="1" t="s">
        <v>210</v>
      </c>
      <c r="B7" s="1" t="s">
        <v>211</v>
      </c>
      <c r="C7" s="1">
        <v>1980</v>
      </c>
      <c r="D7" s="1" t="s">
        <v>212</v>
      </c>
      <c r="E7" s="1">
        <v>1980</v>
      </c>
      <c r="F7" s="1" t="s">
        <v>208</v>
      </c>
      <c r="G7" s="1">
        <v>0</v>
      </c>
      <c r="H7" s="7" t="s">
        <v>213</v>
      </c>
      <c r="I7" s="7" t="s">
        <v>204</v>
      </c>
      <c r="J7" s="8">
        <v>1980</v>
      </c>
      <c r="K7" s="9"/>
    </row>
    <row r="8" s="1" customFormat="1" spans="1:11">
      <c r="A8" s="1" t="s">
        <v>214</v>
      </c>
      <c r="B8" s="1" t="s">
        <v>215</v>
      </c>
      <c r="C8" s="1">
        <v>2100</v>
      </c>
      <c r="D8" s="1" t="s">
        <v>216</v>
      </c>
      <c r="E8" s="1">
        <v>2100</v>
      </c>
      <c r="F8" s="1" t="s">
        <v>208</v>
      </c>
      <c r="G8" s="1">
        <v>0</v>
      </c>
      <c r="H8" s="10" t="s">
        <v>217</v>
      </c>
      <c r="I8" s="10" t="s">
        <v>198</v>
      </c>
      <c r="J8" s="11">
        <v>2100</v>
      </c>
      <c r="K8" s="9" t="s">
        <v>199</v>
      </c>
    </row>
    <row r="9" spans="1:11">
      <c r="A9" s="1" t="s">
        <v>218</v>
      </c>
      <c r="B9" s="1" t="s">
        <v>219</v>
      </c>
      <c r="C9" s="1">
        <v>3000</v>
      </c>
      <c r="D9" s="1" t="s">
        <v>220</v>
      </c>
      <c r="E9" s="1">
        <v>3000</v>
      </c>
      <c r="F9" s="1" t="s">
        <v>208</v>
      </c>
      <c r="G9" s="1">
        <v>0</v>
      </c>
      <c r="H9" s="10" t="s">
        <v>221</v>
      </c>
      <c r="I9" s="10" t="s">
        <v>198</v>
      </c>
      <c r="J9" s="11">
        <v>3000</v>
      </c>
      <c r="K9" s="9" t="s">
        <v>199</v>
      </c>
    </row>
    <row r="10" spans="1:11">
      <c r="A10" s="1"/>
      <c r="B10" s="1"/>
      <c r="C10" s="1"/>
      <c r="D10" s="1"/>
      <c r="E10" s="1"/>
      <c r="F10" s="1"/>
      <c r="G10" s="1"/>
      <c r="H10" s="10"/>
      <c r="I10" s="10"/>
      <c r="J10" s="11"/>
      <c r="K10" s="9"/>
    </row>
    <row r="11" spans="1:11">
      <c r="A11" s="12" t="s">
        <v>222</v>
      </c>
      <c r="D11" s="13"/>
    </row>
    <row r="12" spans="1:11">
      <c r="A12" s="12" t="s">
        <v>223</v>
      </c>
      <c r="D12" s="13"/>
    </row>
    <row r="13" ht="24.6" spans="1:11">
      <c r="C13" s="14" t="s">
        <v>224</v>
      </c>
      <c r="D13" s="13"/>
    </row>
    <row r="14" ht="24.6" spans="1:11">
      <c r="C14" s="14" t="s">
        <v>225</v>
      </c>
      <c r="D14" s="13"/>
    </row>
    <row r="15" ht="24.6" spans="1:11">
      <c r="C15" s="14" t="s">
        <v>226</v>
      </c>
      <c r="D15" s="13"/>
    </row>
    <row r="16" ht="24.6" spans="1:11">
      <c r="C16" s="14" t="s">
        <v>227</v>
      </c>
      <c r="D16" s="13"/>
    </row>
    <row r="17" spans="4:10">
      <c r="H17" s="15"/>
      <c r="I17" s="15"/>
      <c r="J17" s="15"/>
    </row>
    <row r="18" spans="4:10">
      <c r="H18" s="15"/>
      <c r="I18" s="15"/>
      <c r="J18" s="15"/>
    </row>
    <row r="19" spans="4:10">
      <c r="H19" s="15"/>
      <c r="I19" s="15"/>
      <c r="J19" s="15"/>
    </row>
    <row r="20" spans="4:10">
      <c r="H20" s="15"/>
      <c r="I20" s="15"/>
      <c r="J20" s="15"/>
    </row>
    <row r="21" spans="4:10">
      <c r="H21" s="15"/>
      <c r="I21" s="15"/>
      <c r="J21" s="15"/>
    </row>
    <row r="22" spans="4:10">
      <c r="H22" s="15"/>
      <c r="I22" s="15"/>
      <c r="J22" s="15"/>
    </row>
    <row r="23" spans="4:10">
      <c r="H23" s="15"/>
      <c r="I23" s="15"/>
      <c r="J23" s="15"/>
    </row>
    <row r="26" spans="4:10">
      <c r="D26" s="16"/>
      <c r="E26" s="16"/>
      <c r="F26" s="16"/>
      <c r="G26" s="16"/>
      <c r="H26" s="16"/>
      <c r="I26" s="16"/>
      <c r="J26" s="16"/>
    </row>
  </sheetData>
  <mergeCells count="10">
    <mergeCell ref="A1:C1"/>
    <mergeCell ref="D1:G1"/>
    <mergeCell ref="H1:K1"/>
    <mergeCell ref="A3:A5"/>
    <mergeCell ref="B3:B5"/>
    <mergeCell ref="C3:C5"/>
    <mergeCell ref="D3:D5"/>
    <mergeCell ref="E3:E5"/>
    <mergeCell ref="F3:F5"/>
    <mergeCell ref="G3:G5"/>
  </mergeCells>
  <dataValidations count="1">
    <dataValidation type="list" allowBlank="1" showInputMessage="1" showErrorMessage="1" sqref="F3:F10">
      <formula1>"是,否"</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推广目标</vt:lpstr>
      <vt:lpstr>推广计划</vt:lpstr>
      <vt:lpstr>广告计划</vt:lpstr>
      <vt:lpstr>利润&amp;ROI测算</vt:lpstr>
      <vt:lpstr>账号&amp;备货规划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朱锦沁</dc:creator>
  <cp:lastModifiedBy>Administrator</cp:lastModifiedBy>
  <dcterms:created xsi:type="dcterms:W3CDTF">2015-06-05T18:19:00Z</dcterms:created>
  <dcterms:modified xsi:type="dcterms:W3CDTF">2025-11-20T02:22:10Z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38A3BCB4417440D39296BE44F5771427_13</vt:lpwstr>
  </property>
</Properties>
</file>