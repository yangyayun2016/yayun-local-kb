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 firstSheet="1" activeTab="4"/>
  </bookViews>
  <sheets>
    <sheet name="推广方案" sheetId="3" state="hidden" r:id="rId1"/>
    <sheet name="推广计划" sheetId="4" r:id="rId2"/>
    <sheet name="推广费用明细" sheetId="5" r:id="rId3"/>
    <sheet name="广告框架" sheetId="7" r:id="rId4"/>
    <sheet name="关键词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<sst xmlns="http://schemas.openxmlformats.org/spreadsheetml/2006/main" count="398" uniqueCount="199">
  <si>
    <t>制表时间</t>
  </si>
  <si>
    <t>2021.8.3</t>
  </si>
  <si>
    <t>站点</t>
  </si>
  <si>
    <t>US</t>
  </si>
  <si>
    <t>参与部门</t>
  </si>
  <si>
    <t>产品</t>
  </si>
  <si>
    <t>12 in 1 拓展坞</t>
  </si>
  <si>
    <t xml:space="preserve">产品目标单量 </t>
  </si>
  <si>
    <t>项目周期</t>
  </si>
  <si>
    <t>产品目标评价数量</t>
  </si>
  <si>
    <t>200+</t>
  </si>
  <si>
    <t>产品目标转化</t>
  </si>
  <si>
    <t>产品目标排名</t>
  </si>
  <si>
    <t>小类前50</t>
  </si>
  <si>
    <t>产品目标流量</t>
  </si>
  <si>
    <t>新品到货第一周（预计7.28入库）</t>
  </si>
  <si>
    <t>新品到货第二周</t>
  </si>
  <si>
    <t>新品到货第四周</t>
  </si>
  <si>
    <t>新品到货第三周</t>
  </si>
  <si>
    <t>新品到货第五周</t>
  </si>
  <si>
    <t>新品到货第六周</t>
  </si>
  <si>
    <t>新品到货第七周</t>
  </si>
  <si>
    <t>新品到货第八周</t>
  </si>
  <si>
    <t>新品到货第九周</t>
  </si>
  <si>
    <t>操作方式</t>
  </si>
  <si>
    <t>预期情况</t>
  </si>
  <si>
    <t>不达标干预建议</t>
  </si>
  <si>
    <t>大号</t>
  </si>
  <si>
    <t>第一周目标，预计流量：30-50，转化15%，预计订单5-10单。申请测评30条，一天3-5条</t>
  </si>
  <si>
    <t>看能不能少量fb群组</t>
  </si>
  <si>
    <t>第二周目标，预计流量：50-80，转化15%，预计订单10-15单。申请测评30条，一天3-5条</t>
  </si>
  <si>
    <t>如果订单没有到目标，能否少量测评补单</t>
  </si>
  <si>
    <t>第三周目标，预计流量：100-150，转化15%，预计订单15-20单。申请测评30条，一天3-5条</t>
  </si>
  <si>
    <t>第四周目标，预计流量：200-250，转化15%，预计订单25-30单。申请测评35条，一天5条</t>
  </si>
  <si>
    <t>第五周目标：预计流量250-300，转化15%，订单35-45单，申请测评35条，一天5条</t>
  </si>
  <si>
    <t>第六周目标：预计流量320-400，转化15%，订单45-55单</t>
  </si>
  <si>
    <t>看销量情况，看是否需要适当的站外访客补一些单</t>
  </si>
  <si>
    <t>第七周目标：预计流量450-550，转化15%，订单70-80单</t>
  </si>
  <si>
    <t>第八周目标：预计流量350-450，转化18%，订单55-60单</t>
  </si>
  <si>
    <t>小号</t>
  </si>
  <si>
    <t>绑定备用review，预计回评30条，估计可用的应该有20条，rating申请20个</t>
  </si>
  <si>
    <t>补rating</t>
  </si>
  <si>
    <t>预计回评0，可能这个时期还是要以补评和备用review为主</t>
  </si>
  <si>
    <t>预计回评5条左右，需要有带图/视频的top reviewer</t>
  </si>
  <si>
    <t>预计回评15条左右，需要有带图/视频的top reviewer</t>
  </si>
  <si>
    <t>预计回评25条左右，需要有带图/视频的top reviewer</t>
  </si>
  <si>
    <t>预计回评45条左右，需要有带图/视频的top reviewer</t>
  </si>
  <si>
    <t>预计回评65条左右</t>
  </si>
  <si>
    <t>预计回评85条左右</t>
  </si>
  <si>
    <t>VC</t>
  </si>
  <si>
    <t>不做操作</t>
  </si>
  <si>
    <t>活动&amp;折扣</t>
  </si>
  <si>
    <t>99.99-30USD Coupon
先以折后成本价的形式，跑一下前期的转化率，弥补一下没有主review的空缺。</t>
  </si>
  <si>
    <t>目前99.99的价格有一些比较有力的竞争对手，可能89.99会更有竞争优势，如果后续99.99卖不动，可能需要降到89.99</t>
  </si>
  <si>
    <t>99.99-30USD Coupon</t>
  </si>
  <si>
    <t>99.99-20USD</t>
  </si>
  <si>
    <t>看看流量和销量情况，不稳定继续维持30USD的coupon</t>
  </si>
  <si>
    <t>99.99-20USD
看是否有秒杀推荐，报秒杀</t>
  </si>
  <si>
    <t>99.99-20USD
报最快的7日秒杀</t>
  </si>
  <si>
    <t>七日秒杀期间，做-10USD的coupon，保证秒杀的热度。</t>
  </si>
  <si>
    <t>看销量情况来判断是否需要做coupon</t>
  </si>
  <si>
    <t>EDM</t>
  </si>
  <si>
    <t>索评是否可用？待确认中。</t>
  </si>
  <si>
    <t>备货</t>
  </si>
  <si>
    <t>第一批发货500左右pcs，暂时无需备货。</t>
  </si>
  <si>
    <t>看本周销量情况，如果上升趋势赶紧下单+补货。</t>
  </si>
  <si>
    <t>操作备注</t>
  </si>
  <si>
    <t>第一周目标，预计流量：30-50，转化5-8%，预计订单2-5单。
①评论绑定备用review，预计小号评论回评30条，存活20条，Rating20条。
②本体listing测评20条，10条Top reviewer，展示多屏，可用性，还有重点表达传输速度。
③广告重点做MacBook的周边关键词，前期先以精准流量为主。广告以关联，视频广告为主。
④价格前期要快速抢占市场，需要以一些比较有竞争力的价格，所以想申请以99.99-30USD的价格来进行前期的推广。
关键词：
目标关键词
laptop docking stations
usb docking station
macbook pro docking station
usb c dock
需要做到前三页（一页16位）
自动广告组X1
品牌DSPX1
广告：100 USD / D</t>
  </si>
  <si>
    <t>第二周目标，预计流量：50-80，转化15%，预计订单10-15单。申请测评30条，一天3-5条
①本周可能还是没有评论回来，所以还是要依赖备用review的情况。
②广告重点做MacBook的周边关键词，前期先以精准流量为主（做精准词）。广告以关联，视频广告为主。
③前期广告不做管控，每天优化广告效果
④价格前期要快速抢占市场，需要以一些比较有竞争力的价格，所以想申请以99.99-30USD的价格来进行前期的推广。
关键词：
目标关键词
laptop docking stations
usb docking station
macbook pro docking station
usb c dock
需要做到前二页（一页16位）
自动广告组X1
品牌DSPX1
广告：100 USD / D</t>
  </si>
  <si>
    <t>第三周目标，预计流量：100-150，转化15%，预计订单15-20单。申请测评30条，一天3-5条
①本周如果回来了部分review，观察转化情况，适当减少coupon金额。
②优化广告，查看目标关键词的位置是否达到预期，调整广告预算。
关键词：
目标关键词
laptop docking stations （第二页）
usb docking station
macbook pro docking station
usb c dock
需要做到前一页（一页16位），广告位在第一页中的位置
自动广告组X1
品牌DSPX1
docking station 跑词组
广告：150 USD / D</t>
  </si>
  <si>
    <t>第四周目标，预计流量：200-250，转化15%，预计订单25-30单。申请测评35条，一天5条
①观察转化情况，适当减少coupon金额。
②优化广告，查看目标关键词的位置是否达到预期，调整广告预算。
关键词：
目标关键词
laptop docking stations （第二页）
usb docking station
macbook pro docking station
usb c dock
需要做到前一页（一页16位），广告位在第一页中前8的位置
自动广告组X1
品牌DSPX1
docking station 跑词组
广告：150 USD / D</t>
  </si>
  <si>
    <t>第五周目标：预计流量250-300，转化15%，订单35-45单，申请测评35条，一天5条
①观察转化情况，适当减少coupon金额。
②优化广告，查看目标关键词的位置是否达到预期，调整广告预算。
③跟着单量的提升，需要增加回评的数量和速度
关键词：
目标关键词
laptop docking stations （第一页）
usb docking station
macbook pro docking station
usb c dock
需要做到前一页（一页16位），广告位在第一页中前5的位置
自动广告组X1
品牌DSPX1
docking station 跑词组
优化广告，拓展新的关键词
广告：150 USD / D</t>
  </si>
  <si>
    <t>第六周目标：预计流量320-400，转化15%，订单45-55单，看销量和回评情况，暂时不用继续补测评。
本周重点优化广告，加大广告力度，这个时候大词
docking station应该有了一些表现，可以重点针对这个关键词开启广告。，加大广泛关键词的力度。
广告：150 USD / D</t>
  </si>
  <si>
    <t>第七周目标：预计流量350-450，转化25%，订单50-55单。
本周重点做七日秒杀，加大广告力度，如果销量不稳定，适当补单支持，重点打大词
广告：150 - 200 USD / D</t>
  </si>
  <si>
    <t>第八周目标：预计流量350-450，转化18%，订单55-60单，继续拓词，做关键词位置，引流。
广告：150 USD / D</t>
  </si>
  <si>
    <t>列1</t>
  </si>
  <si>
    <t>天数</t>
  </si>
  <si>
    <t>成本（366/6.3）</t>
  </si>
  <si>
    <t>定价</t>
  </si>
  <si>
    <t>预计单量</t>
  </si>
  <si>
    <t>预计广告费用</t>
  </si>
  <si>
    <t>预计测评单量</t>
  </si>
  <si>
    <t>预计测评费用</t>
  </si>
  <si>
    <t>总成本</t>
  </si>
  <si>
    <t>销售额</t>
  </si>
  <si>
    <t>利润</t>
  </si>
  <si>
    <t>第一周</t>
  </si>
  <si>
    <t>第二周</t>
  </si>
  <si>
    <t>第三周</t>
  </si>
  <si>
    <t>第四周</t>
  </si>
  <si>
    <t>第五周</t>
  </si>
  <si>
    <t>第六周</t>
  </si>
  <si>
    <t>第七周</t>
  </si>
  <si>
    <t>第八周</t>
  </si>
  <si>
    <t>P90-cob销售目标各项汇总</t>
  </si>
  <si>
    <r>
      <rPr>
        <b/>
        <sz val="11"/>
        <color theme="1"/>
        <rFont val="宋体"/>
        <charset val="134"/>
      </rPr>
      <t>第一周</t>
    </r>
  </si>
  <si>
    <r>
      <rPr>
        <b/>
        <sz val="11"/>
        <color theme="1"/>
        <rFont val="宋体"/>
        <charset val="134"/>
      </rPr>
      <t>第二周</t>
    </r>
  </si>
  <si>
    <r>
      <rPr>
        <b/>
        <sz val="11"/>
        <color theme="1"/>
        <rFont val="宋体"/>
        <charset val="134"/>
      </rPr>
      <t>第三周</t>
    </r>
  </si>
  <si>
    <r>
      <rPr>
        <b/>
        <sz val="11"/>
        <color theme="1"/>
        <rFont val="宋体"/>
        <charset val="134"/>
      </rPr>
      <t>第四周</t>
    </r>
  </si>
  <si>
    <r>
      <rPr>
        <sz val="11"/>
        <color theme="1"/>
        <rFont val="宋体"/>
        <charset val="134"/>
      </rPr>
      <t>评论数量</t>
    </r>
  </si>
  <si>
    <t>/</t>
  </si>
  <si>
    <r>
      <rPr>
        <sz val="11"/>
        <color theme="1"/>
        <rFont val="宋体"/>
        <charset val="134"/>
      </rPr>
      <t>流量</t>
    </r>
  </si>
  <si>
    <r>
      <rPr>
        <sz val="11"/>
        <color theme="1"/>
        <rFont val="宋体"/>
        <charset val="134"/>
      </rPr>
      <t>转化率</t>
    </r>
  </si>
  <si>
    <t>总单量</t>
  </si>
  <si>
    <r>
      <rPr>
        <sz val="11"/>
        <color theme="1"/>
        <rFont val="宋体"/>
        <charset val="134"/>
      </rPr>
      <t>留评率</t>
    </r>
  </si>
  <si>
    <t>3%</t>
  </si>
  <si>
    <t>小类排名</t>
  </si>
  <si>
    <t>小类前500</t>
  </si>
  <si>
    <t>小类前300</t>
  </si>
  <si>
    <t>小类前200</t>
  </si>
  <si>
    <t>小类前100</t>
  </si>
  <si>
    <t>P90-COB销售目标</t>
  </si>
  <si>
    <t>日期</t>
  </si>
  <si>
    <t>评论数量</t>
  </si>
  <si>
    <t>测评数量</t>
  </si>
  <si>
    <t>价格</t>
  </si>
  <si>
    <t>流量</t>
  </si>
  <si>
    <t>转化率</t>
  </si>
  <si>
    <t>出单量</t>
  </si>
  <si>
    <t>留评率</t>
  </si>
  <si>
    <t>广告费</t>
  </si>
  <si>
    <t>本周目标</t>
  </si>
  <si>
    <t>预案措施</t>
  </si>
  <si>
    <r>
      <rPr>
        <sz val="9"/>
        <color theme="1"/>
        <rFont val="Segoe UI Symbol"/>
        <charset val="134"/>
      </rPr>
      <t>①</t>
    </r>
    <r>
      <rPr>
        <sz val="9"/>
        <color theme="1"/>
        <rFont val="宋体"/>
        <charset val="134"/>
      </rPr>
      <t>坑位目标：前</t>
    </r>
    <r>
      <rPr>
        <sz val="9"/>
        <color theme="1"/>
        <rFont val="Segoe UI Symbol"/>
        <charset val="134"/>
      </rPr>
      <t>10-15</t>
    </r>
    <r>
      <rPr>
        <sz val="9"/>
        <color theme="1"/>
        <rFont val="宋体"/>
        <charset val="134"/>
      </rPr>
      <t>坑位</t>
    </r>
    <r>
      <rPr>
        <sz val="9"/>
        <color theme="1"/>
        <rFont val="Segoe UI Symbol"/>
        <charset val="134"/>
      </rPr>
      <t xml:space="preserve">
②AK1</t>
    </r>
    <r>
      <rPr>
        <sz val="9"/>
        <color theme="1"/>
        <rFont val="宋体"/>
        <charset val="134"/>
      </rPr>
      <t>的星级在</t>
    </r>
    <r>
      <rPr>
        <sz val="9"/>
        <color theme="1"/>
        <rFont val="Segoe UI Symbol"/>
        <charset val="134"/>
      </rPr>
      <t>4.3</t>
    </r>
    <r>
      <rPr>
        <sz val="9"/>
        <color theme="1"/>
        <rFont val="宋体"/>
        <charset val="134"/>
      </rPr>
      <t>星，提高评分等级</t>
    </r>
    <r>
      <rPr>
        <sz val="9"/>
        <color theme="1"/>
        <rFont val="Segoe UI Symbol"/>
        <charset val="134"/>
      </rPr>
      <t>⇒</t>
    </r>
    <r>
      <rPr>
        <sz val="9"/>
        <color theme="1"/>
        <rFont val="宋体"/>
        <charset val="134"/>
      </rPr>
      <t>转化率</t>
    </r>
    <r>
      <rPr>
        <sz val="9"/>
        <color theme="1"/>
        <rFont val="Segoe UI Symbol"/>
        <charset val="134"/>
      </rPr>
      <t xml:space="preserve">
</t>
    </r>
    <r>
      <rPr>
        <b/>
        <sz val="9"/>
        <color rgb="FFFF0000"/>
        <rFont val="宋体"/>
        <charset val="134"/>
      </rPr>
      <t>调整进行中：</t>
    </r>
    <r>
      <rPr>
        <b/>
        <sz val="9"/>
        <color rgb="FFFF0000"/>
        <rFont val="Segoe UI Symbol"/>
        <charset val="134"/>
      </rPr>
      <t xml:space="preserve">
SP</t>
    </r>
    <r>
      <rPr>
        <b/>
        <sz val="9"/>
        <color rgb="FFFF0000"/>
        <rFont val="宋体"/>
        <charset val="134"/>
      </rPr>
      <t>主推链接</t>
    </r>
    <r>
      <rPr>
        <b/>
        <sz val="9"/>
        <color rgb="FFFF0000"/>
        <rFont val="Segoe UI Symbol"/>
        <charset val="134"/>
      </rPr>
      <t>AK1-8128</t>
    </r>
    <r>
      <rPr>
        <b/>
        <sz val="9"/>
        <color rgb="FFFF0000"/>
        <rFont val="宋体"/>
        <charset val="134"/>
      </rPr>
      <t>：</t>
    </r>
    <r>
      <rPr>
        <b/>
        <sz val="9"/>
        <color rgb="FFFF0000"/>
        <rFont val="Segoe UI Symbol"/>
        <charset val="134"/>
      </rPr>
      <t xml:space="preserve">  </t>
    </r>
    <r>
      <rPr>
        <b/>
        <sz val="9"/>
        <color rgb="FFFF0000"/>
        <rFont val="宋体"/>
        <charset val="134"/>
      </rPr>
      <t>一组以</t>
    </r>
    <r>
      <rPr>
        <b/>
        <sz val="9"/>
        <color rgb="FFFF0000"/>
        <rFont val="Segoe UI Symbol"/>
        <charset val="134"/>
      </rPr>
      <t>SP</t>
    </r>
    <r>
      <rPr>
        <b/>
        <sz val="9"/>
        <color rgb="FFFF0000"/>
        <rFont val="宋体"/>
        <charset val="134"/>
      </rPr>
      <t>手动</t>
    </r>
    <r>
      <rPr>
        <b/>
        <sz val="9"/>
        <color rgb="FFFF0000"/>
        <rFont val="Segoe UI Symbol"/>
        <charset val="134"/>
      </rPr>
      <t>-</t>
    </r>
    <r>
      <rPr>
        <b/>
        <sz val="9"/>
        <color rgb="FFFF0000"/>
        <rFont val="宋体"/>
        <charset val="134"/>
      </rPr>
      <t>词组</t>
    </r>
    <r>
      <rPr>
        <b/>
        <sz val="9"/>
        <color rgb="FFFF0000"/>
        <rFont val="Segoe UI Symbol"/>
        <charset val="134"/>
      </rPr>
      <t>/</t>
    </r>
    <r>
      <rPr>
        <b/>
        <sz val="9"/>
        <color rgb="FFFF0000"/>
        <rFont val="宋体"/>
        <charset val="134"/>
      </rPr>
      <t>广泛广告活动</t>
    </r>
    <r>
      <rPr>
        <b/>
        <sz val="9"/>
        <color rgb="FFFF0000"/>
        <rFont val="Segoe UI Symbol"/>
        <charset val="134"/>
      </rPr>
      <t xml:space="preserve">  
                                    </t>
    </r>
    <r>
      <rPr>
        <b/>
        <sz val="9"/>
        <color rgb="FFFF0000"/>
        <rFont val="宋体"/>
        <charset val="134"/>
      </rPr>
      <t>一组以</t>
    </r>
    <r>
      <rPr>
        <b/>
        <sz val="9"/>
        <color rgb="FFFF0000"/>
        <rFont val="Segoe UI Symbol"/>
        <charset val="134"/>
      </rPr>
      <t>SP</t>
    </r>
    <r>
      <rPr>
        <b/>
        <sz val="9"/>
        <color rgb="FFFF0000"/>
        <rFont val="宋体"/>
        <charset val="134"/>
      </rPr>
      <t>手动</t>
    </r>
    <r>
      <rPr>
        <b/>
        <sz val="9"/>
        <color rgb="FFFF0000"/>
        <rFont val="Segoe UI Symbol"/>
        <charset val="134"/>
      </rPr>
      <t>-</t>
    </r>
    <r>
      <rPr>
        <b/>
        <sz val="9"/>
        <color rgb="FFFF0000"/>
        <rFont val="宋体"/>
        <charset val="134"/>
      </rPr>
      <t>精准广告活动</t>
    </r>
    <r>
      <rPr>
        <b/>
        <sz val="9"/>
        <color rgb="FFFF0000"/>
        <rFont val="Segoe UI Symbol"/>
        <charset val="134"/>
      </rPr>
      <t xml:space="preserve">  
                                     </t>
    </r>
    <r>
      <rPr>
        <b/>
        <sz val="9"/>
        <color rgb="FFFF0000"/>
        <rFont val="宋体"/>
        <charset val="134"/>
      </rPr>
      <t>新增加一组精准长尾关键词广告活动</t>
    </r>
    <r>
      <rPr>
        <b/>
        <sz val="9"/>
        <color rgb="FFFF0000"/>
        <rFont val="Segoe UI Symbol"/>
        <charset val="134"/>
      </rPr>
      <t>-only down
SD</t>
    </r>
    <r>
      <rPr>
        <b/>
        <sz val="9"/>
        <color rgb="FFFF0000"/>
        <rFont val="宋体"/>
        <charset val="134"/>
      </rPr>
      <t>广告：一组以</t>
    </r>
    <r>
      <rPr>
        <b/>
        <sz val="9"/>
        <color rgb="FFFF0000"/>
        <rFont val="Segoe UI Symbol"/>
        <charset val="134"/>
      </rPr>
      <t>VCPM</t>
    </r>
    <r>
      <rPr>
        <b/>
        <sz val="9"/>
        <color rgb="FFFF0000"/>
        <rFont val="宋体"/>
        <charset val="134"/>
      </rPr>
      <t>曝光为主→定位</t>
    </r>
    <r>
      <rPr>
        <b/>
        <sz val="9"/>
        <color rgb="FFFF0000"/>
        <rFont val="Segoe UI Symbol"/>
        <charset val="134"/>
      </rPr>
      <t>TOP100</t>
    </r>
    <r>
      <rPr>
        <b/>
        <sz val="9"/>
        <color rgb="FFFF0000"/>
        <rFont val="宋体"/>
        <charset val="134"/>
      </rPr>
      <t>的</t>
    </r>
    <r>
      <rPr>
        <b/>
        <sz val="9"/>
        <color rgb="FFFF0000"/>
        <rFont val="Segoe UI Symbol"/>
        <charset val="134"/>
      </rPr>
      <t>ASIN</t>
    </r>
    <r>
      <rPr>
        <b/>
        <sz val="9"/>
        <color rgb="FFFF0000"/>
        <rFont val="宋体"/>
        <charset val="134"/>
      </rPr>
      <t>为主，提高</t>
    </r>
    <r>
      <rPr>
        <b/>
        <sz val="9"/>
        <color rgb="FFFF0000"/>
        <rFont val="Segoe UI Symbol"/>
        <charset val="134"/>
      </rPr>
      <t>AK1-8128</t>
    </r>
    <r>
      <rPr>
        <b/>
        <sz val="9"/>
        <color rgb="FFFF0000"/>
        <rFont val="宋体"/>
        <charset val="134"/>
      </rPr>
      <t>的曝光展示量</t>
    </r>
    <r>
      <rPr>
        <b/>
        <sz val="9"/>
        <color rgb="FFFF0000"/>
        <rFont val="Segoe UI Symbol"/>
        <charset val="134"/>
      </rPr>
      <t xml:space="preserve">
               </t>
    </r>
    <r>
      <rPr>
        <b/>
        <sz val="9"/>
        <color rgb="FFFF0000"/>
        <rFont val="宋体"/>
        <charset val="134"/>
      </rPr>
      <t>一组以</t>
    </r>
    <r>
      <rPr>
        <b/>
        <sz val="9"/>
        <color rgb="FFFF0000"/>
        <rFont val="Segoe UI Symbol"/>
        <charset val="134"/>
      </rPr>
      <t>CPC</t>
    </r>
    <r>
      <rPr>
        <b/>
        <sz val="9"/>
        <color rgb="FFFF0000"/>
        <rFont val="宋体"/>
        <charset val="134"/>
      </rPr>
      <t>竞价方式，转换为主→定位中低配和高配置；（关注</t>
    </r>
    <r>
      <rPr>
        <b/>
        <sz val="9"/>
        <color rgb="FFFF0000"/>
        <rFont val="Segoe UI Symbol"/>
        <charset val="134"/>
      </rPr>
      <t>ASIN</t>
    </r>
    <r>
      <rPr>
        <b/>
        <sz val="9"/>
        <color rgb="FFFF0000"/>
        <rFont val="宋体"/>
        <charset val="134"/>
      </rPr>
      <t>的表现调整竞价）</t>
    </r>
    <r>
      <rPr>
        <b/>
        <sz val="9"/>
        <color rgb="FFFF0000"/>
        <rFont val="Segoe UI Symbol"/>
        <charset val="134"/>
      </rPr>
      <t xml:space="preserve">
SB</t>
    </r>
    <r>
      <rPr>
        <b/>
        <sz val="9"/>
        <color rgb="FFFF0000"/>
        <rFont val="宋体"/>
        <charset val="134"/>
      </rPr>
      <t>品牌广告：以少量预算新开两个广告活动；以定位</t>
    </r>
    <r>
      <rPr>
        <b/>
        <sz val="9"/>
        <color rgb="FFFF0000"/>
        <rFont val="Segoe UI Symbol"/>
        <charset val="134"/>
      </rPr>
      <t>ASIN</t>
    </r>
    <r>
      <rPr>
        <b/>
        <sz val="9"/>
        <color rgb="FFFF0000"/>
        <rFont val="宋体"/>
        <charset val="134"/>
      </rPr>
      <t>为主；根据广告表现分配广告预算积累</t>
    </r>
    <r>
      <rPr>
        <b/>
        <sz val="9"/>
        <color rgb="FFFF0000"/>
        <rFont val="Segoe UI Symbol"/>
        <charset val="134"/>
      </rPr>
      <t>SB</t>
    </r>
    <r>
      <rPr>
        <b/>
        <sz val="9"/>
        <color rgb="FFFF0000"/>
        <rFont val="宋体"/>
        <charset val="134"/>
      </rPr>
      <t>品牌广告词汇</t>
    </r>
  </si>
  <si>
    <r>
      <rPr>
        <sz val="10"/>
        <color theme="1"/>
        <rFont val="宋体"/>
        <charset val="134"/>
      </rPr>
      <t>①通过绑定变体代报AK1配置秒杀，提高产品的流量和转化
②广告优化。根据上周的广告数据及时调整SP、SD和SB品牌广告
③以AK1-8128配置作为引流款，用</t>
    </r>
    <r>
      <rPr>
        <b/>
        <sz val="10"/>
        <color rgb="FFFF0000"/>
        <rFont val="宋体"/>
        <charset val="134"/>
      </rPr>
      <t>减60欧</t>
    </r>
    <r>
      <rPr>
        <sz val="10"/>
        <color theme="1"/>
        <rFont val="宋体"/>
        <charset val="134"/>
      </rPr>
      <t>优惠券提高产品的转化</t>
    </r>
  </si>
  <si>
    <t>日期范围</t>
  </si>
  <si>
    <r>
      <rPr>
        <b/>
        <sz val="11"/>
        <color theme="1"/>
        <rFont val="宋体"/>
        <charset val="134"/>
      </rPr>
      <t>推广项目名称</t>
    </r>
  </si>
  <si>
    <r>
      <rPr>
        <b/>
        <sz val="11"/>
        <color theme="1"/>
        <rFont val="宋体"/>
        <charset val="134"/>
      </rPr>
      <t>费用</t>
    </r>
  </si>
  <si>
    <r>
      <rPr>
        <b/>
        <sz val="11"/>
        <color theme="1"/>
        <rFont val="宋体"/>
        <charset val="134"/>
      </rPr>
      <t>备注</t>
    </r>
  </si>
  <si>
    <r>
      <rPr>
        <b/>
        <sz val="11"/>
        <color theme="1"/>
        <rFont val="宋体"/>
        <charset val="134"/>
      </rPr>
      <t>日期范围</t>
    </r>
  </si>
  <si>
    <t>测评的数量</t>
  </si>
  <si>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个</t>
    </r>
  </si>
  <si>
    <r>
      <rPr>
        <sz val="12"/>
        <color theme="1"/>
        <rFont val="Arial"/>
        <charset val="134"/>
      </rPr>
      <t>1</t>
    </r>
    <r>
      <rPr>
        <sz val="12"/>
        <color theme="1"/>
        <rFont val="宋体"/>
        <charset val="134"/>
      </rPr>
      <t>个</t>
    </r>
  </si>
  <si>
    <r>
      <rPr>
        <sz val="12"/>
        <color theme="1"/>
        <rFont val="宋体"/>
        <charset val="134"/>
      </rPr>
      <t>测评费用</t>
    </r>
  </si>
  <si>
    <r>
      <rPr>
        <sz val="12"/>
        <color theme="1"/>
        <rFont val="宋体"/>
        <charset val="134"/>
      </rPr>
      <t>站内广告费用</t>
    </r>
  </si>
  <si>
    <r>
      <rPr>
        <sz val="11"/>
        <color theme="1"/>
        <rFont val="Arial"/>
        <charset val="134"/>
      </rPr>
      <t>50</t>
    </r>
    <r>
      <rPr>
        <sz val="11"/>
        <color theme="1"/>
        <rFont val="宋体"/>
        <charset val="134"/>
      </rPr>
      <t>欧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天</t>
    </r>
  </si>
  <si>
    <r>
      <rPr>
        <sz val="11"/>
        <color theme="1"/>
        <rFont val="Arial"/>
        <charset val="134"/>
      </rPr>
      <t>65</t>
    </r>
    <r>
      <rPr>
        <sz val="11"/>
        <color theme="1"/>
        <rFont val="宋体"/>
        <charset val="134"/>
      </rPr>
      <t>欧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天</t>
    </r>
  </si>
  <si>
    <r>
      <rPr>
        <sz val="11"/>
        <color theme="1"/>
        <rFont val="Arial"/>
        <charset val="134"/>
      </rPr>
      <t>90</t>
    </r>
    <r>
      <rPr>
        <sz val="11"/>
        <color theme="1"/>
        <rFont val="宋体"/>
        <charset val="134"/>
      </rPr>
      <t>欧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天</t>
    </r>
  </si>
  <si>
    <r>
      <rPr>
        <sz val="11"/>
        <color theme="1"/>
        <rFont val="Arial"/>
        <charset val="134"/>
      </rPr>
      <t>100</t>
    </r>
    <r>
      <rPr>
        <sz val="11"/>
        <color theme="1"/>
        <rFont val="宋体"/>
        <charset val="134"/>
      </rPr>
      <t>欧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天</t>
    </r>
  </si>
  <si>
    <t>其他推广费</t>
  </si>
  <si>
    <r>
      <rPr>
        <sz val="12"/>
        <color theme="1"/>
        <rFont val="宋体"/>
        <charset val="134"/>
      </rPr>
      <t>其他推广费</t>
    </r>
  </si>
  <si>
    <r>
      <rPr>
        <b/>
        <sz val="12"/>
        <color theme="1"/>
        <rFont val="宋体"/>
        <charset val="134"/>
      </rPr>
      <t>推广费用总计</t>
    </r>
  </si>
  <si>
    <t>出单</t>
  </si>
  <si>
    <r>
      <rPr>
        <b/>
        <sz val="10"/>
        <color theme="1"/>
        <rFont val="宋体"/>
        <charset val="134"/>
      </rPr>
      <t>预计使用</t>
    </r>
    <r>
      <rPr>
        <b/>
        <sz val="10"/>
        <color theme="1"/>
        <rFont val="Arial"/>
        <charset val="134"/>
      </rPr>
      <t>coupon</t>
    </r>
    <r>
      <rPr>
        <b/>
        <sz val="10"/>
        <color theme="1"/>
        <rFont val="宋体"/>
        <charset val="134"/>
      </rPr>
      <t>的订单（80</t>
    </r>
    <r>
      <rPr>
        <b/>
        <sz val="10"/>
        <color theme="1"/>
        <rFont val="Arial"/>
        <charset val="134"/>
      </rPr>
      <t>%</t>
    </r>
    <r>
      <rPr>
        <b/>
        <sz val="10"/>
        <color theme="1"/>
        <rFont val="宋体"/>
        <charset val="134"/>
      </rPr>
      <t>）</t>
    </r>
  </si>
  <si>
    <r>
      <rPr>
        <b/>
        <sz val="10"/>
        <color theme="1"/>
        <rFont val="宋体"/>
        <charset val="134"/>
      </rPr>
      <t>未使用</t>
    </r>
    <r>
      <rPr>
        <b/>
        <sz val="10"/>
        <color theme="1"/>
        <rFont val="Arial"/>
        <charset val="134"/>
      </rPr>
      <t>coupon</t>
    </r>
  </si>
  <si>
    <r>
      <rPr>
        <b/>
        <sz val="10"/>
        <color theme="1"/>
        <rFont val="微软雅黑"/>
        <charset val="134"/>
      </rPr>
      <t>使用</t>
    </r>
    <r>
      <rPr>
        <b/>
        <sz val="10"/>
        <color theme="1"/>
        <rFont val="Arial"/>
        <charset val="134"/>
      </rPr>
      <t>coupon</t>
    </r>
    <r>
      <rPr>
        <b/>
        <sz val="10"/>
        <color theme="1"/>
        <rFont val="宋体"/>
        <charset val="134"/>
      </rPr>
      <t>订单</t>
    </r>
    <r>
      <rPr>
        <b/>
        <sz val="10"/>
        <color theme="1"/>
        <rFont val="微软雅黑"/>
        <charset val="134"/>
      </rPr>
      <t>利润</t>
    </r>
  </si>
  <si>
    <t>未使用coupon订单利润</t>
  </si>
  <si>
    <t>总利润：</t>
  </si>
  <si>
    <t>总测评费用</t>
  </si>
  <si>
    <t>总广告费用</t>
  </si>
  <si>
    <t>总其他推广费</t>
  </si>
  <si>
    <t>总需投入的推广费用</t>
  </si>
  <si>
    <t>折扣</t>
  </si>
  <si>
    <t>售价(欧元)</t>
  </si>
  <si>
    <t>售价（RMB）</t>
  </si>
  <si>
    <t>产品成本</t>
  </si>
  <si>
    <t>上月头程</t>
  </si>
  <si>
    <t>退款占比</t>
  </si>
  <si>
    <r>
      <rPr>
        <b/>
        <sz val="11"/>
        <color theme="1"/>
        <rFont val="Arial"/>
        <charset val="134"/>
      </rPr>
      <t xml:space="preserve">FBA
</t>
    </r>
    <r>
      <rPr>
        <b/>
        <sz val="11"/>
        <color theme="1"/>
        <rFont val="宋体"/>
        <charset val="134"/>
      </rPr>
      <t>物流</t>
    </r>
    <r>
      <rPr>
        <b/>
        <sz val="11"/>
        <color theme="1"/>
        <rFont val="SimSun"/>
        <charset val="134"/>
      </rPr>
      <t>费用</t>
    </r>
  </si>
  <si>
    <r>
      <rPr>
        <b/>
        <sz val="11"/>
        <color theme="1"/>
        <rFont val="SimSun"/>
        <charset val="134"/>
      </rPr>
      <t>佣金</t>
    </r>
    <r>
      <rPr>
        <b/>
        <sz val="11"/>
        <color theme="1"/>
        <rFont val="Arial"/>
        <charset val="134"/>
      </rPr>
      <t xml:space="preserve">
</t>
    </r>
    <r>
      <rPr>
        <b/>
        <sz val="11"/>
        <color theme="1"/>
        <rFont val="SimSun"/>
        <charset val="134"/>
      </rPr>
      <t>均值</t>
    </r>
  </si>
  <si>
    <t>仓储费</t>
  </si>
  <si>
    <r>
      <rPr>
        <b/>
        <sz val="11"/>
        <color theme="1"/>
        <rFont val="SimSun"/>
        <charset val="134"/>
      </rPr>
      <t>推广费</t>
    </r>
    <r>
      <rPr>
        <b/>
        <sz val="11"/>
        <color theme="1"/>
        <rFont val="Arial"/>
        <charset val="134"/>
      </rPr>
      <t xml:space="preserve">
</t>
    </r>
    <r>
      <rPr>
        <b/>
        <sz val="11"/>
        <color theme="1"/>
        <rFont val="SimSun"/>
        <charset val="134"/>
      </rPr>
      <t>占比</t>
    </r>
  </si>
  <si>
    <t>利润率</t>
  </si>
  <si>
    <t>欧元汇率</t>
  </si>
  <si>
    <t>原价</t>
  </si>
  <si>
    <t>10 coupon</t>
  </si>
  <si>
    <t>15 coupon</t>
  </si>
  <si>
    <t>5 coupon</t>
  </si>
  <si>
    <t>刷单费用/个(所有费用预估来自原价利润表)</t>
  </si>
  <si>
    <t>留评单费用/个</t>
  </si>
  <si>
    <t>Rating单费用/个</t>
  </si>
  <si>
    <t>免评单/个</t>
  </si>
  <si>
    <t>Feedback/个</t>
  </si>
  <si>
    <t>预计时间段</t>
  </si>
  <si>
    <t>广告模式</t>
  </si>
  <si>
    <t>主打关键词</t>
  </si>
  <si>
    <t>预计预算/D</t>
  </si>
  <si>
    <t>预计点击/D</t>
  </si>
  <si>
    <t>预计广告单/D</t>
  </si>
  <si>
    <t>评分</t>
  </si>
  <si>
    <t>目标关键词位置</t>
  </si>
  <si>
    <t>广告侧重点</t>
  </si>
  <si>
    <t>.</t>
  </si>
  <si>
    <t>关键词设置</t>
  </si>
  <si>
    <t>德国出单词</t>
  </si>
  <si>
    <t>序号</t>
  </si>
  <si>
    <t>关键词</t>
  </si>
  <si>
    <t>类型</t>
  </si>
  <si>
    <t>重要程度</t>
  </si>
  <si>
    <t>关键词用途</t>
  </si>
  <si>
    <t>大词/核心词 一级</t>
  </si>
  <si>
    <t>一级</t>
  </si>
  <si>
    <t>广告</t>
  </si>
  <si>
    <t>长尾词</t>
  </si>
  <si>
    <t>三级</t>
  </si>
  <si>
    <t>核心词</t>
  </si>
  <si>
    <t>大词</t>
  </si>
  <si>
    <t>二级</t>
  </si>
  <si>
    <t>文案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</si>
</sst>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_-\$* #,##0.00_ ;_-\$* \-#,##0.00\ ;_-\$* &quot;-&quot;??_ ;_-@_ "/>
    <numFmt numFmtId="179" formatCode="\¥#,##0;\¥\-#,##0"/>
    <numFmt numFmtId="180" formatCode="#,##0.00\ &quot;€&quot;_);[Red]\(#,##0.00\ &quot;€&quot;\)"/>
    <numFmt numFmtId="181" formatCode="yyyy/m/d;@"/>
    <numFmt numFmtId="182" formatCode="0.00_);[Red]\(0.00\)"/>
  </numFmts>
  <fonts count="54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4"/>
      <color rgb="FF171A1D"/>
      <name val="Segoe UI"/>
      <charset val="134"/>
    </font>
    <font>
      <sz val="11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2"/>
      <color theme="1"/>
      <name val="宋体"/>
      <charset val="134"/>
    </font>
    <font>
      <b/>
      <sz val="12"/>
      <color theme="1"/>
      <name val="等线"/>
      <charset val="134"/>
      <scheme val="minor"/>
    </font>
    <font>
      <b/>
      <sz val="11"/>
      <color theme="1"/>
      <name val="SimSun"/>
      <charset val="134"/>
    </font>
    <font>
      <sz val="14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宋体"/>
      <charset val="134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b/>
      <sz val="11"/>
      <color rgb="FFFF0000"/>
      <name val="等线"/>
      <charset val="134"/>
      <scheme val="minor"/>
    </font>
    <font>
      <sz val="9"/>
      <color rgb="FF000000"/>
      <name val="Segoe UI Symbol"/>
      <charset val="134"/>
    </font>
    <font>
      <sz val="10"/>
      <color theme="1"/>
      <name val="宋体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Segoe UI Symbol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theme="1"/>
      <name val="微软雅黑"/>
      <charset val="134"/>
    </font>
    <font>
      <b/>
      <sz val="10"/>
      <color rgb="FFFF0000"/>
      <name val="宋体"/>
      <charset val="134"/>
    </font>
    <font>
      <sz val="9"/>
      <color theme="1"/>
      <name val="宋体"/>
      <charset val="134"/>
    </font>
    <font>
      <b/>
      <sz val="9"/>
      <color rgb="FFFF0000"/>
      <name val="宋体"/>
      <charset val="134"/>
    </font>
    <font>
      <b/>
      <sz val="9"/>
      <color rgb="FFFF0000"/>
      <name val="Segoe UI Symbol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9" borderId="1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0" borderId="21" applyNumberFormat="0" applyAlignment="0" applyProtection="0">
      <alignment vertical="center"/>
    </xf>
    <xf numFmtId="0" fontId="39" fillId="21" borderId="22" applyNumberFormat="0" applyAlignment="0" applyProtection="0">
      <alignment vertical="center"/>
    </xf>
    <xf numFmtId="0" fontId="40" fillId="21" borderId="21" applyNumberFormat="0" applyAlignment="0" applyProtection="0">
      <alignment vertical="center"/>
    </xf>
    <xf numFmtId="0" fontId="41" fillId="22" borderId="23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</cellStyleXfs>
  <cellXfs count="20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5" fontId="8" fillId="5" borderId="1" xfId="0" applyNumberFormat="1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5" fontId="10" fillId="0" borderId="1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49" fontId="9" fillId="0" borderId="10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5" fontId="12" fillId="6" borderId="1" xfId="0" applyNumberFormat="1" applyFont="1" applyFill="1" applyBorder="1" applyAlignment="1">
      <alignment horizontal="center" vertical="center"/>
    </xf>
    <xf numFmtId="5" fontId="0" fillId="0" borderId="0" xfId="0" applyNumberFormat="1"/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9" fontId="15" fillId="6" borderId="1" xfId="0" applyNumberFormat="1" applyFont="1" applyFill="1" applyBorder="1" applyAlignment="1">
      <alignment horizontal="center" vertical="center"/>
    </xf>
    <xf numFmtId="179" fontId="12" fillId="6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16" fillId="0" borderId="1" xfId="0" applyFont="1" applyBorder="1" applyAlignment="1">
      <alignment horizontal="center"/>
    </xf>
    <xf numFmtId="5" fontId="16" fillId="0" borderId="1" xfId="0" applyNumberFormat="1" applyFont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5" fontId="16" fillId="6" borderId="1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80" fontId="18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176" fontId="18" fillId="9" borderId="1" xfId="0" applyNumberFormat="1" applyFont="1" applyFill="1" applyBorder="1" applyAlignment="1">
      <alignment horizontal="center" vertical="center"/>
    </xf>
    <xf numFmtId="10" fontId="18" fillId="9" borderId="1" xfId="0" applyNumberFormat="1" applyFont="1" applyFill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10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177" fontId="11" fillId="0" borderId="1" xfId="0" applyNumberFormat="1" applyFont="1" applyBorder="1" applyAlignment="1">
      <alignment horizontal="center" vertical="top"/>
    </xf>
    <xf numFmtId="177" fontId="11" fillId="0" borderId="1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center" vertical="top"/>
    </xf>
    <xf numFmtId="49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top"/>
    </xf>
    <xf numFmtId="49" fontId="22" fillId="11" borderId="1" xfId="0" applyNumberFormat="1" applyFont="1" applyFill="1" applyBorder="1" applyAlignment="1">
      <alignment horizontal="center" vertical="center"/>
    </xf>
    <xf numFmtId="49" fontId="15" fillId="11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178" fontId="15" fillId="11" borderId="1" xfId="0" applyNumberFormat="1" applyFont="1" applyFill="1" applyBorder="1" applyAlignment="1">
      <alignment horizontal="center" vertical="center"/>
    </xf>
    <xf numFmtId="177" fontId="15" fillId="11" borderId="1" xfId="0" applyNumberFormat="1" applyFont="1" applyFill="1" applyBorder="1" applyAlignment="1">
      <alignment horizontal="center" vertical="center"/>
    </xf>
    <xf numFmtId="9" fontId="15" fillId="11" borderId="1" xfId="0" applyNumberFormat="1" applyFont="1" applyFill="1" applyBorder="1" applyAlignment="1">
      <alignment horizontal="center" vertical="center"/>
    </xf>
    <xf numFmtId="10" fontId="15" fillId="11" borderId="1" xfId="0" applyNumberFormat="1" applyFont="1" applyFill="1" applyBorder="1" applyAlignment="1">
      <alignment horizontal="center" vertical="center"/>
    </xf>
    <xf numFmtId="181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82" fontId="10" fillId="0" borderId="10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9" fontId="10" fillId="0" borderId="10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49" fontId="15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78" fontId="12" fillId="9" borderId="1" xfId="0" applyNumberFormat="1" applyFont="1" applyFill="1" applyBorder="1" applyAlignment="1">
      <alignment horizontal="center" vertical="center"/>
    </xf>
    <xf numFmtId="177" fontId="12" fillId="9" borderId="1" xfId="0" applyNumberFormat="1" applyFont="1" applyFill="1" applyBorder="1" applyAlignment="1">
      <alignment horizontal="center" vertical="center"/>
    </xf>
    <xf numFmtId="9" fontId="12" fillId="9" borderId="1" xfId="0" applyNumberFormat="1" applyFont="1" applyFill="1" applyBorder="1" applyAlignment="1">
      <alignment horizontal="center" vertical="center"/>
    </xf>
    <xf numFmtId="10" fontId="12" fillId="9" borderId="1" xfId="0" applyNumberFormat="1" applyFont="1" applyFill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/>
    </xf>
    <xf numFmtId="178" fontId="12" fillId="6" borderId="1" xfId="0" applyNumberFormat="1" applyFont="1" applyFill="1" applyBorder="1" applyAlignment="1">
      <alignment horizontal="center" vertical="center"/>
    </xf>
    <xf numFmtId="177" fontId="12" fillId="6" borderId="1" xfId="0" applyNumberFormat="1" applyFont="1" applyFill="1" applyBorder="1" applyAlignment="1">
      <alignment horizontal="center" vertical="center"/>
    </xf>
    <xf numFmtId="9" fontId="12" fillId="6" borderId="1" xfId="0" applyNumberFormat="1" applyFont="1" applyFill="1" applyBorder="1" applyAlignment="1">
      <alignment horizontal="center" vertical="center"/>
    </xf>
    <xf numFmtId="10" fontId="12" fillId="6" borderId="1" xfId="0" applyNumberFormat="1" applyFont="1" applyFill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49" fontId="15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78" fontId="12" fillId="12" borderId="1" xfId="0" applyNumberFormat="1" applyFont="1" applyFill="1" applyBorder="1" applyAlignment="1">
      <alignment horizontal="center" vertical="center"/>
    </xf>
    <xf numFmtId="177" fontId="12" fillId="12" borderId="1" xfId="0" applyNumberFormat="1" applyFont="1" applyFill="1" applyBorder="1" applyAlignment="1">
      <alignment horizontal="center" vertical="center"/>
    </xf>
    <xf numFmtId="9" fontId="12" fillId="12" borderId="1" xfId="0" applyNumberFormat="1" applyFont="1" applyFill="1" applyBorder="1" applyAlignment="1">
      <alignment horizontal="center" vertical="center"/>
    </xf>
    <xf numFmtId="10" fontId="12" fillId="12" borderId="1" xfId="0" applyNumberFormat="1" applyFont="1" applyFill="1" applyBorder="1" applyAlignment="1">
      <alignment horizontal="center" vertical="center"/>
    </xf>
    <xf numFmtId="49" fontId="15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178" fontId="12" fillId="13" borderId="1" xfId="0" applyNumberFormat="1" applyFont="1" applyFill="1" applyBorder="1" applyAlignment="1">
      <alignment horizontal="center" vertical="center"/>
    </xf>
    <xf numFmtId="177" fontId="12" fillId="13" borderId="1" xfId="0" applyNumberFormat="1" applyFont="1" applyFill="1" applyBorder="1" applyAlignment="1">
      <alignment horizontal="center" vertical="center"/>
    </xf>
    <xf numFmtId="9" fontId="12" fillId="13" borderId="1" xfId="0" applyNumberFormat="1" applyFont="1" applyFill="1" applyBorder="1" applyAlignment="1">
      <alignment horizontal="center" vertical="center"/>
    </xf>
    <xf numFmtId="10" fontId="12" fillId="13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23" fillId="0" borderId="0" xfId="0" applyFont="1"/>
    <xf numFmtId="0" fontId="24" fillId="0" borderId="12" xfId="0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vertical="center"/>
    </xf>
    <xf numFmtId="0" fontId="27" fillId="0" borderId="12" xfId="0" applyFont="1" applyBorder="1" applyAlignment="1">
      <alignment horizontal="left" vertical="center" wrapText="1"/>
    </xf>
    <xf numFmtId="0" fontId="26" fillId="0" borderId="10" xfId="0" applyFont="1" applyBorder="1" applyAlignment="1">
      <alignment vertical="center"/>
    </xf>
    <xf numFmtId="0" fontId="27" fillId="0" borderId="1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28" fillId="0" borderId="12" xfId="0" applyFont="1" applyBorder="1" applyAlignment="1">
      <alignment vertical="center" wrapText="1"/>
    </xf>
    <xf numFmtId="0" fontId="28" fillId="0" borderId="11" xfId="0" applyFont="1" applyBorder="1" applyAlignment="1">
      <alignment vertical="top" wrapText="1"/>
    </xf>
    <xf numFmtId="0" fontId="29" fillId="0" borderId="12" xfId="0" applyFont="1" applyBorder="1" applyAlignment="1">
      <alignment horizontal="left" vertical="top" wrapText="1"/>
    </xf>
    <xf numFmtId="0" fontId="26" fillId="0" borderId="12" xfId="0" applyFont="1" applyBorder="1" applyAlignment="1">
      <alignment vertical="top" wrapText="1"/>
    </xf>
    <xf numFmtId="0" fontId="27" fillId="0" borderId="12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7" fillId="0" borderId="10" xfId="0" applyFont="1" applyBorder="1" applyAlignment="1">
      <alignment horizontal="left" vertical="top" wrapText="1"/>
    </xf>
    <xf numFmtId="0" fontId="25" fillId="0" borderId="12" xfId="0" applyFont="1" applyBorder="1" applyAlignment="1">
      <alignment vertical="top" wrapText="1"/>
    </xf>
    <xf numFmtId="0" fontId="27" fillId="0" borderId="12" xfId="0" applyFont="1" applyBorder="1" applyAlignment="1">
      <alignment vertical="top"/>
    </xf>
    <xf numFmtId="0" fontId="27" fillId="0" borderId="10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0" fillId="12" borderId="0" xfId="0" applyFill="1" applyBorder="1"/>
    <xf numFmtId="0" fontId="0" fillId="0" borderId="10" xfId="0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12" borderId="0" xfId="0" applyFill="1" applyBorder="1" applyAlignment="1">
      <alignment horizontal="center" vertical="center"/>
    </xf>
    <xf numFmtId="0" fontId="0" fillId="12" borderId="1" xfId="0" applyFill="1" applyBorder="1"/>
    <xf numFmtId="14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top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top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vertical="top" wrapText="1"/>
    </xf>
    <xf numFmtId="9" fontId="0" fillId="12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4" borderId="13" xfId="0" applyFont="1" applyFill="1" applyBorder="1" applyAlignment="1">
      <alignment horizontal="center" vertical="top" wrapText="1"/>
    </xf>
    <xf numFmtId="0" fontId="0" fillId="14" borderId="14" xfId="0" applyFill="1" applyBorder="1" applyAlignment="1">
      <alignment horizontal="center" vertical="top" wrapText="1"/>
    </xf>
    <xf numFmtId="0" fontId="0" fillId="14" borderId="10" xfId="0" applyFill="1" applyBorder="1" applyAlignment="1">
      <alignment horizontal="center" vertical="top" wrapText="1"/>
    </xf>
    <xf numFmtId="0" fontId="0" fillId="14" borderId="1" xfId="0" applyFill="1" applyBorder="1"/>
    <xf numFmtId="0" fontId="0" fillId="15" borderId="1" xfId="0" applyFont="1" applyFill="1" applyBorder="1" applyAlignment="1">
      <alignment vertical="center" wrapText="1"/>
    </xf>
    <xf numFmtId="0" fontId="0" fillId="16" borderId="1" xfId="0" applyFont="1" applyFill="1" applyBorder="1" applyAlignment="1">
      <alignment vertical="center" wrapText="1"/>
    </xf>
    <xf numFmtId="0" fontId="0" fillId="17" borderId="1" xfId="0" applyFont="1" applyFill="1" applyBorder="1" applyAlignment="1">
      <alignment vertical="center" wrapText="1"/>
    </xf>
    <xf numFmtId="0" fontId="0" fillId="16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5" borderId="1" xfId="0" applyFill="1" applyBorder="1" applyAlignment="1">
      <alignment vertical="center" wrapText="1"/>
    </xf>
    <xf numFmtId="0" fontId="0" fillId="16" borderId="1" xfId="0" applyFont="1" applyFill="1" applyBorder="1" applyAlignment="1">
      <alignment vertical="center"/>
    </xf>
    <xf numFmtId="0" fontId="0" fillId="17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 wrapText="1"/>
    </xf>
    <xf numFmtId="0" fontId="0" fillId="17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0" xfId="0" applyFont="1" applyBorder="1"/>
    <xf numFmtId="0" fontId="0" fillId="0" borderId="8" xfId="0" applyFont="1" applyBorder="1" applyAlignment="1">
      <alignment horizontal="center" vertical="center"/>
    </xf>
    <xf numFmtId="0" fontId="0" fillId="0" borderId="1" xfId="0" applyFont="1" applyBorder="1"/>
    <xf numFmtId="0" fontId="0" fillId="0" borderId="15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Border="1"/>
    <xf numFmtId="0" fontId="0" fillId="12" borderId="0" xfId="0" applyFill="1" applyBorder="1" applyAlignment="1">
      <alignment vertical="top" wrapText="1"/>
    </xf>
    <xf numFmtId="0" fontId="0" fillId="14" borderId="10" xfId="0" applyFont="1" applyFill="1" applyBorder="1" applyAlignment="1">
      <alignment horizontal="center" vertical="top" wrapText="1"/>
    </xf>
    <xf numFmtId="0" fontId="0" fillId="18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18" borderId="1" xfId="0" applyFont="1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3" xfId="0" applyFont="1" applyBorder="1"/>
    <xf numFmtId="0" fontId="0" fillId="0" borderId="16" xfId="0" applyBorder="1"/>
    <xf numFmtId="0" fontId="0" fillId="0" borderId="17" xfId="0" applyBorder="1"/>
    <xf numFmtId="0" fontId="0" fillId="18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ont>
        <name val="等线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7:K25" totalsRowShown="0">
  <autoFilter xmlns:etc="http://www.wps.cn/officeDocument/2017/etCustomData" ref="A17:K25" etc:filterBottomFollowUsedRange="0"/>
  <tableColumns count="11">
    <tableColumn id="1" name="列1" dataDxfId="0"/>
    <tableColumn id="2" name="天数" dataDxfId="1"/>
    <tableColumn id="3" name="成本（366/6.3）" dataDxfId="2"/>
    <tableColumn id="4" name="定价" dataDxfId="3"/>
    <tableColumn id="5" name="预计单量" dataDxfId="4"/>
    <tableColumn id="6" name="预计广告费用" dataDxfId="5"/>
    <tableColumn id="7" name="预计测评单量" dataDxfId="6"/>
    <tableColumn id="8" name="预计测评费用" dataDxfId="7"/>
    <tableColumn id="9" name="总成本" dataDxfId="8"/>
    <tableColumn id="10" name="销售额" dataDxfId="9"/>
    <tableColumn id="11" name="利润" dataDxfId="1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25"/>
  <sheetViews>
    <sheetView topLeftCell="A19" workbookViewId="0">
      <pane xSplit="1" topLeftCell="B1" activePane="topRight" state="frozen"/>
      <selection/>
      <selection pane="topRight" activeCell="A13" sqref="$A13:$XFD13"/>
    </sheetView>
  </sheetViews>
  <sheetFormatPr defaultColWidth="9" defaultRowHeight="13.8"/>
  <cols>
    <col min="1" max="2" width="15.5" style="28" customWidth="1"/>
    <col min="3" max="3" width="35.5" style="158" customWidth="1"/>
    <col min="4" max="4" width="22.6296296296296" style="158" customWidth="1"/>
    <col min="5" max="5" width="34.5" style="158" customWidth="1"/>
    <col min="6" max="6" width="22.6296296296296" style="158" customWidth="1"/>
    <col min="7" max="7" width="32.3796296296296" style="158" customWidth="1"/>
    <col min="8" max="10" width="22.8796296296296" style="158" customWidth="1"/>
    <col min="11" max="11" width="29.5" style="158" customWidth="1"/>
    <col min="12" max="12" width="22.8796296296296" style="158" customWidth="1"/>
    <col min="13" max="20" width="21.6296296296296" style="158" customWidth="1"/>
    <col min="21" max="16384" width="9" style="158"/>
  </cols>
  <sheetData>
    <row r="1" s="155" customFormat="1" spans="1:11">
      <c r="A1" s="159"/>
      <c r="B1" s="159"/>
      <c r="C1" s="160" t="s">
        <v>0</v>
      </c>
      <c r="D1" s="161" t="s">
        <v>1</v>
      </c>
      <c r="E1" s="162" t="s">
        <v>2</v>
      </c>
      <c r="F1" s="163" t="s">
        <v>3</v>
      </c>
      <c r="G1" s="162" t="s">
        <v>4</v>
      </c>
      <c r="H1" s="164"/>
      <c r="I1" s="192"/>
      <c r="J1" s="192"/>
      <c r="K1" s="192"/>
    </row>
    <row r="2" s="155" customFormat="1" spans="1:11">
      <c r="A2" s="159"/>
      <c r="B2" s="159"/>
      <c r="C2" s="160" t="s">
        <v>5</v>
      </c>
      <c r="D2" s="165" t="s">
        <v>6</v>
      </c>
      <c r="E2" s="166" t="s">
        <v>7</v>
      </c>
      <c r="F2" s="163">
        <v>50</v>
      </c>
      <c r="G2" s="162" t="s">
        <v>8</v>
      </c>
      <c r="H2" s="164"/>
      <c r="I2" s="192"/>
      <c r="J2" s="192"/>
      <c r="K2" s="192"/>
    </row>
    <row r="3" s="155" customFormat="1" spans="1:11">
      <c r="A3" s="159"/>
      <c r="B3" s="159"/>
      <c r="C3" s="162" t="s">
        <v>9</v>
      </c>
      <c r="D3" s="165" t="s">
        <v>10</v>
      </c>
      <c r="E3" s="160" t="s">
        <v>11</v>
      </c>
      <c r="F3" s="167">
        <v>0.15</v>
      </c>
      <c r="G3" s="160"/>
      <c r="H3" s="160"/>
      <c r="I3" s="192"/>
      <c r="J3" s="192"/>
      <c r="K3" s="192"/>
    </row>
    <row r="4" s="155" customFormat="1" spans="1:11">
      <c r="A4" s="159"/>
      <c r="B4" s="159"/>
      <c r="C4" s="160" t="s">
        <v>12</v>
      </c>
      <c r="D4" s="165" t="s">
        <v>13</v>
      </c>
      <c r="E4" s="166" t="s">
        <v>14</v>
      </c>
      <c r="F4" s="163">
        <v>350</v>
      </c>
      <c r="G4" s="162"/>
      <c r="H4" s="164"/>
      <c r="I4" s="192"/>
      <c r="J4" s="192"/>
      <c r="K4" s="192"/>
    </row>
    <row r="5" s="156" customFormat="1" spans="1:20">
      <c r="A5" s="168"/>
      <c r="B5" s="169"/>
      <c r="C5" s="170" t="s">
        <v>15</v>
      </c>
      <c r="D5" s="171"/>
      <c r="E5" s="172" t="s">
        <v>16</v>
      </c>
      <c r="F5" s="172" t="s">
        <v>17</v>
      </c>
      <c r="G5" s="172" t="s">
        <v>18</v>
      </c>
      <c r="H5" s="172" t="s">
        <v>17</v>
      </c>
      <c r="I5" s="193" t="s">
        <v>17</v>
      </c>
      <c r="J5" s="172" t="s">
        <v>17</v>
      </c>
      <c r="K5" s="172" t="s">
        <v>19</v>
      </c>
      <c r="L5" s="172" t="s">
        <v>17</v>
      </c>
      <c r="M5" s="170" t="s">
        <v>20</v>
      </c>
      <c r="N5" s="171"/>
      <c r="O5" s="193" t="s">
        <v>21</v>
      </c>
      <c r="P5" s="172" t="s">
        <v>17</v>
      </c>
      <c r="Q5" s="193" t="s">
        <v>22</v>
      </c>
      <c r="R5" s="172" t="s">
        <v>17</v>
      </c>
      <c r="S5" s="193" t="s">
        <v>23</v>
      </c>
      <c r="T5" s="172" t="s">
        <v>17</v>
      </c>
    </row>
    <row r="6" spans="1:20">
      <c r="A6" s="28" t="s">
        <v>24</v>
      </c>
      <c r="C6" s="173" t="s">
        <v>25</v>
      </c>
      <c r="D6" s="173" t="s">
        <v>26</v>
      </c>
      <c r="E6" s="173" t="s">
        <v>25</v>
      </c>
      <c r="F6" s="173" t="s">
        <v>26</v>
      </c>
      <c r="G6" s="173" t="s">
        <v>25</v>
      </c>
      <c r="H6" s="173" t="s">
        <v>26</v>
      </c>
      <c r="I6" s="173" t="s">
        <v>25</v>
      </c>
      <c r="J6" s="173" t="s">
        <v>26</v>
      </c>
      <c r="K6" s="173" t="s">
        <v>25</v>
      </c>
      <c r="L6" s="173" t="s">
        <v>26</v>
      </c>
      <c r="M6" s="173" t="s">
        <v>25</v>
      </c>
      <c r="N6" s="173" t="s">
        <v>26</v>
      </c>
      <c r="O6" s="173" t="s">
        <v>25</v>
      </c>
      <c r="P6" s="173" t="s">
        <v>26</v>
      </c>
      <c r="Q6" s="173" t="s">
        <v>25</v>
      </c>
      <c r="R6" s="173" t="s">
        <v>26</v>
      </c>
      <c r="S6" s="173" t="s">
        <v>25</v>
      </c>
      <c r="T6" s="173" t="s">
        <v>26</v>
      </c>
    </row>
    <row r="7" s="157" customFormat="1" ht="248.25" customHeight="1" spans="1:20">
      <c r="A7" s="157" t="s">
        <v>27</v>
      </c>
      <c r="C7" s="174" t="s">
        <v>28</v>
      </c>
      <c r="D7" s="174" t="s">
        <v>29</v>
      </c>
      <c r="E7" s="175" t="s">
        <v>30</v>
      </c>
      <c r="F7" s="175" t="s">
        <v>31</v>
      </c>
      <c r="G7" s="176" t="s">
        <v>32</v>
      </c>
      <c r="H7" s="176" t="s">
        <v>31</v>
      </c>
      <c r="I7" s="194" t="s">
        <v>33</v>
      </c>
      <c r="J7" s="194" t="s">
        <v>31</v>
      </c>
      <c r="K7" s="195" t="s">
        <v>34</v>
      </c>
      <c r="L7" s="184"/>
      <c r="M7" s="174" t="s">
        <v>35</v>
      </c>
      <c r="N7" s="174" t="s">
        <v>36</v>
      </c>
      <c r="O7" s="175" t="s">
        <v>37</v>
      </c>
      <c r="P7" s="175" t="s">
        <v>36</v>
      </c>
      <c r="Q7" s="176" t="s">
        <v>38</v>
      </c>
      <c r="R7" s="183"/>
      <c r="S7" s="202"/>
      <c r="T7" s="202"/>
    </row>
    <row r="8" s="157" customFormat="1" ht="67.5" customHeight="1" spans="1:20">
      <c r="A8" s="157" t="s">
        <v>39</v>
      </c>
      <c r="C8" s="174" t="s">
        <v>40</v>
      </c>
      <c r="D8" s="174" t="s">
        <v>41</v>
      </c>
      <c r="E8" s="175" t="s">
        <v>42</v>
      </c>
      <c r="F8" s="177" t="e">
        <v>#NAME?</v>
      </c>
      <c r="G8" s="176" t="s">
        <v>43</v>
      </c>
      <c r="H8" s="178"/>
      <c r="I8" s="196" t="s">
        <v>44</v>
      </c>
      <c r="J8" s="197"/>
      <c r="K8" s="198" t="s">
        <v>45</v>
      </c>
      <c r="M8" s="174" t="s">
        <v>46</v>
      </c>
      <c r="N8" s="179"/>
      <c r="O8" s="175" t="s">
        <v>47</v>
      </c>
      <c r="P8" s="177"/>
      <c r="Q8" s="181" t="s">
        <v>48</v>
      </c>
      <c r="R8" s="178"/>
      <c r="S8" s="197"/>
      <c r="T8" s="197"/>
    </row>
    <row r="9" s="157" customFormat="1" ht="67.5" customHeight="1" spans="1:20">
      <c r="A9" s="157" t="s">
        <v>49</v>
      </c>
      <c r="C9" s="174" t="s">
        <v>50</v>
      </c>
      <c r="D9" s="179"/>
      <c r="E9" s="177"/>
      <c r="F9" s="177"/>
      <c r="G9" s="178"/>
      <c r="H9" s="178"/>
      <c r="I9" s="197"/>
      <c r="J9" s="197"/>
      <c r="M9" s="179"/>
      <c r="N9" s="179"/>
      <c r="O9" s="177"/>
      <c r="P9" s="177"/>
      <c r="Q9" s="178"/>
      <c r="R9" s="178"/>
      <c r="S9" s="197"/>
      <c r="T9" s="197"/>
    </row>
    <row r="10" s="157" customFormat="1" ht="69" spans="1:20">
      <c r="A10" s="157" t="s">
        <v>51</v>
      </c>
      <c r="C10" s="174" t="s">
        <v>52</v>
      </c>
      <c r="D10" s="174" t="s">
        <v>53</v>
      </c>
      <c r="E10" s="180" t="s">
        <v>54</v>
      </c>
      <c r="F10" s="177"/>
      <c r="G10" s="181" t="s">
        <v>55</v>
      </c>
      <c r="H10" s="181" t="s">
        <v>56</v>
      </c>
      <c r="I10" s="194" t="s">
        <v>57</v>
      </c>
      <c r="J10" s="196" t="s">
        <v>56</v>
      </c>
      <c r="K10" s="195" t="s">
        <v>58</v>
      </c>
      <c r="M10" s="174" t="s">
        <v>55</v>
      </c>
      <c r="N10" s="179"/>
      <c r="O10" s="180" t="s">
        <v>59</v>
      </c>
      <c r="P10" s="177"/>
      <c r="Q10" s="181" t="s">
        <v>60</v>
      </c>
      <c r="R10" s="178"/>
      <c r="S10" s="197"/>
      <c r="T10" s="197"/>
    </row>
    <row r="11" s="157" customFormat="1" ht="67.5" customHeight="1" spans="1:20">
      <c r="A11" s="157" t="s">
        <v>61</v>
      </c>
      <c r="C11" s="174" t="s">
        <v>62</v>
      </c>
      <c r="D11" s="179"/>
      <c r="E11" s="177"/>
      <c r="F11" s="177"/>
      <c r="G11" s="181" t="s">
        <v>62</v>
      </c>
      <c r="H11" s="178"/>
      <c r="I11" s="197"/>
      <c r="J11" s="197"/>
      <c r="M11" s="179"/>
      <c r="N11" s="179"/>
      <c r="O11" s="177"/>
      <c r="P11" s="177"/>
      <c r="Q11" s="178"/>
      <c r="R11" s="178"/>
      <c r="S11" s="197"/>
      <c r="T11" s="197"/>
    </row>
    <row r="12" s="157" customFormat="1" ht="67.5" customHeight="1" spans="1:20">
      <c r="A12" s="157" t="s">
        <v>63</v>
      </c>
      <c r="C12" s="174" t="s">
        <v>64</v>
      </c>
      <c r="D12" s="179"/>
      <c r="E12" s="180" t="s">
        <v>65</v>
      </c>
      <c r="F12" s="177"/>
      <c r="G12" s="181" t="s">
        <v>65</v>
      </c>
      <c r="H12" s="178"/>
      <c r="I12" s="197"/>
      <c r="J12" s="197"/>
      <c r="M12" s="179"/>
      <c r="N12" s="179"/>
      <c r="O12" s="177"/>
      <c r="P12" s="177"/>
      <c r="Q12" s="178"/>
      <c r="R12" s="178"/>
      <c r="S12" s="197"/>
      <c r="T12" s="197"/>
    </row>
    <row r="13" s="157" customFormat="1" ht="386.4" spans="1:20">
      <c r="A13" s="157" t="s">
        <v>66</v>
      </c>
      <c r="C13" s="174" t="s">
        <v>67</v>
      </c>
      <c r="D13" s="179"/>
      <c r="E13" s="175" t="s">
        <v>68</v>
      </c>
      <c r="F13" s="182"/>
      <c r="G13" s="176" t="s">
        <v>69</v>
      </c>
      <c r="H13" s="183"/>
      <c r="I13" s="194" t="s">
        <v>70</v>
      </c>
      <c r="J13" s="197"/>
      <c r="K13" s="195" t="s">
        <v>71</v>
      </c>
      <c r="M13" s="174" t="s">
        <v>72</v>
      </c>
      <c r="N13" s="179"/>
      <c r="O13" s="175" t="s">
        <v>73</v>
      </c>
      <c r="P13" s="182"/>
      <c r="Q13" s="176" t="s">
        <v>74</v>
      </c>
      <c r="R13" s="183"/>
      <c r="S13" s="202"/>
      <c r="T13" s="197"/>
    </row>
    <row r="14" ht="15.95" customHeight="1" spans="3:3">
      <c r="C14" s="184"/>
    </row>
    <row r="15" ht="15.95" customHeight="1"/>
    <row r="17" spans="1:13">
      <c r="A17" s="185" t="s">
        <v>75</v>
      </c>
      <c r="B17" s="186" t="s">
        <v>76</v>
      </c>
      <c r="C17" s="186" t="s">
        <v>77</v>
      </c>
      <c r="D17" s="186" t="s">
        <v>78</v>
      </c>
      <c r="E17" s="186" t="s">
        <v>79</v>
      </c>
      <c r="F17" s="186" t="s">
        <v>80</v>
      </c>
      <c r="G17" s="186" t="s">
        <v>81</v>
      </c>
      <c r="H17" s="186" t="s">
        <v>82</v>
      </c>
      <c r="I17" s="186" t="s">
        <v>83</v>
      </c>
      <c r="J17" s="186" t="s">
        <v>84</v>
      </c>
      <c r="K17" s="199" t="s">
        <v>85</v>
      </c>
      <c r="L17" s="188"/>
      <c r="M17" s="188"/>
    </row>
    <row r="18" spans="1:11">
      <c r="A18" s="187" t="s">
        <v>86</v>
      </c>
      <c r="B18" s="25">
        <v>7</v>
      </c>
      <c r="C18" s="158">
        <v>63.5</v>
      </c>
      <c r="D18" s="158">
        <v>69.99</v>
      </c>
      <c r="E18" s="158">
        <v>10</v>
      </c>
      <c r="F18" s="158">
        <v>100</v>
      </c>
      <c r="G18" s="188">
        <v>5</v>
      </c>
      <c r="H18" s="158">
        <f>G18*D18*B18</f>
        <v>2449.65</v>
      </c>
      <c r="I18" s="158">
        <f>C18*E18*B18</f>
        <v>4445</v>
      </c>
      <c r="J18" s="158">
        <f>D18*E18*B18</f>
        <v>4899.3</v>
      </c>
      <c r="K18" s="200">
        <f>J18-I18-H18</f>
        <v>-1995.35</v>
      </c>
    </row>
    <row r="19" spans="1:11">
      <c r="A19" s="187" t="s">
        <v>87</v>
      </c>
      <c r="B19" s="25">
        <v>7</v>
      </c>
      <c r="C19" s="158">
        <v>63.5</v>
      </c>
      <c r="D19" s="158">
        <v>69.99</v>
      </c>
      <c r="E19" s="158">
        <v>15</v>
      </c>
      <c r="F19" s="158">
        <v>100</v>
      </c>
      <c r="G19" s="158">
        <v>5</v>
      </c>
      <c r="H19" s="158">
        <f t="shared" ref="H19:H25" si="0">G19*D19*B19</f>
        <v>2449.65</v>
      </c>
      <c r="I19" s="158">
        <f t="shared" ref="I19:I25" si="1">C19*E19*B19</f>
        <v>6667.5</v>
      </c>
      <c r="J19" s="158">
        <f t="shared" ref="J19:J25" si="2">D19*E19*B19</f>
        <v>7348.95</v>
      </c>
      <c r="K19" s="200">
        <f t="shared" ref="K19:K25" si="3">J19-I19-H19</f>
        <v>-1768.2</v>
      </c>
    </row>
    <row r="20" spans="1:11">
      <c r="A20" s="187" t="s">
        <v>88</v>
      </c>
      <c r="B20" s="25">
        <v>7</v>
      </c>
      <c r="C20" s="158">
        <v>63.5</v>
      </c>
      <c r="D20" s="158">
        <v>69.99</v>
      </c>
      <c r="E20" s="158">
        <v>20</v>
      </c>
      <c r="F20" s="158">
        <v>150</v>
      </c>
      <c r="G20" s="158">
        <v>5</v>
      </c>
      <c r="H20" s="158">
        <f t="shared" si="0"/>
        <v>2449.65</v>
      </c>
      <c r="I20" s="158">
        <f t="shared" si="1"/>
        <v>8890</v>
      </c>
      <c r="J20" s="158">
        <f t="shared" si="2"/>
        <v>9798.6</v>
      </c>
      <c r="K20" s="200">
        <f t="shared" si="3"/>
        <v>-1541.05</v>
      </c>
    </row>
    <row r="21" spans="1:11">
      <c r="A21" s="187" t="s">
        <v>89</v>
      </c>
      <c r="B21" s="25">
        <v>7</v>
      </c>
      <c r="C21" s="158">
        <v>63.5</v>
      </c>
      <c r="D21" s="158">
        <v>69.99</v>
      </c>
      <c r="E21" s="158">
        <v>30</v>
      </c>
      <c r="F21" s="158">
        <v>150</v>
      </c>
      <c r="G21" s="158">
        <v>5</v>
      </c>
      <c r="H21" s="158">
        <f t="shared" si="0"/>
        <v>2449.65</v>
      </c>
      <c r="I21" s="158">
        <f t="shared" si="1"/>
        <v>13335</v>
      </c>
      <c r="J21" s="158">
        <f t="shared" si="2"/>
        <v>14697.9</v>
      </c>
      <c r="K21" s="200">
        <f t="shared" si="3"/>
        <v>-1086.75</v>
      </c>
    </row>
    <row r="22" spans="1:11">
      <c r="A22" s="187" t="s">
        <v>90</v>
      </c>
      <c r="B22" s="25">
        <v>7</v>
      </c>
      <c r="C22" s="158">
        <v>63.5</v>
      </c>
      <c r="D22" s="158">
        <v>79.99</v>
      </c>
      <c r="E22" s="158">
        <v>45</v>
      </c>
      <c r="F22" s="158">
        <v>150</v>
      </c>
      <c r="G22" s="158">
        <v>5</v>
      </c>
      <c r="H22" s="158">
        <f t="shared" si="0"/>
        <v>2799.65</v>
      </c>
      <c r="I22" s="158">
        <f t="shared" si="1"/>
        <v>20002.5</v>
      </c>
      <c r="J22" s="158">
        <f t="shared" si="2"/>
        <v>25196.85</v>
      </c>
      <c r="K22" s="200">
        <f t="shared" si="3"/>
        <v>2394.7</v>
      </c>
    </row>
    <row r="23" spans="1:11">
      <c r="A23" s="187" t="s">
        <v>91</v>
      </c>
      <c r="B23" s="25">
        <v>7</v>
      </c>
      <c r="C23" s="158">
        <v>63.5</v>
      </c>
      <c r="D23" s="158">
        <v>79.99</v>
      </c>
      <c r="E23" s="158">
        <v>55</v>
      </c>
      <c r="F23" s="158">
        <v>150</v>
      </c>
      <c r="H23" s="158">
        <f t="shared" si="0"/>
        <v>0</v>
      </c>
      <c r="I23" s="158">
        <f t="shared" si="1"/>
        <v>24447.5</v>
      </c>
      <c r="J23" s="158">
        <f t="shared" si="2"/>
        <v>30796.15</v>
      </c>
      <c r="K23" s="200">
        <f t="shared" si="3"/>
        <v>6348.65</v>
      </c>
    </row>
    <row r="24" spans="1:11">
      <c r="A24" s="187" t="s">
        <v>92</v>
      </c>
      <c r="B24" s="25">
        <v>7</v>
      </c>
      <c r="C24" s="158">
        <v>63.5</v>
      </c>
      <c r="D24" s="158">
        <v>79.99</v>
      </c>
      <c r="E24" s="158">
        <v>80</v>
      </c>
      <c r="F24" s="158">
        <v>150</v>
      </c>
      <c r="H24" s="158">
        <f t="shared" si="0"/>
        <v>0</v>
      </c>
      <c r="I24" s="158">
        <f t="shared" si="1"/>
        <v>35560</v>
      </c>
      <c r="J24" s="158">
        <f t="shared" si="2"/>
        <v>44794.4</v>
      </c>
      <c r="K24" s="200">
        <f t="shared" si="3"/>
        <v>9234.4</v>
      </c>
    </row>
    <row r="25" spans="1:11">
      <c r="A25" s="189" t="s">
        <v>93</v>
      </c>
      <c r="B25" s="190">
        <v>7</v>
      </c>
      <c r="C25" s="191">
        <v>63.5</v>
      </c>
      <c r="D25" s="191">
        <v>89.99</v>
      </c>
      <c r="E25" s="191">
        <v>60</v>
      </c>
      <c r="F25" s="191">
        <v>150</v>
      </c>
      <c r="G25" s="191"/>
      <c r="H25" s="191">
        <f t="shared" si="0"/>
        <v>0</v>
      </c>
      <c r="I25" s="191">
        <f t="shared" si="1"/>
        <v>26670</v>
      </c>
      <c r="J25" s="191">
        <f t="shared" si="2"/>
        <v>37795.8</v>
      </c>
      <c r="K25" s="201">
        <f t="shared" si="3"/>
        <v>11125.8</v>
      </c>
    </row>
  </sheetData>
  <sheetProtection formatCells="0" insertHyperlinks="0" autoFilter="0"/>
  <mergeCells count="9"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K53"/>
  <sheetViews>
    <sheetView topLeftCell="A38" workbookViewId="0">
      <selection activeCell="N18" sqref="N18"/>
    </sheetView>
  </sheetViews>
  <sheetFormatPr defaultColWidth="9" defaultRowHeight="15"/>
  <cols>
    <col min="1" max="1" width="11.25" style="64" customWidth="1"/>
    <col min="2" max="2" width="12.6296296296296" style="65" customWidth="1"/>
    <col min="3" max="3" width="12.75" style="65" customWidth="1"/>
    <col min="4" max="4" width="9.87962962962963" style="66" customWidth="1"/>
    <col min="5" max="5" width="11.5" style="67" customWidth="1"/>
    <col min="6" max="6" width="10.25" style="80" customWidth="1"/>
    <col min="7" max="7" width="13.3796296296296" style="67" customWidth="1"/>
    <col min="8" max="8" width="11" style="81" customWidth="1"/>
    <col min="9" max="9" width="14.75" style="67" customWidth="1"/>
    <col min="10" max="10" width="85.25" style="65" customWidth="1"/>
    <col min="11" max="11" width="25.75" style="82" customWidth="1"/>
    <col min="12" max="16383" width="9" style="82"/>
  </cols>
  <sheetData>
    <row r="2" ht="17.4" spans="1:9">
      <c r="A2" s="83" t="s">
        <v>94</v>
      </c>
      <c r="B2" s="83"/>
      <c r="C2" s="83"/>
      <c r="D2" s="83"/>
      <c r="E2" s="83"/>
      <c r="F2" s="83"/>
      <c r="G2" s="83"/>
      <c r="H2" s="83"/>
      <c r="I2" s="136"/>
    </row>
    <row r="3" spans="1:10">
      <c r="A3" s="84" t="s">
        <v>95</v>
      </c>
      <c r="B3" s="84"/>
      <c r="C3" s="84" t="s">
        <v>96</v>
      </c>
      <c r="D3" s="84"/>
      <c r="E3" s="84" t="s">
        <v>97</v>
      </c>
      <c r="F3" s="84"/>
      <c r="G3" s="84" t="s">
        <v>98</v>
      </c>
      <c r="H3" s="84"/>
      <c r="I3" s="65"/>
      <c r="J3" s="82"/>
    </row>
    <row r="4" ht="18" customHeight="1" spans="1:10">
      <c r="A4" s="85" t="s">
        <v>99</v>
      </c>
      <c r="B4" s="86" t="s">
        <v>100</v>
      </c>
      <c r="C4" s="85" t="s">
        <v>99</v>
      </c>
      <c r="D4" s="86" t="s">
        <v>100</v>
      </c>
      <c r="E4" s="85" t="s">
        <v>99</v>
      </c>
      <c r="F4" s="86" t="s">
        <v>100</v>
      </c>
      <c r="G4" s="85" t="s">
        <v>99</v>
      </c>
      <c r="H4" s="86" t="s">
        <v>100</v>
      </c>
      <c r="I4" s="65"/>
      <c r="J4" s="82"/>
    </row>
    <row r="5" ht="18" customHeight="1" spans="1:10">
      <c r="A5" s="85" t="s">
        <v>101</v>
      </c>
      <c r="B5" s="87">
        <v>583</v>
      </c>
      <c r="C5" s="85" t="s">
        <v>101</v>
      </c>
      <c r="D5" s="86">
        <v>641</v>
      </c>
      <c r="E5" s="85" t="s">
        <v>101</v>
      </c>
      <c r="F5" s="86">
        <v>700</v>
      </c>
      <c r="G5" s="85" t="s">
        <v>101</v>
      </c>
      <c r="H5" s="86">
        <v>758</v>
      </c>
      <c r="I5" s="65"/>
      <c r="J5" s="82"/>
    </row>
    <row r="6" ht="18" customHeight="1" spans="1:10">
      <c r="A6" s="85" t="s">
        <v>102</v>
      </c>
      <c r="B6" s="88">
        <v>0.08</v>
      </c>
      <c r="C6" s="85" t="s">
        <v>102</v>
      </c>
      <c r="D6" s="88">
        <v>0.09</v>
      </c>
      <c r="E6" s="85" t="s">
        <v>102</v>
      </c>
      <c r="F6" s="89">
        <v>0.1287</v>
      </c>
      <c r="G6" s="85" t="s">
        <v>102</v>
      </c>
      <c r="H6" s="89">
        <v>0.13</v>
      </c>
      <c r="I6" s="65"/>
      <c r="J6" s="82"/>
    </row>
    <row r="7" ht="18" customHeight="1" spans="1:10">
      <c r="A7" s="90" t="s">
        <v>103</v>
      </c>
      <c r="B7" s="87">
        <f>B5*B6</f>
        <v>46.64</v>
      </c>
      <c r="C7" s="90" t="s">
        <v>103</v>
      </c>
      <c r="D7" s="87">
        <f t="shared" ref="B7:F7" si="0">D5*D6</f>
        <v>57.69</v>
      </c>
      <c r="E7" s="90" t="s">
        <v>103</v>
      </c>
      <c r="F7" s="87">
        <f t="shared" si="0"/>
        <v>90.09</v>
      </c>
      <c r="G7" s="90" t="s">
        <v>103</v>
      </c>
      <c r="H7" s="87">
        <f>H5*H6</f>
        <v>98.54</v>
      </c>
      <c r="I7" s="65"/>
      <c r="J7" s="82"/>
    </row>
    <row r="8" ht="18" customHeight="1" spans="1:10">
      <c r="A8" s="85" t="s">
        <v>104</v>
      </c>
      <c r="B8" s="91" t="s">
        <v>105</v>
      </c>
      <c r="C8" s="85" t="s">
        <v>104</v>
      </c>
      <c r="D8" s="91" t="s">
        <v>105</v>
      </c>
      <c r="E8" s="85" t="s">
        <v>104</v>
      </c>
      <c r="F8" s="91" t="s">
        <v>105</v>
      </c>
      <c r="G8" s="85" t="s">
        <v>104</v>
      </c>
      <c r="H8" s="91" t="s">
        <v>105</v>
      </c>
      <c r="I8" s="65"/>
      <c r="J8" s="82"/>
    </row>
    <row r="9" ht="18" customHeight="1" spans="1:10">
      <c r="A9" s="90" t="s">
        <v>106</v>
      </c>
      <c r="B9" s="92" t="s">
        <v>107</v>
      </c>
      <c r="C9" s="90" t="s">
        <v>106</v>
      </c>
      <c r="D9" s="93" t="s">
        <v>108</v>
      </c>
      <c r="E9" s="90" t="s">
        <v>106</v>
      </c>
      <c r="F9" s="90" t="s">
        <v>109</v>
      </c>
      <c r="G9" s="90" t="s">
        <v>106</v>
      </c>
      <c r="H9" s="90" t="s">
        <v>110</v>
      </c>
      <c r="I9" s="65"/>
      <c r="J9" s="82"/>
    </row>
    <row r="11" ht="20.4" spans="1:11">
      <c r="A11" s="94" t="s">
        <v>111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</row>
    <row r="12" ht="15.6" spans="1:11">
      <c r="A12" s="95" t="s">
        <v>112</v>
      </c>
      <c r="B12" s="96" t="s">
        <v>113</v>
      </c>
      <c r="C12" s="96" t="s">
        <v>114</v>
      </c>
      <c r="D12" s="97" t="s">
        <v>115</v>
      </c>
      <c r="E12" s="98" t="s">
        <v>116</v>
      </c>
      <c r="F12" s="99" t="s">
        <v>117</v>
      </c>
      <c r="G12" s="98" t="s">
        <v>118</v>
      </c>
      <c r="H12" s="100" t="s">
        <v>119</v>
      </c>
      <c r="I12" s="98" t="s">
        <v>120</v>
      </c>
      <c r="J12" s="96" t="s">
        <v>121</v>
      </c>
      <c r="K12" s="96" t="s">
        <v>122</v>
      </c>
    </row>
    <row r="13" ht="20.1" customHeight="1" outlineLevel="1" spans="1:11">
      <c r="A13" s="101">
        <v>44684</v>
      </c>
      <c r="B13" s="102"/>
      <c r="C13" s="102">
        <v>0</v>
      </c>
      <c r="D13" s="103"/>
      <c r="E13" s="104"/>
      <c r="F13" s="105"/>
      <c r="G13" s="102"/>
      <c r="H13" s="105" t="s">
        <v>100</v>
      </c>
      <c r="I13" s="102"/>
      <c r="J13" s="137"/>
      <c r="K13" s="138"/>
    </row>
    <row r="14" ht="20.1" customHeight="1" outlineLevel="1" spans="1:11">
      <c r="A14" s="101">
        <v>44685</v>
      </c>
      <c r="B14" s="102"/>
      <c r="C14" s="41">
        <v>0</v>
      </c>
      <c r="D14" s="103"/>
      <c r="E14" s="104"/>
      <c r="F14" s="106"/>
      <c r="G14" s="102"/>
      <c r="H14" s="107" t="s">
        <v>100</v>
      </c>
      <c r="I14" s="102"/>
      <c r="J14" s="139"/>
      <c r="K14" s="140"/>
    </row>
    <row r="15" ht="20.1" customHeight="1" outlineLevel="1" spans="1:11">
      <c r="A15" s="101">
        <v>44686</v>
      </c>
      <c r="B15" s="102"/>
      <c r="C15" s="41">
        <v>0</v>
      </c>
      <c r="D15" s="103"/>
      <c r="E15" s="104"/>
      <c r="F15" s="106"/>
      <c r="G15" s="102"/>
      <c r="H15" s="107" t="s">
        <v>100</v>
      </c>
      <c r="I15" s="102"/>
      <c r="J15" s="139"/>
      <c r="K15" s="140"/>
    </row>
    <row r="16" ht="20.1" customHeight="1" outlineLevel="1" spans="1:11">
      <c r="A16" s="101">
        <v>44687</v>
      </c>
      <c r="B16" s="41"/>
      <c r="C16" s="41">
        <v>0</v>
      </c>
      <c r="D16" s="103"/>
      <c r="E16" s="104"/>
      <c r="F16" s="106"/>
      <c r="G16" s="102"/>
      <c r="H16" s="107" t="s">
        <v>100</v>
      </c>
      <c r="I16" s="102"/>
      <c r="J16" s="139"/>
      <c r="K16" s="140"/>
    </row>
    <row r="17" ht="20.1" customHeight="1" outlineLevel="1" spans="1:11">
      <c r="A17" s="101">
        <v>44688</v>
      </c>
      <c r="C17" s="41">
        <v>0</v>
      </c>
      <c r="D17" s="41"/>
      <c r="E17" s="104"/>
      <c r="F17" s="106"/>
      <c r="G17" s="102"/>
      <c r="H17" s="107" t="s">
        <v>100</v>
      </c>
      <c r="I17" s="102"/>
      <c r="J17" s="139"/>
      <c r="K17" s="140"/>
    </row>
    <row r="18" ht="20.1" customHeight="1" outlineLevel="1" spans="1:11">
      <c r="A18" s="101">
        <v>44689</v>
      </c>
      <c r="B18" s="41"/>
      <c r="C18" s="41">
        <v>0</v>
      </c>
      <c r="D18" s="103"/>
      <c r="E18" s="104"/>
      <c r="F18" s="106"/>
      <c r="G18" s="102"/>
      <c r="H18" s="107" t="s">
        <v>100</v>
      </c>
      <c r="I18" s="102"/>
      <c r="J18" s="139"/>
      <c r="K18" s="140"/>
    </row>
    <row r="19" ht="24" customHeight="1" outlineLevel="1" spans="1:11">
      <c r="A19" s="101">
        <v>44690</v>
      </c>
      <c r="B19" s="41"/>
      <c r="C19" s="41">
        <v>0</v>
      </c>
      <c r="D19" s="103"/>
      <c r="E19" s="104"/>
      <c r="F19" s="106"/>
      <c r="G19" s="102"/>
      <c r="H19" s="107" t="s">
        <v>100</v>
      </c>
      <c r="I19" s="102"/>
      <c r="J19" s="141"/>
      <c r="K19" s="142"/>
    </row>
    <row r="20" ht="15.6" spans="1:11">
      <c r="A20" s="108" t="s">
        <v>86</v>
      </c>
      <c r="B20" s="109">
        <f>MAX(B13:B19)</f>
        <v>0</v>
      </c>
      <c r="C20" s="109">
        <f>SUM(C13:C19)</f>
        <v>0</v>
      </c>
      <c r="D20" s="110"/>
      <c r="E20" s="111">
        <f>SUM(E13:E19)</f>
        <v>0</v>
      </c>
      <c r="F20" s="112" t="e">
        <f>G20/E20</f>
        <v>#DIV/0!</v>
      </c>
      <c r="G20" s="111">
        <f>SUM(G13:G19)</f>
        <v>0</v>
      </c>
      <c r="H20" s="113" t="e">
        <f>G20/E20</f>
        <v>#DIV/0!</v>
      </c>
      <c r="I20" s="111">
        <f>SUM(I13:I19)</f>
        <v>0</v>
      </c>
      <c r="J20" s="143"/>
      <c r="K20" s="85"/>
    </row>
    <row r="21" ht="20.1" customHeight="1" outlineLevel="1" spans="1:11">
      <c r="A21" s="101">
        <v>44691</v>
      </c>
      <c r="B21" s="41"/>
      <c r="C21" s="41"/>
      <c r="D21" s="103"/>
      <c r="E21" s="104"/>
      <c r="F21" s="107"/>
      <c r="G21" s="114"/>
      <c r="H21" s="107"/>
      <c r="I21" s="53"/>
      <c r="J21" s="144" t="s">
        <v>123</v>
      </c>
      <c r="K21" s="138" t="s">
        <v>124</v>
      </c>
    </row>
    <row r="22" ht="20.1" customHeight="1" outlineLevel="1" spans="1:11">
      <c r="A22" s="101">
        <v>44692</v>
      </c>
      <c r="B22" s="41"/>
      <c r="C22" s="41"/>
      <c r="D22" s="103"/>
      <c r="E22" s="104"/>
      <c r="F22" s="107"/>
      <c r="G22" s="114"/>
      <c r="H22" s="107"/>
      <c r="I22" s="53"/>
      <c r="J22" s="139"/>
      <c r="K22" s="140"/>
    </row>
    <row r="23" ht="20.1" customHeight="1" outlineLevel="1" spans="1:11">
      <c r="A23" s="101">
        <v>44693</v>
      </c>
      <c r="B23" s="41"/>
      <c r="C23" s="41"/>
      <c r="D23" s="103"/>
      <c r="E23" s="104"/>
      <c r="F23" s="107"/>
      <c r="G23" s="114"/>
      <c r="H23" s="107"/>
      <c r="I23" s="53"/>
      <c r="J23" s="139"/>
      <c r="K23" s="140"/>
    </row>
    <row r="24" ht="20.1" customHeight="1" outlineLevel="1" spans="1:11">
      <c r="A24" s="101">
        <v>44694</v>
      </c>
      <c r="B24" s="41"/>
      <c r="C24" s="41"/>
      <c r="D24" s="103"/>
      <c r="E24" s="104"/>
      <c r="F24" s="107"/>
      <c r="G24" s="114"/>
      <c r="H24" s="107"/>
      <c r="I24" s="53"/>
      <c r="J24" s="139"/>
      <c r="K24" s="140"/>
    </row>
    <row r="25" ht="20.1" customHeight="1" outlineLevel="1" spans="1:11">
      <c r="A25" s="101">
        <v>44695</v>
      </c>
      <c r="B25" s="41"/>
      <c r="C25" s="41"/>
      <c r="D25" s="103"/>
      <c r="E25" s="104"/>
      <c r="F25" s="107"/>
      <c r="G25" s="114"/>
      <c r="H25" s="107"/>
      <c r="I25" s="53"/>
      <c r="J25" s="139"/>
      <c r="K25" s="140"/>
    </row>
    <row r="26" ht="20.1" customHeight="1" outlineLevel="1" spans="1:11">
      <c r="A26" s="101">
        <v>44696</v>
      </c>
      <c r="B26" s="41"/>
      <c r="C26" s="41"/>
      <c r="D26" s="103"/>
      <c r="E26" s="104"/>
      <c r="F26" s="107"/>
      <c r="G26" s="114"/>
      <c r="H26" s="107"/>
      <c r="I26" s="53"/>
      <c r="J26" s="139"/>
      <c r="K26" s="140"/>
    </row>
    <row r="27" ht="20.1" customHeight="1" outlineLevel="1" spans="1:11">
      <c r="A27" s="101">
        <v>44697</v>
      </c>
      <c r="B27" s="41"/>
      <c r="C27" s="41"/>
      <c r="D27" s="103"/>
      <c r="E27" s="104"/>
      <c r="F27" s="107"/>
      <c r="G27" s="114"/>
      <c r="H27" s="107"/>
      <c r="I27" s="53"/>
      <c r="J27" s="141"/>
      <c r="K27" s="142"/>
    </row>
    <row r="28" ht="15.6" spans="1:11">
      <c r="A28" s="115" t="s">
        <v>87</v>
      </c>
      <c r="B28" s="44">
        <f>MAX(B21:B27)</f>
        <v>0</v>
      </c>
      <c r="C28" s="44">
        <f>SUM(C21:C27)</f>
        <v>0</v>
      </c>
      <c r="D28" s="116"/>
      <c r="E28" s="117">
        <f>SUM(E21:E27)</f>
        <v>0</v>
      </c>
      <c r="F28" s="118" t="e">
        <f>G28/E28</f>
        <v>#DIV/0!</v>
      </c>
      <c r="G28" s="117">
        <f>SUM(G21:G27)</f>
        <v>0</v>
      </c>
      <c r="H28" s="119"/>
      <c r="I28" s="117">
        <f>SUM(I21:I27)</f>
        <v>0</v>
      </c>
      <c r="J28" s="143"/>
      <c r="K28" s="85"/>
    </row>
    <row r="29" ht="20.1" customHeight="1" outlineLevel="1" spans="1:11">
      <c r="A29" s="101">
        <v>44698</v>
      </c>
      <c r="B29" s="41"/>
      <c r="C29" s="41"/>
      <c r="D29" s="120"/>
      <c r="E29" s="54"/>
      <c r="F29" s="121"/>
      <c r="G29" s="114"/>
      <c r="H29" s="107"/>
      <c r="I29" s="54"/>
      <c r="J29" s="145"/>
      <c r="K29" s="146"/>
    </row>
    <row r="30" ht="20.1" customHeight="1" outlineLevel="1" spans="1:11">
      <c r="A30" s="101">
        <v>44699</v>
      </c>
      <c r="B30" s="41"/>
      <c r="C30" s="41"/>
      <c r="D30" s="120"/>
      <c r="E30" s="54"/>
      <c r="F30" s="121"/>
      <c r="G30" s="114"/>
      <c r="H30" s="107"/>
      <c r="I30" s="54"/>
      <c r="J30" s="147"/>
      <c r="K30" s="148"/>
    </row>
    <row r="31" ht="20.1" customHeight="1" outlineLevel="1" spans="1:11">
      <c r="A31" s="101">
        <v>44700</v>
      </c>
      <c r="B31" s="41"/>
      <c r="C31" s="41"/>
      <c r="D31" s="120"/>
      <c r="E31" s="54"/>
      <c r="F31" s="121"/>
      <c r="G31" s="114"/>
      <c r="H31" s="107"/>
      <c r="I31" s="54"/>
      <c r="J31" s="147"/>
      <c r="K31" s="148"/>
    </row>
    <row r="32" ht="20.1" customHeight="1" outlineLevel="1" spans="1:11">
      <c r="A32" s="101">
        <v>44701</v>
      </c>
      <c r="B32" s="41"/>
      <c r="C32" s="41"/>
      <c r="D32" s="120"/>
      <c r="E32" s="54"/>
      <c r="F32" s="121"/>
      <c r="G32" s="114"/>
      <c r="H32" s="107"/>
      <c r="I32" s="54"/>
      <c r="J32" s="147"/>
      <c r="K32" s="148"/>
    </row>
    <row r="33" ht="20.1" customHeight="1" outlineLevel="1" spans="1:11">
      <c r="A33" s="101">
        <v>44702</v>
      </c>
      <c r="B33" s="41"/>
      <c r="C33" s="41"/>
      <c r="D33" s="120"/>
      <c r="E33" s="54"/>
      <c r="F33" s="121"/>
      <c r="G33" s="114"/>
      <c r="H33" s="107"/>
      <c r="I33" s="54"/>
      <c r="J33" s="147"/>
      <c r="K33" s="148"/>
    </row>
    <row r="34" ht="20.1" customHeight="1" outlineLevel="1" spans="1:11">
      <c r="A34" s="101">
        <v>44703</v>
      </c>
      <c r="B34" s="41"/>
      <c r="C34" s="41"/>
      <c r="D34" s="120"/>
      <c r="E34" s="54"/>
      <c r="F34" s="121"/>
      <c r="G34" s="114"/>
      <c r="H34" s="107"/>
      <c r="I34" s="54"/>
      <c r="J34" s="147"/>
      <c r="K34" s="148"/>
    </row>
    <row r="35" ht="18" customHeight="1" outlineLevel="1" spans="1:11">
      <c r="A35" s="101">
        <v>44704</v>
      </c>
      <c r="B35" s="41"/>
      <c r="C35" s="41"/>
      <c r="D35" s="120"/>
      <c r="E35" s="54"/>
      <c r="F35" s="121"/>
      <c r="G35" s="114"/>
      <c r="H35" s="107"/>
      <c r="I35" s="54"/>
      <c r="J35" s="149"/>
      <c r="K35" s="150"/>
    </row>
    <row r="36" ht="15.6" spans="1:11">
      <c r="A36" s="122" t="s">
        <v>88</v>
      </c>
      <c r="B36" s="123">
        <f>MAX(B29:B35)</f>
        <v>0</v>
      </c>
      <c r="C36" s="123">
        <f>SUM(C29:C35)</f>
        <v>0</v>
      </c>
      <c r="D36" s="124"/>
      <c r="E36" s="125">
        <f>SUM(E29:E35)</f>
        <v>0</v>
      </c>
      <c r="F36" s="126" t="e">
        <f>G36/E36</f>
        <v>#DIV/0!</v>
      </c>
      <c r="G36" s="125">
        <f>SUM(G29:G35)</f>
        <v>0</v>
      </c>
      <c r="H36" s="127"/>
      <c r="I36" s="125">
        <f>SUM(I29:I35)</f>
        <v>0</v>
      </c>
      <c r="J36" s="143"/>
      <c r="K36" s="85"/>
    </row>
    <row r="37" ht="20.1" customHeight="1" outlineLevel="1" spans="1:11">
      <c r="A37" s="101">
        <v>44705</v>
      </c>
      <c r="B37" s="41"/>
      <c r="C37" s="41"/>
      <c r="D37" s="120"/>
      <c r="E37" s="54"/>
      <c r="F37" s="121"/>
      <c r="G37" s="114"/>
      <c r="H37" s="107"/>
      <c r="I37" s="54"/>
      <c r="J37" s="151"/>
      <c r="K37" s="146"/>
    </row>
    <row r="38" ht="20.1" customHeight="1" outlineLevel="1" spans="1:11">
      <c r="A38" s="101">
        <v>44706</v>
      </c>
      <c r="B38" s="41"/>
      <c r="C38" s="41"/>
      <c r="D38" s="120"/>
      <c r="E38" s="54"/>
      <c r="F38" s="121"/>
      <c r="G38" s="114"/>
      <c r="H38" s="107"/>
      <c r="I38" s="54"/>
      <c r="J38" s="152"/>
      <c r="K38" s="148"/>
    </row>
    <row r="39" ht="20.1" customHeight="1" outlineLevel="1" spans="1:11">
      <c r="A39" s="101">
        <v>44707</v>
      </c>
      <c r="B39" s="41"/>
      <c r="C39" s="41"/>
      <c r="D39" s="120"/>
      <c r="E39" s="54"/>
      <c r="F39" s="121"/>
      <c r="G39" s="114"/>
      <c r="H39" s="107"/>
      <c r="I39" s="54"/>
      <c r="J39" s="152"/>
      <c r="K39" s="148"/>
    </row>
    <row r="40" ht="20.1" customHeight="1" outlineLevel="1" spans="1:11">
      <c r="A40" s="101">
        <v>44708</v>
      </c>
      <c r="B40" s="41"/>
      <c r="C40" s="41"/>
      <c r="D40" s="120"/>
      <c r="E40" s="54"/>
      <c r="F40" s="121"/>
      <c r="G40" s="114"/>
      <c r="H40" s="107"/>
      <c r="I40" s="54"/>
      <c r="J40" s="152"/>
      <c r="K40" s="148"/>
    </row>
    <row r="41" ht="20.1" customHeight="1" outlineLevel="1" spans="1:11">
      <c r="A41" s="101">
        <v>44709</v>
      </c>
      <c r="B41" s="41"/>
      <c r="C41" s="41"/>
      <c r="D41" s="120"/>
      <c r="E41" s="54"/>
      <c r="F41" s="121"/>
      <c r="G41" s="114"/>
      <c r="H41" s="107"/>
      <c r="I41" s="54"/>
      <c r="J41" s="152"/>
      <c r="K41" s="148"/>
    </row>
    <row r="42" ht="20.1" customHeight="1" outlineLevel="1" spans="1:11">
      <c r="A42" s="101">
        <v>44710</v>
      </c>
      <c r="B42" s="41"/>
      <c r="C42" s="41"/>
      <c r="D42" s="120"/>
      <c r="E42" s="54"/>
      <c r="F42" s="121"/>
      <c r="G42" s="114"/>
      <c r="H42" s="107"/>
      <c r="I42" s="54"/>
      <c r="J42" s="152"/>
      <c r="K42" s="148"/>
    </row>
    <row r="43" ht="20.1" customHeight="1" outlineLevel="1" spans="1:11">
      <c r="A43" s="101">
        <v>44711</v>
      </c>
      <c r="B43" s="41"/>
      <c r="C43" s="41"/>
      <c r="D43" s="120"/>
      <c r="E43" s="54"/>
      <c r="F43" s="121"/>
      <c r="G43" s="114"/>
      <c r="H43" s="107"/>
      <c r="I43" s="54"/>
      <c r="J43" s="153"/>
      <c r="K43" s="150"/>
    </row>
    <row r="44" ht="15.6" spans="1:11">
      <c r="A44" s="128" t="s">
        <v>89</v>
      </c>
      <c r="B44" s="129">
        <f>MAX(B37:B43)</f>
        <v>0</v>
      </c>
      <c r="C44" s="129">
        <f>SUM(C37:C43)</f>
        <v>0</v>
      </c>
      <c r="D44" s="130"/>
      <c r="E44" s="131">
        <f>SUM(E37:E43)</f>
        <v>0</v>
      </c>
      <c r="F44" s="132" t="e">
        <f>G44/E44</f>
        <v>#DIV/0!</v>
      </c>
      <c r="G44" s="131">
        <f>SUM(G37:G43)</f>
        <v>0</v>
      </c>
      <c r="H44" s="133"/>
      <c r="I44" s="131">
        <f>SUM(I37:I43)</f>
        <v>0</v>
      </c>
      <c r="J44" s="143"/>
      <c r="K44" s="154"/>
    </row>
    <row r="45" ht="20.1" customHeight="1" outlineLevel="1" spans="1:11">
      <c r="A45" s="101">
        <v>44712</v>
      </c>
      <c r="B45" s="41"/>
      <c r="C45" s="41"/>
      <c r="D45" s="120"/>
      <c r="E45" s="54"/>
      <c r="F45" s="121"/>
      <c r="G45" s="114"/>
      <c r="H45" s="107"/>
      <c r="I45" s="54"/>
      <c r="J45" s="151"/>
      <c r="K45" s="146"/>
    </row>
    <row r="46" ht="20.1" customHeight="1" outlineLevel="1" spans="1:11">
      <c r="A46" s="134">
        <v>44509</v>
      </c>
      <c r="B46" s="41"/>
      <c r="C46" s="41"/>
      <c r="D46" s="120"/>
      <c r="E46" s="54"/>
      <c r="F46" s="121"/>
      <c r="G46" s="114"/>
      <c r="H46" s="107"/>
      <c r="I46" s="54"/>
      <c r="J46" s="152"/>
      <c r="K46" s="148"/>
    </row>
    <row r="47" ht="20.1" customHeight="1" outlineLevel="1" spans="1:11">
      <c r="A47" s="134">
        <v>44510</v>
      </c>
      <c r="B47" s="41"/>
      <c r="C47" s="41"/>
      <c r="D47" s="120"/>
      <c r="E47" s="54"/>
      <c r="F47" s="121"/>
      <c r="G47" s="114"/>
      <c r="H47" s="107"/>
      <c r="I47" s="54"/>
      <c r="J47" s="152"/>
      <c r="K47" s="148"/>
    </row>
    <row r="48" ht="20.1" customHeight="1" outlineLevel="1" spans="1:11">
      <c r="A48" s="134">
        <v>44511</v>
      </c>
      <c r="B48" s="41"/>
      <c r="C48" s="41"/>
      <c r="D48" s="120"/>
      <c r="E48" s="54"/>
      <c r="F48" s="121"/>
      <c r="G48" s="114"/>
      <c r="H48" s="107"/>
      <c r="I48" s="54"/>
      <c r="J48" s="152"/>
      <c r="K48" s="148"/>
    </row>
    <row r="49" ht="20.1" customHeight="1" outlineLevel="1" spans="1:11">
      <c r="A49" s="134">
        <v>44512</v>
      </c>
      <c r="B49" s="41"/>
      <c r="C49" s="41"/>
      <c r="D49" s="120"/>
      <c r="E49" s="54"/>
      <c r="F49" s="121"/>
      <c r="G49" s="114"/>
      <c r="H49" s="107"/>
      <c r="I49" s="54"/>
      <c r="J49" s="152"/>
      <c r="K49" s="148"/>
    </row>
    <row r="50" ht="20.1" customHeight="1" outlineLevel="1" spans="1:11">
      <c r="A50" s="134">
        <v>44513</v>
      </c>
      <c r="B50" s="41"/>
      <c r="C50" s="41"/>
      <c r="D50" s="120"/>
      <c r="E50" s="54"/>
      <c r="F50" s="121"/>
      <c r="G50" s="114"/>
      <c r="H50" s="107"/>
      <c r="I50" s="54"/>
      <c r="J50" s="152"/>
      <c r="K50" s="148"/>
    </row>
    <row r="51" ht="20.1" customHeight="1" outlineLevel="1" spans="1:11">
      <c r="A51" s="134">
        <v>44514</v>
      </c>
      <c r="B51" s="41"/>
      <c r="C51" s="41"/>
      <c r="D51" s="120"/>
      <c r="E51" s="54"/>
      <c r="F51" s="121"/>
      <c r="G51" s="114"/>
      <c r="H51" s="107"/>
      <c r="I51" s="54"/>
      <c r="J51" s="153"/>
      <c r="K51" s="150"/>
    </row>
    <row r="52" ht="15.6" spans="1:11">
      <c r="A52" s="128" t="s">
        <v>90</v>
      </c>
      <c r="B52" s="129">
        <f>MAX(B45:B51)</f>
        <v>0</v>
      </c>
      <c r="C52" s="129">
        <f t="shared" ref="C52:G52" si="1">SUM(C45:C51)</f>
        <v>0</v>
      </c>
      <c r="D52" s="130"/>
      <c r="E52" s="131">
        <f t="shared" si="1"/>
        <v>0</v>
      </c>
      <c r="F52" s="132" t="e">
        <f>G52/E52</f>
        <v>#DIV/0!</v>
      </c>
      <c r="G52" s="131">
        <f t="shared" si="1"/>
        <v>0</v>
      </c>
      <c r="H52" s="133"/>
      <c r="I52" s="131">
        <f>SUM(I45:I51)</f>
        <v>0</v>
      </c>
      <c r="J52" s="143"/>
      <c r="K52" s="154"/>
    </row>
    <row r="53" ht="15.6" spans="1:1">
      <c r="A53" s="135"/>
    </row>
  </sheetData>
  <sheetProtection formatCells="0" insertHyperlinks="0" autoFilter="0"/>
  <mergeCells count="16">
    <mergeCell ref="A2:H2"/>
    <mergeCell ref="A3:B3"/>
    <mergeCell ref="C3:D3"/>
    <mergeCell ref="E3:F3"/>
    <mergeCell ref="G3:H3"/>
    <mergeCell ref="A11:K11"/>
    <mergeCell ref="J13:J19"/>
    <mergeCell ref="J21:J27"/>
    <mergeCell ref="J29:J35"/>
    <mergeCell ref="J37:J43"/>
    <mergeCell ref="J45:J51"/>
    <mergeCell ref="K13:K19"/>
    <mergeCell ref="K21:K27"/>
    <mergeCell ref="K29:K35"/>
    <mergeCell ref="K37:K43"/>
    <mergeCell ref="K45:K5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31"/>
  <sheetViews>
    <sheetView workbookViewId="0">
      <selection activeCell="D35" sqref="D35"/>
    </sheetView>
  </sheetViews>
  <sheetFormatPr defaultColWidth="9" defaultRowHeight="13.8"/>
  <cols>
    <col min="1" max="1" width="19" customWidth="1"/>
    <col min="2" max="2" width="21.1296296296296" customWidth="1"/>
    <col min="3" max="3" width="12.1296296296296" customWidth="1"/>
    <col min="4" max="4" width="15.3796296296296" customWidth="1"/>
    <col min="5" max="5" width="10.3796296296296" customWidth="1"/>
    <col min="6" max="6" width="12.8796296296296"/>
    <col min="7" max="7" width="17.5" customWidth="1"/>
    <col min="8" max="8" width="11.8796296296296" customWidth="1"/>
    <col min="9" max="9" width="7.12962962962963" customWidth="1"/>
    <col min="10" max="10" width="5.87962962962963" customWidth="1"/>
    <col min="11" max="11" width="11.8796296296296" customWidth="1"/>
    <col min="12" max="12" width="17.5" customWidth="1"/>
    <col min="13" max="13" width="9.87962962962963" customWidth="1"/>
    <col min="14" max="14" width="6.75" customWidth="1"/>
    <col min="15" max="15" width="5.5" customWidth="1"/>
    <col min="17" max="17" width="17.5" customWidth="1"/>
    <col min="18" max="18" width="9.87962962962963" customWidth="1"/>
    <col min="19" max="19" width="6.75" customWidth="1"/>
  </cols>
  <sheetData>
    <row r="1" s="31" customFormat="1" ht="14.4" spans="1:19">
      <c r="A1" s="32" t="s">
        <v>125</v>
      </c>
      <c r="B1" s="33" t="s">
        <v>126</v>
      </c>
      <c r="C1" s="34" t="s">
        <v>127</v>
      </c>
      <c r="D1" s="34" t="s">
        <v>128</v>
      </c>
      <c r="F1" s="33" t="s">
        <v>129</v>
      </c>
      <c r="G1" s="33" t="s">
        <v>126</v>
      </c>
      <c r="H1" s="34" t="s">
        <v>127</v>
      </c>
      <c r="I1" s="34" t="s">
        <v>128</v>
      </c>
      <c r="K1" s="33" t="s">
        <v>129</v>
      </c>
      <c r="L1" s="33" t="s">
        <v>126</v>
      </c>
      <c r="M1" s="34" t="s">
        <v>127</v>
      </c>
      <c r="N1" s="34" t="s">
        <v>128</v>
      </c>
      <c r="P1" s="33" t="s">
        <v>129</v>
      </c>
      <c r="Q1" s="33" t="s">
        <v>126</v>
      </c>
      <c r="R1" s="34" t="s">
        <v>127</v>
      </c>
      <c r="S1" s="34" t="s">
        <v>128</v>
      </c>
    </row>
    <row r="2" ht="15.6" spans="1:19">
      <c r="A2" s="35" t="s">
        <v>86</v>
      </c>
      <c r="B2" s="36" t="s">
        <v>130</v>
      </c>
      <c r="C2" s="37" t="s">
        <v>131</v>
      </c>
      <c r="D2" s="38"/>
      <c r="F2" s="35" t="s">
        <v>87</v>
      </c>
      <c r="G2" s="36" t="s">
        <v>130</v>
      </c>
      <c r="H2" s="39" t="s">
        <v>132</v>
      </c>
      <c r="I2" s="38"/>
      <c r="K2" s="35" t="s">
        <v>88</v>
      </c>
      <c r="L2" s="36" t="s">
        <v>130</v>
      </c>
      <c r="M2" s="39" t="s">
        <v>132</v>
      </c>
      <c r="N2" s="38"/>
      <c r="P2" s="35" t="s">
        <v>89</v>
      </c>
      <c r="Q2" s="36" t="s">
        <v>130</v>
      </c>
      <c r="R2" s="39" t="s">
        <v>132</v>
      </c>
      <c r="S2" s="38"/>
    </row>
    <row r="3" ht="15.6" spans="1:19">
      <c r="A3" s="40"/>
      <c r="B3" s="41" t="s">
        <v>133</v>
      </c>
      <c r="C3" s="39">
        <v>839.86</v>
      </c>
      <c r="D3" s="38"/>
      <c r="F3" s="40"/>
      <c r="G3" s="41" t="s">
        <v>133</v>
      </c>
      <c r="H3" s="39">
        <v>419.93</v>
      </c>
      <c r="I3" s="38"/>
      <c r="K3" s="40"/>
      <c r="L3" s="41" t="s">
        <v>133</v>
      </c>
      <c r="M3" s="39">
        <v>419.93</v>
      </c>
      <c r="N3" s="38"/>
      <c r="P3" s="40"/>
      <c r="Q3" s="41" t="s">
        <v>133</v>
      </c>
      <c r="R3" s="39">
        <v>419.93</v>
      </c>
      <c r="S3" s="38"/>
    </row>
    <row r="4" ht="15.6" spans="1:19">
      <c r="A4" s="40"/>
      <c r="B4" s="41" t="s">
        <v>134</v>
      </c>
      <c r="C4" s="39">
        <v>994</v>
      </c>
      <c r="D4" s="38" t="s">
        <v>135</v>
      </c>
      <c r="F4" s="40"/>
      <c r="G4" s="41" t="s">
        <v>134</v>
      </c>
      <c r="H4" s="39">
        <v>12242</v>
      </c>
      <c r="I4" s="38" t="s">
        <v>136</v>
      </c>
      <c r="K4" s="40"/>
      <c r="L4" s="41" t="s">
        <v>134</v>
      </c>
      <c r="M4" s="39">
        <v>1491</v>
      </c>
      <c r="N4" s="38" t="s">
        <v>137</v>
      </c>
      <c r="P4" s="40"/>
      <c r="Q4" s="41" t="s">
        <v>134</v>
      </c>
      <c r="R4" s="39">
        <v>1739.5</v>
      </c>
      <c r="S4" s="38" t="s">
        <v>138</v>
      </c>
    </row>
    <row r="5" ht="15.6" spans="1:19">
      <c r="A5" s="40"/>
      <c r="B5" s="36" t="s">
        <v>139</v>
      </c>
      <c r="C5" s="39">
        <v>0</v>
      </c>
      <c r="D5" s="42"/>
      <c r="F5" s="40"/>
      <c r="G5" s="41" t="s">
        <v>140</v>
      </c>
      <c r="H5" s="39">
        <v>0</v>
      </c>
      <c r="I5" s="42"/>
      <c r="K5" s="40"/>
      <c r="L5" s="41" t="s">
        <v>140</v>
      </c>
      <c r="M5" s="39">
        <v>0</v>
      </c>
      <c r="N5" s="42"/>
      <c r="P5" s="40"/>
      <c r="Q5" s="41" t="s">
        <v>140</v>
      </c>
      <c r="R5" s="39"/>
      <c r="S5" s="42"/>
    </row>
    <row r="6" ht="15.6" spans="1:19">
      <c r="A6" s="43"/>
      <c r="B6" s="44" t="s">
        <v>141</v>
      </c>
      <c r="C6" s="45">
        <f>C3+C4</f>
        <v>1833.86</v>
      </c>
      <c r="D6" s="38"/>
      <c r="F6" s="43"/>
      <c r="G6" s="44" t="s">
        <v>141</v>
      </c>
      <c r="H6" s="45">
        <f>SUM(H2:H5)</f>
        <v>12661.93</v>
      </c>
      <c r="I6" s="38"/>
      <c r="K6" s="43"/>
      <c r="L6" s="44" t="s">
        <v>141</v>
      </c>
      <c r="M6" s="45">
        <f>SUM(M2:M5)</f>
        <v>1910.93</v>
      </c>
      <c r="N6" s="38"/>
      <c r="P6" s="43"/>
      <c r="Q6" s="44" t="s">
        <v>141</v>
      </c>
      <c r="R6" s="45">
        <f>SUM(R2:R5)</f>
        <v>2159.43</v>
      </c>
      <c r="S6" s="38"/>
    </row>
    <row r="8" spans="2:2">
      <c r="B8" s="46"/>
    </row>
    <row r="9" ht="54" customHeight="1" spans="1:8">
      <c r="A9" s="47" t="s">
        <v>125</v>
      </c>
      <c r="B9" s="47" t="s">
        <v>142</v>
      </c>
      <c r="C9" s="47" t="s">
        <v>143</v>
      </c>
      <c r="D9" s="48" t="s">
        <v>144</v>
      </c>
      <c r="E9" s="48" t="s">
        <v>145</v>
      </c>
      <c r="F9" s="48" t="s">
        <v>146</v>
      </c>
      <c r="G9" s="49" t="s">
        <v>85</v>
      </c>
      <c r="H9" s="50"/>
    </row>
    <row r="10" ht="15.6" spans="1:7">
      <c r="A10" s="51" t="s">
        <v>86</v>
      </c>
      <c r="B10" s="41">
        <v>47</v>
      </c>
      <c r="C10" s="52">
        <f>B10*80%</f>
        <v>37.6</v>
      </c>
      <c r="D10" s="52">
        <f>B10-C10</f>
        <v>9.4</v>
      </c>
      <c r="E10" s="53">
        <f>C10*$K$24</f>
        <v>5302.17152</v>
      </c>
      <c r="F10" s="53">
        <f>D10*$K$25</f>
        <v>969.18512</v>
      </c>
      <c r="G10" s="54">
        <f>F10+E10</f>
        <v>6271.35664</v>
      </c>
    </row>
    <row r="11" ht="15.6" spans="1:7">
      <c r="A11" s="51" t="s">
        <v>87</v>
      </c>
      <c r="B11" s="41">
        <v>58</v>
      </c>
      <c r="C11" s="52">
        <f>B11*80%</f>
        <v>46.4</v>
      </c>
      <c r="D11" s="52">
        <f t="shared" ref="D10:D13" si="0">B11-C11</f>
        <v>11.6</v>
      </c>
      <c r="E11" s="53">
        <f>C11*$K$24</f>
        <v>6543.10528</v>
      </c>
      <c r="F11" s="53">
        <f>D11*$K$25</f>
        <v>1196.01568</v>
      </c>
      <c r="G11" s="54">
        <f>F11+E11</f>
        <v>7739.12096</v>
      </c>
    </row>
    <row r="12" ht="15.6" spans="1:7">
      <c r="A12" s="51" t="s">
        <v>88</v>
      </c>
      <c r="B12" s="41">
        <v>90</v>
      </c>
      <c r="C12" s="52">
        <f>B12*80%</f>
        <v>72</v>
      </c>
      <c r="D12" s="52">
        <f t="shared" si="0"/>
        <v>18</v>
      </c>
      <c r="E12" s="53">
        <f>C12*$K$24</f>
        <v>10153.0944</v>
      </c>
      <c r="F12" s="53">
        <f>D12*$K$25</f>
        <v>1855.8864</v>
      </c>
      <c r="G12" s="54">
        <f>F12+E12</f>
        <v>12008.9808</v>
      </c>
    </row>
    <row r="13" ht="15.6" spans="1:7">
      <c r="A13" s="51" t="s">
        <v>88</v>
      </c>
      <c r="B13" s="41">
        <v>99</v>
      </c>
      <c r="C13" s="52">
        <f>B13*80%</f>
        <v>79.2</v>
      </c>
      <c r="D13" s="52">
        <f t="shared" si="0"/>
        <v>19.8</v>
      </c>
      <c r="E13" s="53">
        <f>C13*$K$24</f>
        <v>11168.40384</v>
      </c>
      <c r="F13" s="53">
        <f>D13*$K$25</f>
        <v>2041.47504</v>
      </c>
      <c r="G13" s="54">
        <f>F13+E13</f>
        <v>13209.87888</v>
      </c>
    </row>
    <row r="14" ht="15.6" spans="1:7">
      <c r="A14" s="55"/>
      <c r="B14" s="41"/>
      <c r="C14" s="41"/>
      <c r="D14" s="56"/>
      <c r="E14" s="54"/>
      <c r="F14" s="57" t="s">
        <v>147</v>
      </c>
      <c r="G14" s="58">
        <f>SUM(G10:G13)</f>
        <v>39229.33728</v>
      </c>
    </row>
    <row r="16" spans="4:4">
      <c r="D16" s="59"/>
    </row>
    <row r="17" ht="15.6" spans="1:2">
      <c r="A17" s="60" t="s">
        <v>148</v>
      </c>
      <c r="B17" s="61">
        <f>C3+H3+M3+R3</f>
        <v>2099.65</v>
      </c>
    </row>
    <row r="18" ht="15.6" spans="1:2">
      <c r="A18" s="60" t="s">
        <v>149</v>
      </c>
      <c r="B18" s="61">
        <f>(C4+H4+M4+R4)</f>
        <v>16466.5</v>
      </c>
    </row>
    <row r="19" ht="15.6" spans="1:2">
      <c r="A19" s="60" t="s">
        <v>150</v>
      </c>
      <c r="B19" s="61">
        <f>(C5+H5+M5+R5)</f>
        <v>0</v>
      </c>
    </row>
    <row r="20" ht="15.6" spans="1:2">
      <c r="A20" s="62" t="s">
        <v>151</v>
      </c>
      <c r="B20" s="63">
        <f>B17+B18+B19</f>
        <v>18566.15</v>
      </c>
    </row>
    <row r="22" ht="15.6" spans="1:7">
      <c r="A22" s="64"/>
      <c r="B22" s="65"/>
      <c r="C22" s="65"/>
      <c r="D22" s="66"/>
      <c r="E22" s="67"/>
      <c r="F22" s="68"/>
      <c r="G22" s="67"/>
    </row>
    <row r="23" ht="43.2" spans="1:13">
      <c r="A23" s="69" t="s">
        <v>152</v>
      </c>
      <c r="B23" s="69" t="s">
        <v>153</v>
      </c>
      <c r="C23" s="70" t="s">
        <v>154</v>
      </c>
      <c r="D23" s="70" t="s">
        <v>155</v>
      </c>
      <c r="E23" s="69" t="s">
        <v>156</v>
      </c>
      <c r="F23" s="69" t="s">
        <v>157</v>
      </c>
      <c r="G23" s="70" t="s">
        <v>158</v>
      </c>
      <c r="H23" s="69" t="s">
        <v>159</v>
      </c>
      <c r="I23" s="70" t="s">
        <v>160</v>
      </c>
      <c r="J23" s="69" t="s">
        <v>161</v>
      </c>
      <c r="K23" s="77" t="s">
        <v>85</v>
      </c>
      <c r="L23" s="77" t="s">
        <v>162</v>
      </c>
      <c r="M23" s="69" t="s">
        <v>163</v>
      </c>
    </row>
    <row r="24" ht="17.4" spans="1:13">
      <c r="A24" s="71" t="s">
        <v>164</v>
      </c>
      <c r="B24" s="72">
        <v>59.99</v>
      </c>
      <c r="C24" s="73">
        <f>B24*$M$24</f>
        <v>430.7282</v>
      </c>
      <c r="D24" s="71">
        <v>60</v>
      </c>
      <c r="E24" s="71">
        <v>13</v>
      </c>
      <c r="F24" s="74">
        <v>0.05</v>
      </c>
      <c r="G24" s="71">
        <f>3.84*$M$24</f>
        <v>27.5712</v>
      </c>
      <c r="H24" s="73">
        <f>C24*13%</f>
        <v>55.994666</v>
      </c>
      <c r="I24" s="71">
        <v>2</v>
      </c>
      <c r="J24" s="74">
        <v>0.05</v>
      </c>
      <c r="K24" s="78">
        <f>19.64*$M$24</f>
        <v>141.0152</v>
      </c>
      <c r="L24" s="79">
        <f>K24/C24</f>
        <v>0.327387897982997</v>
      </c>
      <c r="M24" s="71">
        <v>7.18</v>
      </c>
    </row>
    <row r="25" ht="17.4" spans="1:13">
      <c r="A25" s="71" t="s">
        <v>165</v>
      </c>
      <c r="B25" s="72">
        <v>49.99</v>
      </c>
      <c r="C25" s="73">
        <f>B25*$M$24</f>
        <v>358.9282</v>
      </c>
      <c r="D25" s="71">
        <v>60</v>
      </c>
      <c r="E25" s="71">
        <v>13</v>
      </c>
      <c r="F25" s="74">
        <v>0.05</v>
      </c>
      <c r="G25" s="71">
        <f>3.84*$M$24</f>
        <v>27.5712</v>
      </c>
      <c r="H25" s="73">
        <f>C25*13%</f>
        <v>46.660666</v>
      </c>
      <c r="I25" s="71">
        <v>2</v>
      </c>
      <c r="J25" s="74">
        <v>0.05</v>
      </c>
      <c r="K25" s="78">
        <f>14.36*$M$24</f>
        <v>103.1048</v>
      </c>
      <c r="L25" s="79">
        <f>K25/C25</f>
        <v>0.287257451490298</v>
      </c>
      <c r="M25" s="71"/>
    </row>
    <row r="26" ht="17.4" spans="1:13">
      <c r="A26" s="71" t="s">
        <v>166</v>
      </c>
      <c r="B26" s="72">
        <v>45.99</v>
      </c>
      <c r="C26" s="73">
        <f>B26*$M$24</f>
        <v>330.2082</v>
      </c>
      <c r="D26" s="71">
        <v>60</v>
      </c>
      <c r="E26" s="71">
        <v>13</v>
      </c>
      <c r="F26" s="74">
        <v>0.05</v>
      </c>
      <c r="G26" s="71">
        <f>3.84*$M$24</f>
        <v>27.5712</v>
      </c>
      <c r="H26" s="73">
        <f>C26*13%</f>
        <v>42.927066</v>
      </c>
      <c r="I26" s="71">
        <v>2</v>
      </c>
      <c r="J26" s="74">
        <v>0.05</v>
      </c>
      <c r="K26" s="78">
        <f>12.25*$M$24</f>
        <v>87.955</v>
      </c>
      <c r="L26" s="79">
        <f>K26/C26</f>
        <v>0.266362252663623</v>
      </c>
      <c r="M26" s="71"/>
    </row>
    <row r="27" ht="17.4" spans="1:13">
      <c r="A27" s="71" t="s">
        <v>167</v>
      </c>
      <c r="B27" s="72">
        <v>55.99</v>
      </c>
      <c r="C27" s="73">
        <f>B27*$M$24</f>
        <v>402.0082</v>
      </c>
      <c r="D27" s="71">
        <v>60</v>
      </c>
      <c r="E27" s="71">
        <v>13</v>
      </c>
      <c r="F27" s="74">
        <v>0.05</v>
      </c>
      <c r="G27" s="71">
        <f>3.84*$M$24</f>
        <v>27.5712</v>
      </c>
      <c r="H27" s="73">
        <f>C27*13%</f>
        <v>52.261066</v>
      </c>
      <c r="I27" s="71">
        <v>2</v>
      </c>
      <c r="J27" s="74">
        <v>0.05</v>
      </c>
      <c r="K27" s="78">
        <f>17.53*$M$24</f>
        <v>125.8654</v>
      </c>
      <c r="L27" s="79">
        <f>K27/C27</f>
        <v>0.313091623504197</v>
      </c>
      <c r="M27" s="71"/>
    </row>
    <row r="29" ht="20.4" spans="1:4">
      <c r="A29" s="75" t="s">
        <v>168</v>
      </c>
      <c r="B29" s="75"/>
      <c r="C29" s="75"/>
      <c r="D29" s="75"/>
    </row>
    <row r="30" ht="15.6" spans="1:4">
      <c r="A30" s="76" t="s">
        <v>169</v>
      </c>
      <c r="B30" s="76" t="s">
        <v>170</v>
      </c>
      <c r="C30" s="76" t="s">
        <v>171</v>
      </c>
      <c r="D30" s="76" t="s">
        <v>172</v>
      </c>
    </row>
    <row r="31" ht="17.4" spans="1:4">
      <c r="A31" s="73">
        <v>3</v>
      </c>
      <c r="B31" s="73">
        <v>0</v>
      </c>
      <c r="C31" s="73">
        <v>0</v>
      </c>
      <c r="D31" s="73">
        <v>0</v>
      </c>
    </row>
  </sheetData>
  <sheetProtection formatCells="0" insertHyperlinks="0" autoFilter="0"/>
  <mergeCells count="5">
    <mergeCell ref="A29:D29"/>
    <mergeCell ref="A2:A6"/>
    <mergeCell ref="F2:F6"/>
    <mergeCell ref="K2:K6"/>
    <mergeCell ref="P2:P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13"/>
  <sheetViews>
    <sheetView workbookViewId="0">
      <selection activeCell="H8" sqref="H8"/>
    </sheetView>
  </sheetViews>
  <sheetFormatPr defaultColWidth="9" defaultRowHeight="13.8"/>
  <cols>
    <col min="1" max="1" width="11" style="19" customWidth="1"/>
    <col min="2" max="2" width="25.75" style="19" customWidth="1"/>
    <col min="3" max="3" width="28.75" style="19" customWidth="1"/>
    <col min="4" max="4" width="12.3796296296296" style="19" customWidth="1"/>
    <col min="5" max="5" width="13.1296296296296" style="19" customWidth="1"/>
    <col min="6" max="6" width="13.1296296296296" style="20" customWidth="1"/>
    <col min="7" max="8" width="9" style="19"/>
    <col min="9" max="9" width="15.1296296296296" style="19" customWidth="1"/>
    <col min="10" max="10" width="26" style="19" customWidth="1"/>
    <col min="11" max="12" width="12.6296296296296" style="19"/>
    <col min="13" max="13" width="9" style="19"/>
    <col min="14" max="14" width="12.6296296296296" style="19"/>
    <col min="15" max="16384" width="9" style="19"/>
  </cols>
  <sheetData>
    <row r="1" ht="43.5" customHeight="1" spans="1:10">
      <c r="A1" s="21" t="s">
        <v>173</v>
      </c>
      <c r="B1" s="21" t="s">
        <v>174</v>
      </c>
      <c r="C1" s="21" t="s">
        <v>175</v>
      </c>
      <c r="D1" s="21" t="s">
        <v>176</v>
      </c>
      <c r="E1" s="21" t="s">
        <v>177</v>
      </c>
      <c r="F1" s="22" t="s">
        <v>178</v>
      </c>
      <c r="G1" s="21" t="s">
        <v>113</v>
      </c>
      <c r="H1" s="21" t="s">
        <v>179</v>
      </c>
      <c r="I1" s="21" t="s">
        <v>180</v>
      </c>
      <c r="J1" s="21" t="s">
        <v>181</v>
      </c>
    </row>
    <row r="2" ht="107" customHeight="1" spans="1:10">
      <c r="A2" s="23" t="s">
        <v>86</v>
      </c>
      <c r="B2" s="24"/>
      <c r="C2" s="24"/>
      <c r="D2" s="25"/>
      <c r="E2" s="25"/>
      <c r="F2" s="26"/>
      <c r="G2" s="25"/>
      <c r="H2" s="25"/>
      <c r="I2" s="24"/>
      <c r="J2" s="24"/>
    </row>
    <row r="3" ht="129" customHeight="1" spans="1:10">
      <c r="A3" s="23" t="s">
        <v>87</v>
      </c>
      <c r="B3" s="24"/>
      <c r="C3" s="24"/>
      <c r="D3" s="27"/>
      <c r="E3" s="27"/>
      <c r="F3" s="26"/>
      <c r="G3" s="25"/>
      <c r="H3" s="25"/>
      <c r="I3" s="24"/>
      <c r="J3" s="24"/>
    </row>
    <row r="4" ht="95" customHeight="1" spans="1:10">
      <c r="A4" s="23" t="s">
        <v>88</v>
      </c>
      <c r="B4" s="24"/>
      <c r="C4" s="24"/>
      <c r="D4" s="28"/>
      <c r="E4" s="25"/>
      <c r="F4" s="29"/>
      <c r="G4" s="28"/>
      <c r="H4" s="25"/>
      <c r="I4" s="24"/>
      <c r="J4" s="24"/>
    </row>
    <row r="5" ht="88" customHeight="1" spans="1:10">
      <c r="A5" s="23" t="s">
        <v>89</v>
      </c>
      <c r="B5" s="24"/>
      <c r="C5" s="24"/>
      <c r="D5" s="28"/>
      <c r="E5" s="25"/>
      <c r="F5" s="29"/>
      <c r="G5" s="28"/>
      <c r="H5" s="25"/>
      <c r="I5" s="24"/>
      <c r="J5" s="24"/>
    </row>
    <row r="6" spans="12:12">
      <c r="L6" s="19" t="s">
        <v>182</v>
      </c>
    </row>
    <row r="10" spans="11:14">
      <c r="K10" s="30"/>
      <c r="L10" s="30"/>
      <c r="M10" s="30"/>
      <c r="N10" s="30"/>
    </row>
    <row r="11" spans="11:14">
      <c r="K11" s="30"/>
      <c r="L11" s="30"/>
      <c r="M11" s="30"/>
      <c r="N11" s="30"/>
    </row>
    <row r="12" spans="11:14">
      <c r="K12" s="30"/>
      <c r="L12" s="30"/>
      <c r="M12" s="30"/>
      <c r="N12" s="30"/>
    </row>
    <row r="13" spans="11:14">
      <c r="K13" s="30"/>
      <c r="L13" s="30"/>
      <c r="M13" s="30"/>
      <c r="N13" s="30"/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76"/>
  <sheetViews>
    <sheetView tabSelected="1" workbookViewId="0">
      <selection activeCell="B19" sqref="B19"/>
    </sheetView>
  </sheetViews>
  <sheetFormatPr defaultColWidth="36.287037037037" defaultRowHeight="28" customHeight="1" outlineLevelCol="5"/>
  <cols>
    <col min="1" max="1" width="12.9537037037037" style="2" customWidth="1"/>
    <col min="2" max="2" width="36.25" style="2" customWidth="1"/>
    <col min="3" max="3" width="26.9444444444444" style="2" customWidth="1"/>
    <col min="4" max="4" width="25.4166666666667" style="2" customWidth="1"/>
    <col min="5" max="5" width="36.287037037037" style="2" customWidth="1"/>
    <col min="6" max="6" width="34.3796296296296" style="2" customWidth="1"/>
    <col min="7" max="16384" width="36.287037037037" style="2" customWidth="1"/>
  </cols>
  <sheetData>
    <row r="1" s="1" customFormat="1" ht="50" customHeight="1" spans="1:6">
      <c r="A1" s="3" t="s">
        <v>183</v>
      </c>
      <c r="B1" s="3"/>
      <c r="C1" s="3"/>
      <c r="D1" s="3"/>
      <c r="E1" s="3"/>
      <c r="F1" s="4" t="s">
        <v>184</v>
      </c>
    </row>
    <row r="2" s="2" customFormat="1" customHeight="1" spans="1:6">
      <c r="A2" s="5" t="s">
        <v>185</v>
      </c>
      <c r="B2" s="6" t="s">
        <v>186</v>
      </c>
      <c r="C2" s="7" t="s">
        <v>187</v>
      </c>
      <c r="D2" s="7" t="s">
        <v>188</v>
      </c>
      <c r="E2" s="8" t="s">
        <v>189</v>
      </c>
      <c r="F2" s="9"/>
    </row>
    <row r="3" s="2" customFormat="1" customHeight="1" spans="1:6">
      <c r="A3" s="10">
        <v>1</v>
      </c>
      <c r="B3" s="11"/>
      <c r="C3" s="12" t="s">
        <v>190</v>
      </c>
      <c r="D3" s="13" t="s">
        <v>191</v>
      </c>
      <c r="E3" s="10" t="s">
        <v>192</v>
      </c>
      <c r="F3" s="9"/>
    </row>
    <row r="4" s="2" customFormat="1" customHeight="1" spans="1:6">
      <c r="A4" s="10">
        <v>2</v>
      </c>
      <c r="B4" s="11"/>
      <c r="C4" s="14" t="s">
        <v>193</v>
      </c>
      <c r="D4" s="15" t="s">
        <v>194</v>
      </c>
      <c r="E4" s="10" t="s">
        <v>192</v>
      </c>
      <c r="F4" s="9"/>
    </row>
    <row r="5" s="2" customFormat="1" customHeight="1" spans="1:6">
      <c r="A5" s="10">
        <v>3</v>
      </c>
      <c r="B5" s="11"/>
      <c r="C5" s="14" t="s">
        <v>195</v>
      </c>
      <c r="D5" s="15" t="s">
        <v>191</v>
      </c>
      <c r="E5" s="10" t="s">
        <v>192</v>
      </c>
      <c r="F5" s="9"/>
    </row>
    <row r="6" s="2" customFormat="1" customHeight="1" spans="1:6">
      <c r="A6" s="10">
        <v>4</v>
      </c>
      <c r="B6" s="16"/>
      <c r="C6" s="14" t="s">
        <v>193</v>
      </c>
      <c r="D6" s="15" t="s">
        <v>194</v>
      </c>
      <c r="E6" s="10" t="s">
        <v>192</v>
      </c>
      <c r="F6" s="9"/>
    </row>
    <row r="7" s="2" customFormat="1" customHeight="1" spans="1:6">
      <c r="A7" s="10">
        <v>5</v>
      </c>
      <c r="B7" s="11"/>
      <c r="C7" s="14" t="s">
        <v>196</v>
      </c>
      <c r="D7" s="15" t="s">
        <v>191</v>
      </c>
      <c r="E7" s="10" t="s">
        <v>192</v>
      </c>
      <c r="F7" s="9"/>
    </row>
    <row r="8" s="2" customFormat="1" customHeight="1" spans="1:6">
      <c r="A8" s="10">
        <v>7</v>
      </c>
      <c r="B8" s="11"/>
      <c r="C8" s="14" t="s">
        <v>193</v>
      </c>
      <c r="D8" s="15" t="s">
        <v>194</v>
      </c>
      <c r="E8" s="10" t="s">
        <v>192</v>
      </c>
      <c r="F8" s="9"/>
    </row>
    <row r="9" s="2" customFormat="1" customHeight="1" spans="1:6">
      <c r="A9" s="10">
        <v>8</v>
      </c>
      <c r="B9" s="11"/>
      <c r="C9" s="14" t="s">
        <v>196</v>
      </c>
      <c r="D9" s="15" t="s">
        <v>191</v>
      </c>
      <c r="E9" s="10" t="s">
        <v>192</v>
      </c>
      <c r="F9" s="9"/>
    </row>
    <row r="10" s="2" customFormat="1" customHeight="1" spans="1:6">
      <c r="A10" s="10">
        <v>9</v>
      </c>
      <c r="B10" s="11"/>
      <c r="C10" s="14" t="s">
        <v>196</v>
      </c>
      <c r="D10" s="15" t="s">
        <v>191</v>
      </c>
      <c r="E10" s="10" t="s">
        <v>192</v>
      </c>
      <c r="F10" s="9"/>
    </row>
    <row r="11" s="2" customFormat="1" customHeight="1" spans="1:6">
      <c r="A11" s="10">
        <v>10</v>
      </c>
      <c r="B11" s="11"/>
      <c r="C11" s="14" t="s">
        <v>196</v>
      </c>
      <c r="D11" s="15" t="s">
        <v>197</v>
      </c>
      <c r="E11" s="10" t="s">
        <v>192</v>
      </c>
      <c r="F11" s="9"/>
    </row>
    <row r="12" s="2" customFormat="1" customHeight="1" spans="1:6">
      <c r="A12" s="10">
        <v>11</v>
      </c>
      <c r="B12" s="11"/>
      <c r="C12" s="14" t="s">
        <v>196</v>
      </c>
      <c r="D12" s="15" t="s">
        <v>191</v>
      </c>
      <c r="E12" s="10" t="s">
        <v>192</v>
      </c>
      <c r="F12" s="9"/>
    </row>
    <row r="13" s="2" customFormat="1" customHeight="1" spans="1:6">
      <c r="A13" s="10">
        <v>12</v>
      </c>
      <c r="B13" s="11"/>
      <c r="C13" s="14" t="s">
        <v>193</v>
      </c>
      <c r="D13" s="15" t="s">
        <v>194</v>
      </c>
      <c r="E13" s="10" t="s">
        <v>198</v>
      </c>
      <c r="F13" s="9"/>
    </row>
    <row r="14" s="2" customFormat="1" customHeight="1" spans="1:6">
      <c r="A14" s="10">
        <v>13</v>
      </c>
      <c r="B14" s="11"/>
      <c r="C14" s="14" t="s">
        <v>196</v>
      </c>
      <c r="D14" s="13" t="s">
        <v>194</v>
      </c>
      <c r="E14" s="10" t="s">
        <v>198</v>
      </c>
      <c r="F14" s="9"/>
    </row>
    <row r="15" s="2" customFormat="1" customHeight="1" spans="1:6">
      <c r="A15" s="10">
        <v>14</v>
      </c>
      <c r="B15" s="11"/>
      <c r="C15" s="14" t="s">
        <v>196</v>
      </c>
      <c r="D15" s="15" t="s">
        <v>191</v>
      </c>
      <c r="E15" s="10" t="s">
        <v>192</v>
      </c>
      <c r="F15" s="9"/>
    </row>
    <row r="16" s="2" customFormat="1" customHeight="1" spans="1:6">
      <c r="A16" s="10">
        <v>15</v>
      </c>
      <c r="B16" s="11"/>
      <c r="C16" s="14" t="s">
        <v>196</v>
      </c>
      <c r="D16" s="13" t="s">
        <v>197</v>
      </c>
      <c r="E16" s="10" t="s">
        <v>192</v>
      </c>
      <c r="F16" s="9"/>
    </row>
    <row r="17" s="2" customFormat="1" customHeight="1" spans="1:6">
      <c r="A17" s="10">
        <v>16</v>
      </c>
      <c r="B17" s="11"/>
      <c r="C17" s="15" t="s">
        <v>193</v>
      </c>
      <c r="D17" s="13" t="s">
        <v>194</v>
      </c>
      <c r="E17" s="10" t="s">
        <v>198</v>
      </c>
      <c r="F17" s="9"/>
    </row>
    <row r="18" s="2" customFormat="1" customHeight="1" spans="1:6">
      <c r="A18" s="10">
        <v>17</v>
      </c>
      <c r="B18" s="16"/>
      <c r="C18" s="14" t="s">
        <v>196</v>
      </c>
      <c r="D18" s="15" t="s">
        <v>191</v>
      </c>
      <c r="E18" s="10" t="s">
        <v>192</v>
      </c>
      <c r="F18" s="9"/>
    </row>
    <row r="19" s="2" customFormat="1" customHeight="1" spans="1:6">
      <c r="A19" s="10">
        <v>18</v>
      </c>
      <c r="B19" s="11"/>
      <c r="C19" s="14" t="s">
        <v>196</v>
      </c>
      <c r="D19" s="13" t="s">
        <v>197</v>
      </c>
      <c r="E19" s="10" t="s">
        <v>192</v>
      </c>
      <c r="F19" s="9"/>
    </row>
    <row r="20" s="2" customFormat="1" customHeight="1" spans="1:6">
      <c r="A20" s="10">
        <v>19</v>
      </c>
      <c r="B20" s="11"/>
      <c r="C20" s="15" t="s">
        <v>193</v>
      </c>
      <c r="D20" s="13" t="s">
        <v>191</v>
      </c>
      <c r="E20" s="10" t="s">
        <v>192</v>
      </c>
      <c r="F20" s="9"/>
    </row>
    <row r="21" s="2" customFormat="1" customHeight="1" spans="1:6">
      <c r="A21" s="10">
        <v>20</v>
      </c>
      <c r="B21" s="11"/>
      <c r="C21" s="15" t="s">
        <v>193</v>
      </c>
      <c r="D21" s="13" t="s">
        <v>194</v>
      </c>
      <c r="E21" s="10" t="s">
        <v>198</v>
      </c>
      <c r="F21" s="9"/>
    </row>
    <row r="22" s="2" customFormat="1" customHeight="1" spans="1:6">
      <c r="A22" s="10">
        <v>21</v>
      </c>
      <c r="B22" s="11"/>
      <c r="C22" s="15" t="s">
        <v>193</v>
      </c>
      <c r="D22" s="13" t="s">
        <v>191</v>
      </c>
      <c r="E22" s="10" t="s">
        <v>192</v>
      </c>
      <c r="F22" s="9"/>
    </row>
    <row r="23" s="2" customFormat="1" customHeight="1" spans="1:6">
      <c r="A23" s="10">
        <v>22</v>
      </c>
      <c r="B23" s="11"/>
      <c r="C23" s="15" t="s">
        <v>196</v>
      </c>
      <c r="D23" s="13" t="s">
        <v>194</v>
      </c>
      <c r="E23" s="10" t="s">
        <v>198</v>
      </c>
      <c r="F23" s="9"/>
    </row>
    <row r="24" s="2" customFormat="1" customHeight="1" spans="1:6">
      <c r="A24" s="10">
        <v>23</v>
      </c>
      <c r="B24" s="11"/>
      <c r="C24" s="15" t="s">
        <v>196</v>
      </c>
      <c r="D24" s="13" t="s">
        <v>191</v>
      </c>
      <c r="E24" s="10" t="s">
        <v>192</v>
      </c>
      <c r="F24" s="9"/>
    </row>
    <row r="25" s="2" customFormat="1" customHeight="1" spans="1:6">
      <c r="A25" s="10">
        <v>24</v>
      </c>
      <c r="B25" s="11"/>
      <c r="C25" s="15" t="s">
        <v>196</v>
      </c>
      <c r="D25" s="13" t="s">
        <v>194</v>
      </c>
      <c r="E25" s="10" t="s">
        <v>192</v>
      </c>
      <c r="F25" s="9"/>
    </row>
    <row r="26" s="2" customFormat="1" customHeight="1" spans="1:6">
      <c r="A26" s="10">
        <v>25</v>
      </c>
      <c r="B26" s="11"/>
      <c r="C26" s="15" t="s">
        <v>193</v>
      </c>
      <c r="D26" s="13" t="s">
        <v>197</v>
      </c>
      <c r="E26" s="10" t="s">
        <v>198</v>
      </c>
      <c r="F26" s="9"/>
    </row>
    <row r="27" s="2" customFormat="1" customHeight="1" spans="1:6">
      <c r="A27" s="10">
        <v>26</v>
      </c>
      <c r="B27" s="11"/>
      <c r="C27" s="15" t="s">
        <v>193</v>
      </c>
      <c r="D27" s="13" t="s">
        <v>197</v>
      </c>
      <c r="E27" s="10" t="s">
        <v>198</v>
      </c>
      <c r="F27" s="9"/>
    </row>
    <row r="28" s="2" customFormat="1" customHeight="1" spans="1:6">
      <c r="A28" s="10">
        <v>27</v>
      </c>
      <c r="B28" s="11"/>
      <c r="C28" s="15" t="s">
        <v>193</v>
      </c>
      <c r="D28" s="13" t="s">
        <v>194</v>
      </c>
      <c r="E28" s="10" t="s">
        <v>198</v>
      </c>
      <c r="F28" s="9"/>
    </row>
    <row r="29" s="2" customFormat="1" customHeight="1" spans="1:6">
      <c r="A29" s="10">
        <v>28</v>
      </c>
      <c r="B29" s="11"/>
      <c r="C29" s="15" t="s">
        <v>193</v>
      </c>
      <c r="D29" s="13" t="s">
        <v>194</v>
      </c>
      <c r="E29" s="10" t="s">
        <v>198</v>
      </c>
      <c r="F29" s="9"/>
    </row>
    <row r="30" s="2" customFormat="1" customHeight="1" spans="1:6">
      <c r="A30" s="10">
        <v>29</v>
      </c>
      <c r="B30" s="16"/>
      <c r="C30" s="15" t="s">
        <v>196</v>
      </c>
      <c r="D30" s="13" t="s">
        <v>194</v>
      </c>
      <c r="E30" s="10" t="s">
        <v>198</v>
      </c>
      <c r="F30" s="9"/>
    </row>
    <row r="31" s="2" customFormat="1" customHeight="1" spans="1:6">
      <c r="A31" s="10">
        <v>30</v>
      </c>
      <c r="B31" s="11"/>
      <c r="C31" s="15" t="s">
        <v>196</v>
      </c>
      <c r="D31" s="13" t="s">
        <v>197</v>
      </c>
      <c r="E31" s="10" t="s">
        <v>198</v>
      </c>
      <c r="F31" s="9"/>
    </row>
    <row r="32" s="2" customFormat="1" customHeight="1" spans="1:6">
      <c r="A32" s="10">
        <v>31</v>
      </c>
      <c r="B32" s="11"/>
      <c r="C32" s="15" t="s">
        <v>196</v>
      </c>
      <c r="D32" s="13" t="s">
        <v>197</v>
      </c>
      <c r="E32" s="10" t="s">
        <v>192</v>
      </c>
      <c r="F32" s="9"/>
    </row>
    <row r="33" s="2" customFormat="1" customHeight="1" spans="1:6">
      <c r="A33" s="10">
        <v>32</v>
      </c>
      <c r="B33" s="11"/>
      <c r="C33" s="15" t="s">
        <v>193</v>
      </c>
      <c r="D33" s="13" t="s">
        <v>191</v>
      </c>
      <c r="E33" s="10" t="s">
        <v>192</v>
      </c>
      <c r="F33" s="9"/>
    </row>
    <row r="34" s="2" customFormat="1" customHeight="1" spans="1:6">
      <c r="A34" s="10">
        <v>33</v>
      </c>
      <c r="B34" s="11"/>
      <c r="C34" s="15" t="s">
        <v>193</v>
      </c>
      <c r="D34" s="13" t="s">
        <v>197</v>
      </c>
      <c r="E34" s="10" t="s">
        <v>192</v>
      </c>
      <c r="F34" s="9"/>
    </row>
    <row r="35" customHeight="1" spans="1:5">
      <c r="A35" s="10">
        <v>34</v>
      </c>
      <c r="B35" s="11"/>
      <c r="C35" s="15" t="s">
        <v>193</v>
      </c>
      <c r="D35" s="13" t="s">
        <v>194</v>
      </c>
      <c r="E35" s="13" t="s">
        <v>192</v>
      </c>
    </row>
    <row r="36" customHeight="1" spans="1:5">
      <c r="A36" s="13">
        <v>35</v>
      </c>
      <c r="B36" s="17"/>
      <c r="C36" s="13"/>
      <c r="D36" s="13"/>
      <c r="E36" s="13"/>
    </row>
    <row r="37" customHeight="1" spans="1:5">
      <c r="A37" s="13">
        <v>36</v>
      </c>
      <c r="B37" s="18"/>
      <c r="C37" s="13"/>
      <c r="D37" s="13"/>
      <c r="E37" s="13"/>
    </row>
    <row r="38" customHeight="1" spans="1:5">
      <c r="A38" s="13">
        <v>37</v>
      </c>
      <c r="B38" s="18"/>
      <c r="C38" s="13"/>
      <c r="D38" s="13"/>
      <c r="E38" s="13"/>
    </row>
    <row r="39" customHeight="1" spans="1:5">
      <c r="A39" s="13">
        <v>38</v>
      </c>
      <c r="B39" s="18"/>
      <c r="C39" s="13"/>
      <c r="D39" s="13"/>
      <c r="E39" s="13"/>
    </row>
    <row r="40" customHeight="1" spans="1:5">
      <c r="A40" s="13">
        <v>39</v>
      </c>
      <c r="B40" s="18"/>
      <c r="C40" s="13"/>
      <c r="D40" s="13"/>
      <c r="E40" s="13"/>
    </row>
    <row r="41" customHeight="1" spans="1:5">
      <c r="A41" s="13">
        <v>40</v>
      </c>
      <c r="B41" s="18"/>
      <c r="C41" s="13"/>
      <c r="D41" s="13"/>
      <c r="E41" s="13"/>
    </row>
    <row r="42" customHeight="1" spans="1:5">
      <c r="A42" s="13">
        <v>41</v>
      </c>
      <c r="B42" s="18"/>
      <c r="C42" s="13"/>
      <c r="D42" s="13"/>
      <c r="E42" s="13"/>
    </row>
    <row r="43" customHeight="1" spans="1:5">
      <c r="A43" s="13">
        <v>42</v>
      </c>
      <c r="B43" s="18"/>
      <c r="C43" s="13"/>
      <c r="D43" s="13"/>
      <c r="E43" s="13"/>
    </row>
    <row r="44" customHeight="1" spans="1:5">
      <c r="A44" s="13">
        <v>43</v>
      </c>
      <c r="B44" s="18"/>
      <c r="C44" s="13"/>
      <c r="D44" s="13"/>
      <c r="E44" s="13"/>
    </row>
    <row r="45" customHeight="1" spans="1:5">
      <c r="A45" s="13">
        <v>44</v>
      </c>
      <c r="B45" s="18"/>
      <c r="C45" s="13"/>
      <c r="D45" s="13"/>
      <c r="E45" s="13"/>
    </row>
    <row r="46" customHeight="1" spans="1:5">
      <c r="A46" s="13">
        <v>45</v>
      </c>
      <c r="B46" s="18"/>
      <c r="C46" s="13"/>
      <c r="D46" s="13"/>
      <c r="E46" s="13"/>
    </row>
    <row r="47" customHeight="1" spans="1:5">
      <c r="A47" s="13">
        <v>46</v>
      </c>
      <c r="B47" s="18"/>
      <c r="C47" s="13"/>
      <c r="D47" s="13"/>
      <c r="E47" s="13"/>
    </row>
    <row r="48" customHeight="1" spans="1:5">
      <c r="A48" s="13">
        <v>47</v>
      </c>
      <c r="B48" s="18"/>
      <c r="C48" s="13"/>
      <c r="D48" s="13"/>
      <c r="E48" s="13"/>
    </row>
    <row r="49" customHeight="1" spans="1:5">
      <c r="A49" s="13">
        <v>48</v>
      </c>
      <c r="B49" s="18"/>
      <c r="C49" s="13"/>
      <c r="D49" s="13"/>
      <c r="E49" s="13"/>
    </row>
    <row r="50" customHeight="1" spans="1:5">
      <c r="A50" s="13">
        <v>49</v>
      </c>
      <c r="B50" s="18"/>
      <c r="C50" s="13"/>
      <c r="D50" s="13"/>
      <c r="E50" s="13"/>
    </row>
    <row r="51" customHeight="1" spans="1:5">
      <c r="A51" s="13">
        <v>50</v>
      </c>
      <c r="B51" s="18"/>
      <c r="C51" s="13"/>
      <c r="D51" s="13"/>
      <c r="E51" s="13"/>
    </row>
    <row r="52" customHeight="1" spans="1:5">
      <c r="A52" s="13">
        <v>51</v>
      </c>
      <c r="B52" s="18"/>
      <c r="C52" s="13"/>
      <c r="D52" s="13"/>
      <c r="E52" s="13"/>
    </row>
    <row r="53" customHeight="1" spans="1:5">
      <c r="A53" s="13">
        <v>52</v>
      </c>
      <c r="B53" s="18"/>
      <c r="C53" s="13"/>
      <c r="D53" s="13"/>
      <c r="E53" s="13"/>
    </row>
    <row r="54" customHeight="1" spans="1:5">
      <c r="A54" s="13">
        <v>53</v>
      </c>
      <c r="B54" s="18"/>
      <c r="C54" s="13"/>
      <c r="D54" s="13"/>
      <c r="E54" s="13"/>
    </row>
    <row r="55" customHeight="1" spans="1:5">
      <c r="A55" s="13">
        <v>54</v>
      </c>
      <c r="B55" s="18"/>
      <c r="C55" s="13"/>
      <c r="D55" s="13"/>
      <c r="E55" s="13"/>
    </row>
    <row r="56" customHeight="1" spans="1:5">
      <c r="A56" s="13">
        <v>55</v>
      </c>
      <c r="B56" s="18"/>
      <c r="C56" s="13"/>
      <c r="D56" s="13"/>
      <c r="E56" s="13"/>
    </row>
    <row r="57" customHeight="1" spans="1:5">
      <c r="A57" s="13">
        <v>56</v>
      </c>
      <c r="B57" s="18"/>
      <c r="C57" s="13"/>
      <c r="D57" s="13"/>
      <c r="E57" s="13"/>
    </row>
    <row r="58" customHeight="1" spans="1:5">
      <c r="A58" s="13">
        <v>57</v>
      </c>
      <c r="B58" s="18"/>
      <c r="C58" s="13"/>
      <c r="D58" s="13"/>
      <c r="E58" s="13"/>
    </row>
    <row r="59" customHeight="1" spans="1:5">
      <c r="A59" s="13">
        <v>58</v>
      </c>
      <c r="B59" s="18"/>
      <c r="C59" s="13"/>
      <c r="D59" s="13"/>
      <c r="E59" s="13"/>
    </row>
    <row r="60" customHeight="1" spans="1:5">
      <c r="A60" s="13">
        <v>59</v>
      </c>
      <c r="B60" s="18"/>
      <c r="C60" s="13"/>
      <c r="D60" s="13"/>
      <c r="E60" s="13"/>
    </row>
    <row r="61" customHeight="1" spans="1:5">
      <c r="A61" s="13">
        <v>60</v>
      </c>
      <c r="B61" s="18"/>
      <c r="C61" s="13"/>
      <c r="D61" s="13"/>
      <c r="E61" s="13"/>
    </row>
    <row r="62" customHeight="1" spans="1:5">
      <c r="A62" s="13">
        <v>61</v>
      </c>
      <c r="B62" s="18"/>
      <c r="C62" s="13"/>
      <c r="D62" s="13"/>
      <c r="E62" s="13"/>
    </row>
    <row r="63" customHeight="1" spans="1:5">
      <c r="A63" s="13">
        <v>62</v>
      </c>
      <c r="B63" s="18"/>
      <c r="C63" s="13"/>
      <c r="D63" s="13"/>
      <c r="E63" s="13"/>
    </row>
    <row r="64" customHeight="1" spans="1:5">
      <c r="A64" s="13">
        <v>63</v>
      </c>
      <c r="B64" s="18"/>
      <c r="C64" s="13"/>
      <c r="D64" s="13"/>
      <c r="E64" s="13"/>
    </row>
    <row r="65" customHeight="1" spans="1:5">
      <c r="A65" s="13">
        <v>64</v>
      </c>
      <c r="B65" s="18"/>
      <c r="C65" s="13"/>
      <c r="D65" s="13"/>
      <c r="E65" s="13"/>
    </row>
    <row r="66" customHeight="1" spans="1:5">
      <c r="A66" s="13">
        <v>65</v>
      </c>
      <c r="B66" s="18"/>
      <c r="C66" s="13"/>
      <c r="D66" s="13"/>
      <c r="E66" s="13"/>
    </row>
    <row r="67" customHeight="1" spans="1:5">
      <c r="A67" s="13">
        <v>66</v>
      </c>
      <c r="B67" s="18"/>
      <c r="C67" s="13"/>
      <c r="D67" s="13"/>
      <c r="E67" s="13"/>
    </row>
    <row r="68" customHeight="1" spans="1:5">
      <c r="A68" s="13">
        <v>67</v>
      </c>
      <c r="B68" s="18"/>
      <c r="C68" s="13"/>
      <c r="D68" s="13"/>
      <c r="E68" s="13"/>
    </row>
    <row r="69" customHeight="1" spans="1:5">
      <c r="A69" s="13">
        <v>68</v>
      </c>
      <c r="B69" s="18"/>
      <c r="C69" s="13"/>
      <c r="D69" s="13"/>
      <c r="E69" s="13"/>
    </row>
    <row r="70" customHeight="1" spans="1:5">
      <c r="A70" s="13">
        <v>69</v>
      </c>
      <c r="B70" s="18"/>
      <c r="C70" s="13"/>
      <c r="D70" s="13"/>
      <c r="E70" s="13"/>
    </row>
    <row r="71" customHeight="1" spans="1:5">
      <c r="A71" s="13">
        <v>70</v>
      </c>
      <c r="B71" s="18"/>
      <c r="C71" s="13"/>
      <c r="D71" s="13"/>
      <c r="E71" s="13"/>
    </row>
    <row r="72" customHeight="1" spans="1:5">
      <c r="A72" s="13">
        <v>71</v>
      </c>
      <c r="B72" s="18"/>
      <c r="C72" s="13"/>
      <c r="D72" s="13"/>
      <c r="E72" s="13"/>
    </row>
    <row r="73" customHeight="1" spans="1:5">
      <c r="A73" s="13">
        <v>72</v>
      </c>
      <c r="B73" s="18"/>
      <c r="C73" s="13"/>
      <c r="D73" s="13"/>
      <c r="E73" s="13"/>
    </row>
    <row r="74" customHeight="1" spans="1:5">
      <c r="A74" s="13">
        <v>73</v>
      </c>
      <c r="B74" s="18"/>
      <c r="C74" s="13"/>
      <c r="D74" s="13"/>
      <c r="E74" s="13"/>
    </row>
    <row r="75" customHeight="1" spans="1:5">
      <c r="A75" s="13">
        <v>74</v>
      </c>
      <c r="B75" s="18"/>
      <c r="C75" s="13"/>
      <c r="D75" s="13"/>
      <c r="E75" s="13"/>
    </row>
    <row r="76" customHeight="1" spans="1:5">
      <c r="A76" s="13">
        <v>75</v>
      </c>
      <c r="B76" s="18"/>
      <c r="C76" s="13"/>
      <c r="D76" s="13"/>
      <c r="E76" s="13"/>
    </row>
  </sheetData>
  <mergeCells count="1">
    <mergeCell ref="A1:E1"/>
  </mergeCells>
  <conditionalFormatting sqref="B3:B53">
    <cfRule type="duplicateValues" dxfId="11" priority="2"/>
  </conditionalFormatting>
  <dataValidations count="1">
    <dataValidation type="list" allowBlank="1" showInputMessage="1" showErrorMessage="1" sqref="E2:E54">
      <formula1>"广告,文案"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WWO_dingtalk_20210622162822-68863c3782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推广方案</vt:lpstr>
      <vt:lpstr>推广计划</vt:lpstr>
      <vt:lpstr>推广费用明细</vt:lpstr>
      <vt:lpstr>广告框架</vt:lpstr>
      <vt:lpstr>关键词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Anywhere</cp:lastModifiedBy>
  <dcterms:created xsi:type="dcterms:W3CDTF">2015-06-06T10:19:00Z</dcterms:created>
  <dcterms:modified xsi:type="dcterms:W3CDTF">2025-07-11T01:17:35Z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349D642318594DA2906EF7A90AEF8A0F_13</vt:lpwstr>
  </property>
</Properties>
</file>