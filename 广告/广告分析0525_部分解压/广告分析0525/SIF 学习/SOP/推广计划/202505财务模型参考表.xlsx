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阶段实际盈亏" sheetId="2" state="hidden" r:id="rId2"/>
    <sheet name="2" sheetId="3" state="hidden" r:id="rId3"/>
    <sheet name="逮虾户上贴费用详情" sheetId="4" state="hidden" r:id="rId4"/>
    <sheet name="西柚找词垃圾词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<sst xmlns="http://schemas.openxmlformats.org/spreadsheetml/2006/main" count="1396" uniqueCount="839">
  <si>
    <t>阶段</t>
  </si>
  <si>
    <t>日期</t>
  </si>
  <si>
    <t>定价</t>
  </si>
  <si>
    <t>coupon</t>
  </si>
  <si>
    <t>折后价</t>
  </si>
  <si>
    <t>FBA    
配送费</t>
  </si>
  <si>
    <t>佣金比例</t>
  </si>
  <si>
    <t>亚马逊佣金</t>
  </si>
  <si>
    <t>订单回款金额（不含广告费）</t>
  </si>
  <si>
    <t>仓储费入库配置费</t>
  </si>
  <si>
    <t>coupon
费用</t>
  </si>
  <si>
    <t>产品
成本</t>
  </si>
  <si>
    <t>头程物流费</t>
  </si>
  <si>
    <t>单套产品的移除费</t>
  </si>
  <si>
    <t>退货不可售成本</t>
  </si>
  <si>
    <t>退货可售成本</t>
  </si>
  <si>
    <t>报损率</t>
  </si>
  <si>
    <t>退货率</t>
  </si>
  <si>
    <t>每单平摊
退货成本</t>
  </si>
  <si>
    <t>每单
毛利</t>
  </si>
  <si>
    <t>订单
数量</t>
  </si>
  <si>
    <t>自然订单占比</t>
  </si>
  <si>
    <t>自然订单</t>
  </si>
  <si>
    <t>广告订单</t>
  </si>
  <si>
    <t>点击量</t>
  </si>
  <si>
    <t>CVR</t>
  </si>
  <si>
    <t>平均
CPC</t>
  </si>
  <si>
    <t>广告花费</t>
  </si>
  <si>
    <t>ACOS</t>
  </si>
  <si>
    <t>CPA</t>
  </si>
  <si>
    <t>实际回款金额</t>
  </si>
  <si>
    <t>发货批次</t>
  </si>
  <si>
    <t>发货日期</t>
  </si>
  <si>
    <t>下一阶段出单数量</t>
  </si>
  <si>
    <t>发货倍数</t>
  </si>
  <si>
    <t>实际发货数量</t>
  </si>
  <si>
    <t>预留安全库存</t>
  </si>
  <si>
    <t>产品成本头程</t>
  </si>
  <si>
    <t>需要投入的钱</t>
  </si>
  <si>
    <t>发货日剩余费用</t>
  </si>
  <si>
    <t>实际需要投入的钱</t>
  </si>
  <si>
    <t>时间点判断</t>
  </si>
  <si>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</si>
  <si>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</si>
  <si>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</si>
  <si>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</si>
  <si>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</si>
  <si>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</si>
  <si>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</si>
  <si>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</si>
  <si>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</si>
  <si>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</si>
  <si>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</si>
  <si>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</si>
  <si>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</si>
  <si>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</si>
  <si>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</si>
  <si>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</si>
  <si>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</si>
  <si>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</si>
  <si>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</si>
  <si>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</si>
  <si>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</si>
  <si>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</si>
  <si>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</si>
  <si>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</si>
  <si>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</si>
  <si>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</si>
  <si>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</si>
  <si>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</si>
  <si>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</si>
  <si>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</si>
  <si>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</si>
  <si>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</si>
  <si>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</si>
  <si>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</si>
  <si>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</si>
  <si>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</si>
  <si>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</si>
  <si>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</si>
  <si>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</si>
  <si>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</si>
  <si>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</si>
  <si>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</si>
  <si>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</si>
  <si>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</si>
  <si>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</si>
  <si>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</si>
  <si>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</si>
  <si>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</si>
  <si>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</si>
  <si>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</si>
  <si>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</si>
  <si>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</si>
  <si>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</si>
  <si>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</si>
  <si>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</si>
  <si>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</si>
  <si>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</si>
  <si>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</si>
  <si>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</si>
  <si>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</si>
  <si>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</si>
  <si>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</si>
  <si>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</si>
  <si>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</si>
  <si>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</si>
  <si>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</si>
  <si>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</si>
  <si>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</si>
  <si>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</si>
  <si>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</si>
  <si>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</si>
  <si>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</si>
  <si>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</si>
  <si>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</si>
  <si>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</si>
  <si>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</si>
  <si>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</si>
  <si>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</si>
  <si>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</si>
  <si>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</si>
  <si>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</si>
  <si>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</si>
  <si>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</si>
  <si>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</si>
  <si>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</si>
  <si>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</si>
  <si>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</si>
  <si>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</si>
  <si>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</si>
  <si>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</si>
  <si>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</si>
  <si>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</si>
  <si>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</si>
  <si>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</si>
  <si>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</si>
  <si>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</si>
  <si>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r>
      <rPr>
        <u/>
        <sz val="11"/>
        <color theme="10"/>
        <rFont val="Calibri"/>
        <charset val="134"/>
      </rPr>
      <t>Amazon.com</t>
    </r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</si>
  <si>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</si>
  <si>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</si>
  <si>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</si>
  <si>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</si>
  <si>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</si>
  <si>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</si>
  <si>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</si>
  <si>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</si>
  <si>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</si>
  <si>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</si>
  <si>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</si>
  <si>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</si>
  <si>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</si>
  <si>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</si>
  <si>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</si>
  <si>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</si>
  <si>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</si>
  <si>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</si>
  <si>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</si>
  <si>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</si>
  <si>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</si>
  <si>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</si>
  <si>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</si>
  <si>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</si>
  <si>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</si>
  <si>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</si>
  <si>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</si>
  <si>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</si>
  <si>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</si>
  <si>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</si>
  <si>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</si>
  <si>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</si>
  <si>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</si>
  <si>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</si>
  <si>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</si>
  <si>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</si>
  <si>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</si>
  <si>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</si>
  <si>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</si>
  <si>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</si>
  <si>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</si>
  <si>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</si>
  <si>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</si>
  <si>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</si>
  <si>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</si>
  <si>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</si>
  <si>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</si>
  <si>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</si>
  <si>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</si>
  <si>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</si>
  <si>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</si>
  <si>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</si>
  <si>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</si>
  <si>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</si>
  <si>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</si>
  <si>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</si>
  <si>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</si>
  <si>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</si>
  <si>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</si>
  <si>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</si>
  <si>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</si>
  <si>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</si>
  <si>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</si>
  <si>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</si>
  <si>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</si>
  <si>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</si>
  <si>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</si>
  <si>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</si>
  <si>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</si>
  <si>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</si>
  <si>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</si>
  <si>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</si>
  <si>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</si>
  <si>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</si>
  <si>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</si>
  <si>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</si>
  <si>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</si>
  <si>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</si>
  <si>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</si>
  <si>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</si>
  <si>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</si>
  <si>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</si>
  <si>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</si>
  <si>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</si>
  <si>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</si>
  <si>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</si>
  <si>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</si>
  <si>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</si>
  <si>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标题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</si>
  <si>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</si>
  <si>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</si>
  <si>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</si>
  <si>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</si>
  <si>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</si>
  <si>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</si>
  <si>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</si>
  <si>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</si>
  <si>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</si>
  <si>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</si>
  <si>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</si>
  <si>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</si>
  <si>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</si>
  <si>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</si>
  <si>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</si>
  <si>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</si>
  <si>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</si>
  <si>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</si>
  <si>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</si>
  <si>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</si>
  <si>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</si>
  <si>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</si>
  <si>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</si>
  <si>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r>
      <rPr>
        <u/>
        <sz val="11"/>
        <color theme="10"/>
        <rFont val="Calibri"/>
        <charset val="134"/>
      </rPr>
      <t>查看链接</t>
    </r>
  </si>
  <si>
    <t>已完成</t>
  </si>
  <si>
    <r>
      <rPr>
        <u/>
        <sz val="11"/>
        <color theme="10"/>
        <rFont val="Calibri"/>
        <charset val="134"/>
      </rPr>
      <t>查看帖子</t>
    </r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</si>
  <si>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</si>
  <si>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</si>
  <si>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</si>
  <si>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</si>
  <si>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</si>
  <si>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</si>
  <si>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</si>
  <si>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</si>
  <si>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</si>
  <si>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</si>
  <si>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</si>
  <si>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</si>
  <si>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</si>
  <si>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</si>
  <si>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</si>
  <si>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</si>
  <si>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</si>
  <si>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</si>
  <si>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</si>
  <si>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</si>
  <si>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</si>
  <si>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r>
      <rPr>
        <u/>
        <sz val="11"/>
        <color theme="10"/>
        <rFont val="Calibri"/>
        <charset val="134"/>
      </rPr>
      <t>查看图片</t>
    </r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</si>
  <si>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</si>
  <si>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</si>
  <si>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</si>
  <si>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</si>
  <si>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</si>
  <si>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</si>
  <si>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</si>
  <si>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</si>
  <si>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</si>
  <si>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</si>
  <si>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</si>
  <si>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</si>
  <si>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</si>
  <si>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</si>
  <si>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</si>
  <si>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</si>
  <si>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</si>
  <si>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</si>
  <si>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</si>
  <si>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</si>
  <si>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</si>
  <si>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</si>
  <si>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</si>
  <si>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</si>
  <si>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</si>
  <si>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</si>
  <si>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</si>
  <si>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</si>
  <si>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</si>
  <si>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</si>
  <si>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</si>
  <si>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</si>
  <si>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</si>
  <si>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</si>
  <si>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</si>
  <si>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</si>
  <si>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</si>
  <si>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</si>
  <si>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</si>
  <si>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</si>
  <si>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</si>
  <si>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</si>
  <si>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</si>
  <si>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</si>
  <si>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</si>
  <si>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</si>
  <si>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</si>
  <si>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</si>
  <si>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</si>
  <si>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</si>
  <si>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</si>
  <si>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</si>
  <si>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</si>
  <si>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</si>
  <si>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</si>
  <si>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</si>
  <si>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</si>
  <si>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</si>
  <si>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</si>
  <si>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</si>
  <si>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</si>
  <si>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</si>
  <si>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</si>
  <si>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</si>
  <si>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</si>
  <si>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</si>
  <si>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</si>
  <si>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</si>
  <si>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</si>
  <si>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</si>
  <si>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</si>
  <si>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</si>
  <si>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</si>
  <si>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</si>
  <si>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</si>
  <si>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</si>
  <si>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</si>
  <si>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</si>
  <si>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</si>
  <si>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</si>
  <si>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</si>
  <si>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</si>
  <si>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</si>
  <si>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</si>
  <si>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</si>
  <si>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</si>
  <si>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</si>
  <si>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</si>
  <si>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</si>
  <si>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</si>
  <si>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</si>
  <si>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</si>
  <si>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</si>
  <si>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</si>
  <si>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</si>
  <si>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</si>
  <si>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</si>
  <si>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</si>
  <si>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</si>
  <si>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</si>
  <si>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</si>
  <si>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</si>
  <si>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</si>
  <si>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</si>
  <si>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</si>
  <si>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</si>
  <si>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</si>
  <si>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70mai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</si>
  <si>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</si>
  <si>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</si>
  <si>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</si>
  <si>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</si>
  <si>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</si>
  <si>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</si>
  <si>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</si>
  <si>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</si>
  <si>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</si>
  <si>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</si>
  <si>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</si>
  <si>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</si>
  <si>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</si>
  <si>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</si>
  <si>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</si>
  <si>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</si>
  <si>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</si>
  <si>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</si>
  <si>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</si>
  <si>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</si>
  <si>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</si>
  <si>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</si>
  <si>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</si>
  <si>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</si>
  <si>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</si>
  <si>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</si>
  <si>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</si>
  <si>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</si>
  <si>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</si>
  <si>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</si>
  <si>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</si>
  <si>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</si>
  <si>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</si>
  <si>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</si>
  <si>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</si>
  <si>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</si>
  <si>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</si>
  <si>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</si>
  <si>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</si>
  <si>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</si>
  <si>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</si>
  <si>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</si>
  <si>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front parking camera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</si>
  <si>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</si>
  <si>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</si>
  <si>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</si>
  <si>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</si>
  <si>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</si>
  <si>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</si>
  <si>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</si>
  <si>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</si>
  <si>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</si>
  <si>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</si>
  <si>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</si>
  <si>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</si>
  <si>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</si>
  <si>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</si>
  <si>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car front camera</t>
  </si>
  <si>
    <t>mirror</t>
  </si>
  <si>
    <t>navycrest</t>
  </si>
  <si>
    <t>vehicle electronics</t>
  </si>
  <si>
    <t>safety</t>
  </si>
  <si>
    <t>RISERO</t>
  </si>
  <si>
    <t>cordless dash cam</t>
  </si>
  <si>
    <t>security</t>
  </si>
  <si>
    <t>WOLFBOX</t>
  </si>
  <si>
    <t>camera monitor</t>
  </si>
  <si>
    <t>front and inside</t>
  </si>
  <si>
    <t>Zhrmghg</t>
  </si>
  <si>
    <t>small dash cam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</si>
  <si>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</si>
  <si>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</si>
  <si>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</si>
  <si>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</si>
  <si>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</si>
  <si>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</si>
  <si>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</si>
  <si>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</si>
  <si>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</si>
  <si>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</si>
  <si>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</si>
  <si>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</si>
  <si>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</si>
  <si>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</si>
  <si>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</si>
  <si>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</si>
  <si>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</si>
  <si>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</si>
  <si>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</si>
  <si>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</si>
  <si>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</si>
  <si>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</si>
  <si>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</si>
  <si>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</si>
  <si>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</si>
  <si>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</si>
  <si>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</si>
  <si>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</si>
  <si>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</si>
  <si>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</si>
  <si>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</si>
  <si>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</si>
  <si>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</si>
  <si>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</si>
  <si>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</si>
  <si>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</si>
  <si>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</si>
  <si>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</si>
  <si>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ring dash cam</t>
  </si>
  <si>
    <t>azdome</t>
  </si>
  <si>
    <t>AINAVIGO</t>
  </si>
  <si>
    <t>nexar dash cam</t>
  </si>
  <si>
    <t>ring car camera</t>
  </si>
  <si>
    <t>Biuone</t>
  </si>
  <si>
    <t>cam link</t>
  </si>
  <si>
    <t>cambase</t>
  </si>
  <si>
    <t>rove r2-4k car dash cam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</si>
  <si>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</si>
  <si>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</si>
  <si>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</si>
  <si>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pruveeo dash cam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</si>
  <si>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</si>
  <si>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</si>
  <si>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</si>
  <si>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</si>
  <si>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</si>
  <si>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</si>
  <si>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</si>
  <si>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</si>
  <si>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</si>
  <si>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</si>
  <si>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</si>
  <si>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</si>
  <si>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</si>
  <si>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</si>
  <si>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</si>
  <si>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</si>
  <si>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</si>
  <si>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</si>
  <si>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70mai dash cam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</si>
  <si>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</si>
  <si>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</si>
  <si>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</si>
  <si>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</si>
  <si>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</si>
  <si>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</si>
  <si>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</si>
  <si>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</si>
  <si>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</si>
  <si>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</si>
  <si>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</si>
  <si>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</si>
  <si>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bluetooth dash cam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</si>
  <si>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</si>
  <si>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</si>
  <si>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</si>
  <si>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</si>
  <si>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</si>
  <si>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</si>
  <si>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</si>
  <si>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</si>
  <si>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</si>
  <si>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t>redtiger 4k dash cam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</si>
  <si>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</si>
  <si>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</si>
  <si>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red tiger f7np 4k dual dash cam</t>
  </si>
  <si>
    <t>carplay</t>
  </si>
  <si>
    <t>TOGUAD</t>
  </si>
  <si>
    <t>vava dash cam</t>
  </si>
  <si>
    <t>nexar</t>
  </si>
  <si>
    <t>TOGUARDVIDEO</t>
  </si>
  <si>
    <t>amazon holiday dash</t>
  </si>
  <si>
    <t>cooau</t>
  </si>
  <si>
    <t>Transcend</t>
  </si>
  <si>
    <t>front camera for car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</si>
  <si>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</si>
  <si>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</si>
  <si>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</si>
  <si>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</si>
  <si>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</si>
  <si>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</si>
  <si>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t>dash cam no wires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</si>
  <si>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</si>
  <si>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</si>
  <si>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</si>
  <si>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</si>
  <si>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</si>
  <si>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</si>
  <si>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</si>
  <si>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</si>
  <si>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</si>
  <si>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</si>
  <si>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</si>
  <si>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</si>
  <si>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</si>
  <si>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</si>
  <si>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</si>
  <si>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</si>
  <si>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</si>
  <si>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</si>
  <si>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</si>
  <si>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stuff for car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</si>
  <si>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</si>
  <si>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</si>
  <si>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</si>
  <si>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</si>
  <si>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</si>
  <si>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</si>
  <si>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</si>
  <si>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</si>
  <si>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</si>
  <si>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t>ddpai dash cam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</si>
  <si>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</si>
  <si>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</si>
  <si>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</si>
  <si>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</si>
  <si>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</si>
  <si>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</si>
  <si>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</si>
  <si>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</si>
  <si>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</si>
  <si>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</si>
  <si>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</si>
  <si>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</si>
  <si>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</si>
  <si>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t>aukey dash cam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</si>
  <si>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</si>
  <si>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</si>
  <si>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t>solar dash cam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</si>
  <si>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</si>
  <si>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</si>
  <si>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</si>
  <si>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</si>
  <si>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</si>
  <si>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red tiger dash cam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</si>
  <si>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</si>
  <si>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</si>
  <si>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</si>
  <si>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</si>
  <si>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</si>
  <si>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</si>
  <si>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</si>
  <si>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t>ring dash camera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</si>
  <si>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</si>
  <si>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</si>
  <si>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viofo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</si>
  <si>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</si>
  <si>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</si>
  <si>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</si>
  <si>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thinkware f70</t>
  </si>
  <si>
    <t>car step</t>
  </si>
  <si>
    <t>Generic</t>
  </si>
  <si>
    <t>drive cam luxidrive</t>
  </si>
  <si>
    <t>mini 2</t>
  </si>
  <si>
    <t>GILAYGROW</t>
  </si>
  <si>
    <t>viofo a229 pro</t>
  </si>
  <si>
    <t>apex view</t>
  </si>
  <si>
    <t>HUBANFLY</t>
  </si>
  <si>
    <t>gopro dash cam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</si>
  <si>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</si>
  <si>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</si>
  <si>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ring dash camera</t>
  </si>
  <si>
    <t>view</t>
  </si>
  <si>
    <t>Jansite</t>
  </si>
  <si>
    <t>360 car camera</t>
  </si>
  <si>
    <t>gps</t>
  </si>
  <si>
    <t>JOMISE</t>
  </si>
  <si>
    <t>roav dash cam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</si>
  <si>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</si>
  <si>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</si>
  <si>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</si>
  <si>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</si>
  <si>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</si>
  <si>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</si>
  <si>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</si>
  <si>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</si>
  <si>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</si>
  <si>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</si>
  <si>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</si>
  <si>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</si>
  <si>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dash cam with speed recording</t>
  </si>
  <si>
    <t>Minolta</t>
  </si>
  <si>
    <t>viofo dash cam</t>
  </si>
  <si>
    <t>car gadgets</t>
  </si>
  <si>
    <t>Miofive</t>
  </si>
  <si>
    <t>garmin dashcam mini 2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</si>
  <si>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</si>
  <si>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</si>
  <si>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</si>
  <si>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</si>
  <si>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</si>
  <si>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</si>
  <si>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</si>
  <si>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dash cam with gps</t>
  </si>
  <si>
    <t>car emergency</t>
  </si>
  <si>
    <t>nezini</t>
  </si>
  <si>
    <t>dash cam viofo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</si>
  <si>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</si>
  <si>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</si>
  <si>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</si>
  <si>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</si>
  <si>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</si>
  <si>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</si>
  <si>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</si>
  <si>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</si>
  <si>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</si>
  <si>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</si>
  <si>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</si>
  <si>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</si>
  <si>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</si>
  <si>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</si>
  <si>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garmin dash cam 57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</si>
  <si>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</si>
  <si>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</si>
  <si>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</si>
  <si>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</si>
  <si>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</si>
  <si>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</si>
  <si>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rove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</si>
  <si>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</si>
  <si>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</si>
  <si>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</si>
  <si>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</si>
  <si>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</si>
  <si>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</si>
  <si>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</si>
  <si>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</si>
  <si>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</si>
  <si>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</si>
  <si>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</si>
  <si>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</si>
  <si>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</si>
  <si>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</si>
  <si>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truck dash cam</t>
  </si>
  <si>
    <t>gps car</t>
  </si>
  <si>
    <t>XIGETRAIL</t>
  </si>
  <si>
    <t>dashcams for trucks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</si>
  <si>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</si>
  <si>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</si>
  <si>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</si>
  <si>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</si>
  <si>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</si>
  <si>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</si>
  <si>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</si>
  <si>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</si>
  <si>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</si>
  <si>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</si>
  <si>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</si>
  <si>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</si>
  <si>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</si>
  <si>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</si>
  <si>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</si>
  <si>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dash cam gps</t>
  </si>
  <si>
    <t>dash cam with gps and speed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</si>
  <si>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</si>
  <si>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</si>
  <si>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t>battery dash cam</t>
  </si>
  <si>
    <t>viofo a139 pro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</si>
  <si>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</si>
  <si>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t>dadh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</si>
  <si>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</si>
  <si>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</si>
  <si>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</si>
  <si>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</si>
  <si>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camaras para carros</t>
  </si>
  <si>
    <t>bodycam c</t>
  </si>
  <si>
    <t>garmin dash cam 47</t>
  </si>
  <si>
    <t>prime deals</t>
  </si>
  <si>
    <t>wireless dash cam front and rear no wire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</si>
  <si>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</si>
  <si>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</si>
  <si>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</si>
  <si>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</si>
  <si>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</si>
  <si>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</si>
  <si>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</si>
  <si>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rove dash cam</t>
  </si>
  <si>
    <t>red tiger dashcam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</si>
  <si>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</si>
  <si>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</si>
  <si>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</si>
  <si>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</si>
  <si>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camara para carro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</si>
  <si>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</si>
  <si>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</si>
  <si>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</si>
  <si>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</si>
  <si>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</si>
  <si>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</si>
  <si>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</si>
  <si>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</si>
  <si>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kenwood dash cam</t>
  </si>
  <si>
    <t>best dash cam 2023 front and rear</t>
  </si>
  <si>
    <t>used cars</t>
  </si>
  <si>
    <t>amazon car</t>
  </si>
  <si>
    <t>it works</t>
  </si>
  <si>
    <t>amazon www com</t>
  </si>
  <si>
    <t>redtiger dash cam</t>
  </si>
  <si>
    <t>camara para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</si>
  <si>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</si>
  <si>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</si>
  <si>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</si>
  <si>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</si>
  <si>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</si>
  <si>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</si>
  <si>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</si>
  <si>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</si>
  <si>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</si>
  <si>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</si>
  <si>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</si>
  <si>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</si>
  <si>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</si>
  <si>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</si>
  <si>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</si>
  <si>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</si>
  <si>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</si>
  <si>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</si>
  <si>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70mai dash cam 4k a810</t>
  </si>
  <si>
    <t>garmin dash cam mini 2</t>
  </si>
  <si>
    <t>amazon.com/code enter activation code</t>
  </si>
  <si>
    <t>3 channel dash cam 4k</t>
  </si>
  <si>
    <t>izeeker dash cam</t>
  </si>
  <si>
    <t>370z</t>
  </si>
  <si>
    <t>car accessories for men</t>
  </si>
  <si>
    <t>car door</t>
  </si>
  <si>
    <t>prime day deals 2023 electronics</t>
  </si>
  <si>
    <t>hidden dash cam</t>
  </si>
  <si>
    <t>car back support for driving</t>
  </si>
  <si>
    <t>drive cam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</si>
  <si>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</si>
  <si>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</si>
  <si>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</si>
  <si>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</si>
  <si>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</si>
  <si>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</si>
  <si>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</si>
  <si>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</si>
  <si>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</si>
  <si>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</si>
  <si>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</si>
  <si>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</si>
  <si>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</si>
  <si>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</si>
  <si>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</si>
  <si>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</si>
  <si>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</si>
  <si>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</si>
  <si>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</si>
  <si>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</si>
  <si>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</si>
  <si>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</si>
  <si>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</si>
  <si>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dash cam ring</t>
  </si>
  <si>
    <t>wifi dash cam front and rear</t>
  </si>
  <si>
    <t>dashcam front and rear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</si>
</sst>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yyyy/m/d;@"/>
    <numFmt numFmtId="179" formatCode="0_ "/>
    <numFmt numFmtId="180" formatCode="0.00;[Red]0.00"/>
  </numFmts>
  <fonts count="28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  <font>
      <u/>
      <sz val="11"/>
      <color theme="1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EEB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/>
    <xf numFmtId="176" fontId="1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176" fontId="1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7" fontId="1" fillId="0" borderId="0" xfId="0" applyNumberFormat="1" applyFont="1" applyBorder="1" applyAlignment="1">
      <alignment horizontal="center" vertical="center" wrapText="1"/>
    </xf>
    <xf numFmtId="177" fontId="1" fillId="0" borderId="0" xfId="0" applyNumberFormat="1" applyFont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left" vertical="center"/>
    </xf>
    <xf numFmtId="9" fontId="1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9" fontId="1" fillId="6" borderId="2" xfId="0" applyNumberFormat="1" applyFont="1" applyFill="1" applyBorder="1" applyAlignment="1">
      <alignment horizontal="left" vertical="center" wrapText="1"/>
    </xf>
    <xf numFmtId="178" fontId="1" fillId="0" borderId="2" xfId="0" applyNumberFormat="1" applyFont="1" applyBorder="1" applyAlignment="1">
      <alignment horizontal="left" vertical="center"/>
    </xf>
    <xf numFmtId="179" fontId="1" fillId="0" borderId="2" xfId="0" applyNumberFormat="1" applyFont="1" applyBorder="1" applyAlignment="1">
      <alignment horizontal="center" vertical="center"/>
    </xf>
    <xf numFmtId="178" fontId="1" fillId="7" borderId="2" xfId="0" applyNumberFormat="1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1" fillId="7" borderId="2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80" fontId="3" fillId="5" borderId="1" xfId="0" applyNumberFormat="1" applyFont="1" applyFill="1" applyBorder="1" applyAlignment="1">
      <alignment horizontal="center" vertical="center" wrapText="1"/>
    </xf>
    <xf numFmtId="10" fontId="3" fillId="5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/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3433057343420774" TargetMode="External"/><Relationship Id="rId8" Type="http://schemas.openxmlformats.org/officeDocument/2006/relationships/hyperlink" Target="https://www.facebook.com/groups/528046881270010" TargetMode="External"/><Relationship Id="rId7" Type="http://schemas.openxmlformats.org/officeDocument/2006/relationships/hyperlink" Target="https://www.facebook.com/groups/379457484265304" TargetMode="External"/><Relationship Id="rId6" Type="http://schemas.openxmlformats.org/officeDocument/2006/relationships/hyperlink" Target="https://www.facebook.com/groups/2272404193019511" TargetMode="External"/><Relationship Id="rId5" Type="http://schemas.openxmlformats.org/officeDocument/2006/relationships/hyperlink" Target="https://www.facebook.com/groups/1240733246313243" TargetMode="External"/><Relationship Id="rId46" Type="http://schemas.openxmlformats.org/officeDocument/2006/relationships/hyperlink" Target="https://www.facebook.com/groups/1646879538871219" TargetMode="External"/><Relationship Id="rId45" Type="http://schemas.openxmlformats.org/officeDocument/2006/relationships/hyperlink" Target="https://www.facebook.com/groups/salesaholicgroup/permalink/3855230981372823/" TargetMode="External"/><Relationship Id="rId44" Type="http://schemas.openxmlformats.org/officeDocument/2006/relationships/hyperlink" Target="https://www.facebook.com/groups/347280445728185" TargetMode="External"/><Relationship Id="rId43" Type="http://schemas.openxmlformats.org/officeDocument/2006/relationships/hyperlink" Target="https://www.facebook.com/groups/thefrugalsahm/permalink/605635271647523" TargetMode="External"/><Relationship Id="rId42" Type="http://schemas.openxmlformats.org/officeDocument/2006/relationships/hyperlink" Target="https://www.facebook.com/groups/156005735850667/permalink/1007079404076625/" TargetMode="External"/><Relationship Id="rId41" Type="http://schemas.openxmlformats.org/officeDocument/2006/relationships/hyperlink" Target="https://www.facebook.com/groups/697178314306457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42001749885757" TargetMode="External"/><Relationship Id="rId39" Type="http://schemas.openxmlformats.org/officeDocument/2006/relationships/hyperlink" Target="https://www.facebook.com/Compras-toxicas-con-la-patrona-101594895708272" TargetMode="External"/><Relationship Id="rId38" Type="http://schemas.openxmlformats.org/officeDocument/2006/relationships/hyperlink" Target="https://www.facebook.com/groups/4617002575006363" TargetMode="External"/><Relationship Id="rId37" Type="http://schemas.openxmlformats.org/officeDocument/2006/relationships/hyperlink" Target="https://www.facebook.com/groups/410426780231790" TargetMode="External"/><Relationship Id="rId36" Type="http://schemas.openxmlformats.org/officeDocument/2006/relationships/hyperlink" Target="https://www.facebook.com/groups/bullseyeonthebargain/posts/1494494874684434/" TargetMode="External"/><Relationship Id="rId35" Type="http://schemas.openxmlformats.org/officeDocument/2006/relationships/hyperlink" Target="https://www.facebook.com/groups/389700749371407" TargetMode="External"/><Relationship Id="rId34" Type="http://schemas.openxmlformats.org/officeDocument/2006/relationships/hyperlink" Target="https://www.facebook.com/groups/309675624384964" TargetMode="External"/><Relationship Id="rId33" Type="http://schemas.openxmlformats.org/officeDocument/2006/relationships/hyperlink" Target="https://cdn.daixialu.com/tmp/5708633451008008__.jpg" TargetMode="External"/><Relationship Id="rId32" Type="http://schemas.openxmlformats.org/officeDocument/2006/relationships/hyperlink" Target="https://cdn.daixialu.com/tmp/5561929145782280__.jpg" TargetMode="External"/><Relationship Id="rId31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30" Type="http://schemas.openxmlformats.org/officeDocument/2006/relationships/hyperlink" Target="https://www.facebook.com/groups/CrazyDiscountCodes/permalink/1570025880405433" TargetMode="External"/><Relationship Id="rId3" Type="http://schemas.openxmlformats.org/officeDocument/2006/relationships/hyperlink" Target="https://www.facebook.com/groups/simplysalesalyssasarah/posts/1320824385492566/" TargetMode="External"/><Relationship Id="rId29" Type="http://schemas.openxmlformats.org/officeDocument/2006/relationships/hyperlink" Target="https://www.facebook.com/groups/2197492577200898" TargetMode="External"/><Relationship Id="rId28" Type="http://schemas.openxmlformats.org/officeDocument/2006/relationships/hyperlink" Target="https://www.facebook.com/groups/679941889134209" TargetMode="External"/><Relationship Id="rId27" Type="http://schemas.openxmlformats.org/officeDocument/2006/relationships/hyperlink" Target="https://www.facebook.com/groups/349613118971934" TargetMode="External"/><Relationship Id="rId26" Type="http://schemas.openxmlformats.org/officeDocument/2006/relationships/hyperlink" Target="https://www.facebook.com/groups/shopwithnada/permalink/6831996300193511/" TargetMode="External"/><Relationship Id="rId25" Type="http://schemas.openxmlformats.org/officeDocument/2006/relationships/hyperlink" Target="https://www.facebook.com/groups/247524832920261" TargetMode="External"/><Relationship Id="rId24" Type="http://schemas.openxmlformats.org/officeDocument/2006/relationships/hyperlink" Target="https://www.facebook.com/groups/1552102171668524" TargetMode="External"/><Relationship Id="rId23" Type="http://schemas.openxmlformats.org/officeDocument/2006/relationships/hyperlink" Target="https://www.facebook.com/groups/635928950944558" TargetMode="External"/><Relationship Id="rId22" Type="http://schemas.openxmlformats.org/officeDocument/2006/relationships/hyperlink" Target="https://www.facebook.com/groups/697178314306457/posts/1235798230444460/" TargetMode="External"/><Relationship Id="rId21" Type="http://schemas.openxmlformats.org/officeDocument/2006/relationships/hyperlink" Target="https://www.facebook.com/groups/156005735850667" TargetMode="External"/><Relationship Id="rId20" Type="http://schemas.openxmlformats.org/officeDocument/2006/relationships/hyperlink" Target="https://www.facebook.com/groups/635928950944558/permalink/996849921519124" TargetMode="External"/><Relationship Id="rId2" Type="http://schemas.openxmlformats.org/officeDocument/2006/relationships/hyperlink" Target="https://www.facebook.com/groups/2181542232094033" TargetMode="External"/><Relationship Id="rId19" Type="http://schemas.openxmlformats.org/officeDocument/2006/relationships/hyperlink" Target="https://www.facebook.com/groups/1813369818892293" TargetMode="External"/><Relationship Id="rId18" Type="http://schemas.openxmlformats.org/officeDocument/2006/relationships/hyperlink" Target="https://www.facebook.com/groups/163854847748450" TargetMode="External"/><Relationship Id="rId17" Type="http://schemas.openxmlformats.org/officeDocument/2006/relationships/hyperlink" Target="https://www.facebook.com/groups/KouponingWithKatie/permalink/3591434474401940" TargetMode="External"/><Relationship Id="rId16" Type="http://schemas.openxmlformats.org/officeDocument/2006/relationships/hyperlink" Target="https://www.facebook.com/groups/liotp/permalink/829077818767029/?mibextid=S66gvF" TargetMode="External"/><Relationship Id="rId15" Type="http://schemas.openxmlformats.org/officeDocument/2006/relationships/hyperlink" Target="https://www.facebook.com/groups/303805157065867" TargetMode="External"/><Relationship Id="rId14" Type="http://schemas.openxmlformats.org/officeDocument/2006/relationships/hyperlink" Target="https://www.facebook.com/groups/679941889134209/permalink/1819758365152550" TargetMode="External"/><Relationship Id="rId13" Type="http://schemas.openxmlformats.org/officeDocument/2006/relationships/hyperlink" Target="https://www.facebook.com/groups/281646379410377" TargetMode="External"/><Relationship Id="rId12" Type="http://schemas.openxmlformats.org/officeDocument/2006/relationships/hyperlink" Target="https://www.facebook.com/groups/2486545118068111" TargetMode="External"/><Relationship Id="rId11" Type="http://schemas.openxmlformats.org/officeDocument/2006/relationships/hyperlink" Target="https://www.facebook.com/groups/276581130519858" TargetMode="External"/><Relationship Id="rId10" Type="http://schemas.openxmlformats.org/officeDocument/2006/relationships/hyperlink" Target="https://www.facebook.com/groups/theglitchwitchbysimplyshonna/permalink/4365400973685715" TargetMode="External"/><Relationship Id="rId1" Type="http://schemas.openxmlformats.org/officeDocument/2006/relationships/hyperlink" Target="https://www.facebook.com/groups/4229886182665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41"/>
  <sheetViews>
    <sheetView tabSelected="1" workbookViewId="0">
      <pane ySplit="1" topLeftCell="A21" activePane="bottomLeft" state="frozen"/>
      <selection/>
      <selection pane="bottomLeft" activeCell="J28" sqref="J28"/>
    </sheetView>
  </sheetViews>
  <sheetFormatPr defaultColWidth="14" defaultRowHeight="13.2"/>
  <cols>
    <col min="1" max="1" width="6" customWidth="1"/>
    <col min="2" max="2" width="12.8518518518519" style="21" customWidth="1"/>
    <col min="3" max="3" width="12.712962962963" style="22" customWidth="1"/>
    <col min="4" max="5" width="10.287037037037" style="22" customWidth="1"/>
    <col min="6" max="8" width="8.13888888888889" style="22" customWidth="1"/>
    <col min="9" max="10" width="12.712962962963" style="22" customWidth="1"/>
    <col min="11" max="11" width="9.13888888888889" style="22" customWidth="1"/>
    <col min="12" max="12" width="6.71296296296296" style="22" customWidth="1"/>
    <col min="13" max="15" width="8.13888888888889" style="22" customWidth="1"/>
    <col min="16" max="16" width="6.71296296296296" style="22" customWidth="1"/>
    <col min="17" max="17" width="6" style="22" customWidth="1"/>
    <col min="18" max="18" width="6.13888888888889" style="22" customWidth="1"/>
    <col min="19" max="19" width="6" style="22" customWidth="1"/>
    <col min="20" max="20" width="6.71296296296296" style="22" customWidth="1"/>
    <col min="21" max="21" width="6" style="22" customWidth="1"/>
    <col min="22" max="22" width="7.85185185185185" style="23" customWidth="1"/>
    <col min="23" max="25" width="5.13888888888889" style="22" customWidth="1"/>
    <col min="26" max="26" width="7.85185185185185" style="22" customWidth="1"/>
    <col min="27" max="27" width="6.13888888888889" style="22" customWidth="1"/>
    <col min="28" max="28" width="8.57407407407407" style="22" customWidth="1"/>
    <col min="29" max="29" width="7.85185185185185" style="22" customWidth="1"/>
    <col min="30" max="30" width="7.28703703703704" style="22" customWidth="1"/>
    <col min="31" max="31" width="10.712962962963" style="22" customWidth="1"/>
  </cols>
  <sheetData>
    <row r="1" s="20" customFormat="1" ht="81" customHeight="1" spans="1:31">
      <c r="A1" s="24" t="s">
        <v>0</v>
      </c>
      <c r="B1" s="25" t="s">
        <v>1</v>
      </c>
      <c r="C1" s="24" t="s">
        <v>2</v>
      </c>
      <c r="D1" s="24" t="s">
        <v>3</v>
      </c>
      <c r="E1" s="26" t="s">
        <v>4</v>
      </c>
      <c r="F1" s="27" t="s">
        <v>5</v>
      </c>
      <c r="G1" s="28" t="s">
        <v>6</v>
      </c>
      <c r="H1" s="26" t="s">
        <v>7</v>
      </c>
      <c r="I1" s="26" t="s">
        <v>8</v>
      </c>
      <c r="J1" s="27" t="s">
        <v>9</v>
      </c>
      <c r="K1" s="26" t="s">
        <v>10</v>
      </c>
      <c r="L1" s="27" t="s">
        <v>11</v>
      </c>
      <c r="M1" s="27" t="s">
        <v>12</v>
      </c>
      <c r="N1" s="27" t="s">
        <v>13</v>
      </c>
      <c r="O1" s="26" t="s">
        <v>14</v>
      </c>
      <c r="P1" s="26" t="s">
        <v>15</v>
      </c>
      <c r="Q1" s="27" t="s">
        <v>16</v>
      </c>
      <c r="R1" s="42" t="s">
        <v>17</v>
      </c>
      <c r="S1" s="26" t="s">
        <v>18</v>
      </c>
      <c r="T1" s="26" t="s">
        <v>19</v>
      </c>
      <c r="U1" s="24" t="s">
        <v>20</v>
      </c>
      <c r="V1" s="42" t="s">
        <v>21</v>
      </c>
      <c r="W1" s="43" t="s">
        <v>22</v>
      </c>
      <c r="X1" s="43" t="s">
        <v>23</v>
      </c>
      <c r="Y1" s="47" t="s">
        <v>24</v>
      </c>
      <c r="Z1" s="42" t="s">
        <v>25</v>
      </c>
      <c r="AA1" s="27" t="s">
        <v>26</v>
      </c>
      <c r="AB1" s="48" t="s">
        <v>27</v>
      </c>
      <c r="AC1" s="49" t="s">
        <v>28</v>
      </c>
      <c r="AD1" s="49" t="s">
        <v>29</v>
      </c>
      <c r="AE1" s="49" t="s">
        <v>30</v>
      </c>
    </row>
    <row r="2" ht="18.95" customHeight="1" spans="1:31">
      <c r="A2" s="29">
        <v>1</v>
      </c>
      <c r="B2" s="30">
        <v>45748</v>
      </c>
      <c r="C2" s="29">
        <v>99.99</v>
      </c>
      <c r="D2" s="31">
        <v>0.2</v>
      </c>
      <c r="E2" s="32">
        <f t="shared" ref="E2:E25" si="0">SUM(C2*(1-D2))</f>
        <v>79.992</v>
      </c>
      <c r="F2" s="32">
        <v>10.69</v>
      </c>
      <c r="G2" s="33">
        <v>0.15</v>
      </c>
      <c r="H2" s="32">
        <f t="shared" ref="H2:H25" si="1">E2*G2</f>
        <v>11.9988</v>
      </c>
      <c r="I2" s="32">
        <f t="shared" ref="I2:I25" si="2">SUM(E2-F2-H2)</f>
        <v>57.3032</v>
      </c>
      <c r="J2" s="32">
        <v>1.28</v>
      </c>
      <c r="K2" s="32">
        <f t="shared" ref="K2:K25" si="3">IF(D2=0,0,0.6)</f>
        <v>0.6</v>
      </c>
      <c r="L2" s="32">
        <v>35</v>
      </c>
      <c r="M2" s="32">
        <v>5</v>
      </c>
      <c r="N2" s="32">
        <v>11.53</v>
      </c>
      <c r="O2" s="32">
        <f t="shared" ref="O2:O25" si="4">SUM(20%*15%*E2+F2+J2+L2+M2+N2)</f>
        <v>65.89976</v>
      </c>
      <c r="P2" s="32">
        <f t="shared" ref="P2:P25" si="5">SUM(20%*15%*E2+F2)</f>
        <v>13.08976</v>
      </c>
      <c r="Q2" s="31">
        <v>0.3</v>
      </c>
      <c r="R2" s="44">
        <v>0.06</v>
      </c>
      <c r="S2" s="32">
        <f t="shared" ref="S2:S25" si="6">(R2-R2*Q2)*P2+R2*Q2*O2</f>
        <v>1.7359656</v>
      </c>
      <c r="T2" s="32">
        <f t="shared" ref="T2:T25" si="7">SUM(I2-J2-K2-L2-M2-S2)</f>
        <v>13.6872344</v>
      </c>
      <c r="U2" s="29">
        <v>14</v>
      </c>
      <c r="V2" s="45">
        <v>0</v>
      </c>
      <c r="W2" s="29">
        <f t="shared" ref="W2:W25" si="8">ROUND(U2*V2,0)</f>
        <v>0</v>
      </c>
      <c r="X2" s="29">
        <f t="shared" ref="X2:X25" si="9">U2-W2</f>
        <v>14</v>
      </c>
      <c r="Y2" s="29">
        <f t="shared" ref="Y2:Y25" si="10">ROUND(X2/Z2,0)</f>
        <v>175</v>
      </c>
      <c r="Z2" s="45">
        <v>0.08</v>
      </c>
      <c r="AA2" s="50">
        <v>4.5</v>
      </c>
      <c r="AB2" s="29">
        <f t="shared" ref="AB2:AB25" si="11">SUM(Y2*AA2)</f>
        <v>787.5</v>
      </c>
      <c r="AC2" s="45">
        <f t="shared" ref="AC2:AC25" si="12">SUM(AA2/Z2/C2)</f>
        <v>0.562556255625563</v>
      </c>
      <c r="AD2" s="51">
        <f t="shared" ref="AD2:AD25" si="13">SUM(AB2/X2)</f>
        <v>56.25</v>
      </c>
      <c r="AE2" s="50">
        <f t="shared" ref="AE2:AE25" si="14">(L2+M2+T2)*U2-AB2</f>
        <v>-35.8787184</v>
      </c>
    </row>
    <row r="3" ht="21" customHeight="1" spans="1:31">
      <c r="A3" s="29"/>
      <c r="B3" s="30">
        <f t="shared" ref="B3:B25" si="15">B2+7</f>
        <v>45755</v>
      </c>
      <c r="C3" s="29">
        <v>99.99</v>
      </c>
      <c r="D3" s="31">
        <v>0.2</v>
      </c>
      <c r="E3" s="32">
        <f t="shared" si="0"/>
        <v>79.992</v>
      </c>
      <c r="F3" s="32">
        <v>10.69</v>
      </c>
      <c r="G3" s="33">
        <v>0.15</v>
      </c>
      <c r="H3" s="32">
        <f t="shared" si="1"/>
        <v>11.9988</v>
      </c>
      <c r="I3" s="32">
        <f t="shared" si="2"/>
        <v>57.3032</v>
      </c>
      <c r="J3" s="32">
        <v>1.28</v>
      </c>
      <c r="K3" s="32">
        <f t="shared" si="3"/>
        <v>0.6</v>
      </c>
      <c r="L3" s="32">
        <v>35</v>
      </c>
      <c r="M3" s="32">
        <v>5</v>
      </c>
      <c r="N3" s="32">
        <v>11.53</v>
      </c>
      <c r="O3" s="32">
        <f t="shared" si="4"/>
        <v>65.89976</v>
      </c>
      <c r="P3" s="32">
        <f t="shared" si="5"/>
        <v>13.08976</v>
      </c>
      <c r="Q3" s="31">
        <v>0.3</v>
      </c>
      <c r="R3" s="44">
        <v>0.06</v>
      </c>
      <c r="S3" s="32">
        <f t="shared" si="6"/>
        <v>1.7359656</v>
      </c>
      <c r="T3" s="32">
        <f t="shared" si="7"/>
        <v>13.6872344</v>
      </c>
      <c r="U3" s="29">
        <v>28</v>
      </c>
      <c r="V3" s="45">
        <v>0.25</v>
      </c>
      <c r="W3" s="29">
        <f t="shared" si="8"/>
        <v>7</v>
      </c>
      <c r="X3" s="29">
        <f t="shared" si="9"/>
        <v>21</v>
      </c>
      <c r="Y3" s="29">
        <f t="shared" si="10"/>
        <v>263</v>
      </c>
      <c r="Z3" s="45">
        <v>0.08</v>
      </c>
      <c r="AA3" s="50">
        <v>4.5</v>
      </c>
      <c r="AB3" s="29">
        <f t="shared" si="11"/>
        <v>1183.5</v>
      </c>
      <c r="AC3" s="45">
        <f t="shared" si="12"/>
        <v>0.562556255625563</v>
      </c>
      <c r="AD3" s="51">
        <f t="shared" si="13"/>
        <v>56.3571428571429</v>
      </c>
      <c r="AE3" s="50">
        <f t="shared" si="14"/>
        <v>319.7425632</v>
      </c>
    </row>
    <row r="4" ht="21" customHeight="1" spans="1:31">
      <c r="A4" s="29"/>
      <c r="B4" s="30">
        <f t="shared" si="15"/>
        <v>45762</v>
      </c>
      <c r="C4" s="29">
        <v>99.99</v>
      </c>
      <c r="D4" s="31">
        <v>0.2</v>
      </c>
      <c r="E4" s="32">
        <f t="shared" si="0"/>
        <v>79.992</v>
      </c>
      <c r="F4" s="32">
        <v>10.69</v>
      </c>
      <c r="G4" s="33">
        <v>0.15</v>
      </c>
      <c r="H4" s="32">
        <f t="shared" si="1"/>
        <v>11.9988</v>
      </c>
      <c r="I4" s="32">
        <f t="shared" si="2"/>
        <v>57.3032</v>
      </c>
      <c r="J4" s="32">
        <v>1.28</v>
      </c>
      <c r="K4" s="32">
        <f t="shared" si="3"/>
        <v>0.6</v>
      </c>
      <c r="L4" s="32">
        <v>35</v>
      </c>
      <c r="M4" s="32">
        <v>5</v>
      </c>
      <c r="N4" s="32">
        <v>11.53</v>
      </c>
      <c r="O4" s="32">
        <f t="shared" si="4"/>
        <v>65.89976</v>
      </c>
      <c r="P4" s="32">
        <f t="shared" si="5"/>
        <v>13.08976</v>
      </c>
      <c r="Q4" s="31">
        <v>0.3</v>
      </c>
      <c r="R4" s="44">
        <v>0.06</v>
      </c>
      <c r="S4" s="32">
        <f t="shared" si="6"/>
        <v>1.7359656</v>
      </c>
      <c r="T4" s="32">
        <f t="shared" si="7"/>
        <v>13.6872344</v>
      </c>
      <c r="U4" s="29">
        <v>42</v>
      </c>
      <c r="V4" s="45">
        <v>0.333333333333333</v>
      </c>
      <c r="W4" s="29">
        <f t="shared" si="8"/>
        <v>14</v>
      </c>
      <c r="X4" s="29">
        <f t="shared" si="9"/>
        <v>28</v>
      </c>
      <c r="Y4" s="29">
        <f t="shared" si="10"/>
        <v>350</v>
      </c>
      <c r="Z4" s="45">
        <v>0.08</v>
      </c>
      <c r="AA4" s="50">
        <v>4.5</v>
      </c>
      <c r="AB4" s="29">
        <f t="shared" si="11"/>
        <v>1575</v>
      </c>
      <c r="AC4" s="45">
        <f t="shared" si="12"/>
        <v>0.562556255625563</v>
      </c>
      <c r="AD4" s="51">
        <f t="shared" si="13"/>
        <v>56.25</v>
      </c>
      <c r="AE4" s="50">
        <f t="shared" si="14"/>
        <v>679.8638448</v>
      </c>
    </row>
    <row r="5" ht="21" customHeight="1" spans="1:31">
      <c r="A5" s="29"/>
      <c r="B5" s="30">
        <f t="shared" si="15"/>
        <v>45769</v>
      </c>
      <c r="C5" s="29">
        <v>99.99</v>
      </c>
      <c r="D5" s="31">
        <v>0.2</v>
      </c>
      <c r="E5" s="32">
        <f t="shared" si="0"/>
        <v>79.992</v>
      </c>
      <c r="F5" s="32">
        <v>10.69</v>
      </c>
      <c r="G5" s="33">
        <v>0.15</v>
      </c>
      <c r="H5" s="32">
        <f t="shared" si="1"/>
        <v>11.9988</v>
      </c>
      <c r="I5" s="32">
        <f t="shared" si="2"/>
        <v>57.3032</v>
      </c>
      <c r="J5" s="32">
        <v>1.28</v>
      </c>
      <c r="K5" s="32">
        <f t="shared" si="3"/>
        <v>0.6</v>
      </c>
      <c r="L5" s="32">
        <v>35</v>
      </c>
      <c r="M5" s="32">
        <v>5</v>
      </c>
      <c r="N5" s="32">
        <v>11.53</v>
      </c>
      <c r="O5" s="32">
        <f t="shared" si="4"/>
        <v>65.89976</v>
      </c>
      <c r="P5" s="32">
        <f t="shared" si="5"/>
        <v>13.08976</v>
      </c>
      <c r="Q5" s="31">
        <v>0.3</v>
      </c>
      <c r="R5" s="44">
        <v>0.06</v>
      </c>
      <c r="S5" s="32">
        <f t="shared" si="6"/>
        <v>1.7359656</v>
      </c>
      <c r="T5" s="32">
        <f t="shared" si="7"/>
        <v>13.6872344</v>
      </c>
      <c r="U5" s="29">
        <v>56</v>
      </c>
      <c r="V5" s="45">
        <v>0.375</v>
      </c>
      <c r="W5" s="29">
        <f t="shared" si="8"/>
        <v>21</v>
      </c>
      <c r="X5" s="29">
        <f t="shared" si="9"/>
        <v>35</v>
      </c>
      <c r="Y5" s="29">
        <f t="shared" si="10"/>
        <v>438</v>
      </c>
      <c r="Z5" s="45">
        <v>0.08</v>
      </c>
      <c r="AA5" s="50">
        <v>4.5</v>
      </c>
      <c r="AB5" s="29">
        <f t="shared" si="11"/>
        <v>1971</v>
      </c>
      <c r="AC5" s="45">
        <f t="shared" si="12"/>
        <v>0.562556255625563</v>
      </c>
      <c r="AD5" s="51">
        <f t="shared" si="13"/>
        <v>56.3142857142857</v>
      </c>
      <c r="AE5" s="50">
        <f t="shared" si="14"/>
        <v>1035.4851264</v>
      </c>
    </row>
    <row r="6" ht="21" customHeight="1" spans="1:31">
      <c r="A6" s="29">
        <v>2</v>
      </c>
      <c r="B6" s="30">
        <f t="shared" si="15"/>
        <v>45776</v>
      </c>
      <c r="C6" s="29">
        <v>99.99</v>
      </c>
      <c r="D6" s="31">
        <v>0.2</v>
      </c>
      <c r="E6" s="32">
        <f t="shared" si="0"/>
        <v>79.992</v>
      </c>
      <c r="F6" s="32">
        <v>10.69</v>
      </c>
      <c r="G6" s="33">
        <v>0.15</v>
      </c>
      <c r="H6" s="32">
        <f t="shared" si="1"/>
        <v>11.9988</v>
      </c>
      <c r="I6" s="32">
        <f t="shared" si="2"/>
        <v>57.3032</v>
      </c>
      <c r="J6" s="32">
        <v>1.28</v>
      </c>
      <c r="K6" s="32">
        <f t="shared" si="3"/>
        <v>0.6</v>
      </c>
      <c r="L6" s="32">
        <v>35</v>
      </c>
      <c r="M6" s="32">
        <v>5</v>
      </c>
      <c r="N6" s="32">
        <v>11.53</v>
      </c>
      <c r="O6" s="32">
        <f t="shared" si="4"/>
        <v>65.89976</v>
      </c>
      <c r="P6" s="32">
        <f t="shared" si="5"/>
        <v>13.08976</v>
      </c>
      <c r="Q6" s="31">
        <v>0.3</v>
      </c>
      <c r="R6" s="44">
        <v>0.06</v>
      </c>
      <c r="S6" s="32">
        <f t="shared" si="6"/>
        <v>1.7359656</v>
      </c>
      <c r="T6" s="32">
        <f t="shared" si="7"/>
        <v>13.6872344</v>
      </c>
      <c r="U6" s="29">
        <v>70</v>
      </c>
      <c r="V6" s="45">
        <v>0.4</v>
      </c>
      <c r="W6" s="29">
        <f t="shared" si="8"/>
        <v>28</v>
      </c>
      <c r="X6" s="29">
        <f t="shared" si="9"/>
        <v>42</v>
      </c>
      <c r="Y6" s="29">
        <f t="shared" si="10"/>
        <v>420</v>
      </c>
      <c r="Z6" s="45">
        <v>0.1</v>
      </c>
      <c r="AA6" s="50">
        <v>4.2</v>
      </c>
      <c r="AB6" s="29">
        <f t="shared" si="11"/>
        <v>1764</v>
      </c>
      <c r="AC6" s="45">
        <f t="shared" si="12"/>
        <v>0.42004200420042</v>
      </c>
      <c r="AD6" s="51">
        <f t="shared" si="13"/>
        <v>42</v>
      </c>
      <c r="AE6" s="50">
        <f t="shared" si="14"/>
        <v>1994.106408</v>
      </c>
    </row>
    <row r="7" ht="21" customHeight="1" spans="1:31">
      <c r="A7" s="29"/>
      <c r="B7" s="30">
        <f t="shared" si="15"/>
        <v>45783</v>
      </c>
      <c r="C7" s="29">
        <v>99.99</v>
      </c>
      <c r="D7" s="31">
        <v>0.2</v>
      </c>
      <c r="E7" s="32">
        <f t="shared" si="0"/>
        <v>79.992</v>
      </c>
      <c r="F7" s="32">
        <v>10.69</v>
      </c>
      <c r="G7" s="33">
        <v>0.15</v>
      </c>
      <c r="H7" s="32">
        <f t="shared" si="1"/>
        <v>11.9988</v>
      </c>
      <c r="I7" s="32">
        <f t="shared" si="2"/>
        <v>57.3032</v>
      </c>
      <c r="J7" s="32">
        <v>1.28</v>
      </c>
      <c r="K7" s="32">
        <f t="shared" si="3"/>
        <v>0.6</v>
      </c>
      <c r="L7" s="32">
        <v>35</v>
      </c>
      <c r="M7" s="32">
        <v>5</v>
      </c>
      <c r="N7" s="32">
        <v>11.53</v>
      </c>
      <c r="O7" s="32">
        <f t="shared" si="4"/>
        <v>65.89976</v>
      </c>
      <c r="P7" s="32">
        <f t="shared" si="5"/>
        <v>13.08976</v>
      </c>
      <c r="Q7" s="31">
        <v>0.3</v>
      </c>
      <c r="R7" s="44">
        <v>0.06</v>
      </c>
      <c r="S7" s="32">
        <f t="shared" si="6"/>
        <v>1.7359656</v>
      </c>
      <c r="T7" s="32">
        <f t="shared" si="7"/>
        <v>13.6872344</v>
      </c>
      <c r="U7" s="29">
        <v>84</v>
      </c>
      <c r="V7" s="45">
        <v>0.416666666666667</v>
      </c>
      <c r="W7" s="29">
        <f t="shared" si="8"/>
        <v>35</v>
      </c>
      <c r="X7" s="29">
        <f t="shared" si="9"/>
        <v>49</v>
      </c>
      <c r="Y7" s="29">
        <f t="shared" si="10"/>
        <v>490</v>
      </c>
      <c r="Z7" s="45">
        <v>0.1</v>
      </c>
      <c r="AA7" s="50">
        <v>4.2</v>
      </c>
      <c r="AB7" s="29">
        <f t="shared" si="11"/>
        <v>2058</v>
      </c>
      <c r="AC7" s="45">
        <f t="shared" si="12"/>
        <v>0.42004200420042</v>
      </c>
      <c r="AD7" s="51">
        <f t="shared" si="13"/>
        <v>42</v>
      </c>
      <c r="AE7" s="50">
        <f t="shared" si="14"/>
        <v>2451.7276896</v>
      </c>
    </row>
    <row r="8" ht="21" customHeight="1" spans="1:31">
      <c r="A8" s="29"/>
      <c r="B8" s="30">
        <f t="shared" si="15"/>
        <v>45790</v>
      </c>
      <c r="C8" s="29">
        <v>99.99</v>
      </c>
      <c r="D8" s="31">
        <v>0.2</v>
      </c>
      <c r="E8" s="32">
        <f t="shared" si="0"/>
        <v>79.992</v>
      </c>
      <c r="F8" s="32">
        <v>10.69</v>
      </c>
      <c r="G8" s="33">
        <v>0.15</v>
      </c>
      <c r="H8" s="32">
        <f t="shared" si="1"/>
        <v>11.9988</v>
      </c>
      <c r="I8" s="32">
        <f t="shared" si="2"/>
        <v>57.3032</v>
      </c>
      <c r="J8" s="32">
        <v>1.28</v>
      </c>
      <c r="K8" s="32">
        <f t="shared" si="3"/>
        <v>0.6</v>
      </c>
      <c r="L8" s="32">
        <v>35</v>
      </c>
      <c r="M8" s="32">
        <v>5</v>
      </c>
      <c r="N8" s="32">
        <v>11.53</v>
      </c>
      <c r="O8" s="32">
        <f t="shared" si="4"/>
        <v>65.89976</v>
      </c>
      <c r="P8" s="32">
        <f t="shared" si="5"/>
        <v>13.08976</v>
      </c>
      <c r="Q8" s="31">
        <v>0.3</v>
      </c>
      <c r="R8" s="44">
        <v>0.06</v>
      </c>
      <c r="S8" s="32">
        <f t="shared" si="6"/>
        <v>1.7359656</v>
      </c>
      <c r="T8" s="32">
        <f t="shared" si="7"/>
        <v>13.6872344</v>
      </c>
      <c r="U8" s="29">
        <v>98</v>
      </c>
      <c r="V8" s="45">
        <v>0.428571428571429</v>
      </c>
      <c r="W8" s="29">
        <f t="shared" si="8"/>
        <v>42</v>
      </c>
      <c r="X8" s="29">
        <f t="shared" si="9"/>
        <v>56</v>
      </c>
      <c r="Y8" s="29">
        <f t="shared" si="10"/>
        <v>560</v>
      </c>
      <c r="Z8" s="45">
        <v>0.1</v>
      </c>
      <c r="AA8" s="50">
        <v>4.2</v>
      </c>
      <c r="AB8" s="29">
        <f t="shared" si="11"/>
        <v>2352</v>
      </c>
      <c r="AC8" s="45">
        <f t="shared" si="12"/>
        <v>0.42004200420042</v>
      </c>
      <c r="AD8" s="51">
        <f t="shared" si="13"/>
        <v>42</v>
      </c>
      <c r="AE8" s="50">
        <f t="shared" si="14"/>
        <v>2909.3489712</v>
      </c>
    </row>
    <row r="9" ht="21" customHeight="1" spans="1:31">
      <c r="A9" s="29"/>
      <c r="B9" s="30">
        <f t="shared" si="15"/>
        <v>45797</v>
      </c>
      <c r="C9" s="29">
        <v>99.99</v>
      </c>
      <c r="D9" s="31">
        <v>0.2</v>
      </c>
      <c r="E9" s="32">
        <f t="shared" si="0"/>
        <v>79.992</v>
      </c>
      <c r="F9" s="32">
        <v>10.69</v>
      </c>
      <c r="G9" s="33">
        <v>0.15</v>
      </c>
      <c r="H9" s="32">
        <f t="shared" si="1"/>
        <v>11.9988</v>
      </c>
      <c r="I9" s="32">
        <f t="shared" si="2"/>
        <v>57.3032</v>
      </c>
      <c r="J9" s="32">
        <v>1.28</v>
      </c>
      <c r="K9" s="32">
        <f t="shared" si="3"/>
        <v>0.6</v>
      </c>
      <c r="L9" s="32">
        <v>35</v>
      </c>
      <c r="M9" s="32">
        <v>5</v>
      </c>
      <c r="N9" s="32">
        <v>11.53</v>
      </c>
      <c r="O9" s="32">
        <f t="shared" si="4"/>
        <v>65.89976</v>
      </c>
      <c r="P9" s="32">
        <f t="shared" si="5"/>
        <v>13.08976</v>
      </c>
      <c r="Q9" s="31">
        <v>0.3</v>
      </c>
      <c r="R9" s="44">
        <v>0.06</v>
      </c>
      <c r="S9" s="32">
        <f t="shared" si="6"/>
        <v>1.7359656</v>
      </c>
      <c r="T9" s="32">
        <f t="shared" si="7"/>
        <v>13.6872344</v>
      </c>
      <c r="U9" s="29">
        <v>112</v>
      </c>
      <c r="V9" s="45">
        <v>0.4375</v>
      </c>
      <c r="W9" s="29">
        <f t="shared" si="8"/>
        <v>49</v>
      </c>
      <c r="X9" s="29">
        <f t="shared" si="9"/>
        <v>63</v>
      </c>
      <c r="Y9" s="29">
        <f t="shared" si="10"/>
        <v>630</v>
      </c>
      <c r="Z9" s="45">
        <v>0.1</v>
      </c>
      <c r="AA9" s="50">
        <v>4.2</v>
      </c>
      <c r="AB9" s="29">
        <f t="shared" si="11"/>
        <v>2646</v>
      </c>
      <c r="AC9" s="45">
        <f t="shared" si="12"/>
        <v>0.42004200420042</v>
      </c>
      <c r="AD9" s="51">
        <f t="shared" si="13"/>
        <v>42</v>
      </c>
      <c r="AE9" s="50">
        <f t="shared" si="14"/>
        <v>3366.9702528</v>
      </c>
    </row>
    <row r="10" ht="21" customHeight="1" spans="1:31">
      <c r="A10" s="29">
        <v>3</v>
      </c>
      <c r="B10" s="30">
        <f t="shared" si="15"/>
        <v>45804</v>
      </c>
      <c r="C10" s="29">
        <v>99.99</v>
      </c>
      <c r="D10" s="31">
        <v>0.1</v>
      </c>
      <c r="E10" s="32">
        <f t="shared" si="0"/>
        <v>89.991</v>
      </c>
      <c r="F10" s="32">
        <v>10.69</v>
      </c>
      <c r="G10" s="33">
        <v>0.15</v>
      </c>
      <c r="H10" s="32">
        <f t="shared" si="1"/>
        <v>13.49865</v>
      </c>
      <c r="I10" s="32">
        <f t="shared" si="2"/>
        <v>65.80235</v>
      </c>
      <c r="J10" s="32">
        <v>1.28</v>
      </c>
      <c r="K10" s="32">
        <f t="shared" si="3"/>
        <v>0.6</v>
      </c>
      <c r="L10" s="32">
        <v>35</v>
      </c>
      <c r="M10" s="32">
        <v>5</v>
      </c>
      <c r="N10" s="32">
        <v>11.53</v>
      </c>
      <c r="O10" s="32">
        <f t="shared" si="4"/>
        <v>66.19973</v>
      </c>
      <c r="P10" s="32">
        <f t="shared" si="5"/>
        <v>13.38973</v>
      </c>
      <c r="Q10" s="31">
        <v>0.3</v>
      </c>
      <c r="R10" s="44">
        <v>0.06</v>
      </c>
      <c r="S10" s="32">
        <f t="shared" si="6"/>
        <v>1.7539638</v>
      </c>
      <c r="T10" s="32">
        <f t="shared" si="7"/>
        <v>22.1683862</v>
      </c>
      <c r="U10" s="29">
        <v>126</v>
      </c>
      <c r="V10" s="45">
        <v>0.444444444444444</v>
      </c>
      <c r="W10" s="29">
        <f t="shared" si="8"/>
        <v>56</v>
      </c>
      <c r="X10" s="29">
        <f t="shared" si="9"/>
        <v>70</v>
      </c>
      <c r="Y10" s="29">
        <f t="shared" si="10"/>
        <v>583</v>
      </c>
      <c r="Z10" s="45">
        <v>0.12</v>
      </c>
      <c r="AA10" s="50">
        <v>4</v>
      </c>
      <c r="AB10" s="29">
        <f t="shared" si="11"/>
        <v>2332</v>
      </c>
      <c r="AC10" s="45">
        <f t="shared" si="12"/>
        <v>0.333366670000333</v>
      </c>
      <c r="AD10" s="51">
        <f t="shared" si="13"/>
        <v>33.3142857142857</v>
      </c>
      <c r="AE10" s="50">
        <f t="shared" si="14"/>
        <v>5501.2166612</v>
      </c>
    </row>
    <row r="11" ht="21" customHeight="1" spans="1:31">
      <c r="A11" s="29"/>
      <c r="B11" s="30">
        <f t="shared" si="15"/>
        <v>45811</v>
      </c>
      <c r="C11" s="29">
        <v>99.99</v>
      </c>
      <c r="D11" s="31">
        <v>0.1</v>
      </c>
      <c r="E11" s="32">
        <f t="shared" si="0"/>
        <v>89.991</v>
      </c>
      <c r="F11" s="32">
        <v>10.69</v>
      </c>
      <c r="G11" s="33">
        <v>0.15</v>
      </c>
      <c r="H11" s="32">
        <f t="shared" si="1"/>
        <v>13.49865</v>
      </c>
      <c r="I11" s="32">
        <f t="shared" si="2"/>
        <v>65.80235</v>
      </c>
      <c r="J11" s="32">
        <v>1.28</v>
      </c>
      <c r="K11" s="32">
        <f t="shared" si="3"/>
        <v>0.6</v>
      </c>
      <c r="L11" s="32">
        <v>35</v>
      </c>
      <c r="M11" s="32">
        <v>5</v>
      </c>
      <c r="N11" s="32">
        <v>11.53</v>
      </c>
      <c r="O11" s="32">
        <f t="shared" si="4"/>
        <v>66.19973</v>
      </c>
      <c r="P11" s="32">
        <f t="shared" si="5"/>
        <v>13.38973</v>
      </c>
      <c r="Q11" s="31">
        <v>0.3</v>
      </c>
      <c r="R11" s="44">
        <v>0.06</v>
      </c>
      <c r="S11" s="32">
        <f t="shared" si="6"/>
        <v>1.7539638</v>
      </c>
      <c r="T11" s="32">
        <f t="shared" si="7"/>
        <v>22.1683862</v>
      </c>
      <c r="U11" s="29">
        <v>140</v>
      </c>
      <c r="V11" s="45">
        <v>0.45</v>
      </c>
      <c r="W11" s="29">
        <f t="shared" si="8"/>
        <v>63</v>
      </c>
      <c r="X11" s="29">
        <f t="shared" si="9"/>
        <v>77</v>
      </c>
      <c r="Y11" s="29">
        <f t="shared" si="10"/>
        <v>642</v>
      </c>
      <c r="Z11" s="45">
        <v>0.12</v>
      </c>
      <c r="AA11" s="50">
        <v>4</v>
      </c>
      <c r="AB11" s="29">
        <f t="shared" si="11"/>
        <v>2568</v>
      </c>
      <c r="AC11" s="45">
        <f t="shared" si="12"/>
        <v>0.333366670000333</v>
      </c>
      <c r="AD11" s="51">
        <f t="shared" si="13"/>
        <v>33.3506493506493</v>
      </c>
      <c r="AE11" s="50">
        <f t="shared" si="14"/>
        <v>6135.574068</v>
      </c>
    </row>
    <row r="12" ht="21" customHeight="1" spans="1:31">
      <c r="A12" s="29"/>
      <c r="B12" s="30">
        <f t="shared" si="15"/>
        <v>45818</v>
      </c>
      <c r="C12" s="29">
        <v>99.99</v>
      </c>
      <c r="D12" s="31">
        <v>0.1</v>
      </c>
      <c r="E12" s="32">
        <f t="shared" si="0"/>
        <v>89.991</v>
      </c>
      <c r="F12" s="32">
        <v>10.69</v>
      </c>
      <c r="G12" s="33">
        <v>0.15</v>
      </c>
      <c r="H12" s="32">
        <f t="shared" si="1"/>
        <v>13.49865</v>
      </c>
      <c r="I12" s="32">
        <f t="shared" si="2"/>
        <v>65.80235</v>
      </c>
      <c r="J12" s="32">
        <v>1.28</v>
      </c>
      <c r="K12" s="32">
        <f t="shared" si="3"/>
        <v>0.6</v>
      </c>
      <c r="L12" s="32">
        <v>35</v>
      </c>
      <c r="M12" s="32">
        <v>5</v>
      </c>
      <c r="N12" s="32">
        <v>11.53</v>
      </c>
      <c r="O12" s="32">
        <f t="shared" si="4"/>
        <v>66.19973</v>
      </c>
      <c r="P12" s="32">
        <f t="shared" si="5"/>
        <v>13.38973</v>
      </c>
      <c r="Q12" s="31">
        <v>0.3</v>
      </c>
      <c r="R12" s="44">
        <v>0.06</v>
      </c>
      <c r="S12" s="32">
        <f t="shared" si="6"/>
        <v>1.7539638</v>
      </c>
      <c r="T12" s="32">
        <f t="shared" si="7"/>
        <v>22.1683862</v>
      </c>
      <c r="U12" s="29">
        <v>154</v>
      </c>
      <c r="V12" s="45">
        <v>0.454545454545455</v>
      </c>
      <c r="W12" s="29">
        <f t="shared" si="8"/>
        <v>70</v>
      </c>
      <c r="X12" s="29">
        <f t="shared" si="9"/>
        <v>84</v>
      </c>
      <c r="Y12" s="29">
        <f t="shared" si="10"/>
        <v>700</v>
      </c>
      <c r="Z12" s="45">
        <v>0.12</v>
      </c>
      <c r="AA12" s="50">
        <v>4</v>
      </c>
      <c r="AB12" s="29">
        <f t="shared" si="11"/>
        <v>2800</v>
      </c>
      <c r="AC12" s="45">
        <f t="shared" si="12"/>
        <v>0.333366670000333</v>
      </c>
      <c r="AD12" s="51">
        <f t="shared" si="13"/>
        <v>33.3333333333333</v>
      </c>
      <c r="AE12" s="50">
        <f t="shared" si="14"/>
        <v>6773.9314748</v>
      </c>
    </row>
    <row r="13" ht="21" customHeight="1" spans="1:31">
      <c r="A13" s="29"/>
      <c r="B13" s="30">
        <f t="shared" si="15"/>
        <v>45825</v>
      </c>
      <c r="C13" s="29">
        <v>99.99</v>
      </c>
      <c r="D13" s="31">
        <v>0.1</v>
      </c>
      <c r="E13" s="32">
        <f t="shared" si="0"/>
        <v>89.991</v>
      </c>
      <c r="F13" s="32">
        <v>10.69</v>
      </c>
      <c r="G13" s="33">
        <v>0.15</v>
      </c>
      <c r="H13" s="32">
        <f t="shared" si="1"/>
        <v>13.49865</v>
      </c>
      <c r="I13" s="32">
        <f t="shared" si="2"/>
        <v>65.80235</v>
      </c>
      <c r="J13" s="32">
        <v>1.28</v>
      </c>
      <c r="K13" s="32">
        <f t="shared" si="3"/>
        <v>0.6</v>
      </c>
      <c r="L13" s="32">
        <v>35</v>
      </c>
      <c r="M13" s="32">
        <v>5</v>
      </c>
      <c r="N13" s="32">
        <v>11.53</v>
      </c>
      <c r="O13" s="32">
        <f t="shared" si="4"/>
        <v>66.19973</v>
      </c>
      <c r="P13" s="32">
        <f t="shared" si="5"/>
        <v>13.38973</v>
      </c>
      <c r="Q13" s="31">
        <v>0.3</v>
      </c>
      <c r="R13" s="44">
        <v>0.06</v>
      </c>
      <c r="S13" s="32">
        <f t="shared" si="6"/>
        <v>1.7539638</v>
      </c>
      <c r="T13" s="32">
        <f t="shared" si="7"/>
        <v>22.1683862</v>
      </c>
      <c r="U13" s="29">
        <v>168</v>
      </c>
      <c r="V13" s="45">
        <v>0.458333333333333</v>
      </c>
      <c r="W13" s="29">
        <f t="shared" si="8"/>
        <v>77</v>
      </c>
      <c r="X13" s="29">
        <f t="shared" si="9"/>
        <v>91</v>
      </c>
      <c r="Y13" s="29">
        <f t="shared" si="10"/>
        <v>758</v>
      </c>
      <c r="Z13" s="45">
        <v>0.12</v>
      </c>
      <c r="AA13" s="50">
        <v>4</v>
      </c>
      <c r="AB13" s="29">
        <f t="shared" si="11"/>
        <v>3032</v>
      </c>
      <c r="AC13" s="45">
        <f t="shared" si="12"/>
        <v>0.333366670000333</v>
      </c>
      <c r="AD13" s="51">
        <f t="shared" si="13"/>
        <v>33.3186813186813</v>
      </c>
      <c r="AE13" s="50">
        <f t="shared" si="14"/>
        <v>7412.2888816</v>
      </c>
    </row>
    <row r="14" ht="21" customHeight="1" spans="1:31">
      <c r="A14" s="29">
        <v>4</v>
      </c>
      <c r="B14" s="30">
        <f t="shared" si="15"/>
        <v>45832</v>
      </c>
      <c r="C14" s="29">
        <v>99.99</v>
      </c>
      <c r="D14" s="31">
        <v>0.1</v>
      </c>
      <c r="E14" s="32">
        <f t="shared" si="0"/>
        <v>89.991</v>
      </c>
      <c r="F14" s="32">
        <v>10.69</v>
      </c>
      <c r="G14" s="33">
        <v>0.15</v>
      </c>
      <c r="H14" s="32">
        <f t="shared" si="1"/>
        <v>13.49865</v>
      </c>
      <c r="I14" s="32">
        <f t="shared" si="2"/>
        <v>65.80235</v>
      </c>
      <c r="J14" s="32">
        <v>1.28</v>
      </c>
      <c r="K14" s="32">
        <f t="shared" si="3"/>
        <v>0.6</v>
      </c>
      <c r="L14" s="32">
        <v>35</v>
      </c>
      <c r="M14" s="32">
        <v>5</v>
      </c>
      <c r="N14" s="32">
        <v>11.53</v>
      </c>
      <c r="O14" s="32">
        <f t="shared" si="4"/>
        <v>66.19973</v>
      </c>
      <c r="P14" s="32">
        <f t="shared" si="5"/>
        <v>13.38973</v>
      </c>
      <c r="Q14" s="31">
        <v>0.3</v>
      </c>
      <c r="R14" s="44">
        <v>0.06</v>
      </c>
      <c r="S14" s="32">
        <f t="shared" si="6"/>
        <v>1.7539638</v>
      </c>
      <c r="T14" s="32">
        <f t="shared" si="7"/>
        <v>22.1683862</v>
      </c>
      <c r="U14" s="29">
        <v>182</v>
      </c>
      <c r="V14" s="45">
        <v>0.461538461538462</v>
      </c>
      <c r="W14" s="29">
        <f t="shared" si="8"/>
        <v>84</v>
      </c>
      <c r="X14" s="29">
        <f t="shared" si="9"/>
        <v>98</v>
      </c>
      <c r="Y14" s="29">
        <f t="shared" si="10"/>
        <v>700</v>
      </c>
      <c r="Z14" s="45">
        <v>0.14</v>
      </c>
      <c r="AA14" s="50">
        <v>3.8</v>
      </c>
      <c r="AB14" s="29">
        <f t="shared" si="11"/>
        <v>2660</v>
      </c>
      <c r="AC14" s="45">
        <f t="shared" si="12"/>
        <v>0.271455717000271</v>
      </c>
      <c r="AD14" s="51">
        <f t="shared" si="13"/>
        <v>27.1428571428571</v>
      </c>
      <c r="AE14" s="50">
        <f t="shared" si="14"/>
        <v>8654.6462884</v>
      </c>
    </row>
    <row r="15" ht="21" customHeight="1" spans="1:31">
      <c r="A15" s="29"/>
      <c r="B15" s="30">
        <f t="shared" si="15"/>
        <v>45839</v>
      </c>
      <c r="C15" s="29">
        <v>99.99</v>
      </c>
      <c r="D15" s="31">
        <v>0.1</v>
      </c>
      <c r="E15" s="32">
        <f t="shared" si="0"/>
        <v>89.991</v>
      </c>
      <c r="F15" s="32">
        <v>10.69</v>
      </c>
      <c r="G15" s="33">
        <v>0.15</v>
      </c>
      <c r="H15" s="32">
        <f t="shared" si="1"/>
        <v>13.49865</v>
      </c>
      <c r="I15" s="32">
        <f t="shared" si="2"/>
        <v>65.80235</v>
      </c>
      <c r="J15" s="32">
        <v>1.28</v>
      </c>
      <c r="K15" s="32">
        <f t="shared" si="3"/>
        <v>0.6</v>
      </c>
      <c r="L15" s="32">
        <v>35</v>
      </c>
      <c r="M15" s="32">
        <v>5</v>
      </c>
      <c r="N15" s="32">
        <v>11.53</v>
      </c>
      <c r="O15" s="32">
        <f t="shared" si="4"/>
        <v>66.19973</v>
      </c>
      <c r="P15" s="32">
        <f t="shared" si="5"/>
        <v>13.38973</v>
      </c>
      <c r="Q15" s="31">
        <v>0.3</v>
      </c>
      <c r="R15" s="44">
        <v>0.06</v>
      </c>
      <c r="S15" s="32">
        <f t="shared" si="6"/>
        <v>1.7539638</v>
      </c>
      <c r="T15" s="32">
        <f t="shared" si="7"/>
        <v>22.1683862</v>
      </c>
      <c r="U15" s="29">
        <v>196</v>
      </c>
      <c r="V15" s="45">
        <v>0.5</v>
      </c>
      <c r="W15" s="29">
        <f t="shared" si="8"/>
        <v>98</v>
      </c>
      <c r="X15" s="29">
        <f t="shared" si="9"/>
        <v>98</v>
      </c>
      <c r="Y15" s="29">
        <f t="shared" si="10"/>
        <v>700</v>
      </c>
      <c r="Z15" s="45">
        <v>0.14</v>
      </c>
      <c r="AA15" s="50">
        <v>3.8</v>
      </c>
      <c r="AB15" s="29">
        <f t="shared" si="11"/>
        <v>2660</v>
      </c>
      <c r="AC15" s="45">
        <f t="shared" si="12"/>
        <v>0.271455717000271</v>
      </c>
      <c r="AD15" s="51">
        <f t="shared" si="13"/>
        <v>27.1428571428571</v>
      </c>
      <c r="AE15" s="50">
        <f t="shared" si="14"/>
        <v>9525.0036952</v>
      </c>
    </row>
    <row r="16" ht="21" customHeight="1" spans="1:31">
      <c r="A16" s="29"/>
      <c r="B16" s="30">
        <f t="shared" si="15"/>
        <v>45846</v>
      </c>
      <c r="C16" s="29">
        <v>99.99</v>
      </c>
      <c r="D16" s="31">
        <v>0.1</v>
      </c>
      <c r="E16" s="32">
        <f t="shared" si="0"/>
        <v>89.991</v>
      </c>
      <c r="F16" s="32">
        <v>10.69</v>
      </c>
      <c r="G16" s="33">
        <v>0.15</v>
      </c>
      <c r="H16" s="32">
        <f t="shared" si="1"/>
        <v>13.49865</v>
      </c>
      <c r="I16" s="32">
        <f t="shared" si="2"/>
        <v>65.80235</v>
      </c>
      <c r="J16" s="32">
        <v>1.28</v>
      </c>
      <c r="K16" s="32">
        <f t="shared" si="3"/>
        <v>0.6</v>
      </c>
      <c r="L16" s="32">
        <v>35</v>
      </c>
      <c r="M16" s="32">
        <v>5</v>
      </c>
      <c r="N16" s="32">
        <v>11.53</v>
      </c>
      <c r="O16" s="32">
        <f t="shared" si="4"/>
        <v>66.19973</v>
      </c>
      <c r="P16" s="32">
        <f t="shared" si="5"/>
        <v>13.38973</v>
      </c>
      <c r="Q16" s="31">
        <v>0.3</v>
      </c>
      <c r="R16" s="44">
        <v>0.06</v>
      </c>
      <c r="S16" s="32">
        <f t="shared" si="6"/>
        <v>1.7539638</v>
      </c>
      <c r="T16" s="32">
        <f t="shared" si="7"/>
        <v>22.1683862</v>
      </c>
      <c r="U16" s="29">
        <v>210</v>
      </c>
      <c r="V16" s="45">
        <v>0.5</v>
      </c>
      <c r="W16" s="29">
        <f t="shared" si="8"/>
        <v>105</v>
      </c>
      <c r="X16" s="29">
        <f t="shared" si="9"/>
        <v>105</v>
      </c>
      <c r="Y16" s="29">
        <f t="shared" si="10"/>
        <v>750</v>
      </c>
      <c r="Z16" s="45">
        <v>0.14</v>
      </c>
      <c r="AA16" s="50">
        <v>3.8</v>
      </c>
      <c r="AB16" s="29">
        <f t="shared" si="11"/>
        <v>2850</v>
      </c>
      <c r="AC16" s="45">
        <f t="shared" si="12"/>
        <v>0.271455717000271</v>
      </c>
      <c r="AD16" s="51">
        <f t="shared" si="13"/>
        <v>27.1428571428571</v>
      </c>
      <c r="AE16" s="50">
        <f t="shared" si="14"/>
        <v>10205.361102</v>
      </c>
    </row>
    <row r="17" ht="21" customHeight="1" spans="1:31">
      <c r="A17" s="29"/>
      <c r="B17" s="30">
        <f t="shared" si="15"/>
        <v>45853</v>
      </c>
      <c r="C17" s="29">
        <v>99.99</v>
      </c>
      <c r="D17" s="31">
        <v>0.1</v>
      </c>
      <c r="E17" s="32">
        <f t="shared" si="0"/>
        <v>89.991</v>
      </c>
      <c r="F17" s="32">
        <v>10.69</v>
      </c>
      <c r="G17" s="33">
        <v>0.15</v>
      </c>
      <c r="H17" s="32">
        <f t="shared" si="1"/>
        <v>13.49865</v>
      </c>
      <c r="I17" s="32">
        <f t="shared" si="2"/>
        <v>65.80235</v>
      </c>
      <c r="J17" s="32">
        <v>1.28</v>
      </c>
      <c r="K17" s="32">
        <f t="shared" si="3"/>
        <v>0.6</v>
      </c>
      <c r="L17" s="32">
        <v>35</v>
      </c>
      <c r="M17" s="32">
        <v>5</v>
      </c>
      <c r="N17" s="32">
        <v>11.53</v>
      </c>
      <c r="O17" s="32">
        <f t="shared" si="4"/>
        <v>66.19973</v>
      </c>
      <c r="P17" s="32">
        <f t="shared" si="5"/>
        <v>13.38973</v>
      </c>
      <c r="Q17" s="31">
        <v>0.3</v>
      </c>
      <c r="R17" s="44">
        <v>0.06</v>
      </c>
      <c r="S17" s="32">
        <f t="shared" si="6"/>
        <v>1.7539638</v>
      </c>
      <c r="T17" s="32">
        <f t="shared" si="7"/>
        <v>22.1683862</v>
      </c>
      <c r="U17" s="29">
        <v>224</v>
      </c>
      <c r="V17" s="45">
        <v>0.53125</v>
      </c>
      <c r="W17" s="29">
        <f t="shared" si="8"/>
        <v>119</v>
      </c>
      <c r="X17" s="29">
        <f t="shared" si="9"/>
        <v>105</v>
      </c>
      <c r="Y17" s="29">
        <f t="shared" si="10"/>
        <v>750</v>
      </c>
      <c r="Z17" s="45">
        <v>0.14</v>
      </c>
      <c r="AA17" s="50">
        <v>3.8</v>
      </c>
      <c r="AB17" s="29">
        <f t="shared" si="11"/>
        <v>2850</v>
      </c>
      <c r="AC17" s="45">
        <f t="shared" si="12"/>
        <v>0.271455717000271</v>
      </c>
      <c r="AD17" s="51">
        <f t="shared" si="13"/>
        <v>27.1428571428571</v>
      </c>
      <c r="AE17" s="50">
        <f t="shared" si="14"/>
        <v>11075.7185088</v>
      </c>
    </row>
    <row r="18" ht="21" customHeight="1" spans="1:31">
      <c r="A18" s="29">
        <v>5</v>
      </c>
      <c r="B18" s="30">
        <f t="shared" si="15"/>
        <v>45860</v>
      </c>
      <c r="C18" s="29">
        <v>89.99</v>
      </c>
      <c r="D18" s="31">
        <v>0</v>
      </c>
      <c r="E18" s="32">
        <f t="shared" si="0"/>
        <v>89.99</v>
      </c>
      <c r="F18" s="32">
        <v>10.69</v>
      </c>
      <c r="G18" s="33">
        <v>0.15</v>
      </c>
      <c r="H18" s="32">
        <f t="shared" si="1"/>
        <v>13.4985</v>
      </c>
      <c r="I18" s="32">
        <f t="shared" si="2"/>
        <v>65.8015</v>
      </c>
      <c r="J18" s="32">
        <v>1.28</v>
      </c>
      <c r="K18" s="32">
        <f t="shared" si="3"/>
        <v>0</v>
      </c>
      <c r="L18" s="32">
        <v>35</v>
      </c>
      <c r="M18" s="32">
        <v>5</v>
      </c>
      <c r="N18" s="32">
        <v>11.53</v>
      </c>
      <c r="O18" s="32">
        <f t="shared" si="4"/>
        <v>66.1997</v>
      </c>
      <c r="P18" s="32">
        <f t="shared" si="5"/>
        <v>13.3897</v>
      </c>
      <c r="Q18" s="31">
        <v>0.3</v>
      </c>
      <c r="R18" s="44">
        <v>0.06</v>
      </c>
      <c r="S18" s="32">
        <f t="shared" si="6"/>
        <v>1.753962</v>
      </c>
      <c r="T18" s="32">
        <f t="shared" si="7"/>
        <v>22.767538</v>
      </c>
      <c r="U18" s="29">
        <v>224</v>
      </c>
      <c r="V18" s="45">
        <v>0.5625</v>
      </c>
      <c r="W18" s="29">
        <f t="shared" si="8"/>
        <v>126</v>
      </c>
      <c r="X18" s="29">
        <f t="shared" si="9"/>
        <v>98</v>
      </c>
      <c r="Y18" s="29">
        <f t="shared" si="10"/>
        <v>613</v>
      </c>
      <c r="Z18" s="45">
        <v>0.16</v>
      </c>
      <c r="AA18" s="50">
        <v>3.6</v>
      </c>
      <c r="AB18" s="29">
        <f t="shared" si="11"/>
        <v>2206.8</v>
      </c>
      <c r="AC18" s="45">
        <f t="shared" si="12"/>
        <v>0.250027780864541</v>
      </c>
      <c r="AD18" s="51">
        <f t="shared" si="13"/>
        <v>22.5183673469388</v>
      </c>
      <c r="AE18" s="50">
        <f t="shared" si="14"/>
        <v>11853.128512</v>
      </c>
    </row>
    <row r="19" ht="21" customHeight="1" spans="1:31">
      <c r="A19" s="29"/>
      <c r="B19" s="30">
        <f t="shared" si="15"/>
        <v>45867</v>
      </c>
      <c r="C19" s="29">
        <v>89.99</v>
      </c>
      <c r="D19" s="31">
        <v>0</v>
      </c>
      <c r="E19" s="32">
        <f t="shared" si="0"/>
        <v>89.99</v>
      </c>
      <c r="F19" s="32">
        <v>10.69</v>
      </c>
      <c r="G19" s="33">
        <v>0.15</v>
      </c>
      <c r="H19" s="32">
        <f t="shared" si="1"/>
        <v>13.4985</v>
      </c>
      <c r="I19" s="32">
        <f t="shared" si="2"/>
        <v>65.8015</v>
      </c>
      <c r="J19" s="32">
        <v>1.28</v>
      </c>
      <c r="K19" s="32">
        <f t="shared" si="3"/>
        <v>0</v>
      </c>
      <c r="L19" s="32">
        <v>35</v>
      </c>
      <c r="M19" s="32">
        <v>5</v>
      </c>
      <c r="N19" s="32">
        <v>11.53</v>
      </c>
      <c r="O19" s="32">
        <f t="shared" si="4"/>
        <v>66.1997</v>
      </c>
      <c r="P19" s="32">
        <f t="shared" si="5"/>
        <v>13.3897</v>
      </c>
      <c r="Q19" s="31">
        <v>0.3</v>
      </c>
      <c r="R19" s="44">
        <v>0.06</v>
      </c>
      <c r="S19" s="32">
        <f t="shared" si="6"/>
        <v>1.753962</v>
      </c>
      <c r="T19" s="32">
        <f t="shared" si="7"/>
        <v>22.767538</v>
      </c>
      <c r="U19" s="29">
        <v>224</v>
      </c>
      <c r="V19" s="45">
        <v>0.5625</v>
      </c>
      <c r="W19" s="29">
        <f t="shared" si="8"/>
        <v>126</v>
      </c>
      <c r="X19" s="29">
        <f t="shared" si="9"/>
        <v>98</v>
      </c>
      <c r="Y19" s="29">
        <f t="shared" si="10"/>
        <v>613</v>
      </c>
      <c r="Z19" s="45">
        <v>0.16</v>
      </c>
      <c r="AA19" s="50">
        <v>3.6</v>
      </c>
      <c r="AB19" s="29">
        <f t="shared" si="11"/>
        <v>2206.8</v>
      </c>
      <c r="AC19" s="45">
        <f t="shared" si="12"/>
        <v>0.250027780864541</v>
      </c>
      <c r="AD19" s="51">
        <f t="shared" si="13"/>
        <v>22.5183673469388</v>
      </c>
      <c r="AE19" s="50">
        <f t="shared" si="14"/>
        <v>11853.128512</v>
      </c>
    </row>
    <row r="20" ht="21" customHeight="1" spans="1:31">
      <c r="A20" s="29"/>
      <c r="B20" s="30">
        <f t="shared" si="15"/>
        <v>45874</v>
      </c>
      <c r="C20" s="29">
        <v>89.99</v>
      </c>
      <c r="D20" s="31">
        <v>0</v>
      </c>
      <c r="E20" s="32">
        <f t="shared" si="0"/>
        <v>89.99</v>
      </c>
      <c r="F20" s="32">
        <v>10.69</v>
      </c>
      <c r="G20" s="33">
        <v>0.15</v>
      </c>
      <c r="H20" s="32">
        <f t="shared" si="1"/>
        <v>13.4985</v>
      </c>
      <c r="I20" s="32">
        <f t="shared" si="2"/>
        <v>65.8015</v>
      </c>
      <c r="J20" s="32">
        <v>1.28</v>
      </c>
      <c r="K20" s="32">
        <f t="shared" si="3"/>
        <v>0</v>
      </c>
      <c r="L20" s="32">
        <v>35</v>
      </c>
      <c r="M20" s="32">
        <v>5</v>
      </c>
      <c r="N20" s="32">
        <v>11.53</v>
      </c>
      <c r="O20" s="32">
        <f t="shared" si="4"/>
        <v>66.1997</v>
      </c>
      <c r="P20" s="32">
        <f t="shared" si="5"/>
        <v>13.3897</v>
      </c>
      <c r="Q20" s="31">
        <v>0.3</v>
      </c>
      <c r="R20" s="44">
        <v>0.06</v>
      </c>
      <c r="S20" s="32">
        <f t="shared" si="6"/>
        <v>1.753962</v>
      </c>
      <c r="T20" s="32">
        <f t="shared" si="7"/>
        <v>22.767538</v>
      </c>
      <c r="U20" s="29">
        <v>224</v>
      </c>
      <c r="V20" s="45">
        <v>0.59375</v>
      </c>
      <c r="W20" s="29">
        <f t="shared" si="8"/>
        <v>133</v>
      </c>
      <c r="X20" s="29">
        <f t="shared" si="9"/>
        <v>91</v>
      </c>
      <c r="Y20" s="29">
        <f t="shared" si="10"/>
        <v>569</v>
      </c>
      <c r="Z20" s="45">
        <v>0.16</v>
      </c>
      <c r="AA20" s="50">
        <v>3.6</v>
      </c>
      <c r="AB20" s="29">
        <f t="shared" si="11"/>
        <v>2048.4</v>
      </c>
      <c r="AC20" s="45">
        <f t="shared" si="12"/>
        <v>0.250027780864541</v>
      </c>
      <c r="AD20" s="51">
        <f t="shared" si="13"/>
        <v>22.5098901098901</v>
      </c>
      <c r="AE20" s="50">
        <f t="shared" si="14"/>
        <v>12011.528512</v>
      </c>
    </row>
    <row r="21" ht="21" customHeight="1" spans="1:31">
      <c r="A21" s="29"/>
      <c r="B21" s="30">
        <f t="shared" si="15"/>
        <v>45881</v>
      </c>
      <c r="C21" s="29">
        <v>89.99</v>
      </c>
      <c r="D21" s="31">
        <v>0</v>
      </c>
      <c r="E21" s="32">
        <f t="shared" si="0"/>
        <v>89.99</v>
      </c>
      <c r="F21" s="32">
        <v>10.69</v>
      </c>
      <c r="G21" s="33">
        <v>0.15</v>
      </c>
      <c r="H21" s="32">
        <f t="shared" si="1"/>
        <v>13.4985</v>
      </c>
      <c r="I21" s="32">
        <f t="shared" si="2"/>
        <v>65.8015</v>
      </c>
      <c r="J21" s="32">
        <v>1.28</v>
      </c>
      <c r="K21" s="32">
        <f t="shared" si="3"/>
        <v>0</v>
      </c>
      <c r="L21" s="32">
        <v>35</v>
      </c>
      <c r="M21" s="32">
        <v>5</v>
      </c>
      <c r="N21" s="32">
        <v>11.53</v>
      </c>
      <c r="O21" s="32">
        <f t="shared" si="4"/>
        <v>66.1997</v>
      </c>
      <c r="P21" s="32">
        <f t="shared" si="5"/>
        <v>13.3897</v>
      </c>
      <c r="Q21" s="31">
        <v>0.3</v>
      </c>
      <c r="R21" s="44">
        <v>0.06</v>
      </c>
      <c r="S21" s="32">
        <f t="shared" si="6"/>
        <v>1.753962</v>
      </c>
      <c r="T21" s="32">
        <f t="shared" si="7"/>
        <v>22.767538</v>
      </c>
      <c r="U21" s="29">
        <v>224</v>
      </c>
      <c r="V21" s="45">
        <v>0.59375</v>
      </c>
      <c r="W21" s="29">
        <f t="shared" si="8"/>
        <v>133</v>
      </c>
      <c r="X21" s="29">
        <f t="shared" si="9"/>
        <v>91</v>
      </c>
      <c r="Y21" s="29">
        <f t="shared" si="10"/>
        <v>569</v>
      </c>
      <c r="Z21" s="45">
        <v>0.16</v>
      </c>
      <c r="AA21" s="50">
        <v>3.6</v>
      </c>
      <c r="AB21" s="29">
        <f t="shared" si="11"/>
        <v>2048.4</v>
      </c>
      <c r="AC21" s="45">
        <f t="shared" si="12"/>
        <v>0.250027780864541</v>
      </c>
      <c r="AD21" s="51">
        <f t="shared" si="13"/>
        <v>22.5098901098901</v>
      </c>
      <c r="AE21" s="50">
        <f t="shared" si="14"/>
        <v>12011.528512</v>
      </c>
    </row>
    <row r="22" ht="21" customHeight="1" spans="1:31">
      <c r="A22" s="29">
        <v>6</v>
      </c>
      <c r="B22" s="30">
        <f t="shared" si="15"/>
        <v>45888</v>
      </c>
      <c r="C22" s="29">
        <v>89.99</v>
      </c>
      <c r="D22" s="31">
        <v>0</v>
      </c>
      <c r="E22" s="32">
        <f t="shared" si="0"/>
        <v>89.99</v>
      </c>
      <c r="F22" s="32">
        <v>10.69</v>
      </c>
      <c r="G22" s="33">
        <v>0.15</v>
      </c>
      <c r="H22" s="32">
        <f t="shared" si="1"/>
        <v>13.4985</v>
      </c>
      <c r="I22" s="32">
        <f t="shared" si="2"/>
        <v>65.8015</v>
      </c>
      <c r="J22" s="32">
        <v>1.28</v>
      </c>
      <c r="K22" s="32">
        <f t="shared" si="3"/>
        <v>0</v>
      </c>
      <c r="L22" s="32">
        <v>35</v>
      </c>
      <c r="M22" s="32">
        <v>5</v>
      </c>
      <c r="N22" s="32">
        <v>11.53</v>
      </c>
      <c r="O22" s="32">
        <f t="shared" si="4"/>
        <v>66.1997</v>
      </c>
      <c r="P22" s="32">
        <f t="shared" si="5"/>
        <v>13.3897</v>
      </c>
      <c r="Q22" s="31">
        <v>0.3</v>
      </c>
      <c r="R22" s="44">
        <v>0.06</v>
      </c>
      <c r="S22" s="32">
        <f t="shared" si="6"/>
        <v>1.753962</v>
      </c>
      <c r="T22" s="32">
        <f t="shared" si="7"/>
        <v>22.767538</v>
      </c>
      <c r="U22" s="29">
        <v>224</v>
      </c>
      <c r="V22" s="45">
        <v>0.625</v>
      </c>
      <c r="W22" s="29">
        <f t="shared" si="8"/>
        <v>140</v>
      </c>
      <c r="X22" s="29">
        <f t="shared" si="9"/>
        <v>84</v>
      </c>
      <c r="Y22" s="29">
        <f t="shared" si="10"/>
        <v>467</v>
      </c>
      <c r="Z22" s="45">
        <v>0.18</v>
      </c>
      <c r="AA22" s="50">
        <v>3.3</v>
      </c>
      <c r="AB22" s="29">
        <f t="shared" si="11"/>
        <v>1541.1</v>
      </c>
      <c r="AC22" s="45">
        <f t="shared" si="12"/>
        <v>0.2037263399637</v>
      </c>
      <c r="AD22" s="51">
        <f t="shared" si="13"/>
        <v>18.3464285714286</v>
      </c>
      <c r="AE22" s="50">
        <f t="shared" si="14"/>
        <v>12518.828512</v>
      </c>
    </row>
    <row r="23" ht="21" customHeight="1" spans="1:31">
      <c r="A23" s="29"/>
      <c r="B23" s="30">
        <f t="shared" si="15"/>
        <v>45895</v>
      </c>
      <c r="C23" s="29">
        <v>89.99</v>
      </c>
      <c r="D23" s="31">
        <v>0</v>
      </c>
      <c r="E23" s="32">
        <f t="shared" si="0"/>
        <v>89.99</v>
      </c>
      <c r="F23" s="32">
        <v>10.69</v>
      </c>
      <c r="G23" s="33">
        <v>0.15</v>
      </c>
      <c r="H23" s="32">
        <f t="shared" si="1"/>
        <v>13.4985</v>
      </c>
      <c r="I23" s="32">
        <f t="shared" si="2"/>
        <v>65.8015</v>
      </c>
      <c r="J23" s="32">
        <v>1.28</v>
      </c>
      <c r="K23" s="32">
        <f t="shared" si="3"/>
        <v>0</v>
      </c>
      <c r="L23" s="32">
        <v>35</v>
      </c>
      <c r="M23" s="32">
        <v>5</v>
      </c>
      <c r="N23" s="32">
        <v>11.53</v>
      </c>
      <c r="O23" s="32">
        <f t="shared" si="4"/>
        <v>66.1997</v>
      </c>
      <c r="P23" s="32">
        <f t="shared" si="5"/>
        <v>13.3897</v>
      </c>
      <c r="Q23" s="31">
        <v>0.3</v>
      </c>
      <c r="R23" s="44">
        <v>0.06</v>
      </c>
      <c r="S23" s="32">
        <f t="shared" si="6"/>
        <v>1.753962</v>
      </c>
      <c r="T23" s="32">
        <f t="shared" si="7"/>
        <v>22.767538</v>
      </c>
      <c r="U23" s="29">
        <v>224</v>
      </c>
      <c r="V23" s="45">
        <v>0.625</v>
      </c>
      <c r="W23" s="29">
        <f t="shared" si="8"/>
        <v>140</v>
      </c>
      <c r="X23" s="29">
        <f t="shared" si="9"/>
        <v>84</v>
      </c>
      <c r="Y23" s="29">
        <f t="shared" si="10"/>
        <v>467</v>
      </c>
      <c r="Z23" s="45">
        <v>0.18</v>
      </c>
      <c r="AA23" s="50">
        <v>3.3</v>
      </c>
      <c r="AB23" s="29">
        <f t="shared" si="11"/>
        <v>1541.1</v>
      </c>
      <c r="AC23" s="45">
        <f t="shared" si="12"/>
        <v>0.2037263399637</v>
      </c>
      <c r="AD23" s="51">
        <f t="shared" si="13"/>
        <v>18.3464285714286</v>
      </c>
      <c r="AE23" s="50">
        <f t="shared" si="14"/>
        <v>12518.828512</v>
      </c>
    </row>
    <row r="24" ht="21" customHeight="1" spans="1:31">
      <c r="A24" s="29"/>
      <c r="B24" s="30">
        <f t="shared" si="15"/>
        <v>45902</v>
      </c>
      <c r="C24" s="29">
        <v>89.99</v>
      </c>
      <c r="D24" s="31">
        <v>0</v>
      </c>
      <c r="E24" s="32">
        <f t="shared" si="0"/>
        <v>89.99</v>
      </c>
      <c r="F24" s="32">
        <v>10.69</v>
      </c>
      <c r="G24" s="33">
        <v>0.15</v>
      </c>
      <c r="H24" s="32">
        <f t="shared" si="1"/>
        <v>13.4985</v>
      </c>
      <c r="I24" s="32">
        <f t="shared" si="2"/>
        <v>65.8015</v>
      </c>
      <c r="J24" s="32">
        <v>1.28</v>
      </c>
      <c r="K24" s="32">
        <f t="shared" si="3"/>
        <v>0</v>
      </c>
      <c r="L24" s="32">
        <v>35</v>
      </c>
      <c r="M24" s="32">
        <v>5</v>
      </c>
      <c r="N24" s="32">
        <v>11.53</v>
      </c>
      <c r="O24" s="32">
        <f t="shared" si="4"/>
        <v>66.1997</v>
      </c>
      <c r="P24" s="32">
        <f t="shared" si="5"/>
        <v>13.3897</v>
      </c>
      <c r="Q24" s="31">
        <v>0.3</v>
      </c>
      <c r="R24" s="44">
        <v>0.06</v>
      </c>
      <c r="S24" s="32">
        <f t="shared" si="6"/>
        <v>1.753962</v>
      </c>
      <c r="T24" s="32">
        <f t="shared" si="7"/>
        <v>22.767538</v>
      </c>
      <c r="U24" s="29">
        <v>224</v>
      </c>
      <c r="V24" s="45">
        <v>0.6875</v>
      </c>
      <c r="W24" s="29">
        <f t="shared" si="8"/>
        <v>154</v>
      </c>
      <c r="X24" s="29">
        <f t="shared" si="9"/>
        <v>70</v>
      </c>
      <c r="Y24" s="29">
        <f t="shared" si="10"/>
        <v>389</v>
      </c>
      <c r="Z24" s="45">
        <v>0.18</v>
      </c>
      <c r="AA24" s="50">
        <v>3.3</v>
      </c>
      <c r="AB24" s="29">
        <f t="shared" si="11"/>
        <v>1283.7</v>
      </c>
      <c r="AC24" s="45">
        <f t="shared" si="12"/>
        <v>0.2037263399637</v>
      </c>
      <c r="AD24" s="51">
        <f t="shared" si="13"/>
        <v>18.3385714285714</v>
      </c>
      <c r="AE24" s="50">
        <f t="shared" si="14"/>
        <v>12776.228512</v>
      </c>
    </row>
    <row r="25" ht="21" customHeight="1" spans="1:31">
      <c r="A25" s="29"/>
      <c r="B25" s="30">
        <f t="shared" si="15"/>
        <v>45909</v>
      </c>
      <c r="C25" s="29">
        <v>89.99</v>
      </c>
      <c r="D25" s="31">
        <v>0</v>
      </c>
      <c r="E25" s="32">
        <f t="shared" si="0"/>
        <v>89.99</v>
      </c>
      <c r="F25" s="32">
        <v>10.69</v>
      </c>
      <c r="G25" s="33">
        <v>0.15</v>
      </c>
      <c r="H25" s="32">
        <f t="shared" si="1"/>
        <v>13.4985</v>
      </c>
      <c r="I25" s="32">
        <f t="shared" si="2"/>
        <v>65.8015</v>
      </c>
      <c r="J25" s="32">
        <v>1.28</v>
      </c>
      <c r="K25" s="32">
        <f t="shared" si="3"/>
        <v>0</v>
      </c>
      <c r="L25" s="32">
        <v>35</v>
      </c>
      <c r="M25" s="32">
        <v>5</v>
      </c>
      <c r="N25" s="32">
        <v>11.53</v>
      </c>
      <c r="O25" s="32">
        <f t="shared" si="4"/>
        <v>66.1997</v>
      </c>
      <c r="P25" s="32">
        <f t="shared" si="5"/>
        <v>13.3897</v>
      </c>
      <c r="Q25" s="31">
        <v>0.3</v>
      </c>
      <c r="R25" s="44">
        <v>0.06</v>
      </c>
      <c r="S25" s="32">
        <f t="shared" si="6"/>
        <v>1.753962</v>
      </c>
      <c r="T25" s="32">
        <f t="shared" si="7"/>
        <v>22.767538</v>
      </c>
      <c r="U25" s="29">
        <v>224</v>
      </c>
      <c r="V25" s="45">
        <v>0.6875</v>
      </c>
      <c r="W25" s="29">
        <f t="shared" si="8"/>
        <v>154</v>
      </c>
      <c r="X25" s="29">
        <f t="shared" si="9"/>
        <v>70</v>
      </c>
      <c r="Y25" s="29">
        <f t="shared" si="10"/>
        <v>389</v>
      </c>
      <c r="Z25" s="45">
        <v>0.18</v>
      </c>
      <c r="AA25" s="50">
        <v>3.3</v>
      </c>
      <c r="AB25" s="29">
        <f t="shared" si="11"/>
        <v>1283.7</v>
      </c>
      <c r="AC25" s="45">
        <f t="shared" si="12"/>
        <v>0.2037263399637</v>
      </c>
      <c r="AD25" s="51">
        <f t="shared" si="13"/>
        <v>18.3385714285714</v>
      </c>
      <c r="AE25" s="50">
        <f t="shared" si="14"/>
        <v>12776.228512</v>
      </c>
    </row>
    <row r="26" ht="21" customHeight="1"/>
    <row r="27" ht="21" customHeight="1"/>
    <row r="28" s="20" customFormat="1" ht="41.1" customHeight="1" spans="1:31">
      <c r="A28" s="34" t="s">
        <v>31</v>
      </c>
      <c r="B28" s="35" t="s">
        <v>32</v>
      </c>
      <c r="C28" s="34" t="s">
        <v>33</v>
      </c>
      <c r="D28" s="34" t="s">
        <v>34</v>
      </c>
      <c r="E28" s="34" t="s">
        <v>35</v>
      </c>
      <c r="F28" s="34" t="s">
        <v>36</v>
      </c>
      <c r="G28" s="34" t="s">
        <v>37</v>
      </c>
      <c r="H28" s="34" t="s">
        <v>38</v>
      </c>
      <c r="I28" s="34" t="s">
        <v>39</v>
      </c>
      <c r="J28" s="34" t="s">
        <v>40</v>
      </c>
      <c r="K28" s="34" t="s">
        <v>41</v>
      </c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6"/>
      <c r="W28" s="40"/>
      <c r="X28" s="40"/>
      <c r="Y28" s="40"/>
      <c r="Z28" s="40"/>
      <c r="AA28" s="40"/>
      <c r="AB28" s="40"/>
      <c r="AC28" s="40"/>
      <c r="AD28" s="40"/>
      <c r="AE28" s="40"/>
    </row>
    <row r="29" ht="21" customHeight="1" spans="1:11">
      <c r="A29" s="29">
        <v>1</v>
      </c>
      <c r="B29" s="36">
        <f>B2-28</f>
        <v>45720</v>
      </c>
      <c r="C29" s="29">
        <f>SUM(U2:U5)</f>
        <v>140</v>
      </c>
      <c r="D29" s="29">
        <v>1.5</v>
      </c>
      <c r="E29" s="29">
        <f>C29*D29</f>
        <v>210</v>
      </c>
      <c r="F29" s="29">
        <f>E29-C29</f>
        <v>70</v>
      </c>
      <c r="G29" s="37">
        <f t="shared" ref="G29:G35" si="16">L2+M2</f>
        <v>40</v>
      </c>
      <c r="H29" s="29">
        <f t="shared" ref="H29:H35" si="17">E29*G29</f>
        <v>8400</v>
      </c>
      <c r="I29" s="37">
        <v>0</v>
      </c>
      <c r="J29" s="37">
        <f t="shared" ref="J29:J41" si="18">H29-I29</f>
        <v>8400</v>
      </c>
      <c r="K29" s="29"/>
    </row>
    <row r="30" ht="21" customHeight="1" spans="1:11">
      <c r="A30" s="29">
        <v>2</v>
      </c>
      <c r="B30" s="36">
        <f>B6-28</f>
        <v>45748</v>
      </c>
      <c r="C30" s="29">
        <f>SUM(U6:U9)</f>
        <v>364</v>
      </c>
      <c r="D30" s="29">
        <v>1.5</v>
      </c>
      <c r="E30" s="29">
        <f t="shared" ref="E30:E35" si="19">C30*D30-F29</f>
        <v>476</v>
      </c>
      <c r="F30" s="29">
        <f>SUM(E29:E30)-SUM(C29:C30)</f>
        <v>182</v>
      </c>
      <c r="G30" s="37">
        <f t="shared" si="16"/>
        <v>40</v>
      </c>
      <c r="H30" s="29">
        <f t="shared" si="17"/>
        <v>19040</v>
      </c>
      <c r="I30" s="37">
        <v>0</v>
      </c>
      <c r="J30" s="37">
        <f t="shared" si="18"/>
        <v>19040</v>
      </c>
      <c r="K30" s="29"/>
    </row>
    <row r="31" ht="21" customHeight="1" spans="1:11">
      <c r="A31" s="29">
        <v>3</v>
      </c>
      <c r="B31" s="36">
        <f>B10-28</f>
        <v>45776</v>
      </c>
      <c r="C31" s="29">
        <f>SUM(U10:U13)</f>
        <v>588</v>
      </c>
      <c r="D31" s="29">
        <v>1.5</v>
      </c>
      <c r="E31" s="29">
        <f t="shared" si="19"/>
        <v>700</v>
      </c>
      <c r="F31" s="29">
        <f>SUM(E29:E31)-SUM(C29:C31)</f>
        <v>294</v>
      </c>
      <c r="G31" s="37">
        <f t="shared" si="16"/>
        <v>40</v>
      </c>
      <c r="H31" s="29">
        <f t="shared" si="17"/>
        <v>28000</v>
      </c>
      <c r="I31" s="37">
        <f>SUM(AE2:AE5)</f>
        <v>1999.212816</v>
      </c>
      <c r="J31" s="37">
        <f t="shared" si="18"/>
        <v>26000.787184</v>
      </c>
      <c r="K31" s="29"/>
    </row>
    <row r="32" ht="21" customHeight="1" spans="1:11">
      <c r="A32" s="29">
        <v>4</v>
      </c>
      <c r="B32" s="36">
        <f>B14-28</f>
        <v>45804</v>
      </c>
      <c r="C32" s="29">
        <f>SUM(U14:U17)</f>
        <v>812</v>
      </c>
      <c r="D32" s="29">
        <v>1.5</v>
      </c>
      <c r="E32" s="29">
        <f t="shared" si="19"/>
        <v>924</v>
      </c>
      <c r="F32" s="29">
        <f>SUM(E29:E32)-SUM(C29:C32)</f>
        <v>406</v>
      </c>
      <c r="G32" s="37">
        <f t="shared" si="16"/>
        <v>40</v>
      </c>
      <c r="H32" s="29">
        <f t="shared" si="17"/>
        <v>36960</v>
      </c>
      <c r="I32" s="37">
        <f>SUM(AE6:AE9)</f>
        <v>10722.1533216</v>
      </c>
      <c r="J32" s="37">
        <f t="shared" si="18"/>
        <v>26237.8466784</v>
      </c>
      <c r="K32" s="29"/>
    </row>
    <row r="33" ht="21" customHeight="1" spans="1:11">
      <c r="A33" s="29">
        <v>5</v>
      </c>
      <c r="B33" s="36">
        <f>B18-28</f>
        <v>45832</v>
      </c>
      <c r="C33" s="29">
        <f>SUM(U18:U21)</f>
        <v>896</v>
      </c>
      <c r="D33" s="29">
        <v>1.5</v>
      </c>
      <c r="E33" s="29">
        <f t="shared" si="19"/>
        <v>938</v>
      </c>
      <c r="F33" s="29">
        <f>SUM(E29:E33)-SUM(C29:C33)</f>
        <v>448</v>
      </c>
      <c r="G33" s="37">
        <f t="shared" si="16"/>
        <v>40</v>
      </c>
      <c r="H33" s="29">
        <f t="shared" si="17"/>
        <v>37520</v>
      </c>
      <c r="I33" s="37">
        <f>SUM(AE10:AE13)</f>
        <v>25823.0110856</v>
      </c>
      <c r="J33" s="37">
        <f t="shared" si="18"/>
        <v>11696.9889144</v>
      </c>
      <c r="K33" s="29"/>
    </row>
    <row r="34" ht="21" customHeight="1" spans="1:11">
      <c r="A34" s="29">
        <v>6</v>
      </c>
      <c r="B34" s="36">
        <f>B22-28</f>
        <v>45860</v>
      </c>
      <c r="C34" s="29">
        <v>896</v>
      </c>
      <c r="D34" s="29">
        <v>1.5</v>
      </c>
      <c r="E34" s="29">
        <f t="shared" si="19"/>
        <v>896</v>
      </c>
      <c r="F34" s="29">
        <f>SUM(E29:E34)-SUM(C29:C34)</f>
        <v>448</v>
      </c>
      <c r="G34" s="37">
        <f t="shared" si="16"/>
        <v>40</v>
      </c>
      <c r="H34" s="29">
        <f t="shared" si="17"/>
        <v>35840</v>
      </c>
      <c r="I34" s="37">
        <f>SUM(AE14:AE17)</f>
        <v>39460.7295944</v>
      </c>
      <c r="J34" s="37">
        <f t="shared" si="18"/>
        <v>-3620.72959440001</v>
      </c>
      <c r="K34" s="29"/>
    </row>
    <row r="35" ht="21" customHeight="1" spans="1:11">
      <c r="A35" s="29">
        <v>7</v>
      </c>
      <c r="B35" s="36">
        <f t="shared" ref="B35:B41" si="20">B34+28</f>
        <v>45888</v>
      </c>
      <c r="C35" s="29">
        <f t="shared" ref="C35:C41" si="21">C34</f>
        <v>896</v>
      </c>
      <c r="D35" s="29">
        <v>1.5</v>
      </c>
      <c r="E35" s="29">
        <f t="shared" si="19"/>
        <v>896</v>
      </c>
      <c r="F35" s="29">
        <f>SUM(E29:E35)-SUM(C29:C35)</f>
        <v>448</v>
      </c>
      <c r="G35" s="37">
        <f t="shared" si="16"/>
        <v>40</v>
      </c>
      <c r="H35" s="29">
        <f t="shared" si="17"/>
        <v>35840</v>
      </c>
      <c r="I35" s="37">
        <f>SUM(AE18:AE21)</f>
        <v>47729.314048</v>
      </c>
      <c r="J35" s="37">
        <f t="shared" si="18"/>
        <v>-11889.314048</v>
      </c>
      <c r="K35" s="29"/>
    </row>
    <row r="36" ht="21" customHeight="1" spans="1:11">
      <c r="A36" s="29">
        <v>8</v>
      </c>
      <c r="B36" s="36">
        <f t="shared" si="20"/>
        <v>45916</v>
      </c>
      <c r="C36" s="29">
        <f t="shared" si="21"/>
        <v>896</v>
      </c>
      <c r="D36" s="29">
        <f t="shared" ref="D36:H41" si="22">D35</f>
        <v>1.5</v>
      </c>
      <c r="E36" s="29">
        <f t="shared" si="22"/>
        <v>896</v>
      </c>
      <c r="F36" s="29">
        <f t="shared" si="22"/>
        <v>448</v>
      </c>
      <c r="G36" s="29">
        <f t="shared" si="22"/>
        <v>40</v>
      </c>
      <c r="H36" s="29">
        <f t="shared" si="22"/>
        <v>35840</v>
      </c>
      <c r="I36" s="37">
        <f>SUM(AE22:AE25)</f>
        <v>50590.114048</v>
      </c>
      <c r="J36" s="37">
        <f t="shared" si="18"/>
        <v>-14750.114048</v>
      </c>
      <c r="K36" s="29"/>
    </row>
    <row r="37" ht="21" customHeight="1" spans="1:11">
      <c r="A37" s="29">
        <v>9</v>
      </c>
      <c r="B37" s="38">
        <f t="shared" si="20"/>
        <v>45944</v>
      </c>
      <c r="C37" s="39">
        <f t="shared" si="21"/>
        <v>896</v>
      </c>
      <c r="D37" s="39">
        <f t="shared" si="22"/>
        <v>1.5</v>
      </c>
      <c r="E37" s="39">
        <f t="shared" si="22"/>
        <v>896</v>
      </c>
      <c r="F37" s="39">
        <f t="shared" si="22"/>
        <v>448</v>
      </c>
      <c r="G37" s="39">
        <f t="shared" si="22"/>
        <v>40</v>
      </c>
      <c r="H37" s="39">
        <f t="shared" si="22"/>
        <v>35840</v>
      </c>
      <c r="I37" s="41">
        <f>I36</f>
        <v>50590.114048</v>
      </c>
      <c r="J37" s="41">
        <f t="shared" si="18"/>
        <v>-14750.114048</v>
      </c>
      <c r="K37" s="29"/>
    </row>
    <row r="38" ht="21" customHeight="1" spans="1:11">
      <c r="A38" s="29">
        <v>10</v>
      </c>
      <c r="B38" s="38">
        <f t="shared" si="20"/>
        <v>45972</v>
      </c>
      <c r="C38" s="39">
        <f t="shared" si="21"/>
        <v>896</v>
      </c>
      <c r="D38" s="39">
        <f t="shared" si="22"/>
        <v>1.5</v>
      </c>
      <c r="E38" s="39">
        <f t="shared" si="22"/>
        <v>896</v>
      </c>
      <c r="F38" s="39">
        <f t="shared" si="22"/>
        <v>448</v>
      </c>
      <c r="G38" s="39">
        <f t="shared" si="22"/>
        <v>40</v>
      </c>
      <c r="H38" s="39">
        <f t="shared" si="22"/>
        <v>35840</v>
      </c>
      <c r="I38" s="41">
        <f>I37</f>
        <v>50590.114048</v>
      </c>
      <c r="J38" s="41">
        <f t="shared" si="18"/>
        <v>-14750.114048</v>
      </c>
      <c r="K38" s="29"/>
    </row>
    <row r="39" ht="21" customHeight="1" spans="1:11">
      <c r="A39" s="29">
        <v>11</v>
      </c>
      <c r="B39" s="38">
        <f t="shared" si="20"/>
        <v>46000</v>
      </c>
      <c r="C39" s="39">
        <f t="shared" si="21"/>
        <v>896</v>
      </c>
      <c r="D39" s="39">
        <f t="shared" si="22"/>
        <v>1.5</v>
      </c>
      <c r="E39" s="39">
        <f t="shared" si="22"/>
        <v>896</v>
      </c>
      <c r="F39" s="39">
        <f t="shared" si="22"/>
        <v>448</v>
      </c>
      <c r="G39" s="39">
        <f t="shared" si="22"/>
        <v>40</v>
      </c>
      <c r="H39" s="39">
        <f t="shared" si="22"/>
        <v>35840</v>
      </c>
      <c r="I39" s="41">
        <f>I38</f>
        <v>50590.114048</v>
      </c>
      <c r="J39" s="41">
        <f t="shared" si="18"/>
        <v>-14750.114048</v>
      </c>
      <c r="K39" s="29"/>
    </row>
    <row r="40" ht="21" customHeight="1" spans="1:11">
      <c r="A40" s="29">
        <v>12</v>
      </c>
      <c r="B40" s="38">
        <f t="shared" si="20"/>
        <v>46028</v>
      </c>
      <c r="C40" s="39">
        <f t="shared" si="21"/>
        <v>896</v>
      </c>
      <c r="D40" s="39">
        <f t="shared" si="22"/>
        <v>1.5</v>
      </c>
      <c r="E40" s="39">
        <f t="shared" si="22"/>
        <v>896</v>
      </c>
      <c r="F40" s="39">
        <f t="shared" si="22"/>
        <v>448</v>
      </c>
      <c r="G40" s="39">
        <f t="shared" si="22"/>
        <v>40</v>
      </c>
      <c r="H40" s="39">
        <f t="shared" si="22"/>
        <v>35840</v>
      </c>
      <c r="I40" s="41">
        <f>I39</f>
        <v>50590.114048</v>
      </c>
      <c r="J40" s="41">
        <f t="shared" si="18"/>
        <v>-14750.114048</v>
      </c>
      <c r="K40" s="29"/>
    </row>
    <row r="41" ht="21" customHeight="1" spans="1:11">
      <c r="A41" s="29">
        <v>13</v>
      </c>
      <c r="B41" s="38">
        <f t="shared" si="20"/>
        <v>46056</v>
      </c>
      <c r="C41" s="39">
        <f t="shared" si="21"/>
        <v>896</v>
      </c>
      <c r="D41" s="39">
        <f t="shared" si="22"/>
        <v>1.5</v>
      </c>
      <c r="E41" s="39">
        <f t="shared" si="22"/>
        <v>896</v>
      </c>
      <c r="F41" s="39">
        <f t="shared" si="22"/>
        <v>448</v>
      </c>
      <c r="G41" s="39">
        <f t="shared" si="22"/>
        <v>40</v>
      </c>
      <c r="H41" s="39">
        <f t="shared" si="22"/>
        <v>35840</v>
      </c>
      <c r="I41" s="41">
        <f>I40</f>
        <v>50590.114048</v>
      </c>
      <c r="J41" s="41">
        <f t="shared" si="18"/>
        <v>-14750.114048</v>
      </c>
      <c r="K41" s="29"/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.2"/>
  <cols>
    <col min="1" max="1" width="16" customWidth="1"/>
    <col min="2" max="2" width="12" customWidth="1"/>
    <col min="3" max="3" width="10" customWidth="1"/>
    <col min="4" max="4" width="9" customWidth="1"/>
    <col min="5" max="7" width="8" customWidth="1"/>
    <col min="8" max="11" width="9" customWidth="1"/>
    <col min="12" max="12" width="16" customWidth="1"/>
    <col min="13" max="13" width="11" customWidth="1"/>
    <col min="14" max="15" width="14" customWidth="1"/>
    <col min="16" max="16" width="12" customWidth="1"/>
    <col min="17" max="17" width="17" customWidth="1"/>
    <col min="18" max="18" width="11" customWidth="1"/>
    <col min="19" max="19" width="12" customWidth="1"/>
    <col min="20" max="20" width="14" customWidth="1"/>
    <col min="21" max="21" width="17" customWidth="1"/>
    <col min="22" max="22" width="19" customWidth="1"/>
  </cols>
  <sheetData>
    <row r="1" ht="74.1" customHeight="1" spans="1:22">
      <c r="A1" s="9" t="s">
        <v>42</v>
      </c>
      <c r="B1" s="10" t="s">
        <v>43</v>
      </c>
      <c r="C1" s="9" t="s">
        <v>44</v>
      </c>
      <c r="D1" s="11" t="s">
        <v>45</v>
      </c>
      <c r="E1" s="11" t="s">
        <v>46</v>
      </c>
      <c r="F1" s="11" t="s">
        <v>47</v>
      </c>
      <c r="G1" s="11" t="s">
        <v>48</v>
      </c>
      <c r="H1" s="11" t="s">
        <v>49</v>
      </c>
      <c r="I1" s="11" t="s">
        <v>50</v>
      </c>
      <c r="J1" s="13" t="s">
        <v>51</v>
      </c>
      <c r="K1" s="11" t="s">
        <v>52</v>
      </c>
      <c r="L1" s="11" t="s">
        <v>53</v>
      </c>
      <c r="M1" s="11" t="s">
        <v>54</v>
      </c>
      <c r="N1" s="14" t="s">
        <v>55</v>
      </c>
      <c r="O1" s="14" t="s">
        <v>56</v>
      </c>
      <c r="P1" s="14" t="s">
        <v>57</v>
      </c>
      <c r="Q1" s="9"/>
      <c r="R1" s="17" t="s">
        <v>58</v>
      </c>
      <c r="S1" s="17" t="s">
        <v>59</v>
      </c>
      <c r="T1" s="17" t="s">
        <v>60</v>
      </c>
      <c r="U1" s="11" t="s">
        <v>61</v>
      </c>
      <c r="V1" s="11" t="s">
        <v>62</v>
      </c>
    </row>
    <row r="2" ht="29.1" customHeight="1" spans="1:22">
      <c r="A2" s="9" t="s">
        <v>63</v>
      </c>
      <c r="B2" s="9" t="s">
        <v>64</v>
      </c>
      <c r="C2" s="9">
        <v>99.99</v>
      </c>
      <c r="D2" s="12">
        <v>0.05</v>
      </c>
      <c r="E2" s="12">
        <v>0.5</v>
      </c>
      <c r="F2" s="12">
        <v>0.68</v>
      </c>
      <c r="G2" s="9" t="e">
        <f>SUM(#REF!)</f>
        <v>#REF!</v>
      </c>
      <c r="H2" s="9">
        <v>0</v>
      </c>
      <c r="I2" s="9">
        <v>0</v>
      </c>
      <c r="J2" s="15" t="e">
        <f>SUM(G2:I2)</f>
        <v>#REF!</v>
      </c>
      <c r="K2" s="9">
        <v>6</v>
      </c>
      <c r="L2" s="9">
        <v>0</v>
      </c>
      <c r="M2" s="16" t="e">
        <f>SUM(#REF!)</f>
        <v>#REF!</v>
      </c>
      <c r="N2" s="16" t="e">
        <f>SUM(#REF!)</f>
        <v>#REF!</v>
      </c>
      <c r="O2" s="16" t="e">
        <f>SUM(L2:N2)</f>
        <v>#REF!</v>
      </c>
      <c r="P2" s="16"/>
      <c r="Q2" s="9"/>
      <c r="R2" s="18"/>
      <c r="S2" s="18"/>
      <c r="T2" s="18"/>
      <c r="U2" s="19"/>
      <c r="V2" s="19"/>
    </row>
    <row r="3" ht="29.1" customHeight="1" spans="1:22">
      <c r="A3" s="9" t="s">
        <v>65</v>
      </c>
      <c r="B3" s="9" t="s">
        <v>66</v>
      </c>
      <c r="C3" s="9">
        <v>79.99</v>
      </c>
      <c r="D3" s="12">
        <v>0.3</v>
      </c>
      <c r="E3" s="12">
        <v>0.2</v>
      </c>
      <c r="F3" s="12">
        <v>0.3</v>
      </c>
      <c r="G3" s="9">
        <v>81</v>
      </c>
      <c r="H3" s="9">
        <v>14</v>
      </c>
      <c r="I3" s="9">
        <v>0</v>
      </c>
      <c r="J3" s="15">
        <f>SUM(G3:I3)</f>
        <v>95</v>
      </c>
      <c r="K3" s="9">
        <v>9</v>
      </c>
      <c r="L3" s="9" t="e">
        <f>SUM(#REF!)</f>
        <v>#REF!</v>
      </c>
      <c r="M3" s="9" t="e">
        <f>SUM(#REF!)</f>
        <v>#REF!</v>
      </c>
      <c r="N3" s="16" t="e">
        <f>SUM(#REF!)</f>
        <v>#REF!</v>
      </c>
      <c r="O3" s="16" t="e">
        <f>SUM(L3:N3)</f>
        <v>#REF!</v>
      </c>
      <c r="P3" s="16"/>
      <c r="Q3" s="9"/>
      <c r="R3" s="18"/>
      <c r="S3" s="18"/>
      <c r="T3" s="18"/>
      <c r="U3" s="9"/>
      <c r="V3" s="9"/>
    </row>
    <row r="4" ht="29.1" customHeight="1" spans="1:22">
      <c r="A4" s="9" t="s">
        <v>67</v>
      </c>
      <c r="B4" s="9" t="s">
        <v>68</v>
      </c>
      <c r="C4" s="9">
        <v>69.99</v>
      </c>
      <c r="D4" s="12">
        <v>0.3</v>
      </c>
      <c r="E4" s="12">
        <v>0.2</v>
      </c>
      <c r="F4" s="12">
        <v>0.25</v>
      </c>
      <c r="G4" s="9">
        <v>45</v>
      </c>
      <c r="H4" s="9">
        <v>60</v>
      </c>
      <c r="I4" s="9">
        <v>3</v>
      </c>
      <c r="J4" s="15">
        <f>SUM(G4:I4)</f>
        <v>108</v>
      </c>
      <c r="K4" s="9">
        <v>10</v>
      </c>
      <c r="L4" s="9" t="e">
        <f>SUM(#REF!)</f>
        <v>#REF!</v>
      </c>
      <c r="M4" s="9" t="e">
        <f>SUM(#REF!)</f>
        <v>#REF!</v>
      </c>
      <c r="N4" s="16" t="e">
        <f>SUM(#REF!)</f>
        <v>#REF!</v>
      </c>
      <c r="O4" s="16" t="e">
        <f>SUM(L4:N4)</f>
        <v>#REF!</v>
      </c>
      <c r="P4" s="16"/>
      <c r="Q4" s="9"/>
      <c r="R4" s="18"/>
      <c r="S4" s="18"/>
      <c r="T4" s="18"/>
      <c r="U4" s="9"/>
      <c r="V4" s="9"/>
    </row>
    <row r="5" ht="29.1" customHeight="1" spans="1:22">
      <c r="A5" s="9" t="s">
        <v>69</v>
      </c>
      <c r="B5" s="9" t="s">
        <v>70</v>
      </c>
      <c r="C5" s="9">
        <v>69.99</v>
      </c>
      <c r="D5" s="12">
        <v>0.3</v>
      </c>
      <c r="E5" s="12">
        <v>0</v>
      </c>
      <c r="F5" s="12">
        <v>0.25</v>
      </c>
      <c r="G5" s="9"/>
      <c r="H5" s="9"/>
      <c r="I5" s="9"/>
      <c r="J5" s="15"/>
      <c r="K5" s="9"/>
      <c r="L5" s="9"/>
      <c r="M5" s="9"/>
      <c r="N5" s="16"/>
      <c r="O5" s="16"/>
      <c r="P5" s="16"/>
      <c r="Q5" s="9"/>
      <c r="R5" s="18"/>
      <c r="S5" s="18"/>
      <c r="T5" s="18"/>
      <c r="U5" s="9"/>
      <c r="V5" s="9"/>
    </row>
    <row r="6" ht="29.1" customHeight="1" spans="1:22">
      <c r="A6" s="9" t="s">
        <v>71</v>
      </c>
      <c r="B6" s="9" t="s">
        <v>72</v>
      </c>
      <c r="C6" s="9">
        <v>69.99</v>
      </c>
      <c r="D6" s="12">
        <v>0.3</v>
      </c>
      <c r="E6" s="12">
        <v>0</v>
      </c>
      <c r="F6" s="12">
        <v>0.25</v>
      </c>
      <c r="G6" s="9"/>
      <c r="H6" s="9"/>
      <c r="I6" s="9"/>
      <c r="J6" s="15"/>
      <c r="K6" s="9"/>
      <c r="L6" s="9"/>
      <c r="M6" s="9"/>
      <c r="N6" s="16"/>
      <c r="O6" s="16"/>
      <c r="P6" s="16"/>
      <c r="Q6" s="9"/>
      <c r="R6" s="18"/>
      <c r="S6" s="18"/>
      <c r="T6" s="18"/>
      <c r="U6" s="9"/>
      <c r="V6" s="9"/>
    </row>
    <row r="7" ht="29.1" customHeight="1" spans="1:22">
      <c r="A7" s="9" t="s">
        <v>73</v>
      </c>
      <c r="B7" s="9" t="s">
        <v>74</v>
      </c>
      <c r="C7" s="9">
        <v>69.99</v>
      </c>
      <c r="D7" s="12">
        <v>0.3</v>
      </c>
      <c r="E7" s="12">
        <v>0</v>
      </c>
      <c r="F7" s="12">
        <v>0</v>
      </c>
      <c r="G7" s="9"/>
      <c r="H7" s="9"/>
      <c r="I7" s="9"/>
      <c r="J7" s="15"/>
      <c r="K7" s="9"/>
      <c r="L7" s="9"/>
      <c r="M7" s="9"/>
      <c r="N7" s="16"/>
      <c r="O7" s="16"/>
      <c r="P7" s="16"/>
      <c r="Q7" s="9"/>
      <c r="R7" s="18"/>
      <c r="S7" s="18"/>
      <c r="T7" s="18"/>
      <c r="U7" s="9"/>
      <c r="V7" s="9"/>
    </row>
    <row r="8" ht="29.1" customHeight="1" spans="1:20">
      <c r="A8" s="9"/>
      <c r="B8" s="9"/>
      <c r="C8" s="9"/>
      <c r="D8" s="9"/>
      <c r="E8" s="9"/>
      <c r="F8" s="9"/>
      <c r="G8" s="9"/>
      <c r="H8" s="9"/>
      <c r="I8" s="9"/>
      <c r="J8" s="15"/>
      <c r="K8" s="9"/>
      <c r="L8" s="9"/>
      <c r="M8" s="9"/>
      <c r="N8" s="16"/>
      <c r="O8" s="16"/>
      <c r="P8" s="16"/>
      <c r="Q8" s="9"/>
      <c r="R8" s="18"/>
      <c r="S8" s="18"/>
      <c r="T8" s="18"/>
    </row>
    <row r="9" ht="29.1" customHeight="1" spans="1:22">
      <c r="A9" s="9" t="s">
        <v>75</v>
      </c>
      <c r="B9" s="9" t="s">
        <v>76</v>
      </c>
      <c r="C9" s="9">
        <v>69.99</v>
      </c>
      <c r="D9" s="12">
        <v>0.2</v>
      </c>
      <c r="E9" s="12">
        <v>0</v>
      </c>
      <c r="F9" s="12">
        <v>0</v>
      </c>
      <c r="G9" s="9"/>
      <c r="H9" s="9"/>
      <c r="I9" s="9"/>
      <c r="J9" s="15"/>
      <c r="K9" s="9"/>
      <c r="L9" s="9"/>
      <c r="M9" s="9"/>
      <c r="N9" s="16"/>
      <c r="O9" s="16"/>
      <c r="P9" s="16"/>
      <c r="Q9" s="9"/>
      <c r="R9" s="18"/>
      <c r="S9" s="18"/>
      <c r="T9" s="18"/>
      <c r="U9" s="9"/>
      <c r="V9" s="9"/>
    </row>
    <row r="10" ht="29.1" customHeight="1" spans="1:22">
      <c r="A10" s="9" t="s">
        <v>77</v>
      </c>
      <c r="B10" s="9" t="s">
        <v>78</v>
      </c>
      <c r="C10" s="9">
        <v>69.99</v>
      </c>
      <c r="D10" s="12">
        <v>0.2</v>
      </c>
      <c r="E10" s="12">
        <v>0</v>
      </c>
      <c r="F10" s="12">
        <v>0</v>
      </c>
      <c r="G10" s="9"/>
      <c r="H10" s="9"/>
      <c r="I10" s="9"/>
      <c r="J10" s="15"/>
      <c r="K10" s="9"/>
      <c r="L10" s="9"/>
      <c r="M10" s="9"/>
      <c r="N10" s="16"/>
      <c r="O10" s="16"/>
      <c r="P10" s="16"/>
      <c r="Q10" s="9"/>
      <c r="R10" s="18"/>
      <c r="S10" s="18"/>
      <c r="T10" s="18"/>
      <c r="U10" s="9"/>
      <c r="V10" s="9"/>
    </row>
    <row r="11" ht="29.1" customHeight="1" spans="1:22">
      <c r="A11" s="9" t="s">
        <v>79</v>
      </c>
      <c r="B11" s="9" t="s">
        <v>80</v>
      </c>
      <c r="C11" s="9">
        <v>69.99</v>
      </c>
      <c r="D11" s="12">
        <v>0.2</v>
      </c>
      <c r="E11" s="12">
        <v>0</v>
      </c>
      <c r="F11" s="12">
        <v>0</v>
      </c>
      <c r="G11" s="9"/>
      <c r="H11" s="9"/>
      <c r="I11" s="9"/>
      <c r="J11" s="15"/>
      <c r="K11" s="9"/>
      <c r="L11" s="9"/>
      <c r="M11" s="9"/>
      <c r="N11" s="16"/>
      <c r="O11" s="16"/>
      <c r="P11" s="16"/>
      <c r="Q11" s="9"/>
      <c r="R11" s="18"/>
      <c r="S11" s="18"/>
      <c r="T11" s="18"/>
      <c r="U11" s="9"/>
      <c r="V11" s="9"/>
    </row>
    <row r="12" ht="29.1" customHeight="1" spans="1:20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6"/>
      <c r="O12" s="16"/>
      <c r="P12" s="16"/>
      <c r="Q12" s="9"/>
      <c r="R12" s="18"/>
      <c r="S12" s="18"/>
      <c r="T12" s="18"/>
    </row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</sheetData>
  <mergeCells count="1">
    <mergeCell ref="P2:P7"/>
  </mergeCells>
  <pageMargins left="0.7" right="0.7" top="0.75" bottom="0.75" header="0.3" footer="0.3"/>
  <pageSetup paperSize="256" orientation="portrait" horizontalDpi="203" verticalDpi="20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Z20"/>
  <sheetViews>
    <sheetView workbookViewId="0">
      <selection activeCell="A1" sqref="A1"/>
    </sheetView>
  </sheetViews>
  <sheetFormatPr defaultColWidth="14" defaultRowHeight="13.2"/>
  <cols>
    <col min="1" max="27" width="11" customWidth="1"/>
    <col min="28" max="28" width="11" hidden="1" customWidth="1"/>
    <col min="29" max="29" width="58" customWidth="1"/>
    <col min="30" max="52" width="11" customWidth="1"/>
  </cols>
  <sheetData>
    <row r="1" ht="21" customHeight="1" spans="1:5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</row>
    <row r="2" ht="21" customHeight="1" spans="1:52">
      <c r="A2" s="1" t="s">
        <v>133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8" t="s">
        <v>138</v>
      </c>
      <c r="J2" s="1" t="s">
        <v>139</v>
      </c>
      <c r="K2" s="1" t="s">
        <v>140</v>
      </c>
      <c r="L2" s="1" t="s">
        <v>141</v>
      </c>
      <c r="M2" s="1" t="s">
        <v>142</v>
      </c>
      <c r="N2" s="1" t="s">
        <v>143</v>
      </c>
      <c r="O2" s="1">
        <v>1</v>
      </c>
      <c r="P2" s="1" t="s">
        <v>144</v>
      </c>
      <c r="Q2" s="1">
        <v>79.99</v>
      </c>
      <c r="Y2" s="1" t="s">
        <v>145</v>
      </c>
      <c r="Z2" s="1" t="s">
        <v>146</v>
      </c>
      <c r="AA2" s="1" t="s">
        <v>147</v>
      </c>
      <c r="AB2" s="1" t="s">
        <v>148</v>
      </c>
      <c r="AC2" s="1" t="s">
        <v>149</v>
      </c>
      <c r="AD2" s="1" t="b">
        <v>0</v>
      </c>
      <c r="AW2" s="1" t="b">
        <v>0</v>
      </c>
      <c r="AZ2" s="1" t="b">
        <v>0</v>
      </c>
    </row>
    <row r="3" ht="21" customHeight="1" spans="1:52">
      <c r="A3" s="1" t="s">
        <v>150</v>
      </c>
      <c r="B3" s="1" t="s">
        <v>150</v>
      </c>
      <c r="C3" s="1" t="s">
        <v>151</v>
      </c>
      <c r="D3" s="1" t="s">
        <v>152</v>
      </c>
      <c r="E3" s="1" t="s">
        <v>153</v>
      </c>
      <c r="F3" s="1" t="s">
        <v>137</v>
      </c>
      <c r="G3" s="8" t="s">
        <v>138</v>
      </c>
      <c r="J3" s="1" t="s">
        <v>139</v>
      </c>
      <c r="K3" s="1" t="s">
        <v>154</v>
      </c>
      <c r="L3" s="1" t="s">
        <v>155</v>
      </c>
      <c r="M3" s="1" t="s">
        <v>156</v>
      </c>
      <c r="N3" s="1" t="s">
        <v>153</v>
      </c>
      <c r="O3" s="1">
        <v>1</v>
      </c>
      <c r="P3" s="1" t="s">
        <v>144</v>
      </c>
      <c r="Q3" s="1">
        <v>99.99</v>
      </c>
      <c r="R3" s="1">
        <v>1.89</v>
      </c>
      <c r="W3" s="1">
        <v>72.99</v>
      </c>
      <c r="Y3" s="1" t="s">
        <v>157</v>
      </c>
      <c r="Z3" s="1" t="s">
        <v>158</v>
      </c>
      <c r="AA3" s="1" t="s">
        <v>159</v>
      </c>
      <c r="AB3" s="1" t="s">
        <v>148</v>
      </c>
      <c r="AC3" s="1" t="s">
        <v>160</v>
      </c>
      <c r="AD3" s="1" t="b">
        <v>0</v>
      </c>
      <c r="AW3" s="1" t="b">
        <v>0</v>
      </c>
      <c r="AZ3" s="1" t="b">
        <v>0</v>
      </c>
    </row>
    <row r="4" ht="21" customHeight="1" spans="1:52">
      <c r="A4" s="1" t="s">
        <v>161</v>
      </c>
      <c r="B4" s="1" t="s">
        <v>161</v>
      </c>
      <c r="C4" s="1" t="s">
        <v>162</v>
      </c>
      <c r="D4" s="1" t="s">
        <v>163</v>
      </c>
      <c r="E4" s="1" t="s">
        <v>136</v>
      </c>
      <c r="F4" s="1" t="s">
        <v>137</v>
      </c>
      <c r="G4" s="8" t="s">
        <v>138</v>
      </c>
      <c r="J4" s="1" t="s">
        <v>139</v>
      </c>
      <c r="K4" s="1" t="s">
        <v>140</v>
      </c>
      <c r="L4" s="1" t="s">
        <v>141</v>
      </c>
      <c r="M4" s="1" t="s">
        <v>142</v>
      </c>
      <c r="N4" s="1" t="s">
        <v>143</v>
      </c>
      <c r="O4" s="1">
        <v>1</v>
      </c>
      <c r="P4" s="1" t="s">
        <v>144</v>
      </c>
      <c r="Q4" s="1">
        <v>79.99</v>
      </c>
      <c r="Y4" s="1" t="s">
        <v>164</v>
      </c>
      <c r="Z4" s="1" t="s">
        <v>165</v>
      </c>
      <c r="AA4" s="1" t="s">
        <v>166</v>
      </c>
      <c r="AB4" s="1" t="s">
        <v>148</v>
      </c>
      <c r="AC4" s="1" t="s">
        <v>167</v>
      </c>
      <c r="AD4" s="1" t="b">
        <v>0</v>
      </c>
      <c r="AW4" s="1" t="b">
        <v>0</v>
      </c>
      <c r="AZ4" s="1" t="b">
        <v>0</v>
      </c>
    </row>
    <row r="5" ht="21" customHeight="1" spans="1:52">
      <c r="A5" s="1" t="s">
        <v>168</v>
      </c>
      <c r="B5" s="1" t="s">
        <v>168</v>
      </c>
      <c r="C5" s="1" t="s">
        <v>169</v>
      </c>
      <c r="D5" s="1" t="s">
        <v>170</v>
      </c>
      <c r="E5" s="1" t="s">
        <v>153</v>
      </c>
      <c r="F5" s="1" t="s">
        <v>137</v>
      </c>
      <c r="G5" s="8" t="s">
        <v>138</v>
      </c>
      <c r="J5" s="1" t="s">
        <v>139</v>
      </c>
      <c r="K5" s="1" t="s">
        <v>140</v>
      </c>
      <c r="L5" s="1" t="s">
        <v>141</v>
      </c>
      <c r="M5" s="1" t="s">
        <v>142</v>
      </c>
      <c r="N5" s="1" t="s">
        <v>153</v>
      </c>
      <c r="O5" s="1">
        <v>1</v>
      </c>
      <c r="P5" s="1" t="s">
        <v>144</v>
      </c>
      <c r="Q5" s="1">
        <v>79.99</v>
      </c>
      <c r="R5" s="1">
        <v>1.85</v>
      </c>
      <c r="W5" s="1">
        <v>59.99</v>
      </c>
      <c r="Y5" s="1" t="s">
        <v>171</v>
      </c>
      <c r="Z5" s="1" t="s">
        <v>172</v>
      </c>
      <c r="AA5" s="1" t="s">
        <v>173</v>
      </c>
      <c r="AB5" s="1" t="s">
        <v>148</v>
      </c>
      <c r="AC5" s="1" t="s">
        <v>174</v>
      </c>
      <c r="AD5" s="1" t="b">
        <v>0</v>
      </c>
      <c r="AW5" s="1" t="b">
        <v>0</v>
      </c>
      <c r="AZ5" s="1" t="b">
        <v>0</v>
      </c>
    </row>
    <row r="6" ht="21" customHeight="1" spans="1:52">
      <c r="A6" s="1" t="s">
        <v>175</v>
      </c>
      <c r="B6" s="1" t="s">
        <v>175</v>
      </c>
      <c r="C6" s="1" t="s">
        <v>176</v>
      </c>
      <c r="D6" s="1" t="s">
        <v>177</v>
      </c>
      <c r="E6" s="1" t="s">
        <v>136</v>
      </c>
      <c r="F6" s="1" t="s">
        <v>137</v>
      </c>
      <c r="G6" s="8" t="s">
        <v>138</v>
      </c>
      <c r="J6" s="1" t="s">
        <v>178</v>
      </c>
      <c r="K6" s="1" t="s">
        <v>179</v>
      </c>
      <c r="L6" s="1" t="s">
        <v>180</v>
      </c>
      <c r="M6" s="1" t="s">
        <v>181</v>
      </c>
      <c r="N6" s="1" t="s">
        <v>143</v>
      </c>
      <c r="O6" s="1">
        <v>1</v>
      </c>
      <c r="P6" s="1" t="s">
        <v>144</v>
      </c>
      <c r="Q6" s="1">
        <v>79.99</v>
      </c>
      <c r="Y6" s="1" t="s">
        <v>182</v>
      </c>
      <c r="Z6" s="1" t="s">
        <v>183</v>
      </c>
      <c r="AA6" s="1" t="s">
        <v>184</v>
      </c>
      <c r="AB6" s="1" t="s">
        <v>148</v>
      </c>
      <c r="AC6" s="1" t="s">
        <v>185</v>
      </c>
      <c r="AD6" s="1" t="b">
        <v>0</v>
      </c>
      <c r="AW6" s="1" t="b">
        <v>0</v>
      </c>
      <c r="AZ6" s="1" t="b">
        <v>0</v>
      </c>
    </row>
    <row r="7" ht="21" customHeight="1" spans="1:52">
      <c r="A7" s="1" t="s">
        <v>186</v>
      </c>
      <c r="B7" s="1" t="s">
        <v>186</v>
      </c>
      <c r="C7" s="1" t="s">
        <v>187</v>
      </c>
      <c r="D7" s="1" t="s">
        <v>188</v>
      </c>
      <c r="E7" s="1" t="s">
        <v>136</v>
      </c>
      <c r="F7" s="1" t="s">
        <v>137</v>
      </c>
      <c r="G7" s="8" t="s">
        <v>138</v>
      </c>
      <c r="J7" s="1" t="s">
        <v>139</v>
      </c>
      <c r="K7" s="1" t="s">
        <v>140</v>
      </c>
      <c r="L7" s="1" t="s">
        <v>141</v>
      </c>
      <c r="M7" s="1" t="s">
        <v>142</v>
      </c>
      <c r="N7" s="1" t="s">
        <v>143</v>
      </c>
      <c r="O7" s="1">
        <v>1</v>
      </c>
      <c r="P7" s="1" t="s">
        <v>144</v>
      </c>
      <c r="Q7" s="1">
        <v>79.99</v>
      </c>
      <c r="Y7" s="1" t="s">
        <v>189</v>
      </c>
      <c r="Z7" s="1" t="s">
        <v>190</v>
      </c>
      <c r="AA7" s="1" t="s">
        <v>191</v>
      </c>
      <c r="AB7" s="1" t="s">
        <v>148</v>
      </c>
      <c r="AC7" s="1" t="s">
        <v>167</v>
      </c>
      <c r="AD7" s="1" t="b">
        <v>0</v>
      </c>
      <c r="AW7" s="1" t="b">
        <v>0</v>
      </c>
      <c r="AZ7" s="1" t="b">
        <v>0</v>
      </c>
    </row>
    <row r="8" ht="21" customHeight="1" spans="1:52">
      <c r="A8" s="1" t="s">
        <v>192</v>
      </c>
      <c r="B8" s="1" t="s">
        <v>192</v>
      </c>
      <c r="C8" s="1" t="s">
        <v>193</v>
      </c>
      <c r="D8" s="1" t="s">
        <v>194</v>
      </c>
      <c r="E8" s="1" t="s">
        <v>136</v>
      </c>
      <c r="F8" s="1" t="s">
        <v>137</v>
      </c>
      <c r="G8" s="8" t="s">
        <v>138</v>
      </c>
      <c r="J8" s="1" t="s">
        <v>139</v>
      </c>
      <c r="K8" s="1" t="s">
        <v>179</v>
      </c>
      <c r="L8" s="1" t="s">
        <v>180</v>
      </c>
      <c r="M8" s="1" t="s">
        <v>181</v>
      </c>
      <c r="N8" s="1" t="s">
        <v>143</v>
      </c>
      <c r="O8" s="1">
        <v>1</v>
      </c>
      <c r="P8" s="1" t="s">
        <v>144</v>
      </c>
      <c r="Q8" s="1">
        <v>79.99</v>
      </c>
      <c r="Y8" s="1" t="s">
        <v>195</v>
      </c>
      <c r="Z8" s="1" t="s">
        <v>196</v>
      </c>
      <c r="AA8" s="1" t="s">
        <v>197</v>
      </c>
      <c r="AB8" s="1" t="s">
        <v>148</v>
      </c>
      <c r="AC8" s="1" t="s">
        <v>198</v>
      </c>
      <c r="AD8" s="1" t="b">
        <v>0</v>
      </c>
      <c r="AW8" s="1" t="b">
        <v>0</v>
      </c>
      <c r="AZ8" s="1" t="b">
        <v>0</v>
      </c>
    </row>
    <row r="9" ht="21" customHeight="1" spans="1:52">
      <c r="A9" s="1" t="s">
        <v>199</v>
      </c>
      <c r="B9" s="1" t="s">
        <v>199</v>
      </c>
      <c r="C9" s="1" t="s">
        <v>200</v>
      </c>
      <c r="D9" s="1" t="s">
        <v>201</v>
      </c>
      <c r="E9" s="1" t="s">
        <v>153</v>
      </c>
      <c r="F9" s="1" t="s">
        <v>137</v>
      </c>
      <c r="G9" s="8" t="s">
        <v>138</v>
      </c>
      <c r="J9" s="1" t="s">
        <v>139</v>
      </c>
      <c r="K9" s="1" t="s">
        <v>179</v>
      </c>
      <c r="L9" s="1" t="s">
        <v>180</v>
      </c>
      <c r="M9" s="1" t="s">
        <v>181</v>
      </c>
      <c r="N9" s="1" t="s">
        <v>153</v>
      </c>
      <c r="O9" s="1">
        <v>1</v>
      </c>
      <c r="P9" s="1" t="s">
        <v>144</v>
      </c>
      <c r="Q9" s="1">
        <v>79.99</v>
      </c>
      <c r="R9" s="1">
        <v>3.12</v>
      </c>
      <c r="W9" s="1">
        <v>47.99</v>
      </c>
      <c r="Y9" s="1" t="s">
        <v>202</v>
      </c>
      <c r="Z9" s="1" t="s">
        <v>172</v>
      </c>
      <c r="AA9" s="1" t="s">
        <v>203</v>
      </c>
      <c r="AB9" s="1" t="s">
        <v>148</v>
      </c>
      <c r="AC9" s="1" t="s">
        <v>198</v>
      </c>
      <c r="AD9" s="1" t="b">
        <v>0</v>
      </c>
      <c r="AW9" s="1" t="b">
        <v>0</v>
      </c>
      <c r="AZ9" s="1" t="b">
        <v>0</v>
      </c>
    </row>
    <row r="10" ht="21" customHeight="1" spans="1:52">
      <c r="A10" s="1" t="s">
        <v>204</v>
      </c>
      <c r="B10" s="1" t="s">
        <v>204</v>
      </c>
      <c r="C10" s="1" t="s">
        <v>205</v>
      </c>
      <c r="D10" s="1" t="s">
        <v>206</v>
      </c>
      <c r="E10" s="1" t="s">
        <v>153</v>
      </c>
      <c r="F10" s="1" t="s">
        <v>137</v>
      </c>
      <c r="G10" s="8" t="s">
        <v>138</v>
      </c>
      <c r="J10" s="1" t="s">
        <v>139</v>
      </c>
      <c r="K10" s="1" t="s">
        <v>140</v>
      </c>
      <c r="L10" s="1" t="s">
        <v>141</v>
      </c>
      <c r="M10" s="1" t="s">
        <v>142</v>
      </c>
      <c r="N10" s="1" t="s">
        <v>153</v>
      </c>
      <c r="O10" s="1">
        <v>1</v>
      </c>
      <c r="P10" s="1" t="s">
        <v>144</v>
      </c>
      <c r="Q10" s="1">
        <v>79.99</v>
      </c>
      <c r="R10" s="1">
        <v>1.25</v>
      </c>
      <c r="S10" s="1">
        <v>2.99</v>
      </c>
      <c r="W10" s="1">
        <v>59.99</v>
      </c>
      <c r="X10" s="1">
        <v>2.99</v>
      </c>
      <c r="Y10" s="1" t="s">
        <v>207</v>
      </c>
      <c r="Z10" s="1" t="s">
        <v>208</v>
      </c>
      <c r="AA10" s="1" t="s">
        <v>209</v>
      </c>
      <c r="AB10" s="1" t="s">
        <v>148</v>
      </c>
      <c r="AC10" s="1" t="s">
        <v>210</v>
      </c>
      <c r="AD10" s="1" t="b">
        <v>0</v>
      </c>
      <c r="AW10" s="1" t="b">
        <v>0</v>
      </c>
      <c r="AZ10" s="1" t="b">
        <v>0</v>
      </c>
    </row>
    <row r="11" ht="21" customHeight="1" spans="1:52">
      <c r="A11" s="1" t="s">
        <v>211</v>
      </c>
      <c r="B11" s="1" t="s">
        <v>211</v>
      </c>
      <c r="C11" s="1" t="s">
        <v>212</v>
      </c>
      <c r="D11" s="1" t="s">
        <v>213</v>
      </c>
      <c r="E11" s="1" t="s">
        <v>153</v>
      </c>
      <c r="F11" s="1" t="s">
        <v>137</v>
      </c>
      <c r="G11" s="8" t="s">
        <v>138</v>
      </c>
      <c r="J11" s="1" t="s">
        <v>178</v>
      </c>
      <c r="K11" s="1" t="s">
        <v>154</v>
      </c>
      <c r="L11" s="1" t="s">
        <v>155</v>
      </c>
      <c r="M11" s="1" t="s">
        <v>156</v>
      </c>
      <c r="N11" s="1" t="s">
        <v>153</v>
      </c>
      <c r="O11" s="1">
        <v>1</v>
      </c>
      <c r="P11" s="1" t="s">
        <v>144</v>
      </c>
      <c r="Q11" s="1">
        <v>99.99</v>
      </c>
      <c r="R11" s="1">
        <v>2.84</v>
      </c>
      <c r="W11" s="1">
        <v>67.99</v>
      </c>
      <c r="Y11" s="1" t="s">
        <v>214</v>
      </c>
      <c r="Z11" s="1" t="s">
        <v>215</v>
      </c>
      <c r="AA11" s="1">
        <v>11235</v>
      </c>
      <c r="AB11" s="1" t="s">
        <v>148</v>
      </c>
      <c r="AC11" s="1" t="s">
        <v>216</v>
      </c>
      <c r="AD11" s="1" t="b">
        <v>0</v>
      </c>
      <c r="AW11" s="1" t="b">
        <v>0</v>
      </c>
      <c r="AZ11" s="1" t="b">
        <v>0</v>
      </c>
    </row>
    <row r="12" ht="21" customHeight="1" spans="1:52">
      <c r="A12" s="1" t="s">
        <v>217</v>
      </c>
      <c r="B12" s="1" t="s">
        <v>217</v>
      </c>
      <c r="C12" s="1" t="s">
        <v>218</v>
      </c>
      <c r="D12" s="1" t="s">
        <v>219</v>
      </c>
      <c r="E12" s="1" t="s">
        <v>136</v>
      </c>
      <c r="F12" s="1" t="s">
        <v>137</v>
      </c>
      <c r="G12" s="8" t="s">
        <v>138</v>
      </c>
      <c r="J12" s="1" t="s">
        <v>139</v>
      </c>
      <c r="K12" s="1" t="s">
        <v>140</v>
      </c>
      <c r="L12" s="1" t="s">
        <v>141</v>
      </c>
      <c r="M12" s="1" t="s">
        <v>142</v>
      </c>
      <c r="N12" s="1" t="s">
        <v>143</v>
      </c>
      <c r="O12" s="1">
        <v>1</v>
      </c>
      <c r="P12" s="1" t="s">
        <v>144</v>
      </c>
      <c r="Q12" s="1">
        <v>79.99</v>
      </c>
      <c r="Y12" s="1" t="s">
        <v>220</v>
      </c>
      <c r="Z12" s="1" t="s">
        <v>215</v>
      </c>
      <c r="AA12" s="1">
        <v>10461</v>
      </c>
      <c r="AB12" s="1" t="s">
        <v>148</v>
      </c>
      <c r="AC12" s="1" t="s">
        <v>149</v>
      </c>
      <c r="AD12" s="1" t="b">
        <v>0</v>
      </c>
      <c r="AW12" s="1" t="b">
        <v>0</v>
      </c>
      <c r="AZ12" s="1" t="b">
        <v>0</v>
      </c>
    </row>
    <row r="13" ht="21" customHeight="1" spans="1:52">
      <c r="A13" s="1" t="s">
        <v>221</v>
      </c>
      <c r="B13" s="1" t="s">
        <v>221</v>
      </c>
      <c r="C13" s="1" t="s">
        <v>222</v>
      </c>
      <c r="D13" s="1" t="s">
        <v>223</v>
      </c>
      <c r="E13" s="1" t="s">
        <v>153</v>
      </c>
      <c r="F13" s="1" t="s">
        <v>137</v>
      </c>
      <c r="G13" s="8" t="s">
        <v>138</v>
      </c>
      <c r="J13" s="1" t="s">
        <v>139</v>
      </c>
      <c r="K13" s="1" t="s">
        <v>179</v>
      </c>
      <c r="L13" s="1" t="s">
        <v>180</v>
      </c>
      <c r="M13" s="1" t="s">
        <v>181</v>
      </c>
      <c r="N13" s="1" t="s">
        <v>153</v>
      </c>
      <c r="O13" s="1">
        <v>1</v>
      </c>
      <c r="P13" s="1" t="s">
        <v>144</v>
      </c>
      <c r="Q13" s="1">
        <v>79.99</v>
      </c>
      <c r="R13" s="1">
        <v>3.8</v>
      </c>
      <c r="W13" s="1">
        <v>40</v>
      </c>
      <c r="Y13" s="1" t="s">
        <v>224</v>
      </c>
      <c r="Z13" s="1" t="s">
        <v>190</v>
      </c>
      <c r="AA13" s="1" t="s">
        <v>225</v>
      </c>
      <c r="AB13" s="1" t="s">
        <v>148</v>
      </c>
      <c r="AC13" s="1" t="s">
        <v>226</v>
      </c>
      <c r="AD13" s="1" t="b">
        <v>0</v>
      </c>
      <c r="AW13" s="1" t="b">
        <v>0</v>
      </c>
      <c r="AZ13" s="1" t="b">
        <v>0</v>
      </c>
    </row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</sheetData>
  <hyperlinks>
    <hyperlink ref="G12" r:id="rId1" display="Amazon.com"/>
    <hyperlink ref="G4" r:id="rId1" display="Amazon.com"/>
    <hyperlink ref="G10" r:id="rId1" display="Amazon.com"/>
    <hyperlink ref="G11" r:id="rId1" display="Amazon.com"/>
    <hyperlink ref="G6" r:id="rId1" display="Amazon.com"/>
    <hyperlink ref="G7" r:id="rId1" display="Amazon.com"/>
    <hyperlink ref="G13" r:id="rId1" display="Amazon.com"/>
    <hyperlink ref="G8" r:id="rId1" display="Amazon.com"/>
    <hyperlink ref="G5" r:id="rId1" display="Amazon.com"/>
    <hyperlink ref="G2" r:id="rId1" display="Amazon.com"/>
    <hyperlink ref="G9" r:id="rId1" display="Amazon.com"/>
    <hyperlink ref="G3" r:id="rId1" display="Amazon.com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34"/>
  <sheetViews>
    <sheetView workbookViewId="0">
      <selection activeCell="A1" sqref="A1"/>
    </sheetView>
  </sheetViews>
  <sheetFormatPr defaultColWidth="14" defaultRowHeight="13.2"/>
  <cols>
    <col min="1" max="15" width="11" customWidth="1"/>
    <col min="16" max="16" width="34" customWidth="1"/>
    <col min="17" max="20" width="11" customWidth="1"/>
  </cols>
  <sheetData>
    <row r="1" ht="29.1" customHeight="1" spans="1:19">
      <c r="A1" s="1" t="s">
        <v>227</v>
      </c>
      <c r="B1" s="1" t="s">
        <v>228</v>
      </c>
      <c r="C1" s="1" t="s">
        <v>229</v>
      </c>
      <c r="D1" s="1" t="s">
        <v>230</v>
      </c>
      <c r="E1" s="1" t="s">
        <v>4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7" t="s">
        <v>236</v>
      </c>
      <c r="L1" s="1" t="s">
        <v>237</v>
      </c>
      <c r="M1" s="1" t="s">
        <v>238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</row>
    <row r="2" ht="29.1" customHeight="1" spans="1:18">
      <c r="A2" s="1" t="s">
        <v>245</v>
      </c>
      <c r="B2" s="1" t="s">
        <v>246</v>
      </c>
      <c r="C2" s="1" t="s">
        <v>156</v>
      </c>
      <c r="D2" s="1" t="s">
        <v>247</v>
      </c>
      <c r="E2" s="1" t="s">
        <v>248</v>
      </c>
      <c r="F2" s="1" t="s">
        <v>249</v>
      </c>
      <c r="G2" s="1">
        <v>68</v>
      </c>
      <c r="I2" s="1" t="s">
        <v>250</v>
      </c>
      <c r="J2" s="1" t="s">
        <v>251</v>
      </c>
      <c r="K2" s="7">
        <v>37</v>
      </c>
      <c r="L2" s="1" t="s">
        <v>252</v>
      </c>
      <c r="M2" s="1" t="s">
        <v>253</v>
      </c>
      <c r="P2" s="1" t="s">
        <v>254</v>
      </c>
      <c r="Q2" s="1" t="s">
        <v>255</v>
      </c>
      <c r="R2" s="1" t="s">
        <v>256</v>
      </c>
    </row>
    <row r="3" ht="15" customHeight="1" spans="1:18">
      <c r="A3" s="1" t="s">
        <v>245</v>
      </c>
      <c r="B3" s="1" t="s">
        <v>246</v>
      </c>
      <c r="C3" s="1" t="s">
        <v>156</v>
      </c>
      <c r="D3" s="1" t="s">
        <v>247</v>
      </c>
      <c r="E3" s="1" t="s">
        <v>248</v>
      </c>
      <c r="F3" s="1" t="s">
        <v>249</v>
      </c>
      <c r="G3" s="1">
        <v>68</v>
      </c>
      <c r="I3" s="1" t="s">
        <v>257</v>
      </c>
      <c r="J3" s="1" t="s">
        <v>251</v>
      </c>
      <c r="K3" s="7">
        <v>14</v>
      </c>
      <c r="L3" s="1" t="s">
        <v>252</v>
      </c>
      <c r="M3" s="1" t="s">
        <v>253</v>
      </c>
      <c r="P3" s="1" t="s">
        <v>254</v>
      </c>
      <c r="Q3" s="1" t="s">
        <v>258</v>
      </c>
      <c r="R3" s="1" t="s">
        <v>259</v>
      </c>
    </row>
    <row r="4" ht="15" customHeight="1" spans="1:18">
      <c r="A4" s="1" t="s">
        <v>245</v>
      </c>
      <c r="B4" s="1" t="s">
        <v>246</v>
      </c>
      <c r="C4" s="1" t="s">
        <v>156</v>
      </c>
      <c r="D4" s="1" t="s">
        <v>247</v>
      </c>
      <c r="E4" s="1" t="s">
        <v>248</v>
      </c>
      <c r="F4" s="1" t="s">
        <v>249</v>
      </c>
      <c r="G4" s="1">
        <v>68</v>
      </c>
      <c r="I4" s="1" t="s">
        <v>260</v>
      </c>
      <c r="J4" s="1" t="s">
        <v>251</v>
      </c>
      <c r="K4" s="7">
        <v>30</v>
      </c>
      <c r="L4" s="1" t="s">
        <v>252</v>
      </c>
      <c r="M4" s="1" t="s">
        <v>253</v>
      </c>
      <c r="P4" s="1" t="s">
        <v>254</v>
      </c>
      <c r="Q4" s="1" t="s">
        <v>261</v>
      </c>
      <c r="R4" s="1" t="s">
        <v>262</v>
      </c>
    </row>
    <row r="5" ht="15" customHeight="1" spans="1:18">
      <c r="A5" s="1" t="s">
        <v>245</v>
      </c>
      <c r="B5" s="1" t="s">
        <v>246</v>
      </c>
      <c r="C5" s="1" t="s">
        <v>156</v>
      </c>
      <c r="D5" s="1" t="s">
        <v>247</v>
      </c>
      <c r="E5" s="1" t="s">
        <v>248</v>
      </c>
      <c r="F5" s="1" t="s">
        <v>249</v>
      </c>
      <c r="G5" s="1">
        <v>68</v>
      </c>
      <c r="I5" s="1" t="s">
        <v>263</v>
      </c>
      <c r="J5" s="1" t="s">
        <v>251</v>
      </c>
      <c r="K5" s="7">
        <v>63</v>
      </c>
      <c r="L5" s="1" t="s">
        <v>252</v>
      </c>
      <c r="M5" s="1" t="s">
        <v>253</v>
      </c>
      <c r="P5" s="1" t="s">
        <v>254</v>
      </c>
      <c r="Q5" s="1" t="s">
        <v>264</v>
      </c>
      <c r="R5" s="1" t="s">
        <v>265</v>
      </c>
    </row>
    <row r="6" ht="15" customHeight="1" spans="1:19">
      <c r="A6" s="1" t="s">
        <v>245</v>
      </c>
      <c r="B6" s="1" t="s">
        <v>246</v>
      </c>
      <c r="C6" s="1" t="s">
        <v>156</v>
      </c>
      <c r="D6" s="1" t="s">
        <v>247</v>
      </c>
      <c r="E6" s="1" t="s">
        <v>248</v>
      </c>
      <c r="F6" s="1" t="s">
        <v>249</v>
      </c>
      <c r="G6" s="1">
        <v>68</v>
      </c>
      <c r="I6" s="1" t="s">
        <v>266</v>
      </c>
      <c r="J6" s="1" t="s">
        <v>251</v>
      </c>
      <c r="K6" s="7">
        <v>32</v>
      </c>
      <c r="L6" s="1" t="s">
        <v>267</v>
      </c>
      <c r="O6" s="1" t="s">
        <v>268</v>
      </c>
      <c r="P6" s="1" t="s">
        <v>254</v>
      </c>
      <c r="Q6" s="1" t="s">
        <v>269</v>
      </c>
      <c r="S6" s="1" t="s">
        <v>270</v>
      </c>
    </row>
    <row r="7" ht="15" customHeight="1" spans="1:18">
      <c r="A7" s="1" t="s">
        <v>245</v>
      </c>
      <c r="B7" s="1" t="s">
        <v>246</v>
      </c>
      <c r="C7" s="1" t="s">
        <v>156</v>
      </c>
      <c r="D7" s="1" t="s">
        <v>247</v>
      </c>
      <c r="E7" s="1" t="s">
        <v>248</v>
      </c>
      <c r="F7" s="1" t="s">
        <v>249</v>
      </c>
      <c r="G7" s="1">
        <v>68</v>
      </c>
      <c r="I7" s="1" t="s">
        <v>271</v>
      </c>
      <c r="J7" s="1" t="s">
        <v>251</v>
      </c>
      <c r="K7" s="7">
        <v>32</v>
      </c>
      <c r="L7" s="1" t="s">
        <v>252</v>
      </c>
      <c r="M7" s="1" t="s">
        <v>253</v>
      </c>
      <c r="P7" s="1" t="s">
        <v>254</v>
      </c>
      <c r="Q7" s="1" t="s">
        <v>272</v>
      </c>
      <c r="R7" s="1" t="s">
        <v>273</v>
      </c>
    </row>
    <row r="8" ht="15" customHeight="1" spans="1:18">
      <c r="A8" s="1" t="s">
        <v>245</v>
      </c>
      <c r="B8" s="1" t="s">
        <v>246</v>
      </c>
      <c r="C8" s="1" t="s">
        <v>156</v>
      </c>
      <c r="D8" s="1" t="s">
        <v>247</v>
      </c>
      <c r="E8" s="1" t="s">
        <v>248</v>
      </c>
      <c r="F8" s="1" t="s">
        <v>249</v>
      </c>
      <c r="G8" s="1">
        <v>68</v>
      </c>
      <c r="I8" s="1" t="s">
        <v>274</v>
      </c>
      <c r="J8" s="1" t="s">
        <v>251</v>
      </c>
      <c r="K8" s="7">
        <v>49</v>
      </c>
      <c r="L8" s="1" t="s">
        <v>252</v>
      </c>
      <c r="N8" s="1" t="s">
        <v>275</v>
      </c>
      <c r="P8" s="1" t="s">
        <v>254</v>
      </c>
      <c r="Q8" s="1" t="s">
        <v>276</v>
      </c>
      <c r="R8" s="1" t="s">
        <v>277</v>
      </c>
    </row>
    <row r="9" ht="15" customHeight="1" spans="1:18">
      <c r="A9" s="1" t="s">
        <v>245</v>
      </c>
      <c r="B9" s="1" t="s">
        <v>246</v>
      </c>
      <c r="C9" s="1" t="s">
        <v>156</v>
      </c>
      <c r="D9" s="1" t="s">
        <v>247</v>
      </c>
      <c r="E9" s="1" t="s">
        <v>248</v>
      </c>
      <c r="F9" s="1" t="s">
        <v>249</v>
      </c>
      <c r="G9" s="1">
        <v>68</v>
      </c>
      <c r="I9" s="1" t="s">
        <v>278</v>
      </c>
      <c r="J9" s="1" t="s">
        <v>251</v>
      </c>
      <c r="K9" s="7">
        <v>24</v>
      </c>
      <c r="L9" s="1" t="s">
        <v>252</v>
      </c>
      <c r="M9" s="1" t="s">
        <v>253</v>
      </c>
      <c r="P9" s="1" t="s">
        <v>254</v>
      </c>
      <c r="Q9" s="1" t="s">
        <v>279</v>
      </c>
      <c r="R9" s="1" t="s">
        <v>280</v>
      </c>
    </row>
    <row r="10" ht="15" customHeight="1" spans="1:19">
      <c r="A10" s="1" t="s">
        <v>245</v>
      </c>
      <c r="B10" s="1" t="s">
        <v>246</v>
      </c>
      <c r="C10" s="1" t="s">
        <v>156</v>
      </c>
      <c r="D10" s="1" t="s">
        <v>247</v>
      </c>
      <c r="E10" s="1" t="s">
        <v>248</v>
      </c>
      <c r="F10" s="1" t="s">
        <v>249</v>
      </c>
      <c r="G10" s="1">
        <v>68</v>
      </c>
      <c r="I10" s="1" t="s">
        <v>281</v>
      </c>
      <c r="J10" s="1" t="s">
        <v>251</v>
      </c>
      <c r="K10" s="7">
        <v>14</v>
      </c>
      <c r="L10" s="1" t="s">
        <v>267</v>
      </c>
      <c r="O10" s="1" t="s">
        <v>268</v>
      </c>
      <c r="P10" s="1" t="s">
        <v>254</v>
      </c>
      <c r="Q10" s="1" t="s">
        <v>282</v>
      </c>
      <c r="S10" s="1" t="s">
        <v>283</v>
      </c>
    </row>
    <row r="11" ht="15" customHeight="1" spans="1:18">
      <c r="A11" s="1" t="s">
        <v>245</v>
      </c>
      <c r="B11" s="1" t="s">
        <v>246</v>
      </c>
      <c r="C11" s="1" t="s">
        <v>156</v>
      </c>
      <c r="D11" s="1" t="s">
        <v>247</v>
      </c>
      <c r="E11" s="1" t="s">
        <v>248</v>
      </c>
      <c r="F11" s="1" t="s">
        <v>249</v>
      </c>
      <c r="G11" s="1">
        <v>68</v>
      </c>
      <c r="I11" s="1" t="s">
        <v>284</v>
      </c>
      <c r="J11" s="1" t="s">
        <v>251</v>
      </c>
      <c r="K11" s="7">
        <v>28</v>
      </c>
      <c r="L11" s="1" t="s">
        <v>252</v>
      </c>
      <c r="M11" s="1" t="s">
        <v>253</v>
      </c>
      <c r="P11" s="1" t="s">
        <v>254</v>
      </c>
      <c r="Q11" s="1" t="s">
        <v>285</v>
      </c>
      <c r="R11" s="1" t="s">
        <v>286</v>
      </c>
    </row>
    <row r="12" ht="15" customHeight="1" spans="1:19">
      <c r="A12" s="1" t="s">
        <v>245</v>
      </c>
      <c r="B12" s="1" t="s">
        <v>287</v>
      </c>
      <c r="C12" s="1" t="s">
        <v>288</v>
      </c>
      <c r="D12" s="1" t="s">
        <v>247</v>
      </c>
      <c r="E12" s="1" t="s">
        <v>248</v>
      </c>
      <c r="F12" s="1" t="s">
        <v>289</v>
      </c>
      <c r="G12" s="1">
        <v>68</v>
      </c>
      <c r="I12" s="1" t="s">
        <v>290</v>
      </c>
      <c r="J12" s="1" t="s">
        <v>251</v>
      </c>
      <c r="K12" s="7">
        <v>22</v>
      </c>
      <c r="L12" s="1" t="s">
        <v>267</v>
      </c>
      <c r="O12" s="1" t="s">
        <v>291</v>
      </c>
      <c r="P12" s="1" t="s">
        <v>292</v>
      </c>
      <c r="S12" s="1" t="s">
        <v>293</v>
      </c>
    </row>
    <row r="13" ht="15" customHeight="1" spans="1:18">
      <c r="A13" s="1" t="s">
        <v>245</v>
      </c>
      <c r="B13" s="1" t="s">
        <v>287</v>
      </c>
      <c r="C13" s="1" t="s">
        <v>288</v>
      </c>
      <c r="D13" s="1" t="s">
        <v>247</v>
      </c>
      <c r="E13" s="1" t="s">
        <v>248</v>
      </c>
      <c r="F13" s="1" t="s">
        <v>289</v>
      </c>
      <c r="G13" s="1">
        <v>68</v>
      </c>
      <c r="I13" s="1" t="s">
        <v>294</v>
      </c>
      <c r="J13" s="1" t="s">
        <v>251</v>
      </c>
      <c r="K13" s="7">
        <v>25</v>
      </c>
      <c r="L13" s="1" t="s">
        <v>252</v>
      </c>
      <c r="N13" s="1" t="s">
        <v>275</v>
      </c>
      <c r="P13" s="1" t="s">
        <v>292</v>
      </c>
      <c r="Q13" s="1" t="s">
        <v>295</v>
      </c>
      <c r="R13" s="1" t="s">
        <v>296</v>
      </c>
    </row>
    <row r="14" ht="15" customHeight="1" spans="1:19">
      <c r="A14" s="1" t="s">
        <v>245</v>
      </c>
      <c r="B14" s="1" t="s">
        <v>287</v>
      </c>
      <c r="C14" s="1" t="s">
        <v>288</v>
      </c>
      <c r="D14" s="1" t="s">
        <v>247</v>
      </c>
      <c r="E14" s="1" t="s">
        <v>248</v>
      </c>
      <c r="F14" s="1" t="s">
        <v>289</v>
      </c>
      <c r="G14" s="1">
        <v>68</v>
      </c>
      <c r="I14" s="1" t="s">
        <v>297</v>
      </c>
      <c r="J14" s="1" t="s">
        <v>251</v>
      </c>
      <c r="K14" s="7">
        <v>17</v>
      </c>
      <c r="L14" s="1" t="s">
        <v>267</v>
      </c>
      <c r="O14" s="1" t="s">
        <v>268</v>
      </c>
      <c r="P14" s="1" t="s">
        <v>292</v>
      </c>
      <c r="Q14" s="1" t="s">
        <v>298</v>
      </c>
      <c r="S14" s="1" t="s">
        <v>299</v>
      </c>
    </row>
    <row r="15" ht="15" customHeight="1" spans="1:18">
      <c r="A15" s="1" t="s">
        <v>245</v>
      </c>
      <c r="B15" s="1" t="s">
        <v>287</v>
      </c>
      <c r="C15" s="1" t="s">
        <v>288</v>
      </c>
      <c r="D15" s="1" t="s">
        <v>247</v>
      </c>
      <c r="E15" s="1" t="s">
        <v>248</v>
      </c>
      <c r="F15" s="1" t="s">
        <v>289</v>
      </c>
      <c r="G15" s="1">
        <v>68</v>
      </c>
      <c r="I15" s="1" t="s">
        <v>300</v>
      </c>
      <c r="J15" s="1" t="s">
        <v>251</v>
      </c>
      <c r="K15" s="7">
        <v>80</v>
      </c>
      <c r="L15" s="1" t="s">
        <v>252</v>
      </c>
      <c r="M15" s="1" t="s">
        <v>253</v>
      </c>
      <c r="P15" s="1" t="s">
        <v>292</v>
      </c>
      <c r="Q15" s="1" t="s">
        <v>301</v>
      </c>
      <c r="R15" s="1" t="s">
        <v>302</v>
      </c>
    </row>
    <row r="16" ht="15" customHeight="1" spans="1:19">
      <c r="A16" s="1" t="s">
        <v>245</v>
      </c>
      <c r="B16" s="1" t="s">
        <v>287</v>
      </c>
      <c r="C16" s="1" t="s">
        <v>288</v>
      </c>
      <c r="D16" s="1" t="s">
        <v>247</v>
      </c>
      <c r="E16" s="1" t="s">
        <v>248</v>
      </c>
      <c r="F16" s="1" t="s">
        <v>289</v>
      </c>
      <c r="G16" s="1">
        <v>68</v>
      </c>
      <c r="I16" s="1" t="s">
        <v>303</v>
      </c>
      <c r="J16" s="1" t="s">
        <v>251</v>
      </c>
      <c r="K16" s="7">
        <v>51</v>
      </c>
      <c r="L16" s="1" t="s">
        <v>267</v>
      </c>
      <c r="O16" s="1" t="s">
        <v>268</v>
      </c>
      <c r="P16" s="1" t="s">
        <v>292</v>
      </c>
      <c r="Q16" s="1" t="s">
        <v>304</v>
      </c>
      <c r="S16" s="1" t="s">
        <v>305</v>
      </c>
    </row>
    <row r="17" ht="15" customHeight="1" spans="1:18">
      <c r="A17" s="1" t="s">
        <v>245</v>
      </c>
      <c r="B17" s="1" t="s">
        <v>287</v>
      </c>
      <c r="C17" s="1" t="s">
        <v>288</v>
      </c>
      <c r="D17" s="1" t="s">
        <v>247</v>
      </c>
      <c r="E17" s="1" t="s">
        <v>248</v>
      </c>
      <c r="F17" s="1" t="s">
        <v>289</v>
      </c>
      <c r="G17" s="1">
        <v>68</v>
      </c>
      <c r="I17" s="1" t="s">
        <v>306</v>
      </c>
      <c r="J17" s="1" t="s">
        <v>251</v>
      </c>
      <c r="K17" s="7">
        <v>13</v>
      </c>
      <c r="L17" s="1" t="s">
        <v>252</v>
      </c>
      <c r="M17" s="1" t="s">
        <v>253</v>
      </c>
      <c r="P17" s="1" t="s">
        <v>292</v>
      </c>
      <c r="Q17" s="1" t="s">
        <v>307</v>
      </c>
      <c r="R17" s="1" t="s">
        <v>308</v>
      </c>
    </row>
    <row r="18" ht="15" customHeight="1" spans="1:19">
      <c r="A18" s="1" t="s">
        <v>245</v>
      </c>
      <c r="B18" s="1" t="s">
        <v>287</v>
      </c>
      <c r="C18" s="1" t="s">
        <v>288</v>
      </c>
      <c r="D18" s="1" t="s">
        <v>247</v>
      </c>
      <c r="E18" s="1" t="s">
        <v>248</v>
      </c>
      <c r="F18" s="1" t="s">
        <v>289</v>
      </c>
      <c r="G18" s="1">
        <v>68</v>
      </c>
      <c r="I18" s="1" t="s">
        <v>309</v>
      </c>
      <c r="J18" s="1" t="s">
        <v>251</v>
      </c>
      <c r="K18" s="7">
        <v>30</v>
      </c>
      <c r="L18" s="1" t="s">
        <v>267</v>
      </c>
      <c r="O18" s="1" t="s">
        <v>268</v>
      </c>
      <c r="P18" s="1" t="s">
        <v>292</v>
      </c>
      <c r="Q18" s="1" t="s">
        <v>310</v>
      </c>
      <c r="S18" s="1" t="s">
        <v>311</v>
      </c>
    </row>
    <row r="19" ht="15" customHeight="1" spans="1:19">
      <c r="A19" s="1" t="s">
        <v>245</v>
      </c>
      <c r="B19" s="1" t="s">
        <v>287</v>
      </c>
      <c r="C19" s="1" t="s">
        <v>288</v>
      </c>
      <c r="D19" s="1" t="s">
        <v>247</v>
      </c>
      <c r="E19" s="1" t="s">
        <v>248</v>
      </c>
      <c r="F19" s="1" t="s">
        <v>289</v>
      </c>
      <c r="G19" s="1">
        <v>68</v>
      </c>
      <c r="I19" s="1" t="s">
        <v>312</v>
      </c>
      <c r="J19" s="1" t="s">
        <v>251</v>
      </c>
      <c r="K19" s="7">
        <v>47</v>
      </c>
      <c r="L19" s="1" t="s">
        <v>267</v>
      </c>
      <c r="O19" s="1" t="s">
        <v>313</v>
      </c>
      <c r="P19" s="1" t="s">
        <v>292</v>
      </c>
      <c r="S19" s="1" t="s">
        <v>314</v>
      </c>
    </row>
    <row r="20" ht="15" customHeight="1" spans="1:19">
      <c r="A20" s="1" t="s">
        <v>245</v>
      </c>
      <c r="B20" s="1" t="s">
        <v>287</v>
      </c>
      <c r="C20" s="1" t="s">
        <v>288</v>
      </c>
      <c r="D20" s="1" t="s">
        <v>247</v>
      </c>
      <c r="E20" s="1" t="s">
        <v>248</v>
      </c>
      <c r="F20" s="1" t="s">
        <v>289</v>
      </c>
      <c r="G20" s="1">
        <v>68</v>
      </c>
      <c r="I20" s="1" t="s">
        <v>315</v>
      </c>
      <c r="J20" s="1" t="s">
        <v>251</v>
      </c>
      <c r="K20" s="7">
        <v>15</v>
      </c>
      <c r="L20" s="1" t="s">
        <v>267</v>
      </c>
      <c r="O20" s="1" t="s">
        <v>316</v>
      </c>
      <c r="P20" s="1" t="s">
        <v>292</v>
      </c>
      <c r="Q20" s="1" t="s">
        <v>317</v>
      </c>
      <c r="S20" s="1" t="s">
        <v>318</v>
      </c>
    </row>
    <row r="21" ht="15" customHeight="1" spans="1:18">
      <c r="A21" s="1" t="s">
        <v>245</v>
      </c>
      <c r="B21" s="1" t="s">
        <v>287</v>
      </c>
      <c r="C21" s="1" t="s">
        <v>288</v>
      </c>
      <c r="D21" s="1" t="s">
        <v>247</v>
      </c>
      <c r="E21" s="1" t="s">
        <v>248</v>
      </c>
      <c r="F21" s="1" t="s">
        <v>289</v>
      </c>
      <c r="G21" s="1">
        <v>68</v>
      </c>
      <c r="I21" s="1" t="s">
        <v>319</v>
      </c>
      <c r="J21" s="1" t="s">
        <v>251</v>
      </c>
      <c r="K21" s="7">
        <v>47</v>
      </c>
      <c r="L21" s="1" t="s">
        <v>252</v>
      </c>
      <c r="M21" s="1" t="s">
        <v>253</v>
      </c>
      <c r="P21" s="1" t="s">
        <v>292</v>
      </c>
      <c r="Q21" s="1" t="s">
        <v>320</v>
      </c>
      <c r="R21" s="1" t="s">
        <v>321</v>
      </c>
    </row>
    <row r="22" ht="15" customHeight="1" spans="1:19">
      <c r="A22" s="1" t="s">
        <v>245</v>
      </c>
      <c r="B22" s="1" t="s">
        <v>287</v>
      </c>
      <c r="C22" s="1" t="s">
        <v>288</v>
      </c>
      <c r="D22" s="1" t="s">
        <v>247</v>
      </c>
      <c r="E22" s="1" t="s">
        <v>248</v>
      </c>
      <c r="F22" s="1" t="s">
        <v>289</v>
      </c>
      <c r="G22" s="1">
        <v>68</v>
      </c>
      <c r="I22" s="1" t="s">
        <v>322</v>
      </c>
      <c r="J22" s="1" t="s">
        <v>251</v>
      </c>
      <c r="K22" s="7">
        <v>28</v>
      </c>
      <c r="L22" s="1" t="s">
        <v>267</v>
      </c>
      <c r="O22" s="1" t="s">
        <v>268</v>
      </c>
      <c r="P22" s="1" t="s">
        <v>292</v>
      </c>
      <c r="Q22" s="1" t="s">
        <v>323</v>
      </c>
      <c r="S22" s="1" t="s">
        <v>324</v>
      </c>
    </row>
    <row r="23" ht="15" customHeight="1" spans="1:18">
      <c r="A23" s="1" t="s">
        <v>245</v>
      </c>
      <c r="B23" s="1" t="s">
        <v>287</v>
      </c>
      <c r="C23" s="1" t="s">
        <v>288</v>
      </c>
      <c r="D23" s="1" t="s">
        <v>247</v>
      </c>
      <c r="E23" s="1" t="s">
        <v>248</v>
      </c>
      <c r="F23" s="1" t="s">
        <v>289</v>
      </c>
      <c r="G23" s="1">
        <v>68</v>
      </c>
      <c r="I23" s="1" t="s">
        <v>325</v>
      </c>
      <c r="J23" s="1" t="s">
        <v>251</v>
      </c>
      <c r="K23" s="7">
        <v>39</v>
      </c>
      <c r="L23" s="1" t="s">
        <v>252</v>
      </c>
      <c r="M23" s="1" t="s">
        <v>253</v>
      </c>
      <c r="P23" s="1" t="s">
        <v>292</v>
      </c>
      <c r="Q23" s="1" t="s">
        <v>326</v>
      </c>
      <c r="R23" s="1" t="s">
        <v>327</v>
      </c>
    </row>
    <row r="24" ht="15" customHeight="1" spans="1:19">
      <c r="A24" s="1" t="s">
        <v>245</v>
      </c>
      <c r="B24" s="1" t="s">
        <v>328</v>
      </c>
      <c r="C24" s="1" t="s">
        <v>156</v>
      </c>
      <c r="D24" s="1" t="s">
        <v>247</v>
      </c>
      <c r="E24" s="1" t="s">
        <v>248</v>
      </c>
      <c r="F24" s="1" t="s">
        <v>329</v>
      </c>
      <c r="G24" s="1">
        <v>68</v>
      </c>
      <c r="I24" s="1" t="s">
        <v>312</v>
      </c>
      <c r="J24" s="1" t="s">
        <v>251</v>
      </c>
      <c r="K24" s="7">
        <v>37</v>
      </c>
      <c r="L24" s="1" t="s">
        <v>267</v>
      </c>
      <c r="O24" s="1" t="s">
        <v>268</v>
      </c>
      <c r="P24" s="1" t="s">
        <v>330</v>
      </c>
      <c r="Q24" s="1" t="s">
        <v>331</v>
      </c>
      <c r="S24" s="1" t="s">
        <v>332</v>
      </c>
    </row>
    <row r="25" ht="15" customHeight="1" spans="1:18">
      <c r="A25" s="1" t="s">
        <v>245</v>
      </c>
      <c r="B25" s="1" t="s">
        <v>328</v>
      </c>
      <c r="C25" s="1" t="s">
        <v>156</v>
      </c>
      <c r="D25" s="1" t="s">
        <v>247</v>
      </c>
      <c r="E25" s="1" t="s">
        <v>248</v>
      </c>
      <c r="F25" s="1" t="s">
        <v>329</v>
      </c>
      <c r="G25" s="1">
        <v>68</v>
      </c>
      <c r="I25" s="1" t="s">
        <v>333</v>
      </c>
      <c r="J25" s="1" t="s">
        <v>251</v>
      </c>
      <c r="K25" s="7">
        <v>36</v>
      </c>
      <c r="L25" s="1" t="s">
        <v>252</v>
      </c>
      <c r="M25" s="1" t="s">
        <v>253</v>
      </c>
      <c r="P25" s="1" t="s">
        <v>330</v>
      </c>
      <c r="Q25" s="1" t="s">
        <v>334</v>
      </c>
      <c r="R25" s="1" t="s">
        <v>335</v>
      </c>
    </row>
    <row r="26" ht="15" customHeight="1" spans="1:19">
      <c r="A26" s="1" t="s">
        <v>245</v>
      </c>
      <c r="B26" s="1" t="s">
        <v>328</v>
      </c>
      <c r="C26" s="1" t="s">
        <v>156</v>
      </c>
      <c r="D26" s="1" t="s">
        <v>247</v>
      </c>
      <c r="E26" s="1" t="s">
        <v>248</v>
      </c>
      <c r="F26" s="1" t="s">
        <v>329</v>
      </c>
      <c r="G26" s="1">
        <v>68</v>
      </c>
      <c r="I26" s="1" t="s">
        <v>297</v>
      </c>
      <c r="J26" s="1" t="s">
        <v>251</v>
      </c>
      <c r="K26" s="7">
        <v>17</v>
      </c>
      <c r="L26" s="1" t="s">
        <v>267</v>
      </c>
      <c r="O26" s="1" t="s">
        <v>268</v>
      </c>
      <c r="P26" s="1" t="s">
        <v>330</v>
      </c>
      <c r="Q26" s="1" t="s">
        <v>336</v>
      </c>
      <c r="S26" s="1" t="s">
        <v>337</v>
      </c>
    </row>
    <row r="27" ht="15" customHeight="1" spans="1:19">
      <c r="A27" s="1" t="s">
        <v>245</v>
      </c>
      <c r="B27" s="1" t="s">
        <v>328</v>
      </c>
      <c r="C27" s="1" t="s">
        <v>156</v>
      </c>
      <c r="D27" s="1" t="s">
        <v>247</v>
      </c>
      <c r="E27" s="1" t="s">
        <v>248</v>
      </c>
      <c r="F27" s="1" t="s">
        <v>329</v>
      </c>
      <c r="G27" s="1">
        <v>68</v>
      </c>
      <c r="I27" s="1" t="s">
        <v>290</v>
      </c>
      <c r="J27" s="1" t="s">
        <v>251</v>
      </c>
      <c r="K27" s="7">
        <v>28</v>
      </c>
      <c r="L27" s="1" t="s">
        <v>267</v>
      </c>
      <c r="O27" s="1" t="s">
        <v>268</v>
      </c>
      <c r="P27" s="1" t="s">
        <v>330</v>
      </c>
      <c r="Q27" s="1" t="s">
        <v>338</v>
      </c>
      <c r="S27" s="1" t="s">
        <v>339</v>
      </c>
    </row>
    <row r="28" ht="15" customHeight="1" spans="1:19">
      <c r="A28" s="1" t="s">
        <v>245</v>
      </c>
      <c r="B28" s="1" t="s">
        <v>328</v>
      </c>
      <c r="C28" s="1" t="s">
        <v>156</v>
      </c>
      <c r="D28" s="1" t="s">
        <v>247</v>
      </c>
      <c r="E28" s="1" t="s">
        <v>248</v>
      </c>
      <c r="F28" s="1" t="s">
        <v>329</v>
      </c>
      <c r="G28" s="1">
        <v>68</v>
      </c>
      <c r="I28" s="1" t="s">
        <v>309</v>
      </c>
      <c r="J28" s="1" t="s">
        <v>251</v>
      </c>
      <c r="K28" s="7">
        <v>30</v>
      </c>
      <c r="L28" s="1" t="s">
        <v>267</v>
      </c>
      <c r="O28" s="1" t="s">
        <v>268</v>
      </c>
      <c r="P28" s="1" t="s">
        <v>330</v>
      </c>
      <c r="Q28" s="1" t="s">
        <v>340</v>
      </c>
      <c r="S28" s="1" t="s">
        <v>341</v>
      </c>
    </row>
    <row r="29" ht="15" customHeight="1" spans="1:19">
      <c r="A29" s="1" t="s">
        <v>245</v>
      </c>
      <c r="B29" s="1" t="s">
        <v>328</v>
      </c>
      <c r="C29" s="1" t="s">
        <v>156</v>
      </c>
      <c r="D29" s="1" t="s">
        <v>247</v>
      </c>
      <c r="E29" s="1" t="s">
        <v>248</v>
      </c>
      <c r="F29" s="1" t="s">
        <v>329</v>
      </c>
      <c r="G29" s="1">
        <v>68</v>
      </c>
      <c r="I29" s="1" t="s">
        <v>342</v>
      </c>
      <c r="J29" s="1" t="s">
        <v>251</v>
      </c>
      <c r="K29" s="7">
        <v>77</v>
      </c>
      <c r="L29" s="1" t="s">
        <v>267</v>
      </c>
      <c r="O29" s="1" t="s">
        <v>268</v>
      </c>
      <c r="P29" s="1" t="s">
        <v>330</v>
      </c>
      <c r="Q29" s="1" t="s">
        <v>343</v>
      </c>
      <c r="S29" s="1" t="s">
        <v>344</v>
      </c>
    </row>
    <row r="30" ht="15" customHeight="1" spans="1:18">
      <c r="A30" s="1" t="s">
        <v>245</v>
      </c>
      <c r="B30" s="1" t="s">
        <v>328</v>
      </c>
      <c r="C30" s="1" t="s">
        <v>156</v>
      </c>
      <c r="D30" s="1" t="s">
        <v>247</v>
      </c>
      <c r="E30" s="1" t="s">
        <v>248</v>
      </c>
      <c r="F30" s="1" t="s">
        <v>329</v>
      </c>
      <c r="G30" s="1">
        <v>68</v>
      </c>
      <c r="I30" s="1" t="s">
        <v>345</v>
      </c>
      <c r="J30" s="1" t="s">
        <v>251</v>
      </c>
      <c r="K30" s="7">
        <v>48</v>
      </c>
      <c r="L30" s="1" t="s">
        <v>252</v>
      </c>
      <c r="M30" s="1" t="s">
        <v>253</v>
      </c>
      <c r="P30" s="1" t="s">
        <v>330</v>
      </c>
      <c r="Q30" s="1" t="s">
        <v>346</v>
      </c>
      <c r="R30" s="1" t="s">
        <v>347</v>
      </c>
    </row>
    <row r="31" ht="15" customHeight="1" spans="1:18">
      <c r="A31" s="1" t="s">
        <v>245</v>
      </c>
      <c r="B31" s="1" t="s">
        <v>328</v>
      </c>
      <c r="C31" s="1" t="s">
        <v>156</v>
      </c>
      <c r="D31" s="1" t="s">
        <v>247</v>
      </c>
      <c r="E31" s="1" t="s">
        <v>248</v>
      </c>
      <c r="F31" s="1" t="s">
        <v>329</v>
      </c>
      <c r="G31" s="1">
        <v>68</v>
      </c>
      <c r="I31" s="1" t="s">
        <v>348</v>
      </c>
      <c r="J31" s="1" t="s">
        <v>251</v>
      </c>
      <c r="K31" s="7">
        <v>28</v>
      </c>
      <c r="L31" s="1" t="s">
        <v>252</v>
      </c>
      <c r="M31" s="1" t="s">
        <v>253</v>
      </c>
      <c r="P31" s="1" t="s">
        <v>330</v>
      </c>
      <c r="Q31" s="1" t="s">
        <v>349</v>
      </c>
      <c r="R31" s="1" t="s">
        <v>350</v>
      </c>
    </row>
    <row r="32" ht="15" customHeight="1" spans="1:19">
      <c r="A32" s="1" t="s">
        <v>245</v>
      </c>
      <c r="B32" s="1" t="s">
        <v>328</v>
      </c>
      <c r="C32" s="1" t="s">
        <v>156</v>
      </c>
      <c r="D32" s="1" t="s">
        <v>247</v>
      </c>
      <c r="E32" s="1" t="s">
        <v>248</v>
      </c>
      <c r="F32" s="1" t="s">
        <v>329</v>
      </c>
      <c r="G32" s="1">
        <v>68</v>
      </c>
      <c r="I32" s="1" t="s">
        <v>351</v>
      </c>
      <c r="J32" s="1" t="s">
        <v>251</v>
      </c>
      <c r="K32" s="7">
        <v>30</v>
      </c>
      <c r="L32" s="1" t="s">
        <v>267</v>
      </c>
      <c r="O32" s="1" t="s">
        <v>268</v>
      </c>
      <c r="P32" s="1" t="s">
        <v>330</v>
      </c>
      <c r="Q32" s="1" t="s">
        <v>352</v>
      </c>
      <c r="S32" s="1" t="s">
        <v>353</v>
      </c>
    </row>
    <row r="33" ht="15" customHeight="1" spans="1:17">
      <c r="A33" s="1" t="s">
        <v>245</v>
      </c>
      <c r="B33" s="1" t="s">
        <v>328</v>
      </c>
      <c r="C33" s="1" t="s">
        <v>156</v>
      </c>
      <c r="D33" s="1" t="s">
        <v>247</v>
      </c>
      <c r="E33" s="1" t="s">
        <v>248</v>
      </c>
      <c r="F33" s="1" t="s">
        <v>329</v>
      </c>
      <c r="G33" s="1">
        <v>68</v>
      </c>
      <c r="I33" s="1" t="s">
        <v>354</v>
      </c>
      <c r="J33" s="1" t="s">
        <v>251</v>
      </c>
      <c r="K33" s="7">
        <v>48</v>
      </c>
      <c r="L33" s="1" t="s">
        <v>355</v>
      </c>
      <c r="P33" s="1" t="s">
        <v>330</v>
      </c>
      <c r="Q33" s="1" t="s">
        <v>356</v>
      </c>
    </row>
    <row r="34" ht="15" customHeight="1" spans="1:18">
      <c r="A34" s="1" t="s">
        <v>245</v>
      </c>
      <c r="B34" s="1" t="s">
        <v>328</v>
      </c>
      <c r="C34" s="1" t="s">
        <v>156</v>
      </c>
      <c r="D34" s="1" t="s">
        <v>247</v>
      </c>
      <c r="E34" s="1" t="s">
        <v>248</v>
      </c>
      <c r="F34" s="1" t="s">
        <v>329</v>
      </c>
      <c r="G34" s="1">
        <v>68</v>
      </c>
      <c r="I34" s="1" t="s">
        <v>357</v>
      </c>
      <c r="J34" s="1" t="s">
        <v>251</v>
      </c>
      <c r="K34" s="7">
        <v>26</v>
      </c>
      <c r="L34" s="1" t="s">
        <v>252</v>
      </c>
      <c r="M34" s="1" t="s">
        <v>253</v>
      </c>
      <c r="P34" s="1" t="s">
        <v>330</v>
      </c>
      <c r="Q34" s="1" t="s">
        <v>358</v>
      </c>
      <c r="R34" s="1" t="s">
        <v>359</v>
      </c>
    </row>
  </sheetData>
  <hyperlinks>
    <hyperlink ref="J28" r:id="rId1" display="查看链接"/>
    <hyperlink ref="J19" r:id="rId2" display="查看链接"/>
    <hyperlink ref="M23" r:id="rId3" display="查看帖子"/>
    <hyperlink ref="J33" r:id="rId4" display="查看链接"/>
    <hyperlink ref="J26" r:id="rId5" display="查看链接"/>
    <hyperlink ref="J12" r:id="rId6" display="查看链接"/>
    <hyperlink ref="J4" r:id="rId7" display="查看链接"/>
    <hyperlink ref="J34" r:id="rId8" display="查看链接"/>
    <hyperlink ref="J17" r:id="rId9" display="查看链接"/>
    <hyperlink ref="M25" r:id="rId10" display="查看帖子"/>
    <hyperlink ref="J30" r:id="rId11" display="查看链接"/>
    <hyperlink ref="J20" r:id="rId12" display="查看链接"/>
    <hyperlink ref="J23" r:id="rId13" display="查看链接"/>
    <hyperlink ref="J14" r:id="rId5" display="查看链接"/>
    <hyperlink ref="M7" r:id="rId14" display="查看帖子"/>
    <hyperlink ref="J16" r:id="rId15" display="查看链接"/>
    <hyperlink ref="M5" r:id="rId16" display="查看帖子"/>
    <hyperlink ref="M31" r:id="rId17" display="查看帖子"/>
    <hyperlink ref="J21" r:id="rId18" display="查看链接"/>
    <hyperlink ref="J15" r:id="rId19" display="查看链接"/>
    <hyperlink ref="M2" r:id="rId20" display="查看帖子"/>
    <hyperlink ref="J3" r:id="rId21" display="查看链接"/>
    <hyperlink ref="M11" r:id="rId22" display="查看帖子"/>
    <hyperlink ref="J2" r:id="rId23" display="查看链接"/>
    <hyperlink ref="J31" r:id="rId24" display="查看链接"/>
    <hyperlink ref="J9" r:id="rId25" display="查看链接"/>
    <hyperlink ref="M17" r:id="rId26" display="查看帖子"/>
    <hyperlink ref="J24" r:id="rId2" display="查看链接"/>
    <hyperlink ref="J32" r:id="rId27" display="查看链接"/>
    <hyperlink ref="J27" r:id="rId6" display="查看链接"/>
    <hyperlink ref="J7" r:id="rId28" display="查看链接"/>
    <hyperlink ref="J29" r:id="rId29" display="查看链接"/>
    <hyperlink ref="M34" r:id="rId30" display="查看帖子"/>
    <hyperlink ref="M9" r:id="rId31" display="查看帖子"/>
    <hyperlink ref="N8" r:id="rId32" display="查看图片"/>
    <hyperlink ref="N13" r:id="rId33" display="查看图片"/>
    <hyperlink ref="J10" r:id="rId34" display="查看链接"/>
    <hyperlink ref="J5" r:id="rId35" display="查看链接"/>
    <hyperlink ref="M21" r:id="rId36" display="查看帖子"/>
    <hyperlink ref="J8" r:id="rId37" display="查看链接"/>
    <hyperlink ref="J6" r:id="rId38" display="查看链接"/>
    <hyperlink ref="J13" r:id="rId39" display="查看链接"/>
    <hyperlink ref="J18" r:id="rId1" display="查看链接"/>
    <hyperlink ref="M30" r:id="rId40" display="查看帖子"/>
    <hyperlink ref="J11" r:id="rId41" display="查看链接"/>
    <hyperlink ref="M3" r:id="rId42" display="查看帖子"/>
    <hyperlink ref="M4" r:id="rId43" display="查看帖子"/>
    <hyperlink ref="J22" r:id="rId44" display="查看链接"/>
    <hyperlink ref="M15" r:id="rId45" display="查看帖子"/>
    <hyperlink ref="J25" r:id="rId46" display="查看链接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40"/>
  <sheetViews>
    <sheetView workbookViewId="0">
      <selection activeCell="A1" sqref="A1"/>
    </sheetView>
  </sheetViews>
  <sheetFormatPr defaultColWidth="14" defaultRowHeight="13.2" outlineLevelCol="2"/>
  <cols>
    <col min="1" max="20" width="51" customWidth="1"/>
  </cols>
  <sheetData>
    <row r="1" ht="21" customHeight="1" spans="1:3">
      <c r="A1" s="1" t="s">
        <v>360</v>
      </c>
      <c r="B1" s="1" t="s">
        <v>361</v>
      </c>
      <c r="C1" s="1" t="s">
        <v>362</v>
      </c>
    </row>
    <row r="2" ht="21" customHeight="1" spans="1:3">
      <c r="A2" s="1" t="s">
        <v>363</v>
      </c>
      <c r="B2" s="1" t="s">
        <v>364</v>
      </c>
      <c r="C2" s="1" t="s">
        <v>365</v>
      </c>
    </row>
    <row r="3" ht="21" customHeight="1" spans="1:3">
      <c r="A3" s="1" t="s">
        <v>366</v>
      </c>
      <c r="B3" s="1" t="s">
        <v>367</v>
      </c>
      <c r="C3" s="1" t="s">
        <v>368</v>
      </c>
    </row>
    <row r="4" ht="21" customHeight="1" spans="1:3">
      <c r="A4" s="1" t="s">
        <v>369</v>
      </c>
      <c r="B4" s="1" t="s">
        <v>370</v>
      </c>
      <c r="C4" s="1" t="s">
        <v>371</v>
      </c>
    </row>
    <row r="5" ht="21" customHeight="1" spans="1:3">
      <c r="A5" s="1" t="s">
        <v>372</v>
      </c>
      <c r="B5" s="1" t="s">
        <v>373</v>
      </c>
      <c r="C5" s="1" t="s">
        <v>374</v>
      </c>
    </row>
    <row r="6" ht="21" customHeight="1" spans="1:3">
      <c r="A6" s="1" t="s">
        <v>375</v>
      </c>
      <c r="B6" s="1" t="s">
        <v>376</v>
      </c>
      <c r="C6" s="1" t="s">
        <v>377</v>
      </c>
    </row>
    <row r="7" ht="21" customHeight="1" spans="1:3">
      <c r="A7" s="1" t="s">
        <v>378</v>
      </c>
      <c r="B7" s="1" t="s">
        <v>379</v>
      </c>
      <c r="C7" s="1" t="s">
        <v>380</v>
      </c>
    </row>
    <row r="8" ht="21" customHeight="1" spans="1:3">
      <c r="A8" s="1" t="s">
        <v>381</v>
      </c>
      <c r="B8" s="1" t="s">
        <v>382</v>
      </c>
      <c r="C8" s="1" t="s">
        <v>383</v>
      </c>
    </row>
    <row r="9" ht="21" customHeight="1" spans="1:3">
      <c r="A9" s="1" t="s">
        <v>384</v>
      </c>
      <c r="B9" s="1" t="s">
        <v>385</v>
      </c>
      <c r="C9" s="1" t="s">
        <v>386</v>
      </c>
    </row>
    <row r="10" ht="21" customHeight="1" spans="1:3">
      <c r="A10" s="1" t="s">
        <v>387</v>
      </c>
      <c r="B10" s="1" t="s">
        <v>388</v>
      </c>
      <c r="C10" s="1" t="s">
        <v>389</v>
      </c>
    </row>
    <row r="11" ht="21" customHeight="1" spans="1:3">
      <c r="A11" s="1" t="s">
        <v>390</v>
      </c>
      <c r="B11" s="1" t="s">
        <v>391</v>
      </c>
      <c r="C11" s="1" t="s">
        <v>392</v>
      </c>
    </row>
    <row r="12" ht="21" customHeight="1" spans="1:3">
      <c r="A12" s="1" t="s">
        <v>393</v>
      </c>
      <c r="B12" s="1" t="s">
        <v>394</v>
      </c>
      <c r="C12" s="1" t="s">
        <v>395</v>
      </c>
    </row>
    <row r="13" ht="21" customHeight="1" spans="1:3">
      <c r="A13" s="1" t="s">
        <v>396</v>
      </c>
      <c r="B13" s="1" t="s">
        <v>397</v>
      </c>
      <c r="C13" s="1" t="s">
        <v>398</v>
      </c>
    </row>
    <row r="14" ht="21" customHeight="1" spans="1:3">
      <c r="A14" s="1" t="s">
        <v>399</v>
      </c>
      <c r="B14" s="1" t="s">
        <v>400</v>
      </c>
      <c r="C14" s="1" t="s">
        <v>401</v>
      </c>
    </row>
    <row r="15" ht="21" customHeight="1" spans="1:3">
      <c r="A15" s="1" t="s">
        <v>402</v>
      </c>
      <c r="B15" s="1" t="s">
        <v>403</v>
      </c>
      <c r="C15" s="1" t="s">
        <v>404</v>
      </c>
    </row>
    <row r="16" ht="21" customHeight="1" spans="1:3">
      <c r="A16" s="1" t="s">
        <v>405</v>
      </c>
      <c r="B16" s="1" t="s">
        <v>406</v>
      </c>
      <c r="C16" s="1" t="s">
        <v>407</v>
      </c>
    </row>
    <row r="17" ht="21" customHeight="1" spans="1:3">
      <c r="A17" s="1" t="s">
        <v>408</v>
      </c>
      <c r="B17" s="1" t="s">
        <v>409</v>
      </c>
      <c r="C17" s="1" t="s">
        <v>410</v>
      </c>
    </row>
    <row r="18" ht="21" customHeight="1" spans="1:3">
      <c r="A18" s="1" t="s">
        <v>411</v>
      </c>
      <c r="B18" s="1" t="s">
        <v>412</v>
      </c>
      <c r="C18" s="1" t="s">
        <v>413</v>
      </c>
    </row>
    <row r="19" ht="21" customHeight="1" spans="1:3">
      <c r="A19" s="1" t="s">
        <v>414</v>
      </c>
      <c r="B19" s="1" t="s">
        <v>415</v>
      </c>
      <c r="C19" s="1" t="s">
        <v>416</v>
      </c>
    </row>
    <row r="20" ht="21" customHeight="1" spans="1:3">
      <c r="A20" s="1" t="s">
        <v>417</v>
      </c>
      <c r="B20" s="1" t="s">
        <v>418</v>
      </c>
      <c r="C20" s="1" t="s">
        <v>419</v>
      </c>
    </row>
    <row r="21" ht="21" customHeight="1" spans="1:3">
      <c r="A21" s="1" t="s">
        <v>420</v>
      </c>
      <c r="B21" s="2" t="s">
        <v>421</v>
      </c>
      <c r="C21" s="1" t="s">
        <v>422</v>
      </c>
    </row>
    <row r="22" ht="21" customHeight="1" spans="1:3">
      <c r="A22" s="1" t="s">
        <v>423</v>
      </c>
      <c r="B22" s="1" t="s">
        <v>424</v>
      </c>
      <c r="C22" s="1" t="s">
        <v>425</v>
      </c>
    </row>
    <row r="23" ht="21" customHeight="1" spans="1:3">
      <c r="A23" s="1" t="s">
        <v>426</v>
      </c>
      <c r="B23" s="1" t="s">
        <v>427</v>
      </c>
      <c r="C23" s="1" t="s">
        <v>428</v>
      </c>
    </row>
    <row r="24" ht="21" customHeight="1" spans="1:3">
      <c r="A24" s="1" t="s">
        <v>429</v>
      </c>
      <c r="B24" s="1" t="s">
        <v>430</v>
      </c>
      <c r="C24" s="1" t="s">
        <v>431</v>
      </c>
    </row>
    <row r="25" ht="21" customHeight="1" spans="1:3">
      <c r="A25" s="1" t="s">
        <v>432</v>
      </c>
      <c r="B25" s="1" t="s">
        <v>433</v>
      </c>
      <c r="C25" s="1" t="s">
        <v>434</v>
      </c>
    </row>
    <row r="26" ht="21" customHeight="1" spans="1:3">
      <c r="A26" s="1" t="s">
        <v>435</v>
      </c>
      <c r="B26" s="1" t="s">
        <v>436</v>
      </c>
      <c r="C26" s="1" t="s">
        <v>437</v>
      </c>
    </row>
    <row r="27" ht="21" customHeight="1" spans="1:3">
      <c r="A27" s="1" t="s">
        <v>438</v>
      </c>
      <c r="B27" s="1" t="s">
        <v>439</v>
      </c>
      <c r="C27" s="1" t="s">
        <v>440</v>
      </c>
    </row>
    <row r="28" ht="21" customHeight="1" spans="1:3">
      <c r="A28" s="1" t="s">
        <v>441</v>
      </c>
      <c r="B28" s="1" t="s">
        <v>442</v>
      </c>
      <c r="C28" s="1" t="s">
        <v>443</v>
      </c>
    </row>
    <row r="29" ht="21" customHeight="1" spans="1:3">
      <c r="A29" s="1" t="s">
        <v>444</v>
      </c>
      <c r="B29" s="1" t="s">
        <v>445</v>
      </c>
      <c r="C29" s="1" t="s">
        <v>446</v>
      </c>
    </row>
    <row r="30" ht="21" customHeight="1" spans="1:3">
      <c r="A30" s="1" t="s">
        <v>447</v>
      </c>
      <c r="B30" s="1" t="s">
        <v>448</v>
      </c>
      <c r="C30" s="1" t="s">
        <v>449</v>
      </c>
    </row>
    <row r="31" ht="21" customHeight="1" spans="1:3">
      <c r="A31" s="1" t="s">
        <v>450</v>
      </c>
      <c r="B31" s="1" t="s">
        <v>451</v>
      </c>
      <c r="C31" s="1" t="s">
        <v>452</v>
      </c>
    </row>
    <row r="32" ht="21" customHeight="1" spans="1:3">
      <c r="A32" s="1" t="s">
        <v>453</v>
      </c>
      <c r="B32" s="1" t="s">
        <v>454</v>
      </c>
      <c r="C32" s="1">
        <v>360</v>
      </c>
    </row>
    <row r="33" ht="21" customHeight="1" spans="1:3">
      <c r="A33" s="1" t="s">
        <v>455</v>
      </c>
      <c r="B33" s="1" t="s">
        <v>456</v>
      </c>
      <c r="C33" s="1" t="s">
        <v>457</v>
      </c>
    </row>
    <row r="34" ht="21" customHeight="1" spans="1:3">
      <c r="A34" s="1" t="s">
        <v>458</v>
      </c>
      <c r="B34" s="3" t="s">
        <v>459</v>
      </c>
      <c r="C34" s="1" t="s">
        <v>460</v>
      </c>
    </row>
    <row r="35" ht="21" customHeight="1" spans="1:3">
      <c r="A35" s="1" t="s">
        <v>461</v>
      </c>
      <c r="B35" s="3" t="s">
        <v>462</v>
      </c>
      <c r="C35" s="1" t="s">
        <v>463</v>
      </c>
    </row>
    <row r="36" ht="21" customHeight="1" spans="1:3">
      <c r="A36" s="1" t="s">
        <v>464</v>
      </c>
      <c r="B36" s="3" t="s">
        <v>378</v>
      </c>
      <c r="C36" s="1" t="s">
        <v>465</v>
      </c>
    </row>
    <row r="37" ht="21" customHeight="1" spans="1:3">
      <c r="A37" s="1" t="s">
        <v>466</v>
      </c>
      <c r="B37" s="3" t="s">
        <v>467</v>
      </c>
      <c r="C37" s="1" t="s">
        <v>468</v>
      </c>
    </row>
    <row r="38" ht="21" customHeight="1" spans="1:3">
      <c r="A38" s="1" t="s">
        <v>469</v>
      </c>
      <c r="B38" s="3" t="s">
        <v>365</v>
      </c>
      <c r="C38" s="1" t="s">
        <v>470</v>
      </c>
    </row>
    <row r="39" ht="21" customHeight="1" spans="1:3">
      <c r="A39" s="1" t="s">
        <v>471</v>
      </c>
      <c r="B39" s="3" t="s">
        <v>472</v>
      </c>
      <c r="C39" s="1" t="s">
        <v>473</v>
      </c>
    </row>
    <row r="40" ht="21" customHeight="1" spans="1:3">
      <c r="A40" s="1" t="s">
        <v>474</v>
      </c>
      <c r="B40" s="3" t="s">
        <v>475</v>
      </c>
      <c r="C40" s="1" t="s">
        <v>476</v>
      </c>
    </row>
    <row r="41" ht="21" customHeight="1" spans="1:3">
      <c r="A41" s="1" t="s">
        <v>477</v>
      </c>
      <c r="B41" s="3" t="s">
        <v>478</v>
      </c>
      <c r="C41" s="1" t="s">
        <v>479</v>
      </c>
    </row>
    <row r="42" ht="21" customHeight="1" spans="1:3">
      <c r="A42" s="4" t="s">
        <v>480</v>
      </c>
      <c r="B42" s="3" t="s">
        <v>481</v>
      </c>
      <c r="C42" s="1" t="s">
        <v>482</v>
      </c>
    </row>
    <row r="43" ht="21" customHeight="1" spans="1:3">
      <c r="A43" s="4" t="s">
        <v>483</v>
      </c>
      <c r="B43" s="3" t="s">
        <v>484</v>
      </c>
      <c r="C43" s="1" t="s">
        <v>485</v>
      </c>
    </row>
    <row r="44" ht="21" customHeight="1" spans="1:3">
      <c r="A44" s="4" t="s">
        <v>486</v>
      </c>
      <c r="B44" s="3" t="s">
        <v>441</v>
      </c>
      <c r="C44" s="1" t="s">
        <v>487</v>
      </c>
    </row>
    <row r="45" ht="21" customHeight="1" spans="1:3">
      <c r="A45" s="4" t="s">
        <v>378</v>
      </c>
      <c r="B45" s="3" t="s">
        <v>418</v>
      </c>
      <c r="C45" s="1" t="s">
        <v>488</v>
      </c>
    </row>
    <row r="46" ht="21" customHeight="1" spans="1:3">
      <c r="A46" s="4" t="s">
        <v>489</v>
      </c>
      <c r="B46" s="3" t="s">
        <v>490</v>
      </c>
      <c r="C46" s="1" t="s">
        <v>491</v>
      </c>
    </row>
    <row r="47" ht="21" customHeight="1" spans="1:3">
      <c r="A47" s="4" t="s">
        <v>492</v>
      </c>
      <c r="B47" s="3" t="s">
        <v>493</v>
      </c>
      <c r="C47" s="1" t="s">
        <v>494</v>
      </c>
    </row>
    <row r="48" ht="21" customHeight="1" spans="1:3">
      <c r="A48" s="4" t="s">
        <v>495</v>
      </c>
      <c r="B48" s="3" t="s">
        <v>496</v>
      </c>
      <c r="C48" s="1" t="s">
        <v>497</v>
      </c>
    </row>
    <row r="49" ht="21" customHeight="1" spans="1:3">
      <c r="A49" s="4" t="s">
        <v>498</v>
      </c>
      <c r="B49" s="3" t="s">
        <v>383</v>
      </c>
      <c r="C49" s="1" t="s">
        <v>499</v>
      </c>
    </row>
    <row r="50" ht="21" customHeight="1" spans="1:3">
      <c r="A50" s="4" t="s">
        <v>500</v>
      </c>
      <c r="B50" s="3" t="s">
        <v>367</v>
      </c>
      <c r="C50" s="1" t="s">
        <v>501</v>
      </c>
    </row>
    <row r="51" ht="21" customHeight="1" spans="1:3">
      <c r="A51" s="4" t="s">
        <v>372</v>
      </c>
      <c r="B51" s="3" t="s">
        <v>502</v>
      </c>
      <c r="C51" s="1" t="s">
        <v>503</v>
      </c>
    </row>
    <row r="52" ht="21" customHeight="1" spans="1:3">
      <c r="A52" s="4" t="s">
        <v>504</v>
      </c>
      <c r="B52" s="3" t="s">
        <v>505</v>
      </c>
      <c r="C52" s="1" t="s">
        <v>506</v>
      </c>
    </row>
    <row r="53" ht="21" customHeight="1" spans="1:3">
      <c r="A53" s="4" t="s">
        <v>441</v>
      </c>
      <c r="B53" s="3" t="s">
        <v>436</v>
      </c>
      <c r="C53" s="1" t="s">
        <v>507</v>
      </c>
    </row>
    <row r="54" ht="21" customHeight="1" spans="1:3">
      <c r="A54" s="4" t="s">
        <v>508</v>
      </c>
      <c r="B54" s="3" t="s">
        <v>509</v>
      </c>
      <c r="C54" s="1" t="s">
        <v>510</v>
      </c>
    </row>
    <row r="55" ht="21" customHeight="1" spans="1:3">
      <c r="A55" s="4" t="s">
        <v>511</v>
      </c>
      <c r="B55" s="3" t="s">
        <v>512</v>
      </c>
      <c r="C55" s="1" t="s">
        <v>513</v>
      </c>
    </row>
    <row r="56" ht="21" customHeight="1" spans="1:3">
      <c r="A56" s="4" t="s">
        <v>514</v>
      </c>
      <c r="B56" s="3" t="s">
        <v>515</v>
      </c>
      <c r="C56" s="1" t="s">
        <v>516</v>
      </c>
    </row>
    <row r="57" ht="21" customHeight="1" spans="1:3">
      <c r="A57" s="4" t="s">
        <v>517</v>
      </c>
      <c r="B57" s="3" t="s">
        <v>518</v>
      </c>
      <c r="C57" s="1" t="s">
        <v>519</v>
      </c>
    </row>
    <row r="58" ht="21" customHeight="1" spans="1:3">
      <c r="A58" s="4" t="s">
        <v>520</v>
      </c>
      <c r="B58" s="3" t="s">
        <v>521</v>
      </c>
      <c r="C58" s="1" t="s">
        <v>522</v>
      </c>
    </row>
    <row r="59" ht="21" customHeight="1" spans="1:3">
      <c r="A59" s="4" t="s">
        <v>523</v>
      </c>
      <c r="B59" s="3" t="s">
        <v>524</v>
      </c>
      <c r="C59" s="1" t="s">
        <v>525</v>
      </c>
    </row>
    <row r="60" ht="21" customHeight="1" spans="1:3">
      <c r="A60" s="4" t="s">
        <v>526</v>
      </c>
      <c r="B60" s="3" t="s">
        <v>527</v>
      </c>
      <c r="C60" s="1" t="s">
        <v>528</v>
      </c>
    </row>
    <row r="61" ht="21" customHeight="1" spans="1:3">
      <c r="A61" s="4" t="s">
        <v>529</v>
      </c>
      <c r="B61" s="3" t="s">
        <v>367</v>
      </c>
      <c r="C61" s="1" t="s">
        <v>530</v>
      </c>
    </row>
    <row r="62" ht="21" customHeight="1" spans="1:3">
      <c r="A62" s="4" t="s">
        <v>447</v>
      </c>
      <c r="B62" s="3" t="s">
        <v>531</v>
      </c>
      <c r="C62" s="1" t="s">
        <v>532</v>
      </c>
    </row>
    <row r="63" ht="21" customHeight="1" spans="1:3">
      <c r="A63" s="4" t="s">
        <v>533</v>
      </c>
      <c r="B63" s="3" t="s">
        <v>534</v>
      </c>
      <c r="C63" s="1" t="s">
        <v>535</v>
      </c>
    </row>
    <row r="64" ht="21" customHeight="1" spans="1:3">
      <c r="A64" s="4" t="s">
        <v>536</v>
      </c>
      <c r="B64" s="3" t="s">
        <v>383</v>
      </c>
      <c r="C64" s="1" t="s">
        <v>537</v>
      </c>
    </row>
    <row r="65" ht="21" customHeight="1" spans="1:3">
      <c r="A65" s="4" t="s">
        <v>453</v>
      </c>
      <c r="B65" s="3" t="s">
        <v>538</v>
      </c>
      <c r="C65" s="1" t="s">
        <v>539</v>
      </c>
    </row>
    <row r="66" ht="21" customHeight="1" spans="1:3">
      <c r="A66" s="4" t="s">
        <v>540</v>
      </c>
      <c r="B66" s="3" t="s">
        <v>541</v>
      </c>
      <c r="C66" s="1" t="s">
        <v>542</v>
      </c>
    </row>
    <row r="67" ht="21" customHeight="1" spans="1:3">
      <c r="A67" s="4" t="s">
        <v>543</v>
      </c>
      <c r="B67" s="3" t="s">
        <v>544</v>
      </c>
      <c r="C67" s="1" t="s">
        <v>545</v>
      </c>
    </row>
    <row r="68" ht="21" customHeight="1" spans="1:3">
      <c r="A68" s="4" t="s">
        <v>546</v>
      </c>
      <c r="B68" s="3" t="s">
        <v>547</v>
      </c>
      <c r="C68" s="1" t="s">
        <v>548</v>
      </c>
    </row>
    <row r="69" ht="21" customHeight="1" spans="1:3">
      <c r="A69" s="4" t="s">
        <v>549</v>
      </c>
      <c r="B69" s="3" t="s">
        <v>550</v>
      </c>
      <c r="C69" s="1" t="s">
        <v>551</v>
      </c>
    </row>
    <row r="70" ht="21" customHeight="1" spans="1:3">
      <c r="A70" s="4" t="s">
        <v>552</v>
      </c>
      <c r="B70" s="5" t="s">
        <v>553</v>
      </c>
      <c r="C70" s="1" t="s">
        <v>554</v>
      </c>
    </row>
    <row r="71" ht="21" customHeight="1" spans="1:3">
      <c r="A71" s="4" t="s">
        <v>555</v>
      </c>
      <c r="B71" s="3" t="s">
        <v>556</v>
      </c>
      <c r="C71" s="1" t="s">
        <v>557</v>
      </c>
    </row>
    <row r="72" ht="21" customHeight="1" spans="1:3">
      <c r="A72" s="4" t="s">
        <v>558</v>
      </c>
      <c r="B72" s="3" t="s">
        <v>375</v>
      </c>
      <c r="C72" s="1" t="s">
        <v>559</v>
      </c>
    </row>
    <row r="73" ht="21" customHeight="1" spans="1:3">
      <c r="A73" s="4" t="s">
        <v>560</v>
      </c>
      <c r="B73" s="3" t="s">
        <v>561</v>
      </c>
      <c r="C73" s="1">
        <v>360</v>
      </c>
    </row>
    <row r="74" ht="21" customHeight="1" spans="1:3">
      <c r="A74" s="4" t="s">
        <v>369</v>
      </c>
      <c r="B74" s="3" t="s">
        <v>401</v>
      </c>
      <c r="C74" s="1" t="s">
        <v>562</v>
      </c>
    </row>
    <row r="75" ht="21" customHeight="1" spans="1:3">
      <c r="A75" s="4" t="s">
        <v>563</v>
      </c>
      <c r="B75" s="3" t="s">
        <v>454</v>
      </c>
      <c r="C75" s="1" t="s">
        <v>564</v>
      </c>
    </row>
    <row r="76" ht="21" customHeight="1" spans="1:3">
      <c r="A76" s="4" t="s">
        <v>565</v>
      </c>
      <c r="B76" s="3" t="s">
        <v>566</v>
      </c>
      <c r="C76" s="1" t="s">
        <v>567</v>
      </c>
    </row>
    <row r="77" ht="21" customHeight="1" spans="1:3">
      <c r="A77" s="4" t="s">
        <v>383</v>
      </c>
      <c r="B77" s="3" t="s">
        <v>568</v>
      </c>
      <c r="C77" s="1" t="s">
        <v>569</v>
      </c>
    </row>
    <row r="78" ht="21" customHeight="1" spans="1:3">
      <c r="A78" s="4" t="s">
        <v>570</v>
      </c>
      <c r="B78" s="3" t="s">
        <v>462</v>
      </c>
      <c r="C78" s="1" t="s">
        <v>571</v>
      </c>
    </row>
    <row r="79" ht="21" customHeight="1" spans="1:3">
      <c r="A79" s="4" t="s">
        <v>538</v>
      </c>
      <c r="B79" s="3" t="s">
        <v>572</v>
      </c>
      <c r="C79" s="1" t="s">
        <v>573</v>
      </c>
    </row>
    <row r="80" ht="21" customHeight="1" spans="1:3">
      <c r="A80" s="4" t="s">
        <v>574</v>
      </c>
      <c r="B80" s="3" t="s">
        <v>575</v>
      </c>
      <c r="C80" s="1" t="s">
        <v>576</v>
      </c>
    </row>
    <row r="81" ht="21" customHeight="1" spans="1:3">
      <c r="A81" s="4" t="s">
        <v>577</v>
      </c>
      <c r="B81" s="3" t="s">
        <v>364</v>
      </c>
      <c r="C81" s="1" t="s">
        <v>578</v>
      </c>
    </row>
    <row r="82" ht="21" customHeight="1" spans="1:3">
      <c r="A82" s="4" t="s">
        <v>579</v>
      </c>
      <c r="B82" s="3" t="s">
        <v>393</v>
      </c>
      <c r="C82" s="1" t="s">
        <v>580</v>
      </c>
    </row>
    <row r="83" ht="21" customHeight="1" spans="1:3">
      <c r="A83" s="6" t="s">
        <v>581</v>
      </c>
      <c r="B83" s="3" t="s">
        <v>582</v>
      </c>
      <c r="C83" s="1" t="s">
        <v>583</v>
      </c>
    </row>
    <row r="84" ht="21" customHeight="1" spans="1:3">
      <c r="A84" s="4" t="s">
        <v>584</v>
      </c>
      <c r="B84" s="3" t="s">
        <v>585</v>
      </c>
      <c r="C84" s="1" t="s">
        <v>586</v>
      </c>
    </row>
    <row r="85" ht="21" customHeight="1" spans="1:3">
      <c r="A85" s="4" t="s">
        <v>587</v>
      </c>
      <c r="B85" s="3" t="s">
        <v>588</v>
      </c>
      <c r="C85" s="1" t="s">
        <v>589</v>
      </c>
    </row>
    <row r="86" ht="21" customHeight="1" spans="1:3">
      <c r="A86" s="4" t="s">
        <v>375</v>
      </c>
      <c r="B86" s="3" t="s">
        <v>590</v>
      </c>
      <c r="C86" s="1" t="s">
        <v>591</v>
      </c>
    </row>
    <row r="87" ht="21" customHeight="1" spans="1:3">
      <c r="A87" s="4" t="s">
        <v>592</v>
      </c>
      <c r="B87" s="3" t="s">
        <v>593</v>
      </c>
      <c r="C87" s="1" t="s">
        <v>594</v>
      </c>
    </row>
    <row r="88" ht="21" customHeight="1" spans="1:3">
      <c r="A88" s="4" t="s">
        <v>595</v>
      </c>
      <c r="B88" s="3" t="s">
        <v>596</v>
      </c>
      <c r="C88" s="1" t="s">
        <v>597</v>
      </c>
    </row>
    <row r="89" ht="21" customHeight="1" spans="1:3">
      <c r="A89" s="4" t="s">
        <v>598</v>
      </c>
      <c r="B89" s="3" t="s">
        <v>599</v>
      </c>
      <c r="C89" s="1" t="s">
        <v>600</v>
      </c>
    </row>
    <row r="90" ht="21" customHeight="1" spans="1:3">
      <c r="A90" s="4" t="s">
        <v>601</v>
      </c>
      <c r="B90" s="3" t="s">
        <v>602</v>
      </c>
      <c r="C90" s="1" t="s">
        <v>603</v>
      </c>
    </row>
    <row r="91" ht="21" customHeight="1" spans="1:3">
      <c r="A91" s="4" t="s">
        <v>604</v>
      </c>
      <c r="B91" s="3" t="s">
        <v>605</v>
      </c>
      <c r="C91" s="1" t="s">
        <v>606</v>
      </c>
    </row>
    <row r="92" ht="21" customHeight="1" spans="1:3">
      <c r="A92" s="4" t="s">
        <v>607</v>
      </c>
      <c r="B92" s="3">
        <v>360</v>
      </c>
      <c r="C92" s="1" t="s">
        <v>608</v>
      </c>
    </row>
    <row r="93" ht="21" customHeight="1" spans="1:3">
      <c r="A93" s="4" t="s">
        <v>609</v>
      </c>
      <c r="B93" s="3" t="s">
        <v>610</v>
      </c>
      <c r="C93" s="1" t="s">
        <v>611</v>
      </c>
    </row>
    <row r="94" ht="21" customHeight="1" spans="1:3">
      <c r="A94" s="4" t="s">
        <v>612</v>
      </c>
      <c r="B94" s="3" t="s">
        <v>613</v>
      </c>
      <c r="C94" s="1" t="s">
        <v>614</v>
      </c>
    </row>
    <row r="95" ht="21" customHeight="1" spans="1:3">
      <c r="A95" s="4" t="s">
        <v>615</v>
      </c>
      <c r="B95" s="3" t="s">
        <v>616</v>
      </c>
      <c r="C95" s="1" t="s">
        <v>617</v>
      </c>
    </row>
    <row r="96" ht="21" customHeight="1" spans="1:3">
      <c r="A96" s="4" t="s">
        <v>618</v>
      </c>
      <c r="B96" s="3" t="s">
        <v>619</v>
      </c>
      <c r="C96" s="1" t="s">
        <v>620</v>
      </c>
    </row>
    <row r="97" ht="21" customHeight="1" spans="1:3">
      <c r="A97" s="4" t="s">
        <v>575</v>
      </c>
      <c r="B97" s="3" t="s">
        <v>621</v>
      </c>
      <c r="C97" s="1" t="s">
        <v>622</v>
      </c>
    </row>
    <row r="98" ht="21" customHeight="1" spans="1:3">
      <c r="A98" s="4" t="s">
        <v>623</v>
      </c>
      <c r="B98" s="3" t="s">
        <v>624</v>
      </c>
      <c r="C98" s="1" t="s">
        <v>625</v>
      </c>
    </row>
    <row r="99" ht="21" customHeight="1" spans="1:3">
      <c r="A99" s="4" t="s">
        <v>626</v>
      </c>
      <c r="B99" s="3" t="s">
        <v>627</v>
      </c>
      <c r="C99" s="1" t="s">
        <v>628</v>
      </c>
    </row>
    <row r="100" ht="21" customHeight="1" spans="1:3">
      <c r="A100" s="4" t="s">
        <v>393</v>
      </c>
      <c r="B100" s="3" t="s">
        <v>629</v>
      </c>
      <c r="C100" s="1" t="s">
        <v>630</v>
      </c>
    </row>
    <row r="101" ht="21" customHeight="1" spans="1:3">
      <c r="A101" s="4" t="s">
        <v>585</v>
      </c>
      <c r="B101" s="3" t="s">
        <v>631</v>
      </c>
      <c r="C101" s="1" t="s">
        <v>632</v>
      </c>
    </row>
    <row r="102" ht="21" customHeight="1" spans="1:3">
      <c r="A102" s="4" t="s">
        <v>633</v>
      </c>
      <c r="B102" s="3" t="s">
        <v>634</v>
      </c>
      <c r="C102" s="1" t="s">
        <v>635</v>
      </c>
    </row>
    <row r="103" ht="21" customHeight="1" spans="1:3">
      <c r="A103" s="4" t="s">
        <v>636</v>
      </c>
      <c r="B103" s="3" t="s">
        <v>637</v>
      </c>
      <c r="C103" s="1" t="s">
        <v>638</v>
      </c>
    </row>
    <row r="104" ht="21" customHeight="1" spans="1:3">
      <c r="A104" s="4" t="s">
        <v>639</v>
      </c>
      <c r="B104" s="3" t="s">
        <v>640</v>
      </c>
      <c r="C104" s="1" t="s">
        <v>641</v>
      </c>
    </row>
    <row r="105" ht="21" customHeight="1" spans="1:3">
      <c r="A105" s="4" t="s">
        <v>642</v>
      </c>
      <c r="B105" s="3" t="s">
        <v>643</v>
      </c>
      <c r="C105" s="1" t="s">
        <v>644</v>
      </c>
    </row>
    <row r="106" ht="21" customHeight="1" spans="1:3">
      <c r="A106" s="4" t="s">
        <v>645</v>
      </c>
      <c r="B106" s="3" t="s">
        <v>646</v>
      </c>
      <c r="C106" s="1" t="s">
        <v>647</v>
      </c>
    </row>
    <row r="107" ht="21" customHeight="1" spans="1:3">
      <c r="A107" s="4" t="s">
        <v>648</v>
      </c>
      <c r="B107" s="3" t="s">
        <v>649</v>
      </c>
      <c r="C107" s="1" t="s">
        <v>650</v>
      </c>
    </row>
    <row r="108" ht="21" customHeight="1" spans="1:3">
      <c r="A108" s="4" t="s">
        <v>651</v>
      </c>
      <c r="B108" s="3" t="s">
        <v>652</v>
      </c>
      <c r="C108" s="1" t="s">
        <v>653</v>
      </c>
    </row>
    <row r="109" ht="21" customHeight="1" spans="1:3">
      <c r="A109" s="4" t="s">
        <v>613</v>
      </c>
      <c r="B109" s="3" t="s">
        <v>654</v>
      </c>
      <c r="C109" s="1" t="s">
        <v>655</v>
      </c>
    </row>
    <row r="110" ht="21" customHeight="1" spans="1:3">
      <c r="A110" s="4" t="s">
        <v>656</v>
      </c>
      <c r="B110" s="3" t="s">
        <v>657</v>
      </c>
      <c r="C110" s="1" t="s">
        <v>658</v>
      </c>
    </row>
    <row r="111" ht="21" customHeight="1" spans="1:3">
      <c r="A111" s="4" t="s">
        <v>659</v>
      </c>
      <c r="B111" s="3" t="s">
        <v>660</v>
      </c>
      <c r="C111" s="1" t="s">
        <v>661</v>
      </c>
    </row>
    <row r="112" ht="21" customHeight="1" spans="1:3">
      <c r="A112" s="4" t="s">
        <v>624</v>
      </c>
      <c r="B112" s="3" t="s">
        <v>662</v>
      </c>
      <c r="C112" s="1" t="s">
        <v>663</v>
      </c>
    </row>
    <row r="113" ht="21" customHeight="1" spans="1:3">
      <c r="A113" s="4" t="s">
        <v>664</v>
      </c>
      <c r="B113" s="3">
        <v>57</v>
      </c>
      <c r="C113" s="1" t="s">
        <v>665</v>
      </c>
    </row>
    <row r="114" ht="21" customHeight="1" spans="1:3">
      <c r="A114" s="4" t="s">
        <v>666</v>
      </c>
      <c r="B114" s="3" t="s">
        <v>667</v>
      </c>
      <c r="C114" s="1" t="s">
        <v>668</v>
      </c>
    </row>
    <row r="115" ht="21" customHeight="1" spans="1:3">
      <c r="A115" s="4" t="s">
        <v>669</v>
      </c>
      <c r="B115" s="3" t="s">
        <v>670</v>
      </c>
      <c r="C115" s="1" t="s">
        <v>671</v>
      </c>
    </row>
    <row r="116" ht="21" customHeight="1" spans="1:3">
      <c r="A116" s="4" t="s">
        <v>634</v>
      </c>
      <c r="B116" s="3" t="s">
        <v>672</v>
      </c>
      <c r="C116" s="1" t="s">
        <v>673</v>
      </c>
    </row>
    <row r="117" ht="21" customHeight="1" spans="1:3">
      <c r="A117" s="4" t="s">
        <v>674</v>
      </c>
      <c r="B117" s="3" t="s">
        <v>675</v>
      </c>
      <c r="C117" s="1" t="s">
        <v>676</v>
      </c>
    </row>
    <row r="118" ht="21" customHeight="1" spans="1:3">
      <c r="A118" s="4" t="s">
        <v>677</v>
      </c>
      <c r="B118" s="3" t="s">
        <v>678</v>
      </c>
      <c r="C118" s="1" t="s">
        <v>679</v>
      </c>
    </row>
    <row r="119" ht="21" customHeight="1" spans="1:3">
      <c r="A119" s="4" t="s">
        <v>680</v>
      </c>
      <c r="B119" s="3" t="s">
        <v>681</v>
      </c>
      <c r="C119" s="1" t="s">
        <v>682</v>
      </c>
    </row>
    <row r="120" ht="21" customHeight="1" spans="1:3">
      <c r="A120" s="4" t="s">
        <v>652</v>
      </c>
      <c r="B120" s="3" t="s">
        <v>683</v>
      </c>
      <c r="C120" s="1" t="s">
        <v>684</v>
      </c>
    </row>
    <row r="121" ht="21" customHeight="1" spans="1:3">
      <c r="A121" s="4" t="s">
        <v>654</v>
      </c>
      <c r="B121" s="3" t="s">
        <v>685</v>
      </c>
      <c r="C121" s="1" t="s">
        <v>686</v>
      </c>
    </row>
    <row r="122" ht="21" customHeight="1" spans="1:3">
      <c r="A122" s="4" t="s">
        <v>687</v>
      </c>
      <c r="B122" s="3" t="s">
        <v>688</v>
      </c>
      <c r="C122" s="1" t="s">
        <v>689</v>
      </c>
    </row>
    <row r="123" ht="21" customHeight="1" spans="1:3">
      <c r="A123" s="4" t="s">
        <v>411</v>
      </c>
      <c r="B123" s="3" t="s">
        <v>690</v>
      </c>
      <c r="C123" s="1" t="s">
        <v>691</v>
      </c>
    </row>
    <row r="124" ht="21" customHeight="1" spans="1:3">
      <c r="A124" s="4" t="s">
        <v>692</v>
      </c>
      <c r="B124" s="3" t="s">
        <v>693</v>
      </c>
      <c r="C124" s="1" t="s">
        <v>694</v>
      </c>
    </row>
    <row r="125" ht="21" customHeight="1" spans="1:3">
      <c r="A125" s="4" t="s">
        <v>695</v>
      </c>
      <c r="B125" s="3" t="s">
        <v>438</v>
      </c>
      <c r="C125" s="1" t="s">
        <v>696</v>
      </c>
    </row>
    <row r="126" ht="21" customHeight="1" spans="1:3">
      <c r="A126" s="4" t="s">
        <v>667</v>
      </c>
      <c r="B126" s="3" t="s">
        <v>697</v>
      </c>
      <c r="C126" s="1" t="s">
        <v>698</v>
      </c>
    </row>
    <row r="127" ht="21" customHeight="1" spans="1:3">
      <c r="A127" s="4" t="s">
        <v>670</v>
      </c>
      <c r="B127" s="3" t="s">
        <v>699</v>
      </c>
      <c r="C127" s="1" t="s">
        <v>700</v>
      </c>
    </row>
    <row r="128" ht="21" customHeight="1" spans="1:3">
      <c r="A128" s="4" t="s">
        <v>701</v>
      </c>
      <c r="B128" s="3" t="s">
        <v>702</v>
      </c>
      <c r="C128" s="1" t="s">
        <v>703</v>
      </c>
    </row>
    <row r="129" ht="21" customHeight="1" spans="1:3">
      <c r="A129" s="4" t="s">
        <v>675</v>
      </c>
      <c r="B129" s="3" t="s">
        <v>704</v>
      </c>
      <c r="C129" s="1" t="s">
        <v>705</v>
      </c>
    </row>
    <row r="130" ht="21" customHeight="1" spans="1:3">
      <c r="A130" s="4" t="s">
        <v>706</v>
      </c>
      <c r="B130" s="3" t="s">
        <v>707</v>
      </c>
      <c r="C130" s="1" t="s">
        <v>708</v>
      </c>
    </row>
    <row r="131" ht="21" customHeight="1" spans="1:3">
      <c r="A131" s="4" t="s">
        <v>709</v>
      </c>
      <c r="B131" s="3" t="s">
        <v>710</v>
      </c>
      <c r="C131" s="1" t="s">
        <v>711</v>
      </c>
    </row>
    <row r="132" ht="21" customHeight="1" spans="1:3">
      <c r="A132" s="4" t="s">
        <v>678</v>
      </c>
      <c r="B132" s="3" t="s">
        <v>712</v>
      </c>
      <c r="C132" s="1" t="s">
        <v>713</v>
      </c>
    </row>
    <row r="133" ht="21" customHeight="1" spans="1:3">
      <c r="A133" s="4" t="s">
        <v>714</v>
      </c>
      <c r="B133" s="3" t="s">
        <v>715</v>
      </c>
      <c r="C133" s="1" t="s">
        <v>716</v>
      </c>
    </row>
    <row r="134" ht="21" customHeight="1" spans="1:3">
      <c r="A134" s="4" t="s">
        <v>717</v>
      </c>
      <c r="B134" s="3" t="s">
        <v>718</v>
      </c>
      <c r="C134" s="1" t="s">
        <v>719</v>
      </c>
    </row>
    <row r="135" ht="21" customHeight="1" spans="1:3">
      <c r="A135" s="4" t="s">
        <v>720</v>
      </c>
      <c r="B135" s="3" t="s">
        <v>423</v>
      </c>
      <c r="C135" s="1" t="s">
        <v>721</v>
      </c>
    </row>
    <row r="136" ht="21" customHeight="1" spans="1:3">
      <c r="A136" s="4" t="s">
        <v>690</v>
      </c>
      <c r="B136" s="3" t="s">
        <v>722</v>
      </c>
      <c r="C136" s="1" t="s">
        <v>723</v>
      </c>
    </row>
    <row r="137" ht="21" customHeight="1" spans="1:3">
      <c r="A137" s="4" t="s">
        <v>693</v>
      </c>
      <c r="B137" s="3" t="s">
        <v>724</v>
      </c>
      <c r="C137" s="1" t="s">
        <v>725</v>
      </c>
    </row>
    <row r="138" ht="21" customHeight="1" spans="1:3">
      <c r="A138" s="4" t="s">
        <v>438</v>
      </c>
      <c r="B138" s="3" t="s">
        <v>631</v>
      </c>
      <c r="C138" s="1" t="s">
        <v>726</v>
      </c>
    </row>
    <row r="139" ht="21" customHeight="1" spans="1:3">
      <c r="A139" s="4" t="s">
        <v>727</v>
      </c>
      <c r="B139" s="3" t="s">
        <v>728</v>
      </c>
      <c r="C139" s="1" t="s">
        <v>729</v>
      </c>
    </row>
    <row r="140" ht="21" customHeight="1" spans="1:3">
      <c r="A140" s="4" t="s">
        <v>697</v>
      </c>
      <c r="B140" s="3" t="s">
        <v>730</v>
      </c>
      <c r="C140" s="1" t="s">
        <v>731</v>
      </c>
    </row>
    <row r="141" ht="21" customHeight="1" spans="1:3">
      <c r="A141" s="4" t="s">
        <v>732</v>
      </c>
      <c r="B141" s="3" t="s">
        <v>733</v>
      </c>
      <c r="C141" s="1" t="s">
        <v>734</v>
      </c>
    </row>
    <row r="142" ht="21" customHeight="1" spans="1:2">
      <c r="A142" s="4" t="s">
        <v>702</v>
      </c>
      <c r="B142" s="3" t="s">
        <v>735</v>
      </c>
    </row>
    <row r="143" ht="21" customHeight="1" spans="1:2">
      <c r="A143" s="4" t="s">
        <v>736</v>
      </c>
      <c r="B143" s="3" t="s">
        <v>464</v>
      </c>
    </row>
    <row r="144" ht="21" customHeight="1" spans="1:2">
      <c r="A144" s="4" t="s">
        <v>737</v>
      </c>
      <c r="B144" s="3" t="s">
        <v>738</v>
      </c>
    </row>
    <row r="145" ht="21" customHeight="1" spans="1:2">
      <c r="A145" s="4" t="s">
        <v>461</v>
      </c>
      <c r="B145" s="3" t="s">
        <v>739</v>
      </c>
    </row>
    <row r="146" ht="21" customHeight="1" spans="1:2">
      <c r="A146" s="4" t="s">
        <v>740</v>
      </c>
      <c r="B146" s="3" t="s">
        <v>741</v>
      </c>
    </row>
    <row r="147" ht="21" customHeight="1" spans="1:2">
      <c r="A147" s="4" t="s">
        <v>715</v>
      </c>
      <c r="B147" s="3" t="s">
        <v>572</v>
      </c>
    </row>
    <row r="148" ht="21" customHeight="1" spans="1:2">
      <c r="A148" s="4" t="s">
        <v>718</v>
      </c>
      <c r="B148" s="3" t="s">
        <v>742</v>
      </c>
    </row>
    <row r="149" ht="21" customHeight="1" spans="1:2">
      <c r="A149" s="4" t="s">
        <v>743</v>
      </c>
      <c r="B149" s="3" t="s">
        <v>744</v>
      </c>
    </row>
    <row r="150" ht="21" customHeight="1" spans="1:2">
      <c r="A150" s="4" t="s">
        <v>423</v>
      </c>
      <c r="B150" s="3" t="s">
        <v>745</v>
      </c>
    </row>
    <row r="151" ht="21" customHeight="1" spans="1:2">
      <c r="A151" s="4" t="s">
        <v>746</v>
      </c>
      <c r="B151" s="3" t="s">
        <v>747</v>
      </c>
    </row>
    <row r="152" ht="21" customHeight="1" spans="1:2">
      <c r="A152" s="4" t="s">
        <v>748</v>
      </c>
      <c r="B152" s="3" t="s">
        <v>749</v>
      </c>
    </row>
    <row r="153" ht="21" customHeight="1" spans="1:2">
      <c r="A153" s="4" t="s">
        <v>750</v>
      </c>
      <c r="B153" s="3" t="s">
        <v>751</v>
      </c>
    </row>
    <row r="154" ht="21" customHeight="1" spans="1:2">
      <c r="A154" s="4" t="s">
        <v>752</v>
      </c>
      <c r="B154" s="3" t="s">
        <v>753</v>
      </c>
    </row>
    <row r="155" ht="21" customHeight="1" spans="1:2">
      <c r="A155" s="4" t="s">
        <v>730</v>
      </c>
      <c r="B155" s="3" t="s">
        <v>754</v>
      </c>
    </row>
    <row r="156" ht="21" customHeight="1" spans="1:2">
      <c r="A156" s="4" t="s">
        <v>735</v>
      </c>
      <c r="B156" s="3" t="s">
        <v>755</v>
      </c>
    </row>
    <row r="157" ht="21" customHeight="1" spans="1:2">
      <c r="A157" s="4" t="s">
        <v>464</v>
      </c>
      <c r="B157" s="3" t="s">
        <v>756</v>
      </c>
    </row>
    <row r="158" ht="21" customHeight="1" spans="1:2">
      <c r="A158" s="4" t="s">
        <v>738</v>
      </c>
      <c r="B158" s="3" t="s">
        <v>757</v>
      </c>
    </row>
    <row r="159" ht="21" customHeight="1" spans="1:2">
      <c r="A159" s="4" t="s">
        <v>758</v>
      </c>
      <c r="B159" s="3" t="s">
        <v>759</v>
      </c>
    </row>
    <row r="160" ht="21" customHeight="1" spans="1:2">
      <c r="A160" s="4" t="s">
        <v>741</v>
      </c>
      <c r="B160" s="3" t="s">
        <v>760</v>
      </c>
    </row>
    <row r="161" ht="21" customHeight="1" spans="1:2">
      <c r="A161" s="4" t="s">
        <v>761</v>
      </c>
      <c r="B161" s="3" t="s">
        <v>762</v>
      </c>
    </row>
    <row r="162" ht="21" customHeight="1" spans="1:2">
      <c r="A162" s="4" t="s">
        <v>763</v>
      </c>
      <c r="B162" s="3" t="s">
        <v>764</v>
      </c>
    </row>
    <row r="163" ht="21" customHeight="1" spans="1:2">
      <c r="A163" s="4" t="s">
        <v>765</v>
      </c>
      <c r="B163" s="3" t="s">
        <v>766</v>
      </c>
    </row>
    <row r="164" ht="21" customHeight="1" spans="1:2">
      <c r="A164" s="4" t="s">
        <v>745</v>
      </c>
      <c r="B164" s="3" t="s">
        <v>767</v>
      </c>
    </row>
    <row r="165" ht="21" customHeight="1" spans="1:2">
      <c r="A165" s="4" t="s">
        <v>768</v>
      </c>
      <c r="B165" s="3" t="s">
        <v>384</v>
      </c>
    </row>
    <row r="166" ht="21" customHeight="1" spans="1:2">
      <c r="A166" s="4" t="s">
        <v>747</v>
      </c>
      <c r="B166" s="3" t="s">
        <v>769</v>
      </c>
    </row>
    <row r="167" ht="21" customHeight="1" spans="1:2">
      <c r="A167" s="4" t="s">
        <v>770</v>
      </c>
      <c r="B167" s="3" t="s">
        <v>771</v>
      </c>
    </row>
    <row r="168" ht="21" customHeight="1" spans="1:2">
      <c r="A168" s="4" t="s">
        <v>751</v>
      </c>
      <c r="B168" s="3" t="s">
        <v>772</v>
      </c>
    </row>
    <row r="169" ht="21" customHeight="1" spans="1:2">
      <c r="A169" s="4" t="s">
        <v>753</v>
      </c>
      <c r="B169" s="3" t="s">
        <v>773</v>
      </c>
    </row>
    <row r="170" ht="21" customHeight="1" spans="1:2">
      <c r="A170" s="4" t="s">
        <v>754</v>
      </c>
      <c r="B170" s="3" t="s">
        <v>774</v>
      </c>
    </row>
    <row r="171" ht="21" customHeight="1" spans="1:2">
      <c r="A171" s="4" t="s">
        <v>755</v>
      </c>
      <c r="B171" s="3" t="s">
        <v>775</v>
      </c>
    </row>
    <row r="172" ht="21" customHeight="1" spans="1:2">
      <c r="A172" s="4" t="s">
        <v>756</v>
      </c>
      <c r="B172" s="3" t="s">
        <v>776</v>
      </c>
    </row>
    <row r="173" ht="21" customHeight="1" spans="1:2">
      <c r="A173" s="4" t="s">
        <v>757</v>
      </c>
      <c r="B173" s="3" t="s">
        <v>777</v>
      </c>
    </row>
    <row r="174" ht="21" customHeight="1" spans="1:2">
      <c r="A174" s="4" t="s">
        <v>759</v>
      </c>
      <c r="B174" s="3" t="s">
        <v>778</v>
      </c>
    </row>
    <row r="175" ht="21" customHeight="1" spans="1:2">
      <c r="A175" s="4" t="s">
        <v>760</v>
      </c>
      <c r="B175" s="3" t="s">
        <v>699</v>
      </c>
    </row>
    <row r="176" ht="21" customHeight="1" spans="1:2">
      <c r="A176" s="4" t="s">
        <v>762</v>
      </c>
      <c r="B176" s="3" t="s">
        <v>779</v>
      </c>
    </row>
    <row r="177" ht="21" customHeight="1" spans="1:2">
      <c r="A177" s="4" t="s">
        <v>780</v>
      </c>
      <c r="B177" s="3" t="s">
        <v>454</v>
      </c>
    </row>
    <row r="178" ht="21" customHeight="1" spans="1:2">
      <c r="A178" s="4" t="s">
        <v>764</v>
      </c>
      <c r="B178" s="3" t="s">
        <v>781</v>
      </c>
    </row>
    <row r="179" ht="21" customHeight="1" spans="1:2">
      <c r="A179" s="4" t="s">
        <v>766</v>
      </c>
      <c r="B179" s="3" t="s">
        <v>782</v>
      </c>
    </row>
    <row r="180" ht="21" customHeight="1" spans="1:2">
      <c r="A180" s="4" t="s">
        <v>767</v>
      </c>
      <c r="B180" s="3" t="s">
        <v>783</v>
      </c>
    </row>
    <row r="181" ht="21" customHeight="1" spans="1:2">
      <c r="A181" s="4" t="s">
        <v>384</v>
      </c>
      <c r="B181" s="3" t="s">
        <v>784</v>
      </c>
    </row>
    <row r="182" ht="21" customHeight="1" spans="1:2">
      <c r="A182" s="4" t="s">
        <v>769</v>
      </c>
      <c r="B182" s="3" t="s">
        <v>785</v>
      </c>
    </row>
    <row r="183" ht="21" customHeight="1" spans="1:2">
      <c r="A183" s="4" t="s">
        <v>771</v>
      </c>
      <c r="B183" s="3" t="s">
        <v>786</v>
      </c>
    </row>
    <row r="184" ht="21" customHeight="1" spans="1:2">
      <c r="A184" s="4" t="s">
        <v>772</v>
      </c>
      <c r="B184" s="3" t="s">
        <v>787</v>
      </c>
    </row>
    <row r="185" ht="21" customHeight="1" spans="1:2">
      <c r="A185" s="4" t="s">
        <v>773</v>
      </c>
      <c r="B185" s="3" t="s">
        <v>788</v>
      </c>
    </row>
    <row r="186" ht="21" customHeight="1" spans="1:2">
      <c r="A186" s="4" t="s">
        <v>789</v>
      </c>
      <c r="B186" s="3" t="s">
        <v>790</v>
      </c>
    </row>
    <row r="187" ht="21" customHeight="1" spans="1:2">
      <c r="A187" s="4" t="s">
        <v>775</v>
      </c>
      <c r="B187" s="3" t="s">
        <v>791</v>
      </c>
    </row>
    <row r="188" ht="21" customHeight="1" spans="1:2">
      <c r="A188" s="4" t="s">
        <v>776</v>
      </c>
      <c r="B188" s="3" t="s">
        <v>792</v>
      </c>
    </row>
    <row r="189" ht="21" customHeight="1" spans="1:2">
      <c r="A189" s="4" t="s">
        <v>777</v>
      </c>
      <c r="B189" s="3" t="s">
        <v>793</v>
      </c>
    </row>
    <row r="190" ht="21" customHeight="1" spans="1:2">
      <c r="A190" s="4" t="s">
        <v>778</v>
      </c>
      <c r="B190" s="3" t="s">
        <v>794</v>
      </c>
    </row>
    <row r="191" ht="21" customHeight="1" spans="1:2">
      <c r="A191" s="4" t="s">
        <v>795</v>
      </c>
      <c r="B191" s="3" t="s">
        <v>796</v>
      </c>
    </row>
    <row r="192" ht="21" customHeight="1" spans="1:2">
      <c r="A192" s="4" t="s">
        <v>779</v>
      </c>
      <c r="B192" s="3" t="s">
        <v>797</v>
      </c>
    </row>
    <row r="193" ht="21" customHeight="1" spans="1:2">
      <c r="A193" s="4" t="s">
        <v>798</v>
      </c>
      <c r="B193" s="3" t="s">
        <v>799</v>
      </c>
    </row>
    <row r="194" ht="21" customHeight="1" spans="1:2">
      <c r="A194" s="4" t="s">
        <v>781</v>
      </c>
      <c r="B194" s="3" t="s">
        <v>800</v>
      </c>
    </row>
    <row r="195" ht="21" customHeight="1" spans="1:2">
      <c r="A195" s="4" t="s">
        <v>782</v>
      </c>
      <c r="B195" s="3" t="s">
        <v>426</v>
      </c>
    </row>
    <row r="196" ht="21" customHeight="1" spans="1:2">
      <c r="A196" s="4" t="s">
        <v>801</v>
      </c>
      <c r="B196" s="3" t="s">
        <v>802</v>
      </c>
    </row>
    <row r="197" ht="21" customHeight="1" spans="1:2">
      <c r="A197" s="4" t="s">
        <v>803</v>
      </c>
      <c r="B197" s="3" t="s">
        <v>629</v>
      </c>
    </row>
    <row r="198" ht="21" customHeight="1" spans="1:2">
      <c r="A198" s="4" t="s">
        <v>785</v>
      </c>
      <c r="B198" s="3" t="s">
        <v>804</v>
      </c>
    </row>
    <row r="199" ht="21" customHeight="1" spans="1:2">
      <c r="A199" s="4" t="s">
        <v>786</v>
      </c>
      <c r="B199" s="3" t="s">
        <v>805</v>
      </c>
    </row>
    <row r="200" ht="21" customHeight="1" spans="1:2">
      <c r="A200" s="4" t="s">
        <v>787</v>
      </c>
      <c r="B200" s="3" t="s">
        <v>806</v>
      </c>
    </row>
    <row r="201" ht="21" customHeight="1" spans="1:2">
      <c r="A201" s="4" t="s">
        <v>807</v>
      </c>
      <c r="B201" s="3" t="s">
        <v>808</v>
      </c>
    </row>
    <row r="202" ht="21" customHeight="1" spans="1:2">
      <c r="A202" s="4" t="s">
        <v>790</v>
      </c>
      <c r="B202" s="3" t="s">
        <v>809</v>
      </c>
    </row>
    <row r="203" ht="21" customHeight="1" spans="1:2">
      <c r="A203" s="4" t="s">
        <v>810</v>
      </c>
      <c r="B203" s="3" t="s">
        <v>811</v>
      </c>
    </row>
    <row r="204" ht="21" customHeight="1" spans="1:2">
      <c r="A204" s="4" t="s">
        <v>792</v>
      </c>
      <c r="B204" s="3" t="s">
        <v>812</v>
      </c>
    </row>
    <row r="205" ht="21" customHeight="1" spans="1:2">
      <c r="A205" s="4" t="s">
        <v>793</v>
      </c>
      <c r="B205" s="3" t="s">
        <v>813</v>
      </c>
    </row>
    <row r="206" ht="21" customHeight="1" spans="1:2">
      <c r="A206" s="4" t="s">
        <v>794</v>
      </c>
      <c r="B206" s="3" t="s">
        <v>814</v>
      </c>
    </row>
    <row r="207" ht="21" customHeight="1" spans="1:2">
      <c r="A207" s="4" t="s">
        <v>796</v>
      </c>
      <c r="B207" s="3" t="s">
        <v>815</v>
      </c>
    </row>
    <row r="208" ht="21" customHeight="1" spans="1:2">
      <c r="A208" s="4" t="s">
        <v>797</v>
      </c>
      <c r="B208" s="3" t="s">
        <v>816</v>
      </c>
    </row>
    <row r="209" ht="21" customHeight="1" spans="1:2">
      <c r="A209" s="4" t="s">
        <v>799</v>
      </c>
      <c r="B209" s="3" t="s">
        <v>817</v>
      </c>
    </row>
    <row r="210" ht="21" customHeight="1" spans="1:2">
      <c r="A210" s="4" t="s">
        <v>800</v>
      </c>
      <c r="B210" s="3" t="s">
        <v>818</v>
      </c>
    </row>
    <row r="211" ht="21" customHeight="1" spans="1:2">
      <c r="A211" s="4" t="s">
        <v>426</v>
      </c>
      <c r="B211" s="3" t="s">
        <v>819</v>
      </c>
    </row>
    <row r="212" ht="21" customHeight="1" spans="1:2">
      <c r="A212" s="4" t="s">
        <v>802</v>
      </c>
      <c r="B212" s="3" t="s">
        <v>820</v>
      </c>
    </row>
    <row r="213" ht="21" customHeight="1" spans="1:2">
      <c r="A213" s="4" t="s">
        <v>629</v>
      </c>
      <c r="B213" s="3" t="s">
        <v>821</v>
      </c>
    </row>
    <row r="214" ht="21" customHeight="1" spans="1:2">
      <c r="A214" s="4" t="s">
        <v>804</v>
      </c>
      <c r="B214" s="3" t="s">
        <v>822</v>
      </c>
    </row>
    <row r="215" ht="21" customHeight="1" spans="1:2">
      <c r="A215" s="4" t="s">
        <v>805</v>
      </c>
      <c r="B215" s="3" t="s">
        <v>823</v>
      </c>
    </row>
    <row r="216" ht="21" customHeight="1" spans="1:2">
      <c r="A216" s="4" t="s">
        <v>806</v>
      </c>
      <c r="B216" s="3" t="s">
        <v>824</v>
      </c>
    </row>
    <row r="217" ht="21" customHeight="1" spans="1:2">
      <c r="A217" s="4" t="s">
        <v>808</v>
      </c>
      <c r="B217" s="3" t="s">
        <v>458</v>
      </c>
    </row>
    <row r="218" ht="21" customHeight="1" spans="1:2">
      <c r="A218" s="4" t="s">
        <v>809</v>
      </c>
      <c r="B218" s="3" t="s">
        <v>825</v>
      </c>
    </row>
    <row r="219" ht="21" customHeight="1" spans="1:2">
      <c r="A219" s="4" t="s">
        <v>811</v>
      </c>
      <c r="B219" s="3" t="s">
        <v>685</v>
      </c>
    </row>
    <row r="220" ht="21" customHeight="1" spans="1:2">
      <c r="A220" s="4" t="s">
        <v>813</v>
      </c>
      <c r="B220" s="3" t="s">
        <v>826</v>
      </c>
    </row>
    <row r="221" ht="21" customHeight="1" spans="1:2">
      <c r="A221" s="4" t="s">
        <v>814</v>
      </c>
      <c r="B221" s="3" t="s">
        <v>824</v>
      </c>
    </row>
    <row r="222" ht="21" customHeight="1" spans="1:2">
      <c r="A222" s="4" t="s">
        <v>815</v>
      </c>
      <c r="B222" s="3" t="s">
        <v>365</v>
      </c>
    </row>
    <row r="223" ht="21" customHeight="1" spans="1:2">
      <c r="A223" s="4" t="s">
        <v>816</v>
      </c>
      <c r="B223" s="3" t="s">
        <v>827</v>
      </c>
    </row>
    <row r="224" ht="21" customHeight="1" spans="1:2">
      <c r="A224" s="4" t="s">
        <v>817</v>
      </c>
      <c r="B224" s="3" t="s">
        <v>363</v>
      </c>
    </row>
    <row r="225" ht="21" customHeight="1" spans="1:2">
      <c r="A225" s="4" t="s">
        <v>818</v>
      </c>
      <c r="B225" s="3" t="s">
        <v>828</v>
      </c>
    </row>
    <row r="226" ht="21" customHeight="1" spans="1:2">
      <c r="A226" s="4" t="s">
        <v>819</v>
      </c>
      <c r="B226" s="3" t="s">
        <v>829</v>
      </c>
    </row>
    <row r="227" ht="21" customHeight="1" spans="1:2">
      <c r="A227" s="4" t="s">
        <v>820</v>
      </c>
      <c r="B227" s="3" t="s">
        <v>830</v>
      </c>
    </row>
    <row r="228" ht="21" customHeight="1" spans="1:2">
      <c r="A228" s="4" t="s">
        <v>821</v>
      </c>
      <c r="B228" s="3" t="s">
        <v>831</v>
      </c>
    </row>
    <row r="229" ht="21" customHeight="1" spans="1:1">
      <c r="A229" s="4" t="s">
        <v>832</v>
      </c>
    </row>
    <row r="230" ht="21" customHeight="1" spans="1:1">
      <c r="A230" s="4" t="s">
        <v>823</v>
      </c>
    </row>
    <row r="231" ht="21" customHeight="1" spans="1:1">
      <c r="A231" s="4" t="s">
        <v>833</v>
      </c>
    </row>
    <row r="232" ht="21" customHeight="1" spans="1:1">
      <c r="A232" s="4" t="s">
        <v>458</v>
      </c>
    </row>
    <row r="233" ht="21" customHeight="1" spans="1:1">
      <c r="A233" s="4" t="s">
        <v>825</v>
      </c>
    </row>
    <row r="234" ht="21" customHeight="1" spans="1:1">
      <c r="A234" s="4" t="s">
        <v>834</v>
      </c>
    </row>
    <row r="235" ht="21" customHeight="1" spans="1:1">
      <c r="A235" s="4" t="s">
        <v>826</v>
      </c>
    </row>
    <row r="236" ht="21" customHeight="1" spans="1:1">
      <c r="A236" s="4" t="s">
        <v>835</v>
      </c>
    </row>
    <row r="237" ht="21" customHeight="1" spans="1:1">
      <c r="A237" s="4" t="s">
        <v>836</v>
      </c>
    </row>
    <row r="238" ht="21" customHeight="1" spans="1:1">
      <c r="A238" s="4" t="s">
        <v>837</v>
      </c>
    </row>
    <row r="239" ht="21" customHeight="1" spans="1:1">
      <c r="A239" s="4" t="s">
        <v>363</v>
      </c>
    </row>
    <row r="240" ht="21" customHeight="1" spans="1:1">
      <c r="A240" s="4" t="s">
        <v>838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阶段实际盈亏</vt:lpstr>
      <vt:lpstr>2</vt:lpstr>
      <vt:lpstr>逮虾户上贴费用详情</vt:lpstr>
      <vt:lpstr>西柚找词垃圾词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2025-07-11T00:26:30Z</dcterms:created>
  <dcterms:modified xsi:type="dcterms:W3CDTF">2025-07-11T00:27:10Z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10516C9EC1394AB683E6C1A7C26A43AC_13</vt:lpwstr>
  </property>
  <property fmtid="{D5CDD505-2E9C-101B-9397-08002B2CF9AE}" pid="3" name="KSOProductBuildVer">
    <vt:lpwstr>2052-12.1.0.21915</vt:lpwstr>
  </property>
</Properties>
</file>