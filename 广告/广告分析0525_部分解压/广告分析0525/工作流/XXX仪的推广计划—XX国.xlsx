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推广目标" sheetId="1" r:id="rId1"/>
    <sheet name="推广计划" sheetId="2" r:id="rId2"/>
    <sheet name="广告计划" sheetId="3" r:id="rId3"/>
    <sheet name="利润&amp;ROI测算" sheetId="4" r:id="rId4"/>
    <sheet name="账号&amp;备货规划" sheetId="5" r:id="rId5"/>
    <sheet name="ASIN 定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1752727598952139</author>
  </authors>
  <commentList>
    <comment ref="B5" authorId="0">
      <text>
        <r>
          <rPr>
            <b/>
            <sz val="9"/>
            <color rgb="FF000000"/>
            <rFont val="宋体"/>
            <scheme val="minor"/>
            <charset val="0"/>
          </rPr>
          <t>Administrator:</t>
        </r>
        <r>
          <rPr>
            <sz val="9"/>
            <color rgb="FF000000"/>
            <rFont val="宋体"/>
            <scheme val="minor"/>
            <charset val="0"/>
          </rPr>
          <t xml:space="preserve">
BSR
#204,431 inXXXX#27 in XXXX</t>
        </r>
      </text>
    </comment>
    <comment ref="A17" authorId="0">
      <text>
        <r>
          <rPr>
            <b/>
            <sz val="9"/>
            <color rgb="FF000000"/>
            <rFont val="宋体"/>
            <scheme val="minor"/>
            <charset val="0"/>
          </rPr>
          <t xml:space="preserve">Administrator:
</t>
        </r>
        <r>
          <rPr>
            <sz val="9"/>
            <color rgb="FF000000"/>
            <rFont val="宋体"/>
            <scheme val="minor"/>
            <charset val="0"/>
          </rPr>
          <t xml:space="preserve">
核心关键词 选取，111111 
 长尾词
222</t>
        </r>
      </text>
    </comment>
  </commentList>
</comments>
</file>

<file path=xl/comments2.xml><?xml version="1.0" encoding="utf-8"?>
<comments xmlns="http://schemas.openxmlformats.org/spreadsheetml/2006/main">
  <authors>
    <author>1752727599130424</author>
  </authors>
  <commentList>
    <comment ref="P12" authorId="0">
      <text>
        <r>
          <rPr>
            <b/>
            <sz val="9"/>
            <color rgb="FF000000"/>
            <rFont val="宋体"/>
            <scheme val="minor"/>
            <charset val="0"/>
          </rPr>
          <t>Administrator:</t>
        </r>
        <r>
          <rPr>
            <sz val="9"/>
            <color rgb="FF000000"/>
            <rFont val="宋体"/>
            <scheme val="minor"/>
            <charset val="0"/>
          </rPr>
          <t xml:space="preserve">
关键词
11111</t>
        </r>
      </text>
    </comment>
    <comment ref="Q12" authorId="0">
      <text>
        <r>
          <rPr>
            <b/>
            <sz val="9"/>
            <color rgb="FF000000"/>
            <rFont val="宋体"/>
            <scheme val="minor"/>
            <charset val="0"/>
          </rPr>
          <t>Administrator:</t>
        </r>
        <r>
          <rPr>
            <sz val="9"/>
            <color rgb="FF000000"/>
            <rFont val="宋体"/>
            <scheme val="minor"/>
            <charset val="0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1752727599147981</author>
  </authors>
  <commentList>
    <comment ref="F2" authorId="0">
      <text>
        <r>
          <rPr>
            <b/>
            <sz val="9"/>
            <color rgb="FF000000"/>
            <rFont val="宋体"/>
            <scheme val="minor"/>
            <charset val="0"/>
          </rPr>
          <t xml:space="preserve">作者:
</t>
        </r>
      </text>
    </comment>
    <comment ref="H2" authorId="0">
      <text>
        <r>
          <rPr>
            <b/>
            <sz val="9"/>
            <color rgb="FF000000"/>
            <rFont val="宋体"/>
            <scheme val="minor"/>
            <charset val="0"/>
          </rPr>
          <t>作者:</t>
        </r>
        <r>
          <rPr>
            <sz val="9"/>
            <color rgb="FF000000"/>
            <rFont val="宋体"/>
            <scheme val="minor"/>
            <charset val="0"/>
          </rPr>
          <t xml:space="preserve">
币种：EU</t>
        </r>
      </text>
    </comment>
    <comment ref="V2" authorId="0">
      <text>
        <r>
          <rPr>
            <b/>
            <sz val="9"/>
            <color rgb="FF000000"/>
            <rFont val="宋体"/>
            <scheme val="minor"/>
            <charset val="0"/>
          </rPr>
          <t>作者:</t>
        </r>
        <r>
          <rPr>
            <sz val="9"/>
            <color rgb="FF000000"/>
            <rFont val="宋体"/>
            <scheme val="minor"/>
            <charset val="0"/>
          </rPr>
          <t xml:space="preserve">
按照10% coupon计算</t>
        </r>
      </text>
    </comment>
    <comment ref="BB2" authorId="0">
      <text>
        <r>
          <rPr>
            <b/>
            <sz val="9"/>
            <color rgb="FF000000"/>
            <rFont val="宋体"/>
            <scheme val="minor"/>
            <charset val="0"/>
          </rPr>
          <t>作者:</t>
        </r>
        <r>
          <rPr>
            <sz val="9"/>
            <color rgb="FF000000"/>
            <rFont val="宋体"/>
            <scheme val="minor"/>
            <charset val="0"/>
          </rPr>
          <t xml:space="preserve">
增加礼品卡测评费
预计400*$8</t>
        </r>
      </text>
    </comment>
    <comment ref="BR2" authorId="0">
      <text>
        <r>
          <rPr>
            <b/>
            <sz val="9"/>
            <color rgb="FF000000"/>
            <rFont val="宋体"/>
            <scheme val="minor"/>
            <charset val="0"/>
          </rPr>
          <t>作者:</t>
        </r>
        <r>
          <rPr>
            <sz val="9"/>
            <color rgb="FF000000"/>
            <rFont val="宋体"/>
            <scheme val="minor"/>
            <charset val="0"/>
          </rPr>
          <t xml:space="preserve">
增加礼品卡测评费用400*$8</t>
        </r>
      </text>
    </comment>
  </commentList>
</comments>
</file>

<file path=xl/sharedStrings.xml><?xml version="1.0" encoding="utf-8"?>
<sst xmlns="http://schemas.openxmlformats.org/spreadsheetml/2006/main" count="578" uniqueCount="340">
  <si>
    <t>SKU：R0001EU                     ASIN：AXXX</t>
  </si>
  <si>
    <t>关键词</t>
  </si>
  <si>
    <t>上架销售时间：</t>
  </si>
  <si>
    <t>推广周期：</t>
  </si>
  <si>
    <t>4月20日-6月31日</t>
  </si>
  <si>
    <t>关键词翻译</t>
  </si>
  <si>
    <t>流量占比</t>
  </si>
  <si>
    <t>预估周曝光量</t>
  </si>
  <si>
    <t>关键词类型</t>
  </si>
  <si>
    <t>转化效果自然流量占比</t>
  </si>
  <si>
    <t>排名目标：</t>
  </si>
  <si>
    <t>X   #50</t>
  </si>
  <si>
    <t>主要流量词</t>
  </si>
  <si>
    <t>目标销量：</t>
  </si>
  <si>
    <t>25-50pcs/天</t>
  </si>
  <si>
    <t>目标管理</t>
  </si>
  <si>
    <t>目标</t>
  </si>
  <si>
    <t>ASIN 1</t>
  </si>
  <si>
    <t>对标竞品</t>
  </si>
  <si>
    <t>B0DXXX</t>
  </si>
  <si>
    <t>精准长尾词</t>
  </si>
  <si>
    <t>目标排名</t>
  </si>
  <si>
    <t>21-24</t>
  </si>
  <si>
    <t>目标日销</t>
  </si>
  <si>
    <t xml:space="preserve"> 10-15 日销</t>
  </si>
  <si>
    <t>价格</t>
  </si>
  <si>
    <t>109-129.99</t>
  </si>
  <si>
    <t>、</t>
  </si>
  <si>
    <t>rating</t>
  </si>
  <si>
    <t>评分</t>
  </si>
  <si>
    <t>主推词</t>
  </si>
  <si>
    <t>广泛</t>
  </si>
  <si>
    <t>词组</t>
  </si>
  <si>
    <t>精准</t>
  </si>
  <si>
    <t>核心关键词 选取，</t>
  </si>
  <si>
    <t>长尾词 选取</t>
  </si>
  <si>
    <t>蓝海词</t>
  </si>
  <si>
    <t>WEEK</t>
  </si>
  <si>
    <t>Date</t>
  </si>
  <si>
    <t>SKU</t>
  </si>
  <si>
    <t>售价</t>
  </si>
  <si>
    <t>COUPON</t>
  </si>
  <si>
    <t>Action</t>
  </si>
  <si>
    <t>目标平均日销</t>
  </si>
  <si>
    <t>周销</t>
  </si>
  <si>
    <t>Review星级/数量</t>
  </si>
  <si>
    <t>REVIEW计划</t>
  </si>
  <si>
    <t>周消耗库存</t>
  </si>
  <si>
    <t>销售额</t>
  </si>
  <si>
    <t>日均流量</t>
  </si>
  <si>
    <t>转化率</t>
  </si>
  <si>
    <t>主关键词自然搜索排名</t>
  </si>
  <si>
    <t>广告计划</t>
  </si>
  <si>
    <t>库存计划</t>
  </si>
  <si>
    <t>送出数量</t>
  </si>
  <si>
    <t>措施</t>
  </si>
  <si>
    <t>广告日预算</t>
  </si>
  <si>
    <t>每日点击</t>
  </si>
  <si>
    <t>CPC</t>
  </si>
  <si>
    <t>CVR</t>
  </si>
  <si>
    <t>广告日订单</t>
  </si>
  <si>
    <t>广告订单占比</t>
  </si>
  <si>
    <t>LBS库存</t>
  </si>
  <si>
    <t>SZ</t>
  </si>
  <si>
    <t>LBS在途</t>
  </si>
  <si>
    <t>LBS发货</t>
  </si>
  <si>
    <t>采购计划</t>
  </si>
  <si>
    <t>WEEK1</t>
  </si>
  <si>
    <t>4.18-4.25</t>
  </si>
  <si>
    <t>R0001EU</t>
  </si>
  <si>
    <t>10 coupon+广告</t>
  </si>
  <si>
    <t>首单测评1单5星</t>
  </si>
  <si>
    <t>直评 10个</t>
  </si>
  <si>
    <t>主推关键词：111r,222
目标：第5页</t>
  </si>
  <si>
    <t>2490海运</t>
  </si>
  <si>
    <t>WEEK2</t>
  </si>
  <si>
    <t>4.26-5.2</t>
  </si>
  <si>
    <t>coupon+广告</t>
  </si>
  <si>
    <t>绿标10个</t>
  </si>
  <si>
    <t>直评补 3-5个</t>
  </si>
  <si>
    <t>主推关键词：1122
目标：第4页</t>
  </si>
  <si>
    <t>WEEK3</t>
  </si>
  <si>
    <t>5.3-5.9</t>
  </si>
  <si>
    <t>主推关键词：1122
目标：第3页</t>
  </si>
  <si>
    <t>1310卡派</t>
  </si>
  <si>
    <t>720至TT
600至RUI备用</t>
  </si>
  <si>
    <t>WEEK4</t>
  </si>
  <si>
    <t>5.10-5.16</t>
  </si>
  <si>
    <t>10 coupon+7DD+加大广告投放</t>
  </si>
  <si>
    <t>WEEK5</t>
  </si>
  <si>
    <t>5.17-5.23</t>
  </si>
  <si>
    <t>主推关键词：1122
目标：第2页</t>
  </si>
  <si>
    <t>WEEK6</t>
  </si>
  <si>
    <t>5.24-5.30</t>
  </si>
  <si>
    <t xml:space="preserve">900至TT
</t>
  </si>
  <si>
    <t>WEEK7</t>
  </si>
  <si>
    <t>5.31-6.6</t>
  </si>
  <si>
    <t>7DD+加大广告投放</t>
  </si>
  <si>
    <t>1980(PD)</t>
  </si>
  <si>
    <t>WEEK8</t>
  </si>
  <si>
    <t>6.7-6.13</t>
  </si>
  <si>
    <t>主推关键词：1122
目标：第1页</t>
  </si>
  <si>
    <t>900至TT</t>
  </si>
  <si>
    <t>WEEK9</t>
  </si>
  <si>
    <t>6.14-6.20</t>
  </si>
  <si>
    <t>1500卡派</t>
  </si>
  <si>
    <t>WEEK10</t>
  </si>
  <si>
    <t>6.21-6.27</t>
  </si>
  <si>
    <t>680至TT</t>
  </si>
  <si>
    <t>WEEK11</t>
  </si>
  <si>
    <t>6.28-7.4</t>
  </si>
  <si>
    <t>WEEK12</t>
  </si>
  <si>
    <t>7.5-7.11</t>
  </si>
  <si>
    <t>1980卡派</t>
  </si>
  <si>
    <t>切换到RUI卖</t>
  </si>
  <si>
    <t>WEEK13</t>
  </si>
  <si>
    <t>7.12-7.18</t>
  </si>
  <si>
    <t>WEEK14</t>
  </si>
  <si>
    <t>7.19-7.25</t>
  </si>
  <si>
    <t>WEEK15</t>
  </si>
  <si>
    <t>7.26--8.2</t>
  </si>
  <si>
    <t>WEEK16</t>
  </si>
  <si>
    <t>8.3-8.9</t>
  </si>
  <si>
    <t>WEEK17</t>
  </si>
  <si>
    <t>8.10-8.16</t>
  </si>
  <si>
    <t>WEEK18</t>
  </si>
  <si>
    <t>8.17-8.23</t>
  </si>
  <si>
    <t>WEEK19</t>
  </si>
  <si>
    <t>8.24-8.30</t>
  </si>
  <si>
    <t>WEEK20</t>
  </si>
  <si>
    <t>WEEK21</t>
  </si>
  <si>
    <t>WEEK22</t>
  </si>
  <si>
    <t>WEEK23</t>
  </si>
  <si>
    <t>WEEK24</t>
  </si>
  <si>
    <t>WEEK25</t>
  </si>
  <si>
    <r>
      <rPr>
        <b/>
        <i/>
        <sz val="11"/>
        <color rgb="FFFF0000"/>
        <rFont val="等线"/>
        <charset val="134"/>
      </rPr>
      <t>预估量说明：</t>
    </r>
    <r>
      <rPr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平均cpc和转化率的值的预估方法：</t>
    </r>
    <r>
      <rPr>
        <sz val="11"/>
        <color rgb="FF000000"/>
        <rFont val="等线"/>
        <charset val="134"/>
      </rPr>
      <t xml:space="preserve">
1.市场调研得到同行平均cpc的基础上适当上调；
2.正在做的同品类商品的历史cpc基础上适当上调；
</t>
    </r>
    <r>
      <rPr>
        <b/>
        <sz val="11"/>
        <color rgb="FF000000"/>
        <rFont val="等线"/>
        <charset val="134"/>
      </rPr>
      <t>平均cpc和转化率计划制定的说明：</t>
    </r>
    <r>
      <rPr>
        <sz val="11"/>
        <color rgb="FF000000"/>
        <rFont val="等线"/>
        <charset val="134"/>
      </rPr>
      <t xml:space="preserve">
新品期间波动大，采用梯度预估
eg:当cpc为2.5$,转化率为5%的时候，完成日销目标对应的广告费为105$/天；
当cpc为2.3$.转化率为7%的时候，完成日销目标对应的广告费为69$/天</t>
    </r>
  </si>
  <si>
    <t>广告销量</t>
  </si>
  <si>
    <t>广告销售额</t>
  </si>
  <si>
    <t>广告费</t>
  </si>
  <si>
    <t>点击量</t>
  </si>
  <si>
    <t>预估量</t>
  </si>
  <si>
    <t>广告结构</t>
  </si>
  <si>
    <t>广告目标及关注指标</t>
  </si>
  <si>
    <t>广告关键词</t>
  </si>
  <si>
    <t>不同广告类型预算分配</t>
  </si>
  <si>
    <t>平均cpc</t>
  </si>
  <si>
    <t>广告转化率</t>
  </si>
  <si>
    <t xml:space="preserve">
4.28-5.6</t>
  </si>
  <si>
    <t>campaign1：自动广告
campaign2：手动广告测试组B
campaign3：SD-categories
campaign4：PT
campaign5：手动广告核心关键词E</t>
  </si>
  <si>
    <r>
      <rPr>
        <sz val="11"/>
        <color rgb="FF000000"/>
        <rFont val="等线"/>
        <charset val="134"/>
      </rPr>
      <t xml:space="preserve">有效流量引入
</t>
    </r>
    <r>
      <rPr>
        <b/>
        <sz val="9"/>
        <color rgb="FF000000"/>
        <rFont val="等线"/>
        <charset val="134"/>
      </rPr>
      <t>点击率；转化率；订单量</t>
    </r>
  </si>
  <si>
    <t xml:space="preserve">
5.7-5.13</t>
  </si>
  <si>
    <t>campaign1：自动广告
campaign2：手动广告测试组B
campaign3：SD-categories
campaign4：PT
campaign5：手动广告核心关键词E
campaign6：SBV-PT / SBV-KT</t>
  </si>
  <si>
    <t>SP:70%
SD:15%
SB:15%</t>
  </si>
  <si>
    <t xml:space="preserve">
5.14-5.20</t>
  </si>
  <si>
    <t xml:space="preserve">
5.21-5.27</t>
  </si>
  <si>
    <t xml:space="preserve">
5.28-6.3</t>
  </si>
  <si>
    <t>campaign1：自动广告
campaign2：手动广告主推词BP
campaign3：SD-categories
campaign4：PT
campaign5：手动广告核心关键词E
campaign6：SBV-PT / SBV-KT</t>
  </si>
  <si>
    <r>
      <rPr>
        <sz val="11"/>
        <color rgb="FF000000"/>
        <rFont val="等线"/>
        <charset val="134"/>
      </rPr>
      <t xml:space="preserve">推动销售
</t>
    </r>
    <r>
      <rPr>
        <b/>
        <sz val="9"/>
        <color rgb="FF000000"/>
        <rFont val="等线"/>
        <charset val="134"/>
      </rPr>
      <t>点击率；转化率；订单量；Acos</t>
    </r>
  </si>
  <si>
    <t>6.4-6.10</t>
  </si>
  <si>
    <t>6.11-6.17</t>
  </si>
  <si>
    <t>6.18-6.24</t>
  </si>
  <si>
    <t>6.25-7.1</t>
  </si>
  <si>
    <t>7.2-7.8</t>
  </si>
  <si>
    <t>7.9-7.15</t>
  </si>
  <si>
    <t>7.16-7.22</t>
  </si>
  <si>
    <t>campaign1：自动广告
campaign2：手动广告主推词PE
campaign3：SD-categories
campaign4：PT
campaign5：手动广告核心关键词E
campaign6：SBV-PT / SBV-KT</t>
  </si>
  <si>
    <r>
      <rPr>
        <sz val="11"/>
        <color rgb="FF000000"/>
        <rFont val="等线"/>
        <charset val="134"/>
      </rPr>
      <t xml:space="preserve">防守&amp;进攻
</t>
    </r>
    <r>
      <rPr>
        <b/>
        <sz val="9"/>
        <color rgb="FF000000"/>
        <rFont val="等线"/>
        <charset val="134"/>
      </rPr>
      <t>转化率；订单量；Acos/Roas</t>
    </r>
  </si>
  <si>
    <t>SP:60%
SD:20%
SB:20%</t>
  </si>
  <si>
    <t>7.23-7.31</t>
  </si>
  <si>
    <t>细分项</t>
  </si>
  <si>
    <t>4月</t>
  </si>
  <si>
    <t>5月</t>
  </si>
  <si>
    <t>6月</t>
  </si>
  <si>
    <t>达标后每月销售</t>
  </si>
  <si>
    <t>状态</t>
  </si>
  <si>
    <t>Asin</t>
  </si>
  <si>
    <t>Model#</t>
  </si>
  <si>
    <t>国家</t>
  </si>
  <si>
    <t>佣金比例</t>
  </si>
  <si>
    <t>RMA比例</t>
  </si>
  <si>
    <t>广告费占比</t>
  </si>
  <si>
    <r>
      <rPr>
        <b/>
        <sz val="10"/>
        <color rgb="FFFF0000"/>
        <rFont val="Calibri"/>
        <charset val="134"/>
      </rPr>
      <t>MC/</t>
    </r>
    <r>
      <rPr>
        <b/>
        <sz val="10"/>
        <color rgb="FFFF0000"/>
        <rFont val="宋体"/>
        <charset val="134"/>
      </rPr>
      <t>个</t>
    </r>
  </si>
  <si>
    <r>
      <rPr>
        <b/>
        <sz val="10"/>
        <color rgb="FFFF0000"/>
        <rFont val="Calibri"/>
        <charset val="134"/>
      </rPr>
      <t>FBA</t>
    </r>
    <r>
      <rPr>
        <b/>
        <sz val="10"/>
        <color rgb="FFFF0000"/>
        <rFont val="宋体"/>
        <charset val="134"/>
      </rPr>
      <t>配送费</t>
    </r>
  </si>
  <si>
    <r>
      <rPr>
        <b/>
        <sz val="10"/>
        <color rgb="FF000000"/>
        <rFont val="宋体"/>
        <charset val="134"/>
      </rPr>
      <t>退换货分摊</t>
    </r>
    <r>
      <rPr>
        <b/>
        <sz val="10"/>
        <color rgb="FF000000"/>
        <rFont val="Calibri"/>
        <charset val="134"/>
      </rPr>
      <t xml:space="preserve">
/</t>
    </r>
    <r>
      <rPr>
        <b/>
        <sz val="10"/>
        <color rgb="FF000000"/>
        <rFont val="宋体"/>
        <charset val="134"/>
      </rPr>
      <t>个</t>
    </r>
  </si>
  <si>
    <t>VAT</t>
  </si>
  <si>
    <t>待办操作</t>
  </si>
  <si>
    <t>月销量</t>
  </si>
  <si>
    <t>销售总额</t>
  </si>
  <si>
    <t>MC</t>
  </si>
  <si>
    <t>佣金</t>
  </si>
  <si>
    <t>配送费</t>
  </si>
  <si>
    <r>
      <rPr>
        <b/>
        <sz val="10"/>
        <color rgb="FF000000"/>
        <rFont val="Calibri"/>
        <charset val="134"/>
      </rPr>
      <t>RMA</t>
    </r>
    <r>
      <rPr>
        <b/>
        <sz val="10"/>
        <color rgb="FF000000"/>
        <rFont val="宋体"/>
        <charset val="134"/>
      </rPr>
      <t>扣减</t>
    </r>
  </si>
  <si>
    <t>促销费</t>
  </si>
  <si>
    <t>成本总计</t>
  </si>
  <si>
    <t>回款额
UK</t>
  </si>
  <si>
    <t>回款率</t>
  </si>
  <si>
    <r>
      <rPr>
        <b/>
        <sz val="10"/>
        <color rgb="FF000000"/>
        <rFont val="宋体"/>
        <charset val="134"/>
      </rPr>
      <t xml:space="preserve">净毛利 </t>
    </r>
    <r>
      <rPr>
        <b/>
        <sz val="10"/>
        <color rgb="FF000000"/>
        <rFont val="宋体"/>
        <charset val="134"/>
      </rPr>
      <t>US</t>
    </r>
  </si>
  <si>
    <t>净毛利率</t>
  </si>
  <si>
    <t>操作</t>
  </si>
  <si>
    <t xml:space="preserve">VAT
</t>
  </si>
  <si>
    <r>
      <rPr>
        <b/>
        <sz val="10"/>
        <color rgb="FF000000"/>
        <rFont val="宋体"/>
        <charset val="134"/>
      </rPr>
      <t>回款额
U</t>
    </r>
    <r>
      <rPr>
        <b/>
        <sz val="10"/>
        <color rgb="FF000000"/>
        <rFont val="宋体"/>
        <charset val="134"/>
      </rPr>
      <t>S</t>
    </r>
  </si>
  <si>
    <t>净毛利 US</t>
  </si>
  <si>
    <t>产品成本</t>
  </si>
  <si>
    <t>回款额
EU</t>
  </si>
  <si>
    <t>净毛利 EU</t>
  </si>
  <si>
    <t>卡航</t>
  </si>
  <si>
    <t>B0XXX</t>
  </si>
  <si>
    <t>DE</t>
  </si>
  <si>
    <t>铁路</t>
  </si>
  <si>
    <t>海运</t>
  </si>
  <si>
    <t>空运</t>
  </si>
  <si>
    <t>价格利润测算</t>
  </si>
  <si>
    <t>Model</t>
  </si>
  <si>
    <t>Price</t>
  </si>
  <si>
    <t>All cost</t>
  </si>
  <si>
    <t>Profit</t>
  </si>
  <si>
    <t>Profit%</t>
  </si>
  <si>
    <t>退货均摊</t>
  </si>
  <si>
    <t>VAT税率</t>
  </si>
  <si>
    <t>佣金率</t>
  </si>
  <si>
    <t>退货率</t>
  </si>
  <si>
    <t>折扣% off</t>
  </si>
  <si>
    <t>底价</t>
  </si>
  <si>
    <t>ROI测算</t>
  </si>
  <si>
    <t>月份</t>
  </si>
  <si>
    <t>总销售额</t>
  </si>
  <si>
    <t>累计净毛利</t>
  </si>
  <si>
    <t>3月</t>
  </si>
  <si>
    <t>7月</t>
  </si>
  <si>
    <t>8月</t>
  </si>
  <si>
    <t>9月</t>
  </si>
  <si>
    <t>10月</t>
  </si>
  <si>
    <t>11月</t>
  </si>
  <si>
    <t>12月</t>
  </si>
  <si>
    <t>采购单</t>
  </si>
  <si>
    <t>中仓</t>
  </si>
  <si>
    <t>FBA调拨</t>
  </si>
  <si>
    <t>采购单类型</t>
  </si>
  <si>
    <t>下采购购单日期</t>
  </si>
  <si>
    <t>采购数量</t>
  </si>
  <si>
    <t>入中仓时间</t>
  </si>
  <si>
    <t>入仓数量</t>
  </si>
  <si>
    <t>是否备安全库存</t>
  </si>
  <si>
    <t>安全库存数量</t>
  </si>
  <si>
    <t>调拨时间</t>
  </si>
  <si>
    <t>物流方式</t>
  </si>
  <si>
    <t>调拨数量</t>
  </si>
  <si>
    <t>调拨账号</t>
  </si>
  <si>
    <t>首单</t>
  </si>
  <si>
    <t>2021.12.7</t>
  </si>
  <si>
    <t>2022.1.16</t>
  </si>
  <si>
    <t>是</t>
  </si>
  <si>
    <t>2022.1.19</t>
  </si>
  <si>
    <t>LBS</t>
  </si>
  <si>
    <t>2022.2.11</t>
  </si>
  <si>
    <t>空派</t>
  </si>
  <si>
    <t>TT</t>
  </si>
  <si>
    <t>2022.3.18</t>
  </si>
  <si>
    <t>卡派</t>
  </si>
  <si>
    <t>翻单1</t>
  </si>
  <si>
    <t>2022.3.22</t>
  </si>
  <si>
    <t>2022.4.22</t>
  </si>
  <si>
    <t>否</t>
  </si>
  <si>
    <t>2022.4.23</t>
  </si>
  <si>
    <t>翻单2</t>
  </si>
  <si>
    <t>2022.4.12</t>
  </si>
  <si>
    <t>2022.5.12</t>
  </si>
  <si>
    <t>2022.5.13</t>
  </si>
  <si>
    <t>翻单3</t>
  </si>
  <si>
    <t>2022.4.28</t>
  </si>
  <si>
    <t>2022.5.28</t>
  </si>
  <si>
    <t>2022.5.29</t>
  </si>
  <si>
    <t>翻单4</t>
  </si>
  <si>
    <t>2022.5.19</t>
  </si>
  <si>
    <t>2022.7.1</t>
  </si>
  <si>
    <t>2022.7.2</t>
  </si>
  <si>
    <t>采购交期30-45天，翻单1，2，3由于时间关系需要催单30天交付，若无法提前交付时间，则需提前下单或走部分空运</t>
  </si>
  <si>
    <t>FBA详细备货见推广计划</t>
  </si>
  <si>
    <t>安全库存</t>
  </si>
  <si>
    <t>1. 备货数量较保守，可能会有销量上涨，此部分库存用来避免断货</t>
  </si>
  <si>
    <t>2. 防止主要销售账号出现异常时，其他账号无货可售的情况</t>
  </si>
  <si>
    <t>3. 安全库存遵循先进先出原则</t>
  </si>
  <si>
    <t>图片</t>
  </si>
  <si>
    <t>ASIN</t>
  </si>
  <si>
    <t>详细参数</t>
  </si>
  <si>
    <t>品牌</t>
  </si>
  <si>
    <t>品牌链接</t>
  </si>
  <si>
    <t>商品标题</t>
  </si>
  <si>
    <t>标题(翻译)</t>
  </si>
  <si>
    <t>产品卖点</t>
  </si>
  <si>
    <t>产品卖点(翻译)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</si>
  <si>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</si>
  <si>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</si>
  <si>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</si>
  <si>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</si>
  <si>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</si>
  <si>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</si>
  <si>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</si>
  <si>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</si>
  <si>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</si>
  <si>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</si>
  <si>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</si>
  <si>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</si>
  <si>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</si>
  <si>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</si>
  <si>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</si>
  <si>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</si>
  <si>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</si>
  <si>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</si>
  <si>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</si>
  <si>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</si>
  <si>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
评分数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</si>
  <si>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</si>
  <si>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</si>
  <si>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</si>
  <si>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</si>
  <si>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</si>
  <si>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</si>
  <si>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</si>
  <si>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</si>
  <si>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</si>
  <si>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</si>
  <si>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</si>
  <si>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</si>
  <si>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</si>
  <si>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</si>
  <si>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</si>
  <si>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</si>
  <si>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</si>
  <si>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</si>
  <si>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</si>
  <si>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</si>
  <si>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</si>
  <si>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</si>
  <si>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</si>
  <si>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</si>
  <si>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</si>
  <si>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</si>
  <si>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>包装重量</t>
  </si>
  <si>
    <t>包装体积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</si>
</sst>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);[Red]\(0.00\)"/>
    <numFmt numFmtId="178" formatCode="0_);[Red]\(0\)"/>
    <numFmt numFmtId="179" formatCode="0_);\(0\)"/>
    <numFmt numFmtId="180" formatCode="0_ "/>
    <numFmt numFmtId="181" formatCode="0.0%"/>
    <numFmt numFmtId="182" formatCode="0.00_ "/>
    <numFmt numFmtId="183" formatCode="#,##0_ "/>
  </numFmts>
  <fonts count="61">
    <font>
      <sz val="9"/>
      <name val="等线"/>
      <charset val="64"/>
    </font>
    <font>
      <sz val="9"/>
      <name val="等线"/>
      <charset val="134"/>
    </font>
    <font>
      <sz val="11"/>
      <color rgb="FFFEFEFE"/>
      <name val="等线"/>
      <charset val="134"/>
    </font>
    <font>
      <u/>
      <sz val="11"/>
      <color rgb="FF0066CC"/>
      <name val="等线"/>
      <charset val="134"/>
    </font>
    <font>
      <sz val="11"/>
      <name val="等线"/>
      <charset val="134"/>
    </font>
    <font>
      <sz val="11"/>
      <name val="宋体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8"/>
      <name val="微软雅黑"/>
      <charset val="134"/>
    </font>
    <font>
      <sz val="18"/>
      <color rgb="FFFF0000"/>
      <name val="微软雅黑"/>
      <charset val="134"/>
    </font>
    <font>
      <sz val="11"/>
      <color rgb="FFFF0000"/>
      <name val="等线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b/>
      <sz val="12"/>
      <color rgb="FFFF0000"/>
      <name val="宋体"/>
      <charset val="134"/>
    </font>
    <font>
      <b/>
      <sz val="12"/>
      <color rgb="FFFF0000"/>
      <name val="Calibri"/>
      <charset val="134"/>
    </font>
    <font>
      <sz val="12"/>
      <name val="宋体"/>
      <charset val="134"/>
    </font>
    <font>
      <sz val="12"/>
      <name val="Calibri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name val="微软雅黑"/>
      <charset val="134"/>
    </font>
    <font>
      <sz val="9"/>
      <name val="微软雅黑"/>
      <charset val="134"/>
    </font>
    <font>
      <b/>
      <sz val="11"/>
      <color rgb="FFFF0000"/>
      <name val="微软雅黑"/>
      <charset val="134"/>
    </font>
    <font>
      <b/>
      <i/>
      <sz val="11"/>
      <color rgb="FFFF0000"/>
      <name val="等线"/>
      <charset val="134"/>
    </font>
    <font>
      <b/>
      <sz val="10"/>
      <name val="微软雅黑"/>
      <charset val="134"/>
    </font>
    <font>
      <b/>
      <sz val="11"/>
      <name val="等线"/>
      <charset val="134"/>
    </font>
    <font>
      <b/>
      <sz val="10"/>
      <color rgb="FFFF0000"/>
      <name val="微软雅黑"/>
      <charset val="134"/>
    </font>
    <font>
      <b/>
      <i/>
      <sz val="11"/>
      <name val="等线"/>
      <charset val="134"/>
    </font>
    <font>
      <i/>
      <sz val="11"/>
      <name val="等线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9"/>
      <color rgb="FFFF0000"/>
      <name val="微软雅黑"/>
      <charset val="134"/>
    </font>
    <font>
      <b/>
      <sz val="11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0"/>
      <color rgb="FF000000"/>
      <name val="宋体"/>
      <charset val="134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b/>
      <sz val="10"/>
      <color rgb="FFFF0000"/>
      <name val="宋体"/>
      <charset val="134"/>
    </font>
    <font>
      <b/>
      <sz val="9"/>
      <color rgb="FF000000"/>
      <name val="等线"/>
      <charset val="134"/>
    </font>
    <font>
      <b/>
      <sz val="9"/>
      <color rgb="FF000000"/>
      <name val="宋体"/>
      <charset val="0"/>
      <scheme val="minor"/>
    </font>
    <font>
      <sz val="9"/>
      <color rgb="FF0000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medium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medium">
        <color rgb="FF2B2B2B"/>
      </top>
      <bottom style="thin">
        <color rgb="FF2B2B2B"/>
      </bottom>
      <diagonal/>
    </border>
    <border>
      <left style="medium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medium">
        <color rgb="FF2B2B2B"/>
      </left>
      <right style="thin">
        <color rgb="FF2B2B2B"/>
      </right>
      <top style="thin">
        <color rgb="FF2B2B2B"/>
      </top>
      <bottom style="medium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medium">
        <color rgb="FF2B2B2B"/>
      </bottom>
      <diagonal/>
    </border>
    <border>
      <left style="medium">
        <color rgb="FF2B2B2B"/>
      </left>
      <right style="thin">
        <color rgb="FF2B2B2B"/>
      </right>
      <top style="medium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medium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/>
      <bottom style="medium">
        <color rgb="FF2B2B2B"/>
      </bottom>
      <diagonal/>
    </border>
    <border>
      <left style="thin">
        <color rgb="FF2B2B2B"/>
      </left>
      <right style="medium">
        <color rgb="FF2B2B2B"/>
      </right>
      <top/>
      <bottom style="thin">
        <color rgb="FF2B2B2B"/>
      </bottom>
      <diagonal/>
    </border>
    <border>
      <left style="medium">
        <color rgb="FF2B2B2B"/>
      </left>
      <right style="medium">
        <color rgb="FF2B2B2B"/>
      </right>
      <top/>
      <bottom/>
      <diagonal/>
    </border>
    <border>
      <left style="thin">
        <color rgb="FF2B2B2B"/>
      </left>
      <right style="medium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medium">
        <color rgb="FF2B2B2B"/>
      </right>
      <top style="thin">
        <color rgb="FF2B2B2B"/>
      </top>
      <bottom style="medium">
        <color rgb="FF2B2B2B"/>
      </bottom>
      <diagonal/>
    </border>
    <border>
      <left style="thin">
        <color rgb="FF2B2B2B"/>
      </left>
      <right style="medium">
        <color rgb="FF2B2B2B"/>
      </right>
      <top style="medium">
        <color rgb="FF2B2B2B"/>
      </top>
      <bottom style="thin">
        <color rgb="FF2B2B2B"/>
      </bottom>
      <diagonal/>
    </border>
    <border>
      <left style="medium">
        <color rgb="FF2B2B2B"/>
      </left>
      <right style="medium">
        <color rgb="FF2B2B2B"/>
      </right>
      <top/>
      <bottom style="medium">
        <color rgb="FF2B2B2B"/>
      </bottom>
      <diagonal/>
    </border>
    <border>
      <left style="medium">
        <color rgb="FF2B2B2B"/>
      </left>
      <right style="medium">
        <color rgb="FF2B2B2B"/>
      </right>
      <top style="medium">
        <color rgb="FF2B2B2B"/>
      </top>
      <bottom/>
      <diagonal/>
    </border>
    <border>
      <left style="medium">
        <color rgb="FF2B2B2B"/>
      </left>
      <right style="medium">
        <color rgb="FF2B2B2B"/>
      </right>
      <top style="thin">
        <color rgb="FF2B2B2B"/>
      </top>
      <bottom style="thin">
        <color rgb="FF2B2B2B"/>
      </bottom>
      <diagonal/>
    </border>
    <border>
      <left style="medium">
        <color rgb="FF2B2B2B"/>
      </left>
      <right style="medium">
        <color rgb="FF2B2B2B"/>
      </right>
      <top style="thin">
        <color rgb="FF2B2B2B"/>
      </top>
      <bottom style="medium">
        <color rgb="FF2B2B2B"/>
      </bottom>
      <diagonal/>
    </border>
    <border>
      <left style="medium">
        <color rgb="FF2B2B2B"/>
      </left>
      <right style="medium">
        <color rgb="FF2B2B2B"/>
      </right>
      <top style="medium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4" borderId="27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0" borderId="2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5" borderId="30" applyNumberFormat="0" applyAlignment="0" applyProtection="0">
      <alignment vertical="center"/>
    </xf>
    <xf numFmtId="0" fontId="42" fillId="16" borderId="31" applyNumberFormat="0" applyAlignment="0" applyProtection="0">
      <alignment vertical="center"/>
    </xf>
    <xf numFmtId="0" fontId="43" fillId="16" borderId="30" applyNumberFormat="0" applyAlignment="0" applyProtection="0">
      <alignment vertical="center"/>
    </xf>
    <xf numFmtId="0" fontId="44" fillId="17" borderId="32" applyNumberFormat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46" fillId="0" borderId="34" applyNumberFormat="0" applyFill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</cellStyleXfs>
  <cellXfs count="26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38" fontId="4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right" vertical="center" wrapText="1"/>
    </xf>
    <xf numFmtId="0" fontId="4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/>
    <xf numFmtId="0" fontId="6" fillId="4" borderId="0" xfId="0" applyFont="1" applyFill="1" applyAlignment="1"/>
    <xf numFmtId="0" fontId="6" fillId="5" borderId="0" xfId="0" applyFont="1" applyFill="1" applyAlignment="1"/>
    <xf numFmtId="0" fontId="6" fillId="5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7" fillId="0" borderId="0" xfId="0" applyFont="1" applyAlignment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/>
    <xf numFmtId="176" fontId="8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10" fillId="0" borderId="0" xfId="0" applyFont="1" applyAlignment="1">
      <alignment horizontal="left" vertical="top"/>
    </xf>
    <xf numFmtId="0" fontId="6" fillId="5" borderId="0" xfId="0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10" fontId="14" fillId="6" borderId="2" xfId="0" applyNumberFormat="1" applyFont="1" applyFill="1" applyBorder="1" applyAlignment="1">
      <alignment horizontal="center" vertical="center" wrapText="1"/>
    </xf>
    <xf numFmtId="10" fontId="13" fillId="6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9" fontId="16" fillId="0" borderId="2" xfId="0" applyNumberFormat="1" applyFont="1" applyBorder="1" applyAlignment="1">
      <alignment vertical="center" wrapText="1"/>
    </xf>
    <xf numFmtId="9" fontId="16" fillId="0" borderId="2" xfId="0" applyNumberFormat="1" applyFont="1" applyBorder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 wrapText="1"/>
    </xf>
    <xf numFmtId="0" fontId="16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center" vertical="center"/>
    </xf>
    <xf numFmtId="9" fontId="16" fillId="7" borderId="0" xfId="0" applyNumberFormat="1" applyFont="1" applyFill="1" applyAlignment="1">
      <alignment vertical="center" wrapText="1"/>
    </xf>
    <xf numFmtId="9" fontId="16" fillId="7" borderId="0" xfId="0" applyNumberFormat="1" applyFont="1" applyFill="1" applyAlignment="1">
      <alignment horizontal="center" vertical="center" wrapText="1"/>
    </xf>
    <xf numFmtId="2" fontId="16" fillId="7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9" fontId="16" fillId="0" borderId="0" xfId="0" applyNumberFormat="1" applyFont="1" applyAlignment="1">
      <alignment vertical="center" wrapText="1"/>
    </xf>
    <xf numFmtId="9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19" fillId="3" borderId="2" xfId="0" applyFont="1" applyFill="1" applyBorder="1" applyAlignment="1">
      <alignment horizontal="left" vertical="center" wrapText="1"/>
    </xf>
    <xf numFmtId="10" fontId="19" fillId="3" borderId="2" xfId="0" applyNumberFormat="1" applyFont="1" applyFill="1" applyBorder="1" applyAlignment="1">
      <alignment horizontal="left" vertical="center" wrapText="1"/>
    </xf>
    <xf numFmtId="177" fontId="19" fillId="3" borderId="2" xfId="0" applyNumberFormat="1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177" fontId="17" fillId="3" borderId="2" xfId="0" applyNumberFormat="1" applyFont="1" applyFill="1" applyBorder="1" applyAlignment="1">
      <alignment horizontal="left" vertical="center"/>
    </xf>
    <xf numFmtId="177" fontId="21" fillId="3" borderId="2" xfId="0" applyNumberFormat="1" applyFont="1" applyFill="1" applyBorder="1" applyAlignment="1">
      <alignment horizontal="left" vertical="center"/>
    </xf>
    <xf numFmtId="10" fontId="17" fillId="3" borderId="2" xfId="0" applyNumberFormat="1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7" fontId="17" fillId="3" borderId="0" xfId="0" applyNumberFormat="1" applyFont="1" applyFill="1" applyAlignment="1">
      <alignment horizontal="left" vertical="center"/>
    </xf>
    <xf numFmtId="177" fontId="21" fillId="3" borderId="0" xfId="0" applyNumberFormat="1" applyFont="1" applyFill="1" applyAlignment="1">
      <alignment horizontal="left" vertical="center"/>
    </xf>
    <xf numFmtId="10" fontId="17" fillId="3" borderId="0" xfId="0" applyNumberFormat="1" applyFont="1" applyFill="1" applyAlignment="1">
      <alignment horizontal="left" vertical="center" wrapText="1"/>
    </xf>
    <xf numFmtId="0" fontId="4" fillId="0" borderId="0" xfId="0" applyFont="1" applyAlignment="1"/>
    <xf numFmtId="0" fontId="20" fillId="6" borderId="2" xfId="0" applyFont="1" applyFill="1" applyBorder="1" applyAlignment="1">
      <alignment horizontal="center" vertical="center"/>
    </xf>
    <xf numFmtId="177" fontId="11" fillId="8" borderId="2" xfId="0" applyNumberFormat="1" applyFont="1" applyFill="1" applyBorder="1" applyAlignment="1">
      <alignment horizontal="center" vertical="center" wrapText="1"/>
    </xf>
    <xf numFmtId="178" fontId="11" fillId="8" borderId="2" xfId="0" applyNumberFormat="1" applyFont="1" applyFill="1" applyBorder="1" applyAlignment="1">
      <alignment horizontal="center" vertical="center" wrapText="1"/>
    </xf>
    <xf numFmtId="177" fontId="12" fillId="8" borderId="2" xfId="0" applyNumberFormat="1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178" fontId="20" fillId="9" borderId="2" xfId="0" applyNumberFormat="1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78" fontId="12" fillId="8" borderId="5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177" fontId="13" fillId="8" borderId="2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>
      <alignment horizontal="center" vertical="center" wrapText="1"/>
    </xf>
    <xf numFmtId="177" fontId="16" fillId="3" borderId="2" xfId="0" applyNumberFormat="1" applyFont="1" applyFill="1" applyBorder="1" applyAlignment="1">
      <alignment horizontal="center" vertical="center" wrapText="1"/>
    </xf>
    <xf numFmtId="178" fontId="16" fillId="3" borderId="2" xfId="0" applyNumberFormat="1" applyFont="1" applyFill="1" applyBorder="1" applyAlignment="1">
      <alignment horizontal="center" vertical="center" wrapText="1"/>
    </xf>
    <xf numFmtId="178" fontId="16" fillId="0" borderId="2" xfId="0" applyNumberFormat="1" applyFont="1" applyBorder="1" applyAlignment="1">
      <alignment horizontal="center" vertical="center" wrapText="1"/>
    </xf>
    <xf numFmtId="177" fontId="16" fillId="0" borderId="2" xfId="0" applyNumberFormat="1" applyFont="1" applyBorder="1" applyAlignment="1">
      <alignment horizontal="center" vertical="center" wrapText="1"/>
    </xf>
    <xf numFmtId="2" fontId="15" fillId="7" borderId="0" xfId="0" applyNumberFormat="1" applyFont="1" applyFill="1" applyAlignment="1">
      <alignment horizontal="center" vertical="center" wrapText="1"/>
    </xf>
    <xf numFmtId="177" fontId="16" fillId="7" borderId="0" xfId="0" applyNumberFormat="1" applyFont="1" applyFill="1" applyAlignment="1">
      <alignment horizontal="center" vertical="center" wrapText="1"/>
    </xf>
    <xf numFmtId="178" fontId="16" fillId="7" borderId="0" xfId="0" applyNumberFormat="1" applyFont="1" applyFill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177" fontId="16" fillId="0" borderId="0" xfId="0" applyNumberFormat="1" applyFont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9" fontId="17" fillId="3" borderId="2" xfId="0" applyNumberFormat="1" applyFont="1" applyFill="1" applyBorder="1" applyAlignment="1">
      <alignment horizontal="left" vertical="center"/>
    </xf>
    <xf numFmtId="10" fontId="17" fillId="3" borderId="2" xfId="0" applyNumberFormat="1" applyFont="1" applyFill="1" applyBorder="1" applyAlignment="1">
      <alignment horizontal="left" vertical="center"/>
    </xf>
    <xf numFmtId="9" fontId="17" fillId="3" borderId="0" xfId="0" applyNumberFormat="1" applyFont="1" applyFill="1" applyAlignment="1">
      <alignment horizontal="left" vertical="center"/>
    </xf>
    <xf numFmtId="10" fontId="17" fillId="3" borderId="0" xfId="0" applyNumberFormat="1" applyFont="1" applyFill="1" applyAlignment="1">
      <alignment horizontal="left" vertical="center"/>
    </xf>
    <xf numFmtId="177" fontId="11" fillId="8" borderId="5" xfId="0" applyNumberFormat="1" applyFont="1" applyFill="1" applyBorder="1" applyAlignment="1">
      <alignment horizontal="center" vertical="center" wrapText="1"/>
    </xf>
    <xf numFmtId="1" fontId="20" fillId="9" borderId="2" xfId="0" applyNumberFormat="1" applyFont="1" applyFill="1" applyBorder="1" applyAlignment="1">
      <alignment horizontal="left" vertical="center"/>
    </xf>
    <xf numFmtId="177" fontId="20" fillId="9" borderId="2" xfId="0" applyNumberFormat="1" applyFont="1" applyFill="1" applyBorder="1" applyAlignment="1">
      <alignment horizontal="left" vertical="center"/>
    </xf>
    <xf numFmtId="9" fontId="20" fillId="9" borderId="2" xfId="0" applyNumberFormat="1" applyFont="1" applyFill="1" applyBorder="1" applyAlignment="1">
      <alignment horizontal="left" vertical="center"/>
    </xf>
    <xf numFmtId="9" fontId="20" fillId="9" borderId="6" xfId="0" applyNumberFormat="1" applyFont="1" applyFill="1" applyBorder="1" applyAlignment="1">
      <alignment horizontal="left" vertical="center"/>
    </xf>
    <xf numFmtId="177" fontId="12" fillId="8" borderId="5" xfId="0" applyNumberFormat="1" applyFont="1" applyFill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178" fontId="4" fillId="0" borderId="2" xfId="0" applyNumberFormat="1" applyFont="1" applyBorder="1" applyAlignment="1"/>
    <xf numFmtId="178" fontId="20" fillId="0" borderId="0" xfId="0" applyNumberFormat="1" applyFont="1" applyAlignment="1">
      <alignment horizontal="left" vertical="center"/>
    </xf>
    <xf numFmtId="178" fontId="4" fillId="0" borderId="0" xfId="0" applyNumberFormat="1" applyFont="1" applyAlignment="1"/>
    <xf numFmtId="0" fontId="20" fillId="0" borderId="0" xfId="0" applyFont="1" applyAlignment="1">
      <alignment horizontal="left" vertical="center"/>
    </xf>
    <xf numFmtId="177" fontId="11" fillId="7" borderId="6" xfId="0" applyNumberFormat="1" applyFont="1" applyFill="1" applyBorder="1" applyAlignment="1">
      <alignment horizontal="center" vertical="center" wrapText="1"/>
    </xf>
    <xf numFmtId="177" fontId="12" fillId="7" borderId="5" xfId="0" applyNumberFormat="1" applyFont="1" applyFill="1" applyBorder="1" applyAlignment="1">
      <alignment horizontal="center" vertical="center" wrapText="1"/>
    </xf>
    <xf numFmtId="177" fontId="12" fillId="7" borderId="5" xfId="0" applyNumberFormat="1" applyFont="1" applyFill="1" applyBorder="1" applyAlignment="1">
      <alignment vertical="center" wrapText="1"/>
    </xf>
    <xf numFmtId="177" fontId="11" fillId="7" borderId="2" xfId="0" applyNumberFormat="1" applyFont="1" applyFill="1" applyBorder="1" applyAlignment="1">
      <alignment horizontal="center" vertical="center" wrapText="1"/>
    </xf>
    <xf numFmtId="177" fontId="12" fillId="7" borderId="2" xfId="0" applyNumberFormat="1" applyFont="1" applyFill="1" applyBorder="1" applyAlignment="1">
      <alignment horizontal="center" vertical="center" wrapText="1"/>
    </xf>
    <xf numFmtId="177" fontId="11" fillId="6" borderId="6" xfId="0" applyNumberFormat="1" applyFont="1" applyFill="1" applyBorder="1" applyAlignment="1">
      <alignment horizontal="center" vertical="center" wrapText="1"/>
    </xf>
    <xf numFmtId="177" fontId="12" fillId="6" borderId="5" xfId="0" applyNumberFormat="1" applyFont="1" applyFill="1" applyBorder="1" applyAlignment="1">
      <alignment horizontal="center" vertical="center" wrapText="1"/>
    </xf>
    <xf numFmtId="177" fontId="12" fillId="6" borderId="5" xfId="0" applyNumberFormat="1" applyFont="1" applyFill="1" applyBorder="1" applyAlignment="1">
      <alignment vertical="center" wrapText="1"/>
    </xf>
    <xf numFmtId="177" fontId="11" fillId="6" borderId="2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 wrapText="1"/>
    </xf>
    <xf numFmtId="177" fontId="12" fillId="6" borderId="2" xfId="0" applyNumberFormat="1" applyFont="1" applyFill="1" applyBorder="1" applyAlignment="1">
      <alignment horizontal="center" vertical="center" wrapText="1"/>
    </xf>
    <xf numFmtId="177" fontId="11" fillId="10" borderId="6" xfId="0" applyNumberFormat="1" applyFont="1" applyFill="1" applyBorder="1" applyAlignment="1">
      <alignment horizontal="center" vertical="center" wrapText="1"/>
    </xf>
    <xf numFmtId="177" fontId="12" fillId="10" borderId="5" xfId="0" applyNumberFormat="1" applyFont="1" applyFill="1" applyBorder="1" applyAlignment="1">
      <alignment horizontal="center" vertical="center" wrapText="1"/>
    </xf>
    <xf numFmtId="177" fontId="12" fillId="10" borderId="5" xfId="0" applyNumberFormat="1" applyFont="1" applyFill="1" applyBorder="1" applyAlignment="1">
      <alignment vertical="center" wrapText="1"/>
    </xf>
    <xf numFmtId="177" fontId="11" fillId="10" borderId="2" xfId="0" applyNumberFormat="1" applyFont="1" applyFill="1" applyBorder="1" applyAlignment="1">
      <alignment horizontal="center" vertical="center" wrapText="1"/>
    </xf>
    <xf numFmtId="177" fontId="12" fillId="10" borderId="2" xfId="0" applyNumberFormat="1" applyFont="1" applyFill="1" applyBorder="1" applyAlignment="1">
      <alignment horizontal="center" vertical="center" wrapText="1"/>
    </xf>
    <xf numFmtId="179" fontId="16" fillId="0" borderId="2" xfId="0" applyNumberFormat="1" applyFont="1" applyBorder="1" applyAlignment="1">
      <alignment horizontal="center" vertical="center" wrapText="1"/>
    </xf>
    <xf numFmtId="0" fontId="22" fillId="9" borderId="0" xfId="0" applyFont="1" applyFill="1" applyAlignment="1">
      <alignment horizontal="left" vertical="top" wrapText="1"/>
    </xf>
    <xf numFmtId="0" fontId="4" fillId="9" borderId="0" xfId="0" applyFont="1" applyFill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23" fillId="11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9" fontId="20" fillId="0" borderId="9" xfId="0" applyNumberFormat="1" applyFont="1" applyBorder="1" applyAlignment="1">
      <alignment horizontal="center" vertical="center" wrapText="1"/>
    </xf>
    <xf numFmtId="1" fontId="20" fillId="0" borderId="9" xfId="0" applyNumberFormat="1" applyFont="1" applyBorder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9" fontId="20" fillId="0" borderId="2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9" fontId="20" fillId="0" borderId="12" xfId="0" applyNumberFormat="1" applyFont="1" applyBorder="1" applyAlignment="1">
      <alignment horizontal="center" vertical="center" wrapText="1"/>
    </xf>
    <xf numFmtId="1" fontId="20" fillId="0" borderId="12" xfId="0" applyNumberFormat="1" applyFont="1" applyBorder="1" applyAlignment="1">
      <alignment horizontal="center" vertical="center" wrapText="1"/>
    </xf>
    <xf numFmtId="180" fontId="4" fillId="0" borderId="12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180" fontId="4" fillId="0" borderId="9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80" fontId="23" fillId="9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180" fontId="23" fillId="9" borderId="7" xfId="0" applyNumberFormat="1" applyFont="1" applyFill="1" applyBorder="1" applyAlignment="1">
      <alignment horizontal="center" vertical="center" wrapText="1"/>
    </xf>
    <xf numFmtId="0" fontId="26" fillId="9" borderId="7" xfId="0" applyFont="1" applyFill="1" applyBorder="1" applyAlignment="1">
      <alignment horizontal="center" vertical="center" wrapText="1"/>
    </xf>
    <xf numFmtId="181" fontId="26" fillId="9" borderId="7" xfId="0" applyNumberFormat="1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82" fontId="4" fillId="0" borderId="3" xfId="0" applyNumberFormat="1" applyFont="1" applyBorder="1" applyAlignment="1"/>
    <xf numFmtId="180" fontId="4" fillId="0" borderId="3" xfId="0" applyNumberFormat="1" applyFont="1" applyBorder="1" applyAlignment="1"/>
    <xf numFmtId="0" fontId="27" fillId="9" borderId="9" xfId="0" applyFont="1" applyFill="1" applyBorder="1" applyAlignment="1"/>
    <xf numFmtId="181" fontId="27" fillId="9" borderId="9" xfId="0" applyNumberFormat="1" applyFont="1" applyFill="1" applyBorder="1" applyAlignment="1"/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182" fontId="4" fillId="0" borderId="2" xfId="0" applyNumberFormat="1" applyFont="1" applyBorder="1" applyAlignment="1"/>
    <xf numFmtId="180" fontId="4" fillId="0" borderId="2" xfId="0" applyNumberFormat="1" applyFont="1" applyBorder="1" applyAlignment="1"/>
    <xf numFmtId="0" fontId="4" fillId="0" borderId="19" xfId="0" applyFont="1" applyBorder="1" applyAlignment="1">
      <alignment horizontal="left" vertical="center" wrapText="1"/>
    </xf>
    <xf numFmtId="182" fontId="4" fillId="0" borderId="12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182" fontId="4" fillId="0" borderId="12" xfId="0" applyNumberFormat="1" applyFont="1" applyBorder="1" applyAlignment="1"/>
    <xf numFmtId="180" fontId="4" fillId="0" borderId="12" xfId="0" applyNumberFormat="1" applyFont="1" applyBorder="1" applyAlignment="1"/>
    <xf numFmtId="0" fontId="4" fillId="0" borderId="20" xfId="0" applyFont="1" applyBorder="1" applyAlignment="1">
      <alignment horizontal="left" vertical="center" wrapText="1"/>
    </xf>
    <xf numFmtId="182" fontId="4" fillId="0" borderId="9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182" fontId="4" fillId="0" borderId="9" xfId="0" applyNumberFormat="1" applyFont="1" applyBorder="1" applyAlignment="1"/>
    <xf numFmtId="180" fontId="4" fillId="0" borderId="9" xfId="0" applyNumberFormat="1" applyFont="1" applyBorder="1" applyAlignment="1"/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4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/>
    </xf>
    <xf numFmtId="10" fontId="28" fillId="2" borderId="0" xfId="0" applyNumberFormat="1" applyFont="1" applyFill="1" applyAlignment="1">
      <alignment horizontal="center" vertical="center"/>
    </xf>
    <xf numFmtId="183" fontId="28" fillId="2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10" fontId="29" fillId="0" borderId="0" xfId="0" applyNumberFormat="1" applyFont="1" applyAlignment="1">
      <alignment horizontal="right" vertical="center"/>
    </xf>
    <xf numFmtId="183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right" vertical="center"/>
    </xf>
    <xf numFmtId="0" fontId="4" fillId="0" borderId="25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25" fillId="11" borderId="7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5" fillId="11" borderId="3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180" fontId="20" fillId="0" borderId="2" xfId="0" applyNumberFormat="1" applyFont="1" applyBorder="1" applyAlignment="1">
      <alignment vertical="center" wrapText="1"/>
    </xf>
    <xf numFmtId="180" fontId="2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9" fontId="20" fillId="0" borderId="2" xfId="0" applyNumberFormat="1" applyFont="1" applyBorder="1" applyAlignment="1">
      <alignment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/>
    </xf>
    <xf numFmtId="9" fontId="20" fillId="0" borderId="7" xfId="0" applyNumberFormat="1" applyFont="1" applyBorder="1" applyAlignment="1">
      <alignment vertical="center" wrapText="1"/>
    </xf>
    <xf numFmtId="0" fontId="30" fillId="0" borderId="7" xfId="0" applyFont="1" applyBorder="1" applyAlignment="1">
      <alignment vertical="center" wrapText="1"/>
    </xf>
    <xf numFmtId="180" fontId="20" fillId="0" borderId="7" xfId="0" applyNumberFormat="1" applyFont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3" fillId="11" borderId="15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1" fontId="20" fillId="0" borderId="7" xfId="0" applyNumberFormat="1" applyFont="1" applyBorder="1" applyAlignment="1">
      <alignment horizontal="center" vertical="center" wrapText="1"/>
    </xf>
    <xf numFmtId="9" fontId="20" fillId="0" borderId="7" xfId="0" applyNumberFormat="1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 wrapText="1"/>
    </xf>
    <xf numFmtId="10" fontId="25" fillId="11" borderId="2" xfId="0" applyNumberFormat="1" applyFont="1" applyFill="1" applyBorder="1" applyAlignment="1">
      <alignment horizontal="center" vertical="center" wrapText="1"/>
    </xf>
    <xf numFmtId="9" fontId="25" fillId="11" borderId="2" xfId="0" applyNumberFormat="1" applyFont="1" applyFill="1" applyBorder="1" applyAlignment="1">
      <alignment horizontal="center" vertical="center" wrapText="1"/>
    </xf>
    <xf numFmtId="177" fontId="20" fillId="0" borderId="2" xfId="0" applyNumberFormat="1" applyFont="1" applyBorder="1" applyAlignment="1">
      <alignment horizontal="center" vertical="center" wrapText="1"/>
    </xf>
    <xf numFmtId="10" fontId="20" fillId="0" borderId="2" xfId="0" applyNumberFormat="1" applyFont="1" applyBorder="1" applyAlignment="1">
      <alignment horizontal="center" vertical="center" wrapText="1"/>
    </xf>
    <xf numFmtId="9" fontId="4" fillId="0" borderId="2" xfId="0" applyNumberFormat="1" applyFont="1" applyBorder="1">
      <alignment vertical="center"/>
    </xf>
    <xf numFmtId="177" fontId="20" fillId="0" borderId="7" xfId="0" applyNumberFormat="1" applyFont="1" applyBorder="1" applyAlignment="1">
      <alignment horizontal="center" vertical="center" wrapText="1"/>
    </xf>
    <xf numFmtId="10" fontId="20" fillId="0" borderId="7" xfId="0" applyNumberFormat="1" applyFont="1" applyBorder="1" applyAlignment="1">
      <alignment horizontal="center" vertical="center" wrapText="1"/>
    </xf>
    <xf numFmtId="9" fontId="4" fillId="0" borderId="7" xfId="0" applyNumberFormat="1" applyFont="1" applyBorder="1">
      <alignment vertical="center"/>
    </xf>
    <xf numFmtId="0" fontId="25" fillId="11" borderId="1" xfId="0" applyFont="1" applyFill="1" applyBorder="1" applyAlignment="1">
      <alignment horizontal="center" vertical="center" wrapText="1"/>
    </xf>
    <xf numFmtId="0" fontId="24" fillId="12" borderId="0" xfId="0" applyFont="1" applyFill="1" applyAlignment="1">
      <alignment horizontal="left"/>
    </xf>
    <xf numFmtId="0" fontId="1" fillId="0" borderId="0" xfId="0" applyFont="1" applyAlignment="1"/>
    <xf numFmtId="0" fontId="24" fillId="0" borderId="0" xfId="0" applyFont="1" applyAlignment="1"/>
    <xf numFmtId="31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24" fillId="13" borderId="2" xfId="0" applyFont="1" applyFill="1" applyBorder="1" applyAlignment="1">
      <alignment horizontal="left" vertical="center"/>
    </xf>
    <xf numFmtId="0" fontId="24" fillId="1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5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24" fillId="1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/>
    <xf numFmtId="0" fontId="1" fillId="0" borderId="0" xfId="0" applyFont="1" applyAlignment="1">
      <alignment horizontal="center"/>
    </xf>
    <xf numFmtId="0" fontId="4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"/>
  <sheetViews>
    <sheetView tabSelected="1" workbookViewId="0">
      <selection activeCell="A78" sqref="$A39:$XFD78"/>
    </sheetView>
  </sheetViews>
  <sheetFormatPr defaultColWidth="17" defaultRowHeight="11.4"/>
  <cols>
    <col min="1" max="1" width="24.8541666666667" customWidth="1"/>
    <col min="2" max="2" width="52.5625" customWidth="1"/>
    <col min="3" max="3" width="20.4166666666667" customWidth="1"/>
    <col min="4" max="4" width="21.625" customWidth="1"/>
    <col min="5" max="5" width="14.9791666666667" customWidth="1"/>
    <col min="6" max="6" width="10.125" customWidth="1"/>
    <col min="7" max="8" width="14.9791666666667" customWidth="1"/>
    <col min="9" max="9" width="31.25" customWidth="1"/>
    <col min="10" max="18" width="14.9791666666667" customWidth="1"/>
  </cols>
  <sheetData>
    <row r="1" ht="13.8" spans="1:18">
      <c r="A1" s="246" t="s">
        <v>0</v>
      </c>
      <c r="B1" s="246"/>
      <c r="C1" s="246"/>
      <c r="D1" s="246"/>
      <c r="E1" s="246"/>
      <c r="G1" s="247"/>
      <c r="H1" s="247"/>
      <c r="I1" s="261" t="s">
        <v>1</v>
      </c>
      <c r="O1" s="247"/>
      <c r="P1" s="247"/>
      <c r="Q1" s="247"/>
      <c r="R1" s="247"/>
    </row>
    <row r="2" spans="7:18">
      <c r="G2" s="247"/>
      <c r="H2" s="247"/>
      <c r="O2" s="247"/>
      <c r="P2" s="247"/>
      <c r="Q2" s="247"/>
      <c r="R2" s="247"/>
    </row>
    <row r="3" ht="21.65" customHeight="1" spans="1:18">
      <c r="A3" s="248" t="s">
        <v>2</v>
      </c>
      <c r="B3" s="249">
        <v>45765</v>
      </c>
      <c r="D3" s="1"/>
      <c r="E3" s="1"/>
      <c r="G3" s="247"/>
      <c r="H3" s="247"/>
      <c r="O3" s="247"/>
      <c r="P3" s="247"/>
      <c r="Q3" s="247"/>
      <c r="R3" s="247"/>
    </row>
    <row r="4" ht="21.65" customHeight="1" spans="1:18">
      <c r="A4" s="248" t="s">
        <v>3</v>
      </c>
      <c r="B4" s="250" t="s">
        <v>4</v>
      </c>
      <c r="G4" s="247"/>
      <c r="H4" s="247"/>
      <c r="I4" s="203" t="s">
        <v>1</v>
      </c>
      <c r="J4" s="203" t="s">
        <v>5</v>
      </c>
      <c r="K4" s="204" t="s">
        <v>6</v>
      </c>
      <c r="L4" s="205" t="s">
        <v>7</v>
      </c>
      <c r="M4" s="203" t="s">
        <v>8</v>
      </c>
      <c r="N4" s="203" t="s">
        <v>9</v>
      </c>
      <c r="O4" s="247"/>
      <c r="P4" s="247"/>
      <c r="Q4" s="247"/>
      <c r="R4" s="247"/>
    </row>
    <row r="5" ht="21.65" customHeight="1" spans="1:18">
      <c r="A5" s="248" t="s">
        <v>10</v>
      </c>
      <c r="B5" s="250" t="s">
        <v>11</v>
      </c>
      <c r="G5" s="247"/>
      <c r="H5" s="247"/>
      <c r="I5" s="206"/>
      <c r="J5" s="206"/>
      <c r="K5" s="207">
        <v>0.497508</v>
      </c>
      <c r="L5" s="208">
        <v>13984</v>
      </c>
      <c r="M5" s="209" t="s">
        <v>12</v>
      </c>
      <c r="N5" s="210">
        <v>0.3471</v>
      </c>
      <c r="O5" s="247"/>
      <c r="P5" s="247"/>
      <c r="Q5" s="247"/>
      <c r="R5" s="247"/>
    </row>
    <row r="6" ht="21.65" customHeight="1" spans="1:18">
      <c r="A6" s="248" t="s">
        <v>13</v>
      </c>
      <c r="B6" s="250" t="s">
        <v>14</v>
      </c>
      <c r="G6" s="247"/>
      <c r="H6" s="247"/>
      <c r="I6" s="206"/>
      <c r="J6" s="206"/>
      <c r="K6" s="207">
        <v>0.294441</v>
      </c>
      <c r="L6" s="208">
        <v>8276</v>
      </c>
      <c r="M6" s="209" t="s">
        <v>12</v>
      </c>
      <c r="N6" s="210">
        <v>0.41862</v>
      </c>
      <c r="O6" s="247"/>
      <c r="P6" s="247"/>
      <c r="Q6" s="247"/>
      <c r="R6" s="247"/>
    </row>
    <row r="7" ht="13.2" spans="7:18">
      <c r="G7" s="247"/>
      <c r="H7" s="247"/>
      <c r="I7" s="206"/>
      <c r="J7" s="206"/>
      <c r="K7" s="207">
        <v>0.059295</v>
      </c>
      <c r="L7" s="208">
        <v>1667</v>
      </c>
      <c r="M7" s="209"/>
      <c r="N7" s="210">
        <v>0.61722</v>
      </c>
      <c r="O7" s="247"/>
      <c r="P7" s="247"/>
      <c r="Q7" s="247"/>
      <c r="R7" s="247"/>
    </row>
    <row r="8" ht="13.2" spans="7:18">
      <c r="G8" s="247"/>
      <c r="H8" s="247"/>
      <c r="I8" s="206"/>
      <c r="J8" s="206"/>
      <c r="K8" s="207">
        <v>0.047246</v>
      </c>
      <c r="L8" s="208">
        <v>1328</v>
      </c>
      <c r="M8" s="209"/>
      <c r="N8" s="210">
        <v>0.80955</v>
      </c>
      <c r="O8" s="247"/>
      <c r="P8" s="247"/>
      <c r="Q8" s="247"/>
      <c r="R8" s="247"/>
    </row>
    <row r="9" ht="13.2" spans="7:18">
      <c r="G9" s="247"/>
      <c r="H9" s="247"/>
      <c r="I9" s="206"/>
      <c r="J9" s="206"/>
      <c r="K9" s="207">
        <v>0.02472</v>
      </c>
      <c r="L9" s="208">
        <v>695</v>
      </c>
      <c r="M9" s="209"/>
      <c r="N9" s="210">
        <v>0.46301</v>
      </c>
      <c r="O9" s="247"/>
      <c r="P9" s="247"/>
      <c r="Q9" s="247"/>
      <c r="R9" s="247"/>
    </row>
    <row r="10" ht="13.8" spans="1:18">
      <c r="A10" s="251" t="s">
        <v>15</v>
      </c>
      <c r="B10" s="251" t="s">
        <v>16</v>
      </c>
      <c r="C10" s="251" t="s">
        <v>17</v>
      </c>
      <c r="G10" s="247"/>
      <c r="H10" s="247"/>
      <c r="I10" s="206"/>
      <c r="J10" s="206"/>
      <c r="K10" s="207">
        <v>0.019301</v>
      </c>
      <c r="L10" s="208">
        <v>543</v>
      </c>
      <c r="M10" s="209"/>
      <c r="N10" s="210">
        <v>0.06106</v>
      </c>
      <c r="O10" s="247"/>
      <c r="P10" s="247"/>
      <c r="Q10" s="247"/>
      <c r="R10" s="247"/>
    </row>
    <row r="11" ht="13.8" spans="1:18">
      <c r="A11" s="252" t="s">
        <v>18</v>
      </c>
      <c r="B11" s="253" t="s">
        <v>19</v>
      </c>
      <c r="C11" s="253" t="s">
        <v>19</v>
      </c>
      <c r="G11" s="247"/>
      <c r="H11" s="247"/>
      <c r="I11" s="206"/>
      <c r="J11" s="206"/>
      <c r="K11" s="207">
        <v>0.017954</v>
      </c>
      <c r="L11" s="208">
        <v>505</v>
      </c>
      <c r="M11" s="209" t="s">
        <v>20</v>
      </c>
      <c r="N11" s="210">
        <v>0.50632</v>
      </c>
      <c r="O11" s="247"/>
      <c r="P11" s="247"/>
      <c r="Q11" s="247"/>
      <c r="R11" s="247"/>
    </row>
    <row r="12" ht="13.8" spans="1:18">
      <c r="A12" s="252" t="s">
        <v>21</v>
      </c>
      <c r="B12" s="253" t="s">
        <v>22</v>
      </c>
      <c r="C12" s="253"/>
      <c r="G12" s="247"/>
      <c r="H12" s="247"/>
      <c r="I12" s="206"/>
      <c r="J12" s="206"/>
      <c r="K12" s="207">
        <v>0.008428</v>
      </c>
      <c r="L12" s="208">
        <v>237</v>
      </c>
      <c r="M12" s="209"/>
      <c r="N12" s="210">
        <v>0.28778</v>
      </c>
      <c r="O12" s="247"/>
      <c r="P12" s="247"/>
      <c r="Q12" s="247"/>
      <c r="R12" s="247"/>
    </row>
    <row r="13" ht="13.8" spans="1:18">
      <c r="A13" s="252" t="s">
        <v>23</v>
      </c>
      <c r="B13" s="254" t="s">
        <v>24</v>
      </c>
      <c r="C13" s="253"/>
      <c r="G13" s="247"/>
      <c r="H13" s="247"/>
      <c r="I13" s="206"/>
      <c r="J13" s="206"/>
      <c r="K13" s="207">
        <v>0.007424</v>
      </c>
      <c r="L13" s="208">
        <v>209</v>
      </c>
      <c r="M13" s="209"/>
      <c r="N13" s="209">
        <v>15</v>
      </c>
      <c r="O13" s="247"/>
      <c r="P13" s="247"/>
      <c r="Q13" s="247"/>
      <c r="R13" s="247"/>
    </row>
    <row r="14" ht="13.8" spans="1:18">
      <c r="A14" s="252" t="s">
        <v>25</v>
      </c>
      <c r="B14" s="253" t="s">
        <v>26</v>
      </c>
      <c r="C14" s="253"/>
      <c r="G14" s="247"/>
      <c r="H14" s="247"/>
      <c r="I14" s="206"/>
      <c r="J14" s="206"/>
      <c r="K14" s="207">
        <v>0.002209</v>
      </c>
      <c r="L14" s="208">
        <v>62</v>
      </c>
      <c r="M14" s="209" t="s">
        <v>27</v>
      </c>
      <c r="N14" s="209">
        <v>16</v>
      </c>
      <c r="O14" s="247"/>
      <c r="P14" s="247"/>
      <c r="Q14" s="247"/>
      <c r="R14" s="247"/>
    </row>
    <row r="15" ht="13.8" spans="1:18">
      <c r="A15" s="252" t="s">
        <v>28</v>
      </c>
      <c r="B15" s="253">
        <v>136</v>
      </c>
      <c r="C15" s="253"/>
      <c r="G15" s="247"/>
      <c r="H15" s="247"/>
      <c r="I15" s="206"/>
      <c r="J15" s="206"/>
      <c r="K15" s="207">
        <v>0.001316</v>
      </c>
      <c r="L15" s="208">
        <v>37</v>
      </c>
      <c r="M15" s="209" t="s">
        <v>27</v>
      </c>
      <c r="N15" s="209">
        <v>6</v>
      </c>
      <c r="O15" s="247"/>
      <c r="P15" s="247"/>
      <c r="Q15" s="247"/>
      <c r="R15" s="247"/>
    </row>
    <row r="16" ht="13.8" spans="1:18">
      <c r="A16" s="252" t="s">
        <v>29</v>
      </c>
      <c r="B16" s="253">
        <v>4.7</v>
      </c>
      <c r="C16" s="253"/>
      <c r="G16" s="247"/>
      <c r="H16" s="247"/>
      <c r="O16" s="247"/>
      <c r="P16" s="247"/>
      <c r="Q16" s="247"/>
      <c r="R16" s="247"/>
    </row>
    <row r="17" ht="13.8" spans="1:18">
      <c r="A17" s="252" t="s">
        <v>30</v>
      </c>
      <c r="B17" s="255">
        <v>222</v>
      </c>
      <c r="C17" s="255"/>
      <c r="G17" s="247"/>
      <c r="H17" s="247"/>
      <c r="O17" s="247"/>
      <c r="P17" s="247"/>
      <c r="Q17" s="247"/>
      <c r="R17" s="247"/>
    </row>
    <row r="18" ht="13.8" spans="1:18">
      <c r="A18" s="256"/>
      <c r="B18" s="257"/>
      <c r="C18" s="257"/>
      <c r="G18" s="247"/>
      <c r="H18" s="247"/>
      <c r="O18" s="247"/>
      <c r="P18" s="247"/>
      <c r="Q18" s="247"/>
      <c r="R18" s="247"/>
    </row>
    <row r="19" ht="13.8" spans="1:18">
      <c r="A19" s="256"/>
      <c r="G19" s="247"/>
      <c r="H19" s="247"/>
      <c r="O19" s="247"/>
      <c r="P19" s="247"/>
      <c r="Q19" s="247"/>
      <c r="R19" s="247"/>
    </row>
    <row r="20" ht="13.8" spans="2:18">
      <c r="B20" s="257"/>
      <c r="C20" s="257"/>
      <c r="D20" s="258" t="s">
        <v>31</v>
      </c>
      <c r="E20" s="258" t="s">
        <v>32</v>
      </c>
      <c r="F20" s="258" t="s">
        <v>33</v>
      </c>
      <c r="G20" s="247"/>
      <c r="H20" s="247"/>
      <c r="O20" s="247"/>
      <c r="P20" s="247"/>
      <c r="Q20" s="247"/>
      <c r="R20" s="247"/>
    </row>
    <row r="21" ht="13.8" spans="1:18">
      <c r="A21" s="247" t="s">
        <v>34</v>
      </c>
      <c r="B21" s="247"/>
      <c r="C21" s="247"/>
      <c r="D21" s="258">
        <v>1.33</v>
      </c>
      <c r="E21" s="258">
        <v>1.2</v>
      </c>
      <c r="F21" s="258">
        <v>1.23</v>
      </c>
      <c r="G21" s="247"/>
      <c r="H21" s="247"/>
      <c r="O21" s="247"/>
      <c r="P21" s="247"/>
      <c r="Q21" s="247"/>
      <c r="R21" s="247"/>
    </row>
    <row r="22" ht="13.8" spans="2:18">
      <c r="B22" s="247"/>
      <c r="C22" s="247"/>
      <c r="D22" s="258">
        <v>1.39</v>
      </c>
      <c r="E22" s="258">
        <v>1.24</v>
      </c>
      <c r="F22" s="258">
        <v>1.29</v>
      </c>
      <c r="G22" s="247"/>
      <c r="H22" s="247"/>
      <c r="O22" s="247"/>
      <c r="P22" s="247"/>
      <c r="Q22" s="247"/>
      <c r="R22" s="247"/>
    </row>
    <row r="23" ht="13.8" spans="2:18">
      <c r="B23" s="247"/>
      <c r="C23" s="247"/>
      <c r="D23" s="258">
        <v>1.33</v>
      </c>
      <c r="E23" s="258">
        <v>1.2</v>
      </c>
      <c r="F23" s="258">
        <v>1.21</v>
      </c>
      <c r="G23" s="247"/>
      <c r="H23" s="247"/>
      <c r="O23" s="247"/>
      <c r="P23" s="247"/>
      <c r="Q23" s="247"/>
      <c r="R23" s="247"/>
    </row>
    <row r="24" ht="13.8" spans="2:18">
      <c r="B24" s="247"/>
      <c r="C24" s="247"/>
      <c r="D24" s="258">
        <v>1.36</v>
      </c>
      <c r="E24" s="258">
        <v>1.22</v>
      </c>
      <c r="F24" s="258">
        <v>1.28</v>
      </c>
      <c r="G24" s="247"/>
      <c r="H24" s="247"/>
      <c r="O24" s="247"/>
      <c r="P24" s="247"/>
      <c r="Q24" s="247"/>
      <c r="R24" s="247"/>
    </row>
    <row r="25" ht="13.8" spans="2:18">
      <c r="B25" s="247"/>
      <c r="C25" s="247"/>
      <c r="D25" s="258">
        <v>1.29</v>
      </c>
      <c r="E25" s="258">
        <v>1.16</v>
      </c>
      <c r="F25" s="258">
        <v>1.21</v>
      </c>
      <c r="G25" s="247"/>
      <c r="H25" s="247"/>
      <c r="O25" s="247"/>
      <c r="P25" s="247"/>
      <c r="Q25" s="247"/>
      <c r="R25" s="247"/>
    </row>
    <row r="26" ht="13.8" spans="2:18">
      <c r="B26" s="247"/>
      <c r="C26" s="247"/>
      <c r="D26" s="258">
        <v>1.33</v>
      </c>
      <c r="E26" s="258">
        <v>1.2</v>
      </c>
      <c r="F26" s="258">
        <v>1.23</v>
      </c>
      <c r="G26" s="247"/>
      <c r="H26" s="247"/>
      <c r="O26" s="247"/>
      <c r="P26" s="247"/>
      <c r="Q26" s="247"/>
      <c r="R26" s="247"/>
    </row>
    <row r="27" ht="13.8" spans="2:18">
      <c r="B27" s="247"/>
      <c r="C27" s="247"/>
      <c r="D27" s="258">
        <v>1.47</v>
      </c>
      <c r="E27" s="258">
        <v>1.3</v>
      </c>
      <c r="F27" s="258">
        <v>1.36</v>
      </c>
      <c r="G27" s="247"/>
      <c r="H27" s="247"/>
      <c r="O27" s="247"/>
      <c r="P27" s="247"/>
      <c r="Q27" s="247"/>
      <c r="R27" s="247"/>
    </row>
    <row r="28" ht="13.8" spans="2:18">
      <c r="B28" s="247"/>
      <c r="C28" s="247"/>
      <c r="D28" s="258">
        <v>1.65</v>
      </c>
      <c r="E28" s="258">
        <v>1.33</v>
      </c>
      <c r="F28" s="258">
        <v>2.01</v>
      </c>
      <c r="G28" s="247"/>
      <c r="H28" s="247"/>
      <c r="O28" s="247"/>
      <c r="P28" s="247"/>
      <c r="Q28" s="247"/>
      <c r="R28" s="247"/>
    </row>
    <row r="29" ht="13.8" spans="1:18">
      <c r="A29" s="247" t="s">
        <v>35</v>
      </c>
      <c r="D29" s="258"/>
      <c r="E29" s="258"/>
      <c r="F29" s="258"/>
      <c r="G29" s="247"/>
      <c r="H29" s="247"/>
      <c r="O29" s="247"/>
      <c r="P29" s="247"/>
      <c r="Q29" s="247"/>
      <c r="R29" s="247"/>
    </row>
    <row r="30" ht="13.8" spans="2:18">
      <c r="B30" s="247"/>
      <c r="C30" s="1"/>
      <c r="D30" s="258">
        <v>1.39</v>
      </c>
      <c r="E30" s="258">
        <v>1.2</v>
      </c>
      <c r="F30" s="258">
        <v>1.23</v>
      </c>
      <c r="G30" s="247"/>
      <c r="H30" s="247"/>
      <c r="O30" s="247"/>
      <c r="P30" s="247"/>
      <c r="Q30" s="247"/>
      <c r="R30" s="247"/>
    </row>
    <row r="31" ht="13.8" spans="2:18">
      <c r="B31" s="247"/>
      <c r="C31" s="247"/>
      <c r="D31" s="258">
        <v>0.64</v>
      </c>
      <c r="E31" s="258">
        <v>0.58</v>
      </c>
      <c r="F31" s="258">
        <v>0.63</v>
      </c>
      <c r="G31" s="247"/>
      <c r="H31" s="247"/>
      <c r="O31" s="247"/>
      <c r="P31" s="247"/>
      <c r="Q31" s="247"/>
      <c r="R31" s="247"/>
    </row>
    <row r="32" ht="13.8" spans="2:18">
      <c r="B32" s="247"/>
      <c r="C32" s="247"/>
      <c r="D32" s="258">
        <v>1.29</v>
      </c>
      <c r="E32" s="258">
        <v>1.16</v>
      </c>
      <c r="F32" s="258">
        <v>1.21</v>
      </c>
      <c r="G32" s="247"/>
      <c r="H32" s="247"/>
      <c r="O32" s="247"/>
      <c r="P32" s="247"/>
      <c r="Q32" s="247"/>
      <c r="R32" s="247"/>
    </row>
    <row r="33" ht="13.8" spans="2:18">
      <c r="B33" s="247"/>
      <c r="C33" s="247"/>
      <c r="D33" s="258">
        <v>1.08</v>
      </c>
      <c r="E33" s="258">
        <v>0.97</v>
      </c>
      <c r="F33" s="258">
        <v>1.01</v>
      </c>
      <c r="G33" s="247"/>
      <c r="H33" s="247"/>
      <c r="O33" s="247"/>
      <c r="P33" s="247"/>
      <c r="Q33" s="247"/>
      <c r="R33" s="247"/>
    </row>
    <row r="34" spans="7:18">
      <c r="G34" s="247"/>
      <c r="H34" s="247"/>
      <c r="O34" s="247"/>
      <c r="P34" s="247"/>
      <c r="Q34" s="247"/>
      <c r="R34" s="247"/>
    </row>
    <row r="35" ht="13.8" spans="1:18">
      <c r="A35" s="247" t="s">
        <v>36</v>
      </c>
      <c r="B35" s="247"/>
      <c r="C35" s="259"/>
      <c r="D35" s="260">
        <v>1.01</v>
      </c>
      <c r="E35" s="260">
        <v>0.94</v>
      </c>
      <c r="F35" s="260">
        <v>0.89</v>
      </c>
      <c r="G35" s="247"/>
      <c r="H35" s="247"/>
      <c r="O35" s="247"/>
      <c r="P35" s="247"/>
      <c r="Q35" s="247"/>
      <c r="R35" s="247"/>
    </row>
    <row r="36" spans="7:18">
      <c r="G36" s="247"/>
      <c r="H36" s="247"/>
      <c r="O36" s="247"/>
      <c r="P36" s="247"/>
      <c r="Q36" s="247"/>
      <c r="R36" s="247"/>
    </row>
    <row r="37" spans="7:18">
      <c r="G37" s="247"/>
      <c r="H37" s="247"/>
      <c r="O37" s="247"/>
      <c r="P37" s="247"/>
      <c r="Q37" s="247"/>
      <c r="R37" s="247"/>
    </row>
    <row r="38" spans="7:18">
      <c r="G38" s="247"/>
      <c r="H38" s="247"/>
      <c r="O38" s="247"/>
      <c r="P38" s="247"/>
      <c r="Q38" s="247"/>
      <c r="R38" s="247"/>
    </row>
    <row r="39" ht="12" spans="1:18">
      <c r="A39" s="203" t="s">
        <v>1</v>
      </c>
      <c r="B39" s="203" t="s">
        <v>5</v>
      </c>
      <c r="C39" s="204" t="s">
        <v>6</v>
      </c>
      <c r="D39" s="205" t="s">
        <v>7</v>
      </c>
      <c r="E39" s="203" t="s">
        <v>8</v>
      </c>
      <c r="F39" s="203" t="s">
        <v>9</v>
      </c>
      <c r="G39" s="247"/>
      <c r="H39" s="247"/>
      <c r="O39" s="247"/>
      <c r="P39" s="247"/>
      <c r="Q39" s="247"/>
      <c r="R39" s="247"/>
    </row>
    <row r="40" ht="13.2" spans="1:18">
      <c r="A40" s="206"/>
      <c r="B40" s="206"/>
      <c r="C40" s="207">
        <v>0.497508</v>
      </c>
      <c r="D40" s="208">
        <v>13984</v>
      </c>
      <c r="E40" s="209" t="s">
        <v>12</v>
      </c>
      <c r="F40" s="210">
        <v>0.3471</v>
      </c>
      <c r="G40" s="247"/>
      <c r="H40" s="247"/>
      <c r="O40" s="247"/>
      <c r="P40" s="247"/>
      <c r="Q40" s="247"/>
      <c r="R40" s="247"/>
    </row>
    <row r="41" ht="13.2" spans="1:18">
      <c r="A41" s="206"/>
      <c r="B41" s="206"/>
      <c r="C41" s="207">
        <v>0.294441</v>
      </c>
      <c r="D41" s="208">
        <v>8276</v>
      </c>
      <c r="E41" s="209" t="s">
        <v>12</v>
      </c>
      <c r="F41" s="210">
        <v>0.41862</v>
      </c>
      <c r="G41" s="247"/>
      <c r="H41" s="247"/>
      <c r="O41" s="247"/>
      <c r="P41" s="247"/>
      <c r="Q41" s="247"/>
      <c r="R41" s="247"/>
    </row>
    <row r="42" ht="13.2" spans="1:18">
      <c r="A42" s="206"/>
      <c r="B42" s="206"/>
      <c r="C42" s="207">
        <v>0.059295</v>
      </c>
      <c r="D42" s="208">
        <v>1667</v>
      </c>
      <c r="E42" s="209"/>
      <c r="F42" s="210">
        <v>0.61722</v>
      </c>
      <c r="G42" s="247"/>
      <c r="H42" s="247"/>
      <c r="O42" s="247"/>
      <c r="P42" s="247"/>
      <c r="Q42" s="247"/>
      <c r="R42" s="247"/>
    </row>
    <row r="43" ht="13.2" spans="1:18">
      <c r="A43" s="206"/>
      <c r="B43" s="206"/>
      <c r="C43" s="207">
        <v>0.047246</v>
      </c>
      <c r="D43" s="208">
        <v>1328</v>
      </c>
      <c r="E43" s="209"/>
      <c r="F43" s="210">
        <v>0.80955</v>
      </c>
      <c r="G43" s="247"/>
      <c r="H43" s="247"/>
      <c r="O43" s="247"/>
      <c r="P43" s="247"/>
      <c r="Q43" s="247"/>
      <c r="R43" s="247"/>
    </row>
    <row r="44" ht="13.2" spans="1:18">
      <c r="A44" s="206"/>
      <c r="B44" s="206"/>
      <c r="C44" s="207">
        <v>0.02472</v>
      </c>
      <c r="D44" s="208">
        <v>695</v>
      </c>
      <c r="E44" s="209"/>
      <c r="F44" s="210">
        <v>0.46301</v>
      </c>
      <c r="G44" s="247"/>
      <c r="H44" s="247"/>
      <c r="O44" s="247"/>
      <c r="P44" s="247"/>
      <c r="Q44" s="247"/>
      <c r="R44" s="247"/>
    </row>
    <row r="45" ht="13.2" spans="1:18">
      <c r="A45" s="206"/>
      <c r="B45" s="206"/>
      <c r="C45" s="207">
        <v>0.019301</v>
      </c>
      <c r="D45" s="208">
        <v>543</v>
      </c>
      <c r="E45" s="209"/>
      <c r="F45" s="210">
        <v>0.06106</v>
      </c>
      <c r="G45" s="247"/>
      <c r="H45" s="247"/>
      <c r="O45" s="247"/>
      <c r="P45" s="247"/>
      <c r="Q45" s="247"/>
      <c r="R45" s="247"/>
    </row>
    <row r="46" ht="13.2" spans="1:18">
      <c r="A46" s="206"/>
      <c r="B46" s="206"/>
      <c r="C46" s="207">
        <v>0.017954</v>
      </c>
      <c r="D46" s="208">
        <v>505</v>
      </c>
      <c r="E46" s="209" t="s">
        <v>20</v>
      </c>
      <c r="F46" s="210">
        <v>0.50632</v>
      </c>
      <c r="G46" s="247"/>
      <c r="H46" s="247"/>
      <c r="O46" s="247"/>
      <c r="P46" s="247"/>
      <c r="Q46" s="247"/>
      <c r="R46" s="247"/>
    </row>
    <row r="47" ht="13.2" spans="1:18">
      <c r="A47" s="206"/>
      <c r="B47" s="206"/>
      <c r="C47" s="207">
        <v>0.008428</v>
      </c>
      <c r="D47" s="208">
        <v>237</v>
      </c>
      <c r="E47" s="209"/>
      <c r="F47" s="210">
        <v>0.28778</v>
      </c>
      <c r="G47" s="247"/>
      <c r="H47" s="247"/>
      <c r="O47" s="247"/>
      <c r="P47" s="247"/>
      <c r="Q47" s="247"/>
      <c r="R47" s="247"/>
    </row>
    <row r="48" ht="13.2" spans="1:18">
      <c r="A48" s="206"/>
      <c r="B48" s="206"/>
      <c r="C48" s="207">
        <v>0.007424</v>
      </c>
      <c r="D48" s="208">
        <v>209</v>
      </c>
      <c r="E48" s="209"/>
      <c r="F48" s="209"/>
      <c r="G48" s="247"/>
      <c r="H48" s="247"/>
      <c r="O48" s="247"/>
      <c r="P48" s="247"/>
      <c r="Q48" s="247"/>
      <c r="R48" s="247"/>
    </row>
    <row r="49" ht="13.2" spans="1:18">
      <c r="A49" s="206"/>
      <c r="B49" s="206"/>
      <c r="C49" s="207">
        <v>0.002209</v>
      </c>
      <c r="D49" s="208">
        <v>62</v>
      </c>
      <c r="E49" s="209"/>
      <c r="F49" s="209"/>
      <c r="G49" s="247"/>
      <c r="H49" s="247"/>
      <c r="O49" s="247"/>
      <c r="P49" s="247"/>
      <c r="Q49" s="247"/>
      <c r="R49" s="247"/>
    </row>
    <row r="50" ht="13.2" spans="1:18">
      <c r="A50" s="206"/>
      <c r="B50" s="206"/>
      <c r="C50" s="207">
        <v>0.001316</v>
      </c>
      <c r="D50" s="208">
        <v>37</v>
      </c>
      <c r="E50" s="209"/>
      <c r="F50" s="209"/>
      <c r="G50" s="247"/>
      <c r="H50" s="247"/>
      <c r="O50" s="247"/>
      <c r="P50" s="247"/>
      <c r="Q50" s="247"/>
      <c r="R50" s="247"/>
    </row>
    <row r="51" spans="7:18">
      <c r="G51" s="247"/>
      <c r="H51" s="247"/>
      <c r="O51" s="247"/>
      <c r="P51" s="247"/>
      <c r="Q51" s="247"/>
      <c r="R51" s="247"/>
    </row>
    <row r="52" spans="7:18">
      <c r="G52" s="247"/>
      <c r="H52" s="247"/>
      <c r="O52" s="247"/>
      <c r="P52" s="247"/>
      <c r="Q52" s="247"/>
      <c r="R52" s="247"/>
    </row>
    <row r="53" spans="7:18">
      <c r="G53" s="247"/>
      <c r="H53" s="247"/>
      <c r="O53" s="247"/>
      <c r="P53" s="247"/>
      <c r="Q53" s="247"/>
      <c r="R53" s="247"/>
    </row>
    <row r="54" spans="7:18">
      <c r="G54" s="247"/>
      <c r="H54" s="247"/>
      <c r="O54" s="247"/>
      <c r="P54" s="247"/>
      <c r="Q54" s="247"/>
      <c r="R54" s="247"/>
    </row>
    <row r="55" spans="7:18">
      <c r="G55" s="247"/>
      <c r="H55" s="247"/>
      <c r="O55" s="247"/>
      <c r="P55" s="247"/>
      <c r="Q55" s="247"/>
      <c r="R55" s="247"/>
    </row>
    <row r="56" spans="7:18">
      <c r="G56" s="247"/>
      <c r="H56" s="247"/>
      <c r="O56" s="247"/>
      <c r="P56" s="247"/>
      <c r="Q56" s="247"/>
      <c r="R56" s="247"/>
    </row>
    <row r="57" spans="7:18">
      <c r="G57" s="247"/>
      <c r="H57" s="247"/>
      <c r="O57" s="247"/>
      <c r="P57" s="247"/>
      <c r="Q57" s="247"/>
      <c r="R57" s="247"/>
    </row>
    <row r="58" spans="7:18">
      <c r="G58" s="247"/>
      <c r="H58" s="247"/>
      <c r="O58" s="247"/>
      <c r="P58" s="247"/>
      <c r="Q58" s="247"/>
      <c r="R58" s="247"/>
    </row>
    <row r="59" spans="7:18">
      <c r="G59" s="247"/>
      <c r="H59" s="247"/>
      <c r="O59" s="247"/>
      <c r="P59" s="247"/>
      <c r="Q59" s="247"/>
      <c r="R59" s="247"/>
    </row>
    <row r="60" spans="7:18">
      <c r="G60" s="247"/>
      <c r="H60" s="247"/>
      <c r="O60" s="247"/>
      <c r="P60" s="247"/>
      <c r="Q60" s="247"/>
      <c r="R60" s="247"/>
    </row>
    <row r="61" spans="7:18">
      <c r="G61" s="247"/>
      <c r="H61" s="247"/>
      <c r="O61" s="247"/>
      <c r="P61" s="247"/>
      <c r="Q61" s="247"/>
      <c r="R61" s="247"/>
    </row>
    <row r="62" spans="7:18">
      <c r="G62" s="247"/>
      <c r="H62" s="247"/>
      <c r="O62" s="247"/>
      <c r="P62" s="247"/>
      <c r="Q62" s="247"/>
      <c r="R62" s="247"/>
    </row>
    <row r="63" spans="7:18">
      <c r="G63" s="247"/>
      <c r="H63" s="247"/>
      <c r="O63" s="247"/>
      <c r="P63" s="247"/>
      <c r="Q63" s="247"/>
      <c r="R63" s="247"/>
    </row>
    <row r="64" spans="7:18">
      <c r="G64" s="247"/>
      <c r="H64" s="247"/>
      <c r="O64" s="247"/>
      <c r="P64" s="247"/>
      <c r="Q64" s="247"/>
      <c r="R64" s="247"/>
    </row>
    <row r="65" spans="7:18">
      <c r="G65" s="247"/>
      <c r="H65" s="247"/>
      <c r="O65" s="247"/>
      <c r="P65" s="247"/>
      <c r="Q65" s="247"/>
      <c r="R65" s="247"/>
    </row>
    <row r="66" spans="7:18">
      <c r="G66" s="247"/>
      <c r="H66" s="247"/>
      <c r="O66" s="247"/>
      <c r="P66" s="247"/>
      <c r="Q66" s="247"/>
      <c r="R66" s="247"/>
    </row>
    <row r="67" spans="7:18">
      <c r="G67" s="247"/>
      <c r="H67" s="247"/>
      <c r="O67" s="247"/>
      <c r="P67" s="247"/>
      <c r="Q67" s="247"/>
      <c r="R67" s="247"/>
    </row>
    <row r="68" spans="7:18">
      <c r="G68" s="247"/>
      <c r="H68" s="247"/>
      <c r="O68" s="247"/>
      <c r="P68" s="247"/>
      <c r="Q68" s="247"/>
      <c r="R68" s="247"/>
    </row>
    <row r="69" spans="7:18">
      <c r="G69" s="247"/>
      <c r="H69" s="247"/>
      <c r="O69" s="247"/>
      <c r="P69" s="247"/>
      <c r="Q69" s="247"/>
      <c r="R69" s="247"/>
    </row>
    <row r="70" spans="7:18">
      <c r="G70" s="247"/>
      <c r="H70" s="247"/>
      <c r="O70" s="247"/>
      <c r="P70" s="247"/>
      <c r="Q70" s="247"/>
      <c r="R70" s="247"/>
    </row>
    <row r="71" spans="7:18">
      <c r="G71" s="247"/>
      <c r="H71" s="247"/>
      <c r="O71" s="247"/>
      <c r="P71" s="247"/>
      <c r="Q71" s="247"/>
      <c r="R71" s="247"/>
    </row>
    <row r="72" spans="7:18">
      <c r="G72" s="247"/>
      <c r="H72" s="247"/>
      <c r="O72" s="247"/>
      <c r="P72" s="247"/>
      <c r="Q72" s="247"/>
      <c r="R72" s="247"/>
    </row>
    <row r="73" spans="7:18">
      <c r="G73" s="247"/>
      <c r="H73" s="247"/>
      <c r="O73" s="247"/>
      <c r="P73" s="247"/>
      <c r="Q73" s="247"/>
      <c r="R73" s="247"/>
    </row>
    <row r="74" spans="7:18">
      <c r="G74" s="247"/>
      <c r="H74" s="247"/>
      <c r="O74" s="247"/>
      <c r="P74" s="247"/>
      <c r="Q74" s="247"/>
      <c r="R74" s="247"/>
    </row>
    <row r="75" spans="7:18">
      <c r="G75" s="247"/>
      <c r="H75" s="247"/>
      <c r="O75" s="247"/>
      <c r="P75" s="247"/>
      <c r="Q75" s="247"/>
      <c r="R75" s="247"/>
    </row>
    <row r="76" spans="7:18">
      <c r="G76" s="247"/>
      <c r="H76" s="247"/>
      <c r="O76" s="247"/>
      <c r="P76" s="247"/>
      <c r="Q76" s="247"/>
      <c r="R76" s="247"/>
    </row>
    <row r="77" spans="7:18">
      <c r="G77" s="247"/>
      <c r="H77" s="247"/>
      <c r="O77" s="247"/>
      <c r="P77" s="247"/>
      <c r="Q77" s="247"/>
      <c r="R77" s="247"/>
    </row>
    <row r="78" spans="7:18">
      <c r="G78" s="247"/>
      <c r="H78" s="247"/>
      <c r="O78" s="247"/>
      <c r="P78" s="247"/>
      <c r="Q78" s="247"/>
      <c r="R78" s="247"/>
    </row>
    <row r="79" spans="7:18">
      <c r="G79" s="247"/>
      <c r="H79" s="247"/>
      <c r="O79" s="247"/>
      <c r="P79" s="247"/>
      <c r="Q79" s="247"/>
      <c r="R79" s="247"/>
    </row>
    <row r="80" spans="7:18">
      <c r="G80" s="247"/>
      <c r="H80" s="247"/>
      <c r="O80" s="247"/>
      <c r="P80" s="247"/>
      <c r="Q80" s="247"/>
      <c r="R80" s="247"/>
    </row>
    <row r="81" spans="7:18">
      <c r="G81" s="247"/>
      <c r="H81" s="247"/>
      <c r="O81" s="247"/>
      <c r="P81" s="247"/>
      <c r="Q81" s="247"/>
      <c r="R81" s="247"/>
    </row>
    <row r="82" spans="7:18">
      <c r="G82" s="247"/>
      <c r="H82" s="247"/>
      <c r="O82" s="247"/>
      <c r="P82" s="247"/>
      <c r="Q82" s="247"/>
      <c r="R82" s="247"/>
    </row>
    <row r="83" spans="7:18">
      <c r="G83" s="247"/>
      <c r="H83" s="247"/>
      <c r="O83" s="247"/>
      <c r="P83" s="247"/>
      <c r="Q83" s="247"/>
      <c r="R83" s="247"/>
    </row>
    <row r="84" spans="7:18">
      <c r="G84" s="247"/>
      <c r="H84" s="247"/>
      <c r="O84" s="247"/>
      <c r="P84" s="247"/>
      <c r="Q84" s="247"/>
      <c r="R84" s="247"/>
    </row>
    <row r="85" spans="7:18">
      <c r="G85" s="247"/>
      <c r="H85" s="247"/>
      <c r="O85" s="247"/>
      <c r="P85" s="247"/>
      <c r="Q85" s="247"/>
      <c r="R85" s="247"/>
    </row>
    <row r="86" spans="7:18">
      <c r="G86" s="247"/>
      <c r="H86" s="247"/>
      <c r="O86" s="247"/>
      <c r="P86" s="247"/>
      <c r="Q86" s="247"/>
      <c r="R86" s="247"/>
    </row>
    <row r="87" spans="7:18">
      <c r="G87" s="247"/>
      <c r="H87" s="247"/>
      <c r="O87" s="247"/>
      <c r="P87" s="247"/>
      <c r="Q87" s="247"/>
      <c r="R87" s="247"/>
    </row>
    <row r="88" spans="7:18">
      <c r="G88" s="247"/>
      <c r="H88" s="247"/>
      <c r="O88" s="247"/>
      <c r="P88" s="247"/>
      <c r="Q88" s="247"/>
      <c r="R88" s="247"/>
    </row>
    <row r="89" spans="7:18">
      <c r="G89" s="247"/>
      <c r="H89" s="247"/>
      <c r="O89" s="247"/>
      <c r="P89" s="247"/>
      <c r="Q89" s="247"/>
      <c r="R89" s="247"/>
    </row>
    <row r="90" spans="7:18">
      <c r="G90" s="247"/>
      <c r="H90" s="247"/>
      <c r="O90" s="247"/>
      <c r="P90" s="247"/>
      <c r="Q90" s="247"/>
      <c r="R90" s="247"/>
    </row>
    <row r="91" spans="7:18">
      <c r="G91" s="247"/>
      <c r="H91" s="247"/>
      <c r="O91" s="247"/>
      <c r="P91" s="247"/>
      <c r="Q91" s="247"/>
      <c r="R91" s="247"/>
    </row>
    <row r="92" spans="7:18">
      <c r="G92" s="247"/>
      <c r="H92" s="247"/>
      <c r="O92" s="247"/>
      <c r="P92" s="247"/>
      <c r="Q92" s="247"/>
      <c r="R92" s="247"/>
    </row>
    <row r="93" spans="7:18">
      <c r="G93" s="247"/>
      <c r="H93" s="247"/>
      <c r="O93" s="247"/>
      <c r="P93" s="247"/>
      <c r="Q93" s="247"/>
      <c r="R93" s="247"/>
    </row>
    <row r="94" spans="7:18">
      <c r="G94" s="247"/>
      <c r="H94" s="247"/>
      <c r="O94" s="247"/>
      <c r="P94" s="247"/>
      <c r="Q94" s="247"/>
      <c r="R94" s="247"/>
    </row>
    <row r="95" spans="7:18">
      <c r="G95" s="247"/>
      <c r="H95" s="247"/>
      <c r="O95" s="247"/>
      <c r="P95" s="247"/>
      <c r="Q95" s="247"/>
      <c r="R95" s="247"/>
    </row>
    <row r="96" spans="7:18">
      <c r="G96" s="247"/>
      <c r="H96" s="247"/>
      <c r="O96" s="247"/>
      <c r="P96" s="247"/>
      <c r="Q96" s="247"/>
      <c r="R96" s="247"/>
    </row>
    <row r="97" spans="7:18">
      <c r="G97" s="247"/>
      <c r="H97" s="247"/>
      <c r="O97" s="247"/>
      <c r="P97" s="247"/>
      <c r="Q97" s="247"/>
      <c r="R97" s="247"/>
    </row>
    <row r="98" spans="7:18">
      <c r="G98" s="247"/>
      <c r="H98" s="247"/>
      <c r="O98" s="247"/>
      <c r="P98" s="247"/>
      <c r="Q98" s="247"/>
      <c r="R98" s="247"/>
    </row>
    <row r="99" spans="7:18">
      <c r="G99" s="247"/>
      <c r="H99" s="247"/>
      <c r="O99" s="247"/>
      <c r="P99" s="247"/>
      <c r="Q99" s="247"/>
      <c r="R99" s="247"/>
    </row>
    <row r="100" spans="7:18">
      <c r="G100" s="247"/>
      <c r="H100" s="247"/>
      <c r="O100" s="247"/>
      <c r="P100" s="247"/>
      <c r="Q100" s="247"/>
      <c r="R100" s="247"/>
    </row>
    <row r="101" spans="7:18">
      <c r="G101" s="247"/>
      <c r="H101" s="247"/>
      <c r="O101" s="247"/>
      <c r="P101" s="247"/>
      <c r="Q101" s="247"/>
      <c r="R101" s="247"/>
    </row>
    <row r="102" spans="7:18">
      <c r="G102" s="247"/>
      <c r="H102" s="247"/>
      <c r="O102" s="247"/>
      <c r="P102" s="247"/>
      <c r="Q102" s="247"/>
      <c r="R102" s="247"/>
    </row>
    <row r="103" spans="7:18">
      <c r="G103" s="247"/>
      <c r="H103" s="247"/>
      <c r="O103" s="247"/>
      <c r="P103" s="247"/>
      <c r="Q103" s="247"/>
      <c r="R103" s="247"/>
    </row>
    <row r="104" spans="7:18">
      <c r="G104" s="247"/>
      <c r="H104" s="247"/>
      <c r="O104" s="247"/>
      <c r="P104" s="247"/>
      <c r="Q104" s="247"/>
      <c r="R104" s="247"/>
    </row>
    <row r="105" spans="7:18">
      <c r="G105" s="247"/>
      <c r="H105" s="247"/>
      <c r="O105" s="247"/>
      <c r="P105" s="247"/>
      <c r="Q105" s="247"/>
      <c r="R105" s="247"/>
    </row>
    <row r="106" spans="7:18">
      <c r="G106" s="247"/>
      <c r="H106" s="247"/>
      <c r="O106" s="247"/>
      <c r="P106" s="247"/>
      <c r="Q106" s="247"/>
      <c r="R106" s="247"/>
    </row>
    <row r="107" spans="7:18">
      <c r="G107" s="247"/>
      <c r="H107" s="247"/>
      <c r="O107" s="247"/>
      <c r="P107" s="247"/>
      <c r="Q107" s="247"/>
      <c r="R107" s="247"/>
    </row>
    <row r="108" spans="7:18">
      <c r="G108" s="247"/>
      <c r="H108" s="247"/>
      <c r="O108" s="247"/>
      <c r="P108" s="247"/>
      <c r="Q108" s="247"/>
      <c r="R108" s="247"/>
    </row>
    <row r="109" spans="7:18">
      <c r="G109" s="247"/>
      <c r="H109" s="247"/>
      <c r="O109" s="247"/>
      <c r="P109" s="247"/>
      <c r="Q109" s="247"/>
      <c r="R109" s="247"/>
    </row>
    <row r="110" spans="7:18">
      <c r="G110" s="247"/>
      <c r="H110" s="247"/>
      <c r="O110" s="247"/>
      <c r="P110" s="247"/>
      <c r="Q110" s="247"/>
      <c r="R110" s="247"/>
    </row>
    <row r="111" spans="7:18">
      <c r="G111" s="247"/>
      <c r="H111" s="247"/>
      <c r="O111" s="247"/>
      <c r="P111" s="247"/>
      <c r="Q111" s="247"/>
      <c r="R111" s="247"/>
    </row>
    <row r="112" spans="7:18">
      <c r="G112" s="247"/>
      <c r="H112" s="247"/>
      <c r="O112" s="247"/>
      <c r="P112" s="247"/>
      <c r="Q112" s="247"/>
      <c r="R112" s="247"/>
    </row>
    <row r="113" spans="7:18">
      <c r="G113" s="247"/>
      <c r="H113" s="247"/>
      <c r="O113" s="247"/>
      <c r="P113" s="247"/>
      <c r="Q113" s="247"/>
      <c r="R113" s="247"/>
    </row>
    <row r="114" spans="7:18">
      <c r="G114" s="247"/>
      <c r="H114" s="247"/>
      <c r="O114" s="247"/>
      <c r="P114" s="247"/>
      <c r="Q114" s="247"/>
      <c r="R114" s="247"/>
    </row>
    <row r="115" spans="7:18">
      <c r="G115" s="247"/>
      <c r="H115" s="247"/>
      <c r="O115" s="247"/>
      <c r="P115" s="247"/>
      <c r="Q115" s="247"/>
      <c r="R115" s="247"/>
    </row>
    <row r="116" spans="7:18">
      <c r="G116" s="247"/>
      <c r="H116" s="247"/>
      <c r="O116" s="247"/>
      <c r="P116" s="247"/>
      <c r="Q116" s="247"/>
      <c r="R116" s="247"/>
    </row>
    <row r="117" spans="7:18">
      <c r="G117" s="247"/>
      <c r="H117" s="247"/>
      <c r="O117" s="247"/>
      <c r="P117" s="247"/>
      <c r="Q117" s="247"/>
      <c r="R117" s="247"/>
    </row>
    <row r="118" spans="7:18">
      <c r="G118" s="247"/>
      <c r="H118" s="247"/>
      <c r="O118" s="247"/>
      <c r="P118" s="247"/>
      <c r="Q118" s="247"/>
      <c r="R118" s="247"/>
    </row>
    <row r="119" spans="7:18">
      <c r="G119" s="247"/>
      <c r="H119" s="247"/>
      <c r="O119" s="247"/>
      <c r="P119" s="247"/>
      <c r="Q119" s="247"/>
      <c r="R119" s="247"/>
    </row>
    <row r="120" spans="7:18">
      <c r="G120" s="247"/>
      <c r="H120" s="247"/>
      <c r="O120" s="247"/>
      <c r="P120" s="247"/>
      <c r="Q120" s="247"/>
      <c r="R120" s="247"/>
    </row>
    <row r="121" spans="7:18">
      <c r="G121" s="247"/>
      <c r="H121" s="247"/>
      <c r="O121" s="247"/>
      <c r="P121" s="247"/>
      <c r="Q121" s="247"/>
      <c r="R121" s="247"/>
    </row>
    <row r="122" spans="7:18">
      <c r="G122" s="247"/>
      <c r="H122" s="247"/>
      <c r="O122" s="247"/>
      <c r="P122" s="247"/>
      <c r="Q122" s="247"/>
      <c r="R122" s="247"/>
    </row>
    <row r="123" spans="7:18">
      <c r="G123" s="247"/>
      <c r="H123" s="247"/>
      <c r="O123" s="247"/>
      <c r="P123" s="247"/>
      <c r="Q123" s="247"/>
      <c r="R123" s="247"/>
    </row>
    <row r="124" spans="7:18">
      <c r="G124" s="247"/>
      <c r="H124" s="247"/>
      <c r="O124" s="247"/>
      <c r="P124" s="247"/>
      <c r="Q124" s="247"/>
      <c r="R124" s="247"/>
    </row>
    <row r="125" spans="7:18">
      <c r="G125" s="247"/>
      <c r="H125" s="247"/>
      <c r="O125" s="247"/>
      <c r="P125" s="247"/>
      <c r="Q125" s="247"/>
      <c r="R125" s="247"/>
    </row>
    <row r="126" spans="7:18">
      <c r="G126" s="247"/>
      <c r="H126" s="247"/>
      <c r="O126" s="247"/>
      <c r="P126" s="247"/>
      <c r="Q126" s="247"/>
      <c r="R126" s="247"/>
    </row>
    <row r="127" spans="7:18">
      <c r="G127" s="247"/>
      <c r="H127" s="247"/>
      <c r="O127" s="247"/>
      <c r="P127" s="247"/>
      <c r="Q127" s="247"/>
      <c r="R127" s="247"/>
    </row>
    <row r="128" spans="7:18">
      <c r="G128" s="247"/>
      <c r="H128" s="247"/>
      <c r="O128" s="247"/>
      <c r="P128" s="247"/>
      <c r="Q128" s="247"/>
      <c r="R128" s="247"/>
    </row>
    <row r="129" spans="7:18">
      <c r="G129" s="247"/>
      <c r="H129" s="247"/>
      <c r="O129" s="247"/>
      <c r="P129" s="247"/>
      <c r="Q129" s="247"/>
      <c r="R129" s="247"/>
    </row>
    <row r="130" spans="7:18">
      <c r="G130" s="247"/>
      <c r="H130" s="247"/>
      <c r="O130" s="247"/>
      <c r="P130" s="247"/>
      <c r="Q130" s="247"/>
      <c r="R130" s="247"/>
    </row>
    <row r="131" spans="7:18">
      <c r="G131" s="247"/>
      <c r="H131" s="247"/>
      <c r="O131" s="247"/>
      <c r="P131" s="247"/>
      <c r="Q131" s="247"/>
      <c r="R131" s="247"/>
    </row>
    <row r="132" spans="7:18">
      <c r="G132" s="247"/>
      <c r="H132" s="247"/>
      <c r="O132" s="247"/>
      <c r="P132" s="247"/>
      <c r="Q132" s="247"/>
      <c r="R132" s="247"/>
    </row>
    <row r="133" spans="7:18">
      <c r="G133" s="247"/>
      <c r="H133" s="247"/>
      <c r="O133" s="247"/>
      <c r="P133" s="247"/>
      <c r="Q133" s="247"/>
      <c r="R133" s="247"/>
    </row>
    <row r="134" spans="7:18">
      <c r="G134" s="247"/>
      <c r="H134" s="247"/>
      <c r="O134" s="247"/>
      <c r="P134" s="247"/>
      <c r="Q134" s="247"/>
      <c r="R134" s="247"/>
    </row>
    <row r="135" spans="7:18">
      <c r="G135" s="247"/>
      <c r="H135" s="247"/>
      <c r="O135" s="247"/>
      <c r="P135" s="247"/>
      <c r="Q135" s="247"/>
      <c r="R135" s="247"/>
    </row>
    <row r="136" spans="7:18">
      <c r="G136" s="247"/>
      <c r="H136" s="247"/>
      <c r="O136" s="247"/>
      <c r="P136" s="247"/>
      <c r="Q136" s="247"/>
      <c r="R136" s="247"/>
    </row>
    <row r="137" spans="7:18">
      <c r="G137" s="247"/>
      <c r="H137" s="247"/>
      <c r="O137" s="247"/>
      <c r="P137" s="247"/>
      <c r="Q137" s="247"/>
      <c r="R137" s="247"/>
    </row>
    <row r="138" spans="7:18">
      <c r="G138" s="247"/>
      <c r="H138" s="247"/>
      <c r="O138" s="247"/>
      <c r="P138" s="247"/>
      <c r="Q138" s="247"/>
      <c r="R138" s="247"/>
    </row>
    <row r="139" spans="7:18">
      <c r="G139" s="247"/>
      <c r="H139" s="247"/>
      <c r="O139" s="247"/>
      <c r="P139" s="247"/>
      <c r="Q139" s="247"/>
      <c r="R139" s="247"/>
    </row>
    <row r="140" spans="7:18">
      <c r="G140" s="247"/>
      <c r="H140" s="247"/>
      <c r="O140" s="247"/>
      <c r="P140" s="247"/>
      <c r="Q140" s="247"/>
      <c r="R140" s="247"/>
    </row>
    <row r="141" spans="7:18">
      <c r="G141" s="247"/>
      <c r="H141" s="247"/>
      <c r="O141" s="247"/>
      <c r="P141" s="247"/>
      <c r="Q141" s="247"/>
      <c r="R141" s="247"/>
    </row>
    <row r="142" spans="7:18">
      <c r="G142" s="247"/>
      <c r="H142" s="247"/>
      <c r="O142" s="247"/>
      <c r="P142" s="247"/>
      <c r="Q142" s="247"/>
      <c r="R142" s="247"/>
    </row>
    <row r="143" spans="7:18">
      <c r="G143" s="247"/>
      <c r="H143" s="247"/>
      <c r="O143" s="247"/>
      <c r="P143" s="247"/>
      <c r="Q143" s="247"/>
      <c r="R143" s="247"/>
    </row>
    <row r="144" spans="7:18">
      <c r="G144" s="247"/>
      <c r="H144" s="247"/>
      <c r="O144" s="247"/>
      <c r="P144" s="247"/>
      <c r="Q144" s="247"/>
      <c r="R144" s="247"/>
    </row>
    <row r="145" spans="7:18">
      <c r="G145" s="247"/>
      <c r="H145" s="247"/>
      <c r="O145" s="247"/>
      <c r="P145" s="247"/>
      <c r="Q145" s="247"/>
      <c r="R145" s="247"/>
    </row>
    <row r="146" spans="7:18">
      <c r="G146" s="247"/>
      <c r="H146" s="247"/>
      <c r="O146" s="247"/>
      <c r="P146" s="247"/>
      <c r="Q146" s="247"/>
      <c r="R146" s="247"/>
    </row>
    <row r="147" spans="7:18">
      <c r="G147" s="247"/>
      <c r="H147" s="247"/>
      <c r="O147" s="247"/>
      <c r="P147" s="247"/>
      <c r="Q147" s="247"/>
      <c r="R147" s="247"/>
    </row>
    <row r="148" spans="7:18">
      <c r="G148" s="247"/>
      <c r="H148" s="247"/>
      <c r="O148" s="247"/>
      <c r="P148" s="247"/>
      <c r="Q148" s="247"/>
      <c r="R148" s="247"/>
    </row>
    <row r="149" spans="7:18">
      <c r="G149" s="247"/>
      <c r="H149" s="247"/>
      <c r="O149" s="247"/>
      <c r="P149" s="247"/>
      <c r="Q149" s="247"/>
      <c r="R149" s="247"/>
    </row>
    <row r="150" spans="7:18">
      <c r="G150" s="247"/>
      <c r="H150" s="247"/>
      <c r="O150" s="247"/>
      <c r="P150" s="247"/>
      <c r="Q150" s="247"/>
      <c r="R150" s="247"/>
    </row>
    <row r="151" spans="7:18">
      <c r="G151" s="247"/>
      <c r="H151" s="247"/>
      <c r="O151" s="247"/>
      <c r="P151" s="247"/>
      <c r="Q151" s="247"/>
      <c r="R151" s="247"/>
    </row>
    <row r="152" spans="7:18">
      <c r="G152" s="247"/>
      <c r="H152" s="247"/>
      <c r="O152" s="247"/>
      <c r="P152" s="247"/>
      <c r="Q152" s="247"/>
      <c r="R152" s="247"/>
    </row>
    <row r="153" spans="7:18">
      <c r="G153" s="247"/>
      <c r="H153" s="247"/>
      <c r="O153" s="247"/>
      <c r="P153" s="247"/>
      <c r="Q153" s="247"/>
      <c r="R153" s="247"/>
    </row>
    <row r="154" spans="7:18">
      <c r="G154" s="247"/>
      <c r="H154" s="247"/>
      <c r="O154" s="247"/>
      <c r="P154" s="247"/>
      <c r="Q154" s="247"/>
      <c r="R154" s="247"/>
    </row>
    <row r="155" spans="7:18">
      <c r="G155" s="247"/>
      <c r="H155" s="247"/>
      <c r="O155" s="247"/>
      <c r="P155" s="247"/>
      <c r="Q155" s="247"/>
      <c r="R155" s="247"/>
    </row>
    <row r="156" spans="7:18">
      <c r="G156" s="247"/>
      <c r="H156" s="247"/>
      <c r="O156" s="247"/>
      <c r="P156" s="247"/>
      <c r="Q156" s="247"/>
      <c r="R156" s="247"/>
    </row>
    <row r="157" spans="7:18">
      <c r="G157" s="247"/>
      <c r="H157" s="247"/>
      <c r="O157" s="247"/>
      <c r="P157" s="247"/>
      <c r="Q157" s="247"/>
      <c r="R157" s="247"/>
    </row>
    <row r="158" spans="7:18">
      <c r="G158" s="247"/>
      <c r="H158" s="247"/>
      <c r="O158" s="247"/>
      <c r="P158" s="247"/>
      <c r="Q158" s="247"/>
      <c r="R158" s="247"/>
    </row>
    <row r="159" spans="7:18">
      <c r="G159" s="247"/>
      <c r="H159" s="247"/>
      <c r="O159" s="247"/>
      <c r="P159" s="247"/>
      <c r="Q159" s="247"/>
      <c r="R159" s="247"/>
    </row>
    <row r="160" spans="7:18">
      <c r="G160" s="247"/>
      <c r="H160" s="247"/>
      <c r="O160" s="247"/>
      <c r="P160" s="247"/>
      <c r="Q160" s="247"/>
      <c r="R160" s="247"/>
    </row>
  </sheetData>
  <mergeCells count="1">
    <mergeCell ref="A1:E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0"/>
  <sheetViews>
    <sheetView workbookViewId="0">
      <pane xSplit="2" ySplit="2" topLeftCell="S25" activePane="bottomRight" state="frozen"/>
      <selection/>
      <selection pane="topRight"/>
      <selection pane="bottomLeft"/>
      <selection pane="bottomRight" activeCell="U22" sqref="U22:AC29"/>
    </sheetView>
  </sheetViews>
  <sheetFormatPr defaultColWidth="17" defaultRowHeight="11.4"/>
  <cols>
    <col min="1" max="1" width="14.9791666666667" customWidth="1"/>
    <col min="2" max="2" width="16.3854166666667" customWidth="1"/>
    <col min="3" max="3" width="19.40625" customWidth="1"/>
    <col min="4" max="5" width="14.9791666666667" customWidth="1"/>
    <col min="6" max="6" width="20.0208333333333" customWidth="1"/>
    <col min="7" max="7" width="21.2395833333333" customWidth="1"/>
    <col min="8" max="11" width="14.9791666666667" customWidth="1"/>
    <col min="12" max="12" width="21.625" customWidth="1"/>
    <col min="13" max="13" width="14.9791666666667" customWidth="1"/>
    <col min="14" max="16" width="13.5729166666667" customWidth="1"/>
    <col min="17" max="17" width="35.3333333333333" customWidth="1"/>
    <col min="18" max="22" width="14.9791666666667" customWidth="1"/>
    <col min="23" max="23" width="18.8125" customWidth="1"/>
    <col min="24" max="26" width="14.9791666666667" customWidth="1"/>
    <col min="27" max="28" width="13.3645833333333" customWidth="1"/>
    <col min="29" max="31" width="14.9791666666667" customWidth="1"/>
  </cols>
  <sheetData>
    <row r="1" ht="16.1" customHeight="1" spans="1:31">
      <c r="A1" s="140" t="s">
        <v>37</v>
      </c>
      <c r="B1" s="140" t="s">
        <v>38</v>
      </c>
      <c r="C1" s="213" t="s">
        <v>39</v>
      </c>
      <c r="D1" s="213" t="s">
        <v>40</v>
      </c>
      <c r="E1" s="213" t="s">
        <v>41</v>
      </c>
      <c r="F1" s="213" t="s">
        <v>42</v>
      </c>
      <c r="G1" s="213" t="s">
        <v>43</v>
      </c>
      <c r="H1" s="140" t="s">
        <v>44</v>
      </c>
      <c r="I1" s="213" t="s">
        <v>21</v>
      </c>
      <c r="J1" s="213" t="s">
        <v>45</v>
      </c>
      <c r="K1" s="226" t="s">
        <v>46</v>
      </c>
      <c r="L1" s="226"/>
      <c r="M1" s="227" t="s">
        <v>47</v>
      </c>
      <c r="N1" s="140" t="s">
        <v>48</v>
      </c>
      <c r="O1" s="140" t="s">
        <v>49</v>
      </c>
      <c r="P1" s="213" t="s">
        <v>50</v>
      </c>
      <c r="Q1" s="213" t="s">
        <v>51</v>
      </c>
      <c r="R1" s="138" t="s">
        <v>52</v>
      </c>
      <c r="S1" s="138"/>
      <c r="T1" s="138"/>
      <c r="U1" s="138"/>
      <c r="V1" s="138"/>
      <c r="W1" s="138"/>
      <c r="X1" s="236" t="s">
        <v>53</v>
      </c>
      <c r="Y1" s="245"/>
      <c r="Z1" s="245"/>
      <c r="AA1" s="245"/>
      <c r="AB1" s="245"/>
      <c r="AC1" s="245"/>
      <c r="AD1" s="245"/>
      <c r="AE1" s="212"/>
    </row>
    <row r="2" ht="32.2" customHeight="1" spans="1:31">
      <c r="A2" s="214"/>
      <c r="B2" s="214"/>
      <c r="C2" s="215"/>
      <c r="D2" s="215"/>
      <c r="E2" s="215"/>
      <c r="F2" s="215"/>
      <c r="G2" s="215"/>
      <c r="H2" s="214"/>
      <c r="I2" s="215"/>
      <c r="J2" s="215"/>
      <c r="K2" s="226" t="s">
        <v>54</v>
      </c>
      <c r="L2" s="226" t="s">
        <v>55</v>
      </c>
      <c r="M2" s="214"/>
      <c r="N2" s="214"/>
      <c r="O2" s="214"/>
      <c r="P2" s="215"/>
      <c r="Q2" s="215"/>
      <c r="R2" s="138" t="s">
        <v>56</v>
      </c>
      <c r="S2" s="138" t="s">
        <v>57</v>
      </c>
      <c r="T2" s="226" t="s">
        <v>58</v>
      </c>
      <c r="U2" s="237" t="s">
        <v>59</v>
      </c>
      <c r="V2" s="138" t="s">
        <v>60</v>
      </c>
      <c r="W2" s="238" t="s">
        <v>61</v>
      </c>
      <c r="X2" s="238"/>
      <c r="Y2" s="238"/>
      <c r="Z2" s="238" t="s">
        <v>62</v>
      </c>
      <c r="AA2" s="238" t="s">
        <v>63</v>
      </c>
      <c r="AB2" s="238" t="s">
        <v>64</v>
      </c>
      <c r="AC2" s="238" t="s">
        <v>65</v>
      </c>
      <c r="AD2" s="238" t="s">
        <v>66</v>
      </c>
      <c r="AE2" s="212"/>
    </row>
    <row r="3" ht="42.55" customHeight="1" spans="1:31">
      <c r="A3" s="149" t="s">
        <v>67</v>
      </c>
      <c r="B3" s="149" t="s">
        <v>68</v>
      </c>
      <c r="C3" s="216" t="s">
        <v>69</v>
      </c>
      <c r="D3" s="216">
        <v>109.99</v>
      </c>
      <c r="E3" s="217">
        <v>20</v>
      </c>
      <c r="F3" s="216" t="s">
        <v>70</v>
      </c>
      <c r="G3" s="218">
        <f t="shared" ref="G3:G29" si="0">M3/7</f>
        <v>6.28571428571429</v>
      </c>
      <c r="H3" s="149">
        <f t="shared" ref="H3:H29" si="1">G3*7</f>
        <v>44</v>
      </c>
      <c r="I3" s="149">
        <v>60</v>
      </c>
      <c r="J3" s="149">
        <v>4.7</v>
      </c>
      <c r="K3" s="149" t="s">
        <v>71</v>
      </c>
      <c r="L3" s="228" t="s">
        <v>72</v>
      </c>
      <c r="M3" s="149">
        <v>44</v>
      </c>
      <c r="N3" s="149">
        <f t="shared" ref="N3:N29" si="2">D3*H3</f>
        <v>4839.56</v>
      </c>
      <c r="O3" s="151">
        <v>66</v>
      </c>
      <c r="P3" s="150">
        <f t="shared" ref="P3:P29" si="3">G3/O3</f>
        <v>0.0952380952380952</v>
      </c>
      <c r="Q3" s="216" t="s">
        <v>73</v>
      </c>
      <c r="R3" s="239">
        <f t="shared" ref="R3:R29" si="4">T3*S3</f>
        <v>48</v>
      </c>
      <c r="S3" s="218">
        <f t="shared" ref="S3:S29" si="5">V3/U3</f>
        <v>40</v>
      </c>
      <c r="T3" s="239">
        <v>1.2</v>
      </c>
      <c r="U3" s="240">
        <v>0.11</v>
      </c>
      <c r="V3" s="151">
        <f t="shared" ref="V3:V21" si="6">G3*W3</f>
        <v>4.4</v>
      </c>
      <c r="W3" s="241">
        <v>0.7</v>
      </c>
      <c r="X3" s="149">
        <v>1200</v>
      </c>
      <c r="Y3" s="149">
        <v>0</v>
      </c>
      <c r="Z3" s="149">
        <v>0</v>
      </c>
      <c r="AA3" s="149">
        <v>1310</v>
      </c>
      <c r="AB3" s="149" t="s">
        <v>74</v>
      </c>
      <c r="AC3" s="149"/>
      <c r="AD3" s="149"/>
      <c r="AE3" s="212"/>
    </row>
    <row r="4" ht="42.55" customHeight="1" spans="1:31">
      <c r="A4" s="149" t="s">
        <v>75</v>
      </c>
      <c r="B4" s="149" t="s">
        <v>76</v>
      </c>
      <c r="C4" s="216" t="s">
        <v>69</v>
      </c>
      <c r="D4" s="216">
        <v>109.99</v>
      </c>
      <c r="E4" s="217">
        <v>20</v>
      </c>
      <c r="F4" s="216" t="s">
        <v>77</v>
      </c>
      <c r="G4" s="218">
        <f t="shared" si="0"/>
        <v>11.5714285714286</v>
      </c>
      <c r="H4" s="149">
        <f t="shared" si="1"/>
        <v>81</v>
      </c>
      <c r="I4" s="149">
        <v>40</v>
      </c>
      <c r="J4" s="149">
        <v>4.7</v>
      </c>
      <c r="K4" s="149" t="s">
        <v>78</v>
      </c>
      <c r="L4" s="228" t="s">
        <v>79</v>
      </c>
      <c r="M4" s="149">
        <v>81</v>
      </c>
      <c r="N4" s="149">
        <f t="shared" si="2"/>
        <v>8909.19</v>
      </c>
      <c r="O4" s="151">
        <v>88</v>
      </c>
      <c r="P4" s="150">
        <f t="shared" si="3"/>
        <v>0.131493506493506</v>
      </c>
      <c r="Q4" s="216" t="s">
        <v>80</v>
      </c>
      <c r="R4" s="239">
        <f t="shared" si="4"/>
        <v>75.2142857142857</v>
      </c>
      <c r="S4" s="218">
        <f t="shared" si="5"/>
        <v>62.6785714285714</v>
      </c>
      <c r="T4" s="239">
        <v>1.2</v>
      </c>
      <c r="U4" s="240">
        <v>0.12</v>
      </c>
      <c r="V4" s="151">
        <f t="shared" si="6"/>
        <v>7.52142857142857</v>
      </c>
      <c r="W4" s="241">
        <v>0.65</v>
      </c>
      <c r="X4" s="149">
        <f>X3-H3</f>
        <v>1156</v>
      </c>
      <c r="Y4" s="149">
        <v>0</v>
      </c>
      <c r="Z4" s="149">
        <v>0</v>
      </c>
      <c r="AA4" s="149">
        <v>1310</v>
      </c>
      <c r="AB4" s="149">
        <v>2490</v>
      </c>
      <c r="AC4" s="149"/>
      <c r="AD4" s="149"/>
      <c r="AE4" s="212"/>
    </row>
    <row r="5" ht="42.55" customHeight="1" spans="1:31">
      <c r="A5" s="149" t="s">
        <v>81</v>
      </c>
      <c r="B5" s="149" t="s">
        <v>82</v>
      </c>
      <c r="C5" s="216" t="s">
        <v>69</v>
      </c>
      <c r="D5" s="216">
        <v>109.99</v>
      </c>
      <c r="E5" s="217">
        <v>20</v>
      </c>
      <c r="F5" s="216" t="s">
        <v>77</v>
      </c>
      <c r="G5" s="218">
        <f t="shared" si="0"/>
        <v>7.85714285714286</v>
      </c>
      <c r="H5" s="149">
        <f t="shared" si="1"/>
        <v>55</v>
      </c>
      <c r="I5" s="229">
        <v>30</v>
      </c>
      <c r="J5" s="149">
        <v>4.7</v>
      </c>
      <c r="K5" s="149"/>
      <c r="L5" s="228"/>
      <c r="M5" s="149">
        <v>55</v>
      </c>
      <c r="N5" s="149">
        <f t="shared" si="2"/>
        <v>6049.45</v>
      </c>
      <c r="O5" s="151">
        <v>60</v>
      </c>
      <c r="P5" s="150">
        <f t="shared" si="3"/>
        <v>0.130952380952381</v>
      </c>
      <c r="Q5" s="216" t="s">
        <v>83</v>
      </c>
      <c r="R5" s="239">
        <f t="shared" si="4"/>
        <v>39.8901098901099</v>
      </c>
      <c r="S5" s="218">
        <f t="shared" si="5"/>
        <v>36.2637362637363</v>
      </c>
      <c r="T5" s="239">
        <v>1.1</v>
      </c>
      <c r="U5" s="240">
        <v>0.13</v>
      </c>
      <c r="V5" s="151">
        <f t="shared" si="6"/>
        <v>4.71428571428571</v>
      </c>
      <c r="W5" s="241">
        <v>0.6</v>
      </c>
      <c r="X5" s="149">
        <f>X4-H4</f>
        <v>1075</v>
      </c>
      <c r="Y5" s="149">
        <v>0</v>
      </c>
      <c r="Z5" s="149">
        <v>2490</v>
      </c>
      <c r="AA5" s="149">
        <v>0</v>
      </c>
      <c r="AB5" s="149" t="s">
        <v>84</v>
      </c>
      <c r="AC5" s="149" t="s">
        <v>85</v>
      </c>
      <c r="AD5" s="149"/>
      <c r="AE5" s="212"/>
    </row>
    <row r="6" ht="42.55" customHeight="1" spans="1:31">
      <c r="A6" s="149" t="s">
        <v>86</v>
      </c>
      <c r="B6" s="149" t="s">
        <v>87</v>
      </c>
      <c r="C6" s="216" t="s">
        <v>69</v>
      </c>
      <c r="D6" s="216">
        <v>109.99</v>
      </c>
      <c r="E6" s="217">
        <v>20</v>
      </c>
      <c r="F6" s="219" t="s">
        <v>88</v>
      </c>
      <c r="G6" s="218">
        <f t="shared" si="0"/>
        <v>6.85714285714286</v>
      </c>
      <c r="H6" s="149">
        <f t="shared" si="1"/>
        <v>48</v>
      </c>
      <c r="I6" s="149">
        <v>20</v>
      </c>
      <c r="J6" s="149">
        <v>4.6</v>
      </c>
      <c r="K6" s="149"/>
      <c r="L6" s="228"/>
      <c r="M6" s="149">
        <v>48</v>
      </c>
      <c r="N6" s="149">
        <f t="shared" si="2"/>
        <v>5279.52</v>
      </c>
      <c r="O6" s="151">
        <v>50</v>
      </c>
      <c r="P6" s="150">
        <f t="shared" si="3"/>
        <v>0.137142857142857</v>
      </c>
      <c r="Q6" s="216" t="s">
        <v>83</v>
      </c>
      <c r="R6" s="239">
        <f t="shared" si="4"/>
        <v>25.1428571428571</v>
      </c>
      <c r="S6" s="218">
        <f t="shared" si="5"/>
        <v>22.8571428571429</v>
      </c>
      <c r="T6" s="239">
        <v>1.1</v>
      </c>
      <c r="U6" s="240">
        <v>0.15</v>
      </c>
      <c r="V6" s="151">
        <f t="shared" si="6"/>
        <v>3.42857142857143</v>
      </c>
      <c r="W6" s="241">
        <v>0.5</v>
      </c>
      <c r="X6" s="149">
        <f>X5-H5+720</f>
        <v>1740</v>
      </c>
      <c r="Y6" s="149">
        <v>600</v>
      </c>
      <c r="Z6" s="149">
        <v>1170</v>
      </c>
      <c r="AA6" s="149">
        <v>0</v>
      </c>
      <c r="AB6" s="149">
        <v>1310</v>
      </c>
      <c r="AC6" s="149"/>
      <c r="AD6" s="149">
        <v>1500</v>
      </c>
      <c r="AE6" s="212"/>
    </row>
    <row r="7" ht="42.55" customHeight="1" spans="1:31">
      <c r="A7" s="149" t="s">
        <v>89</v>
      </c>
      <c r="B7" s="149" t="s">
        <v>90</v>
      </c>
      <c r="C7" s="216" t="s">
        <v>69</v>
      </c>
      <c r="D7" s="216">
        <v>119.99</v>
      </c>
      <c r="E7" s="217">
        <v>10</v>
      </c>
      <c r="F7" s="216" t="s">
        <v>77</v>
      </c>
      <c r="G7" s="218">
        <f t="shared" si="0"/>
        <v>7.42857142857143</v>
      </c>
      <c r="H7" s="149">
        <f t="shared" si="1"/>
        <v>52</v>
      </c>
      <c r="I7" s="149">
        <v>28</v>
      </c>
      <c r="J7" s="149">
        <v>4.6</v>
      </c>
      <c r="K7" s="149"/>
      <c r="L7" s="228"/>
      <c r="M7" s="149">
        <v>52</v>
      </c>
      <c r="N7" s="149">
        <f t="shared" si="2"/>
        <v>6239.48</v>
      </c>
      <c r="O7" s="151">
        <v>56</v>
      </c>
      <c r="P7" s="150">
        <f t="shared" si="3"/>
        <v>0.13265306122449</v>
      </c>
      <c r="Q7" s="216" t="s">
        <v>91</v>
      </c>
      <c r="R7" s="239">
        <f t="shared" si="4"/>
        <v>27.2380952380952</v>
      </c>
      <c r="S7" s="218">
        <f t="shared" si="5"/>
        <v>27.2380952380952</v>
      </c>
      <c r="T7" s="239">
        <v>1</v>
      </c>
      <c r="U7" s="240">
        <v>0.15</v>
      </c>
      <c r="V7" s="151">
        <f t="shared" si="6"/>
        <v>4.08571428571429</v>
      </c>
      <c r="W7" s="241">
        <v>0.55</v>
      </c>
      <c r="X7" s="149">
        <f>X6-H6</f>
        <v>1692</v>
      </c>
      <c r="Y7" s="149">
        <v>600</v>
      </c>
      <c r="Z7" s="149">
        <v>1170</v>
      </c>
      <c r="AA7" s="149">
        <v>0</v>
      </c>
      <c r="AB7" s="149">
        <v>1310</v>
      </c>
      <c r="AC7" s="149"/>
      <c r="AD7" s="149"/>
      <c r="AE7" s="212"/>
    </row>
    <row r="8" ht="42.55" customHeight="1" spans="1:31">
      <c r="A8" s="149" t="s">
        <v>92</v>
      </c>
      <c r="B8" s="149" t="s">
        <v>93</v>
      </c>
      <c r="C8" s="216" t="s">
        <v>69</v>
      </c>
      <c r="D8" s="216">
        <v>119.99</v>
      </c>
      <c r="E8" s="217">
        <v>10</v>
      </c>
      <c r="F8" s="216" t="s">
        <v>77</v>
      </c>
      <c r="G8" s="218">
        <f t="shared" si="0"/>
        <v>7.14285714285714</v>
      </c>
      <c r="H8" s="149">
        <f t="shared" si="1"/>
        <v>50</v>
      </c>
      <c r="I8" s="149">
        <v>26</v>
      </c>
      <c r="J8" s="149">
        <v>4.6</v>
      </c>
      <c r="K8" s="149"/>
      <c r="L8" s="228"/>
      <c r="M8" s="149">
        <v>50</v>
      </c>
      <c r="N8" s="149">
        <f t="shared" si="2"/>
        <v>5999.5</v>
      </c>
      <c r="O8" s="151">
        <v>60</v>
      </c>
      <c r="P8" s="150">
        <f t="shared" si="3"/>
        <v>0.119047619047619</v>
      </c>
      <c r="Q8" s="216" t="s">
        <v>91</v>
      </c>
      <c r="R8" s="239">
        <f t="shared" si="4"/>
        <v>23.8095238095238</v>
      </c>
      <c r="S8" s="218">
        <f t="shared" si="5"/>
        <v>23.8095238095238</v>
      </c>
      <c r="T8" s="239">
        <v>1</v>
      </c>
      <c r="U8" s="240">
        <v>0.15</v>
      </c>
      <c r="V8" s="151">
        <f t="shared" si="6"/>
        <v>3.57142857142857</v>
      </c>
      <c r="W8" s="241">
        <v>0.5</v>
      </c>
      <c r="X8" s="149">
        <f>X7-H7</f>
        <v>1640</v>
      </c>
      <c r="Y8" s="149">
        <v>600</v>
      </c>
      <c r="Z8" s="149">
        <v>1170</v>
      </c>
      <c r="AA8" s="149">
        <v>0</v>
      </c>
      <c r="AB8" s="149">
        <v>1310</v>
      </c>
      <c r="AC8" s="149" t="s">
        <v>94</v>
      </c>
      <c r="AD8" s="149"/>
      <c r="AE8" s="212"/>
    </row>
    <row r="9" ht="42.55" customHeight="1" spans="1:31">
      <c r="A9" s="149" t="s">
        <v>95</v>
      </c>
      <c r="B9" s="149" t="s">
        <v>96</v>
      </c>
      <c r="C9" s="216" t="s">
        <v>69</v>
      </c>
      <c r="D9" s="216">
        <v>119.99</v>
      </c>
      <c r="E9" s="217">
        <v>10</v>
      </c>
      <c r="F9" s="219" t="s">
        <v>97</v>
      </c>
      <c r="G9" s="218">
        <f t="shared" si="0"/>
        <v>8.28571428571429</v>
      </c>
      <c r="H9" s="149">
        <f t="shared" si="1"/>
        <v>58</v>
      </c>
      <c r="I9" s="149">
        <v>20</v>
      </c>
      <c r="J9" s="149">
        <v>4.6</v>
      </c>
      <c r="K9" s="149"/>
      <c r="L9" s="228"/>
      <c r="M9" s="149">
        <v>58</v>
      </c>
      <c r="N9" s="149">
        <f t="shared" si="2"/>
        <v>6959.42</v>
      </c>
      <c r="O9" s="151">
        <v>68</v>
      </c>
      <c r="P9" s="150">
        <f t="shared" si="3"/>
        <v>0.121848739495798</v>
      </c>
      <c r="Q9" s="216" t="s">
        <v>91</v>
      </c>
      <c r="R9" s="239">
        <f t="shared" si="4"/>
        <v>18.6428571428571</v>
      </c>
      <c r="S9" s="218">
        <f t="shared" si="5"/>
        <v>20.7142857142857</v>
      </c>
      <c r="T9" s="239">
        <v>0.9</v>
      </c>
      <c r="U9" s="240">
        <v>0.16</v>
      </c>
      <c r="V9" s="151">
        <f t="shared" si="6"/>
        <v>3.31428571428571</v>
      </c>
      <c r="W9" s="241">
        <v>0.4</v>
      </c>
      <c r="X9" s="149">
        <f>X8-H8+900</f>
        <v>2490</v>
      </c>
      <c r="Y9" s="149">
        <v>600</v>
      </c>
      <c r="Z9" s="149">
        <f>Z8-900</f>
        <v>270</v>
      </c>
      <c r="AA9" s="149">
        <v>0</v>
      </c>
      <c r="AB9" s="149">
        <v>1310</v>
      </c>
      <c r="AC9" s="149"/>
      <c r="AD9" s="149" t="s">
        <v>98</v>
      </c>
      <c r="AE9" s="212"/>
    </row>
    <row r="10" ht="42.55" customHeight="1" spans="1:31">
      <c r="A10" s="149" t="s">
        <v>99</v>
      </c>
      <c r="B10" s="149" t="s">
        <v>100</v>
      </c>
      <c r="C10" s="216" t="s">
        <v>69</v>
      </c>
      <c r="D10" s="216">
        <v>119.99</v>
      </c>
      <c r="E10" s="217">
        <v>10</v>
      </c>
      <c r="F10" s="216" t="s">
        <v>77</v>
      </c>
      <c r="G10" s="218">
        <f t="shared" si="0"/>
        <v>7.14285714285714</v>
      </c>
      <c r="H10" s="149">
        <f t="shared" si="1"/>
        <v>50</v>
      </c>
      <c r="I10" s="149">
        <v>25</v>
      </c>
      <c r="J10" s="149">
        <v>4.6</v>
      </c>
      <c r="K10" s="149"/>
      <c r="L10" s="228"/>
      <c r="M10" s="149">
        <v>50</v>
      </c>
      <c r="N10" s="149">
        <f t="shared" si="2"/>
        <v>5999.5</v>
      </c>
      <c r="O10" s="151">
        <v>68</v>
      </c>
      <c r="P10" s="150">
        <f t="shared" si="3"/>
        <v>0.105042016806723</v>
      </c>
      <c r="Q10" s="216" t="s">
        <v>101</v>
      </c>
      <c r="R10" s="239">
        <f t="shared" si="4"/>
        <v>18.0803571428571</v>
      </c>
      <c r="S10" s="218">
        <f t="shared" si="5"/>
        <v>20.0892857142857</v>
      </c>
      <c r="T10" s="239">
        <v>0.9</v>
      </c>
      <c r="U10" s="240">
        <v>0.16</v>
      </c>
      <c r="V10" s="151">
        <f t="shared" si="6"/>
        <v>3.21428571428571</v>
      </c>
      <c r="W10" s="241">
        <v>0.45</v>
      </c>
      <c r="X10" s="149">
        <f>X9-H9</f>
        <v>2432</v>
      </c>
      <c r="Y10" s="149">
        <v>600</v>
      </c>
      <c r="Z10" s="149">
        <v>1580</v>
      </c>
      <c r="AA10" s="149">
        <v>1500</v>
      </c>
      <c r="AB10" s="149">
        <v>0</v>
      </c>
      <c r="AC10" s="149" t="s">
        <v>102</v>
      </c>
      <c r="AD10" s="149"/>
      <c r="AE10" s="212"/>
    </row>
    <row r="11" ht="42.55" customHeight="1" spans="1:31">
      <c r="A11" s="149" t="s">
        <v>103</v>
      </c>
      <c r="B11" s="149" t="s">
        <v>104</v>
      </c>
      <c r="C11" s="216" t="s">
        <v>69</v>
      </c>
      <c r="D11" s="216">
        <v>119.99</v>
      </c>
      <c r="E11" s="216">
        <v>10</v>
      </c>
      <c r="F11" s="216" t="s">
        <v>77</v>
      </c>
      <c r="G11" s="218">
        <f t="shared" si="0"/>
        <v>7.85714285714286</v>
      </c>
      <c r="H11" s="149">
        <f t="shared" si="1"/>
        <v>55</v>
      </c>
      <c r="I11" s="149">
        <v>24</v>
      </c>
      <c r="J11" s="149">
        <v>4.6</v>
      </c>
      <c r="K11" s="149"/>
      <c r="L11" s="228"/>
      <c r="M11" s="149">
        <v>55</v>
      </c>
      <c r="N11" s="149">
        <f t="shared" si="2"/>
        <v>6599.45</v>
      </c>
      <c r="O11" s="151">
        <v>70</v>
      </c>
      <c r="P11" s="150">
        <f t="shared" si="3"/>
        <v>0.112244897959184</v>
      </c>
      <c r="Q11" s="216" t="s">
        <v>101</v>
      </c>
      <c r="R11" s="239">
        <f t="shared" si="4"/>
        <v>17.6785714285714</v>
      </c>
      <c r="S11" s="218">
        <f t="shared" si="5"/>
        <v>19.6428571428571</v>
      </c>
      <c r="T11" s="239">
        <v>0.9</v>
      </c>
      <c r="U11" s="240">
        <v>0.16</v>
      </c>
      <c r="V11" s="151">
        <f t="shared" si="6"/>
        <v>3.14285714285714</v>
      </c>
      <c r="W11" s="241">
        <v>0.4</v>
      </c>
      <c r="X11" s="149">
        <f>X10-H10+900</f>
        <v>3282</v>
      </c>
      <c r="Y11" s="149">
        <v>600</v>
      </c>
      <c r="Z11" s="149">
        <v>680</v>
      </c>
      <c r="AA11" s="149">
        <v>0</v>
      </c>
      <c r="AB11" s="149" t="s">
        <v>105</v>
      </c>
      <c r="AC11" s="149"/>
      <c r="AD11" s="149">
        <v>2100</v>
      </c>
      <c r="AE11" s="212"/>
    </row>
    <row r="12" ht="42.55" customHeight="1" spans="1:31">
      <c r="A12" s="149" t="s">
        <v>106</v>
      </c>
      <c r="B12" s="149" t="s">
        <v>107</v>
      </c>
      <c r="C12" s="216" t="s">
        <v>69</v>
      </c>
      <c r="D12" s="216">
        <v>119.99</v>
      </c>
      <c r="E12" s="216">
        <v>10</v>
      </c>
      <c r="F12" s="219" t="s">
        <v>97</v>
      </c>
      <c r="G12" s="218">
        <f t="shared" si="0"/>
        <v>9.28571428571429</v>
      </c>
      <c r="H12" s="149">
        <f t="shared" si="1"/>
        <v>65</v>
      </c>
      <c r="I12" s="149">
        <v>20</v>
      </c>
      <c r="J12" s="149">
        <v>4.6</v>
      </c>
      <c r="K12" s="149"/>
      <c r="L12" s="228"/>
      <c r="M12" s="230">
        <v>65</v>
      </c>
      <c r="N12" s="149">
        <f t="shared" si="2"/>
        <v>7799.35</v>
      </c>
      <c r="O12" s="151">
        <v>75</v>
      </c>
      <c r="P12" s="150">
        <f t="shared" si="3"/>
        <v>0.123809523809524</v>
      </c>
      <c r="Q12" s="216" t="s">
        <v>101</v>
      </c>
      <c r="R12" s="239">
        <f t="shared" si="4"/>
        <v>18.28125</v>
      </c>
      <c r="S12" s="218">
        <f t="shared" si="5"/>
        <v>20.3125</v>
      </c>
      <c r="T12" s="239">
        <v>0.9</v>
      </c>
      <c r="U12" s="240">
        <v>0.16</v>
      </c>
      <c r="V12" s="151">
        <f t="shared" si="6"/>
        <v>3.25</v>
      </c>
      <c r="W12" s="241">
        <v>0.35</v>
      </c>
      <c r="X12" s="149">
        <f>X11-H11</f>
        <v>3227</v>
      </c>
      <c r="Y12" s="149">
        <v>600</v>
      </c>
      <c r="Z12" s="149">
        <v>680</v>
      </c>
      <c r="AA12" s="149">
        <v>0</v>
      </c>
      <c r="AB12" s="149">
        <v>1500</v>
      </c>
      <c r="AC12" s="149" t="s">
        <v>108</v>
      </c>
      <c r="AD12" s="149"/>
      <c r="AE12" s="212"/>
    </row>
    <row r="13" ht="42.55" customHeight="1" spans="1:31">
      <c r="A13" s="149" t="s">
        <v>109</v>
      </c>
      <c r="B13" s="149" t="s">
        <v>110</v>
      </c>
      <c r="C13" s="216" t="s">
        <v>69</v>
      </c>
      <c r="D13" s="216">
        <v>119.99</v>
      </c>
      <c r="E13" s="216">
        <v>10</v>
      </c>
      <c r="F13" s="216" t="s">
        <v>77</v>
      </c>
      <c r="G13" s="218">
        <f t="shared" si="0"/>
        <v>10.2857142857143</v>
      </c>
      <c r="H13" s="149">
        <f t="shared" si="1"/>
        <v>72</v>
      </c>
      <c r="I13" s="149">
        <v>22</v>
      </c>
      <c r="J13" s="149">
        <v>4.6</v>
      </c>
      <c r="K13" s="149"/>
      <c r="L13" s="228"/>
      <c r="M13" s="230">
        <v>72</v>
      </c>
      <c r="N13" s="149">
        <f t="shared" si="2"/>
        <v>8639.28</v>
      </c>
      <c r="O13" s="151">
        <v>75</v>
      </c>
      <c r="P13" s="150">
        <f t="shared" si="3"/>
        <v>0.137142857142857</v>
      </c>
      <c r="Q13" s="216" t="s">
        <v>101</v>
      </c>
      <c r="R13" s="239">
        <f t="shared" si="4"/>
        <v>20.25</v>
      </c>
      <c r="S13" s="218">
        <f t="shared" si="5"/>
        <v>22.5</v>
      </c>
      <c r="T13" s="239">
        <v>0.9</v>
      </c>
      <c r="U13" s="240">
        <v>0.16</v>
      </c>
      <c r="V13" s="151">
        <f t="shared" si="6"/>
        <v>3.6</v>
      </c>
      <c r="W13" s="241">
        <v>0.35</v>
      </c>
      <c r="X13" s="149">
        <f>X12-H12+680</f>
        <v>3842</v>
      </c>
      <c r="Y13" s="149">
        <v>600</v>
      </c>
      <c r="Z13" s="149">
        <v>0</v>
      </c>
      <c r="AA13" s="149">
        <v>1980</v>
      </c>
      <c r="AB13" s="149">
        <v>1500</v>
      </c>
      <c r="AC13" s="149"/>
      <c r="AD13" s="149"/>
      <c r="AE13" s="212"/>
    </row>
    <row r="14" ht="42.55" customHeight="1" spans="1:31">
      <c r="A14" s="149" t="s">
        <v>111</v>
      </c>
      <c r="B14" s="149" t="s">
        <v>112</v>
      </c>
      <c r="C14" s="216" t="s">
        <v>69</v>
      </c>
      <c r="D14" s="216">
        <v>119.99</v>
      </c>
      <c r="E14" s="216">
        <v>10</v>
      </c>
      <c r="F14" s="216" t="s">
        <v>77</v>
      </c>
      <c r="G14" s="218">
        <f t="shared" si="0"/>
        <v>10.7142857142857</v>
      </c>
      <c r="H14" s="149">
        <f t="shared" si="1"/>
        <v>75</v>
      </c>
      <c r="I14" s="149">
        <v>21</v>
      </c>
      <c r="J14" s="149">
        <v>4.6</v>
      </c>
      <c r="K14" s="149"/>
      <c r="L14" s="228"/>
      <c r="M14" s="230">
        <v>75</v>
      </c>
      <c r="N14" s="149">
        <f t="shared" si="2"/>
        <v>8999.25</v>
      </c>
      <c r="O14" s="151">
        <v>75</v>
      </c>
      <c r="P14" s="150">
        <f t="shared" si="3"/>
        <v>0.142857142857143</v>
      </c>
      <c r="Q14" s="216" t="s">
        <v>101</v>
      </c>
      <c r="R14" s="239">
        <f t="shared" si="4"/>
        <v>18.0803571428571</v>
      </c>
      <c r="S14" s="218">
        <f t="shared" si="5"/>
        <v>20.0892857142857</v>
      </c>
      <c r="T14" s="239">
        <v>0.9</v>
      </c>
      <c r="U14" s="240">
        <v>0.16</v>
      </c>
      <c r="V14" s="151">
        <f t="shared" si="6"/>
        <v>3.21428571428571</v>
      </c>
      <c r="W14" s="241">
        <v>0.3</v>
      </c>
      <c r="X14" s="149">
        <v>1355</v>
      </c>
      <c r="Y14" s="149">
        <f>Y13-H13</f>
        <v>528</v>
      </c>
      <c r="Z14" s="149">
        <v>1500</v>
      </c>
      <c r="AA14" s="149">
        <v>0</v>
      </c>
      <c r="AB14" s="149" t="s">
        <v>113</v>
      </c>
      <c r="AC14" s="149"/>
      <c r="AD14" s="149"/>
      <c r="AE14" s="212" t="s">
        <v>114</v>
      </c>
    </row>
    <row r="15" ht="42.55" customHeight="1" spans="1:31">
      <c r="A15" s="149" t="s">
        <v>115</v>
      </c>
      <c r="B15" s="149" t="s">
        <v>116</v>
      </c>
      <c r="C15" s="216" t="s">
        <v>69</v>
      </c>
      <c r="D15" s="216">
        <v>119.99</v>
      </c>
      <c r="E15" s="216">
        <v>10</v>
      </c>
      <c r="F15" s="219" t="s">
        <v>97</v>
      </c>
      <c r="G15" s="218">
        <f t="shared" si="0"/>
        <v>11.4285714285714</v>
      </c>
      <c r="H15" s="149">
        <f t="shared" si="1"/>
        <v>80</v>
      </c>
      <c r="I15" s="149">
        <v>20</v>
      </c>
      <c r="J15" s="149">
        <v>4.6</v>
      </c>
      <c r="K15" s="149"/>
      <c r="L15" s="228"/>
      <c r="M15" s="230">
        <v>80</v>
      </c>
      <c r="N15" s="149">
        <f t="shared" si="2"/>
        <v>9599.2</v>
      </c>
      <c r="O15" s="151">
        <v>75</v>
      </c>
      <c r="P15" s="150">
        <f t="shared" si="3"/>
        <v>0.152380952380952</v>
      </c>
      <c r="Q15" s="216" t="s">
        <v>101</v>
      </c>
      <c r="R15" s="239">
        <f t="shared" si="4"/>
        <v>18.1512605042017</v>
      </c>
      <c r="S15" s="218">
        <f t="shared" si="5"/>
        <v>20.1680672268908</v>
      </c>
      <c r="T15" s="239">
        <v>0.9</v>
      </c>
      <c r="U15" s="240">
        <v>0.17</v>
      </c>
      <c r="V15" s="151">
        <f t="shared" si="6"/>
        <v>3.42857142857143</v>
      </c>
      <c r="W15" s="241">
        <v>0.3</v>
      </c>
      <c r="X15" s="149">
        <f t="shared" ref="X15:X21" si="7">X14-H14</f>
        <v>1280</v>
      </c>
      <c r="Y15" s="149">
        <v>264</v>
      </c>
      <c r="Z15" s="149">
        <v>1500</v>
      </c>
      <c r="AA15" s="149">
        <v>2100</v>
      </c>
      <c r="AB15" s="149">
        <v>1980</v>
      </c>
      <c r="AC15" s="149"/>
      <c r="AD15" s="149"/>
      <c r="AE15" s="212"/>
    </row>
    <row r="16" ht="42.5" customHeight="1" spans="1:31">
      <c r="A16" s="149" t="s">
        <v>117</v>
      </c>
      <c r="B16" s="149" t="s">
        <v>118</v>
      </c>
      <c r="C16" s="216" t="s">
        <v>69</v>
      </c>
      <c r="D16" s="216">
        <v>119.99</v>
      </c>
      <c r="E16" s="220">
        <v>0.1</v>
      </c>
      <c r="F16" s="219" t="s">
        <v>97</v>
      </c>
      <c r="G16" s="218">
        <f t="shared" si="0"/>
        <v>12.1428571428571</v>
      </c>
      <c r="H16" s="149">
        <f t="shared" si="1"/>
        <v>85</v>
      </c>
      <c r="I16" s="149">
        <v>20</v>
      </c>
      <c r="J16" s="149">
        <v>4.6</v>
      </c>
      <c r="K16" s="149"/>
      <c r="L16" s="228"/>
      <c r="M16" s="230">
        <v>85</v>
      </c>
      <c r="N16" s="149">
        <f t="shared" si="2"/>
        <v>10199.15</v>
      </c>
      <c r="O16" s="151">
        <v>75</v>
      </c>
      <c r="P16" s="150">
        <f t="shared" si="3"/>
        <v>0.161904761904762</v>
      </c>
      <c r="Q16" s="216" t="s">
        <v>101</v>
      </c>
      <c r="R16" s="239">
        <f t="shared" si="4"/>
        <v>19.2857142857143</v>
      </c>
      <c r="S16" s="218">
        <f t="shared" si="5"/>
        <v>21.4285714285714</v>
      </c>
      <c r="T16" s="239">
        <v>0.9</v>
      </c>
      <c r="U16" s="240">
        <v>0.17</v>
      </c>
      <c r="V16" s="151">
        <f t="shared" si="6"/>
        <v>3.64285714285714</v>
      </c>
      <c r="W16" s="241">
        <v>0.3</v>
      </c>
      <c r="X16" s="149">
        <f t="shared" si="7"/>
        <v>1200</v>
      </c>
      <c r="Y16" s="149">
        <v>264</v>
      </c>
      <c r="Z16" s="149">
        <v>1500</v>
      </c>
      <c r="AA16" s="149">
        <v>2100</v>
      </c>
      <c r="AB16" s="149">
        <v>1980</v>
      </c>
      <c r="AC16" s="149"/>
      <c r="AD16" s="149"/>
      <c r="AE16" s="212"/>
    </row>
    <row r="17" ht="42.5" customHeight="1" spans="1:31">
      <c r="A17" s="149" t="s">
        <v>119</v>
      </c>
      <c r="B17" s="149" t="s">
        <v>120</v>
      </c>
      <c r="C17" s="216" t="s">
        <v>69</v>
      </c>
      <c r="D17" s="216">
        <v>119.99</v>
      </c>
      <c r="E17" s="220">
        <v>0.1</v>
      </c>
      <c r="F17" s="219" t="s">
        <v>97</v>
      </c>
      <c r="G17" s="218">
        <f t="shared" si="0"/>
        <v>13.5714285714286</v>
      </c>
      <c r="H17" s="149">
        <f t="shared" si="1"/>
        <v>95</v>
      </c>
      <c r="I17" s="149">
        <v>20</v>
      </c>
      <c r="J17" s="149">
        <v>4.6</v>
      </c>
      <c r="K17" s="149"/>
      <c r="L17" s="228"/>
      <c r="M17" s="230">
        <v>95</v>
      </c>
      <c r="N17" s="149">
        <f t="shared" si="2"/>
        <v>11399.05</v>
      </c>
      <c r="O17" s="151">
        <v>80</v>
      </c>
      <c r="P17" s="150">
        <f t="shared" si="3"/>
        <v>0.169642857142857</v>
      </c>
      <c r="Q17" s="216" t="s">
        <v>101</v>
      </c>
      <c r="R17" s="239">
        <f t="shared" si="4"/>
        <v>21.5546218487395</v>
      </c>
      <c r="S17" s="218">
        <f t="shared" si="5"/>
        <v>23.9495798319328</v>
      </c>
      <c r="T17" s="239">
        <v>0.9</v>
      </c>
      <c r="U17" s="240">
        <v>0.17</v>
      </c>
      <c r="V17" s="151">
        <f t="shared" si="6"/>
        <v>4.07142857142857</v>
      </c>
      <c r="W17" s="241">
        <v>0.3</v>
      </c>
      <c r="X17" s="149">
        <f t="shared" si="7"/>
        <v>1115</v>
      </c>
      <c r="Y17" s="149">
        <v>264</v>
      </c>
      <c r="Z17" s="149">
        <v>1500</v>
      </c>
      <c r="AA17" s="149">
        <v>2100</v>
      </c>
      <c r="AB17" s="149">
        <v>1980</v>
      </c>
      <c r="AC17" s="149"/>
      <c r="AD17" s="149"/>
      <c r="AE17" s="212"/>
    </row>
    <row r="18" ht="42.5" customHeight="1" spans="1:31">
      <c r="A18" s="149" t="s">
        <v>121</v>
      </c>
      <c r="B18" s="149" t="s">
        <v>122</v>
      </c>
      <c r="C18" s="216" t="s">
        <v>69</v>
      </c>
      <c r="D18" s="216">
        <v>119.99</v>
      </c>
      <c r="E18" s="220">
        <v>0.1</v>
      </c>
      <c r="F18" s="219" t="s">
        <v>97</v>
      </c>
      <c r="G18" s="218">
        <f t="shared" si="0"/>
        <v>14.2857142857143</v>
      </c>
      <c r="H18" s="149">
        <f t="shared" si="1"/>
        <v>100</v>
      </c>
      <c r="I18" s="149">
        <v>20</v>
      </c>
      <c r="J18" s="149">
        <v>4.6</v>
      </c>
      <c r="K18" s="149"/>
      <c r="L18" s="228"/>
      <c r="M18" s="230">
        <v>100</v>
      </c>
      <c r="N18" s="149">
        <f t="shared" si="2"/>
        <v>11999</v>
      </c>
      <c r="O18" s="151">
        <v>80</v>
      </c>
      <c r="P18" s="150">
        <f t="shared" si="3"/>
        <v>0.178571428571429</v>
      </c>
      <c r="Q18" s="216" t="s">
        <v>101</v>
      </c>
      <c r="R18" s="239">
        <f t="shared" si="4"/>
        <v>22.6890756302521</v>
      </c>
      <c r="S18" s="218">
        <f t="shared" si="5"/>
        <v>25.2100840336134</v>
      </c>
      <c r="T18" s="239">
        <v>0.9</v>
      </c>
      <c r="U18" s="240">
        <v>0.17</v>
      </c>
      <c r="V18" s="151">
        <f t="shared" si="6"/>
        <v>4.28571428571429</v>
      </c>
      <c r="W18" s="241">
        <v>0.3</v>
      </c>
      <c r="X18" s="149">
        <f t="shared" si="7"/>
        <v>1020</v>
      </c>
      <c r="Y18" s="149">
        <v>264</v>
      </c>
      <c r="Z18" s="149">
        <v>1500</v>
      </c>
      <c r="AA18" s="149">
        <v>2100</v>
      </c>
      <c r="AB18" s="149">
        <v>1980</v>
      </c>
      <c r="AC18" s="149"/>
      <c r="AD18" s="149"/>
      <c r="AE18" s="212"/>
    </row>
    <row r="19" ht="42.5" customHeight="1" spans="1:31">
      <c r="A19" s="149" t="s">
        <v>123</v>
      </c>
      <c r="B19" s="149" t="s">
        <v>124</v>
      </c>
      <c r="C19" s="216" t="s">
        <v>69</v>
      </c>
      <c r="D19" s="216">
        <v>119.99</v>
      </c>
      <c r="E19" s="220">
        <v>0.1</v>
      </c>
      <c r="F19" s="219" t="s">
        <v>97</v>
      </c>
      <c r="G19" s="218">
        <f t="shared" si="0"/>
        <v>11.4285714285714</v>
      </c>
      <c r="H19" s="149">
        <f t="shared" si="1"/>
        <v>80</v>
      </c>
      <c r="I19" s="149">
        <v>20</v>
      </c>
      <c r="J19" s="149">
        <v>4.6</v>
      </c>
      <c r="K19" s="149"/>
      <c r="L19" s="228"/>
      <c r="M19" s="230">
        <v>80</v>
      </c>
      <c r="N19" s="149">
        <f t="shared" si="2"/>
        <v>9599.2</v>
      </c>
      <c r="O19" s="151">
        <v>80</v>
      </c>
      <c r="P19" s="150">
        <f t="shared" si="3"/>
        <v>0.142857142857143</v>
      </c>
      <c r="Q19" s="216" t="s">
        <v>101</v>
      </c>
      <c r="R19" s="239">
        <f t="shared" si="4"/>
        <v>18.1512605042017</v>
      </c>
      <c r="S19" s="218">
        <f t="shared" si="5"/>
        <v>20.1680672268908</v>
      </c>
      <c r="T19" s="239">
        <v>0.9</v>
      </c>
      <c r="U19" s="240">
        <v>0.17</v>
      </c>
      <c r="V19" s="151">
        <f t="shared" si="6"/>
        <v>3.42857142857143</v>
      </c>
      <c r="W19" s="241">
        <v>0.3</v>
      </c>
      <c r="X19" s="149">
        <f t="shared" si="7"/>
        <v>920</v>
      </c>
      <c r="Y19" s="149">
        <v>264</v>
      </c>
      <c r="Z19" s="149">
        <v>1500</v>
      </c>
      <c r="AA19" s="149">
        <v>2100</v>
      </c>
      <c r="AB19" s="149">
        <v>1980</v>
      </c>
      <c r="AC19" s="149"/>
      <c r="AD19" s="149"/>
      <c r="AE19" s="212"/>
    </row>
    <row r="20" ht="42.5" customHeight="1" spans="1:31">
      <c r="A20" s="149" t="s">
        <v>125</v>
      </c>
      <c r="B20" s="149" t="s">
        <v>126</v>
      </c>
      <c r="C20" s="216" t="s">
        <v>69</v>
      </c>
      <c r="D20" s="216">
        <v>119.99</v>
      </c>
      <c r="E20" s="220">
        <v>0.1</v>
      </c>
      <c r="F20" s="219" t="s">
        <v>97</v>
      </c>
      <c r="G20" s="218">
        <f t="shared" si="0"/>
        <v>8.57142857142857</v>
      </c>
      <c r="H20" s="149">
        <f t="shared" si="1"/>
        <v>60</v>
      </c>
      <c r="I20" s="149">
        <v>20</v>
      </c>
      <c r="J20" s="149">
        <v>4.6</v>
      </c>
      <c r="K20" s="149"/>
      <c r="L20" s="228"/>
      <c r="M20" s="230">
        <v>60</v>
      </c>
      <c r="N20" s="149">
        <f t="shared" si="2"/>
        <v>7199.4</v>
      </c>
      <c r="O20" s="151">
        <v>60</v>
      </c>
      <c r="P20" s="150">
        <f t="shared" si="3"/>
        <v>0.142857142857143</v>
      </c>
      <c r="Q20" s="216" t="s">
        <v>101</v>
      </c>
      <c r="R20" s="239">
        <f t="shared" si="4"/>
        <v>13.6134453781513</v>
      </c>
      <c r="S20" s="218">
        <f t="shared" si="5"/>
        <v>15.1260504201681</v>
      </c>
      <c r="T20" s="239">
        <v>0.9</v>
      </c>
      <c r="U20" s="240">
        <v>0.17</v>
      </c>
      <c r="V20" s="151">
        <f t="shared" si="6"/>
        <v>2.57142857142857</v>
      </c>
      <c r="W20" s="241">
        <v>0.3</v>
      </c>
      <c r="X20" s="149">
        <f t="shared" si="7"/>
        <v>840</v>
      </c>
      <c r="Y20" s="149">
        <v>264</v>
      </c>
      <c r="Z20" s="149">
        <v>1500</v>
      </c>
      <c r="AA20" s="149">
        <v>2100</v>
      </c>
      <c r="AB20" s="149">
        <v>1980</v>
      </c>
      <c r="AC20" s="149"/>
      <c r="AD20" s="149"/>
      <c r="AE20" s="212"/>
    </row>
    <row r="21" ht="42.5" customHeight="1" spans="1:31">
      <c r="A21" s="221" t="s">
        <v>127</v>
      </c>
      <c r="B21" s="221" t="s">
        <v>128</v>
      </c>
      <c r="C21" s="216" t="s">
        <v>69</v>
      </c>
      <c r="D21" s="222">
        <v>119.99</v>
      </c>
      <c r="E21" s="223">
        <v>0.1</v>
      </c>
      <c r="F21" s="224" t="s">
        <v>97</v>
      </c>
      <c r="G21" s="225">
        <f t="shared" si="0"/>
        <v>9.28571428571429</v>
      </c>
      <c r="H21" s="221">
        <f t="shared" si="1"/>
        <v>65</v>
      </c>
      <c r="I21" s="221">
        <v>20</v>
      </c>
      <c r="J21" s="221">
        <v>4.6</v>
      </c>
      <c r="K21" s="221"/>
      <c r="L21" s="231"/>
      <c r="M21" s="230">
        <v>65</v>
      </c>
      <c r="N21" s="221">
        <f t="shared" si="2"/>
        <v>7799.35</v>
      </c>
      <c r="O21" s="232">
        <v>60</v>
      </c>
      <c r="P21" s="233">
        <f t="shared" si="3"/>
        <v>0.154761904761905</v>
      </c>
      <c r="Q21" s="222" t="s">
        <v>101</v>
      </c>
      <c r="R21" s="242">
        <f t="shared" si="4"/>
        <v>14.7478991596639</v>
      </c>
      <c r="S21" s="225">
        <f t="shared" si="5"/>
        <v>16.3865546218487</v>
      </c>
      <c r="T21" s="239">
        <v>0.9</v>
      </c>
      <c r="U21" s="243">
        <v>0.17</v>
      </c>
      <c r="V21" s="232">
        <f t="shared" si="6"/>
        <v>2.78571428571429</v>
      </c>
      <c r="W21" s="244">
        <v>0.3</v>
      </c>
      <c r="X21" s="221">
        <f t="shared" si="7"/>
        <v>780</v>
      </c>
      <c r="Y21" s="221">
        <v>264</v>
      </c>
      <c r="Z21" s="221">
        <v>1500</v>
      </c>
      <c r="AA21" s="221">
        <v>2100</v>
      </c>
      <c r="AB21" s="221">
        <v>1980</v>
      </c>
      <c r="AC21" s="221"/>
      <c r="AD21" s="221"/>
      <c r="AE21" s="212"/>
    </row>
    <row r="22" ht="54.45" customHeight="1" spans="1:31">
      <c r="A22" s="221" t="s">
        <v>129</v>
      </c>
      <c r="B22" s="221" t="s">
        <v>128</v>
      </c>
      <c r="C22" s="216" t="s">
        <v>69</v>
      </c>
      <c r="D22" s="222">
        <v>119.99</v>
      </c>
      <c r="E22" s="223">
        <v>0.1</v>
      </c>
      <c r="F22" s="224" t="s">
        <v>97</v>
      </c>
      <c r="G22" s="225">
        <f t="shared" si="0"/>
        <v>10.7142857142857</v>
      </c>
      <c r="H22" s="221">
        <f t="shared" si="1"/>
        <v>75</v>
      </c>
      <c r="I22" s="221">
        <v>20</v>
      </c>
      <c r="J22" s="221">
        <v>4.6</v>
      </c>
      <c r="K22" s="234"/>
      <c r="L22" s="234"/>
      <c r="M22" s="235">
        <v>75</v>
      </c>
      <c r="N22" s="221">
        <f t="shared" si="2"/>
        <v>8999.25</v>
      </c>
      <c r="O22" s="232">
        <v>60</v>
      </c>
      <c r="P22" s="233">
        <f t="shared" si="3"/>
        <v>0.178571428571429</v>
      </c>
      <c r="Q22" s="222" t="s">
        <v>101</v>
      </c>
      <c r="R22" s="242">
        <f>T22*S22</f>
        <v>13.5</v>
      </c>
      <c r="S22" s="225">
        <v>15</v>
      </c>
      <c r="T22" s="239">
        <v>0.9</v>
      </c>
      <c r="U22" s="241">
        <v>0.17</v>
      </c>
      <c r="V22" s="234">
        <v>2</v>
      </c>
      <c r="W22" s="244">
        <v>0.3</v>
      </c>
      <c r="X22" s="221">
        <f>X21-H21</f>
        <v>715</v>
      </c>
      <c r="Y22" s="221">
        <v>264</v>
      </c>
      <c r="Z22" s="221">
        <v>1500</v>
      </c>
      <c r="AA22" s="221">
        <v>2100</v>
      </c>
      <c r="AB22" s="221">
        <v>1980</v>
      </c>
      <c r="AC22" s="234"/>
      <c r="AD22" s="234"/>
      <c r="AE22" s="234"/>
    </row>
    <row r="23" ht="54.45" customHeight="1" spans="1:31">
      <c r="A23" s="221" t="s">
        <v>130</v>
      </c>
      <c r="B23" s="221" t="s">
        <v>128</v>
      </c>
      <c r="C23" s="216" t="s">
        <v>69</v>
      </c>
      <c r="D23" s="222">
        <v>119.99</v>
      </c>
      <c r="E23" s="223">
        <v>0.1</v>
      </c>
      <c r="F23" s="224" t="s">
        <v>97</v>
      </c>
      <c r="G23" s="225">
        <f t="shared" si="0"/>
        <v>11.4285714285714</v>
      </c>
      <c r="H23" s="221">
        <f t="shared" si="1"/>
        <v>80</v>
      </c>
      <c r="I23" s="221">
        <v>20</v>
      </c>
      <c r="J23" s="221">
        <v>4.6</v>
      </c>
      <c r="K23" s="234"/>
      <c r="L23" s="234"/>
      <c r="M23" s="235">
        <v>80</v>
      </c>
      <c r="N23" s="221">
        <f t="shared" si="2"/>
        <v>9599.2</v>
      </c>
      <c r="O23" s="232">
        <v>60</v>
      </c>
      <c r="P23" s="233">
        <f t="shared" si="3"/>
        <v>0.19047619047619</v>
      </c>
      <c r="Q23" s="222" t="s">
        <v>101</v>
      </c>
      <c r="R23" s="242">
        <f t="shared" si="4"/>
        <v>13.5</v>
      </c>
      <c r="S23" s="225">
        <v>15</v>
      </c>
      <c r="T23" s="239">
        <v>0.9</v>
      </c>
      <c r="U23" s="241">
        <v>0.17</v>
      </c>
      <c r="V23" s="234">
        <v>2</v>
      </c>
      <c r="W23" s="244">
        <v>0.3</v>
      </c>
      <c r="X23" s="221">
        <f t="shared" ref="X23:X29" si="8">X22-H22</f>
        <v>640</v>
      </c>
      <c r="Y23" s="221">
        <v>264</v>
      </c>
      <c r="Z23" s="221">
        <v>1500</v>
      </c>
      <c r="AA23" s="221">
        <v>2100</v>
      </c>
      <c r="AB23" s="221">
        <v>1980</v>
      </c>
      <c r="AC23" s="234"/>
      <c r="AD23" s="234"/>
      <c r="AE23" s="234"/>
    </row>
    <row r="24" ht="54.45" customHeight="1" spans="1:31">
      <c r="A24" s="221" t="s">
        <v>131</v>
      </c>
      <c r="B24" s="221" t="s">
        <v>128</v>
      </c>
      <c r="C24" s="216" t="s">
        <v>69</v>
      </c>
      <c r="D24" s="222">
        <v>119.99</v>
      </c>
      <c r="E24" s="223">
        <v>0.1</v>
      </c>
      <c r="F24" s="224" t="s">
        <v>97</v>
      </c>
      <c r="G24" s="225">
        <f t="shared" si="0"/>
        <v>12.8571428571429</v>
      </c>
      <c r="H24" s="221">
        <f t="shared" si="1"/>
        <v>90</v>
      </c>
      <c r="I24" s="221">
        <v>20</v>
      </c>
      <c r="J24" s="221">
        <v>4.6</v>
      </c>
      <c r="K24" s="234"/>
      <c r="L24" s="234"/>
      <c r="M24" s="235">
        <v>90</v>
      </c>
      <c r="N24" s="221">
        <f t="shared" si="2"/>
        <v>10799.1</v>
      </c>
      <c r="O24" s="232">
        <v>60</v>
      </c>
      <c r="P24" s="233">
        <f t="shared" si="3"/>
        <v>0.214285714285714</v>
      </c>
      <c r="Q24" s="222" t="s">
        <v>101</v>
      </c>
      <c r="R24" s="242">
        <f t="shared" si="4"/>
        <v>13.5</v>
      </c>
      <c r="S24" s="225">
        <v>15</v>
      </c>
      <c r="T24" s="239">
        <v>0.9</v>
      </c>
      <c r="U24" s="241">
        <v>0.17</v>
      </c>
      <c r="V24" s="234">
        <v>2</v>
      </c>
      <c r="W24" s="244">
        <v>0.3</v>
      </c>
      <c r="X24" s="221">
        <f t="shared" si="8"/>
        <v>560</v>
      </c>
      <c r="Y24" s="221">
        <v>264</v>
      </c>
      <c r="Z24" s="221">
        <v>1500</v>
      </c>
      <c r="AA24" s="221">
        <v>2100</v>
      </c>
      <c r="AB24" s="221">
        <v>1980</v>
      </c>
      <c r="AC24" s="234"/>
      <c r="AD24" s="234"/>
      <c r="AE24" s="234"/>
    </row>
    <row r="25" ht="54.45" customHeight="1" spans="1:31">
      <c r="A25" s="221" t="s">
        <v>132</v>
      </c>
      <c r="B25" s="221" t="s">
        <v>128</v>
      </c>
      <c r="C25" s="216" t="s">
        <v>69</v>
      </c>
      <c r="D25" s="222">
        <v>119.99</v>
      </c>
      <c r="E25" s="223">
        <v>0.1</v>
      </c>
      <c r="F25" s="224" t="s">
        <v>97</v>
      </c>
      <c r="G25" s="225">
        <f t="shared" si="0"/>
        <v>13.5714285714286</v>
      </c>
      <c r="H25" s="221">
        <f t="shared" si="1"/>
        <v>95</v>
      </c>
      <c r="I25" s="221">
        <v>20</v>
      </c>
      <c r="J25" s="221">
        <v>4.6</v>
      </c>
      <c r="K25" s="234"/>
      <c r="L25" s="234"/>
      <c r="M25" s="235">
        <v>95</v>
      </c>
      <c r="N25" s="221">
        <f t="shared" si="2"/>
        <v>11399.05</v>
      </c>
      <c r="O25" s="232">
        <v>60</v>
      </c>
      <c r="P25" s="233">
        <f t="shared" si="3"/>
        <v>0.226190476190476</v>
      </c>
      <c r="Q25" s="222" t="s">
        <v>101</v>
      </c>
      <c r="R25" s="242">
        <f t="shared" si="4"/>
        <v>13.5</v>
      </c>
      <c r="S25" s="225">
        <v>15</v>
      </c>
      <c r="T25" s="239">
        <v>0.9</v>
      </c>
      <c r="U25" s="241">
        <v>0.17</v>
      </c>
      <c r="V25" s="234">
        <v>2</v>
      </c>
      <c r="W25" s="244">
        <v>0.3</v>
      </c>
      <c r="X25" s="221">
        <f t="shared" si="8"/>
        <v>470</v>
      </c>
      <c r="Y25" s="221">
        <v>264</v>
      </c>
      <c r="Z25" s="221">
        <v>1500</v>
      </c>
      <c r="AA25" s="221">
        <v>2100</v>
      </c>
      <c r="AB25" s="221">
        <v>1980</v>
      </c>
      <c r="AC25" s="234"/>
      <c r="AD25" s="234"/>
      <c r="AE25" s="234"/>
    </row>
    <row r="26" ht="54.45" customHeight="1" spans="1:31">
      <c r="A26" s="221" t="s">
        <v>133</v>
      </c>
      <c r="B26" s="221" t="s">
        <v>128</v>
      </c>
      <c r="C26" s="216" t="s">
        <v>69</v>
      </c>
      <c r="D26" s="222">
        <v>119.99</v>
      </c>
      <c r="E26" s="223">
        <v>0.1</v>
      </c>
      <c r="F26" s="224" t="s">
        <v>97</v>
      </c>
      <c r="G26" s="225">
        <f t="shared" si="0"/>
        <v>14.2857142857143</v>
      </c>
      <c r="H26" s="221">
        <f t="shared" si="1"/>
        <v>100</v>
      </c>
      <c r="I26" s="221">
        <v>20</v>
      </c>
      <c r="J26" s="221">
        <v>4.6</v>
      </c>
      <c r="K26" s="234"/>
      <c r="L26" s="234"/>
      <c r="M26" s="235">
        <v>100</v>
      </c>
      <c r="N26" s="221">
        <f t="shared" si="2"/>
        <v>11999</v>
      </c>
      <c r="O26" s="232">
        <v>60</v>
      </c>
      <c r="P26" s="233">
        <f t="shared" si="3"/>
        <v>0.238095238095238</v>
      </c>
      <c r="Q26" s="222" t="s">
        <v>101</v>
      </c>
      <c r="R26" s="242">
        <f t="shared" si="4"/>
        <v>13.5</v>
      </c>
      <c r="S26" s="225">
        <v>15</v>
      </c>
      <c r="T26" s="239">
        <v>0.9</v>
      </c>
      <c r="U26" s="241">
        <v>0.17</v>
      </c>
      <c r="V26" s="234">
        <v>2</v>
      </c>
      <c r="W26" s="244">
        <v>0.3</v>
      </c>
      <c r="X26" s="221">
        <f t="shared" si="8"/>
        <v>375</v>
      </c>
      <c r="Y26" s="221">
        <v>264</v>
      </c>
      <c r="Z26" s="221">
        <v>1500</v>
      </c>
      <c r="AA26" s="221">
        <v>2100</v>
      </c>
      <c r="AB26" s="221">
        <v>1980</v>
      </c>
      <c r="AC26" s="234"/>
      <c r="AD26" s="234"/>
      <c r="AE26" s="234"/>
    </row>
    <row r="27" ht="54.45" customHeight="1" spans="1:31">
      <c r="A27" s="221" t="s">
        <v>134</v>
      </c>
      <c r="B27" s="221" t="s">
        <v>128</v>
      </c>
      <c r="C27" s="216" t="s">
        <v>69</v>
      </c>
      <c r="D27" s="222">
        <v>119.99</v>
      </c>
      <c r="E27" s="223">
        <v>0.1</v>
      </c>
      <c r="F27" s="224" t="s">
        <v>97</v>
      </c>
      <c r="G27" s="225">
        <f t="shared" si="0"/>
        <v>17.1428571428571</v>
      </c>
      <c r="H27" s="221">
        <f t="shared" si="1"/>
        <v>120</v>
      </c>
      <c r="I27" s="221">
        <v>20</v>
      </c>
      <c r="J27" s="221">
        <v>4.6</v>
      </c>
      <c r="K27" s="234"/>
      <c r="L27" s="234"/>
      <c r="M27" s="234">
        <v>120</v>
      </c>
      <c r="N27" s="221">
        <f t="shared" si="2"/>
        <v>14398.8</v>
      </c>
      <c r="O27" s="232">
        <v>60</v>
      </c>
      <c r="P27" s="233">
        <f t="shared" si="3"/>
        <v>0.285714285714286</v>
      </c>
      <c r="Q27" s="222" t="s">
        <v>101</v>
      </c>
      <c r="R27" s="242">
        <f t="shared" si="4"/>
        <v>13.5</v>
      </c>
      <c r="S27" s="225">
        <v>15</v>
      </c>
      <c r="T27" s="239">
        <v>0.9</v>
      </c>
      <c r="U27" s="241">
        <v>0.17</v>
      </c>
      <c r="V27" s="234">
        <v>2</v>
      </c>
      <c r="W27" s="244">
        <v>0.3</v>
      </c>
      <c r="X27" s="221">
        <f t="shared" si="8"/>
        <v>275</v>
      </c>
      <c r="Y27" s="221">
        <v>264</v>
      </c>
      <c r="Z27" s="221">
        <v>1500</v>
      </c>
      <c r="AA27" s="221">
        <v>2100</v>
      </c>
      <c r="AB27" s="221">
        <v>1980</v>
      </c>
      <c r="AC27" s="234"/>
      <c r="AD27" s="234"/>
      <c r="AE27" s="234"/>
    </row>
    <row r="28" ht="54.45" customHeight="1" spans="1:31">
      <c r="A28" s="221" t="s">
        <v>134</v>
      </c>
      <c r="B28" s="221" t="s">
        <v>128</v>
      </c>
      <c r="C28" s="216" t="s">
        <v>69</v>
      </c>
      <c r="D28" s="222">
        <v>119.99</v>
      </c>
      <c r="E28" s="223">
        <v>0.1</v>
      </c>
      <c r="F28" s="224" t="s">
        <v>97</v>
      </c>
      <c r="G28" s="225">
        <f t="shared" si="0"/>
        <v>17.1428571428571</v>
      </c>
      <c r="H28" s="221">
        <f t="shared" si="1"/>
        <v>120</v>
      </c>
      <c r="I28" s="221">
        <v>20</v>
      </c>
      <c r="J28" s="221">
        <v>4.6</v>
      </c>
      <c r="K28" s="234"/>
      <c r="L28" s="234"/>
      <c r="M28" s="234">
        <v>120</v>
      </c>
      <c r="N28" s="221">
        <f t="shared" si="2"/>
        <v>14398.8</v>
      </c>
      <c r="O28" s="232">
        <v>60</v>
      </c>
      <c r="P28" s="233">
        <f t="shared" si="3"/>
        <v>0.285714285714286</v>
      </c>
      <c r="Q28" s="222" t="s">
        <v>101</v>
      </c>
      <c r="R28" s="242">
        <f t="shared" si="4"/>
        <v>13.5</v>
      </c>
      <c r="S28" s="225">
        <v>15</v>
      </c>
      <c r="T28" s="239">
        <v>0.9</v>
      </c>
      <c r="U28" s="241">
        <v>0.17</v>
      </c>
      <c r="V28" s="234">
        <v>2</v>
      </c>
      <c r="W28" s="244">
        <v>0.3</v>
      </c>
      <c r="X28" s="221">
        <f t="shared" si="8"/>
        <v>155</v>
      </c>
      <c r="Y28" s="221">
        <v>264</v>
      </c>
      <c r="Z28" s="221">
        <v>1500</v>
      </c>
      <c r="AA28" s="221">
        <v>2100</v>
      </c>
      <c r="AB28" s="221">
        <v>1980</v>
      </c>
      <c r="AC28" s="234"/>
      <c r="AD28" s="234"/>
      <c r="AE28" s="234"/>
    </row>
    <row r="29" ht="54.45" customHeight="1" spans="1:31">
      <c r="A29" s="221" t="s">
        <v>134</v>
      </c>
      <c r="B29" s="221" t="s">
        <v>128</v>
      </c>
      <c r="C29" s="216" t="s">
        <v>69</v>
      </c>
      <c r="D29" s="222">
        <v>119.99</v>
      </c>
      <c r="E29" s="223">
        <v>0.1</v>
      </c>
      <c r="F29" s="224" t="s">
        <v>97</v>
      </c>
      <c r="G29" s="225">
        <f t="shared" si="0"/>
        <v>17.1428571428571</v>
      </c>
      <c r="H29" s="221">
        <f t="shared" si="1"/>
        <v>120</v>
      </c>
      <c r="I29" s="221">
        <v>20</v>
      </c>
      <c r="J29" s="221">
        <v>4.6</v>
      </c>
      <c r="K29" s="234"/>
      <c r="L29" s="234"/>
      <c r="M29" s="234">
        <v>120</v>
      </c>
      <c r="N29" s="221">
        <f t="shared" si="2"/>
        <v>14398.8</v>
      </c>
      <c r="O29" s="232">
        <v>60</v>
      </c>
      <c r="P29" s="233">
        <f t="shared" si="3"/>
        <v>0.285714285714286</v>
      </c>
      <c r="Q29" s="222" t="s">
        <v>101</v>
      </c>
      <c r="R29" s="242">
        <f>T29*S29</f>
        <v>13.5</v>
      </c>
      <c r="S29" s="225">
        <v>15</v>
      </c>
      <c r="T29" s="239">
        <v>0.9</v>
      </c>
      <c r="U29" s="241">
        <v>0.17</v>
      </c>
      <c r="V29" s="234">
        <v>2</v>
      </c>
      <c r="W29" s="244">
        <v>0.3</v>
      </c>
      <c r="X29" s="221">
        <f t="shared" si="8"/>
        <v>35</v>
      </c>
      <c r="Y29" s="221">
        <v>264</v>
      </c>
      <c r="Z29" s="221">
        <v>1500</v>
      </c>
      <c r="AA29" s="221">
        <v>2100</v>
      </c>
      <c r="AB29" s="221">
        <v>1980</v>
      </c>
      <c r="AC29" s="234"/>
      <c r="AD29" s="234"/>
      <c r="AE29" s="234"/>
    </row>
    <row r="30" ht="13.8" spans="1:31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</row>
    <row r="31" ht="13.8" spans="1:31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</row>
    <row r="32" ht="13.8" spans="1:31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</row>
    <row r="33" ht="13.8" spans="1:31">
      <c r="A33" s="212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</row>
    <row r="34" ht="13.8" spans="1:31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</row>
    <row r="35" ht="13.8" spans="1:31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</row>
    <row r="36" ht="13.8" spans="1:31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</row>
    <row r="37" ht="13.8" spans="1:31">
      <c r="A37" s="212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</row>
    <row r="38" ht="13.8" spans="1:31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</row>
    <row r="39" ht="13.8" spans="1:31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</row>
    <row r="40" ht="13.8" spans="1:31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</row>
    <row r="41" ht="13.8" spans="1:3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</row>
    <row r="42" ht="13.8" spans="1:31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</row>
    <row r="43" ht="13.8" spans="1:31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</row>
    <row r="44" ht="13.8" spans="1:31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</row>
    <row r="45" ht="13.8" spans="1:31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</row>
    <row r="46" ht="13.8" spans="1:31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</row>
    <row r="47" ht="13.8" spans="1:31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</row>
    <row r="48" ht="13.8" spans="1:31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</row>
    <row r="49" ht="13.8" spans="1:31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</row>
    <row r="50" ht="13.8" spans="1:31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</row>
    <row r="51" ht="13.8" spans="1:3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</row>
    <row r="52" ht="13.8" spans="1:31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</row>
    <row r="53" ht="13.8" spans="1:31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</row>
    <row r="54" ht="13.8" spans="1:31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</row>
    <row r="55" ht="13.8" spans="1:31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</row>
    <row r="56" ht="13.8" spans="1:31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</row>
    <row r="57" ht="13.8" spans="1:31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</row>
    <row r="58" ht="13.8" spans="1:31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</row>
    <row r="59" ht="13.8" spans="1:31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</row>
    <row r="60" ht="13.8" spans="1:31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</row>
    <row r="61" ht="13.8" spans="1:3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</row>
    <row r="62" ht="13.8" spans="1:31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</row>
    <row r="63" ht="13.8" spans="1:31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</row>
    <row r="64" ht="13.8" spans="1:31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</row>
    <row r="65" ht="13.8" spans="1:31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</row>
    <row r="66" ht="13.8" spans="1:31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</row>
    <row r="67" ht="13.8" spans="1:31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</row>
    <row r="68" ht="13.8" spans="1:31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</row>
    <row r="69" ht="13.8" spans="1:31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</row>
    <row r="70" ht="13.8" spans="1:31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</row>
    <row r="71" ht="13.8" spans="1:3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</row>
    <row r="72" ht="13.8" spans="1:31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</row>
    <row r="73" ht="13.8" spans="1:31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</row>
    <row r="74" ht="13.8" spans="1:31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</row>
    <row r="75" ht="13.8" spans="1:31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</row>
    <row r="76" ht="13.8" spans="1:31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</row>
    <row r="77" ht="13.8" spans="1:31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</row>
    <row r="78" ht="13.8" spans="1:31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</row>
    <row r="79" ht="13.8" spans="1:31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</row>
    <row r="80" ht="13.8" spans="1:31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</row>
    <row r="81" ht="13.8" spans="1:3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</row>
    <row r="82" ht="13.8" spans="1:31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</row>
    <row r="83" ht="13.8" spans="1:31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</row>
    <row r="84" ht="13.8" spans="1:31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</row>
    <row r="85" ht="13.8" spans="1:31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</row>
    <row r="86" ht="13.8" spans="1:31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</row>
    <row r="87" ht="13.8" spans="1:31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</row>
    <row r="88" ht="13.8" spans="1:31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</row>
    <row r="89" ht="13.8" spans="1:31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</row>
    <row r="90" ht="13.8" spans="1:31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</row>
    <row r="91" ht="13.8" spans="1:3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</row>
    <row r="92" ht="13.8" spans="1:31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</row>
    <row r="93" ht="13.8" spans="1:31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</row>
    <row r="94" ht="13.8" spans="1:31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</row>
    <row r="95" ht="13.8" spans="1:31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</row>
    <row r="96" ht="13.8" spans="1:31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</row>
    <row r="97" ht="13.8" spans="1:31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</row>
    <row r="98" ht="13.8" spans="1:31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</row>
    <row r="99" ht="13.8" spans="1:31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</row>
    <row r="100" ht="13.8" spans="1:31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</row>
    <row r="101" ht="13.8" spans="1:3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</row>
    <row r="102" ht="13.8" spans="1:31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</row>
    <row r="103" ht="13.8" spans="1:31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</row>
    <row r="104" ht="13.8" spans="1:31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</row>
    <row r="105" ht="13.8" spans="1:31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</row>
    <row r="106" ht="13.8" spans="1:31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</row>
    <row r="107" ht="13.8" spans="1:31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</row>
    <row r="108" ht="13.8" spans="1:31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</row>
    <row r="109" ht="13.8" spans="1:31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</row>
    <row r="110" ht="13.8" spans="1:31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</row>
    <row r="111" ht="13.8" spans="1:3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</row>
    <row r="112" ht="13.8" spans="1:31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</row>
    <row r="113" ht="13.8" spans="1:31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</row>
    <row r="114" ht="13.8" spans="1:31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</row>
    <row r="115" ht="13.8" spans="1:31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</row>
    <row r="116" ht="13.8" spans="1:31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</row>
    <row r="117" ht="13.8" spans="1:31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</row>
    <row r="118" ht="13.8" spans="1:31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</row>
    <row r="119" ht="13.8" spans="1:31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</row>
    <row r="120" ht="13.8" spans="1:31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</row>
    <row r="121" ht="13.8" spans="1:3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</row>
    <row r="122" ht="13.8" spans="1:31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</row>
    <row r="123" ht="13.8" spans="1:31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</row>
    <row r="124" ht="13.8" spans="1:31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</row>
    <row r="125" ht="13.8" spans="1:31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</row>
    <row r="126" ht="13.8" spans="1:31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</row>
    <row r="127" ht="13.8" spans="1:31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</row>
    <row r="128" ht="13.8" spans="1:31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</row>
    <row r="129" ht="13.8" spans="1:31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</row>
    <row r="130" ht="13.8" spans="1:31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</row>
    <row r="131" ht="13.8" spans="1:3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</row>
    <row r="132" ht="13.8" spans="1:31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</row>
    <row r="133" ht="13.8" spans="1:31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</row>
    <row r="134" ht="13.8" spans="1:31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</row>
    <row r="135" ht="13.8" spans="1:31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</row>
    <row r="136" ht="13.8" spans="1:31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</row>
    <row r="137" ht="13.8" spans="1:31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</row>
    <row r="138" ht="13.8" spans="1:31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</row>
    <row r="139" ht="13.8" spans="1:31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</row>
    <row r="140" ht="13.8" spans="1:31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</row>
    <row r="141" ht="13.8" spans="1:3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</row>
    <row r="142" ht="13.8" spans="1:31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</row>
    <row r="143" ht="13.8" spans="1:31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</row>
    <row r="144" ht="13.8" spans="1:31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</row>
    <row r="145" ht="13.8" spans="1:31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</row>
    <row r="146" ht="13.8" spans="1:31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</row>
    <row r="147" ht="13.8" spans="1:31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</row>
    <row r="148" ht="13.8" spans="1:31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</row>
    <row r="149" ht="13.8" spans="1:31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</row>
    <row r="150" ht="13.8" spans="1:31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</row>
    <row r="151" ht="13.8" spans="1:3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</row>
    <row r="152" ht="13.8" spans="1:31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</row>
    <row r="153" ht="13.8" spans="1:31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</row>
    <row r="154" ht="13.8" spans="1:31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</row>
    <row r="155" ht="13.8" spans="1:31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</row>
    <row r="156" ht="13.8" spans="1:31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</row>
    <row r="157" ht="13.8" spans="1:31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</row>
    <row r="158" ht="13.8" spans="1:31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</row>
    <row r="159" ht="13.8" spans="1:31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</row>
    <row r="160" ht="13.8" spans="1:31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</row>
    <row r="161" ht="13.8" spans="1:3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</row>
    <row r="162" ht="13.8" spans="1:31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</row>
    <row r="163" ht="13.8" spans="1:31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</row>
    <row r="164" ht="13.8" spans="1:31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</row>
    <row r="165" ht="13.8" spans="1:31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</row>
    <row r="166" ht="13.8" spans="1:31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</row>
    <row r="167" ht="13.8" spans="1:31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</row>
    <row r="168" ht="13.8" spans="1:31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</row>
    <row r="169" ht="13.8" spans="1:31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</row>
    <row r="170" ht="13.8" spans="1:31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</row>
    <row r="171" ht="13.8" spans="1:3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</row>
    <row r="172" ht="13.8" spans="1:31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</row>
    <row r="173" ht="13.8" spans="1:31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</row>
    <row r="174" ht="13.8" spans="1:31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</row>
    <row r="175" ht="13.8" spans="1:31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</row>
    <row r="176" ht="13.8" spans="1:31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</row>
    <row r="177" ht="13.8" spans="1:31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</row>
    <row r="178" ht="13.8" spans="1:31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</row>
    <row r="179" ht="13.8" spans="1:31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</row>
    <row r="180" ht="13.8" spans="1:31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</row>
    <row r="181" ht="13.8" spans="1:3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</row>
    <row r="182" ht="13.8" spans="1:31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</row>
    <row r="183" ht="13.8" spans="1:31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</row>
    <row r="184" ht="13.8" spans="1:31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</row>
    <row r="185" ht="13.8" spans="1:31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</row>
    <row r="186" ht="13.8" spans="1:31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</row>
    <row r="187" ht="13.8" spans="1:31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</row>
    <row r="188" ht="13.8" spans="1:31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</row>
    <row r="189" ht="13.8" spans="1:31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</row>
    <row r="190" ht="13.8" spans="1:31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</row>
    <row r="191" ht="13.8" spans="1:3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</row>
    <row r="192" ht="13.8" spans="1:31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</row>
    <row r="193" ht="13.8" spans="1:31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</row>
    <row r="194" ht="13.8" spans="1:31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</row>
    <row r="195" ht="13.8" spans="1:31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</row>
    <row r="196" ht="13.8" spans="1:31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</row>
    <row r="197" ht="13.8" spans="1:31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</row>
    <row r="198" ht="13.8" spans="1:31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</row>
    <row r="199" ht="13.8" spans="1:31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</row>
    <row r="200" ht="13.8" spans="1:31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</row>
  </sheetData>
  <mergeCells count="18">
    <mergeCell ref="K1:L1"/>
    <mergeCell ref="R1:W1"/>
    <mergeCell ref="X1:AD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B083"/>
  </sheetPr>
  <dimension ref="A1:X200"/>
  <sheetViews>
    <sheetView workbookViewId="0">
      <pane xSplit="10" ySplit="11" topLeftCell="Q81" activePane="bottomRight" state="frozen"/>
      <selection/>
      <selection pane="topRight"/>
      <selection pane="bottomLeft"/>
      <selection pane="bottomRight" activeCell="S17" sqref="S17"/>
    </sheetView>
  </sheetViews>
  <sheetFormatPr defaultColWidth="17" defaultRowHeight="11.4"/>
  <cols>
    <col min="1" max="1" width="13.5729166666667" customWidth="1"/>
    <col min="2" max="2" width="18.8125" customWidth="1"/>
    <col min="3" max="3" width="12.8333333333333" customWidth="1"/>
    <col min="4" max="4" width="12.15625" customWidth="1"/>
    <col min="5" max="5" width="13.9791666666667" customWidth="1"/>
    <col min="6" max="6" width="12.15625" customWidth="1"/>
    <col min="7" max="7" width="9.13541666666667" customWidth="1"/>
    <col min="8" max="8" width="9.54166666666667" customWidth="1"/>
    <col min="9" max="9" width="13.1666666666667" customWidth="1"/>
    <col min="10" max="10" width="13.7708333333333" customWidth="1"/>
    <col min="11" max="11" width="13.9791666666667" customWidth="1"/>
    <col min="12" max="12" width="12.5625" customWidth="1"/>
    <col min="13" max="13" width="13.1666666666667" customWidth="1"/>
    <col min="14" max="14" width="18.1979166666667" customWidth="1"/>
    <col min="15" max="15" width="49.84375" customWidth="1"/>
    <col min="16" max="16" width="32.90625" customWidth="1"/>
    <col min="17" max="17" width="57.8958333333333" customWidth="1"/>
    <col min="18" max="18" width="20.2083333333333" customWidth="1"/>
    <col min="19" max="24" width="12.15625" customWidth="1"/>
  </cols>
  <sheetData>
    <row r="1" ht="14.7" customHeight="1" spans="1:14">
      <c r="A1" s="135" t="s">
        <v>135</v>
      </c>
      <c r="B1" s="136"/>
      <c r="C1" s="136"/>
      <c r="D1" s="136"/>
      <c r="E1" s="136"/>
      <c r="F1" s="136"/>
      <c r="G1" s="136"/>
      <c r="H1" s="136"/>
      <c r="I1" s="136"/>
      <c r="J1" s="136"/>
      <c r="K1" s="163"/>
      <c r="L1" s="163"/>
      <c r="N1" s="70"/>
    </row>
    <row r="2" ht="13.8" spans="1:14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63"/>
      <c r="L2" s="163"/>
      <c r="N2" s="70"/>
    </row>
    <row r="3" ht="13.8" spans="1:14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63"/>
      <c r="L3" s="163"/>
      <c r="N3" s="70"/>
    </row>
    <row r="4" ht="13.8" spans="1:14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63"/>
      <c r="L4" s="163"/>
      <c r="N4" s="70"/>
    </row>
    <row r="5" ht="13.8" spans="1:14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63"/>
      <c r="L5" s="163"/>
      <c r="N5" s="70"/>
    </row>
    <row r="6" ht="13.8" spans="1:14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63"/>
      <c r="L6" s="163"/>
      <c r="N6" s="70"/>
    </row>
    <row r="7" ht="13.8" spans="1:14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63"/>
      <c r="L7" s="163"/>
      <c r="N7" s="70"/>
    </row>
    <row r="8" ht="13.8" spans="1:14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63"/>
      <c r="L8" s="163"/>
      <c r="N8" s="70"/>
    </row>
    <row r="9" ht="33" customHeight="1" spans="1:14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64"/>
      <c r="L9" s="164"/>
      <c r="N9" s="70"/>
    </row>
    <row r="10" ht="18.55" customHeight="1" spans="1:24">
      <c r="A10" s="138" t="s">
        <v>37</v>
      </c>
      <c r="B10" s="138" t="s">
        <v>38</v>
      </c>
      <c r="C10" s="138" t="s">
        <v>40</v>
      </c>
      <c r="D10" s="138" t="s">
        <v>43</v>
      </c>
      <c r="E10" s="138" t="s">
        <v>48</v>
      </c>
      <c r="F10" s="138" t="s">
        <v>50</v>
      </c>
      <c r="G10" s="138" t="s">
        <v>49</v>
      </c>
      <c r="H10" s="139" t="s">
        <v>136</v>
      </c>
      <c r="I10" s="139" t="s">
        <v>137</v>
      </c>
      <c r="J10" s="139" t="s">
        <v>61</v>
      </c>
      <c r="K10" s="139" t="s">
        <v>138</v>
      </c>
      <c r="L10" s="165" t="s">
        <v>139</v>
      </c>
      <c r="M10" s="166" t="s">
        <v>140</v>
      </c>
      <c r="N10" s="166"/>
      <c r="O10" s="167" t="s">
        <v>141</v>
      </c>
      <c r="P10" s="168" t="s">
        <v>142</v>
      </c>
      <c r="Q10" s="167" t="s">
        <v>143</v>
      </c>
      <c r="R10" s="167" t="s">
        <v>144</v>
      </c>
      <c r="S10" s="198"/>
      <c r="T10" s="198"/>
      <c r="U10" s="198"/>
      <c r="V10" s="198"/>
      <c r="W10" s="198"/>
      <c r="X10" s="198"/>
    </row>
    <row r="11" ht="18.55" customHeight="1" spans="1:24">
      <c r="A11" s="140"/>
      <c r="B11" s="140"/>
      <c r="C11" s="140"/>
      <c r="D11" s="140"/>
      <c r="E11" s="140"/>
      <c r="F11" s="140"/>
      <c r="G11" s="140"/>
      <c r="H11" s="141"/>
      <c r="I11" s="141"/>
      <c r="J11" s="141"/>
      <c r="K11" s="141"/>
      <c r="L11" s="169" t="s">
        <v>139</v>
      </c>
      <c r="M11" s="170" t="s">
        <v>145</v>
      </c>
      <c r="N11" s="171" t="s">
        <v>146</v>
      </c>
      <c r="O11" s="168"/>
      <c r="P11" s="172"/>
      <c r="Q11" s="168"/>
      <c r="R11" s="168"/>
      <c r="S11" s="198"/>
      <c r="T11" s="198"/>
      <c r="U11" s="198"/>
      <c r="V11" s="198"/>
      <c r="W11" s="198"/>
      <c r="X11" s="198"/>
    </row>
    <row r="12" ht="18.55" customHeight="1" spans="1:18">
      <c r="A12" s="142" t="s">
        <v>67</v>
      </c>
      <c r="B12" s="143" t="s">
        <v>147</v>
      </c>
      <c r="C12" s="144">
        <f>推广计划!D3</f>
        <v>109.99</v>
      </c>
      <c r="D12" s="144">
        <f>推广计划!G3</f>
        <v>6.28571428571429</v>
      </c>
      <c r="E12" s="144">
        <f>C12*D12*7</f>
        <v>4839.56</v>
      </c>
      <c r="F12" s="145">
        <f>推广计划!P3</f>
        <v>0.0952380952380952</v>
      </c>
      <c r="G12" s="146">
        <f>D12/F12</f>
        <v>66</v>
      </c>
      <c r="H12" s="147">
        <f>D12*J12</f>
        <v>4.4</v>
      </c>
      <c r="I12" s="173">
        <f>H12*C12</f>
        <v>483.956</v>
      </c>
      <c r="J12" s="174">
        <v>0.7</v>
      </c>
      <c r="K12" s="175">
        <f t="shared" ref="K12:K71" si="0">L12*M12</f>
        <v>48</v>
      </c>
      <c r="L12" s="176">
        <f>$H$12/N12</f>
        <v>40</v>
      </c>
      <c r="M12" s="177">
        <f>推广计划!T3</f>
        <v>1.2</v>
      </c>
      <c r="N12" s="178">
        <f>推广计划!U3</f>
        <v>0.11</v>
      </c>
      <c r="O12" s="179" t="s">
        <v>148</v>
      </c>
      <c r="P12" s="180" t="s">
        <v>149</v>
      </c>
      <c r="Q12" s="199"/>
      <c r="R12" s="200"/>
    </row>
    <row r="13" ht="18.55" customHeight="1" spans="1:18">
      <c r="A13" s="148"/>
      <c r="B13" s="149"/>
      <c r="C13" s="149"/>
      <c r="D13" s="149"/>
      <c r="E13" s="149"/>
      <c r="F13" s="150"/>
      <c r="G13" s="151"/>
      <c r="H13" s="152"/>
      <c r="I13" s="181"/>
      <c r="J13" s="182"/>
      <c r="K13" s="183">
        <f t="shared" si="0"/>
        <v>48</v>
      </c>
      <c r="L13" s="184">
        <f>$H$12/N13</f>
        <v>40</v>
      </c>
      <c r="M13" s="177">
        <f>推广计划!T3</f>
        <v>1.2</v>
      </c>
      <c r="N13" s="178">
        <f>推广计划!U3</f>
        <v>0.11</v>
      </c>
      <c r="O13" s="185"/>
      <c r="P13" s="180"/>
      <c r="Q13" s="199"/>
      <c r="R13" s="200"/>
    </row>
    <row r="14" ht="18.55" customHeight="1" spans="1:18">
      <c r="A14" s="148"/>
      <c r="B14" s="149"/>
      <c r="C14" s="149"/>
      <c r="D14" s="149"/>
      <c r="E14" s="149"/>
      <c r="F14" s="150"/>
      <c r="G14" s="151"/>
      <c r="H14" s="152"/>
      <c r="I14" s="181"/>
      <c r="J14" s="182"/>
      <c r="K14" s="183">
        <f t="shared" si="0"/>
        <v>48</v>
      </c>
      <c r="L14" s="184">
        <f>$H$12/N14</f>
        <v>40</v>
      </c>
      <c r="M14" s="177">
        <f>推广计划!T3</f>
        <v>1.2</v>
      </c>
      <c r="N14" s="178">
        <f>推广计划!U3</f>
        <v>0.11</v>
      </c>
      <c r="O14" s="185"/>
      <c r="P14" s="180"/>
      <c r="Q14" s="199"/>
      <c r="R14" s="200"/>
    </row>
    <row r="15" ht="14.55" spans="1:18">
      <c r="A15" s="153"/>
      <c r="B15" s="154"/>
      <c r="C15" s="154"/>
      <c r="D15" s="154"/>
      <c r="E15" s="154"/>
      <c r="F15" s="155"/>
      <c r="G15" s="156"/>
      <c r="H15" s="157"/>
      <c r="I15" s="186"/>
      <c r="J15" s="187"/>
      <c r="K15" s="188">
        <f t="shared" si="0"/>
        <v>48</v>
      </c>
      <c r="L15" s="189">
        <f>$H$12/N15</f>
        <v>40</v>
      </c>
      <c r="M15" s="177">
        <f>推广计划!T3</f>
        <v>1.2</v>
      </c>
      <c r="N15" s="178">
        <f>推广计划!U3</f>
        <v>0.11</v>
      </c>
      <c r="O15" s="190"/>
      <c r="P15" s="180"/>
      <c r="Q15" s="199"/>
      <c r="R15" s="201"/>
    </row>
    <row r="16" ht="21.65" customHeight="1" spans="1:24">
      <c r="A16" s="158" t="s">
        <v>75</v>
      </c>
      <c r="B16" s="159" t="s">
        <v>150</v>
      </c>
      <c r="C16" s="144">
        <f>推广计划!D4</f>
        <v>109.99</v>
      </c>
      <c r="D16" s="144">
        <f>推广计划!G4</f>
        <v>11.5714285714286</v>
      </c>
      <c r="E16" s="144">
        <f>C16*D16*7</f>
        <v>8909.19</v>
      </c>
      <c r="F16" s="145">
        <f>推广计划!P4</f>
        <v>0.131493506493506</v>
      </c>
      <c r="G16" s="146">
        <f>D16/F16</f>
        <v>88</v>
      </c>
      <c r="H16" s="160">
        <f>D16*J16</f>
        <v>7.52142857142857</v>
      </c>
      <c r="I16" s="191">
        <f>H16*C16</f>
        <v>827.281928571429</v>
      </c>
      <c r="J16" s="192">
        <v>0.65</v>
      </c>
      <c r="K16" s="193">
        <f t="shared" si="0"/>
        <v>75.2142857142857</v>
      </c>
      <c r="L16" s="194">
        <f>$H$16/N16</f>
        <v>62.6785714285714</v>
      </c>
      <c r="M16" s="177">
        <f>推广计划!T4</f>
        <v>1.2</v>
      </c>
      <c r="N16" s="178">
        <f>推广计划!U4</f>
        <v>0.12</v>
      </c>
      <c r="O16" s="195" t="s">
        <v>151</v>
      </c>
      <c r="P16" s="180"/>
      <c r="Q16" s="199"/>
      <c r="R16" s="202" t="s">
        <v>152</v>
      </c>
      <c r="S16" s="203" t="s">
        <v>1</v>
      </c>
      <c r="T16" s="203" t="s">
        <v>5</v>
      </c>
      <c r="U16" s="204" t="s">
        <v>6</v>
      </c>
      <c r="V16" s="205" t="s">
        <v>7</v>
      </c>
      <c r="W16" s="203" t="s">
        <v>8</v>
      </c>
      <c r="X16" s="203" t="s">
        <v>9</v>
      </c>
    </row>
    <row r="17" ht="21.65" customHeight="1" spans="1:24">
      <c r="A17" s="148"/>
      <c r="B17" s="161"/>
      <c r="C17" s="149"/>
      <c r="D17" s="149"/>
      <c r="E17" s="149"/>
      <c r="F17" s="150"/>
      <c r="G17" s="151"/>
      <c r="H17" s="152"/>
      <c r="I17" s="181"/>
      <c r="J17" s="182"/>
      <c r="K17" s="183">
        <f t="shared" si="0"/>
        <v>75.2142857142857</v>
      </c>
      <c r="L17" s="184">
        <f>$H$16/N17</f>
        <v>62.6785714285714</v>
      </c>
      <c r="M17" s="177">
        <f>推广计划!T4</f>
        <v>1.2</v>
      </c>
      <c r="N17" s="178">
        <f>推广计划!U4</f>
        <v>0.12</v>
      </c>
      <c r="O17" s="185"/>
      <c r="P17" s="180"/>
      <c r="Q17" s="199"/>
      <c r="R17" s="200"/>
      <c r="S17" s="206"/>
      <c r="T17" s="206"/>
      <c r="U17" s="207">
        <v>0.497508</v>
      </c>
      <c r="V17" s="208">
        <v>13984</v>
      </c>
      <c r="W17" s="209" t="s">
        <v>12</v>
      </c>
      <c r="X17" s="210">
        <v>0.3471</v>
      </c>
    </row>
    <row r="18" ht="21.65" customHeight="1" spans="1:24">
      <c r="A18" s="148"/>
      <c r="B18" s="161"/>
      <c r="C18" s="149"/>
      <c r="D18" s="149"/>
      <c r="E18" s="149"/>
      <c r="F18" s="150"/>
      <c r="G18" s="151"/>
      <c r="H18" s="152"/>
      <c r="I18" s="181"/>
      <c r="J18" s="182"/>
      <c r="K18" s="183">
        <f t="shared" si="0"/>
        <v>75.2142857142857</v>
      </c>
      <c r="L18" s="184">
        <f>$H$16/N18</f>
        <v>62.6785714285714</v>
      </c>
      <c r="M18" s="177">
        <f>推广计划!T4</f>
        <v>1.2</v>
      </c>
      <c r="N18" s="178">
        <f>推广计划!U4</f>
        <v>0.12</v>
      </c>
      <c r="O18" s="185"/>
      <c r="P18" s="180"/>
      <c r="Q18" s="199"/>
      <c r="R18" s="200"/>
      <c r="S18" s="206"/>
      <c r="T18" s="206"/>
      <c r="U18" s="207">
        <v>0.294441</v>
      </c>
      <c r="V18" s="208">
        <v>8276</v>
      </c>
      <c r="W18" s="209" t="s">
        <v>12</v>
      </c>
      <c r="X18" s="210">
        <v>0.41862</v>
      </c>
    </row>
    <row r="19" ht="21.65" customHeight="1" spans="1:24">
      <c r="A19" s="153"/>
      <c r="B19" s="162"/>
      <c r="C19" s="154"/>
      <c r="D19" s="154"/>
      <c r="E19" s="154"/>
      <c r="F19" s="155"/>
      <c r="G19" s="156"/>
      <c r="H19" s="157"/>
      <c r="I19" s="186"/>
      <c r="J19" s="187"/>
      <c r="K19" s="188">
        <f t="shared" si="0"/>
        <v>75.2142857142857</v>
      </c>
      <c r="L19" s="189">
        <f>$H$16/N19</f>
        <v>62.6785714285714</v>
      </c>
      <c r="M19" s="177">
        <f>推广计划!T4</f>
        <v>1.2</v>
      </c>
      <c r="N19" s="178">
        <f>推广计划!U4</f>
        <v>0.12</v>
      </c>
      <c r="O19" s="190"/>
      <c r="P19" s="180"/>
      <c r="Q19" s="199"/>
      <c r="R19" s="200"/>
      <c r="S19" s="206"/>
      <c r="T19" s="206"/>
      <c r="U19" s="207">
        <v>0.059295</v>
      </c>
      <c r="V19" s="208">
        <v>1667</v>
      </c>
      <c r="W19" s="209"/>
      <c r="X19" s="210">
        <v>0.61722</v>
      </c>
    </row>
    <row r="20" ht="23.05" customHeight="1" spans="1:24">
      <c r="A20" s="142" t="s">
        <v>81</v>
      </c>
      <c r="B20" s="159" t="s">
        <v>153</v>
      </c>
      <c r="C20" s="144">
        <f>推广计划!D5</f>
        <v>109.99</v>
      </c>
      <c r="D20" s="144">
        <f>推广计划!G5</f>
        <v>7.85714285714286</v>
      </c>
      <c r="E20" s="144">
        <f>C20*D20*7</f>
        <v>6049.45</v>
      </c>
      <c r="F20" s="145">
        <f>推广计划!P5</f>
        <v>0.130952380952381</v>
      </c>
      <c r="G20" s="146">
        <f>D20/F20</f>
        <v>60</v>
      </c>
      <c r="H20" s="160">
        <f>D20*J20</f>
        <v>4.71428571428571</v>
      </c>
      <c r="I20" s="191">
        <f>H20*C20</f>
        <v>518.524285714286</v>
      </c>
      <c r="J20" s="192">
        <v>0.6</v>
      </c>
      <c r="K20" s="193">
        <f t="shared" si="0"/>
        <v>39.8901098901099</v>
      </c>
      <c r="L20" s="194">
        <f>$H$20/N20</f>
        <v>36.2637362637363</v>
      </c>
      <c r="M20" s="177">
        <f>推广计划!T5</f>
        <v>1.1</v>
      </c>
      <c r="N20" s="178">
        <f>推广计划!U5</f>
        <v>0.13</v>
      </c>
      <c r="O20" s="195" t="s">
        <v>151</v>
      </c>
      <c r="P20" s="180"/>
      <c r="Q20" s="199"/>
      <c r="R20" s="200"/>
      <c r="S20" s="206"/>
      <c r="T20" s="206"/>
      <c r="U20" s="207">
        <v>0.047246</v>
      </c>
      <c r="V20" s="208">
        <v>1328</v>
      </c>
      <c r="W20" s="209"/>
      <c r="X20" s="210">
        <v>0.80955</v>
      </c>
    </row>
    <row r="21" ht="23.05" customHeight="1" spans="1:24">
      <c r="A21" s="148"/>
      <c r="B21" s="161"/>
      <c r="C21" s="149"/>
      <c r="D21" s="149"/>
      <c r="E21" s="149"/>
      <c r="F21" s="150"/>
      <c r="G21" s="151"/>
      <c r="H21" s="152"/>
      <c r="I21" s="181"/>
      <c r="J21" s="182"/>
      <c r="K21" s="183">
        <f t="shared" si="0"/>
        <v>39.8901098901099</v>
      </c>
      <c r="L21" s="184">
        <f>$H$20/N21</f>
        <v>36.2637362637363</v>
      </c>
      <c r="M21" s="177">
        <f>推广计划!T5</f>
        <v>1.1</v>
      </c>
      <c r="N21" s="178">
        <f>推广计划!U5</f>
        <v>0.13</v>
      </c>
      <c r="O21" s="185"/>
      <c r="P21" s="180"/>
      <c r="Q21" s="199"/>
      <c r="R21" s="200"/>
      <c r="S21" s="206"/>
      <c r="T21" s="206"/>
      <c r="U21" s="207">
        <v>0.02472</v>
      </c>
      <c r="V21" s="208">
        <v>695</v>
      </c>
      <c r="W21" s="209"/>
      <c r="X21" s="210">
        <v>0.46301</v>
      </c>
    </row>
    <row r="22" ht="23.05" customHeight="1" spans="1:24">
      <c r="A22" s="148"/>
      <c r="B22" s="161"/>
      <c r="C22" s="149"/>
      <c r="D22" s="149"/>
      <c r="E22" s="149"/>
      <c r="F22" s="150"/>
      <c r="G22" s="151"/>
      <c r="H22" s="152"/>
      <c r="I22" s="181"/>
      <c r="J22" s="182"/>
      <c r="K22" s="183">
        <f t="shared" si="0"/>
        <v>39.8901098901099</v>
      </c>
      <c r="L22" s="184">
        <f>$H$20/N22</f>
        <v>36.2637362637363</v>
      </c>
      <c r="M22" s="177">
        <f>推广计划!T5</f>
        <v>1.1</v>
      </c>
      <c r="N22" s="178">
        <f>推广计划!U5</f>
        <v>0.13</v>
      </c>
      <c r="O22" s="185"/>
      <c r="P22" s="180"/>
      <c r="Q22" s="199"/>
      <c r="R22" s="200"/>
      <c r="S22" s="206"/>
      <c r="T22" s="206"/>
      <c r="U22" s="207">
        <v>0.019301</v>
      </c>
      <c r="V22" s="208">
        <v>543</v>
      </c>
      <c r="W22" s="209"/>
      <c r="X22" s="210">
        <v>0.06106</v>
      </c>
    </row>
    <row r="23" ht="23.05" customHeight="1" spans="1:24">
      <c r="A23" s="153"/>
      <c r="B23" s="162"/>
      <c r="C23" s="154"/>
      <c r="D23" s="154"/>
      <c r="E23" s="154"/>
      <c r="F23" s="155"/>
      <c r="G23" s="156"/>
      <c r="H23" s="157"/>
      <c r="I23" s="186"/>
      <c r="J23" s="187"/>
      <c r="K23" s="188">
        <f t="shared" si="0"/>
        <v>39.8901098901099</v>
      </c>
      <c r="L23" s="189">
        <f>$H$20/N23</f>
        <v>36.2637362637363</v>
      </c>
      <c r="M23" s="177">
        <f>推广计划!T5</f>
        <v>1.1</v>
      </c>
      <c r="N23" s="178">
        <f>推广计划!U5</f>
        <v>0.13</v>
      </c>
      <c r="O23" s="190"/>
      <c r="P23" s="180"/>
      <c r="Q23" s="199"/>
      <c r="R23" s="201"/>
      <c r="S23" s="206"/>
      <c r="T23" s="206"/>
      <c r="U23" s="207">
        <v>0.017954</v>
      </c>
      <c r="V23" s="208">
        <v>505</v>
      </c>
      <c r="W23" s="209" t="s">
        <v>20</v>
      </c>
      <c r="X23" s="210">
        <v>0.50632</v>
      </c>
    </row>
    <row r="24" ht="24.75" customHeight="1" spans="1:24">
      <c r="A24" s="158" t="s">
        <v>86</v>
      </c>
      <c r="B24" s="159" t="s">
        <v>154</v>
      </c>
      <c r="C24" s="144">
        <f>推广计划!D6</f>
        <v>109.99</v>
      </c>
      <c r="D24" s="144">
        <f>推广计划!G6</f>
        <v>6.85714285714286</v>
      </c>
      <c r="E24" s="144">
        <f>C24*D24*7</f>
        <v>5279.52</v>
      </c>
      <c r="F24" s="145">
        <f>推广计划!P6</f>
        <v>0.137142857142857</v>
      </c>
      <c r="G24" s="146">
        <f>D24/F24</f>
        <v>50</v>
      </c>
      <c r="H24" s="160">
        <f>D24*J24</f>
        <v>3.77142857142857</v>
      </c>
      <c r="I24" s="191">
        <f>H24*C24</f>
        <v>414.819428571429</v>
      </c>
      <c r="J24" s="192">
        <v>0.55</v>
      </c>
      <c r="K24" s="193">
        <f t="shared" si="0"/>
        <v>27.6571428571429</v>
      </c>
      <c r="L24" s="194">
        <f>$H$24/N24</f>
        <v>25.1428571428571</v>
      </c>
      <c r="M24" s="177">
        <f>推广计划!T6</f>
        <v>1.1</v>
      </c>
      <c r="N24" s="178">
        <f>推广计划!U6</f>
        <v>0.15</v>
      </c>
      <c r="O24" s="195" t="s">
        <v>151</v>
      </c>
      <c r="P24" s="180"/>
      <c r="Q24" s="199"/>
      <c r="R24" s="202" t="s">
        <v>152</v>
      </c>
      <c r="S24" s="206"/>
      <c r="T24" s="206"/>
      <c r="U24" s="207">
        <v>0.008428</v>
      </c>
      <c r="V24" s="208">
        <v>237</v>
      </c>
      <c r="W24" s="209"/>
      <c r="X24" s="210">
        <v>0.28778</v>
      </c>
    </row>
    <row r="25" ht="24.75" customHeight="1" spans="1:24">
      <c r="A25" s="148"/>
      <c r="B25" s="161"/>
      <c r="C25" s="149"/>
      <c r="D25" s="149"/>
      <c r="E25" s="149"/>
      <c r="F25" s="150"/>
      <c r="G25" s="151"/>
      <c r="H25" s="152"/>
      <c r="I25" s="181"/>
      <c r="J25" s="182"/>
      <c r="K25" s="183">
        <f t="shared" si="0"/>
        <v>27.6571428571429</v>
      </c>
      <c r="L25" s="184">
        <f>$H$24/N25</f>
        <v>25.1428571428571</v>
      </c>
      <c r="M25" s="177">
        <f>推广计划!T6</f>
        <v>1.1</v>
      </c>
      <c r="N25" s="178">
        <f>推广计划!U6</f>
        <v>0.15</v>
      </c>
      <c r="O25" s="185"/>
      <c r="P25" s="180"/>
      <c r="Q25" s="199"/>
      <c r="R25" s="200"/>
      <c r="S25" s="206"/>
      <c r="T25" s="206"/>
      <c r="U25" s="207">
        <v>0.007424</v>
      </c>
      <c r="V25" s="208">
        <v>209</v>
      </c>
      <c r="W25" s="209"/>
      <c r="X25" s="209"/>
    </row>
    <row r="26" ht="24.75" customHeight="1" spans="1:24">
      <c r="A26" s="148"/>
      <c r="B26" s="161"/>
      <c r="C26" s="149"/>
      <c r="D26" s="149"/>
      <c r="E26" s="149"/>
      <c r="F26" s="150"/>
      <c r="G26" s="151"/>
      <c r="H26" s="152"/>
      <c r="I26" s="181"/>
      <c r="J26" s="182"/>
      <c r="K26" s="183">
        <f t="shared" si="0"/>
        <v>27.6571428571429</v>
      </c>
      <c r="L26" s="184">
        <f>$H$24/N26</f>
        <v>25.1428571428571</v>
      </c>
      <c r="M26" s="177">
        <f>推广计划!T6</f>
        <v>1.1</v>
      </c>
      <c r="N26" s="178">
        <f>推广计划!U6</f>
        <v>0.15</v>
      </c>
      <c r="O26" s="185"/>
      <c r="P26" s="180"/>
      <c r="Q26" s="199"/>
      <c r="R26" s="200"/>
      <c r="S26" s="206"/>
      <c r="T26" s="206"/>
      <c r="U26" s="207">
        <v>0.002209</v>
      </c>
      <c r="V26" s="208">
        <v>62</v>
      </c>
      <c r="W26" s="209"/>
      <c r="X26" s="209"/>
    </row>
    <row r="27" ht="24.75" customHeight="1" spans="1:24">
      <c r="A27" s="153"/>
      <c r="B27" s="162"/>
      <c r="C27" s="154"/>
      <c r="D27" s="154"/>
      <c r="E27" s="154"/>
      <c r="F27" s="155"/>
      <c r="G27" s="156"/>
      <c r="H27" s="157"/>
      <c r="I27" s="186"/>
      <c r="J27" s="187"/>
      <c r="K27" s="188">
        <f t="shared" si="0"/>
        <v>27.6571428571429</v>
      </c>
      <c r="L27" s="189">
        <f>$H$24/N27</f>
        <v>25.1428571428571</v>
      </c>
      <c r="M27" s="177">
        <f>推广计划!T6</f>
        <v>1.1</v>
      </c>
      <c r="N27" s="178">
        <f>推广计划!U6</f>
        <v>0.15</v>
      </c>
      <c r="O27" s="190"/>
      <c r="P27" s="196"/>
      <c r="Q27" s="199"/>
      <c r="R27" s="200"/>
      <c r="S27" s="206"/>
      <c r="T27" s="206"/>
      <c r="U27" s="207">
        <v>0.001316</v>
      </c>
      <c r="V27" s="208">
        <v>37</v>
      </c>
      <c r="W27" s="209"/>
      <c r="X27" s="209"/>
    </row>
    <row r="28" ht="25.75" customHeight="1" spans="1:18">
      <c r="A28" s="142" t="s">
        <v>89</v>
      </c>
      <c r="B28" s="159" t="s">
        <v>155</v>
      </c>
      <c r="C28" s="144">
        <f>推广计划!D7</f>
        <v>119.99</v>
      </c>
      <c r="D28" s="144">
        <f>推广计划!G7</f>
        <v>7.42857142857143</v>
      </c>
      <c r="E28" s="144">
        <f>C28*D28*7</f>
        <v>6239.48</v>
      </c>
      <c r="F28" s="145">
        <f>推广计划!P7</f>
        <v>0.13265306122449</v>
      </c>
      <c r="G28" s="146">
        <f>D28/F28</f>
        <v>56</v>
      </c>
      <c r="H28" s="160">
        <f>D28*J28</f>
        <v>3.71428571428571</v>
      </c>
      <c r="I28" s="191">
        <f>H28*C28</f>
        <v>445.677142857143</v>
      </c>
      <c r="J28" s="192">
        <v>0.5</v>
      </c>
      <c r="K28" s="193">
        <f t="shared" si="0"/>
        <v>24.7619047619048</v>
      </c>
      <c r="L28" s="194">
        <f>$H$28/N28</f>
        <v>24.7619047619048</v>
      </c>
      <c r="M28" s="177">
        <f>推广计划!T7</f>
        <v>1</v>
      </c>
      <c r="N28" s="178">
        <f>推广计划!U7</f>
        <v>0.15</v>
      </c>
      <c r="O28" s="195" t="s">
        <v>156</v>
      </c>
      <c r="P28" s="197" t="s">
        <v>157</v>
      </c>
      <c r="Q28" s="199"/>
      <c r="R28" s="200"/>
    </row>
    <row r="29" ht="25.75" customHeight="1" spans="1:18">
      <c r="A29" s="148"/>
      <c r="B29" s="161"/>
      <c r="C29" s="149"/>
      <c r="D29" s="149"/>
      <c r="E29" s="149"/>
      <c r="F29" s="150"/>
      <c r="G29" s="151"/>
      <c r="H29" s="152"/>
      <c r="I29" s="181"/>
      <c r="J29" s="182"/>
      <c r="K29" s="183">
        <f t="shared" si="0"/>
        <v>24.7619047619048</v>
      </c>
      <c r="L29" s="184">
        <f>$H$28/N29</f>
        <v>24.7619047619048</v>
      </c>
      <c r="M29" s="177">
        <f>推广计划!T7</f>
        <v>1</v>
      </c>
      <c r="N29" s="178">
        <f>推广计划!U7</f>
        <v>0.15</v>
      </c>
      <c r="O29" s="185"/>
      <c r="P29" s="180"/>
      <c r="Q29" s="199"/>
      <c r="R29" s="200"/>
    </row>
    <row r="30" ht="25.75" customHeight="1" spans="1:18">
      <c r="A30" s="148"/>
      <c r="B30" s="161"/>
      <c r="C30" s="149"/>
      <c r="D30" s="149"/>
      <c r="E30" s="149"/>
      <c r="F30" s="150"/>
      <c r="G30" s="151"/>
      <c r="H30" s="152"/>
      <c r="I30" s="181"/>
      <c r="J30" s="182"/>
      <c r="K30" s="183">
        <f t="shared" si="0"/>
        <v>24.7619047619048</v>
      </c>
      <c r="L30" s="184">
        <f>$H$28/N30</f>
        <v>24.7619047619048</v>
      </c>
      <c r="M30" s="177">
        <f>推广计划!T7</f>
        <v>1</v>
      </c>
      <c r="N30" s="178">
        <f>推广计划!U7</f>
        <v>0.15</v>
      </c>
      <c r="O30" s="185"/>
      <c r="P30" s="180"/>
      <c r="Q30" s="199"/>
      <c r="R30" s="200"/>
    </row>
    <row r="31" ht="25.75" customHeight="1" spans="1:18">
      <c r="A31" s="153"/>
      <c r="B31" s="162"/>
      <c r="C31" s="154"/>
      <c r="D31" s="154"/>
      <c r="E31" s="154"/>
      <c r="F31" s="155"/>
      <c r="G31" s="156"/>
      <c r="H31" s="157"/>
      <c r="I31" s="186"/>
      <c r="J31" s="187"/>
      <c r="K31" s="188">
        <f t="shared" si="0"/>
        <v>24.7619047619048</v>
      </c>
      <c r="L31" s="189">
        <f>$H$28/N31</f>
        <v>24.7619047619048</v>
      </c>
      <c r="M31" s="177">
        <f>推广计划!T7</f>
        <v>1</v>
      </c>
      <c r="N31" s="178">
        <f>推广计划!U7</f>
        <v>0.15</v>
      </c>
      <c r="O31" s="190"/>
      <c r="P31" s="180"/>
      <c r="Q31" s="199"/>
      <c r="R31" s="201"/>
    </row>
    <row r="32" ht="25.75" customHeight="1" spans="1:18">
      <c r="A32" s="158" t="s">
        <v>92</v>
      </c>
      <c r="B32" s="159" t="s">
        <v>158</v>
      </c>
      <c r="C32" s="144">
        <f>推广计划!D8</f>
        <v>119.99</v>
      </c>
      <c r="D32" s="144">
        <f>推广计划!G8</f>
        <v>7.14285714285714</v>
      </c>
      <c r="E32" s="144">
        <f>C32*D32*7</f>
        <v>5999.5</v>
      </c>
      <c r="F32" s="145">
        <f>推广计划!P8</f>
        <v>0.119047619047619</v>
      </c>
      <c r="G32" s="146">
        <f>D32/F32</f>
        <v>60</v>
      </c>
      <c r="H32" s="160">
        <f>D32*J32</f>
        <v>3.57142857142857</v>
      </c>
      <c r="I32" s="191">
        <f>H32*C32</f>
        <v>428.535714285714</v>
      </c>
      <c r="J32" s="192">
        <v>0.5</v>
      </c>
      <c r="K32" s="193">
        <f t="shared" si="0"/>
        <v>23.8095238095238</v>
      </c>
      <c r="L32" s="194">
        <f>$H$32/N32</f>
        <v>23.8095238095238</v>
      </c>
      <c r="M32" s="177">
        <f>推广计划!T8</f>
        <v>1</v>
      </c>
      <c r="N32" s="178">
        <f>推广计划!U8</f>
        <v>0.15</v>
      </c>
      <c r="O32" s="195" t="s">
        <v>156</v>
      </c>
      <c r="P32" s="180"/>
      <c r="Q32" s="199"/>
      <c r="R32" s="202" t="s">
        <v>152</v>
      </c>
    </row>
    <row r="33" ht="25.75" customHeight="1" spans="1:18">
      <c r="A33" s="148"/>
      <c r="B33" s="161"/>
      <c r="C33" s="149"/>
      <c r="D33" s="149"/>
      <c r="E33" s="149"/>
      <c r="F33" s="150"/>
      <c r="G33" s="151"/>
      <c r="H33" s="152"/>
      <c r="I33" s="181"/>
      <c r="J33" s="182"/>
      <c r="K33" s="183">
        <f t="shared" si="0"/>
        <v>23.8095238095238</v>
      </c>
      <c r="L33" s="184">
        <f>$H$32/N33</f>
        <v>23.8095238095238</v>
      </c>
      <c r="M33" s="177">
        <f>推广计划!T8</f>
        <v>1</v>
      </c>
      <c r="N33" s="178">
        <f>推广计划!U8</f>
        <v>0.15</v>
      </c>
      <c r="O33" s="185"/>
      <c r="P33" s="180"/>
      <c r="Q33" s="199"/>
      <c r="R33" s="200"/>
    </row>
    <row r="34" ht="25.75" customHeight="1" spans="1:18">
      <c r="A34" s="148"/>
      <c r="B34" s="161"/>
      <c r="C34" s="149"/>
      <c r="D34" s="149"/>
      <c r="E34" s="149"/>
      <c r="F34" s="150"/>
      <c r="G34" s="151"/>
      <c r="H34" s="152"/>
      <c r="I34" s="181"/>
      <c r="J34" s="182"/>
      <c r="K34" s="183">
        <f t="shared" si="0"/>
        <v>23.8095238095238</v>
      </c>
      <c r="L34" s="184">
        <f>$H$32/N34</f>
        <v>23.8095238095238</v>
      </c>
      <c r="M34" s="177">
        <f>推广计划!T8</f>
        <v>1</v>
      </c>
      <c r="N34" s="178">
        <f>推广计划!U8</f>
        <v>0.15</v>
      </c>
      <c r="O34" s="185"/>
      <c r="P34" s="180"/>
      <c r="Q34" s="199"/>
      <c r="R34" s="200"/>
    </row>
    <row r="35" ht="25.75" customHeight="1" spans="1:18">
      <c r="A35" s="153"/>
      <c r="B35" s="162"/>
      <c r="C35" s="154"/>
      <c r="D35" s="154"/>
      <c r="E35" s="154"/>
      <c r="F35" s="155"/>
      <c r="G35" s="156"/>
      <c r="H35" s="157"/>
      <c r="I35" s="186"/>
      <c r="J35" s="187"/>
      <c r="K35" s="188">
        <f t="shared" si="0"/>
        <v>23.8095238095238</v>
      </c>
      <c r="L35" s="189">
        <f>$H$32/N35</f>
        <v>23.8095238095238</v>
      </c>
      <c r="M35" s="177">
        <f>推广计划!T8</f>
        <v>1</v>
      </c>
      <c r="N35" s="178">
        <f>推广计划!U8</f>
        <v>0.15</v>
      </c>
      <c r="O35" s="190"/>
      <c r="P35" s="180"/>
      <c r="Q35" s="199"/>
      <c r="R35" s="200"/>
    </row>
    <row r="36" ht="25.75" customHeight="1" spans="1:18">
      <c r="A36" s="142" t="s">
        <v>95</v>
      </c>
      <c r="B36" s="159" t="s">
        <v>159</v>
      </c>
      <c r="C36" s="144">
        <f>推广计划!D9</f>
        <v>119.99</v>
      </c>
      <c r="D36" s="144">
        <f>推广计划!G9</f>
        <v>8.28571428571429</v>
      </c>
      <c r="E36" s="144">
        <f>C36*D36*7</f>
        <v>6959.42</v>
      </c>
      <c r="F36" s="145">
        <f>推广计划!P9</f>
        <v>0.121848739495798</v>
      </c>
      <c r="G36" s="146">
        <f>D36/F36</f>
        <v>68</v>
      </c>
      <c r="H36" s="160">
        <f>D36*J36</f>
        <v>4.14285714285714</v>
      </c>
      <c r="I36" s="191">
        <f>H36*C36</f>
        <v>497.101428571429</v>
      </c>
      <c r="J36" s="192">
        <v>0.5</v>
      </c>
      <c r="K36" s="193">
        <f t="shared" si="0"/>
        <v>23.3035714285714</v>
      </c>
      <c r="L36" s="194">
        <f>$H$36/N36</f>
        <v>25.8928571428571</v>
      </c>
      <c r="M36" s="177">
        <f>推广计划!T9</f>
        <v>0.9</v>
      </c>
      <c r="N36" s="178">
        <f>推广计划!U9</f>
        <v>0.16</v>
      </c>
      <c r="O36" s="195" t="s">
        <v>156</v>
      </c>
      <c r="P36" s="180"/>
      <c r="Q36" s="199"/>
      <c r="R36" s="200"/>
    </row>
    <row r="37" ht="25.75" customHeight="1" spans="1:18">
      <c r="A37" s="148"/>
      <c r="B37" s="161"/>
      <c r="C37" s="149"/>
      <c r="D37" s="149"/>
      <c r="E37" s="149"/>
      <c r="F37" s="150"/>
      <c r="G37" s="151"/>
      <c r="H37" s="152"/>
      <c r="I37" s="181"/>
      <c r="J37" s="182"/>
      <c r="K37" s="183">
        <f t="shared" si="0"/>
        <v>23.3035714285714</v>
      </c>
      <c r="L37" s="184">
        <f>$H$36/N37</f>
        <v>25.8928571428571</v>
      </c>
      <c r="M37" s="177">
        <f>推广计划!T9</f>
        <v>0.9</v>
      </c>
      <c r="N37" s="178">
        <f>推广计划!U9</f>
        <v>0.16</v>
      </c>
      <c r="O37" s="185"/>
      <c r="P37" s="180"/>
      <c r="Q37" s="199"/>
      <c r="R37" s="200"/>
    </row>
    <row r="38" ht="25.75" customHeight="1" spans="1:18">
      <c r="A38" s="148"/>
      <c r="B38" s="161"/>
      <c r="C38" s="149"/>
      <c r="D38" s="149"/>
      <c r="E38" s="149"/>
      <c r="F38" s="150"/>
      <c r="G38" s="151"/>
      <c r="H38" s="152"/>
      <c r="I38" s="181"/>
      <c r="J38" s="182"/>
      <c r="K38" s="183">
        <f t="shared" si="0"/>
        <v>23.3035714285714</v>
      </c>
      <c r="L38" s="184">
        <f>$H$36/N38</f>
        <v>25.8928571428571</v>
      </c>
      <c r="M38" s="177">
        <f>推广计划!T9</f>
        <v>0.9</v>
      </c>
      <c r="N38" s="178">
        <f>推广计划!U9</f>
        <v>0.16</v>
      </c>
      <c r="O38" s="185"/>
      <c r="P38" s="180"/>
      <c r="Q38" s="199"/>
      <c r="R38" s="200"/>
    </row>
    <row r="39" ht="25.75" customHeight="1" spans="1:18">
      <c r="A39" s="153"/>
      <c r="B39" s="162"/>
      <c r="C39" s="154"/>
      <c r="D39" s="154"/>
      <c r="E39" s="154"/>
      <c r="F39" s="155"/>
      <c r="G39" s="156"/>
      <c r="H39" s="157"/>
      <c r="I39" s="186"/>
      <c r="J39" s="187"/>
      <c r="K39" s="188">
        <f t="shared" si="0"/>
        <v>23.3035714285714</v>
      </c>
      <c r="L39" s="189">
        <f>$H$36/N39</f>
        <v>25.8928571428571</v>
      </c>
      <c r="M39" s="177">
        <f>推广计划!T9</f>
        <v>0.9</v>
      </c>
      <c r="N39" s="178">
        <f>推广计划!U9</f>
        <v>0.16</v>
      </c>
      <c r="O39" s="190"/>
      <c r="P39" s="180"/>
      <c r="Q39" s="199"/>
      <c r="R39" s="201"/>
    </row>
    <row r="40" ht="25.75" customHeight="1" spans="1:18">
      <c r="A40" s="158" t="s">
        <v>99</v>
      </c>
      <c r="B40" s="159" t="s">
        <v>160</v>
      </c>
      <c r="C40" s="144">
        <f>推广计划!D10</f>
        <v>119.99</v>
      </c>
      <c r="D40" s="144">
        <f>推广计划!G10</f>
        <v>7.14285714285714</v>
      </c>
      <c r="E40" s="144">
        <f>C40*D40*7</f>
        <v>5999.5</v>
      </c>
      <c r="F40" s="145">
        <f>推广计划!P10</f>
        <v>0.105042016806723</v>
      </c>
      <c r="G40" s="146">
        <f>D40/F40</f>
        <v>68</v>
      </c>
      <c r="H40" s="160">
        <f>D40*J40</f>
        <v>3.21428571428571</v>
      </c>
      <c r="I40" s="191">
        <f>H40*C40</f>
        <v>385.682142857143</v>
      </c>
      <c r="J40" s="192">
        <v>0.45</v>
      </c>
      <c r="K40" s="193">
        <f t="shared" si="0"/>
        <v>18.0803571428571</v>
      </c>
      <c r="L40" s="194">
        <f>$H$40/N40</f>
        <v>20.0892857142857</v>
      </c>
      <c r="M40" s="177">
        <f>推广计划!T10</f>
        <v>0.9</v>
      </c>
      <c r="N40" s="178">
        <f>推广计划!U10</f>
        <v>0.16</v>
      </c>
      <c r="O40" s="195" t="s">
        <v>156</v>
      </c>
      <c r="P40" s="180"/>
      <c r="Q40" s="199"/>
      <c r="R40" s="202" t="s">
        <v>152</v>
      </c>
    </row>
    <row r="41" ht="25.75" customHeight="1" spans="1:18">
      <c r="A41" s="148"/>
      <c r="B41" s="161"/>
      <c r="C41" s="149"/>
      <c r="D41" s="149"/>
      <c r="E41" s="149"/>
      <c r="F41" s="150"/>
      <c r="G41" s="151"/>
      <c r="H41" s="152"/>
      <c r="I41" s="181"/>
      <c r="J41" s="182"/>
      <c r="K41" s="183">
        <f t="shared" si="0"/>
        <v>18.0803571428571</v>
      </c>
      <c r="L41" s="184">
        <f>$H$40/N41</f>
        <v>20.0892857142857</v>
      </c>
      <c r="M41" s="177">
        <f>推广计划!T10</f>
        <v>0.9</v>
      </c>
      <c r="N41" s="178">
        <f>推广计划!U10</f>
        <v>0.16</v>
      </c>
      <c r="O41" s="185"/>
      <c r="P41" s="180"/>
      <c r="Q41" s="199"/>
      <c r="R41" s="200"/>
    </row>
    <row r="42" ht="25.75" customHeight="1" spans="1:18">
      <c r="A42" s="148"/>
      <c r="B42" s="161"/>
      <c r="C42" s="149"/>
      <c r="D42" s="149"/>
      <c r="E42" s="149"/>
      <c r="F42" s="150"/>
      <c r="G42" s="151"/>
      <c r="H42" s="152"/>
      <c r="I42" s="181"/>
      <c r="J42" s="182"/>
      <c r="K42" s="183">
        <f t="shared" si="0"/>
        <v>18.0803571428571</v>
      </c>
      <c r="L42" s="184">
        <f>$H$40/N42</f>
        <v>20.0892857142857</v>
      </c>
      <c r="M42" s="177">
        <f>推广计划!T10</f>
        <v>0.9</v>
      </c>
      <c r="N42" s="178">
        <f>推广计划!U10</f>
        <v>0.16</v>
      </c>
      <c r="O42" s="185"/>
      <c r="P42" s="180"/>
      <c r="Q42" s="199"/>
      <c r="R42" s="200"/>
    </row>
    <row r="43" ht="25.75" customHeight="1" spans="1:18">
      <c r="A43" s="153"/>
      <c r="B43" s="162"/>
      <c r="C43" s="154"/>
      <c r="D43" s="154"/>
      <c r="E43" s="154"/>
      <c r="F43" s="155"/>
      <c r="G43" s="156"/>
      <c r="H43" s="157"/>
      <c r="I43" s="186"/>
      <c r="J43" s="187"/>
      <c r="K43" s="188">
        <f t="shared" si="0"/>
        <v>18.0803571428571</v>
      </c>
      <c r="L43" s="189">
        <f>$H$40/N43</f>
        <v>20.0892857142857</v>
      </c>
      <c r="M43" s="177">
        <f>推广计划!T10</f>
        <v>0.9</v>
      </c>
      <c r="N43" s="178">
        <f>推广计划!U10</f>
        <v>0.16</v>
      </c>
      <c r="O43" s="190"/>
      <c r="P43" s="180"/>
      <c r="Q43" s="199"/>
      <c r="R43" s="200"/>
    </row>
    <row r="44" ht="25.75" customHeight="1" spans="1:18">
      <c r="A44" s="142" t="s">
        <v>103</v>
      </c>
      <c r="B44" s="159" t="s">
        <v>161</v>
      </c>
      <c r="C44" s="144">
        <f>推广计划!D11</f>
        <v>119.99</v>
      </c>
      <c r="D44" s="144">
        <f>推广计划!G11</f>
        <v>7.85714285714286</v>
      </c>
      <c r="E44" s="144">
        <f>C44*D44*7</f>
        <v>6599.45</v>
      </c>
      <c r="F44" s="145">
        <f>推广计划!P11</f>
        <v>0.112244897959184</v>
      </c>
      <c r="G44" s="146">
        <f>D44/F44</f>
        <v>70</v>
      </c>
      <c r="H44" s="160">
        <f>D44*J44</f>
        <v>3.53571428571429</v>
      </c>
      <c r="I44" s="191">
        <f>H44*C44</f>
        <v>424.250357142857</v>
      </c>
      <c r="J44" s="192">
        <v>0.45</v>
      </c>
      <c r="K44" s="193">
        <f t="shared" si="0"/>
        <v>19.8883928571429</v>
      </c>
      <c r="L44" s="194">
        <f>$H$44/N44</f>
        <v>22.0982142857143</v>
      </c>
      <c r="M44" s="177">
        <f>推广计划!T11</f>
        <v>0.9</v>
      </c>
      <c r="N44" s="178">
        <f>推广计划!U11</f>
        <v>0.16</v>
      </c>
      <c r="O44" s="195" t="s">
        <v>156</v>
      </c>
      <c r="P44" s="180"/>
      <c r="Q44" s="199"/>
      <c r="R44" s="200"/>
    </row>
    <row r="45" ht="25.75" customHeight="1" spans="1:18">
      <c r="A45" s="148"/>
      <c r="B45" s="161"/>
      <c r="C45" s="149"/>
      <c r="D45" s="149"/>
      <c r="E45" s="149"/>
      <c r="F45" s="150"/>
      <c r="G45" s="151"/>
      <c r="H45" s="152"/>
      <c r="I45" s="181"/>
      <c r="J45" s="182"/>
      <c r="K45" s="183">
        <f t="shared" si="0"/>
        <v>19.8883928571429</v>
      </c>
      <c r="L45" s="184">
        <f>$H$44/N45</f>
        <v>22.0982142857143</v>
      </c>
      <c r="M45" s="177">
        <f>推广计划!T11</f>
        <v>0.9</v>
      </c>
      <c r="N45" s="178">
        <f>推广计划!U11</f>
        <v>0.16</v>
      </c>
      <c r="O45" s="185"/>
      <c r="P45" s="180"/>
      <c r="Q45" s="199"/>
      <c r="R45" s="200"/>
    </row>
    <row r="46" ht="25.75" customHeight="1" spans="1:18">
      <c r="A46" s="148"/>
      <c r="B46" s="161"/>
      <c r="C46" s="149"/>
      <c r="D46" s="149"/>
      <c r="E46" s="149"/>
      <c r="F46" s="150"/>
      <c r="G46" s="151"/>
      <c r="H46" s="152"/>
      <c r="I46" s="181"/>
      <c r="J46" s="182"/>
      <c r="K46" s="183">
        <f t="shared" si="0"/>
        <v>19.8883928571429</v>
      </c>
      <c r="L46" s="184">
        <f>$H$44/N46</f>
        <v>22.0982142857143</v>
      </c>
      <c r="M46" s="177">
        <f>推广计划!T11</f>
        <v>0.9</v>
      </c>
      <c r="N46" s="178">
        <f>推广计划!U11</f>
        <v>0.16</v>
      </c>
      <c r="O46" s="185"/>
      <c r="P46" s="180"/>
      <c r="Q46" s="199"/>
      <c r="R46" s="200"/>
    </row>
    <row r="47" ht="25.75" customHeight="1" spans="1:18">
      <c r="A47" s="153"/>
      <c r="B47" s="162"/>
      <c r="C47" s="154"/>
      <c r="D47" s="154"/>
      <c r="E47" s="154"/>
      <c r="F47" s="155"/>
      <c r="G47" s="156"/>
      <c r="H47" s="157"/>
      <c r="I47" s="186"/>
      <c r="J47" s="187"/>
      <c r="K47" s="188">
        <f t="shared" si="0"/>
        <v>19.8883928571429</v>
      </c>
      <c r="L47" s="189">
        <f>$H$44/N47</f>
        <v>22.0982142857143</v>
      </c>
      <c r="M47" s="177">
        <f>推广计划!T11</f>
        <v>0.9</v>
      </c>
      <c r="N47" s="178">
        <f>推广计划!U11</f>
        <v>0.16</v>
      </c>
      <c r="O47" s="190"/>
      <c r="P47" s="180"/>
      <c r="Q47" s="199"/>
      <c r="R47" s="201"/>
    </row>
    <row r="48" ht="25.75" customHeight="1" spans="1:18">
      <c r="A48" s="158" t="s">
        <v>106</v>
      </c>
      <c r="B48" s="159" t="s">
        <v>162</v>
      </c>
      <c r="C48" s="144">
        <f>推广计划!D12</f>
        <v>119.99</v>
      </c>
      <c r="D48" s="144">
        <f>推广计划!G12</f>
        <v>9.28571428571429</v>
      </c>
      <c r="E48" s="144">
        <f>C48*D48*7</f>
        <v>7799.35</v>
      </c>
      <c r="F48" s="145">
        <f>推广计划!P12</f>
        <v>0.123809523809524</v>
      </c>
      <c r="G48" s="146">
        <f>D48/F48</f>
        <v>75</v>
      </c>
      <c r="H48" s="160">
        <f>D48*J48</f>
        <v>3.71428571428571</v>
      </c>
      <c r="I48" s="191">
        <f>H48*C48</f>
        <v>445.677142857143</v>
      </c>
      <c r="J48" s="192">
        <v>0.4</v>
      </c>
      <c r="K48" s="193">
        <f t="shared" si="0"/>
        <v>20.8928571428571</v>
      </c>
      <c r="L48" s="194">
        <f>$H$48/N48</f>
        <v>23.2142857142857</v>
      </c>
      <c r="M48" s="177">
        <f>推广计划!T12</f>
        <v>0.9</v>
      </c>
      <c r="N48" s="178">
        <f>推广计划!U12</f>
        <v>0.16</v>
      </c>
      <c r="O48" s="195" t="s">
        <v>156</v>
      </c>
      <c r="P48" s="180"/>
      <c r="Q48" s="199"/>
      <c r="R48" s="202" t="s">
        <v>152</v>
      </c>
    </row>
    <row r="49" ht="25.75" customHeight="1" spans="1:18">
      <c r="A49" s="148"/>
      <c r="B49" s="161"/>
      <c r="C49" s="149"/>
      <c r="D49" s="149"/>
      <c r="E49" s="149"/>
      <c r="F49" s="150"/>
      <c r="G49" s="151"/>
      <c r="H49" s="152"/>
      <c r="I49" s="181"/>
      <c r="J49" s="182"/>
      <c r="K49" s="183">
        <f t="shared" si="0"/>
        <v>20.8928571428571</v>
      </c>
      <c r="L49" s="184">
        <f>$H$48/N49</f>
        <v>23.2142857142857</v>
      </c>
      <c r="M49" s="177">
        <f>推广计划!T12</f>
        <v>0.9</v>
      </c>
      <c r="N49" s="178">
        <f>推广计划!U12</f>
        <v>0.16</v>
      </c>
      <c r="O49" s="185"/>
      <c r="P49" s="180"/>
      <c r="Q49" s="199"/>
      <c r="R49" s="200"/>
    </row>
    <row r="50" ht="25.75" customHeight="1" spans="1:18">
      <c r="A50" s="148"/>
      <c r="B50" s="161"/>
      <c r="C50" s="149"/>
      <c r="D50" s="149"/>
      <c r="E50" s="149"/>
      <c r="F50" s="150"/>
      <c r="G50" s="151"/>
      <c r="H50" s="152"/>
      <c r="I50" s="181"/>
      <c r="J50" s="182"/>
      <c r="K50" s="183">
        <f t="shared" si="0"/>
        <v>20.8928571428571</v>
      </c>
      <c r="L50" s="184">
        <f>$H$48/N50</f>
        <v>23.2142857142857</v>
      </c>
      <c r="M50" s="177">
        <f>推广计划!T12</f>
        <v>0.9</v>
      </c>
      <c r="N50" s="178">
        <f>推广计划!U12</f>
        <v>0.16</v>
      </c>
      <c r="O50" s="185"/>
      <c r="P50" s="180"/>
      <c r="Q50" s="199"/>
      <c r="R50" s="200"/>
    </row>
    <row r="51" ht="25.75" customHeight="1" spans="1:18">
      <c r="A51" s="153"/>
      <c r="B51" s="162"/>
      <c r="C51" s="154"/>
      <c r="D51" s="154"/>
      <c r="E51" s="154"/>
      <c r="F51" s="155"/>
      <c r="G51" s="156"/>
      <c r="H51" s="157"/>
      <c r="I51" s="186"/>
      <c r="J51" s="187"/>
      <c r="K51" s="188">
        <f t="shared" si="0"/>
        <v>20.8928571428571</v>
      </c>
      <c r="L51" s="189">
        <f>$H$48/N51</f>
        <v>23.2142857142857</v>
      </c>
      <c r="M51" s="177">
        <f>推广计划!T12</f>
        <v>0.9</v>
      </c>
      <c r="N51" s="178">
        <f>推广计划!U12</f>
        <v>0.16</v>
      </c>
      <c r="O51" s="190"/>
      <c r="P51" s="180"/>
      <c r="Q51" s="199"/>
      <c r="R51" s="200"/>
    </row>
    <row r="52" ht="25.75" customHeight="1" spans="1:18">
      <c r="A52" s="142" t="s">
        <v>109</v>
      </c>
      <c r="B52" s="159" t="s">
        <v>163</v>
      </c>
      <c r="C52" s="144">
        <f>推广计划!D13</f>
        <v>119.99</v>
      </c>
      <c r="D52" s="144">
        <f>推广计划!G13</f>
        <v>10.2857142857143</v>
      </c>
      <c r="E52" s="144">
        <f>C52*D52*7</f>
        <v>8639.28</v>
      </c>
      <c r="F52" s="145">
        <f>推广计划!P13</f>
        <v>0.137142857142857</v>
      </c>
      <c r="G52" s="146">
        <f>D52/F52</f>
        <v>75</v>
      </c>
      <c r="H52" s="160">
        <f>D52*J52</f>
        <v>3.6</v>
      </c>
      <c r="I52" s="191">
        <f>H52*C52</f>
        <v>431.964</v>
      </c>
      <c r="J52" s="192">
        <v>0.35</v>
      </c>
      <c r="K52" s="193">
        <f t="shared" si="0"/>
        <v>20.25</v>
      </c>
      <c r="L52" s="194">
        <f>$H$52/N52</f>
        <v>22.5</v>
      </c>
      <c r="M52" s="177">
        <f>推广计划!T13</f>
        <v>0.9</v>
      </c>
      <c r="N52" s="178">
        <f>推广计划!U13</f>
        <v>0.16</v>
      </c>
      <c r="O52" s="195" t="s">
        <v>156</v>
      </c>
      <c r="P52" s="180"/>
      <c r="Q52" s="199"/>
      <c r="R52" s="200"/>
    </row>
    <row r="53" ht="25.75" customHeight="1" spans="1:18">
      <c r="A53" s="148"/>
      <c r="B53" s="161"/>
      <c r="C53" s="149"/>
      <c r="D53" s="149"/>
      <c r="E53" s="149"/>
      <c r="F53" s="150"/>
      <c r="G53" s="151"/>
      <c r="H53" s="152"/>
      <c r="I53" s="181"/>
      <c r="J53" s="182"/>
      <c r="K53" s="183">
        <f t="shared" si="0"/>
        <v>20.25</v>
      </c>
      <c r="L53" s="184">
        <f>$H$52/N53</f>
        <v>22.5</v>
      </c>
      <c r="M53" s="177">
        <f>推广计划!T13</f>
        <v>0.9</v>
      </c>
      <c r="N53" s="178">
        <f>推广计划!U13</f>
        <v>0.16</v>
      </c>
      <c r="O53" s="185"/>
      <c r="P53" s="180"/>
      <c r="Q53" s="199"/>
      <c r="R53" s="200"/>
    </row>
    <row r="54" ht="25.75" customHeight="1" spans="1:18">
      <c r="A54" s="148"/>
      <c r="B54" s="161"/>
      <c r="C54" s="149"/>
      <c r="D54" s="149"/>
      <c r="E54" s="149"/>
      <c r="F54" s="150"/>
      <c r="G54" s="151"/>
      <c r="H54" s="152"/>
      <c r="I54" s="181"/>
      <c r="J54" s="182"/>
      <c r="K54" s="183">
        <f t="shared" si="0"/>
        <v>20.25</v>
      </c>
      <c r="L54" s="184">
        <f>$H$52/N54</f>
        <v>22.5</v>
      </c>
      <c r="M54" s="177">
        <f>推广计划!T13</f>
        <v>0.9</v>
      </c>
      <c r="N54" s="178">
        <f>推广计划!U13</f>
        <v>0.16</v>
      </c>
      <c r="O54" s="185"/>
      <c r="P54" s="180"/>
      <c r="Q54" s="199"/>
      <c r="R54" s="200"/>
    </row>
    <row r="55" ht="25.75" customHeight="1" spans="1:18">
      <c r="A55" s="153"/>
      <c r="B55" s="162"/>
      <c r="C55" s="154"/>
      <c r="D55" s="154"/>
      <c r="E55" s="154"/>
      <c r="F55" s="155"/>
      <c r="G55" s="156"/>
      <c r="H55" s="157"/>
      <c r="I55" s="186"/>
      <c r="J55" s="187"/>
      <c r="K55" s="188">
        <f t="shared" si="0"/>
        <v>20.25</v>
      </c>
      <c r="L55" s="189">
        <f>$H$52/N55</f>
        <v>22.5</v>
      </c>
      <c r="M55" s="177">
        <f>推广计划!T13</f>
        <v>0.9</v>
      </c>
      <c r="N55" s="178">
        <f>推广计划!U13</f>
        <v>0.16</v>
      </c>
      <c r="O55" s="190"/>
      <c r="P55" s="196"/>
      <c r="Q55" s="199"/>
      <c r="R55" s="201"/>
    </row>
    <row r="56" ht="25.75" customHeight="1" spans="1:18">
      <c r="A56" s="158" t="s">
        <v>111</v>
      </c>
      <c r="B56" s="159" t="s">
        <v>164</v>
      </c>
      <c r="C56" s="144">
        <f>推广计划!D14</f>
        <v>119.99</v>
      </c>
      <c r="D56" s="144">
        <f>推广计划!G14</f>
        <v>10.7142857142857</v>
      </c>
      <c r="E56" s="144">
        <f>C56*D56*7</f>
        <v>8999.25</v>
      </c>
      <c r="F56" s="145">
        <f>推广计划!P14</f>
        <v>0.142857142857143</v>
      </c>
      <c r="G56" s="146">
        <f>D56/F56</f>
        <v>75</v>
      </c>
      <c r="H56" s="160">
        <f>D56*J56</f>
        <v>3.21428571428571</v>
      </c>
      <c r="I56" s="191">
        <f>H56*C56</f>
        <v>385.682142857143</v>
      </c>
      <c r="J56" s="192">
        <v>0.3</v>
      </c>
      <c r="K56" s="193">
        <f t="shared" si="0"/>
        <v>18.0803571428571</v>
      </c>
      <c r="L56" s="194">
        <f>$H$56/N56</f>
        <v>20.0892857142857</v>
      </c>
      <c r="M56" s="177">
        <f>推广计划!T14</f>
        <v>0.9</v>
      </c>
      <c r="N56" s="178">
        <f>推广计划!U14</f>
        <v>0.16</v>
      </c>
      <c r="O56" s="195" t="s">
        <v>165</v>
      </c>
      <c r="P56" s="197" t="s">
        <v>166</v>
      </c>
      <c r="Q56" s="199"/>
      <c r="R56" s="202" t="s">
        <v>167</v>
      </c>
    </row>
    <row r="57" ht="25.75" customHeight="1" spans="1:18">
      <c r="A57" s="148"/>
      <c r="B57" s="161"/>
      <c r="C57" s="149"/>
      <c r="D57" s="149"/>
      <c r="E57" s="149"/>
      <c r="F57" s="150"/>
      <c r="G57" s="151"/>
      <c r="H57" s="152"/>
      <c r="I57" s="181"/>
      <c r="J57" s="182"/>
      <c r="K57" s="183">
        <f t="shared" si="0"/>
        <v>18.0803571428571</v>
      </c>
      <c r="L57" s="184">
        <f>$H$56/N57</f>
        <v>20.0892857142857</v>
      </c>
      <c r="M57" s="177">
        <f>推广计划!T14</f>
        <v>0.9</v>
      </c>
      <c r="N57" s="178">
        <f>推广计划!U14</f>
        <v>0.16</v>
      </c>
      <c r="O57" s="185"/>
      <c r="P57" s="180"/>
      <c r="Q57" s="199"/>
      <c r="R57" s="200"/>
    </row>
    <row r="58" ht="25.75" customHeight="1" spans="1:18">
      <c r="A58" s="148"/>
      <c r="B58" s="161"/>
      <c r="C58" s="149"/>
      <c r="D58" s="149"/>
      <c r="E58" s="149"/>
      <c r="F58" s="150"/>
      <c r="G58" s="151"/>
      <c r="H58" s="152"/>
      <c r="I58" s="181"/>
      <c r="J58" s="182"/>
      <c r="K58" s="183">
        <f t="shared" si="0"/>
        <v>18.0803571428571</v>
      </c>
      <c r="L58" s="184">
        <f>$H$56/N58</f>
        <v>20.0892857142857</v>
      </c>
      <c r="M58" s="177">
        <f>推广计划!T14</f>
        <v>0.9</v>
      </c>
      <c r="N58" s="178">
        <f>推广计划!U14</f>
        <v>0.16</v>
      </c>
      <c r="O58" s="185"/>
      <c r="P58" s="180"/>
      <c r="Q58" s="199"/>
      <c r="R58" s="200"/>
    </row>
    <row r="59" ht="25.75" customHeight="1" spans="1:18">
      <c r="A59" s="153"/>
      <c r="B59" s="162"/>
      <c r="C59" s="154"/>
      <c r="D59" s="154"/>
      <c r="E59" s="154"/>
      <c r="F59" s="155"/>
      <c r="G59" s="156"/>
      <c r="H59" s="157"/>
      <c r="I59" s="186"/>
      <c r="J59" s="187"/>
      <c r="K59" s="188">
        <f t="shared" si="0"/>
        <v>18.0803571428571</v>
      </c>
      <c r="L59" s="189">
        <f>$H$56/N59</f>
        <v>20.0892857142857</v>
      </c>
      <c r="M59" s="177">
        <f>推广计划!T14</f>
        <v>0.9</v>
      </c>
      <c r="N59" s="178">
        <f>推广计划!U14</f>
        <v>0.16</v>
      </c>
      <c r="O59" s="190"/>
      <c r="P59" s="180"/>
      <c r="Q59" s="199"/>
      <c r="R59" s="200"/>
    </row>
    <row r="60" ht="25.75" customHeight="1" spans="1:18">
      <c r="A60" s="142" t="s">
        <v>115</v>
      </c>
      <c r="B60" s="159" t="s">
        <v>168</v>
      </c>
      <c r="C60" s="144">
        <f>推广计划!D15</f>
        <v>119.99</v>
      </c>
      <c r="D60" s="144">
        <f>推广计划!G15</f>
        <v>11.4285714285714</v>
      </c>
      <c r="E60" s="144">
        <f>C60*D60*7</f>
        <v>9599.2</v>
      </c>
      <c r="F60" s="145">
        <f>推广计划!P15</f>
        <v>0.152380952380952</v>
      </c>
      <c r="G60" s="146">
        <f>D60/F60</f>
        <v>75</v>
      </c>
      <c r="H60" s="160">
        <f>D60*J60</f>
        <v>3.42857142857143</v>
      </c>
      <c r="I60" s="191">
        <f>H60*C60</f>
        <v>411.394285714286</v>
      </c>
      <c r="J60" s="192">
        <v>0.3</v>
      </c>
      <c r="K60" s="193">
        <f t="shared" si="0"/>
        <v>18.1512605042017</v>
      </c>
      <c r="L60" s="194">
        <f>$H$60/N60</f>
        <v>20.1680672268908</v>
      </c>
      <c r="M60" s="177">
        <f>推广计划!T15</f>
        <v>0.9</v>
      </c>
      <c r="N60" s="178">
        <f>推广计划!U15</f>
        <v>0.17</v>
      </c>
      <c r="O60" s="195" t="s">
        <v>165</v>
      </c>
      <c r="P60" s="180"/>
      <c r="Q60" s="199"/>
      <c r="R60" s="200"/>
    </row>
    <row r="61" ht="25.75" customHeight="1" spans="1:18">
      <c r="A61" s="148"/>
      <c r="B61" s="161"/>
      <c r="C61" s="149"/>
      <c r="D61" s="149"/>
      <c r="E61" s="149"/>
      <c r="F61" s="150"/>
      <c r="G61" s="151"/>
      <c r="H61" s="152"/>
      <c r="I61" s="181"/>
      <c r="J61" s="182"/>
      <c r="K61" s="183">
        <f t="shared" si="0"/>
        <v>18.1512605042017</v>
      </c>
      <c r="L61" s="184">
        <f>$H$60/N61</f>
        <v>20.1680672268908</v>
      </c>
      <c r="M61" s="177">
        <f>推广计划!T15</f>
        <v>0.9</v>
      </c>
      <c r="N61" s="178">
        <f>推广计划!U15</f>
        <v>0.17</v>
      </c>
      <c r="O61" s="185"/>
      <c r="P61" s="180"/>
      <c r="Q61" s="199"/>
      <c r="R61" s="200"/>
    </row>
    <row r="62" ht="25.75" customHeight="1" spans="1:18">
      <c r="A62" s="148"/>
      <c r="B62" s="161"/>
      <c r="C62" s="149"/>
      <c r="D62" s="149"/>
      <c r="E62" s="149"/>
      <c r="F62" s="150"/>
      <c r="G62" s="151"/>
      <c r="H62" s="152"/>
      <c r="I62" s="181"/>
      <c r="J62" s="182"/>
      <c r="K62" s="183">
        <f t="shared" si="0"/>
        <v>18.1512605042017</v>
      </c>
      <c r="L62" s="184">
        <f>$H$60/N62</f>
        <v>20.1680672268908</v>
      </c>
      <c r="M62" s="177">
        <f>推广计划!T15</f>
        <v>0.9</v>
      </c>
      <c r="N62" s="178">
        <f>推广计划!U15</f>
        <v>0.17</v>
      </c>
      <c r="O62" s="185"/>
      <c r="P62" s="180"/>
      <c r="Q62" s="199"/>
      <c r="R62" s="200"/>
    </row>
    <row r="63" ht="25.75" customHeight="1" spans="1:18">
      <c r="A63" s="153"/>
      <c r="B63" s="162"/>
      <c r="C63" s="154"/>
      <c r="D63" s="154"/>
      <c r="E63" s="154"/>
      <c r="F63" s="155"/>
      <c r="G63" s="156"/>
      <c r="H63" s="157"/>
      <c r="I63" s="186"/>
      <c r="J63" s="187"/>
      <c r="K63" s="188">
        <f t="shared" si="0"/>
        <v>18.1512605042017</v>
      </c>
      <c r="L63" s="189">
        <f>$H$60/N63</f>
        <v>20.1680672268908</v>
      </c>
      <c r="M63" s="177">
        <f>推广计划!T15</f>
        <v>0.9</v>
      </c>
      <c r="N63" s="178">
        <f>推广计划!U15</f>
        <v>0.17</v>
      </c>
      <c r="O63" s="190"/>
      <c r="P63" s="196"/>
      <c r="Q63" s="211"/>
      <c r="R63" s="201"/>
    </row>
    <row r="64" ht="25.75" customHeight="1" spans="1:18">
      <c r="A64" s="158" t="s">
        <v>111</v>
      </c>
      <c r="B64" s="159" t="s">
        <v>164</v>
      </c>
      <c r="C64" s="144">
        <f>推广计划!D22</f>
        <v>119.99</v>
      </c>
      <c r="D64" s="144">
        <f>推广计划!G22</f>
        <v>10.7142857142857</v>
      </c>
      <c r="E64" s="144">
        <f>C64*D64*7</f>
        <v>8999.25</v>
      </c>
      <c r="F64" s="145">
        <f>推广计划!P22</f>
        <v>0.178571428571429</v>
      </c>
      <c r="G64" s="146">
        <f>D64/F64</f>
        <v>60</v>
      </c>
      <c r="H64" s="160">
        <f>D64*J64</f>
        <v>3.21428571428571</v>
      </c>
      <c r="I64" s="191">
        <f>H64*C64</f>
        <v>385.682142857143</v>
      </c>
      <c r="J64" s="192">
        <v>0.3</v>
      </c>
      <c r="K64" s="193">
        <f t="shared" si="0"/>
        <v>17.0168067226891</v>
      </c>
      <c r="L64" s="194">
        <f>$H$56/N64</f>
        <v>18.9075630252101</v>
      </c>
      <c r="M64" s="177">
        <f>推广计划!T22</f>
        <v>0.9</v>
      </c>
      <c r="N64" s="178">
        <f>推广计划!U22</f>
        <v>0.17</v>
      </c>
      <c r="O64" s="195" t="s">
        <v>165</v>
      </c>
      <c r="P64" s="197" t="s">
        <v>166</v>
      </c>
      <c r="Q64" s="199"/>
      <c r="R64" s="202" t="s">
        <v>167</v>
      </c>
    </row>
    <row r="65" ht="25.75" customHeight="1" spans="1:18">
      <c r="A65" s="148"/>
      <c r="B65" s="161"/>
      <c r="C65" s="149"/>
      <c r="D65" s="149"/>
      <c r="E65" s="149"/>
      <c r="F65" s="150"/>
      <c r="G65" s="151"/>
      <c r="H65" s="152"/>
      <c r="I65" s="181"/>
      <c r="J65" s="182"/>
      <c r="K65" s="183">
        <f t="shared" si="0"/>
        <v>17.0168067226891</v>
      </c>
      <c r="L65" s="184">
        <f>$H$56/N65</f>
        <v>18.9075630252101</v>
      </c>
      <c r="M65" s="177">
        <f>推广计划!T22</f>
        <v>0.9</v>
      </c>
      <c r="N65" s="178">
        <f>推广计划!U22</f>
        <v>0.17</v>
      </c>
      <c r="O65" s="185"/>
      <c r="P65" s="180"/>
      <c r="Q65" s="199"/>
      <c r="R65" s="200"/>
    </row>
    <row r="66" ht="25.75" customHeight="1" spans="1:18">
      <c r="A66" s="148"/>
      <c r="B66" s="161"/>
      <c r="C66" s="149"/>
      <c r="D66" s="149"/>
      <c r="E66" s="149"/>
      <c r="F66" s="150"/>
      <c r="G66" s="151"/>
      <c r="H66" s="152"/>
      <c r="I66" s="181"/>
      <c r="J66" s="182"/>
      <c r="K66" s="183">
        <f t="shared" si="0"/>
        <v>17.0168067226891</v>
      </c>
      <c r="L66" s="184">
        <f>$H$56/N66</f>
        <v>18.9075630252101</v>
      </c>
      <c r="M66" s="177">
        <f>推广计划!T22</f>
        <v>0.9</v>
      </c>
      <c r="N66" s="178">
        <f>推广计划!U22</f>
        <v>0.17</v>
      </c>
      <c r="O66" s="185"/>
      <c r="P66" s="180"/>
      <c r="Q66" s="199"/>
      <c r="R66" s="200"/>
    </row>
    <row r="67" ht="25.75" customHeight="1" spans="1:18">
      <c r="A67" s="153"/>
      <c r="B67" s="162"/>
      <c r="C67" s="154"/>
      <c r="D67" s="154"/>
      <c r="E67" s="154"/>
      <c r="F67" s="155"/>
      <c r="G67" s="156"/>
      <c r="H67" s="157"/>
      <c r="I67" s="186"/>
      <c r="J67" s="187"/>
      <c r="K67" s="188">
        <f t="shared" si="0"/>
        <v>17.0168067226891</v>
      </c>
      <c r="L67" s="189">
        <f>$H$56/N67</f>
        <v>18.9075630252101</v>
      </c>
      <c r="M67" s="177">
        <f>推广计划!T22</f>
        <v>0.9</v>
      </c>
      <c r="N67" s="178">
        <f>推广计划!U22</f>
        <v>0.17</v>
      </c>
      <c r="O67" s="190"/>
      <c r="P67" s="180"/>
      <c r="Q67" s="199"/>
      <c r="R67" s="200"/>
    </row>
    <row r="68" ht="25.75" customHeight="1" spans="1:18">
      <c r="A68" s="142" t="s">
        <v>115</v>
      </c>
      <c r="B68" s="159" t="s">
        <v>168</v>
      </c>
      <c r="C68" s="144">
        <f>推广计划!D23</f>
        <v>119.99</v>
      </c>
      <c r="D68" s="144">
        <f>推广计划!G23</f>
        <v>11.4285714285714</v>
      </c>
      <c r="E68" s="144">
        <f>C68*D68*7</f>
        <v>9599.2</v>
      </c>
      <c r="F68" s="145">
        <f>推广计划!P23</f>
        <v>0.19047619047619</v>
      </c>
      <c r="G68" s="146">
        <f>D68/F68</f>
        <v>60</v>
      </c>
      <c r="H68" s="160">
        <f>D68*J68</f>
        <v>3.42857142857143</v>
      </c>
      <c r="I68" s="191">
        <f>H68*C68</f>
        <v>411.394285714286</v>
      </c>
      <c r="J68" s="192">
        <v>0.3</v>
      </c>
      <c r="K68" s="193">
        <f t="shared" si="0"/>
        <v>18.1512605042017</v>
      </c>
      <c r="L68" s="194">
        <f>$H$60/N68</f>
        <v>20.1680672268908</v>
      </c>
      <c r="M68" s="177">
        <f>推广计划!T23</f>
        <v>0.9</v>
      </c>
      <c r="N68" s="178">
        <f>推广计划!U23</f>
        <v>0.17</v>
      </c>
      <c r="O68" s="195" t="s">
        <v>165</v>
      </c>
      <c r="P68" s="180"/>
      <c r="Q68" s="199"/>
      <c r="R68" s="200"/>
    </row>
    <row r="69" ht="25.75" customHeight="1" spans="1:18">
      <c r="A69" s="148"/>
      <c r="B69" s="161"/>
      <c r="C69" s="149"/>
      <c r="D69" s="149"/>
      <c r="E69" s="149"/>
      <c r="F69" s="150"/>
      <c r="G69" s="151"/>
      <c r="H69" s="152"/>
      <c r="I69" s="181"/>
      <c r="J69" s="182"/>
      <c r="K69" s="183">
        <f t="shared" si="0"/>
        <v>18.1512605042017</v>
      </c>
      <c r="L69" s="184">
        <f>$H$60/N69</f>
        <v>20.1680672268908</v>
      </c>
      <c r="M69" s="177">
        <f>推广计划!T23</f>
        <v>0.9</v>
      </c>
      <c r="N69" s="178">
        <f>推广计划!U23</f>
        <v>0.17</v>
      </c>
      <c r="O69" s="185"/>
      <c r="P69" s="180"/>
      <c r="Q69" s="199"/>
      <c r="R69" s="200"/>
    </row>
    <row r="70" ht="25.75" customHeight="1" spans="1:18">
      <c r="A70" s="148"/>
      <c r="B70" s="161"/>
      <c r="C70" s="149"/>
      <c r="D70" s="149"/>
      <c r="E70" s="149"/>
      <c r="F70" s="150"/>
      <c r="G70" s="151"/>
      <c r="H70" s="152"/>
      <c r="I70" s="181"/>
      <c r="J70" s="182"/>
      <c r="K70" s="183">
        <f t="shared" si="0"/>
        <v>18.1512605042017</v>
      </c>
      <c r="L70" s="184">
        <f>$H$60/N70</f>
        <v>20.1680672268908</v>
      </c>
      <c r="M70" s="177">
        <f>推广计划!T23</f>
        <v>0.9</v>
      </c>
      <c r="N70" s="178">
        <f>推广计划!U23</f>
        <v>0.17</v>
      </c>
      <c r="O70" s="185"/>
      <c r="P70" s="180"/>
      <c r="Q70" s="199"/>
      <c r="R70" s="200"/>
    </row>
    <row r="71" ht="25.75" customHeight="1" spans="1:18">
      <c r="A71" s="153"/>
      <c r="B71" s="162"/>
      <c r="C71" s="154"/>
      <c r="D71" s="154"/>
      <c r="E71" s="154"/>
      <c r="F71" s="155"/>
      <c r="G71" s="156"/>
      <c r="H71" s="157"/>
      <c r="I71" s="186"/>
      <c r="J71" s="187"/>
      <c r="K71" s="188">
        <f t="shared" si="0"/>
        <v>18.1512605042017</v>
      </c>
      <c r="L71" s="189">
        <f>$H$60/N71</f>
        <v>20.1680672268908</v>
      </c>
      <c r="M71" s="177">
        <f>推广计划!T23</f>
        <v>0.9</v>
      </c>
      <c r="N71" s="178">
        <f>推广计划!U23</f>
        <v>0.17</v>
      </c>
      <c r="O71" s="190"/>
      <c r="P71" s="196"/>
      <c r="Q71" s="211"/>
      <c r="R71" s="201"/>
    </row>
    <row r="72" ht="13.8" spans="1:14">
      <c r="A72" s="212"/>
      <c r="B72" s="212"/>
      <c r="C72" s="212"/>
      <c r="D72" s="212"/>
      <c r="E72" s="212"/>
      <c r="F72" s="212"/>
      <c r="G72" s="212"/>
      <c r="H72" s="212"/>
      <c r="I72" s="212"/>
      <c r="K72" s="70"/>
      <c r="L72" s="70"/>
      <c r="N72" s="70"/>
    </row>
    <row r="73" ht="13.8" spans="1:14">
      <c r="A73" s="212"/>
      <c r="B73" s="212"/>
      <c r="C73" s="212"/>
      <c r="D73" s="212"/>
      <c r="E73" s="212"/>
      <c r="F73" s="212"/>
      <c r="G73" s="212"/>
      <c r="H73" s="212"/>
      <c r="I73" s="212"/>
      <c r="K73" s="70"/>
      <c r="L73" s="70"/>
      <c r="N73" s="70"/>
    </row>
    <row r="74" ht="13.8" spans="1:14">
      <c r="A74" s="212"/>
      <c r="B74" s="212"/>
      <c r="C74" s="212"/>
      <c r="D74" s="212"/>
      <c r="E74" s="212"/>
      <c r="F74" s="212"/>
      <c r="G74" s="212"/>
      <c r="H74" s="212"/>
      <c r="I74" s="212"/>
      <c r="K74" s="70"/>
      <c r="L74" s="70"/>
      <c r="N74" s="70"/>
    </row>
    <row r="75" ht="13.8" spans="1:14">
      <c r="A75" s="212"/>
      <c r="B75" s="212"/>
      <c r="C75" s="212"/>
      <c r="D75" s="212"/>
      <c r="E75" s="212"/>
      <c r="F75" s="212"/>
      <c r="G75" s="212"/>
      <c r="H75" s="212"/>
      <c r="I75" s="212"/>
      <c r="K75" s="70"/>
      <c r="L75" s="70"/>
      <c r="N75" s="70"/>
    </row>
    <row r="76" ht="13.8" spans="1:14">
      <c r="A76" s="212"/>
      <c r="B76" s="212"/>
      <c r="C76" s="212"/>
      <c r="D76" s="212"/>
      <c r="E76" s="212"/>
      <c r="F76" s="212"/>
      <c r="G76" s="212"/>
      <c r="H76" s="212"/>
      <c r="I76" s="212"/>
      <c r="K76" s="70"/>
      <c r="L76" s="70"/>
      <c r="N76" s="70"/>
    </row>
    <row r="77" ht="13.8" spans="1:14">
      <c r="A77" s="212"/>
      <c r="B77" s="212"/>
      <c r="C77" s="212"/>
      <c r="D77" s="212"/>
      <c r="E77" s="212"/>
      <c r="F77" s="212"/>
      <c r="G77" s="212"/>
      <c r="H77" s="212"/>
      <c r="I77" s="212"/>
      <c r="K77" s="70"/>
      <c r="L77" s="70"/>
      <c r="N77" s="70"/>
    </row>
    <row r="78" ht="13.8" spans="1:14">
      <c r="A78" s="212"/>
      <c r="B78" s="212"/>
      <c r="C78" s="212"/>
      <c r="D78" s="212"/>
      <c r="E78" s="212"/>
      <c r="F78" s="212"/>
      <c r="G78" s="212"/>
      <c r="H78" s="212"/>
      <c r="I78" s="212"/>
      <c r="K78" s="70"/>
      <c r="L78" s="70"/>
      <c r="N78" s="70"/>
    </row>
    <row r="79" ht="13.8" spans="1:14">
      <c r="A79" s="212"/>
      <c r="B79" s="212"/>
      <c r="C79" s="212"/>
      <c r="D79" s="212"/>
      <c r="E79" s="212"/>
      <c r="F79" s="212"/>
      <c r="G79" s="212"/>
      <c r="H79" s="212"/>
      <c r="I79" s="212"/>
      <c r="K79" s="70"/>
      <c r="L79" s="70"/>
      <c r="N79" s="70"/>
    </row>
    <row r="80" ht="13.8" spans="1:14">
      <c r="A80" s="212"/>
      <c r="B80" s="212"/>
      <c r="C80" s="212"/>
      <c r="D80" s="212"/>
      <c r="E80" s="212"/>
      <c r="F80" s="212"/>
      <c r="G80" s="212"/>
      <c r="H80" s="212"/>
      <c r="I80" s="212"/>
      <c r="K80" s="70"/>
      <c r="L80" s="70"/>
      <c r="N80" s="70"/>
    </row>
    <row r="81" ht="13.8" spans="1:14">
      <c r="A81" s="212"/>
      <c r="B81" s="212"/>
      <c r="C81" s="212"/>
      <c r="D81" s="212"/>
      <c r="E81" s="212"/>
      <c r="F81" s="212"/>
      <c r="G81" s="212"/>
      <c r="H81" s="212"/>
      <c r="I81" s="212"/>
      <c r="K81" s="70"/>
      <c r="L81" s="70"/>
      <c r="N81" s="70"/>
    </row>
    <row r="82" ht="13.8" spans="1:14">
      <c r="A82" s="212"/>
      <c r="B82" s="212"/>
      <c r="C82" s="212"/>
      <c r="D82" s="212"/>
      <c r="E82" s="212"/>
      <c r="F82" s="212"/>
      <c r="G82" s="212"/>
      <c r="H82" s="212"/>
      <c r="I82" s="212"/>
      <c r="K82" s="70"/>
      <c r="L82" s="70"/>
      <c r="N82" s="70"/>
    </row>
    <row r="83" ht="13.8" spans="1:14">
      <c r="A83" s="212"/>
      <c r="B83" s="212"/>
      <c r="C83" s="212"/>
      <c r="D83" s="212"/>
      <c r="E83" s="212"/>
      <c r="F83" s="212"/>
      <c r="G83" s="212"/>
      <c r="H83" s="212"/>
      <c r="I83" s="212"/>
      <c r="K83" s="70"/>
      <c r="L83" s="70"/>
      <c r="N83" s="70"/>
    </row>
    <row r="84" ht="13.8" spans="1:14">
      <c r="A84" s="212"/>
      <c r="B84" s="212"/>
      <c r="C84" s="212"/>
      <c r="D84" s="212"/>
      <c r="E84" s="212"/>
      <c r="F84" s="212"/>
      <c r="G84" s="212"/>
      <c r="H84" s="212"/>
      <c r="I84" s="212"/>
      <c r="K84" s="70"/>
      <c r="L84" s="70"/>
      <c r="N84" s="70"/>
    </row>
    <row r="85" ht="13.8" spans="1:14">
      <c r="A85" s="212"/>
      <c r="B85" s="212"/>
      <c r="C85" s="212"/>
      <c r="D85" s="212"/>
      <c r="E85" s="212"/>
      <c r="F85" s="212"/>
      <c r="G85" s="212"/>
      <c r="H85" s="212"/>
      <c r="I85" s="212"/>
      <c r="K85" s="70"/>
      <c r="L85" s="70"/>
      <c r="N85" s="70"/>
    </row>
    <row r="86" ht="13.8" spans="1:14">
      <c r="A86" s="212"/>
      <c r="B86" s="212"/>
      <c r="C86" s="212"/>
      <c r="D86" s="212"/>
      <c r="E86" s="212"/>
      <c r="F86" s="212"/>
      <c r="G86" s="212"/>
      <c r="H86" s="212"/>
      <c r="I86" s="212"/>
      <c r="K86" s="70"/>
      <c r="L86" s="70"/>
      <c r="N86" s="70"/>
    </row>
    <row r="87" ht="13.8" spans="1:14">
      <c r="A87" s="212"/>
      <c r="B87" s="212"/>
      <c r="C87" s="212"/>
      <c r="D87" s="212"/>
      <c r="E87" s="212"/>
      <c r="F87" s="212"/>
      <c r="G87" s="212"/>
      <c r="H87" s="212"/>
      <c r="I87" s="212"/>
      <c r="K87" s="70"/>
      <c r="L87" s="70"/>
      <c r="N87" s="70"/>
    </row>
    <row r="88" ht="13.8" spans="1:14">
      <c r="A88" s="212"/>
      <c r="B88" s="212"/>
      <c r="C88" s="212"/>
      <c r="D88" s="212"/>
      <c r="E88" s="212"/>
      <c r="F88" s="212"/>
      <c r="G88" s="212"/>
      <c r="H88" s="212"/>
      <c r="I88" s="212"/>
      <c r="K88" s="70"/>
      <c r="L88" s="70"/>
      <c r="N88" s="70"/>
    </row>
    <row r="89" ht="13.8" spans="1:14">
      <c r="A89" s="212"/>
      <c r="B89" s="212"/>
      <c r="C89" s="212"/>
      <c r="D89" s="212"/>
      <c r="E89" s="212"/>
      <c r="F89" s="212"/>
      <c r="G89" s="212"/>
      <c r="H89" s="212"/>
      <c r="I89" s="212"/>
      <c r="K89" s="70"/>
      <c r="L89" s="70"/>
      <c r="N89" s="70"/>
    </row>
    <row r="90" ht="13.8" spans="1:14">
      <c r="A90" s="212"/>
      <c r="B90" s="212"/>
      <c r="C90" s="212"/>
      <c r="D90" s="212"/>
      <c r="E90" s="212"/>
      <c r="F90" s="212"/>
      <c r="G90" s="212"/>
      <c r="H90" s="212"/>
      <c r="I90" s="212"/>
      <c r="K90" s="70"/>
      <c r="L90" s="70"/>
      <c r="N90" s="70"/>
    </row>
    <row r="91" ht="13.8" spans="1:14">
      <c r="A91" s="212"/>
      <c r="B91" s="212"/>
      <c r="C91" s="212"/>
      <c r="D91" s="212"/>
      <c r="E91" s="212"/>
      <c r="F91" s="212"/>
      <c r="G91" s="212"/>
      <c r="H91" s="212"/>
      <c r="I91" s="212"/>
      <c r="K91" s="70"/>
      <c r="L91" s="70"/>
      <c r="N91" s="70"/>
    </row>
    <row r="92" ht="13.8" spans="1:14">
      <c r="A92" s="212"/>
      <c r="B92" s="212"/>
      <c r="C92" s="212"/>
      <c r="D92" s="212"/>
      <c r="E92" s="212"/>
      <c r="F92" s="212"/>
      <c r="G92" s="212"/>
      <c r="H92" s="212"/>
      <c r="I92" s="212"/>
      <c r="K92" s="70"/>
      <c r="L92" s="70"/>
      <c r="N92" s="70"/>
    </row>
    <row r="93" ht="13.8" spans="1:14">
      <c r="A93" s="212"/>
      <c r="B93" s="212"/>
      <c r="C93" s="212"/>
      <c r="D93" s="212"/>
      <c r="E93" s="212"/>
      <c r="F93" s="212"/>
      <c r="G93" s="212"/>
      <c r="H93" s="212"/>
      <c r="I93" s="212"/>
      <c r="K93" s="70"/>
      <c r="L93" s="70"/>
      <c r="N93" s="70"/>
    </row>
    <row r="94" ht="13.8" spans="1:14">
      <c r="A94" s="212"/>
      <c r="B94" s="212"/>
      <c r="C94" s="212"/>
      <c r="D94" s="212"/>
      <c r="E94" s="212"/>
      <c r="F94" s="212"/>
      <c r="G94" s="212"/>
      <c r="H94" s="212"/>
      <c r="I94" s="212"/>
      <c r="K94" s="70"/>
      <c r="L94" s="70"/>
      <c r="N94" s="70"/>
    </row>
    <row r="95" ht="13.8" spans="1:14">
      <c r="A95" s="212"/>
      <c r="B95" s="212"/>
      <c r="C95" s="212"/>
      <c r="D95" s="212"/>
      <c r="E95" s="212"/>
      <c r="F95" s="212"/>
      <c r="G95" s="212"/>
      <c r="H95" s="212"/>
      <c r="I95" s="212"/>
      <c r="K95" s="70"/>
      <c r="L95" s="70"/>
      <c r="N95" s="70"/>
    </row>
    <row r="96" ht="13.8" spans="1:14">
      <c r="A96" s="212"/>
      <c r="B96" s="212"/>
      <c r="C96" s="212"/>
      <c r="D96" s="212"/>
      <c r="E96" s="212"/>
      <c r="F96" s="212"/>
      <c r="G96" s="212"/>
      <c r="H96" s="212"/>
      <c r="I96" s="212"/>
      <c r="K96" s="70"/>
      <c r="L96" s="70"/>
      <c r="N96" s="70"/>
    </row>
    <row r="97" ht="13.8" spans="1:14">
      <c r="A97" s="212"/>
      <c r="B97" s="212"/>
      <c r="C97" s="212"/>
      <c r="D97" s="212"/>
      <c r="E97" s="212"/>
      <c r="F97" s="212"/>
      <c r="G97" s="212"/>
      <c r="H97" s="212"/>
      <c r="I97" s="212"/>
      <c r="K97" s="70"/>
      <c r="L97" s="70"/>
      <c r="N97" s="70"/>
    </row>
    <row r="98" ht="13.8" spans="1:14">
      <c r="A98" s="212"/>
      <c r="B98" s="212"/>
      <c r="C98" s="212"/>
      <c r="D98" s="212"/>
      <c r="E98" s="212"/>
      <c r="F98" s="212"/>
      <c r="G98" s="212"/>
      <c r="H98" s="212"/>
      <c r="I98" s="212"/>
      <c r="K98" s="70"/>
      <c r="L98" s="70"/>
      <c r="N98" s="70"/>
    </row>
    <row r="99" ht="13.8" spans="1:14">
      <c r="A99" s="212"/>
      <c r="B99" s="212"/>
      <c r="C99" s="212"/>
      <c r="D99" s="212"/>
      <c r="E99" s="212"/>
      <c r="F99" s="212"/>
      <c r="G99" s="212"/>
      <c r="H99" s="212"/>
      <c r="I99" s="212"/>
      <c r="K99" s="70"/>
      <c r="L99" s="70"/>
      <c r="N99" s="70"/>
    </row>
    <row r="100" ht="13.8" spans="1:14">
      <c r="A100" s="212"/>
      <c r="B100" s="212"/>
      <c r="C100" s="212"/>
      <c r="D100" s="212"/>
      <c r="E100" s="212"/>
      <c r="F100" s="212"/>
      <c r="G100" s="212"/>
      <c r="H100" s="212"/>
      <c r="I100" s="212"/>
      <c r="K100" s="70"/>
      <c r="L100" s="70"/>
      <c r="N100" s="70"/>
    </row>
    <row r="101" ht="13.8" spans="1:14">
      <c r="A101" s="212"/>
      <c r="B101" s="212"/>
      <c r="C101" s="212"/>
      <c r="D101" s="212"/>
      <c r="E101" s="212"/>
      <c r="F101" s="212"/>
      <c r="G101" s="212"/>
      <c r="H101" s="212"/>
      <c r="I101" s="212"/>
      <c r="K101" s="70"/>
      <c r="L101" s="70"/>
      <c r="N101" s="70"/>
    </row>
    <row r="102" ht="13.8" spans="1:14">
      <c r="A102" s="212"/>
      <c r="B102" s="212"/>
      <c r="C102" s="212"/>
      <c r="D102" s="212"/>
      <c r="E102" s="212"/>
      <c r="F102" s="212"/>
      <c r="G102" s="212"/>
      <c r="H102" s="212"/>
      <c r="I102" s="212"/>
      <c r="K102" s="70"/>
      <c r="L102" s="70"/>
      <c r="N102" s="70"/>
    </row>
    <row r="103" ht="13.8" spans="1:14">
      <c r="A103" s="212"/>
      <c r="B103" s="212"/>
      <c r="C103" s="212"/>
      <c r="D103" s="212"/>
      <c r="E103" s="212"/>
      <c r="F103" s="212"/>
      <c r="G103" s="212"/>
      <c r="H103" s="212"/>
      <c r="I103" s="212"/>
      <c r="K103" s="70"/>
      <c r="L103" s="70"/>
      <c r="N103" s="70"/>
    </row>
    <row r="104" ht="13.8" spans="1:14">
      <c r="A104" s="212"/>
      <c r="B104" s="212"/>
      <c r="C104" s="212"/>
      <c r="D104" s="212"/>
      <c r="E104" s="212"/>
      <c r="F104" s="212"/>
      <c r="G104" s="212"/>
      <c r="H104" s="212"/>
      <c r="I104" s="212"/>
      <c r="K104" s="70"/>
      <c r="L104" s="70"/>
      <c r="N104" s="70"/>
    </row>
    <row r="105" ht="13.8" spans="1:14">
      <c r="A105" s="212"/>
      <c r="B105" s="212"/>
      <c r="C105" s="212"/>
      <c r="D105" s="212"/>
      <c r="E105" s="212"/>
      <c r="F105" s="212"/>
      <c r="G105" s="212"/>
      <c r="H105" s="212"/>
      <c r="I105" s="212"/>
      <c r="K105" s="70"/>
      <c r="L105" s="70"/>
      <c r="N105" s="70"/>
    </row>
    <row r="106" ht="13.8" spans="1:14">
      <c r="A106" s="212"/>
      <c r="B106" s="212"/>
      <c r="C106" s="212"/>
      <c r="D106" s="212"/>
      <c r="E106" s="212"/>
      <c r="F106" s="212"/>
      <c r="G106" s="212"/>
      <c r="H106" s="212"/>
      <c r="I106" s="212"/>
      <c r="K106" s="70"/>
      <c r="L106" s="70"/>
      <c r="N106" s="70"/>
    </row>
    <row r="107" ht="13.8" spans="1:14">
      <c r="A107" s="212"/>
      <c r="B107" s="212"/>
      <c r="C107" s="212"/>
      <c r="D107" s="212"/>
      <c r="E107" s="212"/>
      <c r="F107" s="212"/>
      <c r="G107" s="212"/>
      <c r="H107" s="212"/>
      <c r="I107" s="212"/>
      <c r="K107" s="70"/>
      <c r="L107" s="70"/>
      <c r="N107" s="70"/>
    </row>
    <row r="108" ht="13.8" spans="1:14">
      <c r="A108" s="212"/>
      <c r="B108" s="212"/>
      <c r="C108" s="212"/>
      <c r="D108" s="212"/>
      <c r="E108" s="212"/>
      <c r="F108" s="212"/>
      <c r="G108" s="212"/>
      <c r="H108" s="212"/>
      <c r="I108" s="212"/>
      <c r="K108" s="70"/>
      <c r="L108" s="70"/>
      <c r="N108" s="70"/>
    </row>
    <row r="109" ht="13.8" spans="1:14">
      <c r="A109" s="212"/>
      <c r="B109" s="212"/>
      <c r="C109" s="212"/>
      <c r="D109" s="212"/>
      <c r="E109" s="212"/>
      <c r="F109" s="212"/>
      <c r="G109" s="212"/>
      <c r="H109" s="212"/>
      <c r="I109" s="212"/>
      <c r="K109" s="70"/>
      <c r="L109" s="70"/>
      <c r="N109" s="70"/>
    </row>
    <row r="110" ht="13.8" spans="1:14">
      <c r="A110" s="212"/>
      <c r="B110" s="212"/>
      <c r="C110" s="212"/>
      <c r="D110" s="212"/>
      <c r="E110" s="212"/>
      <c r="F110" s="212"/>
      <c r="G110" s="212"/>
      <c r="H110" s="212"/>
      <c r="I110" s="212"/>
      <c r="K110" s="70"/>
      <c r="L110" s="70"/>
      <c r="N110" s="70"/>
    </row>
    <row r="111" ht="13.8" spans="1:14">
      <c r="A111" s="212"/>
      <c r="B111" s="212"/>
      <c r="C111" s="212"/>
      <c r="D111" s="212"/>
      <c r="E111" s="212"/>
      <c r="F111" s="212"/>
      <c r="G111" s="212"/>
      <c r="H111" s="212"/>
      <c r="I111" s="212"/>
      <c r="K111" s="70"/>
      <c r="L111" s="70"/>
      <c r="N111" s="70"/>
    </row>
    <row r="112" ht="13.8" spans="1:14">
      <c r="A112" s="212"/>
      <c r="B112" s="212"/>
      <c r="C112" s="212"/>
      <c r="D112" s="212"/>
      <c r="E112" s="212"/>
      <c r="F112" s="212"/>
      <c r="G112" s="212"/>
      <c r="H112" s="212"/>
      <c r="I112" s="212"/>
      <c r="K112" s="70"/>
      <c r="L112" s="70"/>
      <c r="N112" s="70"/>
    </row>
    <row r="113" ht="13.8" spans="1:14">
      <c r="A113" s="212"/>
      <c r="B113" s="212"/>
      <c r="C113" s="212"/>
      <c r="D113" s="212"/>
      <c r="E113" s="212"/>
      <c r="F113" s="212"/>
      <c r="G113" s="212"/>
      <c r="H113" s="212"/>
      <c r="I113" s="212"/>
      <c r="K113" s="70"/>
      <c r="L113" s="70"/>
      <c r="N113" s="70"/>
    </row>
    <row r="114" ht="13.8" spans="1:14">
      <c r="A114" s="212"/>
      <c r="B114" s="212"/>
      <c r="C114" s="212"/>
      <c r="D114" s="212"/>
      <c r="E114" s="212"/>
      <c r="F114" s="212"/>
      <c r="G114" s="212"/>
      <c r="H114" s="212"/>
      <c r="I114" s="212"/>
      <c r="K114" s="70"/>
      <c r="L114" s="70"/>
      <c r="N114" s="70"/>
    </row>
    <row r="115" ht="13.8" spans="1:14">
      <c r="A115" s="212"/>
      <c r="B115" s="212"/>
      <c r="C115" s="212"/>
      <c r="D115" s="212"/>
      <c r="E115" s="212"/>
      <c r="F115" s="212"/>
      <c r="G115" s="212"/>
      <c r="H115" s="212"/>
      <c r="I115" s="212"/>
      <c r="K115" s="70"/>
      <c r="L115" s="70"/>
      <c r="N115" s="70"/>
    </row>
    <row r="116" ht="13.8" spans="1:14">
      <c r="A116" s="212"/>
      <c r="B116" s="212"/>
      <c r="C116" s="212"/>
      <c r="D116" s="212"/>
      <c r="E116" s="212"/>
      <c r="F116" s="212"/>
      <c r="G116" s="212"/>
      <c r="H116" s="212"/>
      <c r="I116" s="212"/>
      <c r="K116" s="70"/>
      <c r="L116" s="70"/>
      <c r="N116" s="70"/>
    </row>
    <row r="117" ht="13.8" spans="1:14">
      <c r="A117" s="212"/>
      <c r="B117" s="212"/>
      <c r="C117" s="212"/>
      <c r="D117" s="212"/>
      <c r="E117" s="212"/>
      <c r="F117" s="212"/>
      <c r="G117" s="212"/>
      <c r="H117" s="212"/>
      <c r="I117" s="212"/>
      <c r="K117" s="70"/>
      <c r="L117" s="70"/>
      <c r="N117" s="70"/>
    </row>
    <row r="118" ht="13.8" spans="1:14">
      <c r="A118" s="212"/>
      <c r="B118" s="212"/>
      <c r="C118" s="212"/>
      <c r="D118" s="212"/>
      <c r="E118" s="212"/>
      <c r="F118" s="212"/>
      <c r="G118" s="212"/>
      <c r="H118" s="212"/>
      <c r="I118" s="212"/>
      <c r="K118" s="70"/>
      <c r="L118" s="70"/>
      <c r="N118" s="70"/>
    </row>
    <row r="119" ht="13.8" spans="1:14">
      <c r="A119" s="212"/>
      <c r="B119" s="212"/>
      <c r="C119" s="212"/>
      <c r="D119" s="212"/>
      <c r="E119" s="212"/>
      <c r="F119" s="212"/>
      <c r="G119" s="212"/>
      <c r="H119" s="212"/>
      <c r="I119" s="212"/>
      <c r="K119" s="70"/>
      <c r="L119" s="70"/>
      <c r="N119" s="70"/>
    </row>
    <row r="120" ht="13.8" spans="1:14">
      <c r="A120" s="212"/>
      <c r="B120" s="212"/>
      <c r="C120" s="212"/>
      <c r="D120" s="212"/>
      <c r="E120" s="212"/>
      <c r="F120" s="212"/>
      <c r="G120" s="212"/>
      <c r="H120" s="212"/>
      <c r="I120" s="212"/>
      <c r="K120" s="70"/>
      <c r="L120" s="70"/>
      <c r="N120" s="70"/>
    </row>
    <row r="121" ht="13.8" spans="1:14">
      <c r="A121" s="212"/>
      <c r="B121" s="212"/>
      <c r="C121" s="212"/>
      <c r="D121" s="212"/>
      <c r="E121" s="212"/>
      <c r="F121" s="212"/>
      <c r="G121" s="212"/>
      <c r="H121" s="212"/>
      <c r="I121" s="212"/>
      <c r="K121" s="70"/>
      <c r="L121" s="70"/>
      <c r="N121" s="70"/>
    </row>
    <row r="122" ht="13.8" spans="1:14">
      <c r="A122" s="212"/>
      <c r="B122" s="212"/>
      <c r="C122" s="212"/>
      <c r="D122" s="212"/>
      <c r="E122" s="212"/>
      <c r="F122" s="212"/>
      <c r="G122" s="212"/>
      <c r="H122" s="212"/>
      <c r="I122" s="212"/>
      <c r="K122" s="70"/>
      <c r="L122" s="70"/>
      <c r="N122" s="70"/>
    </row>
    <row r="123" ht="13.8" spans="1:14">
      <c r="A123" s="212"/>
      <c r="B123" s="212"/>
      <c r="C123" s="212"/>
      <c r="D123" s="212"/>
      <c r="E123" s="212"/>
      <c r="F123" s="212"/>
      <c r="G123" s="212"/>
      <c r="H123" s="212"/>
      <c r="I123" s="212"/>
      <c r="K123" s="70"/>
      <c r="L123" s="70"/>
      <c r="N123" s="70"/>
    </row>
    <row r="124" ht="13.8" spans="1:14">
      <c r="A124" s="212"/>
      <c r="B124" s="212"/>
      <c r="C124" s="212"/>
      <c r="D124" s="212"/>
      <c r="E124" s="212"/>
      <c r="F124" s="212"/>
      <c r="G124" s="212"/>
      <c r="H124" s="212"/>
      <c r="I124" s="212"/>
      <c r="K124" s="70"/>
      <c r="L124" s="70"/>
      <c r="N124" s="70"/>
    </row>
    <row r="125" ht="13.8" spans="1:14">
      <c r="A125" s="212"/>
      <c r="B125" s="212"/>
      <c r="C125" s="212"/>
      <c r="D125" s="212"/>
      <c r="E125" s="212"/>
      <c r="F125" s="212"/>
      <c r="G125" s="212"/>
      <c r="H125" s="212"/>
      <c r="I125" s="212"/>
      <c r="K125" s="70"/>
      <c r="L125" s="70"/>
      <c r="N125" s="70"/>
    </row>
    <row r="126" ht="13.8" spans="1:14">
      <c r="A126" s="212"/>
      <c r="B126" s="212"/>
      <c r="C126" s="212"/>
      <c r="D126" s="212"/>
      <c r="E126" s="212"/>
      <c r="F126" s="212"/>
      <c r="G126" s="212"/>
      <c r="H126" s="212"/>
      <c r="I126" s="212"/>
      <c r="K126" s="70"/>
      <c r="L126" s="70"/>
      <c r="N126" s="70"/>
    </row>
    <row r="127" ht="13.8" spans="1:14">
      <c r="A127" s="212"/>
      <c r="B127" s="212"/>
      <c r="C127" s="212"/>
      <c r="D127" s="212"/>
      <c r="E127" s="212"/>
      <c r="F127" s="212"/>
      <c r="G127" s="212"/>
      <c r="H127" s="212"/>
      <c r="I127" s="212"/>
      <c r="K127" s="70"/>
      <c r="L127" s="70"/>
      <c r="N127" s="70"/>
    </row>
    <row r="128" ht="13.8" spans="1:14">
      <c r="A128" s="212"/>
      <c r="B128" s="212"/>
      <c r="C128" s="212"/>
      <c r="D128" s="212"/>
      <c r="E128" s="212"/>
      <c r="F128" s="212"/>
      <c r="G128" s="212"/>
      <c r="H128" s="212"/>
      <c r="I128" s="212"/>
      <c r="K128" s="70"/>
      <c r="L128" s="70"/>
      <c r="N128" s="70"/>
    </row>
    <row r="129" ht="13.8" spans="1:14">
      <c r="A129" s="212"/>
      <c r="B129" s="212"/>
      <c r="C129" s="212"/>
      <c r="D129" s="212"/>
      <c r="E129" s="212"/>
      <c r="F129" s="212"/>
      <c r="G129" s="212"/>
      <c r="H129" s="212"/>
      <c r="I129" s="212"/>
      <c r="K129" s="70"/>
      <c r="L129" s="70"/>
      <c r="N129" s="70"/>
    </row>
    <row r="130" ht="13.8" spans="1:14">
      <c r="A130" s="212"/>
      <c r="B130" s="212"/>
      <c r="C130" s="212"/>
      <c r="D130" s="212"/>
      <c r="E130" s="212"/>
      <c r="F130" s="212"/>
      <c r="G130" s="212"/>
      <c r="H130" s="212"/>
      <c r="I130" s="212"/>
      <c r="K130" s="70"/>
      <c r="L130" s="70"/>
      <c r="N130" s="70"/>
    </row>
    <row r="131" ht="13.8" spans="1:14">
      <c r="A131" s="212"/>
      <c r="B131" s="212"/>
      <c r="C131" s="212"/>
      <c r="D131" s="212"/>
      <c r="E131" s="212"/>
      <c r="F131" s="212"/>
      <c r="G131" s="212"/>
      <c r="H131" s="212"/>
      <c r="I131" s="212"/>
      <c r="K131" s="70"/>
      <c r="L131" s="70"/>
      <c r="N131" s="70"/>
    </row>
    <row r="132" ht="13.8" spans="1:14">
      <c r="A132" s="212"/>
      <c r="B132" s="212"/>
      <c r="C132" s="212"/>
      <c r="D132" s="212"/>
      <c r="E132" s="212"/>
      <c r="F132" s="212"/>
      <c r="G132" s="212"/>
      <c r="H132" s="212"/>
      <c r="I132" s="212"/>
      <c r="K132" s="70"/>
      <c r="L132" s="70"/>
      <c r="N132" s="70"/>
    </row>
    <row r="133" ht="13.8" spans="1:14">
      <c r="A133" s="212"/>
      <c r="B133" s="212"/>
      <c r="C133" s="212"/>
      <c r="D133" s="212"/>
      <c r="E133" s="212"/>
      <c r="F133" s="212"/>
      <c r="G133" s="212"/>
      <c r="H133" s="212"/>
      <c r="I133" s="212"/>
      <c r="K133" s="70"/>
      <c r="L133" s="70"/>
      <c r="N133" s="70"/>
    </row>
    <row r="134" ht="13.8" spans="1:14">
      <c r="A134" s="212"/>
      <c r="B134" s="212"/>
      <c r="C134" s="212"/>
      <c r="D134" s="212"/>
      <c r="E134" s="212"/>
      <c r="F134" s="212"/>
      <c r="G134" s="212"/>
      <c r="H134" s="212"/>
      <c r="I134" s="212"/>
      <c r="K134" s="70"/>
      <c r="L134" s="70"/>
      <c r="N134" s="70"/>
    </row>
    <row r="135" ht="13.8" spans="1:14">
      <c r="A135" s="212"/>
      <c r="B135" s="212"/>
      <c r="C135" s="212"/>
      <c r="D135" s="212"/>
      <c r="E135" s="212"/>
      <c r="F135" s="212"/>
      <c r="G135" s="212"/>
      <c r="H135" s="212"/>
      <c r="I135" s="212"/>
      <c r="K135" s="70"/>
      <c r="L135" s="70"/>
      <c r="N135" s="70"/>
    </row>
    <row r="136" ht="13.8" spans="1:14">
      <c r="A136" s="212"/>
      <c r="B136" s="212"/>
      <c r="C136" s="212"/>
      <c r="D136" s="212"/>
      <c r="E136" s="212"/>
      <c r="F136" s="212"/>
      <c r="G136" s="212"/>
      <c r="H136" s="212"/>
      <c r="I136" s="212"/>
      <c r="K136" s="70"/>
      <c r="L136" s="70"/>
      <c r="N136" s="70"/>
    </row>
    <row r="137" ht="13.8" spans="1:14">
      <c r="A137" s="212"/>
      <c r="B137" s="212"/>
      <c r="C137" s="212"/>
      <c r="D137" s="212"/>
      <c r="E137" s="212"/>
      <c r="F137" s="212"/>
      <c r="G137" s="212"/>
      <c r="H137" s="212"/>
      <c r="I137" s="212"/>
      <c r="K137" s="70"/>
      <c r="L137" s="70"/>
      <c r="N137" s="70"/>
    </row>
    <row r="138" ht="13.8" spans="1:14">
      <c r="A138" s="212"/>
      <c r="B138" s="212"/>
      <c r="C138" s="212"/>
      <c r="D138" s="212"/>
      <c r="E138" s="212"/>
      <c r="F138" s="212"/>
      <c r="G138" s="212"/>
      <c r="H138" s="212"/>
      <c r="I138" s="212"/>
      <c r="K138" s="70"/>
      <c r="L138" s="70"/>
      <c r="N138" s="70"/>
    </row>
    <row r="139" ht="13.8" spans="1:14">
      <c r="A139" s="212"/>
      <c r="B139" s="212"/>
      <c r="C139" s="212"/>
      <c r="D139" s="212"/>
      <c r="E139" s="212"/>
      <c r="F139" s="212"/>
      <c r="G139" s="212"/>
      <c r="H139" s="212"/>
      <c r="I139" s="212"/>
      <c r="K139" s="70"/>
      <c r="L139" s="70"/>
      <c r="N139" s="70"/>
    </row>
    <row r="140" ht="13.8" spans="1:14">
      <c r="A140" s="212"/>
      <c r="B140" s="212"/>
      <c r="C140" s="212"/>
      <c r="D140" s="212"/>
      <c r="E140" s="212"/>
      <c r="F140" s="212"/>
      <c r="G140" s="212"/>
      <c r="H140" s="212"/>
      <c r="I140" s="212"/>
      <c r="K140" s="70"/>
      <c r="L140" s="70"/>
      <c r="N140" s="70"/>
    </row>
    <row r="141" ht="13.8" spans="1:14">
      <c r="A141" s="212"/>
      <c r="B141" s="212"/>
      <c r="C141" s="212"/>
      <c r="D141" s="212"/>
      <c r="E141" s="212"/>
      <c r="F141" s="212"/>
      <c r="G141" s="212"/>
      <c r="H141" s="212"/>
      <c r="I141" s="212"/>
      <c r="K141" s="70"/>
      <c r="L141" s="70"/>
      <c r="N141" s="70"/>
    </row>
    <row r="142" ht="13.8" spans="1:14">
      <c r="A142" s="212"/>
      <c r="B142" s="212"/>
      <c r="C142" s="212"/>
      <c r="D142" s="212"/>
      <c r="E142" s="212"/>
      <c r="F142" s="212"/>
      <c r="G142" s="212"/>
      <c r="H142" s="212"/>
      <c r="I142" s="212"/>
      <c r="K142" s="70"/>
      <c r="L142" s="70"/>
      <c r="N142" s="70"/>
    </row>
    <row r="143" ht="13.8" spans="1:14">
      <c r="A143" s="212"/>
      <c r="B143" s="212"/>
      <c r="C143" s="212"/>
      <c r="D143" s="212"/>
      <c r="E143" s="212"/>
      <c r="F143" s="212"/>
      <c r="G143" s="212"/>
      <c r="H143" s="212"/>
      <c r="I143" s="212"/>
      <c r="K143" s="70"/>
      <c r="L143" s="70"/>
      <c r="N143" s="70"/>
    </row>
    <row r="144" ht="13.8" spans="1:14">
      <c r="A144" s="212"/>
      <c r="B144" s="212"/>
      <c r="C144" s="212"/>
      <c r="D144" s="212"/>
      <c r="E144" s="212"/>
      <c r="F144" s="212"/>
      <c r="G144" s="212"/>
      <c r="H144" s="212"/>
      <c r="I144" s="212"/>
      <c r="K144" s="70"/>
      <c r="L144" s="70"/>
      <c r="N144" s="70"/>
    </row>
    <row r="145" ht="13.8" spans="1:14">
      <c r="A145" s="212"/>
      <c r="B145" s="212"/>
      <c r="C145" s="212"/>
      <c r="D145" s="212"/>
      <c r="E145" s="212"/>
      <c r="F145" s="212"/>
      <c r="G145" s="212"/>
      <c r="H145" s="212"/>
      <c r="I145" s="212"/>
      <c r="K145" s="70"/>
      <c r="L145" s="70"/>
      <c r="N145" s="70"/>
    </row>
    <row r="146" ht="13.8" spans="1:14">
      <c r="A146" s="212"/>
      <c r="B146" s="212"/>
      <c r="C146" s="212"/>
      <c r="D146" s="212"/>
      <c r="E146" s="212"/>
      <c r="F146" s="212"/>
      <c r="G146" s="212"/>
      <c r="H146" s="212"/>
      <c r="I146" s="212"/>
      <c r="K146" s="70"/>
      <c r="L146" s="70"/>
      <c r="N146" s="70"/>
    </row>
    <row r="147" ht="13.8" spans="1:14">
      <c r="A147" s="212"/>
      <c r="B147" s="212"/>
      <c r="C147" s="212"/>
      <c r="D147" s="212"/>
      <c r="E147" s="212"/>
      <c r="F147" s="212"/>
      <c r="G147" s="212"/>
      <c r="H147" s="212"/>
      <c r="I147" s="212"/>
      <c r="K147" s="70"/>
      <c r="L147" s="70"/>
      <c r="N147" s="70"/>
    </row>
    <row r="148" ht="13.8" spans="1:14">
      <c r="A148" s="212"/>
      <c r="B148" s="212"/>
      <c r="C148" s="212"/>
      <c r="D148" s="212"/>
      <c r="E148" s="212"/>
      <c r="F148" s="212"/>
      <c r="G148" s="212"/>
      <c r="H148" s="212"/>
      <c r="I148" s="212"/>
      <c r="K148" s="70"/>
      <c r="L148" s="70"/>
      <c r="N148" s="70"/>
    </row>
    <row r="149" ht="13.8" spans="1:14">
      <c r="A149" s="212"/>
      <c r="B149" s="212"/>
      <c r="C149" s="212"/>
      <c r="D149" s="212"/>
      <c r="E149" s="212"/>
      <c r="F149" s="212"/>
      <c r="G149" s="212"/>
      <c r="H149" s="212"/>
      <c r="I149" s="212"/>
      <c r="K149" s="70"/>
      <c r="L149" s="70"/>
      <c r="N149" s="70"/>
    </row>
    <row r="150" ht="13.8" spans="1:14">
      <c r="A150" s="212"/>
      <c r="B150" s="212"/>
      <c r="C150" s="212"/>
      <c r="D150" s="212"/>
      <c r="E150" s="212"/>
      <c r="F150" s="212"/>
      <c r="G150" s="212"/>
      <c r="H150" s="212"/>
      <c r="I150" s="212"/>
      <c r="K150" s="70"/>
      <c r="L150" s="70"/>
      <c r="N150" s="70"/>
    </row>
    <row r="151" ht="13.8" spans="1:14">
      <c r="A151" s="212"/>
      <c r="B151" s="212"/>
      <c r="C151" s="212"/>
      <c r="D151" s="212"/>
      <c r="E151" s="212"/>
      <c r="F151" s="212"/>
      <c r="G151" s="212"/>
      <c r="H151" s="212"/>
      <c r="I151" s="212"/>
      <c r="K151" s="70"/>
      <c r="L151" s="70"/>
      <c r="N151" s="70"/>
    </row>
    <row r="152" ht="13.8" spans="1:14">
      <c r="A152" s="212"/>
      <c r="B152" s="212"/>
      <c r="C152" s="212"/>
      <c r="D152" s="212"/>
      <c r="E152" s="212"/>
      <c r="F152" s="212"/>
      <c r="G152" s="212"/>
      <c r="H152" s="212"/>
      <c r="I152" s="212"/>
      <c r="K152" s="70"/>
      <c r="L152" s="70"/>
      <c r="N152" s="70"/>
    </row>
    <row r="153" ht="13.8" spans="1:14">
      <c r="A153" s="212"/>
      <c r="B153" s="212"/>
      <c r="C153" s="212"/>
      <c r="D153" s="212"/>
      <c r="E153" s="212"/>
      <c r="F153" s="212"/>
      <c r="G153" s="212"/>
      <c r="H153" s="212"/>
      <c r="I153" s="212"/>
      <c r="K153" s="70"/>
      <c r="L153" s="70"/>
      <c r="N153" s="70"/>
    </row>
    <row r="154" ht="13.8" spans="1:14">
      <c r="A154" s="212"/>
      <c r="B154" s="212"/>
      <c r="C154" s="212"/>
      <c r="D154" s="212"/>
      <c r="E154" s="212"/>
      <c r="F154" s="212"/>
      <c r="G154" s="212"/>
      <c r="H154" s="212"/>
      <c r="I154" s="212"/>
      <c r="K154" s="70"/>
      <c r="L154" s="70"/>
      <c r="N154" s="70"/>
    </row>
    <row r="155" ht="13.8" spans="1:14">
      <c r="A155" s="212"/>
      <c r="B155" s="212"/>
      <c r="C155" s="212"/>
      <c r="D155" s="212"/>
      <c r="E155" s="212"/>
      <c r="F155" s="212"/>
      <c r="G155" s="212"/>
      <c r="H155" s="212"/>
      <c r="I155" s="212"/>
      <c r="K155" s="70"/>
      <c r="L155" s="70"/>
      <c r="N155" s="70"/>
    </row>
    <row r="156" ht="13.8" spans="1:14">
      <c r="A156" s="212"/>
      <c r="B156" s="212"/>
      <c r="C156" s="212"/>
      <c r="D156" s="212"/>
      <c r="E156" s="212"/>
      <c r="F156" s="212"/>
      <c r="G156" s="212"/>
      <c r="H156" s="212"/>
      <c r="I156" s="212"/>
      <c r="K156" s="70"/>
      <c r="L156" s="70"/>
      <c r="N156" s="70"/>
    </row>
    <row r="157" ht="13.8" spans="1:14">
      <c r="A157" s="212"/>
      <c r="B157" s="212"/>
      <c r="C157" s="212"/>
      <c r="D157" s="212"/>
      <c r="E157" s="212"/>
      <c r="F157" s="212"/>
      <c r="G157" s="212"/>
      <c r="H157" s="212"/>
      <c r="I157" s="212"/>
      <c r="K157" s="70"/>
      <c r="L157" s="70"/>
      <c r="N157" s="70"/>
    </row>
    <row r="158" ht="13.8" spans="1:14">
      <c r="A158" s="212"/>
      <c r="B158" s="212"/>
      <c r="C158" s="212"/>
      <c r="D158" s="212"/>
      <c r="E158" s="212"/>
      <c r="F158" s="212"/>
      <c r="G158" s="212"/>
      <c r="H158" s="212"/>
      <c r="I158" s="212"/>
      <c r="K158" s="70"/>
      <c r="L158" s="70"/>
      <c r="N158" s="70"/>
    </row>
    <row r="159" ht="13.8" spans="1:14">
      <c r="A159" s="212"/>
      <c r="B159" s="212"/>
      <c r="C159" s="212"/>
      <c r="D159" s="212"/>
      <c r="E159" s="212"/>
      <c r="F159" s="212"/>
      <c r="G159" s="212"/>
      <c r="H159" s="212"/>
      <c r="I159" s="212"/>
      <c r="K159" s="70"/>
      <c r="L159" s="70"/>
      <c r="N159" s="70"/>
    </row>
    <row r="160" ht="13.8" spans="1:14">
      <c r="A160" s="212"/>
      <c r="B160" s="212"/>
      <c r="C160" s="212"/>
      <c r="D160" s="212"/>
      <c r="E160" s="212"/>
      <c r="F160" s="212"/>
      <c r="G160" s="212"/>
      <c r="H160" s="212"/>
      <c r="I160" s="212"/>
      <c r="K160" s="70"/>
      <c r="L160" s="70"/>
      <c r="N160" s="70"/>
    </row>
    <row r="161" ht="13.8" spans="1:14">
      <c r="A161" s="212"/>
      <c r="B161" s="212"/>
      <c r="C161" s="212"/>
      <c r="D161" s="212"/>
      <c r="E161" s="212"/>
      <c r="F161" s="212"/>
      <c r="G161" s="212"/>
      <c r="H161" s="212"/>
      <c r="I161" s="212"/>
      <c r="K161" s="70"/>
      <c r="L161" s="70"/>
      <c r="N161" s="70"/>
    </row>
    <row r="162" ht="13.8" spans="1:14">
      <c r="A162" s="212"/>
      <c r="B162" s="212"/>
      <c r="C162" s="212"/>
      <c r="D162" s="212"/>
      <c r="E162" s="212"/>
      <c r="F162" s="212"/>
      <c r="G162" s="212"/>
      <c r="H162" s="212"/>
      <c r="I162" s="212"/>
      <c r="K162" s="70"/>
      <c r="L162" s="70"/>
      <c r="N162" s="70"/>
    </row>
    <row r="163" ht="13.8" spans="1:14">
      <c r="A163" s="212"/>
      <c r="B163" s="212"/>
      <c r="C163" s="212"/>
      <c r="D163" s="212"/>
      <c r="E163" s="212"/>
      <c r="F163" s="212"/>
      <c r="G163" s="212"/>
      <c r="H163" s="212"/>
      <c r="I163" s="212"/>
      <c r="K163" s="70"/>
      <c r="L163" s="70"/>
      <c r="N163" s="70"/>
    </row>
    <row r="164" ht="13.8" spans="1:14">
      <c r="A164" s="212"/>
      <c r="B164" s="212"/>
      <c r="C164" s="212"/>
      <c r="D164" s="212"/>
      <c r="E164" s="212"/>
      <c r="F164" s="212"/>
      <c r="G164" s="212"/>
      <c r="H164" s="212"/>
      <c r="I164" s="212"/>
      <c r="K164" s="70"/>
      <c r="L164" s="70"/>
      <c r="N164" s="70"/>
    </row>
    <row r="165" ht="13.8" spans="1:14">
      <c r="A165" s="212"/>
      <c r="B165" s="212"/>
      <c r="C165" s="212"/>
      <c r="D165" s="212"/>
      <c r="E165" s="212"/>
      <c r="F165" s="212"/>
      <c r="G165" s="212"/>
      <c r="H165" s="212"/>
      <c r="I165" s="212"/>
      <c r="K165" s="70"/>
      <c r="L165" s="70"/>
      <c r="N165" s="70"/>
    </row>
    <row r="166" ht="13.8" spans="1:14">
      <c r="A166" s="212"/>
      <c r="B166" s="212"/>
      <c r="C166" s="212"/>
      <c r="D166" s="212"/>
      <c r="E166" s="212"/>
      <c r="F166" s="212"/>
      <c r="G166" s="212"/>
      <c r="H166" s="212"/>
      <c r="I166" s="212"/>
      <c r="K166" s="70"/>
      <c r="L166" s="70"/>
      <c r="N166" s="70"/>
    </row>
    <row r="167" ht="13.8" spans="1:14">
      <c r="A167" s="212"/>
      <c r="B167" s="212"/>
      <c r="C167" s="212"/>
      <c r="D167" s="212"/>
      <c r="E167" s="212"/>
      <c r="F167" s="212"/>
      <c r="G167" s="212"/>
      <c r="H167" s="212"/>
      <c r="I167" s="212"/>
      <c r="K167" s="70"/>
      <c r="L167" s="70"/>
      <c r="N167" s="70"/>
    </row>
    <row r="168" ht="13.8" spans="1:14">
      <c r="A168" s="212"/>
      <c r="B168" s="212"/>
      <c r="C168" s="212"/>
      <c r="D168" s="212"/>
      <c r="E168" s="212"/>
      <c r="F168" s="212"/>
      <c r="G168" s="212"/>
      <c r="H168" s="212"/>
      <c r="I168" s="212"/>
      <c r="K168" s="70"/>
      <c r="L168" s="70"/>
      <c r="N168" s="70"/>
    </row>
    <row r="169" ht="13.8" spans="1:14">
      <c r="A169" s="212"/>
      <c r="B169" s="212"/>
      <c r="C169" s="212"/>
      <c r="D169" s="212"/>
      <c r="E169" s="212"/>
      <c r="F169" s="212"/>
      <c r="G169" s="212"/>
      <c r="H169" s="212"/>
      <c r="I169" s="212"/>
      <c r="K169" s="70"/>
      <c r="L169" s="70"/>
      <c r="N169" s="70"/>
    </row>
    <row r="170" ht="13.8" spans="1:14">
      <c r="A170" s="212"/>
      <c r="B170" s="212"/>
      <c r="C170" s="212"/>
      <c r="D170" s="212"/>
      <c r="E170" s="212"/>
      <c r="F170" s="212"/>
      <c r="G170" s="212"/>
      <c r="H170" s="212"/>
      <c r="I170" s="212"/>
      <c r="K170" s="70"/>
      <c r="L170" s="70"/>
      <c r="N170" s="70"/>
    </row>
    <row r="171" ht="13.8" spans="1:14">
      <c r="A171" s="212"/>
      <c r="B171" s="212"/>
      <c r="C171" s="212"/>
      <c r="D171" s="212"/>
      <c r="E171" s="212"/>
      <c r="F171" s="212"/>
      <c r="G171" s="212"/>
      <c r="H171" s="212"/>
      <c r="I171" s="212"/>
      <c r="K171" s="70"/>
      <c r="L171" s="70"/>
      <c r="N171" s="70"/>
    </row>
    <row r="172" ht="13.8" spans="1:14">
      <c r="A172" s="212"/>
      <c r="B172" s="212"/>
      <c r="C172" s="212"/>
      <c r="D172" s="212"/>
      <c r="E172" s="212"/>
      <c r="F172" s="212"/>
      <c r="G172" s="212"/>
      <c r="H172" s="212"/>
      <c r="I172" s="212"/>
      <c r="K172" s="70"/>
      <c r="L172" s="70"/>
      <c r="N172" s="70"/>
    </row>
    <row r="173" ht="13.8" spans="1:14">
      <c r="A173" s="212"/>
      <c r="B173" s="212"/>
      <c r="C173" s="212"/>
      <c r="D173" s="212"/>
      <c r="E173" s="212"/>
      <c r="F173" s="212"/>
      <c r="G173" s="212"/>
      <c r="H173" s="212"/>
      <c r="I173" s="212"/>
      <c r="K173" s="70"/>
      <c r="L173" s="70"/>
      <c r="N173" s="70"/>
    </row>
    <row r="174" ht="13.8" spans="1:14">
      <c r="A174" s="212"/>
      <c r="B174" s="212"/>
      <c r="C174" s="212"/>
      <c r="D174" s="212"/>
      <c r="E174" s="212"/>
      <c r="F174" s="212"/>
      <c r="G174" s="212"/>
      <c r="H174" s="212"/>
      <c r="I174" s="212"/>
      <c r="K174" s="70"/>
      <c r="L174" s="70"/>
      <c r="N174" s="70"/>
    </row>
    <row r="175" ht="13.8" spans="1:14">
      <c r="A175" s="212"/>
      <c r="B175" s="212"/>
      <c r="C175" s="212"/>
      <c r="D175" s="212"/>
      <c r="E175" s="212"/>
      <c r="F175" s="212"/>
      <c r="G175" s="212"/>
      <c r="H175" s="212"/>
      <c r="I175" s="212"/>
      <c r="K175" s="70"/>
      <c r="L175" s="70"/>
      <c r="N175" s="70"/>
    </row>
    <row r="176" ht="13.8" spans="1:14">
      <c r="A176" s="212"/>
      <c r="B176" s="212"/>
      <c r="C176" s="212"/>
      <c r="D176" s="212"/>
      <c r="E176" s="212"/>
      <c r="F176" s="212"/>
      <c r="G176" s="212"/>
      <c r="H176" s="212"/>
      <c r="I176" s="212"/>
      <c r="K176" s="70"/>
      <c r="L176" s="70"/>
      <c r="N176" s="70"/>
    </row>
    <row r="177" ht="13.8" spans="1:14">
      <c r="A177" s="212"/>
      <c r="B177" s="212"/>
      <c r="C177" s="212"/>
      <c r="D177" s="212"/>
      <c r="E177" s="212"/>
      <c r="F177" s="212"/>
      <c r="G177" s="212"/>
      <c r="H177" s="212"/>
      <c r="I177" s="212"/>
      <c r="K177" s="70"/>
      <c r="L177" s="70"/>
      <c r="N177" s="70"/>
    </row>
    <row r="178" ht="13.8" spans="1:14">
      <c r="A178" s="212"/>
      <c r="B178" s="212"/>
      <c r="C178" s="212"/>
      <c r="D178" s="212"/>
      <c r="E178" s="212"/>
      <c r="F178" s="212"/>
      <c r="G178" s="212"/>
      <c r="H178" s="212"/>
      <c r="I178" s="212"/>
      <c r="K178" s="70"/>
      <c r="L178" s="70"/>
      <c r="N178" s="70"/>
    </row>
    <row r="179" ht="13.8" spans="1:14">
      <c r="A179" s="212"/>
      <c r="B179" s="212"/>
      <c r="C179" s="212"/>
      <c r="D179" s="212"/>
      <c r="E179" s="212"/>
      <c r="F179" s="212"/>
      <c r="G179" s="212"/>
      <c r="H179" s="212"/>
      <c r="I179" s="212"/>
      <c r="K179" s="70"/>
      <c r="L179" s="70"/>
      <c r="N179" s="70"/>
    </row>
    <row r="180" ht="13.8" spans="1:14">
      <c r="A180" s="212"/>
      <c r="B180" s="212"/>
      <c r="C180" s="212"/>
      <c r="D180" s="212"/>
      <c r="E180" s="212"/>
      <c r="F180" s="212"/>
      <c r="G180" s="212"/>
      <c r="H180" s="212"/>
      <c r="I180" s="212"/>
      <c r="K180" s="70"/>
      <c r="L180" s="70"/>
      <c r="N180" s="70"/>
    </row>
    <row r="181" ht="13.8" spans="1:14">
      <c r="A181" s="212"/>
      <c r="B181" s="212"/>
      <c r="C181" s="212"/>
      <c r="D181" s="212"/>
      <c r="E181" s="212"/>
      <c r="F181" s="212"/>
      <c r="G181" s="212"/>
      <c r="H181" s="212"/>
      <c r="I181" s="212"/>
      <c r="K181" s="70"/>
      <c r="L181" s="70"/>
      <c r="N181" s="70"/>
    </row>
    <row r="182" ht="13.8" spans="1:14">
      <c r="A182" s="212"/>
      <c r="B182" s="212"/>
      <c r="C182" s="212"/>
      <c r="D182" s="212"/>
      <c r="E182" s="212"/>
      <c r="F182" s="212"/>
      <c r="G182" s="212"/>
      <c r="H182" s="212"/>
      <c r="I182" s="212"/>
      <c r="K182" s="70"/>
      <c r="L182" s="70"/>
      <c r="N182" s="70"/>
    </row>
    <row r="183" ht="13.8" spans="1:14">
      <c r="A183" s="212"/>
      <c r="B183" s="212"/>
      <c r="C183" s="212"/>
      <c r="D183" s="212"/>
      <c r="E183" s="212"/>
      <c r="F183" s="212"/>
      <c r="G183" s="212"/>
      <c r="H183" s="212"/>
      <c r="I183" s="212"/>
      <c r="K183" s="70"/>
      <c r="L183" s="70"/>
      <c r="N183" s="70"/>
    </row>
    <row r="184" ht="13.8" spans="1:14">
      <c r="A184" s="212"/>
      <c r="B184" s="212"/>
      <c r="C184" s="212"/>
      <c r="D184" s="212"/>
      <c r="E184" s="212"/>
      <c r="F184" s="212"/>
      <c r="G184" s="212"/>
      <c r="H184" s="212"/>
      <c r="I184" s="212"/>
      <c r="K184" s="70"/>
      <c r="L184" s="70"/>
      <c r="N184" s="70"/>
    </row>
    <row r="185" ht="13.8" spans="1:14">
      <c r="A185" s="212"/>
      <c r="B185" s="212"/>
      <c r="C185" s="212"/>
      <c r="D185" s="212"/>
      <c r="E185" s="212"/>
      <c r="F185" s="212"/>
      <c r="G185" s="212"/>
      <c r="H185" s="212"/>
      <c r="I185" s="212"/>
      <c r="K185" s="70"/>
      <c r="L185" s="70"/>
      <c r="N185" s="70"/>
    </row>
    <row r="186" ht="13.8" spans="1:14">
      <c r="A186" s="212"/>
      <c r="B186" s="212"/>
      <c r="C186" s="212"/>
      <c r="D186" s="212"/>
      <c r="E186" s="212"/>
      <c r="F186" s="212"/>
      <c r="G186" s="212"/>
      <c r="H186" s="212"/>
      <c r="I186" s="212"/>
      <c r="K186" s="70"/>
      <c r="L186" s="70"/>
      <c r="N186" s="70"/>
    </row>
    <row r="187" ht="13.8" spans="1:14">
      <c r="A187" s="212"/>
      <c r="B187" s="212"/>
      <c r="C187" s="212"/>
      <c r="D187" s="212"/>
      <c r="E187" s="212"/>
      <c r="F187" s="212"/>
      <c r="G187" s="212"/>
      <c r="H187" s="212"/>
      <c r="I187" s="212"/>
      <c r="K187" s="70"/>
      <c r="L187" s="70"/>
      <c r="N187" s="70"/>
    </row>
    <row r="188" ht="13.8" spans="1:14">
      <c r="A188" s="212"/>
      <c r="B188" s="212"/>
      <c r="C188" s="212"/>
      <c r="D188" s="212"/>
      <c r="E188" s="212"/>
      <c r="F188" s="212"/>
      <c r="G188" s="212"/>
      <c r="H188" s="212"/>
      <c r="I188" s="212"/>
      <c r="K188" s="70"/>
      <c r="L188" s="70"/>
      <c r="N188" s="70"/>
    </row>
    <row r="189" ht="13.8" spans="1:14">
      <c r="A189" s="212"/>
      <c r="B189" s="212"/>
      <c r="C189" s="212"/>
      <c r="D189" s="212"/>
      <c r="E189" s="212"/>
      <c r="F189" s="212"/>
      <c r="G189" s="212"/>
      <c r="H189" s="212"/>
      <c r="I189" s="212"/>
      <c r="K189" s="70"/>
      <c r="L189" s="70"/>
      <c r="N189" s="70"/>
    </row>
    <row r="190" ht="13.8" spans="1:14">
      <c r="A190" s="212"/>
      <c r="B190" s="212"/>
      <c r="C190" s="212"/>
      <c r="D190" s="212"/>
      <c r="E190" s="212"/>
      <c r="F190" s="212"/>
      <c r="G190" s="212"/>
      <c r="H190" s="212"/>
      <c r="I190" s="212"/>
      <c r="K190" s="70"/>
      <c r="L190" s="70"/>
      <c r="N190" s="70"/>
    </row>
    <row r="191" ht="13.8" spans="1:14">
      <c r="A191" s="212"/>
      <c r="B191" s="212"/>
      <c r="C191" s="212"/>
      <c r="D191" s="212"/>
      <c r="E191" s="212"/>
      <c r="F191" s="212"/>
      <c r="G191" s="212"/>
      <c r="H191" s="212"/>
      <c r="I191" s="212"/>
      <c r="K191" s="70"/>
      <c r="L191" s="70"/>
      <c r="N191" s="70"/>
    </row>
    <row r="192" ht="13.8" spans="1:14">
      <c r="A192" s="212"/>
      <c r="B192" s="212"/>
      <c r="C192" s="212"/>
      <c r="D192" s="212"/>
      <c r="E192" s="212"/>
      <c r="F192" s="212"/>
      <c r="G192" s="212"/>
      <c r="H192" s="212"/>
      <c r="I192" s="212"/>
      <c r="K192" s="70"/>
      <c r="L192" s="70"/>
      <c r="N192" s="70"/>
    </row>
    <row r="193" ht="13.8" spans="1:14">
      <c r="A193" s="212"/>
      <c r="B193" s="212"/>
      <c r="C193" s="212"/>
      <c r="D193" s="212"/>
      <c r="E193" s="212"/>
      <c r="F193" s="212"/>
      <c r="G193" s="212"/>
      <c r="H193" s="212"/>
      <c r="I193" s="212"/>
      <c r="K193" s="70"/>
      <c r="L193" s="70"/>
      <c r="N193" s="70"/>
    </row>
    <row r="194" ht="13.8" spans="1:14">
      <c r="A194" s="212"/>
      <c r="B194" s="212"/>
      <c r="C194" s="212"/>
      <c r="D194" s="212"/>
      <c r="E194" s="212"/>
      <c r="F194" s="212"/>
      <c r="G194" s="212"/>
      <c r="H194" s="212"/>
      <c r="I194" s="212"/>
      <c r="K194" s="70"/>
      <c r="L194" s="70"/>
      <c r="N194" s="70"/>
    </row>
    <row r="195" ht="13.8" spans="1:14">
      <c r="A195" s="212"/>
      <c r="B195" s="212"/>
      <c r="C195" s="212"/>
      <c r="D195" s="212"/>
      <c r="E195" s="212"/>
      <c r="F195" s="212"/>
      <c r="G195" s="212"/>
      <c r="H195" s="212"/>
      <c r="I195" s="212"/>
      <c r="K195" s="70"/>
      <c r="L195" s="70"/>
      <c r="N195" s="70"/>
    </row>
    <row r="196" ht="13.8" spans="1:14">
      <c r="A196" s="212"/>
      <c r="B196" s="212"/>
      <c r="C196" s="212"/>
      <c r="D196" s="212"/>
      <c r="E196" s="212"/>
      <c r="F196" s="212"/>
      <c r="G196" s="212"/>
      <c r="H196" s="212"/>
      <c r="I196" s="212"/>
      <c r="K196" s="70"/>
      <c r="L196" s="70"/>
      <c r="N196" s="70"/>
    </row>
    <row r="197" ht="13.8" spans="1:14">
      <c r="A197" s="212"/>
      <c r="B197" s="212"/>
      <c r="C197" s="212"/>
      <c r="D197" s="212"/>
      <c r="E197" s="212"/>
      <c r="F197" s="212"/>
      <c r="G197" s="212"/>
      <c r="H197" s="212"/>
      <c r="I197" s="212"/>
      <c r="K197" s="70"/>
      <c r="L197" s="70"/>
      <c r="N197" s="70"/>
    </row>
    <row r="198" ht="13.8" spans="1:14">
      <c r="A198" s="212"/>
      <c r="B198" s="212"/>
      <c r="C198" s="212"/>
      <c r="D198" s="212"/>
      <c r="E198" s="212"/>
      <c r="F198" s="212"/>
      <c r="G198" s="212"/>
      <c r="H198" s="212"/>
      <c r="I198" s="212"/>
      <c r="K198" s="70"/>
      <c r="L198" s="70"/>
      <c r="N198" s="70"/>
    </row>
    <row r="199" ht="13.8" spans="1:14">
      <c r="A199" s="212"/>
      <c r="B199" s="212"/>
      <c r="C199" s="212"/>
      <c r="D199" s="212"/>
      <c r="E199" s="212"/>
      <c r="F199" s="212"/>
      <c r="G199" s="212"/>
      <c r="H199" s="212"/>
      <c r="I199" s="212"/>
      <c r="K199" s="70"/>
      <c r="L199" s="70"/>
      <c r="N199" s="70"/>
    </row>
    <row r="200" ht="13.8" spans="1:14">
      <c r="A200" s="212"/>
      <c r="B200" s="212"/>
      <c r="C200" s="212"/>
      <c r="D200" s="212"/>
      <c r="E200" s="212"/>
      <c r="F200" s="212"/>
      <c r="G200" s="212"/>
      <c r="H200" s="212"/>
      <c r="I200" s="212"/>
      <c r="K200" s="70"/>
      <c r="L200" s="70"/>
      <c r="N200" s="70"/>
    </row>
  </sheetData>
  <mergeCells count="196">
    <mergeCell ref="M10:N10"/>
    <mergeCell ref="A10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B10:B11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C10:C11"/>
    <mergeCell ref="C12:C15"/>
    <mergeCell ref="C16:C19"/>
    <mergeCell ref="C20:C23"/>
    <mergeCell ref="C24:C27"/>
    <mergeCell ref="C28:C31"/>
    <mergeCell ref="C32:C35"/>
    <mergeCell ref="C36:C39"/>
    <mergeCell ref="C40:C43"/>
    <mergeCell ref="C44:C47"/>
    <mergeCell ref="C48:C51"/>
    <mergeCell ref="C52:C55"/>
    <mergeCell ref="C56:C59"/>
    <mergeCell ref="C60:C63"/>
    <mergeCell ref="C64:C67"/>
    <mergeCell ref="C68:C71"/>
    <mergeCell ref="D10:D11"/>
    <mergeCell ref="D12:D15"/>
    <mergeCell ref="D16:D19"/>
    <mergeCell ref="D20:D23"/>
    <mergeCell ref="D24:D27"/>
    <mergeCell ref="D28:D31"/>
    <mergeCell ref="D32:D35"/>
    <mergeCell ref="D36:D39"/>
    <mergeCell ref="D40:D43"/>
    <mergeCell ref="D44:D47"/>
    <mergeCell ref="D48:D51"/>
    <mergeCell ref="D52:D55"/>
    <mergeCell ref="D56:D59"/>
    <mergeCell ref="D60:D63"/>
    <mergeCell ref="D64:D67"/>
    <mergeCell ref="D68:D71"/>
    <mergeCell ref="E10:E11"/>
    <mergeCell ref="E12:E15"/>
    <mergeCell ref="E16:E19"/>
    <mergeCell ref="E20:E23"/>
    <mergeCell ref="E24:E27"/>
    <mergeCell ref="E28:E31"/>
    <mergeCell ref="E32:E35"/>
    <mergeCell ref="E36:E39"/>
    <mergeCell ref="E40:E43"/>
    <mergeCell ref="E44:E47"/>
    <mergeCell ref="E48:E51"/>
    <mergeCell ref="E52:E55"/>
    <mergeCell ref="E56:E59"/>
    <mergeCell ref="E60:E63"/>
    <mergeCell ref="E64:E67"/>
    <mergeCell ref="E68:E71"/>
    <mergeCell ref="F10:F11"/>
    <mergeCell ref="F12:F15"/>
    <mergeCell ref="F16:F19"/>
    <mergeCell ref="F20:F23"/>
    <mergeCell ref="F24:F27"/>
    <mergeCell ref="F28:F31"/>
    <mergeCell ref="F32:F35"/>
    <mergeCell ref="F36:F39"/>
    <mergeCell ref="F40:F43"/>
    <mergeCell ref="F44:F47"/>
    <mergeCell ref="F48:F51"/>
    <mergeCell ref="F52:F55"/>
    <mergeCell ref="F56:F59"/>
    <mergeCell ref="F60:F63"/>
    <mergeCell ref="F64:F67"/>
    <mergeCell ref="F68:F71"/>
    <mergeCell ref="G10:G11"/>
    <mergeCell ref="G12:G15"/>
    <mergeCell ref="G16:G19"/>
    <mergeCell ref="G20:G23"/>
    <mergeCell ref="G24:G27"/>
    <mergeCell ref="G28:G31"/>
    <mergeCell ref="G32:G35"/>
    <mergeCell ref="G36:G39"/>
    <mergeCell ref="G40:G43"/>
    <mergeCell ref="G44:G47"/>
    <mergeCell ref="G48:G51"/>
    <mergeCell ref="G52:G55"/>
    <mergeCell ref="G56:G59"/>
    <mergeCell ref="G60:G63"/>
    <mergeCell ref="G64:G67"/>
    <mergeCell ref="G68:G71"/>
    <mergeCell ref="H10:H11"/>
    <mergeCell ref="H12:H15"/>
    <mergeCell ref="H16:H19"/>
    <mergeCell ref="H20:H23"/>
    <mergeCell ref="H24:H27"/>
    <mergeCell ref="H28:H31"/>
    <mergeCell ref="H32:H35"/>
    <mergeCell ref="H36:H39"/>
    <mergeCell ref="H40:H43"/>
    <mergeCell ref="H44:H47"/>
    <mergeCell ref="H48:H51"/>
    <mergeCell ref="H52:H55"/>
    <mergeCell ref="H56:H59"/>
    <mergeCell ref="H60:H63"/>
    <mergeCell ref="H64:H67"/>
    <mergeCell ref="H68:H71"/>
    <mergeCell ref="I10:I11"/>
    <mergeCell ref="I12:I15"/>
    <mergeCell ref="I16:I19"/>
    <mergeCell ref="I20:I23"/>
    <mergeCell ref="I24:I27"/>
    <mergeCell ref="I28:I31"/>
    <mergeCell ref="I32:I35"/>
    <mergeCell ref="I36:I39"/>
    <mergeCell ref="I40:I43"/>
    <mergeCell ref="I44:I47"/>
    <mergeCell ref="I48:I51"/>
    <mergeCell ref="I52:I55"/>
    <mergeCell ref="I56:I59"/>
    <mergeCell ref="I60:I63"/>
    <mergeCell ref="I64:I67"/>
    <mergeCell ref="I68:I71"/>
    <mergeCell ref="J10:J11"/>
    <mergeCell ref="J12:J15"/>
    <mergeCell ref="J16:J19"/>
    <mergeCell ref="J20:J23"/>
    <mergeCell ref="J24:J27"/>
    <mergeCell ref="J28:J31"/>
    <mergeCell ref="J32:J35"/>
    <mergeCell ref="J36:J39"/>
    <mergeCell ref="J40:J43"/>
    <mergeCell ref="J44:J47"/>
    <mergeCell ref="J48:J51"/>
    <mergeCell ref="J52:J55"/>
    <mergeCell ref="J56:J59"/>
    <mergeCell ref="J60:J63"/>
    <mergeCell ref="J64:J67"/>
    <mergeCell ref="J68:J71"/>
    <mergeCell ref="K10:K11"/>
    <mergeCell ref="L10:L11"/>
    <mergeCell ref="O10:O11"/>
    <mergeCell ref="O12:O15"/>
    <mergeCell ref="O16:O19"/>
    <mergeCell ref="O20:O23"/>
    <mergeCell ref="O24:O27"/>
    <mergeCell ref="O28:O31"/>
    <mergeCell ref="O32:O35"/>
    <mergeCell ref="O36:O39"/>
    <mergeCell ref="O40:O43"/>
    <mergeCell ref="O44:O47"/>
    <mergeCell ref="O48:O51"/>
    <mergeCell ref="O52:O55"/>
    <mergeCell ref="O56:O59"/>
    <mergeCell ref="O60:O63"/>
    <mergeCell ref="O64:O67"/>
    <mergeCell ref="O68:O71"/>
    <mergeCell ref="P10:P11"/>
    <mergeCell ref="P12:P27"/>
    <mergeCell ref="P28:P55"/>
    <mergeCell ref="P56:P63"/>
    <mergeCell ref="P64:P71"/>
    <mergeCell ref="Q10:Q11"/>
    <mergeCell ref="Q12:Q63"/>
    <mergeCell ref="R10:R11"/>
    <mergeCell ref="R12:R15"/>
    <mergeCell ref="R16:R23"/>
    <mergeCell ref="R24:R31"/>
    <mergeCell ref="R32:R39"/>
    <mergeCell ref="R40:R47"/>
    <mergeCell ref="R48:R55"/>
    <mergeCell ref="R56:R63"/>
    <mergeCell ref="R64:R71"/>
    <mergeCell ref="A1:J9"/>
  </mergeCell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4"/>
  <sheetViews>
    <sheetView workbookViewId="0">
      <selection activeCell="BU20" sqref="BU20"/>
    </sheetView>
  </sheetViews>
  <sheetFormatPr defaultColWidth="17" defaultRowHeight="11.4"/>
  <cols>
    <col min="1" max="1" width="19.40625" customWidth="1"/>
    <col min="2" max="2" width="25.65625" customWidth="1"/>
    <col min="3" max="3" width="16.9895833333333" customWidth="1"/>
    <col min="4" max="4" width="22.2291666666667" customWidth="1"/>
    <col min="5" max="5" width="16.59375" customWidth="1"/>
    <col min="6" max="6" width="14.9791666666667" customWidth="1"/>
    <col min="7" max="7" width="15.59375" customWidth="1"/>
    <col min="8" max="8" width="16.3854166666667" customWidth="1"/>
    <col min="9" max="9" width="16.0520833333333" customWidth="1"/>
    <col min="10" max="11" width="14.9791666666667" customWidth="1"/>
    <col min="12" max="12" width="20.2083333333333" customWidth="1"/>
    <col min="13" max="14" width="21.625" customWidth="1"/>
    <col min="15" max="15" width="16.0520833333333" customWidth="1"/>
    <col min="16" max="17" width="14.9791666666667" customWidth="1"/>
    <col min="18" max="18" width="20.8333333333333" customWidth="1"/>
    <col min="19" max="20" width="14.9791666666667" customWidth="1"/>
    <col min="21" max="21" width="22.84375" customWidth="1"/>
    <col min="22" max="23" width="14.9791666666667" customWidth="1"/>
    <col min="24" max="24" width="17.3854166666667" customWidth="1"/>
    <col min="25" max="36" width="14.9791666666667" customWidth="1"/>
    <col min="37" max="37" width="19.8125" customWidth="1"/>
    <col min="38" max="39" width="14.9791666666667" customWidth="1"/>
    <col min="40" max="40" width="18.40625" customWidth="1"/>
    <col min="41" max="53" width="14.9791666666667" customWidth="1"/>
    <col min="54" max="54" width="21.2291666666667" customWidth="1"/>
    <col min="55" max="55" width="14.9791666666667" customWidth="1"/>
    <col min="56" max="56" width="19.625" customWidth="1"/>
    <col min="57" max="75" width="14.9791666666667" customWidth="1"/>
  </cols>
  <sheetData>
    <row r="1" ht="16.1" customHeight="1" spans="1:75">
      <c r="A1" s="33" t="s">
        <v>169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79" t="s">
        <v>170</v>
      </c>
      <c r="M1" s="80"/>
      <c r="N1" s="80"/>
      <c r="O1" s="81"/>
      <c r="P1" s="81"/>
      <c r="Q1" s="81"/>
      <c r="R1" s="81"/>
      <c r="S1" s="106"/>
      <c r="T1" s="106"/>
      <c r="U1" s="106"/>
      <c r="V1" s="106"/>
      <c r="W1" s="81"/>
      <c r="X1" s="106"/>
      <c r="Y1" s="106"/>
      <c r="Z1" s="106"/>
      <c r="AA1" s="106"/>
      <c r="AB1" s="118" t="s">
        <v>171</v>
      </c>
      <c r="AC1" s="119"/>
      <c r="AD1" s="119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3" t="s">
        <v>172</v>
      </c>
      <c r="AS1" s="124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9" t="s">
        <v>173</v>
      </c>
      <c r="BI1" s="130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</row>
    <row r="2" ht="48.25" customHeight="1" spans="1:75">
      <c r="A2" s="35" t="s">
        <v>174</v>
      </c>
      <c r="B2" s="36" t="s">
        <v>175</v>
      </c>
      <c r="C2" s="36" t="s">
        <v>176</v>
      </c>
      <c r="D2" s="35" t="s">
        <v>177</v>
      </c>
      <c r="E2" s="35" t="s">
        <v>178</v>
      </c>
      <c r="F2" s="37" t="s">
        <v>179</v>
      </c>
      <c r="G2" s="38" t="s">
        <v>180</v>
      </c>
      <c r="H2" s="36" t="s">
        <v>181</v>
      </c>
      <c r="I2" s="36" t="s">
        <v>182</v>
      </c>
      <c r="J2" s="82" t="s">
        <v>183</v>
      </c>
      <c r="K2" s="82" t="s">
        <v>184</v>
      </c>
      <c r="L2" s="72" t="s">
        <v>185</v>
      </c>
      <c r="M2" s="72" t="s">
        <v>40</v>
      </c>
      <c r="N2" s="83" t="s">
        <v>186</v>
      </c>
      <c r="O2" s="73" t="s">
        <v>187</v>
      </c>
      <c r="P2" s="73" t="s">
        <v>188</v>
      </c>
      <c r="Q2" s="73" t="s">
        <v>189</v>
      </c>
      <c r="R2" s="73" t="s">
        <v>190</v>
      </c>
      <c r="S2" s="74" t="s">
        <v>191</v>
      </c>
      <c r="T2" s="72" t="s">
        <v>138</v>
      </c>
      <c r="U2" s="72" t="s">
        <v>192</v>
      </c>
      <c r="V2" s="72" t="s">
        <v>184</v>
      </c>
      <c r="W2" s="73" t="s">
        <v>193</v>
      </c>
      <c r="X2" s="72" t="s">
        <v>194</v>
      </c>
      <c r="Y2" s="72" t="s">
        <v>195</v>
      </c>
      <c r="Z2" s="72" t="s">
        <v>196</v>
      </c>
      <c r="AA2" s="101" t="s">
        <v>197</v>
      </c>
      <c r="AB2" s="121" t="s">
        <v>198</v>
      </c>
      <c r="AC2" s="121" t="s">
        <v>40</v>
      </c>
      <c r="AD2" s="121" t="s">
        <v>186</v>
      </c>
      <c r="AE2" s="121" t="s">
        <v>187</v>
      </c>
      <c r="AF2" s="121" t="s">
        <v>188</v>
      </c>
      <c r="AG2" s="121" t="s">
        <v>189</v>
      </c>
      <c r="AH2" s="121" t="s">
        <v>190</v>
      </c>
      <c r="AI2" s="122" t="s">
        <v>191</v>
      </c>
      <c r="AJ2" s="121" t="s">
        <v>138</v>
      </c>
      <c r="AK2" s="121" t="s">
        <v>192</v>
      </c>
      <c r="AL2" s="121" t="s">
        <v>199</v>
      </c>
      <c r="AM2" s="121" t="s">
        <v>193</v>
      </c>
      <c r="AN2" s="121" t="s">
        <v>200</v>
      </c>
      <c r="AO2" s="121" t="s">
        <v>195</v>
      </c>
      <c r="AP2" s="121" t="s">
        <v>196</v>
      </c>
      <c r="AQ2" s="121" t="s">
        <v>197</v>
      </c>
      <c r="AR2" s="126" t="s">
        <v>198</v>
      </c>
      <c r="AS2" s="126" t="s">
        <v>40</v>
      </c>
      <c r="AT2" s="126" t="s">
        <v>186</v>
      </c>
      <c r="AU2" s="126" t="s">
        <v>187</v>
      </c>
      <c r="AV2" s="126" t="s">
        <v>188</v>
      </c>
      <c r="AW2" s="126" t="s">
        <v>189</v>
      </c>
      <c r="AX2" s="126" t="s">
        <v>190</v>
      </c>
      <c r="AY2" s="128" t="s">
        <v>191</v>
      </c>
      <c r="AZ2" s="126" t="s">
        <v>138</v>
      </c>
      <c r="BA2" s="126" t="s">
        <v>192</v>
      </c>
      <c r="BB2" s="126" t="s">
        <v>184</v>
      </c>
      <c r="BC2" s="126" t="s">
        <v>193</v>
      </c>
      <c r="BD2" s="126" t="s">
        <v>200</v>
      </c>
      <c r="BE2" s="126" t="s">
        <v>195</v>
      </c>
      <c r="BF2" s="126" t="s">
        <v>201</v>
      </c>
      <c r="BG2" s="126" t="s">
        <v>197</v>
      </c>
      <c r="BH2" s="132" t="s">
        <v>198</v>
      </c>
      <c r="BI2" s="132" t="s">
        <v>40</v>
      </c>
      <c r="BJ2" s="132" t="s">
        <v>186</v>
      </c>
      <c r="BK2" s="132" t="s">
        <v>187</v>
      </c>
      <c r="BL2" s="132" t="s">
        <v>202</v>
      </c>
      <c r="BM2" s="132" t="s">
        <v>189</v>
      </c>
      <c r="BN2" s="132" t="s">
        <v>190</v>
      </c>
      <c r="BO2" s="133" t="s">
        <v>191</v>
      </c>
      <c r="BP2" s="132" t="s">
        <v>138</v>
      </c>
      <c r="BQ2" s="132" t="s">
        <v>192</v>
      </c>
      <c r="BR2" s="132" t="s">
        <v>184</v>
      </c>
      <c r="BS2" s="132" t="s">
        <v>193</v>
      </c>
      <c r="BT2" s="132" t="s">
        <v>203</v>
      </c>
      <c r="BU2" s="132" t="s">
        <v>195</v>
      </c>
      <c r="BV2" s="132" t="s">
        <v>204</v>
      </c>
      <c r="BW2" s="132" t="s">
        <v>197</v>
      </c>
    </row>
    <row r="3" ht="16.1" customHeight="1" spans="1:75">
      <c r="A3" s="39" t="s">
        <v>205</v>
      </c>
      <c r="B3" s="40" t="s">
        <v>206</v>
      </c>
      <c r="C3" s="41" t="s">
        <v>69</v>
      </c>
      <c r="D3" s="42" t="s">
        <v>207</v>
      </c>
      <c r="E3" s="43">
        <v>0.15</v>
      </c>
      <c r="F3" s="43">
        <v>0.07</v>
      </c>
      <c r="G3" s="44">
        <v>0.15</v>
      </c>
      <c r="H3" s="45">
        <f>122.56/7.4</f>
        <v>16.5621621621622</v>
      </c>
      <c r="I3" s="45">
        <v>5.69</v>
      </c>
      <c r="J3" s="45">
        <f>(H3+I3)*F3</f>
        <v>1.55765135135135</v>
      </c>
      <c r="K3" s="45">
        <v>0.16</v>
      </c>
      <c r="L3" s="84"/>
      <c r="M3" s="85">
        <f>推广计划!D3</f>
        <v>109.99</v>
      </c>
      <c r="N3" s="86">
        <v>450</v>
      </c>
      <c r="O3" s="87">
        <f>M3*N3</f>
        <v>49495.5</v>
      </c>
      <c r="P3" s="87">
        <f>$H3*N3</f>
        <v>7452.97297297297</v>
      </c>
      <c r="Q3" s="87">
        <f>M3*$E3*N3</f>
        <v>7424.325</v>
      </c>
      <c r="R3" s="87">
        <f>I3*N3</f>
        <v>2560.5</v>
      </c>
      <c r="S3" s="87">
        <f>$J3*N3</f>
        <v>700.943108108108</v>
      </c>
      <c r="T3" s="107">
        <f>O3*18%</f>
        <v>8909.19</v>
      </c>
      <c r="U3" s="108">
        <f>O3*12%</f>
        <v>5939.46</v>
      </c>
      <c r="V3" s="107">
        <f>O3*K3</f>
        <v>7919.28</v>
      </c>
      <c r="W3" s="87">
        <f>P3+Q3+R3+S3+T3+U3+V3</f>
        <v>40906.6710810811</v>
      </c>
      <c r="X3" s="88">
        <f>O3-Q3-R3-T3-U3-V3</f>
        <v>16742.745</v>
      </c>
      <c r="Y3" s="44">
        <f>X3/O3</f>
        <v>0.338268024365852</v>
      </c>
      <c r="Z3" s="87">
        <f>O3-W3</f>
        <v>8588.82891891892</v>
      </c>
      <c r="AA3" s="44">
        <f>Z3/O3</f>
        <v>0.173527470556291</v>
      </c>
      <c r="AB3" s="84"/>
      <c r="AC3" s="85">
        <v>114.99</v>
      </c>
      <c r="AD3" s="86">
        <v>500</v>
      </c>
      <c r="AE3" s="87">
        <f>AC3*AD3</f>
        <v>57495</v>
      </c>
      <c r="AF3" s="87">
        <f>$H3*AD3</f>
        <v>8281.08108108108</v>
      </c>
      <c r="AG3" s="87">
        <f>AC3*$E3*AD3</f>
        <v>8624.25</v>
      </c>
      <c r="AH3" s="87">
        <f>AD3*I3</f>
        <v>2845</v>
      </c>
      <c r="AI3" s="87">
        <f>$J3*AD3</f>
        <v>778.825675675676</v>
      </c>
      <c r="AJ3" s="107">
        <f>AE3*10%</f>
        <v>5749.5</v>
      </c>
      <c r="AK3" s="108">
        <f>AE3*6%</f>
        <v>3449.7</v>
      </c>
      <c r="AL3" s="107">
        <f>AE3*K3</f>
        <v>9199.2</v>
      </c>
      <c r="AM3" s="87">
        <f>AF3+AG3+AH3+AI3+AJ3+AK3+AL3</f>
        <v>38927.5567567568</v>
      </c>
      <c r="AN3" s="88">
        <f>AE3-AG3-AH3-AJ3-AL3</f>
        <v>31077.05</v>
      </c>
      <c r="AO3" s="44">
        <f>AN3/AE3</f>
        <v>0.540517436298809</v>
      </c>
      <c r="AP3" s="87">
        <f>AE3-AM3</f>
        <v>18567.4432432432</v>
      </c>
      <c r="AQ3" s="44">
        <f>AP3/AE3</f>
        <v>0.322940138155374</v>
      </c>
      <c r="AR3" s="84"/>
      <c r="AS3" s="85">
        <v>116.99</v>
      </c>
      <c r="AT3" s="86">
        <v>700</v>
      </c>
      <c r="AU3" s="87">
        <f>AS3*AT3</f>
        <v>81893</v>
      </c>
      <c r="AV3" s="87">
        <f>$H3*AT3</f>
        <v>11593.5135135135</v>
      </c>
      <c r="AW3" s="87">
        <f>AS3*$E3*AT3</f>
        <v>12283.95</v>
      </c>
      <c r="AX3" s="87">
        <f>AT3*I3</f>
        <v>3983</v>
      </c>
      <c r="AY3" s="87">
        <f>$J3*AT3</f>
        <v>1090.35594594595</v>
      </c>
      <c r="AZ3" s="107">
        <f>AU3*7%</f>
        <v>5732.51</v>
      </c>
      <c r="BA3" s="108">
        <f>AU3*15%</f>
        <v>12283.95</v>
      </c>
      <c r="BB3" s="107">
        <f>K3*AU3</f>
        <v>13102.88</v>
      </c>
      <c r="BC3" s="87">
        <f>AV3+AW3+AX3+AY3+AZ3+BA3+BB3</f>
        <v>60070.1594594594</v>
      </c>
      <c r="BD3" s="88">
        <f>AU3-AW3-AX3-AZ3-BB3</f>
        <v>46790.66</v>
      </c>
      <c r="BE3" s="44">
        <f>BD3/AU3</f>
        <v>0.571363364390119</v>
      </c>
      <c r="BF3" s="87">
        <f>AU3-BC3</f>
        <v>21822.8405405406</v>
      </c>
      <c r="BG3" s="44">
        <f>BF3/AU3</f>
        <v>0.26647992551916</v>
      </c>
      <c r="BH3" s="84"/>
      <c r="BI3" s="85">
        <v>119.99</v>
      </c>
      <c r="BJ3" s="86">
        <v>1500</v>
      </c>
      <c r="BK3" s="87">
        <f>BI3*BJ3</f>
        <v>179985</v>
      </c>
      <c r="BL3" s="87">
        <f>$H3*BJ3</f>
        <v>24843.2432432432</v>
      </c>
      <c r="BM3" s="87">
        <f>E3*BK3</f>
        <v>26997.75</v>
      </c>
      <c r="BN3" s="134">
        <f>I3*BJ3</f>
        <v>8535</v>
      </c>
      <c r="BO3" s="87">
        <f>$J3*BJ3</f>
        <v>2336.47702702703</v>
      </c>
      <c r="BP3" s="107">
        <f>BK3*5.5%</f>
        <v>9899.175</v>
      </c>
      <c r="BQ3" s="108">
        <f>BK3*8%</f>
        <v>14398.8</v>
      </c>
      <c r="BR3" s="107">
        <f>K3*BK3</f>
        <v>28797.6</v>
      </c>
      <c r="BS3" s="87">
        <f>BL3+BM3+BN3+BO3+BP3+BQ3+BR3</f>
        <v>115808.04527027</v>
      </c>
      <c r="BT3" s="88">
        <f>BK3-BM3-BN3-BP3-BR3</f>
        <v>105755.475</v>
      </c>
      <c r="BU3" s="44">
        <f>BT3/BK3</f>
        <v>0.587579381615135</v>
      </c>
      <c r="BV3" s="87">
        <f>BK3-BS3</f>
        <v>64176.9547297297</v>
      </c>
      <c r="BW3" s="44">
        <f>BV3/BK3</f>
        <v>0.356568351416672</v>
      </c>
    </row>
    <row r="4" ht="16.1" customHeight="1" spans="1:75">
      <c r="A4" s="39" t="s">
        <v>208</v>
      </c>
      <c r="B4" s="40" t="s">
        <v>206</v>
      </c>
      <c r="C4" s="41" t="s">
        <v>69</v>
      </c>
      <c r="D4" s="42" t="s">
        <v>207</v>
      </c>
      <c r="E4" s="43">
        <v>0.15</v>
      </c>
      <c r="F4" s="43">
        <v>0.07</v>
      </c>
      <c r="G4" s="44">
        <v>0.15</v>
      </c>
      <c r="H4" s="45">
        <f>122.56/7.4</f>
        <v>16.5621621621622</v>
      </c>
      <c r="I4" s="45">
        <v>5.69</v>
      </c>
      <c r="J4" s="45">
        <f>(H4+I4)*F4</f>
        <v>1.55765135135135</v>
      </c>
      <c r="K4" s="45">
        <v>0.16</v>
      </c>
      <c r="L4" s="84"/>
      <c r="M4" s="85">
        <f>推广计划!D3</f>
        <v>109.99</v>
      </c>
      <c r="N4" s="86">
        <v>450</v>
      </c>
      <c r="O4" s="87">
        <f>M4*N4</f>
        <v>49495.5</v>
      </c>
      <c r="P4" s="87">
        <f>$H4*N4</f>
        <v>7452.97297297297</v>
      </c>
      <c r="Q4" s="87">
        <f>M4*$E4*N4</f>
        <v>7424.325</v>
      </c>
      <c r="R4" s="87">
        <f>I4*N4</f>
        <v>2560.5</v>
      </c>
      <c r="S4" s="87">
        <f>$J4*N4</f>
        <v>700.943108108108</v>
      </c>
      <c r="T4" s="107">
        <f>O4*18%</f>
        <v>8909.19</v>
      </c>
      <c r="U4" s="108">
        <f>O4*12%</f>
        <v>5939.46</v>
      </c>
      <c r="V4" s="107">
        <f>O4*K4</f>
        <v>7919.28</v>
      </c>
      <c r="W4" s="87">
        <f>P4+Q4+R4+S4+T4+U4+V4</f>
        <v>40906.6710810811</v>
      </c>
      <c r="X4" s="88">
        <f>O4-Q4-R4-T4-U4-V4</f>
        <v>16742.745</v>
      </c>
      <c r="Y4" s="44">
        <f>X4/O4</f>
        <v>0.338268024365852</v>
      </c>
      <c r="Z4" s="87">
        <f>O4-W4</f>
        <v>8588.82891891892</v>
      </c>
      <c r="AA4" s="44">
        <f>Z4/O4</f>
        <v>0.173527470556291</v>
      </c>
      <c r="AB4" s="84"/>
      <c r="AC4" s="85">
        <v>114.99</v>
      </c>
      <c r="AD4" s="86">
        <v>500</v>
      </c>
      <c r="AE4" s="87">
        <f>AC4*AD4</f>
        <v>57495</v>
      </c>
      <c r="AF4" s="87">
        <f>$H4*AD4</f>
        <v>8281.08108108108</v>
      </c>
      <c r="AG4" s="87">
        <f>AC4*$E4*AD4</f>
        <v>8624.25</v>
      </c>
      <c r="AH4" s="87">
        <f>AD4*I4</f>
        <v>2845</v>
      </c>
      <c r="AI4" s="87">
        <f>$J4*AD4</f>
        <v>778.825675675676</v>
      </c>
      <c r="AJ4" s="107">
        <f>AE4*10%</f>
        <v>5749.5</v>
      </c>
      <c r="AK4" s="108">
        <f>AE4*6%</f>
        <v>3449.7</v>
      </c>
      <c r="AL4" s="107">
        <f>AE4*K4</f>
        <v>9199.2</v>
      </c>
      <c r="AM4" s="87">
        <f>AF4+AG4+AH4+AI4+AJ4+AK4+AL4</f>
        <v>38927.5567567568</v>
      </c>
      <c r="AN4" s="88">
        <f>AE4-AG4-AH4-AJ4-AL4</f>
        <v>31077.05</v>
      </c>
      <c r="AO4" s="44">
        <f>AN4/AE4</f>
        <v>0.540517436298809</v>
      </c>
      <c r="AP4" s="87">
        <f>AE4-AM4</f>
        <v>18567.4432432432</v>
      </c>
      <c r="AQ4" s="44">
        <f>AP4/AE4</f>
        <v>0.322940138155374</v>
      </c>
      <c r="AR4" s="84"/>
      <c r="AS4" s="85">
        <v>116.99</v>
      </c>
      <c r="AT4" s="86">
        <v>700</v>
      </c>
      <c r="AU4" s="87">
        <f>AS4*AT4</f>
        <v>81893</v>
      </c>
      <c r="AV4" s="87">
        <f>$H4*AT4</f>
        <v>11593.5135135135</v>
      </c>
      <c r="AW4" s="87">
        <f>AS4*$E4*AT4</f>
        <v>12283.95</v>
      </c>
      <c r="AX4" s="87">
        <f>AT4*I4</f>
        <v>3983</v>
      </c>
      <c r="AY4" s="87">
        <f>$J4*AT4</f>
        <v>1090.35594594595</v>
      </c>
      <c r="AZ4" s="107">
        <f>AU4*7%</f>
        <v>5732.51</v>
      </c>
      <c r="BA4" s="108">
        <f>AU4*15%</f>
        <v>12283.95</v>
      </c>
      <c r="BB4" s="107">
        <f>K4*AU4</f>
        <v>13102.88</v>
      </c>
      <c r="BC4" s="87">
        <f>AV4+AW4+AX4+AY4+AZ4+BA4+BB4</f>
        <v>60070.1594594594</v>
      </c>
      <c r="BD4" s="88">
        <f>AU4-AW4-AX4-AZ4-BB4</f>
        <v>46790.66</v>
      </c>
      <c r="BE4" s="44">
        <f>BD4/AU4</f>
        <v>0.571363364390119</v>
      </c>
      <c r="BF4" s="87">
        <f>AU4-BC4</f>
        <v>21822.8405405406</v>
      </c>
      <c r="BG4" s="44">
        <f>BF4/AU4</f>
        <v>0.26647992551916</v>
      </c>
      <c r="BH4" s="84"/>
      <c r="BI4" s="85">
        <v>119.99</v>
      </c>
      <c r="BJ4" s="86">
        <v>1500</v>
      </c>
      <c r="BK4" s="87">
        <f>BI4*BJ4</f>
        <v>179985</v>
      </c>
      <c r="BL4" s="87">
        <f>$H4*BJ4</f>
        <v>24843.2432432432</v>
      </c>
      <c r="BM4" s="87">
        <f>E4*BK4</f>
        <v>26997.75</v>
      </c>
      <c r="BN4" s="134">
        <f>I4*BJ4</f>
        <v>8535</v>
      </c>
      <c r="BO4" s="87">
        <f>$J4*BJ4</f>
        <v>2336.47702702703</v>
      </c>
      <c r="BP4" s="107">
        <f>BK4*5.5%</f>
        <v>9899.175</v>
      </c>
      <c r="BQ4" s="108">
        <f>BK4*8%</f>
        <v>14398.8</v>
      </c>
      <c r="BR4" s="107">
        <f>K4*BK4</f>
        <v>28797.6</v>
      </c>
      <c r="BS4" s="87">
        <f>BL4+BM4+BN4+BO4+BP4+BQ4+BR4</f>
        <v>115808.04527027</v>
      </c>
      <c r="BT4" s="88">
        <f>BK4-BM4-BN4-BP4-BR4</f>
        <v>105755.475</v>
      </c>
      <c r="BU4" s="44">
        <f>BT4/BK4</f>
        <v>0.587579381615135</v>
      </c>
      <c r="BV4" s="87">
        <f>BK4-BS4</f>
        <v>64176.9547297297</v>
      </c>
      <c r="BW4" s="44">
        <f>BV4/BK4</f>
        <v>0.356568351416672</v>
      </c>
    </row>
    <row r="5" ht="16.1" customHeight="1" spans="1:75">
      <c r="A5" s="39" t="s">
        <v>209</v>
      </c>
      <c r="B5" s="40" t="s">
        <v>206</v>
      </c>
      <c r="C5" s="41" t="s">
        <v>69</v>
      </c>
      <c r="D5" s="42" t="s">
        <v>207</v>
      </c>
      <c r="E5" s="43">
        <v>0.15</v>
      </c>
      <c r="F5" s="43">
        <v>0.07</v>
      </c>
      <c r="G5" s="44">
        <v>0.15</v>
      </c>
      <c r="H5" s="45">
        <f>122.56/7.4</f>
        <v>16.5621621621622</v>
      </c>
      <c r="I5" s="45">
        <v>5.69</v>
      </c>
      <c r="J5" s="45">
        <f>(H5+I5)*F5</f>
        <v>1.55765135135135</v>
      </c>
      <c r="K5" s="45">
        <v>0.16</v>
      </c>
      <c r="L5" s="84"/>
      <c r="M5" s="85">
        <f>推广计划!D4</f>
        <v>109.99</v>
      </c>
      <c r="N5" s="86">
        <v>450</v>
      </c>
      <c r="O5" s="87">
        <f>M5*N5</f>
        <v>49495.5</v>
      </c>
      <c r="P5" s="87">
        <f>$H5*N5</f>
        <v>7452.97297297297</v>
      </c>
      <c r="Q5" s="87">
        <f>M5*$E5*N5</f>
        <v>7424.325</v>
      </c>
      <c r="R5" s="87">
        <f>I5*N5</f>
        <v>2560.5</v>
      </c>
      <c r="S5" s="87">
        <f>$J5*N5</f>
        <v>700.943108108108</v>
      </c>
      <c r="T5" s="107">
        <f>O5*18%</f>
        <v>8909.19</v>
      </c>
      <c r="U5" s="108">
        <f>O5*12%</f>
        <v>5939.46</v>
      </c>
      <c r="V5" s="107">
        <f>O5*K5</f>
        <v>7919.28</v>
      </c>
      <c r="W5" s="87">
        <f>P5+Q5+R5+S5+T5+U5+V5</f>
        <v>40906.6710810811</v>
      </c>
      <c r="X5" s="88">
        <f>O5-Q5-R5-T5-U5-V5</f>
        <v>16742.745</v>
      </c>
      <c r="Y5" s="44">
        <f>X5/O5</f>
        <v>0.338268024365852</v>
      </c>
      <c r="Z5" s="87">
        <f>O5-W5</f>
        <v>8588.82891891892</v>
      </c>
      <c r="AA5" s="44">
        <f>Z5/O5</f>
        <v>0.173527470556291</v>
      </c>
      <c r="AB5" s="84"/>
      <c r="AC5" s="85">
        <v>114.99</v>
      </c>
      <c r="AD5" s="86">
        <v>500</v>
      </c>
      <c r="AE5" s="87">
        <f>AC5*AD5</f>
        <v>57495</v>
      </c>
      <c r="AF5" s="87">
        <f>$H5*AD5</f>
        <v>8281.08108108108</v>
      </c>
      <c r="AG5" s="87">
        <f>AC5*$E5*AD5</f>
        <v>8624.25</v>
      </c>
      <c r="AH5" s="87">
        <f>AD5*I5</f>
        <v>2845</v>
      </c>
      <c r="AI5" s="87">
        <f>$J5*AD5</f>
        <v>778.825675675676</v>
      </c>
      <c r="AJ5" s="107">
        <f>AE5*10%</f>
        <v>5749.5</v>
      </c>
      <c r="AK5" s="108">
        <f>AE5*6%</f>
        <v>3449.7</v>
      </c>
      <c r="AL5" s="107">
        <f>AE5*K5</f>
        <v>9199.2</v>
      </c>
      <c r="AM5" s="87">
        <f>AF5+AG5+AH5+AI5+AJ5+AK5+AL5</f>
        <v>38927.5567567568</v>
      </c>
      <c r="AN5" s="88">
        <f>AE5-AG5-AH5-AJ5-AL5</f>
        <v>31077.05</v>
      </c>
      <c r="AO5" s="44">
        <f>AN5/AE5</f>
        <v>0.540517436298809</v>
      </c>
      <c r="AP5" s="87">
        <f>AE5-AM5</f>
        <v>18567.4432432432</v>
      </c>
      <c r="AQ5" s="44">
        <f>AP5/AE5</f>
        <v>0.322940138155374</v>
      </c>
      <c r="AR5" s="84"/>
      <c r="AS5" s="85">
        <v>116.99</v>
      </c>
      <c r="AT5" s="86">
        <v>700</v>
      </c>
      <c r="AU5" s="87">
        <f>AS5*AT5</f>
        <v>81893</v>
      </c>
      <c r="AV5" s="87">
        <f>$H5*AT5</f>
        <v>11593.5135135135</v>
      </c>
      <c r="AW5" s="87">
        <f>AS5*$E5*AT5</f>
        <v>12283.95</v>
      </c>
      <c r="AX5" s="87">
        <f>AT5*I5</f>
        <v>3983</v>
      </c>
      <c r="AY5" s="87">
        <f>$J5*AT5</f>
        <v>1090.35594594595</v>
      </c>
      <c r="AZ5" s="107">
        <f>AU5*7%</f>
        <v>5732.51</v>
      </c>
      <c r="BA5" s="108">
        <f>AU5*15%</f>
        <v>12283.95</v>
      </c>
      <c r="BB5" s="107">
        <f>K5*AU5</f>
        <v>13102.88</v>
      </c>
      <c r="BC5" s="87">
        <f>AV5+AW5+AX5+AY5+AZ5+BA5+BB5</f>
        <v>60070.1594594594</v>
      </c>
      <c r="BD5" s="88">
        <f>AU5-AW5-AX5-AZ5-BB5</f>
        <v>46790.66</v>
      </c>
      <c r="BE5" s="44">
        <f>BD5/AU5</f>
        <v>0.571363364390119</v>
      </c>
      <c r="BF5" s="87">
        <f>AU5-BC5</f>
        <v>21822.8405405406</v>
      </c>
      <c r="BG5" s="44">
        <f>BF5/AU5</f>
        <v>0.26647992551916</v>
      </c>
      <c r="BH5" s="84"/>
      <c r="BI5" s="85">
        <v>119.99</v>
      </c>
      <c r="BJ5" s="86">
        <v>1500</v>
      </c>
      <c r="BK5" s="87">
        <f>BI5*BJ5</f>
        <v>179985</v>
      </c>
      <c r="BL5" s="87">
        <f>$H5*BJ5</f>
        <v>24843.2432432432</v>
      </c>
      <c r="BM5" s="87">
        <f>E5*BK5</f>
        <v>26997.75</v>
      </c>
      <c r="BN5" s="134">
        <f>I5*BJ5</f>
        <v>8535</v>
      </c>
      <c r="BO5" s="87">
        <f>$J5*BJ5</f>
        <v>2336.47702702703</v>
      </c>
      <c r="BP5" s="107">
        <f>BK5*5.5%</f>
        <v>9899.175</v>
      </c>
      <c r="BQ5" s="108">
        <f>BK5*8%</f>
        <v>14398.8</v>
      </c>
      <c r="BR5" s="107">
        <f>K5*BK5</f>
        <v>28797.6</v>
      </c>
      <c r="BS5" s="87">
        <f>BL5+BM5+BN5+BO5+BP5+BQ5+BR5</f>
        <v>115808.04527027</v>
      </c>
      <c r="BT5" s="88">
        <f>BK5-BM5-BN5-BP5-BR5</f>
        <v>105755.475</v>
      </c>
      <c r="BU5" s="44">
        <f>BT5/BK5</f>
        <v>0.587579381615135</v>
      </c>
      <c r="BV5" s="87">
        <f>BK5-BS5</f>
        <v>64176.9547297297</v>
      </c>
      <c r="BW5" s="44">
        <f>BV5/BK5</f>
        <v>0.356568351416672</v>
      </c>
    </row>
    <row r="6" ht="16.1" customHeight="1" spans="1:75">
      <c r="A6" s="39" t="s">
        <v>210</v>
      </c>
      <c r="B6" s="40" t="s">
        <v>206</v>
      </c>
      <c r="C6" s="41" t="s">
        <v>69</v>
      </c>
      <c r="D6" s="42" t="s">
        <v>207</v>
      </c>
      <c r="E6" s="43">
        <v>0.15</v>
      </c>
      <c r="F6" s="43">
        <v>0.07</v>
      </c>
      <c r="G6" s="44">
        <v>0.15</v>
      </c>
      <c r="H6" s="45">
        <f>122.56/7.4</f>
        <v>16.5621621621622</v>
      </c>
      <c r="I6" s="45">
        <v>5.69</v>
      </c>
      <c r="J6" s="45">
        <f>(H6+I6)*F6</f>
        <v>1.55765135135135</v>
      </c>
      <c r="K6" s="45">
        <v>0.16</v>
      </c>
      <c r="L6" s="84"/>
      <c r="M6" s="85">
        <f>推广计划!D5</f>
        <v>109.99</v>
      </c>
      <c r="N6" s="86">
        <v>450</v>
      </c>
      <c r="O6" s="87">
        <f>M6*N6</f>
        <v>49495.5</v>
      </c>
      <c r="P6" s="87">
        <f>$H6*N6</f>
        <v>7452.97297297297</v>
      </c>
      <c r="Q6" s="87">
        <f>M6*$E6*N6</f>
        <v>7424.325</v>
      </c>
      <c r="R6" s="87">
        <f>I6*N6</f>
        <v>2560.5</v>
      </c>
      <c r="S6" s="87">
        <f>$J6*N6</f>
        <v>700.943108108108</v>
      </c>
      <c r="T6" s="107">
        <f>O6*18%</f>
        <v>8909.19</v>
      </c>
      <c r="U6" s="108">
        <f>O6*12%</f>
        <v>5939.46</v>
      </c>
      <c r="V6" s="107">
        <f>O6*K6</f>
        <v>7919.28</v>
      </c>
      <c r="W6" s="87">
        <f>P6+Q6+R6+S6+T6+U6+V6</f>
        <v>40906.6710810811</v>
      </c>
      <c r="X6" s="88">
        <f>O6-Q6-R6-T6-U6-V6</f>
        <v>16742.745</v>
      </c>
      <c r="Y6" s="44">
        <f>X6/O6</f>
        <v>0.338268024365852</v>
      </c>
      <c r="Z6" s="87">
        <f>O6-W6</f>
        <v>8588.82891891892</v>
      </c>
      <c r="AA6" s="44">
        <f>Z6/O6</f>
        <v>0.173527470556291</v>
      </c>
      <c r="AB6" s="84"/>
      <c r="AC6" s="85">
        <v>114.99</v>
      </c>
      <c r="AD6" s="86">
        <v>500</v>
      </c>
      <c r="AE6" s="87">
        <f>AC6*AD6</f>
        <v>57495</v>
      </c>
      <c r="AF6" s="87">
        <f>$H6*AD6</f>
        <v>8281.08108108108</v>
      </c>
      <c r="AG6" s="87">
        <f>AC6*$E6*AD6</f>
        <v>8624.25</v>
      </c>
      <c r="AH6" s="87">
        <f>AD6*I6</f>
        <v>2845</v>
      </c>
      <c r="AI6" s="87">
        <f>$J6*AD6</f>
        <v>778.825675675676</v>
      </c>
      <c r="AJ6" s="107">
        <f>AE6*10%</f>
        <v>5749.5</v>
      </c>
      <c r="AK6" s="108">
        <f>AE6*6%</f>
        <v>3449.7</v>
      </c>
      <c r="AL6" s="107">
        <f>AE6*K6</f>
        <v>9199.2</v>
      </c>
      <c r="AM6" s="87">
        <f>AF6+AG6+AH6+AI6+AJ6+AK6+AL6</f>
        <v>38927.5567567568</v>
      </c>
      <c r="AN6" s="88">
        <f>AE6-AG6-AH6-AJ6-AL6</f>
        <v>31077.05</v>
      </c>
      <c r="AO6" s="44">
        <f>AN6/AE6</f>
        <v>0.540517436298809</v>
      </c>
      <c r="AP6" s="87">
        <f>AE6-AM6</f>
        <v>18567.4432432432</v>
      </c>
      <c r="AQ6" s="44">
        <f>AP6/AE6</f>
        <v>0.322940138155374</v>
      </c>
      <c r="AR6" s="84"/>
      <c r="AS6" s="85">
        <v>116.99</v>
      </c>
      <c r="AT6" s="86">
        <v>700</v>
      </c>
      <c r="AU6" s="87">
        <f>AS6*AT6</f>
        <v>81893</v>
      </c>
      <c r="AV6" s="87">
        <f>$H6*AT6</f>
        <v>11593.5135135135</v>
      </c>
      <c r="AW6" s="87">
        <f>AS6*$E6*AT6</f>
        <v>12283.95</v>
      </c>
      <c r="AX6" s="87">
        <f>AT6*I6</f>
        <v>3983</v>
      </c>
      <c r="AY6" s="87">
        <f>$J6*AT6</f>
        <v>1090.35594594595</v>
      </c>
      <c r="AZ6" s="107">
        <f>AU6*7%</f>
        <v>5732.51</v>
      </c>
      <c r="BA6" s="108">
        <f>AU6*15%</f>
        <v>12283.95</v>
      </c>
      <c r="BB6" s="107">
        <f>K6*AU6</f>
        <v>13102.88</v>
      </c>
      <c r="BC6" s="87">
        <f>AV6+AW6+AX6+AY6+AZ6+BA6+BB6</f>
        <v>60070.1594594594</v>
      </c>
      <c r="BD6" s="88">
        <f>AU6-AW6-AX6-AZ6-BB6</f>
        <v>46790.66</v>
      </c>
      <c r="BE6" s="44">
        <f>BD6/AU6</f>
        <v>0.571363364390119</v>
      </c>
      <c r="BF6" s="87">
        <f>AU6-BC6</f>
        <v>21822.8405405406</v>
      </c>
      <c r="BG6" s="44">
        <f>BF6/AU6</f>
        <v>0.26647992551916</v>
      </c>
      <c r="BH6" s="84"/>
      <c r="BI6" s="85">
        <v>119.99</v>
      </c>
      <c r="BJ6" s="86">
        <v>1500</v>
      </c>
      <c r="BK6" s="87">
        <f>BI6*BJ6</f>
        <v>179985</v>
      </c>
      <c r="BL6" s="87">
        <f>$H6*BJ6</f>
        <v>24843.2432432432</v>
      </c>
      <c r="BM6" s="87">
        <f>E6*BK6</f>
        <v>26997.75</v>
      </c>
      <c r="BN6" s="134">
        <f>I6*BJ6</f>
        <v>8535</v>
      </c>
      <c r="BO6" s="87">
        <f>$J6*BJ6</f>
        <v>2336.47702702703</v>
      </c>
      <c r="BP6" s="107">
        <f>BK6*5.5%</f>
        <v>9899.175</v>
      </c>
      <c r="BQ6" s="108">
        <f>BK6*8%</f>
        <v>14398.8</v>
      </c>
      <c r="BR6" s="107">
        <f>K6*BK6</f>
        <v>28797.6</v>
      </c>
      <c r="BS6" s="87">
        <f>BL6+BM6+BN6+BO6+BP6+BQ6+BR6</f>
        <v>115808.04527027</v>
      </c>
      <c r="BT6" s="88">
        <f>BK6-BM6-BN6-BP6-BR6</f>
        <v>105755.475</v>
      </c>
      <c r="BU6" s="44">
        <f>BT6/BK6</f>
        <v>0.587579381615135</v>
      </c>
      <c r="BV6" s="87">
        <f>BK6-BS6</f>
        <v>64176.9547297297</v>
      </c>
      <c r="BW6" s="44">
        <f>BV6/BK6</f>
        <v>0.356568351416672</v>
      </c>
    </row>
    <row r="7" ht="16.1" customHeight="1" spans="1:75">
      <c r="A7" s="40"/>
      <c r="B7" s="40"/>
      <c r="C7" s="41"/>
      <c r="D7" s="42"/>
      <c r="E7" s="43"/>
      <c r="F7" s="43"/>
      <c r="G7" s="44"/>
      <c r="H7" s="45"/>
      <c r="I7" s="45"/>
      <c r="J7" s="45"/>
      <c r="K7" s="45"/>
      <c r="L7" s="84"/>
      <c r="M7" s="88"/>
      <c r="N7" s="87"/>
      <c r="O7" s="87"/>
      <c r="P7" s="87"/>
      <c r="Q7" s="87"/>
      <c r="R7" s="87"/>
      <c r="S7" s="87"/>
      <c r="T7" s="107"/>
      <c r="U7" s="108"/>
      <c r="V7" s="107"/>
      <c r="W7" s="87"/>
      <c r="X7" s="88"/>
      <c r="Y7" s="44"/>
      <c r="Z7" s="87"/>
      <c r="AA7" s="44"/>
      <c r="AB7" s="84"/>
      <c r="AC7" s="88"/>
      <c r="AD7" s="87"/>
      <c r="AE7" s="87"/>
      <c r="AF7" s="87"/>
      <c r="AG7" s="87"/>
      <c r="AH7" s="87"/>
      <c r="AI7" s="87"/>
      <c r="AJ7" s="107"/>
      <c r="AK7" s="108"/>
      <c r="AL7" s="107"/>
      <c r="AM7" s="87"/>
      <c r="AN7" s="88"/>
      <c r="AO7" s="44"/>
      <c r="AP7" s="87"/>
      <c r="AQ7" s="44"/>
      <c r="AR7" s="84"/>
      <c r="AS7" s="88"/>
      <c r="AT7" s="87"/>
      <c r="AU7" s="87"/>
      <c r="AV7" s="87"/>
      <c r="AW7" s="87"/>
      <c r="AX7" s="87"/>
      <c r="AY7" s="87"/>
      <c r="AZ7" s="107"/>
      <c r="BA7" s="108"/>
      <c r="BB7" s="107"/>
      <c r="BC7" s="87"/>
      <c r="BD7" s="88"/>
      <c r="BE7" s="44"/>
      <c r="BF7" s="87"/>
      <c r="BG7" s="44"/>
      <c r="BH7" s="84"/>
      <c r="BI7" s="88"/>
      <c r="BJ7" s="87"/>
      <c r="BK7" s="87"/>
      <c r="BL7" s="87"/>
      <c r="BM7" s="87"/>
      <c r="BN7" s="87"/>
      <c r="BO7" s="87"/>
      <c r="BP7" s="107"/>
      <c r="BQ7" s="108"/>
      <c r="BR7" s="107"/>
      <c r="BS7" s="87"/>
      <c r="BT7" s="88"/>
      <c r="BU7" s="44"/>
      <c r="BV7" s="87"/>
      <c r="BW7" s="44"/>
    </row>
    <row r="8" ht="16.1" customHeight="1" spans="1:75">
      <c r="A8" s="46"/>
      <c r="B8" s="46"/>
      <c r="C8" s="46"/>
      <c r="D8" s="47"/>
      <c r="E8" s="48"/>
      <c r="F8" s="48"/>
      <c r="G8" s="49"/>
      <c r="H8" s="50"/>
      <c r="I8" s="50"/>
      <c r="J8" s="50"/>
      <c r="K8" s="50"/>
      <c r="L8" s="89"/>
      <c r="M8" s="90"/>
      <c r="N8" s="91">
        <f t="shared" ref="N8:X8" si="0">SUM(N3:N6)</f>
        <v>1800</v>
      </c>
      <c r="O8" s="91">
        <f t="shared" si="0"/>
        <v>197982</v>
      </c>
      <c r="P8" s="91">
        <f t="shared" si="0"/>
        <v>29811.8918918919</v>
      </c>
      <c r="Q8" s="91">
        <f t="shared" si="0"/>
        <v>29697.3</v>
      </c>
      <c r="R8" s="91">
        <f t="shared" si="0"/>
        <v>10242</v>
      </c>
      <c r="S8" s="91">
        <f t="shared" si="0"/>
        <v>2803.77243243243</v>
      </c>
      <c r="T8" s="91">
        <f t="shared" si="0"/>
        <v>35636.76</v>
      </c>
      <c r="U8" s="109">
        <f t="shared" si="0"/>
        <v>23757.84</v>
      </c>
      <c r="V8" s="109">
        <f t="shared" si="0"/>
        <v>31677.12</v>
      </c>
      <c r="W8" s="109">
        <f t="shared" si="0"/>
        <v>163626.684324324</v>
      </c>
      <c r="X8" s="109">
        <f t="shared" si="0"/>
        <v>66970.98</v>
      </c>
      <c r="Y8" s="91">
        <f>X8/O8</f>
        <v>0.338268024365852</v>
      </c>
      <c r="Z8" s="91">
        <f>SUM(Z3:Z6)</f>
        <v>34355.3156756757</v>
      </c>
      <c r="AA8" s="91">
        <f>Z8/O8</f>
        <v>0.173527470556291</v>
      </c>
      <c r="AB8" s="89"/>
      <c r="AC8" s="91"/>
      <c r="AD8" s="91">
        <f t="shared" ref="AD8:AN8" si="1">SUM(AD3:AD6)</f>
        <v>2000</v>
      </c>
      <c r="AE8" s="91">
        <f t="shared" si="1"/>
        <v>229980</v>
      </c>
      <c r="AF8" s="91">
        <f t="shared" si="1"/>
        <v>33124.3243243243</v>
      </c>
      <c r="AG8" s="91">
        <f t="shared" si="1"/>
        <v>34497</v>
      </c>
      <c r="AH8" s="91">
        <f t="shared" si="1"/>
        <v>11380</v>
      </c>
      <c r="AI8" s="91">
        <f t="shared" si="1"/>
        <v>3115.3027027027</v>
      </c>
      <c r="AJ8" s="91">
        <f t="shared" si="1"/>
        <v>22998</v>
      </c>
      <c r="AK8" s="109">
        <f t="shared" si="1"/>
        <v>13798.8</v>
      </c>
      <c r="AL8" s="109">
        <f t="shared" si="1"/>
        <v>36796.8</v>
      </c>
      <c r="AM8" s="109">
        <f t="shared" si="1"/>
        <v>155710.227027027</v>
      </c>
      <c r="AN8" s="109">
        <f t="shared" si="1"/>
        <v>124308.2</v>
      </c>
      <c r="AO8" s="91">
        <f>AN8/AE8</f>
        <v>0.540517436298809</v>
      </c>
      <c r="AP8" s="109">
        <f>SUM(AP3:AP6)</f>
        <v>74269.772972973</v>
      </c>
      <c r="AQ8" s="91">
        <f>AP8/AE8</f>
        <v>0.322940138155374</v>
      </c>
      <c r="AR8" s="89"/>
      <c r="AS8" s="90"/>
      <c r="AT8" s="91">
        <f t="shared" ref="AT8:BD8" si="2">SUM(AT3:AT6)</f>
        <v>2800</v>
      </c>
      <c r="AU8" s="91">
        <f t="shared" si="2"/>
        <v>327572</v>
      </c>
      <c r="AV8" s="91">
        <f t="shared" si="2"/>
        <v>46374.054054054</v>
      </c>
      <c r="AW8" s="91">
        <f t="shared" si="2"/>
        <v>49135.8</v>
      </c>
      <c r="AX8" s="91">
        <f t="shared" si="2"/>
        <v>15932</v>
      </c>
      <c r="AY8" s="91">
        <f t="shared" si="2"/>
        <v>4361.42378378378</v>
      </c>
      <c r="AZ8" s="91">
        <f t="shared" si="2"/>
        <v>22930.04</v>
      </c>
      <c r="BA8" s="109">
        <f t="shared" si="2"/>
        <v>49135.8</v>
      </c>
      <c r="BB8" s="109">
        <f t="shared" si="2"/>
        <v>52411.52</v>
      </c>
      <c r="BC8" s="109">
        <f t="shared" si="2"/>
        <v>240280.637837838</v>
      </c>
      <c r="BD8" s="109">
        <f t="shared" si="2"/>
        <v>187162.64</v>
      </c>
      <c r="BE8" s="91">
        <f>BD8/AU8</f>
        <v>0.571363364390119</v>
      </c>
      <c r="BF8" s="109">
        <f>SUM(BF3:BF6)</f>
        <v>87291.3621621622</v>
      </c>
      <c r="BG8" s="91">
        <f>BF8/AU8</f>
        <v>0.26647992551916</v>
      </c>
      <c r="BH8" s="89"/>
      <c r="BI8" s="90"/>
      <c r="BJ8" s="91">
        <f t="shared" ref="BJ8:BT8" si="3">SUM(BJ3:BJ6)</f>
        <v>6000</v>
      </c>
      <c r="BK8" s="91">
        <f t="shared" si="3"/>
        <v>719940</v>
      </c>
      <c r="BL8" s="91">
        <f t="shared" si="3"/>
        <v>99372.972972973</v>
      </c>
      <c r="BM8" s="91">
        <f t="shared" si="3"/>
        <v>107991</v>
      </c>
      <c r="BN8" s="91">
        <f t="shared" si="3"/>
        <v>34140</v>
      </c>
      <c r="BO8" s="91">
        <f t="shared" si="3"/>
        <v>9345.90810810811</v>
      </c>
      <c r="BP8" s="91">
        <f t="shared" si="3"/>
        <v>39596.7</v>
      </c>
      <c r="BQ8" s="109">
        <f t="shared" si="3"/>
        <v>57595.2</v>
      </c>
      <c r="BR8" s="109">
        <f t="shared" si="3"/>
        <v>115190.4</v>
      </c>
      <c r="BS8" s="109">
        <f t="shared" si="3"/>
        <v>463232.181081081</v>
      </c>
      <c r="BT8" s="109">
        <f t="shared" si="3"/>
        <v>423021.9</v>
      </c>
      <c r="BU8" s="91">
        <f>BT8/BK8</f>
        <v>0.587579381615135</v>
      </c>
      <c r="BV8" s="109">
        <f>SUM(BV3:BV6)</f>
        <v>256707.818918919</v>
      </c>
      <c r="BW8" s="91">
        <f>BV8/BK8</f>
        <v>0.356568351416672</v>
      </c>
    </row>
    <row r="9" ht="16.1" customHeight="1" spans="1:75">
      <c r="A9" s="46"/>
      <c r="B9" s="46"/>
      <c r="C9" s="46"/>
      <c r="D9" s="47"/>
      <c r="E9" s="48"/>
      <c r="F9" s="48"/>
      <c r="G9" s="49"/>
      <c r="H9" s="50"/>
      <c r="I9" s="50"/>
      <c r="J9" s="50"/>
      <c r="K9" s="50"/>
      <c r="L9" s="89"/>
      <c r="M9" s="90"/>
      <c r="N9" s="91"/>
      <c r="O9" s="91"/>
      <c r="P9" s="91"/>
      <c r="Q9" s="91"/>
      <c r="R9" s="91"/>
      <c r="S9" s="91"/>
      <c r="T9" s="91"/>
      <c r="U9" s="109"/>
      <c r="V9" s="109"/>
      <c r="W9" s="109"/>
      <c r="X9" s="109"/>
      <c r="Y9" s="91"/>
      <c r="Z9" s="91"/>
      <c r="AA9" s="91"/>
      <c r="AB9" s="89"/>
      <c r="AC9" s="91"/>
      <c r="AD9" s="91"/>
      <c r="AE9" s="91"/>
      <c r="AF9" s="91"/>
      <c r="AG9" s="91"/>
      <c r="AH9" s="91"/>
      <c r="AI9" s="91"/>
      <c r="AJ9" s="91"/>
      <c r="AK9" s="109"/>
      <c r="AL9" s="109"/>
      <c r="AM9" s="109"/>
      <c r="AN9" s="109"/>
      <c r="AO9" s="91"/>
      <c r="AP9" s="109"/>
      <c r="AQ9" s="91"/>
      <c r="AR9" s="89"/>
      <c r="AS9" s="90"/>
      <c r="AT9" s="91"/>
      <c r="AU9" s="91"/>
      <c r="AV9" s="91"/>
      <c r="AW9" s="91"/>
      <c r="AX9" s="91"/>
      <c r="AY9" s="91"/>
      <c r="AZ9" s="91"/>
      <c r="BA9" s="109"/>
      <c r="BB9" s="109"/>
      <c r="BC9" s="109"/>
      <c r="BD9" s="109"/>
      <c r="BE9" s="91"/>
      <c r="BF9" s="109"/>
      <c r="BG9" s="91"/>
      <c r="BH9" s="89"/>
      <c r="BI9" s="90"/>
      <c r="BJ9" s="91"/>
      <c r="BK9" s="91"/>
      <c r="BL9" s="91"/>
      <c r="BM9" s="91"/>
      <c r="BN9" s="91"/>
      <c r="BO9" s="91"/>
      <c r="BP9" s="91"/>
      <c r="BQ9" s="109"/>
      <c r="BR9" s="109"/>
      <c r="BS9" s="109"/>
      <c r="BT9" s="109"/>
      <c r="BU9" s="91"/>
      <c r="BV9" s="109"/>
      <c r="BW9" s="91"/>
    </row>
    <row r="10" ht="17.95" customHeight="1" spans="1:75">
      <c r="A10" s="51" t="s">
        <v>211</v>
      </c>
      <c r="B10" s="52"/>
      <c r="C10" s="52"/>
      <c r="D10" s="53"/>
      <c r="E10" s="54"/>
      <c r="F10" s="54"/>
      <c r="G10" s="55"/>
      <c r="H10" s="56"/>
      <c r="I10" s="56"/>
      <c r="J10" s="56"/>
      <c r="K10" s="56"/>
      <c r="L10" s="92"/>
      <c r="M10" s="93"/>
      <c r="N10" s="94"/>
      <c r="O10" s="94"/>
      <c r="P10" s="94"/>
      <c r="Q10" s="94"/>
      <c r="R10" s="94"/>
      <c r="S10" s="94"/>
      <c r="T10" s="110"/>
      <c r="U10" s="111"/>
      <c r="V10" s="110"/>
      <c r="W10" s="94"/>
      <c r="X10" s="93"/>
      <c r="Y10" s="55"/>
      <c r="Z10" s="94"/>
      <c r="AA10" s="55"/>
      <c r="AB10" s="92"/>
      <c r="AC10" s="93"/>
      <c r="AD10" s="94"/>
      <c r="AE10" s="94"/>
      <c r="AF10" s="94"/>
      <c r="AG10" s="94"/>
      <c r="AH10" s="94"/>
      <c r="AI10" s="94"/>
      <c r="AJ10" s="110"/>
      <c r="AK10" s="111"/>
      <c r="AL10" s="110"/>
      <c r="AM10" s="94"/>
      <c r="AN10" s="93"/>
      <c r="AO10" s="55"/>
      <c r="AP10" s="127"/>
      <c r="AQ10" s="55"/>
      <c r="AR10" s="92"/>
      <c r="AS10" s="93"/>
      <c r="AT10" s="94"/>
      <c r="AU10" s="94"/>
      <c r="AV10" s="94"/>
      <c r="AW10" s="94"/>
      <c r="AX10" s="94"/>
      <c r="AY10" s="94"/>
      <c r="AZ10" s="110"/>
      <c r="BA10" s="111"/>
      <c r="BB10" s="110"/>
      <c r="BC10" s="94"/>
      <c r="BD10" s="93"/>
      <c r="BE10" s="55"/>
      <c r="BF10" s="127"/>
      <c r="BG10" s="55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</row>
    <row r="11" ht="17.25" customHeight="1" spans="1:75">
      <c r="A11" s="51"/>
      <c r="B11" s="52"/>
      <c r="C11" s="52"/>
      <c r="D11" s="53"/>
      <c r="E11" s="54"/>
      <c r="F11" s="54"/>
      <c r="G11" s="55"/>
      <c r="H11" s="56"/>
      <c r="I11" s="56"/>
      <c r="J11" s="56"/>
      <c r="K11" s="56"/>
      <c r="L11" s="92"/>
      <c r="M11" s="93"/>
      <c r="N11" s="94"/>
      <c r="O11" s="94"/>
      <c r="P11" s="94"/>
      <c r="Q11" s="94"/>
      <c r="R11" s="94"/>
      <c r="S11" s="94"/>
      <c r="T11" s="110"/>
      <c r="U11" s="111"/>
      <c r="V11" s="110"/>
      <c r="W11" s="94"/>
      <c r="X11" s="93"/>
      <c r="Y11" s="55"/>
      <c r="Z11" s="94"/>
      <c r="AA11" s="55"/>
      <c r="AB11" s="92"/>
      <c r="AC11" s="93"/>
      <c r="AD11" s="94"/>
      <c r="AE11" s="94"/>
      <c r="AF11" s="94"/>
      <c r="AG11" s="94"/>
      <c r="AH11" s="94"/>
      <c r="AI11" s="94"/>
      <c r="AJ11" s="110"/>
      <c r="AK11" s="111"/>
      <c r="AL11" s="110"/>
      <c r="AM11" s="94"/>
      <c r="AN11" s="93"/>
      <c r="AO11" s="55"/>
      <c r="AP11" s="127"/>
      <c r="AQ11" s="55"/>
      <c r="AR11" s="92"/>
      <c r="AS11" s="93"/>
      <c r="AT11" s="94"/>
      <c r="AU11" s="94"/>
      <c r="AV11" s="94"/>
      <c r="AW11" s="94"/>
      <c r="AX11" s="94"/>
      <c r="AY11" s="94"/>
      <c r="AZ11" s="110"/>
      <c r="BA11" s="111"/>
      <c r="BB11" s="110"/>
      <c r="BC11" s="94"/>
      <c r="BD11" s="93"/>
      <c r="BE11" s="55"/>
      <c r="BF11" s="127"/>
      <c r="BG11" s="55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</row>
    <row r="12" ht="16.7" customHeight="1" spans="1:75">
      <c r="A12" s="57" t="s">
        <v>175</v>
      </c>
      <c r="B12" s="57" t="s">
        <v>212</v>
      </c>
      <c r="C12" s="57" t="s">
        <v>213</v>
      </c>
      <c r="D12" s="57" t="s">
        <v>214</v>
      </c>
      <c r="E12" s="57" t="s">
        <v>215</v>
      </c>
      <c r="F12" s="58" t="s">
        <v>216</v>
      </c>
      <c r="G12" s="57" t="s">
        <v>188</v>
      </c>
      <c r="H12" s="59" t="s">
        <v>189</v>
      </c>
      <c r="I12" s="57" t="s">
        <v>190</v>
      </c>
      <c r="J12" s="59" t="s">
        <v>217</v>
      </c>
      <c r="K12" s="59" t="s">
        <v>218</v>
      </c>
      <c r="L12" s="57" t="s">
        <v>219</v>
      </c>
      <c r="M12" s="57" t="s">
        <v>220</v>
      </c>
      <c r="N12" s="95" t="s">
        <v>221</v>
      </c>
      <c r="O12" s="59" t="s">
        <v>222</v>
      </c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</row>
    <row r="13" ht="16.7" customHeight="1" spans="1:75">
      <c r="A13" s="60"/>
      <c r="B13" s="61"/>
      <c r="C13" s="62">
        <f>$M$3</f>
        <v>109.99</v>
      </c>
      <c r="D13" s="62">
        <f t="shared" ref="D13:D19" si="4">G13+H13+I13+J13+K13*C13+C13*N13</f>
        <v>64.7552</v>
      </c>
      <c r="E13" s="63">
        <f t="shared" ref="E13:E19" si="5">C13-D13</f>
        <v>45.2348</v>
      </c>
      <c r="F13" s="64">
        <f t="shared" ref="F13:F19" si="6">E13/C13</f>
        <v>0.411262842076552</v>
      </c>
      <c r="G13" s="62">
        <v>6.27</v>
      </c>
      <c r="H13" s="62">
        <f t="shared" ref="H13:H19" si="7">C13*L13</f>
        <v>16.4985</v>
      </c>
      <c r="I13" s="62">
        <f t="shared" ref="I13:I19" si="8">$I$3</f>
        <v>5.69</v>
      </c>
      <c r="J13" s="62">
        <f t="shared" ref="J13:J19" si="9">C13*M13</f>
        <v>7.6993</v>
      </c>
      <c r="K13" s="62">
        <v>0.16</v>
      </c>
      <c r="L13" s="97">
        <f t="shared" ref="L13:L19" si="10">$E$3</f>
        <v>0.15</v>
      </c>
      <c r="M13" s="98">
        <f t="shared" ref="M13:M19" si="11">$F$3</f>
        <v>0.07</v>
      </c>
      <c r="N13" s="97">
        <v>0.1</v>
      </c>
      <c r="O13" s="63">
        <f t="shared" ref="O13:O19" si="12">(G13+I13)/(1-L13-M13-K13)</f>
        <v>19.2903225806452</v>
      </c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</row>
    <row r="14" ht="16.7" customHeight="1" spans="1:75">
      <c r="A14" s="60"/>
      <c r="B14" s="61"/>
      <c r="C14" s="62">
        <f>$M$3</f>
        <v>109.99</v>
      </c>
      <c r="D14" s="62">
        <f t="shared" si="4"/>
        <v>59.2557</v>
      </c>
      <c r="E14" s="63">
        <f t="shared" si="5"/>
        <v>50.7343</v>
      </c>
      <c r="F14" s="64">
        <f t="shared" si="6"/>
        <v>0.461262842076552</v>
      </c>
      <c r="G14" s="62">
        <v>6.27</v>
      </c>
      <c r="H14" s="62">
        <f t="shared" si="7"/>
        <v>16.4985</v>
      </c>
      <c r="I14" s="62">
        <f t="shared" si="8"/>
        <v>5.69</v>
      </c>
      <c r="J14" s="62">
        <f t="shared" si="9"/>
        <v>7.6993</v>
      </c>
      <c r="K14" s="62">
        <v>0.16</v>
      </c>
      <c r="L14" s="97">
        <f t="shared" si="10"/>
        <v>0.15</v>
      </c>
      <c r="M14" s="98">
        <f t="shared" si="11"/>
        <v>0.07</v>
      </c>
      <c r="N14" s="97">
        <v>0.05</v>
      </c>
      <c r="O14" s="63">
        <f t="shared" si="12"/>
        <v>19.2903225806452</v>
      </c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</row>
    <row r="15" ht="16.7" customHeight="1" spans="1:75">
      <c r="A15" s="60"/>
      <c r="B15" s="61"/>
      <c r="C15" s="62">
        <f>$M$3</f>
        <v>109.99</v>
      </c>
      <c r="D15" s="62">
        <f t="shared" si="4"/>
        <v>59.2557</v>
      </c>
      <c r="E15" s="63">
        <f t="shared" si="5"/>
        <v>50.7343</v>
      </c>
      <c r="F15" s="64">
        <f t="shared" si="6"/>
        <v>0.461262842076552</v>
      </c>
      <c r="G15" s="62">
        <v>6.27</v>
      </c>
      <c r="H15" s="62">
        <f t="shared" si="7"/>
        <v>16.4985</v>
      </c>
      <c r="I15" s="62">
        <f t="shared" si="8"/>
        <v>5.69</v>
      </c>
      <c r="J15" s="62">
        <f t="shared" si="9"/>
        <v>7.6993</v>
      </c>
      <c r="K15" s="62">
        <v>0.16</v>
      </c>
      <c r="L15" s="97">
        <f t="shared" si="10"/>
        <v>0.15</v>
      </c>
      <c r="M15" s="98">
        <f t="shared" si="11"/>
        <v>0.07</v>
      </c>
      <c r="N15" s="97">
        <v>0.05</v>
      </c>
      <c r="O15" s="63">
        <f t="shared" si="12"/>
        <v>19.2903225806452</v>
      </c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</row>
    <row r="16" ht="16.7" customHeight="1" spans="1:75">
      <c r="A16" s="60"/>
      <c r="B16" s="61"/>
      <c r="C16" s="62">
        <f>$M$3</f>
        <v>109.99</v>
      </c>
      <c r="D16" s="62">
        <f t="shared" si="4"/>
        <v>59.2557</v>
      </c>
      <c r="E16" s="63">
        <f t="shared" si="5"/>
        <v>50.7343</v>
      </c>
      <c r="F16" s="64">
        <f t="shared" si="6"/>
        <v>0.461262842076552</v>
      </c>
      <c r="G16" s="62">
        <v>6.27</v>
      </c>
      <c r="H16" s="62">
        <f t="shared" si="7"/>
        <v>16.4985</v>
      </c>
      <c r="I16" s="62">
        <f t="shared" si="8"/>
        <v>5.69</v>
      </c>
      <c r="J16" s="62">
        <f t="shared" si="9"/>
        <v>7.6993</v>
      </c>
      <c r="K16" s="62">
        <v>0.16</v>
      </c>
      <c r="L16" s="97">
        <f t="shared" si="10"/>
        <v>0.15</v>
      </c>
      <c r="M16" s="98">
        <f t="shared" si="11"/>
        <v>0.07</v>
      </c>
      <c r="N16" s="97">
        <v>0.05</v>
      </c>
      <c r="O16" s="63">
        <f t="shared" si="12"/>
        <v>19.2903225806452</v>
      </c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</row>
    <row r="17" ht="16.7" customHeight="1" spans="1:75">
      <c r="A17" s="60"/>
      <c r="B17" s="61"/>
      <c r="C17" s="62">
        <f>$M$3</f>
        <v>109.99</v>
      </c>
      <c r="D17" s="62">
        <f t="shared" si="4"/>
        <v>59.2557</v>
      </c>
      <c r="E17" s="63">
        <f t="shared" si="5"/>
        <v>50.7343</v>
      </c>
      <c r="F17" s="64">
        <f t="shared" si="6"/>
        <v>0.461262842076552</v>
      </c>
      <c r="G17" s="62">
        <v>6.27</v>
      </c>
      <c r="H17" s="62">
        <f t="shared" si="7"/>
        <v>16.4985</v>
      </c>
      <c r="I17" s="62">
        <f t="shared" si="8"/>
        <v>5.69</v>
      </c>
      <c r="J17" s="62">
        <f t="shared" si="9"/>
        <v>7.6993</v>
      </c>
      <c r="K17" s="62">
        <v>0.16</v>
      </c>
      <c r="L17" s="97">
        <f t="shared" si="10"/>
        <v>0.15</v>
      </c>
      <c r="M17" s="98">
        <f t="shared" si="11"/>
        <v>0.07</v>
      </c>
      <c r="N17" s="97">
        <v>0.05</v>
      </c>
      <c r="O17" s="63">
        <f t="shared" si="12"/>
        <v>19.2903225806452</v>
      </c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</row>
    <row r="18" ht="16.7" customHeight="1" spans="1:75">
      <c r="A18" s="60"/>
      <c r="B18" s="61"/>
      <c r="C18" s="62">
        <v>116.99</v>
      </c>
      <c r="D18" s="62">
        <f t="shared" si="4"/>
        <v>56.4162</v>
      </c>
      <c r="E18" s="63">
        <f t="shared" si="5"/>
        <v>60.5738</v>
      </c>
      <c r="F18" s="64">
        <f t="shared" si="6"/>
        <v>0.517769040088896</v>
      </c>
      <c r="G18" s="62">
        <v>6.27</v>
      </c>
      <c r="H18" s="62">
        <f t="shared" si="7"/>
        <v>17.5485</v>
      </c>
      <c r="I18" s="62">
        <f t="shared" si="8"/>
        <v>5.69</v>
      </c>
      <c r="J18" s="62">
        <f t="shared" si="9"/>
        <v>8.1893</v>
      </c>
      <c r="K18" s="62">
        <v>0.16</v>
      </c>
      <c r="L18" s="97">
        <f t="shared" si="10"/>
        <v>0.15</v>
      </c>
      <c r="M18" s="98">
        <f t="shared" si="11"/>
        <v>0.07</v>
      </c>
      <c r="N18" s="97">
        <v>0</v>
      </c>
      <c r="O18" s="63">
        <f t="shared" si="12"/>
        <v>19.2903225806452</v>
      </c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</row>
    <row r="19" ht="16.7" customHeight="1" spans="1:75">
      <c r="A19" s="60"/>
      <c r="B19" s="61"/>
      <c r="C19" s="62">
        <v>116.99</v>
      </c>
      <c r="D19" s="62">
        <f t="shared" si="4"/>
        <v>56.4162</v>
      </c>
      <c r="E19" s="63">
        <f t="shared" si="5"/>
        <v>60.5738</v>
      </c>
      <c r="F19" s="64">
        <f t="shared" si="6"/>
        <v>0.517769040088896</v>
      </c>
      <c r="G19" s="62">
        <v>6.27</v>
      </c>
      <c r="H19" s="62">
        <f t="shared" si="7"/>
        <v>17.5485</v>
      </c>
      <c r="I19" s="62">
        <f t="shared" si="8"/>
        <v>5.69</v>
      </c>
      <c r="J19" s="62">
        <f t="shared" si="9"/>
        <v>8.1893</v>
      </c>
      <c r="K19" s="62">
        <v>0.16</v>
      </c>
      <c r="L19" s="97">
        <f t="shared" si="10"/>
        <v>0.15</v>
      </c>
      <c r="M19" s="98">
        <f t="shared" si="11"/>
        <v>0.07</v>
      </c>
      <c r="N19" s="97">
        <v>0</v>
      </c>
      <c r="O19" s="63">
        <f t="shared" si="12"/>
        <v>19.2903225806452</v>
      </c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</row>
    <row r="20" ht="16.7" customHeight="1" spans="1:75">
      <c r="A20" s="60"/>
      <c r="B20" s="61"/>
      <c r="C20" s="62"/>
      <c r="D20" s="62"/>
      <c r="E20" s="63"/>
      <c r="F20" s="64"/>
      <c r="G20" s="62"/>
      <c r="H20" s="62"/>
      <c r="I20" s="62"/>
      <c r="J20" s="62"/>
      <c r="K20" s="62"/>
      <c r="L20" s="97"/>
      <c r="M20" s="98"/>
      <c r="N20" s="97"/>
      <c r="O20" s="6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</row>
    <row r="21" ht="16.7" customHeight="1" spans="1:75">
      <c r="A21" s="65"/>
      <c r="B21" s="66"/>
      <c r="C21" s="67"/>
      <c r="D21" s="67"/>
      <c r="E21" s="68"/>
      <c r="F21" s="69"/>
      <c r="G21" s="67"/>
      <c r="H21" s="67"/>
      <c r="I21" s="67"/>
      <c r="J21" s="67"/>
      <c r="K21" s="67"/>
      <c r="L21" s="99"/>
      <c r="M21" s="100"/>
      <c r="N21" s="99"/>
      <c r="O21" s="6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</row>
    <row r="22" ht="13.8" spans="1:1">
      <c r="A22" s="70"/>
    </row>
    <row r="23" ht="13.8" spans="1:1">
      <c r="A23" s="70" t="s">
        <v>223</v>
      </c>
    </row>
    <row r="24" ht="32.2" customHeight="1" spans="1:75">
      <c r="A24" s="71" t="s">
        <v>224</v>
      </c>
      <c r="B24" s="72" t="s">
        <v>40</v>
      </c>
      <c r="C24" s="72" t="s">
        <v>186</v>
      </c>
      <c r="D24" s="73" t="s">
        <v>225</v>
      </c>
      <c r="E24" s="73" t="s">
        <v>188</v>
      </c>
      <c r="F24" s="73" t="s">
        <v>189</v>
      </c>
      <c r="G24" s="73" t="s">
        <v>190</v>
      </c>
      <c r="H24" s="74" t="s">
        <v>191</v>
      </c>
      <c r="I24" s="72" t="s">
        <v>138</v>
      </c>
      <c r="J24" s="72" t="s">
        <v>192</v>
      </c>
      <c r="K24" s="72" t="s">
        <v>184</v>
      </c>
      <c r="L24" s="73" t="s">
        <v>193</v>
      </c>
      <c r="M24" s="72" t="s">
        <v>200</v>
      </c>
      <c r="N24" s="72" t="s">
        <v>195</v>
      </c>
      <c r="O24" s="72" t="s">
        <v>196</v>
      </c>
      <c r="P24" s="101" t="s">
        <v>197</v>
      </c>
      <c r="Q24" s="72" t="s">
        <v>226</v>
      </c>
      <c r="R24" s="112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</row>
    <row r="25" ht="13.8" spans="1:19">
      <c r="A25" s="75" t="s">
        <v>227</v>
      </c>
      <c r="B25" s="76">
        <f>119.99</f>
        <v>119.99</v>
      </c>
      <c r="C25" s="77">
        <f t="shared" ref="C25:P25" si="13">N3</f>
        <v>450</v>
      </c>
      <c r="D25" s="77">
        <f t="shared" si="13"/>
        <v>49495.5</v>
      </c>
      <c r="E25" s="77">
        <f t="shared" si="13"/>
        <v>7452.97297297297</v>
      </c>
      <c r="F25" s="77">
        <f t="shared" si="13"/>
        <v>7424.325</v>
      </c>
      <c r="G25" s="77">
        <f t="shared" si="13"/>
        <v>2560.5</v>
      </c>
      <c r="H25" s="77">
        <f t="shared" si="13"/>
        <v>700.943108108108</v>
      </c>
      <c r="I25" s="102">
        <f t="shared" si="13"/>
        <v>8909.19</v>
      </c>
      <c r="J25" s="76">
        <f t="shared" si="13"/>
        <v>5939.46</v>
      </c>
      <c r="K25" s="102">
        <f t="shared" si="13"/>
        <v>7919.28</v>
      </c>
      <c r="L25" s="77">
        <f t="shared" si="13"/>
        <v>40906.6710810811</v>
      </c>
      <c r="M25" s="103">
        <f t="shared" si="13"/>
        <v>16742.745</v>
      </c>
      <c r="N25" s="104">
        <f t="shared" si="13"/>
        <v>0.338268024365852</v>
      </c>
      <c r="O25" s="77">
        <f t="shared" si="13"/>
        <v>8588.82891891892</v>
      </c>
      <c r="P25" s="105">
        <f t="shared" si="13"/>
        <v>0.173527470556291</v>
      </c>
      <c r="Q25" s="114">
        <f>O25</f>
        <v>8588.82891891892</v>
      </c>
      <c r="R25" s="115"/>
      <c r="S25" s="116"/>
    </row>
    <row r="26" ht="13.8" spans="1:19">
      <c r="A26" s="75" t="s">
        <v>170</v>
      </c>
      <c r="B26" s="76">
        <v>119.99</v>
      </c>
      <c r="C26" s="77">
        <v>1500</v>
      </c>
      <c r="D26" s="77">
        <f t="shared" ref="D26:P26" si="14">AE4</f>
        <v>57495</v>
      </c>
      <c r="E26" s="77">
        <f t="shared" si="14"/>
        <v>8281.08108108108</v>
      </c>
      <c r="F26" s="77">
        <f t="shared" si="14"/>
        <v>8624.25</v>
      </c>
      <c r="G26" s="77">
        <f t="shared" si="14"/>
        <v>2845</v>
      </c>
      <c r="H26" s="77">
        <f t="shared" si="14"/>
        <v>778.825675675676</v>
      </c>
      <c r="I26" s="77">
        <f t="shared" si="14"/>
        <v>5749.5</v>
      </c>
      <c r="J26" s="76">
        <f t="shared" si="14"/>
        <v>3449.7</v>
      </c>
      <c r="K26" s="77">
        <f t="shared" si="14"/>
        <v>9199.2</v>
      </c>
      <c r="L26" s="77">
        <f t="shared" si="14"/>
        <v>38927.5567567568</v>
      </c>
      <c r="M26" s="77">
        <f t="shared" si="14"/>
        <v>31077.05</v>
      </c>
      <c r="N26" s="104">
        <f t="shared" si="14"/>
        <v>0.540517436298809</v>
      </c>
      <c r="O26" s="76">
        <f t="shared" si="14"/>
        <v>18567.4432432432</v>
      </c>
      <c r="P26" s="105">
        <f t="shared" si="14"/>
        <v>0.322940138155374</v>
      </c>
      <c r="Q26" s="114">
        <f>SUM(O25:O26)</f>
        <v>27156.2721621622</v>
      </c>
      <c r="R26" s="115"/>
      <c r="S26" s="116"/>
    </row>
    <row r="27" ht="13.8" spans="1:19">
      <c r="A27" s="75" t="s">
        <v>171</v>
      </c>
      <c r="B27" s="76">
        <v>116.99</v>
      </c>
      <c r="C27" s="76">
        <v>1700</v>
      </c>
      <c r="D27" s="77">
        <f t="shared" ref="D27:P27" si="15">AU4</f>
        <v>81893</v>
      </c>
      <c r="E27" s="77">
        <f t="shared" si="15"/>
        <v>11593.5135135135</v>
      </c>
      <c r="F27" s="77">
        <f t="shared" si="15"/>
        <v>12283.95</v>
      </c>
      <c r="G27" s="77">
        <f t="shared" si="15"/>
        <v>3983</v>
      </c>
      <c r="H27" s="77">
        <f t="shared" si="15"/>
        <v>1090.35594594595</v>
      </c>
      <c r="I27" s="77">
        <f t="shared" si="15"/>
        <v>5732.51</v>
      </c>
      <c r="J27" s="77">
        <f t="shared" si="15"/>
        <v>12283.95</v>
      </c>
      <c r="K27" s="77">
        <f t="shared" si="15"/>
        <v>13102.88</v>
      </c>
      <c r="L27" s="77">
        <f t="shared" si="15"/>
        <v>60070.1594594594</v>
      </c>
      <c r="M27" s="77">
        <f t="shared" si="15"/>
        <v>46790.66</v>
      </c>
      <c r="N27" s="104">
        <f t="shared" si="15"/>
        <v>0.571363364390119</v>
      </c>
      <c r="O27" s="77">
        <f t="shared" si="15"/>
        <v>21822.8405405406</v>
      </c>
      <c r="P27" s="105">
        <f t="shared" si="15"/>
        <v>0.26647992551916</v>
      </c>
      <c r="Q27" s="114">
        <f>SUM(O25:O27)</f>
        <v>48979.1127027027</v>
      </c>
      <c r="R27" s="115"/>
      <c r="S27" s="116"/>
    </row>
    <row r="28" ht="13.8" spans="1:19">
      <c r="A28" s="75" t="s">
        <v>172</v>
      </c>
      <c r="B28" s="76">
        <v>116.99</v>
      </c>
      <c r="C28" s="77">
        <v>1500</v>
      </c>
      <c r="D28" s="76">
        <v>25485</v>
      </c>
      <c r="E28" s="76">
        <v>8430</v>
      </c>
      <c r="F28" s="76">
        <v>3822.75</v>
      </c>
      <c r="G28" s="76">
        <v>2805</v>
      </c>
      <c r="H28" s="76">
        <v>561.75</v>
      </c>
      <c r="I28" s="76">
        <v>1401.675</v>
      </c>
      <c r="J28" s="76">
        <v>2038.8</v>
      </c>
      <c r="K28" s="76">
        <v>4247.5</v>
      </c>
      <c r="L28" s="76">
        <v>23307.475</v>
      </c>
      <c r="M28" s="76">
        <v>13208.075</v>
      </c>
      <c r="N28" s="104">
        <v>0.518268589366294</v>
      </c>
      <c r="O28" s="76">
        <v>2177.525</v>
      </c>
      <c r="P28" s="105">
        <v>0.0854433980773003</v>
      </c>
      <c r="Q28" s="114">
        <f t="shared" ref="Q28:Q34" si="16">SUM(O25:O28)</f>
        <v>51156.6377027027</v>
      </c>
      <c r="R28" s="117"/>
      <c r="S28" s="116"/>
    </row>
    <row r="29" ht="13.8" spans="1:19">
      <c r="A29" s="75" t="s">
        <v>228</v>
      </c>
      <c r="B29" s="76">
        <v>119.99</v>
      </c>
      <c r="C29" s="77">
        <v>1500</v>
      </c>
      <c r="D29" s="76">
        <v>25485</v>
      </c>
      <c r="E29" s="76">
        <v>8430</v>
      </c>
      <c r="F29" s="76">
        <v>3822.75</v>
      </c>
      <c r="G29" s="76">
        <v>2805</v>
      </c>
      <c r="H29" s="76">
        <v>561.75</v>
      </c>
      <c r="I29" s="76">
        <v>1401.675</v>
      </c>
      <c r="J29" s="76">
        <v>2038.8</v>
      </c>
      <c r="K29" s="76">
        <v>4247.5</v>
      </c>
      <c r="L29" s="76">
        <v>23307.475</v>
      </c>
      <c r="M29" s="76">
        <v>13208.075</v>
      </c>
      <c r="N29" s="104">
        <v>0.518268589366294</v>
      </c>
      <c r="O29" s="76">
        <v>2177.525</v>
      </c>
      <c r="P29" s="105">
        <v>0.0854433980773003</v>
      </c>
      <c r="Q29" s="114">
        <f t="shared" si="16"/>
        <v>44745.3337837838</v>
      </c>
      <c r="R29" s="117"/>
      <c r="S29" s="116"/>
    </row>
    <row r="30" ht="13.8" spans="1:19">
      <c r="A30" s="78" t="s">
        <v>229</v>
      </c>
      <c r="B30" s="76">
        <v>119.99</v>
      </c>
      <c r="C30" s="77">
        <v>1500</v>
      </c>
      <c r="D30" s="76">
        <v>25485</v>
      </c>
      <c r="E30" s="76">
        <v>8430</v>
      </c>
      <c r="F30" s="76">
        <v>3822.75</v>
      </c>
      <c r="G30" s="76">
        <v>2805</v>
      </c>
      <c r="H30" s="76">
        <v>561.75</v>
      </c>
      <c r="I30" s="76">
        <v>1401.675</v>
      </c>
      <c r="J30" s="76">
        <v>2038.8</v>
      </c>
      <c r="K30" s="76">
        <v>4247.5</v>
      </c>
      <c r="L30" s="76">
        <v>23307.475</v>
      </c>
      <c r="M30" s="76">
        <v>13208.075</v>
      </c>
      <c r="N30" s="104">
        <v>0.518268589366294</v>
      </c>
      <c r="O30" s="76">
        <v>2177.525</v>
      </c>
      <c r="P30" s="105">
        <v>0.0854433980773003</v>
      </c>
      <c r="Q30" s="114">
        <f t="shared" si="16"/>
        <v>28355.4155405406</v>
      </c>
      <c r="R30" s="117"/>
      <c r="S30" s="116"/>
    </row>
    <row r="31" ht="13.8" spans="1:19">
      <c r="A31" s="75" t="s">
        <v>230</v>
      </c>
      <c r="B31" s="76">
        <v>119.99</v>
      </c>
      <c r="C31" s="77">
        <v>1500</v>
      </c>
      <c r="D31" s="76">
        <v>25485</v>
      </c>
      <c r="E31" s="76">
        <v>8430</v>
      </c>
      <c r="F31" s="76">
        <v>3822.75</v>
      </c>
      <c r="G31" s="76">
        <v>2805</v>
      </c>
      <c r="H31" s="76">
        <v>561.75</v>
      </c>
      <c r="I31" s="76">
        <v>1401.675</v>
      </c>
      <c r="J31" s="76">
        <v>2038.8</v>
      </c>
      <c r="K31" s="76">
        <v>4247.5</v>
      </c>
      <c r="L31" s="76">
        <v>23307.475</v>
      </c>
      <c r="M31" s="76">
        <v>13208.075</v>
      </c>
      <c r="N31" s="104">
        <v>0.518268589366294</v>
      </c>
      <c r="O31" s="76">
        <v>2177.525</v>
      </c>
      <c r="P31" s="105">
        <v>0.0854433980773003</v>
      </c>
      <c r="Q31" s="114">
        <f t="shared" si="16"/>
        <v>8710.1</v>
      </c>
      <c r="R31" s="117"/>
      <c r="S31" s="116"/>
    </row>
    <row r="32" ht="13.8" spans="1:19">
      <c r="A32" s="75" t="s">
        <v>231</v>
      </c>
      <c r="B32" s="76">
        <v>119.99</v>
      </c>
      <c r="C32" s="77">
        <v>1500</v>
      </c>
      <c r="D32" s="76">
        <v>25485</v>
      </c>
      <c r="E32" s="76">
        <v>8430</v>
      </c>
      <c r="F32" s="76">
        <v>3822.75</v>
      </c>
      <c r="G32" s="76">
        <v>2805</v>
      </c>
      <c r="H32" s="76">
        <v>561.75</v>
      </c>
      <c r="I32" s="76">
        <v>1401.675</v>
      </c>
      <c r="J32" s="76">
        <v>2038.8</v>
      </c>
      <c r="K32" s="76">
        <v>4247.5</v>
      </c>
      <c r="L32" s="76">
        <v>23307.475</v>
      </c>
      <c r="M32" s="76">
        <v>13208.075</v>
      </c>
      <c r="N32" s="104">
        <v>0.518268589366294</v>
      </c>
      <c r="O32" s="76">
        <v>2177.525</v>
      </c>
      <c r="P32" s="105">
        <v>0.0854433980773003</v>
      </c>
      <c r="Q32" s="114">
        <f t="shared" si="16"/>
        <v>8710.1</v>
      </c>
      <c r="R32" s="117"/>
      <c r="S32" s="116"/>
    </row>
    <row r="33" ht="13.8" spans="1:19">
      <c r="A33" s="75" t="s">
        <v>232</v>
      </c>
      <c r="B33" s="76">
        <v>119.99</v>
      </c>
      <c r="C33" s="77">
        <v>1500</v>
      </c>
      <c r="D33" s="76">
        <v>25485</v>
      </c>
      <c r="E33" s="76">
        <v>8430</v>
      </c>
      <c r="F33" s="76">
        <v>3822.75</v>
      </c>
      <c r="G33" s="76">
        <v>2805</v>
      </c>
      <c r="H33" s="76">
        <v>561.75</v>
      </c>
      <c r="I33" s="76">
        <v>1401.675</v>
      </c>
      <c r="J33" s="76">
        <v>2038.8</v>
      </c>
      <c r="K33" s="76">
        <v>4247.5</v>
      </c>
      <c r="L33" s="76">
        <v>23307.475</v>
      </c>
      <c r="M33" s="76">
        <v>13208.075</v>
      </c>
      <c r="N33" s="104">
        <v>0.518268589366294</v>
      </c>
      <c r="O33" s="76">
        <v>2177.525</v>
      </c>
      <c r="P33" s="105">
        <v>0.0854433980773003</v>
      </c>
      <c r="Q33" s="114">
        <f t="shared" si="16"/>
        <v>8710.1</v>
      </c>
      <c r="R33" s="117"/>
      <c r="S33" s="116"/>
    </row>
    <row r="34" ht="13.8" spans="1:19">
      <c r="A34" s="75" t="s">
        <v>233</v>
      </c>
      <c r="B34" s="76">
        <v>119.99</v>
      </c>
      <c r="C34" s="77">
        <v>1500</v>
      </c>
      <c r="D34" s="76">
        <v>25485</v>
      </c>
      <c r="E34" s="76">
        <v>8430</v>
      </c>
      <c r="F34" s="76">
        <v>3822.75</v>
      </c>
      <c r="G34" s="76">
        <v>2805</v>
      </c>
      <c r="H34" s="76">
        <v>561.75</v>
      </c>
      <c r="I34" s="76">
        <v>1401.675</v>
      </c>
      <c r="J34" s="76">
        <v>2038.8</v>
      </c>
      <c r="K34" s="76">
        <v>4247.5</v>
      </c>
      <c r="L34" s="76">
        <v>23307.475</v>
      </c>
      <c r="M34" s="76">
        <v>13208.075</v>
      </c>
      <c r="N34" s="104">
        <v>0.518268589366294</v>
      </c>
      <c r="O34" s="76">
        <v>2177.525</v>
      </c>
      <c r="P34" s="105">
        <v>0.0854433980773003</v>
      </c>
      <c r="Q34" s="114">
        <f t="shared" si="16"/>
        <v>8710.1</v>
      </c>
      <c r="R34" s="117"/>
      <c r="S34" s="116"/>
    </row>
  </sheetData>
  <mergeCells count="5">
    <mergeCell ref="A1:J1"/>
    <mergeCell ref="L1:N1"/>
    <mergeCell ref="AB1:AD1"/>
    <mergeCell ref="AR1:AS1"/>
    <mergeCell ref="BH1:BI1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"/>
  <sheetViews>
    <sheetView workbookViewId="0">
      <selection activeCell="L9" sqref="L2:L9"/>
    </sheetView>
  </sheetViews>
  <sheetFormatPr defaultColWidth="17" defaultRowHeight="11.4"/>
  <cols>
    <col min="1" max="1" width="14.9791666666667" customWidth="1"/>
    <col min="2" max="2" width="21.625" customWidth="1"/>
    <col min="3" max="3" width="14.9791666666667" customWidth="1"/>
    <col min="4" max="4" width="15.9895833333333" customWidth="1"/>
    <col min="5" max="5" width="14.5729166666667" customWidth="1"/>
    <col min="6" max="6" width="20.2083333333333" customWidth="1"/>
    <col min="7" max="7" width="17.3854166666667" customWidth="1"/>
    <col min="8" max="8" width="25.65625" customWidth="1"/>
    <col min="9" max="9" width="27.0625" customWidth="1"/>
    <col min="10" max="10" width="19.2083333333333" customWidth="1"/>
    <col min="11" max="21" width="14.9791666666667" customWidth="1"/>
  </cols>
  <sheetData>
    <row r="1" ht="15" spans="1:21">
      <c r="A1" s="16" t="s">
        <v>234</v>
      </c>
      <c r="B1" s="16"/>
      <c r="C1" s="16"/>
      <c r="D1" s="16" t="s">
        <v>235</v>
      </c>
      <c r="E1" s="16"/>
      <c r="F1" s="16"/>
      <c r="G1" s="16"/>
      <c r="H1" s="16" t="s">
        <v>236</v>
      </c>
      <c r="I1" s="16"/>
      <c r="J1" s="16"/>
      <c r="K1" s="16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ht="15" spans="1:21">
      <c r="A2" s="17" t="s">
        <v>237</v>
      </c>
      <c r="B2" s="17" t="s">
        <v>238</v>
      </c>
      <c r="C2" s="17" t="s">
        <v>239</v>
      </c>
      <c r="D2" s="17" t="s">
        <v>240</v>
      </c>
      <c r="E2" s="17" t="s">
        <v>241</v>
      </c>
      <c r="F2" s="17" t="s">
        <v>242</v>
      </c>
      <c r="G2" s="17" t="s">
        <v>243</v>
      </c>
      <c r="H2" s="17" t="s">
        <v>244</v>
      </c>
      <c r="I2" s="17" t="s">
        <v>245</v>
      </c>
      <c r="J2" s="17" t="s">
        <v>246</v>
      </c>
      <c r="K2" s="17" t="s">
        <v>247</v>
      </c>
      <c r="L2" s="29"/>
      <c r="M2" s="17"/>
      <c r="N2" s="17"/>
      <c r="O2" s="17"/>
      <c r="P2" s="17"/>
      <c r="Q2" s="17"/>
      <c r="R2" s="17"/>
      <c r="S2" s="17"/>
      <c r="T2" s="17"/>
      <c r="U2" s="17"/>
    </row>
    <row r="3" ht="15" spans="1:21">
      <c r="A3" s="18" t="s">
        <v>248</v>
      </c>
      <c r="B3" s="18" t="s">
        <v>249</v>
      </c>
      <c r="C3" s="18">
        <v>5000</v>
      </c>
      <c r="D3" s="18" t="s">
        <v>250</v>
      </c>
      <c r="E3" s="18">
        <v>4988</v>
      </c>
      <c r="F3" s="18" t="s">
        <v>251</v>
      </c>
      <c r="G3" s="18">
        <v>1000</v>
      </c>
      <c r="H3" s="19" t="s">
        <v>252</v>
      </c>
      <c r="I3" s="19" t="s">
        <v>209</v>
      </c>
      <c r="J3" s="19">
        <v>2490</v>
      </c>
      <c r="K3" s="17" t="s">
        <v>253</v>
      </c>
      <c r="L3" s="29"/>
      <c r="M3" s="17"/>
      <c r="N3" s="17"/>
      <c r="O3" s="17"/>
      <c r="P3" s="17"/>
      <c r="Q3" s="17"/>
      <c r="R3" s="17"/>
      <c r="S3" s="17"/>
      <c r="T3" s="17"/>
      <c r="U3" s="17"/>
    </row>
    <row r="4" ht="15" spans="1:21">
      <c r="A4" s="18"/>
      <c r="B4" s="18"/>
      <c r="C4" s="18"/>
      <c r="D4" s="18"/>
      <c r="E4" s="18"/>
      <c r="F4" s="18"/>
      <c r="G4" s="18"/>
      <c r="H4" s="20" t="s">
        <v>254</v>
      </c>
      <c r="I4" s="20" t="s">
        <v>255</v>
      </c>
      <c r="J4" s="20">
        <v>1200</v>
      </c>
      <c r="K4" s="17" t="s">
        <v>256</v>
      </c>
      <c r="L4" s="29"/>
      <c r="M4" s="17"/>
      <c r="N4" s="17"/>
      <c r="O4" s="17"/>
      <c r="P4" s="17"/>
      <c r="Q4" s="17"/>
      <c r="R4" s="17"/>
      <c r="S4" s="17"/>
      <c r="T4" s="17"/>
      <c r="U4" s="17"/>
    </row>
    <row r="5" ht="15" spans="1:21">
      <c r="A5" s="18"/>
      <c r="B5" s="18"/>
      <c r="C5" s="18"/>
      <c r="D5" s="18"/>
      <c r="E5" s="18"/>
      <c r="F5" s="18"/>
      <c r="G5" s="18"/>
      <c r="H5" s="21" t="s">
        <v>257</v>
      </c>
      <c r="I5" s="21" t="s">
        <v>258</v>
      </c>
      <c r="J5" s="21">
        <v>1310</v>
      </c>
      <c r="K5" s="17" t="s">
        <v>253</v>
      </c>
      <c r="L5" s="29"/>
      <c r="M5" s="17"/>
      <c r="N5" s="17"/>
      <c r="O5" s="17"/>
      <c r="P5" s="17"/>
      <c r="Q5" s="17"/>
      <c r="R5" s="17"/>
      <c r="S5" s="17"/>
      <c r="T5" s="17"/>
      <c r="U5" s="17"/>
    </row>
    <row r="6" ht="15" spans="1:21">
      <c r="A6" s="18" t="s">
        <v>259</v>
      </c>
      <c r="B6" s="18" t="s">
        <v>260</v>
      </c>
      <c r="C6" s="18">
        <v>1500</v>
      </c>
      <c r="D6" s="18" t="s">
        <v>261</v>
      </c>
      <c r="E6" s="18">
        <v>1500</v>
      </c>
      <c r="F6" s="18" t="s">
        <v>262</v>
      </c>
      <c r="G6" s="18">
        <v>0</v>
      </c>
      <c r="H6" s="22" t="s">
        <v>263</v>
      </c>
      <c r="I6" s="22" t="s">
        <v>258</v>
      </c>
      <c r="J6" s="30">
        <v>1500</v>
      </c>
      <c r="K6" s="17"/>
      <c r="L6" s="29"/>
      <c r="M6" s="17"/>
      <c r="N6" s="17"/>
      <c r="O6" s="17"/>
      <c r="P6" s="17"/>
      <c r="Q6" s="17"/>
      <c r="R6" s="17"/>
      <c r="S6" s="17"/>
      <c r="T6" s="17"/>
      <c r="U6" s="17"/>
    </row>
    <row r="7" ht="15" spans="1:21">
      <c r="A7" s="18" t="s">
        <v>264</v>
      </c>
      <c r="B7" s="18" t="s">
        <v>265</v>
      </c>
      <c r="C7" s="18">
        <v>1980</v>
      </c>
      <c r="D7" s="18" t="s">
        <v>266</v>
      </c>
      <c r="E7" s="18">
        <v>1980</v>
      </c>
      <c r="F7" s="18" t="s">
        <v>262</v>
      </c>
      <c r="G7" s="18">
        <v>0</v>
      </c>
      <c r="H7" s="22" t="s">
        <v>267</v>
      </c>
      <c r="I7" s="22" t="s">
        <v>258</v>
      </c>
      <c r="J7" s="30">
        <v>1980</v>
      </c>
      <c r="K7" s="31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5" spans="1:21">
      <c r="A8" s="18" t="s">
        <v>268</v>
      </c>
      <c r="B8" s="18" t="s">
        <v>269</v>
      </c>
      <c r="C8" s="18">
        <v>2100</v>
      </c>
      <c r="D8" s="18" t="s">
        <v>270</v>
      </c>
      <c r="E8" s="18">
        <v>2100</v>
      </c>
      <c r="F8" s="18" t="s">
        <v>262</v>
      </c>
      <c r="G8" s="18">
        <v>0</v>
      </c>
      <c r="H8" s="23" t="s">
        <v>271</v>
      </c>
      <c r="I8" s="23" t="s">
        <v>209</v>
      </c>
      <c r="J8" s="32">
        <v>2100</v>
      </c>
      <c r="K8" s="31" t="s">
        <v>253</v>
      </c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15" spans="1:21">
      <c r="A9" s="18" t="s">
        <v>272</v>
      </c>
      <c r="B9" s="18" t="s">
        <v>273</v>
      </c>
      <c r="C9" s="18">
        <v>3000</v>
      </c>
      <c r="D9" s="18" t="s">
        <v>274</v>
      </c>
      <c r="E9" s="18">
        <v>3000</v>
      </c>
      <c r="F9" s="18" t="s">
        <v>262</v>
      </c>
      <c r="G9" s="18">
        <v>0</v>
      </c>
      <c r="H9" s="23" t="s">
        <v>275</v>
      </c>
      <c r="I9" s="23" t="s">
        <v>209</v>
      </c>
      <c r="J9" s="32">
        <v>3000</v>
      </c>
      <c r="K9" s="31" t="s">
        <v>253</v>
      </c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15" spans="1:21">
      <c r="A10" s="18"/>
      <c r="B10" s="18"/>
      <c r="C10" s="18"/>
      <c r="D10" s="18"/>
      <c r="E10" s="18"/>
      <c r="F10" s="18"/>
      <c r="G10" s="18"/>
      <c r="H10" s="23"/>
      <c r="I10" s="23"/>
      <c r="J10" s="32"/>
      <c r="K10" s="31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15" spans="1:21">
      <c r="A11" s="24" t="s">
        <v>276</v>
      </c>
      <c r="B11" s="17"/>
      <c r="C11" s="17"/>
      <c r="D11" s="25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ht="15" spans="1:21">
      <c r="A12" s="24" t="s">
        <v>277</v>
      </c>
      <c r="B12" s="17"/>
      <c r="C12" s="17"/>
      <c r="D12" s="25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25.35" customHeight="1" spans="1:21">
      <c r="A13" s="17"/>
      <c r="B13" s="17"/>
      <c r="C13" s="26" t="s">
        <v>278</v>
      </c>
      <c r="D13" s="25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25.35" customHeight="1" spans="1:21">
      <c r="A14" s="17"/>
      <c r="B14" s="17"/>
      <c r="C14" s="26" t="s">
        <v>279</v>
      </c>
      <c r="D14" s="25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25.35" customHeight="1" spans="1:21">
      <c r="A15" s="17"/>
      <c r="B15" s="17"/>
      <c r="C15" s="26" t="s">
        <v>280</v>
      </c>
      <c r="D15" s="25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25.35" customHeight="1" spans="1:21">
      <c r="A16" s="17"/>
      <c r="B16" s="17"/>
      <c r="C16" s="26" t="s">
        <v>281</v>
      </c>
      <c r="D16" s="25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15" spans="1:21">
      <c r="A17" s="17"/>
      <c r="B17" s="17"/>
      <c r="C17" s="17"/>
      <c r="D17" s="17"/>
      <c r="E17" s="17"/>
      <c r="F17" s="17"/>
      <c r="G17" s="17"/>
      <c r="H17" s="27"/>
      <c r="I17" s="27"/>
      <c r="J17" s="2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15" spans="1:21">
      <c r="A18" s="17"/>
      <c r="B18" s="17"/>
      <c r="C18" s="17"/>
      <c r="D18" s="17"/>
      <c r="E18" s="17"/>
      <c r="F18" s="17"/>
      <c r="G18" s="17"/>
      <c r="H18" s="27"/>
      <c r="I18" s="27"/>
      <c r="J18" s="2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15" spans="1:21">
      <c r="A19" s="17"/>
      <c r="B19" s="17"/>
      <c r="C19" s="17"/>
      <c r="D19" s="17"/>
      <c r="E19" s="17"/>
      <c r="F19" s="17"/>
      <c r="G19" s="17"/>
      <c r="H19" s="27"/>
      <c r="I19" s="27"/>
      <c r="J19" s="2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15" spans="1:21">
      <c r="A20" s="17"/>
      <c r="B20" s="17"/>
      <c r="C20" s="17"/>
      <c r="D20" s="17"/>
      <c r="E20" s="17"/>
      <c r="F20" s="17"/>
      <c r="G20" s="17"/>
      <c r="H20" s="27"/>
      <c r="I20" s="27"/>
      <c r="J20" s="2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15" spans="1:21">
      <c r="A21" s="17"/>
      <c r="B21" s="17"/>
      <c r="C21" s="17"/>
      <c r="D21" s="17"/>
      <c r="E21" s="17"/>
      <c r="F21" s="17"/>
      <c r="G21" s="17"/>
      <c r="H21" s="27"/>
      <c r="I21" s="27"/>
      <c r="J21" s="2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15" spans="1:21">
      <c r="A22" s="17"/>
      <c r="B22" s="17"/>
      <c r="C22" s="17"/>
      <c r="D22" s="17"/>
      <c r="E22" s="17"/>
      <c r="F22" s="17"/>
      <c r="G22" s="17"/>
      <c r="H22" s="27"/>
      <c r="I22" s="27"/>
      <c r="J22" s="2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15" spans="1:21">
      <c r="A23" s="17"/>
      <c r="B23" s="17"/>
      <c r="C23" s="17"/>
      <c r="D23" s="17"/>
      <c r="E23" s="17"/>
      <c r="F23" s="17"/>
      <c r="G23" s="17"/>
      <c r="H23" s="27"/>
      <c r="I23" s="27"/>
      <c r="J23" s="2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15" spans="1:2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15" spans="1:2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15" spans="1:21">
      <c r="A26" s="17"/>
      <c r="B26" s="17"/>
      <c r="C26" s="17"/>
      <c r="D26" s="28"/>
      <c r="E26" s="28"/>
      <c r="F26" s="28"/>
      <c r="G26" s="28"/>
      <c r="H26" s="28"/>
      <c r="I26" s="28"/>
      <c r="J26" s="28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15" spans="1:2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15" spans="1:2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15" spans="1:2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15" spans="1:2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15" spans="1:2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15" spans="1:2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15" spans="1:2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15" spans="1:2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15" spans="1:2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15" spans="1:2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15" spans="1:2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15" spans="1:2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15" spans="1:2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15" spans="1:2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15" spans="1:2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15" spans="1:2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15" spans="1:2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15" spans="1:2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15" spans="1:2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15" spans="1:2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15" spans="1:2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15" spans="1:2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15" spans="1:2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15" spans="1:2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15" spans="1:2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15" spans="1:2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15" spans="1:2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15" spans="1:2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15" spans="1:2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15" spans="1:2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15" spans="1:2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15" spans="1:2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15" spans="1:2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15" spans="1:2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15" spans="1:2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15" spans="1:2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15" spans="1:2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15" spans="1:2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15" spans="1:2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15" spans="1:2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15" spans="1:2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15" spans="1:2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" spans="1:2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15" spans="1:2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15" spans="1:2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15" spans="1:2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15" spans="1:2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15" spans="1:2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15" spans="1:2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5" spans="1:2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15" spans="1:2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15" spans="1:2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15" spans="1:2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15" spans="1:2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15" spans="1:2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15" spans="1:2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15" spans="1:2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15" spans="1:2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15" spans="1:2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15" spans="1:2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15" spans="1:2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15" spans="1:2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15" spans="1:2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15" spans="1:2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15" spans="1:2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15" spans="1:2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15" spans="1:2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15" spans="1:2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15" spans="1:2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15" spans="1:2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15" spans="1:2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15" spans="1:2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15" spans="1:2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15" spans="1:2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15" spans="1:2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15" spans="1:2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15" spans="1:2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ht="15" spans="1:2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ht="15" spans="1:2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ht="15" spans="1:2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ht="15" spans="1:2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ht="15" spans="1:2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15" spans="1:2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ht="15" spans="1:2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ht="15" spans="1:2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ht="15" spans="1:2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15" spans="1:2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ht="15" spans="1:2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ht="15" spans="1:2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ht="15" spans="1:2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15" spans="1:2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ht="15" spans="1:2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ht="15" spans="1:2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ht="15" spans="1:2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ht="15" spans="1: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ht="15" spans="1:2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ht="15" spans="1:2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ht="15" spans="1:2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15" spans="1:2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ht="15" spans="1:2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ht="15" spans="1:2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ht="15" spans="1:2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ht="15" spans="1:2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ht="15" spans="1:2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ht="15" spans="1:2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15" spans="1:2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t="15" spans="1:2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ht="15" spans="1:2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ht="15" spans="1:2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15" spans="1:2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ht="15" spans="1:2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ht="15" spans="1:2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ht="15" spans="1:2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ht="15" spans="1:2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ht="15" spans="1:2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ht="15" spans="1:2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ht="15" spans="1:2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ht="15" spans="1:2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ht="15" spans="1:2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ht="15" spans="1:2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ht="15" spans="1:2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ht="15" spans="1:2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ht="15" spans="1:2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ht="15" spans="1:2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ht="15" spans="1:2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ht="15" spans="1:2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ht="15" spans="1:2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ht="15" spans="1:2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ht="15" spans="1:2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ht="15" spans="1:2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ht="15" spans="1:2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ht="15" spans="1:2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ht="15" spans="1:2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ht="15" spans="1:2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ht="15" spans="1:2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ht="15" spans="1:2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ht="15" spans="1:2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ht="15" spans="1:2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ht="15" spans="1:2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ht="15" spans="1:2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ht="15" spans="1:2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ht="15" spans="1:2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ht="15" spans="1:2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ht="15" spans="1:2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ht="15" spans="1:2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ht="15" spans="1:2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ht="15" spans="1:2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ht="15" spans="1:2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ht="15" spans="1:2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ht="15" spans="1:2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ht="15" spans="1:2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15" spans="1:2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ht="15" spans="1:2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ht="15" spans="1:2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ht="15" spans="1:2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ht="15" spans="1:2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ht="15" spans="1:2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ht="15" spans="1:2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ht="15" spans="1:2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ht="15" spans="1:2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ht="15" spans="1:2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ht="15" spans="1:2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ht="15" spans="1:2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ht="15" spans="1:2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ht="15" spans="1:2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ht="15" spans="1:2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ht="15" spans="1:2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ht="15" spans="1:2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ht="15" spans="1:2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ht="15" spans="1:2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ht="15" spans="1:2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ht="15" spans="1:2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ht="15" spans="1:2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ht="15" spans="1:2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</sheetData>
  <mergeCells count="10">
    <mergeCell ref="A1:C1"/>
    <mergeCell ref="D1:G1"/>
    <mergeCell ref="H1:K1"/>
    <mergeCell ref="A3:A5"/>
    <mergeCell ref="B3:B5"/>
    <mergeCell ref="C3:C5"/>
    <mergeCell ref="D3:D5"/>
    <mergeCell ref="E3:E5"/>
    <mergeCell ref="F3:F5"/>
    <mergeCell ref="G3:G5"/>
  </mergeCells>
  <dataValidations count="1">
    <dataValidation type="list" allowBlank="1" showInputMessage="1" showErrorMessage="1" error="请输入一个列表中的值" sqref="F3:F10">
      <formula1>"是,否"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8"/>
  <sheetViews>
    <sheetView workbookViewId="0">
      <selection activeCell="G27" sqref="G27"/>
    </sheetView>
  </sheetViews>
  <sheetFormatPr defaultColWidth="17" defaultRowHeight="11.4"/>
  <cols>
    <col min="1" max="1" width="11.5208333333333" customWidth="1"/>
    <col min="2" max="63" width="16.59375" customWidth="1"/>
  </cols>
  <sheetData>
    <row r="1" ht="13.8" spans="1:63">
      <c r="A1" s="1" t="s">
        <v>282</v>
      </c>
      <c r="B1" s="2" t="s">
        <v>283</v>
      </c>
      <c r="C1" s="2" t="s">
        <v>39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  <c r="K1" s="2" t="s">
        <v>291</v>
      </c>
      <c r="L1" s="2" t="s">
        <v>292</v>
      </c>
      <c r="M1" s="2" t="s">
        <v>293</v>
      </c>
      <c r="N1" s="2" t="s">
        <v>294</v>
      </c>
      <c r="O1" s="2" t="s">
        <v>295</v>
      </c>
      <c r="P1" s="2" t="s">
        <v>296</v>
      </c>
      <c r="Q1" s="2" t="s">
        <v>297</v>
      </c>
      <c r="R1" s="2" t="s">
        <v>298</v>
      </c>
      <c r="S1" s="2" t="s">
        <v>299</v>
      </c>
      <c r="T1" s="2" t="s">
        <v>300</v>
      </c>
      <c r="U1" s="2" t="s">
        <v>186</v>
      </c>
      <c r="V1" s="2" t="s">
        <v>301</v>
      </c>
      <c r="W1" s="2" t="s">
        <v>302</v>
      </c>
      <c r="X1" s="2" t="s">
        <v>303</v>
      </c>
      <c r="Y1" s="2" t="s">
        <v>304</v>
      </c>
      <c r="Z1" s="2" t="s">
        <v>305</v>
      </c>
      <c r="AA1" s="2" t="s">
        <v>306</v>
      </c>
      <c r="AB1" s="2" t="s">
        <v>307</v>
      </c>
      <c r="AC1" s="2" t="s">
        <v>308</v>
      </c>
      <c r="AD1" s="2" t="s">
        <v>309</v>
      </c>
      <c r="AE1" s="2" t="s">
        <v>310</v>
      </c>
      <c r="AF1" s="2" t="s">
        <v>311</v>
      </c>
      <c r="AG1" s="2" t="s">
        <v>29</v>
      </c>
      <c r="AH1" s="2" t="s">
        <v>312</v>
      </c>
      <c r="AI1" s="2" t="s">
        <v>313</v>
      </c>
      <c r="AJ1" s="2" t="s">
        <v>314</v>
      </c>
      <c r="AK1" s="2" t="s">
        <v>315</v>
      </c>
      <c r="AL1" s="2" t="s">
        <v>316</v>
      </c>
      <c r="AM1" s="2" t="s">
        <v>317</v>
      </c>
      <c r="AN1" s="2" t="s">
        <v>318</v>
      </c>
      <c r="AO1" s="2" t="s">
        <v>319</v>
      </c>
      <c r="AP1" s="2" t="s">
        <v>320</v>
      </c>
      <c r="AQ1" s="2" t="s">
        <v>321</v>
      </c>
      <c r="AR1" s="2" t="s">
        <v>322</v>
      </c>
      <c r="AS1" s="2" t="s">
        <v>323</v>
      </c>
      <c r="AT1" s="2" t="s">
        <v>324</v>
      </c>
      <c r="AU1" s="2" t="s">
        <v>325</v>
      </c>
      <c r="AV1" s="2" t="s">
        <v>326</v>
      </c>
      <c r="AW1" s="2" t="s">
        <v>327</v>
      </c>
      <c r="AX1" s="2" t="s">
        <v>328</v>
      </c>
      <c r="AY1" s="2" t="s">
        <v>329</v>
      </c>
      <c r="AZ1" s="2" t="s">
        <v>330</v>
      </c>
      <c r="BA1" s="2" t="s">
        <v>331</v>
      </c>
      <c r="BB1" s="2" t="s">
        <v>332</v>
      </c>
      <c r="BC1" s="2" t="s">
        <v>333</v>
      </c>
      <c r="BD1" s="2" t="s">
        <v>334</v>
      </c>
      <c r="BE1" s="2" t="s">
        <v>335</v>
      </c>
      <c r="BF1" s="2" t="s">
        <v>336</v>
      </c>
      <c r="BG1" s="2" t="s">
        <v>336</v>
      </c>
      <c r="BH1" s="2" t="s">
        <v>337</v>
      </c>
      <c r="BI1" s="2" t="s">
        <v>337</v>
      </c>
      <c r="BJ1" s="2" t="s">
        <v>338</v>
      </c>
      <c r="BK1" s="2" t="s">
        <v>339</v>
      </c>
    </row>
    <row r="2" ht="22.5" customHeight="1" spans="1:63">
      <c r="A2" s="1"/>
      <c r="B2" s="3"/>
      <c r="C2" s="4"/>
      <c r="D2" s="4"/>
      <c r="E2" s="4"/>
      <c r="F2" s="3"/>
      <c r="G2" s="4"/>
      <c r="H2" s="5"/>
      <c r="I2" s="4"/>
      <c r="J2" s="5"/>
      <c r="K2" s="3"/>
      <c r="L2" s="3"/>
      <c r="M2" s="3"/>
      <c r="N2" s="3"/>
      <c r="O2" s="3"/>
      <c r="P2" s="6"/>
      <c r="Q2" s="6"/>
      <c r="R2" s="7"/>
      <c r="S2" s="8"/>
      <c r="T2" s="9"/>
      <c r="U2" s="10"/>
      <c r="V2" s="7"/>
      <c r="W2" s="6"/>
      <c r="X2" s="10"/>
      <c r="Y2" s="6"/>
      <c r="Z2" s="11"/>
      <c r="AA2" s="10"/>
      <c r="AB2" s="5"/>
      <c r="AC2" s="5"/>
      <c r="AD2" s="10"/>
      <c r="AE2" s="12"/>
      <c r="AF2" s="10"/>
      <c r="AG2" s="10"/>
      <c r="AH2" s="13"/>
      <c r="AI2" s="10"/>
      <c r="AJ2" s="7"/>
      <c r="AK2" s="5"/>
      <c r="AL2" s="14"/>
      <c r="AM2" s="12"/>
      <c r="AN2" s="11"/>
      <c r="AO2" s="11"/>
      <c r="AP2" s="11"/>
      <c r="AQ2" s="4"/>
      <c r="AR2" s="11"/>
      <c r="AS2" s="11"/>
      <c r="AT2" s="4"/>
      <c r="AU2" s="15"/>
      <c r="AV2" s="11"/>
      <c r="AW2" s="11"/>
      <c r="AX2" s="11"/>
      <c r="AY2" s="11"/>
      <c r="AZ2" s="11"/>
      <c r="BA2" s="11"/>
      <c r="BB2" s="11"/>
      <c r="BC2" s="11"/>
      <c r="BD2" s="4"/>
      <c r="BE2" s="5"/>
      <c r="BF2" s="10"/>
      <c r="BG2" s="10"/>
      <c r="BH2" s="10"/>
      <c r="BI2" s="11"/>
      <c r="BJ2" s="11"/>
      <c r="BK2" s="11"/>
    </row>
    <row r="3" ht="22.5" customHeight="1" spans="1:63">
      <c r="A3" s="1"/>
      <c r="B3" s="3"/>
      <c r="C3" s="4"/>
      <c r="D3" s="4"/>
      <c r="E3" s="4"/>
      <c r="F3" s="3"/>
      <c r="G3" s="4"/>
      <c r="H3" s="5"/>
      <c r="I3" s="4"/>
      <c r="J3" s="5"/>
      <c r="K3" s="3"/>
      <c r="L3" s="3"/>
      <c r="M3" s="3"/>
      <c r="N3" s="3"/>
      <c r="O3" s="3"/>
      <c r="P3" s="6"/>
      <c r="Q3" s="10"/>
      <c r="R3" s="7"/>
      <c r="S3" s="8"/>
      <c r="T3" s="9"/>
      <c r="U3" s="6"/>
      <c r="V3" s="7"/>
      <c r="W3" s="6"/>
      <c r="X3" s="10"/>
      <c r="Y3" s="6"/>
      <c r="Z3" s="11"/>
      <c r="AA3" s="10"/>
      <c r="AB3" s="5"/>
      <c r="AC3" s="5"/>
      <c r="AD3" s="5"/>
      <c r="AE3" s="11"/>
      <c r="AF3" s="10"/>
      <c r="AG3" s="10"/>
      <c r="AH3" s="13"/>
      <c r="AI3" s="10"/>
      <c r="AJ3" s="7"/>
      <c r="AK3" s="5"/>
      <c r="AL3" s="14"/>
      <c r="AM3" s="11"/>
      <c r="AN3" s="11"/>
      <c r="AO3" s="11"/>
      <c r="AP3" s="11"/>
      <c r="AQ3" s="4"/>
      <c r="AR3" s="11"/>
      <c r="AS3" s="11"/>
      <c r="AT3" s="4"/>
      <c r="AU3" s="15"/>
      <c r="AV3" s="11"/>
      <c r="AW3" s="11"/>
      <c r="AX3" s="11"/>
      <c r="AY3" s="11"/>
      <c r="AZ3" s="11"/>
      <c r="BA3" s="11"/>
      <c r="BB3" s="11"/>
      <c r="BC3" s="11"/>
      <c r="BD3" s="4"/>
      <c r="BE3" s="5"/>
      <c r="BF3" s="10"/>
      <c r="BG3" s="10"/>
      <c r="BH3" s="10"/>
      <c r="BI3" s="11"/>
      <c r="BJ3" s="11"/>
      <c r="BK3" s="11"/>
    </row>
    <row r="4" ht="22.5" customHeight="1" spans="1:63">
      <c r="A4" s="1"/>
      <c r="B4" s="3"/>
      <c r="C4" s="4"/>
      <c r="D4" s="4"/>
      <c r="E4" s="4"/>
      <c r="F4" s="3"/>
      <c r="G4" s="4"/>
      <c r="H4" s="5"/>
      <c r="I4" s="4"/>
      <c r="J4" s="5"/>
      <c r="K4" s="3"/>
      <c r="L4" s="3"/>
      <c r="M4" s="3"/>
      <c r="N4" s="3"/>
      <c r="O4" s="3"/>
      <c r="P4" s="6"/>
      <c r="Q4" s="6"/>
      <c r="R4" s="7"/>
      <c r="S4" s="8"/>
      <c r="T4" s="9"/>
      <c r="U4" s="6"/>
      <c r="V4" s="7"/>
      <c r="W4" s="6"/>
      <c r="X4" s="10"/>
      <c r="Y4" s="6"/>
      <c r="Z4" s="11"/>
      <c r="AA4" s="10"/>
      <c r="AB4" s="5"/>
      <c r="AC4" s="10"/>
      <c r="AD4" s="5"/>
      <c r="AE4" s="12"/>
      <c r="AF4" s="10"/>
      <c r="AG4" s="10"/>
      <c r="AH4" s="13"/>
      <c r="AI4" s="10"/>
      <c r="AJ4" s="7"/>
      <c r="AK4" s="5"/>
      <c r="AL4" s="14"/>
      <c r="AM4" s="12"/>
      <c r="AN4" s="11"/>
      <c r="AO4" s="11"/>
      <c r="AP4" s="11"/>
      <c r="AQ4" s="4"/>
      <c r="AR4" s="11"/>
      <c r="AS4" s="11"/>
      <c r="AT4" s="4"/>
      <c r="AU4" s="15"/>
      <c r="AV4" s="11"/>
      <c r="AW4" s="11"/>
      <c r="AX4" s="11"/>
      <c r="AY4" s="11"/>
      <c r="AZ4" s="11"/>
      <c r="BA4" s="11"/>
      <c r="BB4" s="11"/>
      <c r="BC4" s="11"/>
      <c r="BD4" s="4"/>
      <c r="BE4" s="10"/>
      <c r="BF4" s="10"/>
      <c r="BG4" s="10"/>
      <c r="BH4" s="10"/>
      <c r="BI4" s="11"/>
      <c r="BJ4" s="11"/>
      <c r="BK4" s="11"/>
    </row>
    <row r="5" ht="22.5" customHeight="1" spans="1:63">
      <c r="A5" s="1"/>
      <c r="B5" s="3"/>
      <c r="C5" s="4"/>
      <c r="D5" s="4"/>
      <c r="E5" s="4"/>
      <c r="F5" s="3"/>
      <c r="G5" s="4"/>
      <c r="H5" s="5"/>
      <c r="I5" s="4"/>
      <c r="J5" s="5"/>
      <c r="K5" s="3"/>
      <c r="L5" s="3"/>
      <c r="M5" s="3"/>
      <c r="N5" s="3"/>
      <c r="O5" s="3"/>
      <c r="P5" s="6"/>
      <c r="Q5" s="6"/>
      <c r="R5" s="7"/>
      <c r="S5" s="8"/>
      <c r="T5" s="9"/>
      <c r="U5" s="10"/>
      <c r="V5" s="7"/>
      <c r="W5" s="6"/>
      <c r="X5" s="10"/>
      <c r="Y5" s="6"/>
      <c r="Z5" s="11"/>
      <c r="AA5" s="10"/>
      <c r="AB5" s="5"/>
      <c r="AC5" s="5"/>
      <c r="AD5" s="5"/>
      <c r="AE5" s="11"/>
      <c r="AF5" s="10"/>
      <c r="AG5" s="10"/>
      <c r="AH5" s="13"/>
      <c r="AI5" s="10"/>
      <c r="AJ5" s="7"/>
      <c r="AK5" s="5"/>
      <c r="AL5" s="14"/>
      <c r="AM5" s="11"/>
      <c r="AN5" s="11"/>
      <c r="AO5" s="11"/>
      <c r="AP5" s="11"/>
      <c r="AQ5" s="4"/>
      <c r="AR5" s="11"/>
      <c r="AS5" s="11"/>
      <c r="AT5" s="4"/>
      <c r="AU5" s="15"/>
      <c r="AV5" s="11"/>
      <c r="AW5" s="11"/>
      <c r="AX5" s="11"/>
      <c r="AY5" s="11"/>
      <c r="AZ5" s="11"/>
      <c r="BA5" s="11"/>
      <c r="BB5" s="11"/>
      <c r="BC5" s="11"/>
      <c r="BD5" s="4"/>
      <c r="BE5" s="10"/>
      <c r="BF5" s="10"/>
      <c r="BG5" s="10"/>
      <c r="BH5" s="10"/>
      <c r="BI5" s="11"/>
      <c r="BJ5" s="11"/>
      <c r="BK5" s="11"/>
    </row>
    <row r="6" ht="14.4" spans="2:63">
      <c r="B6" s="3"/>
      <c r="C6" s="4"/>
      <c r="D6" s="4"/>
      <c r="E6" s="4"/>
      <c r="F6" s="3"/>
      <c r="G6" s="4"/>
      <c r="H6" s="5"/>
      <c r="I6" s="4"/>
      <c r="J6" s="5"/>
      <c r="K6" s="3"/>
      <c r="L6" s="3"/>
      <c r="M6" s="3"/>
      <c r="N6" s="3"/>
      <c r="O6" s="3"/>
      <c r="P6" s="6"/>
      <c r="Q6" s="6"/>
      <c r="R6" s="7"/>
      <c r="S6" s="8"/>
      <c r="T6" s="9"/>
      <c r="U6" s="10"/>
      <c r="V6" s="7"/>
      <c r="W6" s="6"/>
      <c r="X6" s="10"/>
      <c r="Y6" s="6"/>
      <c r="Z6" s="11"/>
      <c r="AA6" s="10"/>
      <c r="AB6" s="5"/>
      <c r="AC6" s="5"/>
      <c r="AD6" s="5"/>
      <c r="AE6" s="12"/>
      <c r="AF6" s="10"/>
      <c r="AG6" s="10"/>
      <c r="AH6" s="13"/>
      <c r="AI6" s="10"/>
      <c r="AJ6" s="7"/>
      <c r="AK6" s="5"/>
      <c r="AL6" s="14"/>
      <c r="AM6" s="11"/>
      <c r="AN6" s="11"/>
      <c r="AO6" s="11"/>
      <c r="AP6" s="11"/>
      <c r="AQ6" s="4"/>
      <c r="AR6" s="11"/>
      <c r="AS6" s="11"/>
      <c r="AT6" s="4"/>
      <c r="AU6" s="15"/>
      <c r="AV6" s="11"/>
      <c r="AW6" s="11"/>
      <c r="AX6" s="11"/>
      <c r="AY6" s="11"/>
      <c r="AZ6" s="11"/>
      <c r="BA6" s="11"/>
      <c r="BB6" s="11"/>
      <c r="BC6" s="11"/>
      <c r="BD6" s="4"/>
      <c r="BE6" s="10"/>
      <c r="BF6" s="10"/>
      <c r="BG6" s="10"/>
      <c r="BH6" s="10"/>
      <c r="BI6" s="11"/>
      <c r="BJ6" s="11"/>
      <c r="BK6" s="11"/>
    </row>
    <row r="7" ht="14.4" spans="2:63">
      <c r="B7" s="3"/>
      <c r="C7" s="4"/>
      <c r="D7" s="4"/>
      <c r="E7" s="4"/>
      <c r="F7" s="3"/>
      <c r="G7" s="4"/>
      <c r="H7" s="5"/>
      <c r="I7" s="4"/>
      <c r="J7" s="5"/>
      <c r="K7" s="3"/>
      <c r="L7" s="3"/>
      <c r="M7" s="3"/>
      <c r="N7" s="3"/>
      <c r="O7" s="3"/>
      <c r="P7" s="6"/>
      <c r="Q7" s="6"/>
      <c r="R7" s="7"/>
      <c r="S7" s="8"/>
      <c r="T7" s="9"/>
      <c r="U7" s="10"/>
      <c r="V7" s="7"/>
      <c r="W7" s="6"/>
      <c r="X7" s="10"/>
      <c r="Y7" s="6"/>
      <c r="Z7" s="11"/>
      <c r="AA7" s="10"/>
      <c r="AB7" s="5"/>
      <c r="AC7" s="5"/>
      <c r="AD7" s="10"/>
      <c r="AE7" s="12"/>
      <c r="AF7" s="6"/>
      <c r="AG7" s="10"/>
      <c r="AH7" s="13"/>
      <c r="AI7" s="10"/>
      <c r="AJ7" s="7"/>
      <c r="AK7" s="5"/>
      <c r="AL7" s="14"/>
      <c r="AM7" s="12"/>
      <c r="AN7" s="11"/>
      <c r="AO7" s="11"/>
      <c r="AP7" s="11"/>
      <c r="AQ7" s="4"/>
      <c r="AR7" s="11"/>
      <c r="AS7" s="11"/>
      <c r="AT7" s="4"/>
      <c r="AU7" s="15"/>
      <c r="AV7" s="11"/>
      <c r="AW7" s="11"/>
      <c r="AX7" s="11"/>
      <c r="AY7" s="11"/>
      <c r="AZ7" s="11"/>
      <c r="BA7" s="11"/>
      <c r="BB7" s="11"/>
      <c r="BC7" s="11"/>
      <c r="BD7" s="4"/>
      <c r="BE7" s="10"/>
      <c r="BF7" s="10"/>
      <c r="BG7" s="10"/>
      <c r="BH7" s="10"/>
      <c r="BI7" s="11"/>
      <c r="BJ7" s="11"/>
      <c r="BK7" s="11"/>
    </row>
    <row r="8" ht="14.4" spans="2:63">
      <c r="B8" s="3"/>
      <c r="C8" s="4"/>
      <c r="D8" s="4"/>
      <c r="E8" s="4"/>
      <c r="F8" s="3"/>
      <c r="G8" s="4"/>
      <c r="H8" s="5"/>
      <c r="I8" s="4"/>
      <c r="J8" s="5"/>
      <c r="K8" s="3"/>
      <c r="L8" s="3"/>
      <c r="M8" s="3"/>
      <c r="N8" s="3"/>
      <c r="O8" s="3"/>
      <c r="P8" s="6"/>
      <c r="Q8" s="6"/>
      <c r="R8" s="7"/>
      <c r="S8" s="8"/>
      <c r="T8" s="9"/>
      <c r="U8" s="10"/>
      <c r="V8" s="7"/>
      <c r="W8" s="6"/>
      <c r="X8" s="10"/>
      <c r="Y8" s="6"/>
      <c r="Z8" s="11"/>
      <c r="AA8" s="10"/>
      <c r="AB8" s="10"/>
      <c r="AC8" s="5"/>
      <c r="AD8" s="5"/>
      <c r="AE8" s="11"/>
      <c r="AF8" s="10"/>
      <c r="AG8" s="10"/>
      <c r="AH8" s="13"/>
      <c r="AI8" s="10"/>
      <c r="AJ8" s="7"/>
      <c r="AK8" s="5"/>
      <c r="AL8" s="14"/>
      <c r="AM8" s="11"/>
      <c r="AN8" s="11"/>
      <c r="AO8" s="11"/>
      <c r="AP8" s="11"/>
      <c r="AQ8" s="4"/>
      <c r="AR8" s="11"/>
      <c r="AS8" s="11"/>
      <c r="AT8" s="4"/>
      <c r="AU8" s="15"/>
      <c r="AV8" s="11"/>
      <c r="AW8" s="11"/>
      <c r="AX8" s="11"/>
      <c r="AY8" s="11"/>
      <c r="AZ8" s="11"/>
      <c r="BA8" s="11"/>
      <c r="BB8" s="11"/>
      <c r="BC8" s="11"/>
      <c r="BD8" s="4"/>
      <c r="BE8" s="5"/>
      <c r="BF8" s="10"/>
      <c r="BG8" s="10"/>
      <c r="BH8" s="10"/>
      <c r="BI8" s="11"/>
      <c r="BJ8" s="11"/>
      <c r="BK8" s="11"/>
    </row>
    <row r="9" ht="14.4" spans="2:63">
      <c r="B9" s="3"/>
      <c r="C9" s="4"/>
      <c r="D9" s="4"/>
      <c r="E9" s="4"/>
      <c r="F9" s="3"/>
      <c r="G9" s="4"/>
      <c r="H9" s="5"/>
      <c r="I9" s="4"/>
      <c r="J9" s="5"/>
      <c r="K9" s="3"/>
      <c r="L9" s="3"/>
      <c r="M9" s="3"/>
      <c r="N9" s="3"/>
      <c r="O9" s="3"/>
      <c r="P9" s="6"/>
      <c r="Q9" s="6"/>
      <c r="R9" s="7"/>
      <c r="S9" s="8"/>
      <c r="T9" s="9"/>
      <c r="U9" s="10"/>
      <c r="V9" s="7"/>
      <c r="W9" s="6"/>
      <c r="X9" s="10"/>
      <c r="Y9" s="6"/>
      <c r="Z9" s="11"/>
      <c r="AA9" s="10"/>
      <c r="AB9" s="5"/>
      <c r="AC9" s="5"/>
      <c r="AD9" s="10"/>
      <c r="AE9" s="11"/>
      <c r="AF9" s="10"/>
      <c r="AG9" s="10"/>
      <c r="AH9" s="13"/>
      <c r="AI9" s="10"/>
      <c r="AJ9" s="7"/>
      <c r="AK9" s="5"/>
      <c r="AL9" s="14"/>
      <c r="AM9" s="11"/>
      <c r="AN9" s="11"/>
      <c r="AO9" s="11"/>
      <c r="AP9" s="11"/>
      <c r="AQ9" s="4"/>
      <c r="AR9" s="11"/>
      <c r="AS9" s="11"/>
      <c r="AT9" s="4"/>
      <c r="AU9" s="11"/>
      <c r="AV9" s="11"/>
      <c r="AW9" s="11"/>
      <c r="AX9" s="11"/>
      <c r="AY9" s="11"/>
      <c r="AZ9" s="11"/>
      <c r="BA9" s="11"/>
      <c r="BB9" s="11"/>
      <c r="BC9" s="11"/>
      <c r="BD9" s="4"/>
      <c r="BE9" s="5"/>
      <c r="BF9" s="10"/>
      <c r="BG9" s="10"/>
      <c r="BH9" s="10"/>
      <c r="BI9" s="11"/>
      <c r="BJ9" s="11"/>
      <c r="BK9" s="11"/>
    </row>
    <row r="10" ht="14.4" spans="2:63">
      <c r="B10" s="3"/>
      <c r="C10" s="4"/>
      <c r="D10" s="4"/>
      <c r="E10" s="4"/>
      <c r="F10" s="3"/>
      <c r="G10" s="4"/>
      <c r="H10" s="5"/>
      <c r="I10" s="4"/>
      <c r="J10" s="5"/>
      <c r="K10" s="3"/>
      <c r="L10" s="3"/>
      <c r="M10" s="3"/>
      <c r="N10" s="3"/>
      <c r="O10" s="3"/>
      <c r="P10" s="6"/>
      <c r="Q10" s="6"/>
      <c r="R10" s="7"/>
      <c r="S10" s="8"/>
      <c r="T10" s="9"/>
      <c r="U10" s="10"/>
      <c r="V10" s="7"/>
      <c r="W10" s="6"/>
      <c r="X10" s="10"/>
      <c r="Y10" s="6"/>
      <c r="Z10" s="11"/>
      <c r="AA10" s="10"/>
      <c r="AB10" s="5"/>
      <c r="AC10" s="5"/>
      <c r="AD10" s="5"/>
      <c r="AE10" s="12"/>
      <c r="AF10" s="10"/>
      <c r="AG10" s="10"/>
      <c r="AH10" s="13"/>
      <c r="AI10" s="10"/>
      <c r="AJ10" s="7"/>
      <c r="AK10" s="5"/>
      <c r="AL10" s="14"/>
      <c r="AM10" s="11"/>
      <c r="AN10" s="11"/>
      <c r="AO10" s="11"/>
      <c r="AP10" s="11"/>
      <c r="AQ10" s="4"/>
      <c r="AR10" s="11"/>
      <c r="AS10" s="11"/>
      <c r="AT10" s="4"/>
      <c r="AU10" s="15"/>
      <c r="AV10" s="11"/>
      <c r="AW10" s="11"/>
      <c r="AX10" s="11"/>
      <c r="AY10" s="11"/>
      <c r="AZ10" s="11"/>
      <c r="BA10" s="11"/>
      <c r="BB10" s="11"/>
      <c r="BC10" s="11"/>
      <c r="BD10" s="4"/>
      <c r="BE10" s="10"/>
      <c r="BF10" s="10"/>
      <c r="BG10" s="10"/>
      <c r="BH10" s="10"/>
      <c r="BI10" s="11"/>
      <c r="BJ10" s="11"/>
      <c r="BK10" s="11"/>
    </row>
    <row r="11" ht="14.4" spans="2:63">
      <c r="B11" s="3"/>
      <c r="C11" s="4"/>
      <c r="D11" s="4"/>
      <c r="E11" s="4"/>
      <c r="F11" s="3"/>
      <c r="G11" s="4"/>
      <c r="H11" s="5"/>
      <c r="I11" s="4"/>
      <c r="J11" s="5"/>
      <c r="K11" s="3"/>
      <c r="L11" s="3"/>
      <c r="M11" s="3"/>
      <c r="N11" s="3"/>
      <c r="O11" s="3"/>
      <c r="P11" s="6"/>
      <c r="Q11" s="6"/>
      <c r="R11" s="7"/>
      <c r="S11" s="8"/>
      <c r="T11" s="9"/>
      <c r="U11" s="10"/>
      <c r="V11" s="7"/>
      <c r="W11" s="6"/>
      <c r="X11" s="10"/>
      <c r="Y11" s="6"/>
      <c r="Z11" s="11"/>
      <c r="AA11" s="10"/>
      <c r="AB11" s="10"/>
      <c r="AC11" s="10"/>
      <c r="AD11" s="5"/>
      <c r="AE11" s="11"/>
      <c r="AF11" s="10"/>
      <c r="AG11" s="10"/>
      <c r="AH11" s="13"/>
      <c r="AI11" s="10"/>
      <c r="AJ11" s="7"/>
      <c r="AK11" s="5"/>
      <c r="AL11" s="14"/>
      <c r="AM11" s="11"/>
      <c r="AN11" s="11"/>
      <c r="AO11" s="11"/>
      <c r="AP11" s="11"/>
      <c r="AQ11" s="4"/>
      <c r="AR11" s="11"/>
      <c r="AS11" s="11"/>
      <c r="AT11" s="4"/>
      <c r="AU11" s="15"/>
      <c r="AV11" s="11"/>
      <c r="AW11" s="11"/>
      <c r="AX11" s="11"/>
      <c r="AY11" s="11"/>
      <c r="AZ11" s="11"/>
      <c r="BA11" s="11"/>
      <c r="BB11" s="11"/>
      <c r="BC11" s="11"/>
      <c r="BD11" s="4"/>
      <c r="BE11" s="10"/>
      <c r="BF11" s="10"/>
      <c r="BG11" s="10"/>
      <c r="BH11" s="10"/>
      <c r="BI11" s="11"/>
      <c r="BJ11" s="11"/>
      <c r="BK11" s="11"/>
    </row>
    <row r="12" ht="14.4" spans="2:63">
      <c r="B12" s="3"/>
      <c r="C12" s="4"/>
      <c r="D12" s="4"/>
      <c r="E12" s="4"/>
      <c r="F12" s="3"/>
      <c r="G12" s="4"/>
      <c r="H12" s="5"/>
      <c r="I12" s="4"/>
      <c r="J12" s="5"/>
      <c r="K12" s="3"/>
      <c r="L12" s="3"/>
      <c r="M12" s="3"/>
      <c r="N12" s="3"/>
      <c r="O12" s="3"/>
      <c r="P12" s="6"/>
      <c r="Q12" s="6"/>
      <c r="R12" s="7"/>
      <c r="S12" s="8"/>
      <c r="T12" s="9"/>
      <c r="U12" s="10"/>
      <c r="V12" s="7"/>
      <c r="W12" s="6"/>
      <c r="X12" s="10"/>
      <c r="Y12" s="6"/>
      <c r="Z12" s="11"/>
      <c r="AA12" s="10"/>
      <c r="AB12" s="5"/>
      <c r="AC12" s="10"/>
      <c r="AD12" s="5"/>
      <c r="AE12" s="11"/>
      <c r="AF12" s="10"/>
      <c r="AG12" s="10"/>
      <c r="AH12" s="13"/>
      <c r="AI12" s="10"/>
      <c r="AJ12" s="7"/>
      <c r="AK12" s="5"/>
      <c r="AL12" s="14"/>
      <c r="AM12" s="11"/>
      <c r="AN12" s="11"/>
      <c r="AO12" s="11"/>
      <c r="AP12" s="11"/>
      <c r="AQ12" s="4"/>
      <c r="AR12" s="11"/>
      <c r="AS12" s="11"/>
      <c r="AT12" s="4"/>
      <c r="AU12" s="15"/>
      <c r="AV12" s="11"/>
      <c r="AW12" s="11"/>
      <c r="AX12" s="11"/>
      <c r="AY12" s="11"/>
      <c r="AZ12" s="11"/>
      <c r="BA12" s="11"/>
      <c r="BB12" s="11"/>
      <c r="BC12" s="11"/>
      <c r="BD12" s="4"/>
      <c r="BE12" s="10"/>
      <c r="BF12" s="10"/>
      <c r="BG12" s="10"/>
      <c r="BH12" s="10"/>
      <c r="BI12" s="11"/>
      <c r="BJ12" s="11"/>
      <c r="BK12" s="11"/>
    </row>
    <row r="13" ht="14.4" spans="2:63">
      <c r="B13" s="3"/>
      <c r="C13" s="4"/>
      <c r="D13" s="4"/>
      <c r="E13" s="4"/>
      <c r="F13" s="3"/>
      <c r="G13" s="4"/>
      <c r="H13" s="5"/>
      <c r="I13" s="4"/>
      <c r="J13" s="5"/>
      <c r="K13" s="3"/>
      <c r="L13" s="3"/>
      <c r="M13" s="3"/>
      <c r="N13" s="3"/>
      <c r="O13" s="3"/>
      <c r="P13" s="6"/>
      <c r="Q13" s="6"/>
      <c r="R13" s="7"/>
      <c r="S13" s="8"/>
      <c r="T13" s="9"/>
      <c r="U13" s="10"/>
      <c r="V13" s="7"/>
      <c r="W13" s="6"/>
      <c r="X13" s="10"/>
      <c r="Y13" s="10"/>
      <c r="Z13" s="11"/>
      <c r="AA13" s="10"/>
      <c r="AB13" s="10"/>
      <c r="AC13" s="5"/>
      <c r="AD13" s="5"/>
      <c r="AE13" s="11"/>
      <c r="AF13" s="10"/>
      <c r="AG13" s="10"/>
      <c r="AH13" s="13"/>
      <c r="AI13" s="10"/>
      <c r="AJ13" s="7"/>
      <c r="AK13" s="5"/>
      <c r="AL13" s="14"/>
      <c r="AM13" s="11"/>
      <c r="AN13" s="11"/>
      <c r="AO13" s="11"/>
      <c r="AP13" s="11"/>
      <c r="AQ13" s="4"/>
      <c r="AR13" s="11"/>
      <c r="AS13" s="11"/>
      <c r="AT13" s="4"/>
      <c r="AU13" s="15"/>
      <c r="AV13" s="11"/>
      <c r="AW13" s="11"/>
      <c r="AX13" s="11"/>
      <c r="AY13" s="11"/>
      <c r="AZ13" s="11"/>
      <c r="BA13" s="11"/>
      <c r="BB13" s="11"/>
      <c r="BC13" s="11"/>
      <c r="BD13" s="4"/>
      <c r="BE13" s="5"/>
      <c r="BF13" s="10"/>
      <c r="BG13" s="10"/>
      <c r="BH13" s="10"/>
      <c r="BI13" s="11"/>
      <c r="BJ13" s="11"/>
      <c r="BK13" s="11"/>
    </row>
    <row r="14" ht="14.4" spans="2:63">
      <c r="B14" s="3"/>
      <c r="C14" s="4"/>
      <c r="D14" s="4"/>
      <c r="E14" s="4"/>
      <c r="F14" s="3"/>
      <c r="G14" s="4"/>
      <c r="H14" s="5"/>
      <c r="I14" s="4"/>
      <c r="J14" s="5"/>
      <c r="K14" s="3"/>
      <c r="L14" s="3"/>
      <c r="M14" s="3"/>
      <c r="N14" s="3"/>
      <c r="O14" s="3"/>
      <c r="P14" s="6"/>
      <c r="Q14" s="6"/>
      <c r="R14" s="7"/>
      <c r="S14" s="8"/>
      <c r="T14" s="9"/>
      <c r="U14" s="10"/>
      <c r="V14" s="7"/>
      <c r="W14" s="6"/>
      <c r="X14" s="10"/>
      <c r="Y14" s="6"/>
      <c r="Z14" s="11"/>
      <c r="AA14" s="10"/>
      <c r="AB14" s="10"/>
      <c r="AC14" s="5"/>
      <c r="AD14" s="5"/>
      <c r="AE14" s="11"/>
      <c r="AF14" s="10"/>
      <c r="AG14" s="10"/>
      <c r="AH14" s="13"/>
      <c r="AI14" s="10"/>
      <c r="AJ14" s="7"/>
      <c r="AK14" s="5"/>
      <c r="AL14" s="14"/>
      <c r="AM14" s="11"/>
      <c r="AN14" s="11"/>
      <c r="AO14" s="11"/>
      <c r="AP14" s="11"/>
      <c r="AQ14" s="4"/>
      <c r="AR14" s="11"/>
      <c r="AS14" s="11"/>
      <c r="AT14" s="4"/>
      <c r="AU14" s="15"/>
      <c r="AV14" s="11"/>
      <c r="AW14" s="11"/>
      <c r="AX14" s="11"/>
      <c r="AY14" s="11"/>
      <c r="AZ14" s="11"/>
      <c r="BA14" s="11"/>
      <c r="BB14" s="11"/>
      <c r="BC14" s="11"/>
      <c r="BD14" s="4"/>
      <c r="BE14" s="5"/>
      <c r="BF14" s="10"/>
      <c r="BG14" s="10"/>
      <c r="BH14" s="10"/>
      <c r="BI14" s="11"/>
      <c r="BJ14" s="11"/>
      <c r="BK14" s="11"/>
    </row>
    <row r="15" ht="14.4" spans="2:63">
      <c r="B15" s="3"/>
      <c r="C15" s="4"/>
      <c r="D15" s="4"/>
      <c r="E15" s="4"/>
      <c r="F15" s="3"/>
      <c r="G15" s="4"/>
      <c r="H15" s="5"/>
      <c r="I15" s="4"/>
      <c r="J15" s="5"/>
      <c r="K15" s="3"/>
      <c r="L15" s="3"/>
      <c r="M15" s="3"/>
      <c r="N15" s="3"/>
      <c r="O15" s="3"/>
      <c r="P15" s="6"/>
      <c r="Q15" s="5"/>
      <c r="R15" s="7"/>
      <c r="S15" s="8"/>
      <c r="T15" s="9"/>
      <c r="U15" s="10"/>
      <c r="V15" s="10"/>
      <c r="W15" s="10"/>
      <c r="X15" s="10"/>
      <c r="Y15" s="10"/>
      <c r="Z15" s="11"/>
      <c r="AA15" s="10"/>
      <c r="AB15" s="5"/>
      <c r="AC15" s="10"/>
      <c r="AD15" s="5"/>
      <c r="AE15" s="11"/>
      <c r="AF15" s="10"/>
      <c r="AG15" s="10"/>
      <c r="AH15" s="13"/>
      <c r="AI15" s="10"/>
      <c r="AJ15" s="7"/>
      <c r="AK15" s="5"/>
      <c r="AL15" s="14"/>
      <c r="AM15" s="11"/>
      <c r="AN15" s="11"/>
      <c r="AO15" s="11"/>
      <c r="AP15" s="11"/>
      <c r="AQ15" s="4"/>
      <c r="AR15" s="11"/>
      <c r="AS15" s="11"/>
      <c r="AT15" s="4"/>
      <c r="AU15" s="15"/>
      <c r="AV15" s="11"/>
      <c r="AW15" s="11"/>
      <c r="AX15" s="11"/>
      <c r="AY15" s="11"/>
      <c r="AZ15" s="11"/>
      <c r="BA15" s="11"/>
      <c r="BB15" s="11"/>
      <c r="BC15" s="11"/>
      <c r="BD15" s="4"/>
      <c r="BE15" s="5"/>
      <c r="BF15" s="10"/>
      <c r="BG15" s="10"/>
      <c r="BH15" s="10"/>
      <c r="BI15" s="11"/>
      <c r="BJ15" s="11"/>
      <c r="BK15" s="11"/>
    </row>
    <row r="16" ht="14.4" spans="2:63">
      <c r="B16" s="3"/>
      <c r="C16" s="4"/>
      <c r="D16" s="4"/>
      <c r="E16" s="4"/>
      <c r="F16" s="3"/>
      <c r="G16" s="4"/>
      <c r="H16" s="5"/>
      <c r="I16" s="4"/>
      <c r="J16" s="5"/>
      <c r="K16" s="3"/>
      <c r="L16" s="3"/>
      <c r="M16" s="3"/>
      <c r="N16" s="3"/>
      <c r="O16" s="3"/>
      <c r="P16" s="6"/>
      <c r="Q16" s="6"/>
      <c r="R16" s="7"/>
      <c r="S16" s="8"/>
      <c r="T16" s="9"/>
      <c r="U16" s="10"/>
      <c r="V16" s="10"/>
      <c r="W16" s="6"/>
      <c r="X16" s="10"/>
      <c r="Y16" s="10"/>
      <c r="Z16" s="11"/>
      <c r="AA16" s="10"/>
      <c r="AB16" s="10"/>
      <c r="AC16" s="5"/>
      <c r="AD16" s="5"/>
      <c r="AE16" s="11"/>
      <c r="AF16" s="10"/>
      <c r="AG16" s="10"/>
      <c r="AH16" s="13"/>
      <c r="AI16" s="10"/>
      <c r="AJ16" s="7"/>
      <c r="AK16" s="5"/>
      <c r="AL16" s="14"/>
      <c r="AM16" s="11"/>
      <c r="AN16" s="11"/>
      <c r="AO16" s="11"/>
      <c r="AP16" s="11"/>
      <c r="AQ16" s="4"/>
      <c r="AR16" s="11"/>
      <c r="AS16" s="11"/>
      <c r="AT16" s="4"/>
      <c r="AU16" s="15"/>
      <c r="AV16" s="11"/>
      <c r="AW16" s="11"/>
      <c r="AX16" s="11"/>
      <c r="AY16" s="11"/>
      <c r="AZ16" s="11"/>
      <c r="BA16" s="11"/>
      <c r="BB16" s="11"/>
      <c r="BC16" s="11"/>
      <c r="BD16" s="4"/>
      <c r="BE16" s="5"/>
      <c r="BF16" s="10"/>
      <c r="BG16" s="10"/>
      <c r="BH16" s="10"/>
      <c r="BI16" s="11"/>
      <c r="BJ16" s="11"/>
      <c r="BK16" s="11"/>
    </row>
    <row r="17" ht="14.4" spans="2:63">
      <c r="B17" s="3"/>
      <c r="C17" s="4"/>
      <c r="D17" s="4"/>
      <c r="E17" s="4"/>
      <c r="F17" s="3"/>
      <c r="G17" s="4"/>
      <c r="H17" s="5"/>
      <c r="I17" s="4"/>
      <c r="J17" s="5"/>
      <c r="K17" s="3"/>
      <c r="L17" s="3"/>
      <c r="M17" s="3"/>
      <c r="N17" s="3"/>
      <c r="O17" s="3"/>
      <c r="P17" s="6"/>
      <c r="Q17" s="6"/>
      <c r="R17" s="7"/>
      <c r="S17" s="8"/>
      <c r="T17" s="9"/>
      <c r="U17" s="10"/>
      <c r="V17" s="7"/>
      <c r="W17" s="6"/>
      <c r="X17" s="10"/>
      <c r="Y17" s="6"/>
      <c r="Z17" s="11"/>
      <c r="AA17" s="10"/>
      <c r="AB17" s="5"/>
      <c r="AC17" s="10"/>
      <c r="AD17" s="5"/>
      <c r="AE17" s="11"/>
      <c r="AF17" s="10"/>
      <c r="AG17" s="10"/>
      <c r="AH17" s="13"/>
      <c r="AI17" s="10"/>
      <c r="AJ17" s="7"/>
      <c r="AK17" s="5"/>
      <c r="AL17" s="14"/>
      <c r="AM17" s="11"/>
      <c r="AN17" s="11"/>
      <c r="AO17" s="11"/>
      <c r="AP17" s="11"/>
      <c r="AQ17" s="4"/>
      <c r="AR17" s="11"/>
      <c r="AS17" s="11"/>
      <c r="AT17" s="4"/>
      <c r="AU17" s="15"/>
      <c r="AV17" s="11"/>
      <c r="AW17" s="11"/>
      <c r="AX17" s="11"/>
      <c r="AY17" s="11"/>
      <c r="AZ17" s="11"/>
      <c r="BA17" s="11"/>
      <c r="BB17" s="11"/>
      <c r="BC17" s="11"/>
      <c r="BD17" s="4"/>
      <c r="BE17" s="5"/>
      <c r="BF17" s="10"/>
      <c r="BG17" s="10"/>
      <c r="BH17" s="10"/>
      <c r="BI17" s="11"/>
      <c r="BJ17" s="11"/>
      <c r="BK17" s="11"/>
    </row>
    <row r="18" ht="14.4" spans="2:63">
      <c r="B18" s="3"/>
      <c r="C18" s="4"/>
      <c r="D18" s="4"/>
      <c r="E18" s="4"/>
      <c r="F18" s="3"/>
      <c r="G18" s="4"/>
      <c r="H18" s="5"/>
      <c r="I18" s="4"/>
      <c r="J18" s="5"/>
      <c r="K18" s="3"/>
      <c r="L18" s="3"/>
      <c r="M18" s="3"/>
      <c r="N18" s="3"/>
      <c r="O18" s="3"/>
      <c r="P18" s="6"/>
      <c r="Q18" s="6"/>
      <c r="R18" s="7"/>
      <c r="S18" s="8"/>
      <c r="T18" s="9"/>
      <c r="U18" s="10"/>
      <c r="V18" s="7"/>
      <c r="W18" s="6"/>
      <c r="X18" s="10"/>
      <c r="Y18" s="10"/>
      <c r="Z18" s="11"/>
      <c r="AA18" s="10"/>
      <c r="AB18" s="5"/>
      <c r="AC18" s="5"/>
      <c r="AD18" s="5"/>
      <c r="AE18" s="11"/>
      <c r="AF18" s="10"/>
      <c r="AG18" s="10"/>
      <c r="AH18" s="13"/>
      <c r="AI18" s="10"/>
      <c r="AJ18" s="7"/>
      <c r="AK18" s="5"/>
      <c r="AL18" s="14"/>
      <c r="AM18" s="11"/>
      <c r="AN18" s="11"/>
      <c r="AO18" s="11"/>
      <c r="AP18" s="11"/>
      <c r="AQ18" s="4"/>
      <c r="AR18" s="11"/>
      <c r="AS18" s="11"/>
      <c r="AT18" s="4"/>
      <c r="AU18" s="15"/>
      <c r="AV18" s="11"/>
      <c r="AW18" s="11"/>
      <c r="AX18" s="11"/>
      <c r="AY18" s="11"/>
      <c r="AZ18" s="11"/>
      <c r="BA18" s="11"/>
      <c r="BB18" s="11"/>
      <c r="BC18" s="11"/>
      <c r="BD18" s="4"/>
      <c r="BE18" s="5"/>
      <c r="BF18" s="10"/>
      <c r="BG18" s="10"/>
      <c r="BH18" s="10"/>
      <c r="BI18" s="11"/>
      <c r="BJ18" s="11"/>
      <c r="BK18" s="11"/>
    </row>
    <row r="19" ht="14.4" spans="2:63">
      <c r="B19" s="3"/>
      <c r="C19" s="4"/>
      <c r="D19" s="4"/>
      <c r="E19" s="4"/>
      <c r="F19" s="3"/>
      <c r="G19" s="4"/>
      <c r="H19" s="5"/>
      <c r="I19" s="4"/>
      <c r="J19" s="5"/>
      <c r="K19" s="3"/>
      <c r="L19" s="3"/>
      <c r="M19" s="3"/>
      <c r="N19" s="3"/>
      <c r="O19" s="3"/>
      <c r="P19" s="6"/>
      <c r="Q19" s="6"/>
      <c r="R19" s="7"/>
      <c r="S19" s="8"/>
      <c r="T19" s="9"/>
      <c r="U19" s="10"/>
      <c r="V19" s="10"/>
      <c r="W19" s="6"/>
      <c r="X19" s="10"/>
      <c r="Y19" s="10"/>
      <c r="Z19" s="11"/>
      <c r="AA19" s="10"/>
      <c r="AB19" s="10"/>
      <c r="AC19" s="5"/>
      <c r="AD19" s="5"/>
      <c r="AE19" s="11"/>
      <c r="AF19" s="10"/>
      <c r="AG19" s="10"/>
      <c r="AH19" s="13"/>
      <c r="AI19" s="10"/>
      <c r="AJ19" s="7"/>
      <c r="AK19" s="5"/>
      <c r="AL19" s="14"/>
      <c r="AM19" s="11"/>
      <c r="AN19" s="11"/>
      <c r="AO19" s="11"/>
      <c r="AP19" s="11"/>
      <c r="AQ19" s="4"/>
      <c r="AR19" s="11"/>
      <c r="AS19" s="11"/>
      <c r="AT19" s="4"/>
      <c r="AU19" s="15"/>
      <c r="AV19" s="11"/>
      <c r="AW19" s="11"/>
      <c r="AX19" s="11"/>
      <c r="AY19" s="11"/>
      <c r="AZ19" s="11"/>
      <c r="BA19" s="11"/>
      <c r="BB19" s="11"/>
      <c r="BC19" s="11"/>
      <c r="BD19" s="4"/>
      <c r="BE19" s="5"/>
      <c r="BF19" s="10"/>
      <c r="BG19" s="10"/>
      <c r="BH19" s="10"/>
      <c r="BI19" s="11"/>
      <c r="BJ19" s="11"/>
      <c r="BK19" s="11"/>
    </row>
    <row r="20" ht="14.4" spans="2:63">
      <c r="B20" s="3"/>
      <c r="C20" s="4"/>
      <c r="D20" s="4"/>
      <c r="E20" s="4"/>
      <c r="F20" s="3"/>
      <c r="G20" s="4"/>
      <c r="H20" s="5"/>
      <c r="I20" s="4"/>
      <c r="J20" s="5"/>
      <c r="K20" s="3"/>
      <c r="L20" s="3"/>
      <c r="M20" s="3"/>
      <c r="N20" s="3"/>
      <c r="O20" s="3"/>
      <c r="P20" s="6"/>
      <c r="Q20" s="6"/>
      <c r="R20" s="7"/>
      <c r="S20" s="8"/>
      <c r="T20" s="9"/>
      <c r="U20" s="10"/>
      <c r="V20" s="7"/>
      <c r="W20" s="6"/>
      <c r="X20" s="10"/>
      <c r="Y20" s="10"/>
      <c r="Z20" s="11"/>
      <c r="AA20" s="10"/>
      <c r="AB20" s="5"/>
      <c r="AC20" s="5"/>
      <c r="AD20" s="5"/>
      <c r="AE20" s="11"/>
      <c r="AF20" s="10"/>
      <c r="AG20" s="10"/>
      <c r="AH20" s="13"/>
      <c r="AI20" s="10"/>
      <c r="AJ20" s="7"/>
      <c r="AK20" s="5"/>
      <c r="AL20" s="14"/>
      <c r="AM20" s="11"/>
      <c r="AN20" s="11"/>
      <c r="AO20" s="11"/>
      <c r="AP20" s="11"/>
      <c r="AQ20" s="4"/>
      <c r="AR20" s="11"/>
      <c r="AS20" s="11"/>
      <c r="AT20" s="4"/>
      <c r="AU20" s="15"/>
      <c r="AV20" s="11"/>
      <c r="AW20" s="11"/>
      <c r="AX20" s="11"/>
      <c r="AY20" s="11"/>
      <c r="AZ20" s="11"/>
      <c r="BA20" s="11"/>
      <c r="BB20" s="11"/>
      <c r="BC20" s="11"/>
      <c r="BD20" s="4"/>
      <c r="BE20" s="5"/>
      <c r="BF20" s="10"/>
      <c r="BG20" s="10"/>
      <c r="BH20" s="10"/>
      <c r="BI20" s="11"/>
      <c r="BJ20" s="11"/>
      <c r="BK20" s="11"/>
    </row>
    <row r="21" ht="14.4" spans="2:63">
      <c r="B21" s="3"/>
      <c r="C21" s="4"/>
      <c r="D21" s="4"/>
      <c r="E21" s="4"/>
      <c r="F21" s="3"/>
      <c r="G21" s="4"/>
      <c r="H21" s="5"/>
      <c r="I21" s="4"/>
      <c r="J21" s="5"/>
      <c r="K21" s="3"/>
      <c r="L21" s="3"/>
      <c r="M21" s="3"/>
      <c r="N21" s="3"/>
      <c r="O21" s="3"/>
      <c r="P21" s="6"/>
      <c r="Q21" s="6"/>
      <c r="R21" s="7"/>
      <c r="S21" s="8"/>
      <c r="T21" s="9"/>
      <c r="U21" s="10"/>
      <c r="V21" s="7"/>
      <c r="W21" s="6"/>
      <c r="X21" s="10"/>
      <c r="Y21" s="6"/>
      <c r="Z21" s="11"/>
      <c r="AA21" s="10"/>
      <c r="AB21" s="10"/>
      <c r="AC21" s="10"/>
      <c r="AD21" s="5"/>
      <c r="AE21" s="11"/>
      <c r="AF21" s="10"/>
      <c r="AG21" s="10"/>
      <c r="AH21" s="13"/>
      <c r="AI21" s="10"/>
      <c r="AJ21" s="7"/>
      <c r="AK21" s="5"/>
      <c r="AL21" s="14"/>
      <c r="AM21" s="11"/>
      <c r="AN21" s="11"/>
      <c r="AO21" s="11"/>
      <c r="AP21" s="11"/>
      <c r="AQ21" s="4"/>
      <c r="AR21" s="11"/>
      <c r="AS21" s="11"/>
      <c r="AT21" s="4"/>
      <c r="AU21" s="15"/>
      <c r="AV21" s="11"/>
      <c r="AW21" s="11"/>
      <c r="AX21" s="11"/>
      <c r="AY21" s="11"/>
      <c r="AZ21" s="11"/>
      <c r="BA21" s="11"/>
      <c r="BB21" s="11"/>
      <c r="BC21" s="11"/>
      <c r="BD21" s="4"/>
      <c r="BE21" s="10"/>
      <c r="BF21" s="10"/>
      <c r="BG21" s="10"/>
      <c r="BH21" s="10"/>
      <c r="BI21" s="11"/>
      <c r="BJ21" s="11"/>
      <c r="BK21" s="11"/>
    </row>
    <row r="22" ht="14.4" spans="2:63">
      <c r="B22" s="3"/>
      <c r="C22" s="4"/>
      <c r="D22" s="4"/>
      <c r="E22" s="4"/>
      <c r="F22" s="3"/>
      <c r="G22" s="4"/>
      <c r="H22" s="5"/>
      <c r="I22" s="4"/>
      <c r="J22" s="5"/>
      <c r="K22" s="3"/>
      <c r="L22" s="3"/>
      <c r="M22" s="3"/>
      <c r="N22" s="3"/>
      <c r="O22" s="3"/>
      <c r="P22" s="6"/>
      <c r="Q22" s="6"/>
      <c r="R22" s="7"/>
      <c r="S22" s="8"/>
      <c r="T22" s="9"/>
      <c r="U22" s="10"/>
      <c r="V22" s="7"/>
      <c r="W22" s="6"/>
      <c r="X22" s="10"/>
      <c r="Y22" s="10"/>
      <c r="Z22" s="11"/>
      <c r="AA22" s="10"/>
      <c r="AB22" s="5"/>
      <c r="AC22" s="5"/>
      <c r="AD22" s="10"/>
      <c r="AE22" s="12"/>
      <c r="AF22" s="10"/>
      <c r="AG22" s="10"/>
      <c r="AH22" s="13"/>
      <c r="AI22" s="10"/>
      <c r="AJ22" s="7"/>
      <c r="AK22" s="5"/>
      <c r="AL22" s="14"/>
      <c r="AM22" s="12"/>
      <c r="AN22" s="11"/>
      <c r="AO22" s="11"/>
      <c r="AP22" s="11"/>
      <c r="AQ22" s="4"/>
      <c r="AR22" s="11"/>
      <c r="AS22" s="11"/>
      <c r="AT22" s="4"/>
      <c r="AU22" s="15"/>
      <c r="AV22" s="11"/>
      <c r="AW22" s="11"/>
      <c r="AX22" s="11"/>
      <c r="AY22" s="11"/>
      <c r="AZ22" s="11"/>
      <c r="BA22" s="11"/>
      <c r="BB22" s="11"/>
      <c r="BC22" s="11"/>
      <c r="BD22" s="4"/>
      <c r="BE22" s="5"/>
      <c r="BF22" s="10"/>
      <c r="BG22" s="10"/>
      <c r="BH22" s="10"/>
      <c r="BI22" s="11"/>
      <c r="BJ22" s="11"/>
      <c r="BK22" s="11"/>
    </row>
    <row r="23" ht="14.4" spans="2:63">
      <c r="B23" s="3"/>
      <c r="C23" s="4"/>
      <c r="D23" s="4"/>
      <c r="E23" s="4"/>
      <c r="F23" s="3"/>
      <c r="G23" s="4"/>
      <c r="H23" s="5"/>
      <c r="I23" s="4"/>
      <c r="J23" s="5"/>
      <c r="K23" s="3"/>
      <c r="L23" s="3"/>
      <c r="M23" s="3"/>
      <c r="N23" s="3"/>
      <c r="O23" s="3"/>
      <c r="P23" s="6"/>
      <c r="Q23" s="6"/>
      <c r="R23" s="7"/>
      <c r="S23" s="8"/>
      <c r="T23" s="9"/>
      <c r="U23" s="10"/>
      <c r="V23" s="7"/>
      <c r="W23" s="6"/>
      <c r="X23" s="10"/>
      <c r="Y23" s="10"/>
      <c r="Z23" s="11"/>
      <c r="AA23" s="10"/>
      <c r="AB23" s="5"/>
      <c r="AC23" s="5"/>
      <c r="AD23" s="5"/>
      <c r="AE23" s="11"/>
      <c r="AF23" s="10"/>
      <c r="AG23" s="10"/>
      <c r="AH23" s="13"/>
      <c r="AI23" s="10"/>
      <c r="AJ23" s="7"/>
      <c r="AK23" s="5"/>
      <c r="AL23" s="14"/>
      <c r="AM23" s="11"/>
      <c r="AN23" s="11"/>
      <c r="AO23" s="11"/>
      <c r="AP23" s="11"/>
      <c r="AQ23" s="4"/>
      <c r="AR23" s="11"/>
      <c r="AS23" s="11"/>
      <c r="AT23" s="4"/>
      <c r="AU23" s="15"/>
      <c r="AV23" s="11"/>
      <c r="AW23" s="11"/>
      <c r="AX23" s="11"/>
      <c r="AY23" s="11"/>
      <c r="AZ23" s="11"/>
      <c r="BA23" s="11"/>
      <c r="BB23" s="11"/>
      <c r="BC23" s="11"/>
      <c r="BD23" s="4"/>
      <c r="BE23" s="5"/>
      <c r="BF23" s="10"/>
      <c r="BG23" s="10"/>
      <c r="BH23" s="10"/>
      <c r="BI23" s="11"/>
      <c r="BJ23" s="11"/>
      <c r="BK23" s="11"/>
    </row>
    <row r="24" ht="14.4" spans="2:63">
      <c r="B24" s="3"/>
      <c r="C24" s="4"/>
      <c r="D24" s="4"/>
      <c r="E24" s="4"/>
      <c r="F24" s="3"/>
      <c r="G24" s="4"/>
      <c r="H24" s="5"/>
      <c r="I24" s="4"/>
      <c r="J24" s="5"/>
      <c r="K24" s="3"/>
      <c r="L24" s="3"/>
      <c r="M24" s="3"/>
      <c r="N24" s="3"/>
      <c r="O24" s="3"/>
      <c r="P24" s="6"/>
      <c r="Q24" s="6"/>
      <c r="R24" s="7"/>
      <c r="S24" s="8"/>
      <c r="T24" s="9"/>
      <c r="U24" s="10"/>
      <c r="V24" s="7"/>
      <c r="W24" s="6"/>
      <c r="X24" s="10"/>
      <c r="Y24" s="10"/>
      <c r="Z24" s="11"/>
      <c r="AA24" s="10"/>
      <c r="AB24" s="10"/>
      <c r="AC24" s="7"/>
      <c r="AD24" s="5"/>
      <c r="AE24" s="11"/>
      <c r="AF24" s="10"/>
      <c r="AG24" s="10"/>
      <c r="AH24" s="13"/>
      <c r="AI24" s="10"/>
      <c r="AJ24" s="7"/>
      <c r="AK24" s="5"/>
      <c r="AL24" s="14"/>
      <c r="AM24" s="11"/>
      <c r="AN24" s="11"/>
      <c r="AO24" s="11"/>
      <c r="AP24" s="11"/>
      <c r="AQ24" s="4"/>
      <c r="AR24" s="11"/>
      <c r="AS24" s="11"/>
      <c r="AT24" s="4"/>
      <c r="AU24" s="15"/>
      <c r="AV24" s="11"/>
      <c r="AW24" s="11"/>
      <c r="AX24" s="11"/>
      <c r="AY24" s="11"/>
      <c r="AZ24" s="11"/>
      <c r="BA24" s="11"/>
      <c r="BB24" s="11"/>
      <c r="BC24" s="11"/>
      <c r="BD24" s="4"/>
      <c r="BE24" s="10"/>
      <c r="BF24" s="10"/>
      <c r="BG24" s="10"/>
      <c r="BH24" s="10"/>
      <c r="BI24" s="11"/>
      <c r="BJ24" s="11"/>
      <c r="BK24" s="11"/>
    </row>
    <row r="25" ht="14.4" spans="2:63">
      <c r="B25" s="3"/>
      <c r="C25" s="4"/>
      <c r="D25" s="4"/>
      <c r="E25" s="4"/>
      <c r="F25" s="3"/>
      <c r="G25" s="4"/>
      <c r="H25" s="5"/>
      <c r="I25" s="4"/>
      <c r="J25" s="5"/>
      <c r="K25" s="3"/>
      <c r="L25" s="3"/>
      <c r="M25" s="3"/>
      <c r="N25" s="3"/>
      <c r="O25" s="3"/>
      <c r="P25" s="6"/>
      <c r="Q25" s="6"/>
      <c r="R25" s="7"/>
      <c r="S25" s="8"/>
      <c r="T25" s="9"/>
      <c r="U25" s="10"/>
      <c r="V25" s="7"/>
      <c r="W25" s="6"/>
      <c r="X25" s="10"/>
      <c r="Y25" s="6"/>
      <c r="Z25" s="11"/>
      <c r="AA25" s="10"/>
      <c r="AB25" s="10"/>
      <c r="AC25" s="5"/>
      <c r="AD25" s="5"/>
      <c r="AE25" s="11"/>
      <c r="AF25" s="10"/>
      <c r="AG25" s="10"/>
      <c r="AH25" s="13"/>
      <c r="AI25" s="10"/>
      <c r="AJ25" s="7"/>
      <c r="AK25" s="5"/>
      <c r="AL25" s="14"/>
      <c r="AM25" s="11"/>
      <c r="AN25" s="11"/>
      <c r="AO25" s="11"/>
      <c r="AP25" s="11"/>
      <c r="AQ25" s="4"/>
      <c r="AR25" s="11"/>
      <c r="AS25" s="11"/>
      <c r="AT25" s="4"/>
      <c r="AU25" s="15"/>
      <c r="AV25" s="11"/>
      <c r="AW25" s="11"/>
      <c r="AX25" s="11"/>
      <c r="AY25" s="11"/>
      <c r="AZ25" s="11"/>
      <c r="BA25" s="11"/>
      <c r="BB25" s="11"/>
      <c r="BC25" s="11"/>
      <c r="BD25" s="4"/>
      <c r="BE25" s="5"/>
      <c r="BF25" s="10"/>
      <c r="BG25" s="10"/>
      <c r="BH25" s="10"/>
      <c r="BI25" s="11"/>
      <c r="BJ25" s="11"/>
      <c r="BK25" s="11"/>
    </row>
    <row r="26" ht="14.4" spans="2:63">
      <c r="B26" s="3"/>
      <c r="C26" s="4"/>
      <c r="D26" s="4"/>
      <c r="E26" s="4"/>
      <c r="F26" s="3"/>
      <c r="G26" s="4"/>
      <c r="H26" s="5"/>
      <c r="I26" s="4"/>
      <c r="J26" s="5"/>
      <c r="K26" s="3"/>
      <c r="L26" s="3"/>
      <c r="M26" s="3"/>
      <c r="N26" s="3"/>
      <c r="O26" s="3"/>
      <c r="P26" s="6"/>
      <c r="Q26" s="6"/>
      <c r="R26" s="7"/>
      <c r="S26" s="8"/>
      <c r="T26" s="9"/>
      <c r="U26" s="10"/>
      <c r="V26" s="7"/>
      <c r="W26" s="6"/>
      <c r="X26" s="10"/>
      <c r="Y26" s="10"/>
      <c r="Z26" s="11"/>
      <c r="AA26" s="10"/>
      <c r="AB26" s="5"/>
      <c r="AC26" s="5"/>
      <c r="AD26" s="5"/>
      <c r="AE26" s="12"/>
      <c r="AF26" s="10"/>
      <c r="AG26" s="10"/>
      <c r="AH26" s="13"/>
      <c r="AI26" s="10"/>
      <c r="AJ26" s="7"/>
      <c r="AK26" s="5"/>
      <c r="AL26" s="14"/>
      <c r="AM26" s="11"/>
      <c r="AN26" s="11"/>
      <c r="AO26" s="11"/>
      <c r="AP26" s="11"/>
      <c r="AQ26" s="4"/>
      <c r="AR26" s="11"/>
      <c r="AS26" s="11"/>
      <c r="AT26" s="4"/>
      <c r="AU26" s="15"/>
      <c r="AV26" s="11"/>
      <c r="AW26" s="11"/>
      <c r="AX26" s="11"/>
      <c r="AY26" s="11"/>
      <c r="AZ26" s="11"/>
      <c r="BA26" s="11"/>
      <c r="BB26" s="11"/>
      <c r="BC26" s="11"/>
      <c r="BD26" s="4"/>
      <c r="BE26" s="5"/>
      <c r="BF26" s="10"/>
      <c r="BG26" s="10"/>
      <c r="BH26" s="10"/>
      <c r="BI26" s="11"/>
      <c r="BJ26" s="11"/>
      <c r="BK26" s="11"/>
    </row>
    <row r="27" ht="14.4" spans="2:63">
      <c r="B27" s="3"/>
      <c r="C27" s="4"/>
      <c r="D27" s="4"/>
      <c r="E27" s="4"/>
      <c r="F27" s="3"/>
      <c r="G27" s="4"/>
      <c r="H27" s="5"/>
      <c r="I27" s="4"/>
      <c r="J27" s="5"/>
      <c r="K27" s="3"/>
      <c r="L27" s="3"/>
      <c r="M27" s="3"/>
      <c r="N27" s="3"/>
      <c r="O27" s="3"/>
      <c r="P27" s="6"/>
      <c r="Q27" s="6"/>
      <c r="R27" s="7"/>
      <c r="S27" s="8"/>
      <c r="T27" s="9"/>
      <c r="U27" s="10"/>
      <c r="V27" s="7"/>
      <c r="W27" s="6"/>
      <c r="X27" s="10"/>
      <c r="Y27" s="10"/>
      <c r="Z27" s="11"/>
      <c r="AA27" s="10"/>
      <c r="AB27" s="10"/>
      <c r="AC27" s="5"/>
      <c r="AD27" s="5"/>
      <c r="AE27" s="11"/>
      <c r="AF27" s="10"/>
      <c r="AG27" s="10"/>
      <c r="AH27" s="13"/>
      <c r="AI27" s="10"/>
      <c r="AJ27" s="7"/>
      <c r="AK27" s="5"/>
      <c r="AL27" s="14"/>
      <c r="AM27" s="11"/>
      <c r="AN27" s="11"/>
      <c r="AO27" s="11"/>
      <c r="AP27" s="11"/>
      <c r="AQ27" s="4"/>
      <c r="AR27" s="11"/>
      <c r="AS27" s="11"/>
      <c r="AT27" s="4"/>
      <c r="AU27" s="15"/>
      <c r="AV27" s="11"/>
      <c r="AW27" s="11"/>
      <c r="AX27" s="11"/>
      <c r="AY27" s="11"/>
      <c r="AZ27" s="11"/>
      <c r="BA27" s="11"/>
      <c r="BB27" s="11"/>
      <c r="BC27" s="11"/>
      <c r="BD27" s="4"/>
      <c r="BE27" s="5"/>
      <c r="BF27" s="10"/>
      <c r="BG27" s="10"/>
      <c r="BH27" s="10"/>
      <c r="BI27" s="11"/>
      <c r="BJ27" s="11"/>
      <c r="BK27" s="11"/>
    </row>
    <row r="28" ht="14.4" spans="2:63">
      <c r="B28" s="3"/>
      <c r="C28" s="4"/>
      <c r="D28" s="4"/>
      <c r="E28" s="4"/>
      <c r="F28" s="3"/>
      <c r="G28" s="4"/>
      <c r="H28" s="5"/>
      <c r="I28" s="4"/>
      <c r="J28" s="5"/>
      <c r="K28" s="3"/>
      <c r="L28" s="3"/>
      <c r="M28" s="3"/>
      <c r="N28" s="3"/>
      <c r="O28" s="3"/>
      <c r="P28" s="6"/>
      <c r="Q28" s="6"/>
      <c r="R28" s="7"/>
      <c r="S28" s="8"/>
      <c r="T28" s="9"/>
      <c r="U28" s="10"/>
      <c r="V28" s="7"/>
      <c r="W28" s="6"/>
      <c r="X28" s="10"/>
      <c r="Y28" s="10"/>
      <c r="Z28" s="11"/>
      <c r="AA28" s="10"/>
      <c r="AB28" s="5"/>
      <c r="AC28" s="5"/>
      <c r="AD28" s="10"/>
      <c r="AE28" s="11"/>
      <c r="AF28" s="10"/>
      <c r="AG28" s="10"/>
      <c r="AH28" s="13"/>
      <c r="AI28" s="10"/>
      <c r="AJ28" s="7"/>
      <c r="AK28" s="5"/>
      <c r="AL28" s="14"/>
      <c r="AM28" s="12"/>
      <c r="AN28" s="11"/>
      <c r="AO28" s="11"/>
      <c r="AP28" s="11"/>
      <c r="AQ28" s="4"/>
      <c r="AR28" s="11"/>
      <c r="AS28" s="11"/>
      <c r="AT28" s="4"/>
      <c r="AU28" s="15"/>
      <c r="AV28" s="11"/>
      <c r="AW28" s="11"/>
      <c r="AX28" s="11"/>
      <c r="AY28" s="11"/>
      <c r="AZ28" s="11"/>
      <c r="BA28" s="11"/>
      <c r="BB28" s="11"/>
      <c r="BC28" s="11"/>
      <c r="BD28" s="4"/>
      <c r="BE28" s="10"/>
      <c r="BF28" s="10"/>
      <c r="BG28" s="10"/>
      <c r="BH28" s="10"/>
      <c r="BI28" s="11"/>
      <c r="BJ28" s="11"/>
      <c r="BK28" s="11"/>
    </row>
    <row r="29" ht="14.4" spans="2:63">
      <c r="B29" s="3"/>
      <c r="C29" s="4"/>
      <c r="D29" s="4"/>
      <c r="E29" s="4"/>
      <c r="F29" s="3"/>
      <c r="G29" s="4"/>
      <c r="H29" s="5"/>
      <c r="I29" s="4"/>
      <c r="J29" s="5"/>
      <c r="K29" s="3"/>
      <c r="L29" s="3"/>
      <c r="M29" s="3"/>
      <c r="N29" s="3"/>
      <c r="O29" s="3"/>
      <c r="P29" s="6"/>
      <c r="Q29" s="6"/>
      <c r="R29" s="7"/>
      <c r="S29" s="8"/>
      <c r="T29" s="9"/>
      <c r="U29" s="10"/>
      <c r="V29" s="7"/>
      <c r="W29" s="6"/>
      <c r="X29" s="10"/>
      <c r="Y29" s="10"/>
      <c r="Z29" s="11"/>
      <c r="AA29" s="10"/>
      <c r="AB29" s="10"/>
      <c r="AC29" s="5"/>
      <c r="AD29" s="5"/>
      <c r="AE29" s="11"/>
      <c r="AF29" s="10"/>
      <c r="AG29" s="10"/>
      <c r="AH29" s="13"/>
      <c r="AI29" s="10"/>
      <c r="AJ29" s="7"/>
      <c r="AK29" s="5"/>
      <c r="AL29" s="14"/>
      <c r="AM29" s="11"/>
      <c r="AN29" s="11"/>
      <c r="AO29" s="11"/>
      <c r="AP29" s="11"/>
      <c r="AQ29" s="4"/>
      <c r="AR29" s="11"/>
      <c r="AS29" s="11"/>
      <c r="AT29" s="4"/>
      <c r="AU29" s="15"/>
      <c r="AV29" s="11"/>
      <c r="AW29" s="11"/>
      <c r="AX29" s="11"/>
      <c r="AY29" s="11"/>
      <c r="AZ29" s="11"/>
      <c r="BA29" s="11"/>
      <c r="BB29" s="11"/>
      <c r="BC29" s="11"/>
      <c r="BD29" s="4"/>
      <c r="BE29" s="5"/>
      <c r="BF29" s="10"/>
      <c r="BG29" s="10"/>
      <c r="BH29" s="10"/>
      <c r="BI29" s="11"/>
      <c r="BJ29" s="11"/>
      <c r="BK29" s="11"/>
    </row>
    <row r="30" ht="14.4" spans="2:63">
      <c r="B30" s="3"/>
      <c r="C30" s="4"/>
      <c r="D30" s="4"/>
      <c r="E30" s="4"/>
      <c r="F30" s="3"/>
      <c r="G30" s="4"/>
      <c r="H30" s="5"/>
      <c r="I30" s="4"/>
      <c r="J30" s="5"/>
      <c r="K30" s="3"/>
      <c r="L30" s="3"/>
      <c r="M30" s="3"/>
      <c r="N30" s="3"/>
      <c r="O30" s="3"/>
      <c r="P30" s="6"/>
      <c r="Q30" s="6"/>
      <c r="R30" s="7"/>
      <c r="S30" s="8"/>
      <c r="T30" s="9"/>
      <c r="U30" s="10"/>
      <c r="V30" s="7"/>
      <c r="W30" s="6"/>
      <c r="X30" s="10"/>
      <c r="Y30" s="6"/>
      <c r="Z30" s="11"/>
      <c r="AA30" s="10"/>
      <c r="AB30" s="5"/>
      <c r="AC30" s="5"/>
      <c r="AD30" s="5"/>
      <c r="AE30" s="11"/>
      <c r="AF30" s="10"/>
      <c r="AG30" s="10"/>
      <c r="AH30" s="13"/>
      <c r="AI30" s="10"/>
      <c r="AJ30" s="7"/>
      <c r="AK30" s="5"/>
      <c r="AL30" s="14"/>
      <c r="AM30" s="11"/>
      <c r="AN30" s="11"/>
      <c r="AO30" s="11"/>
      <c r="AP30" s="11"/>
      <c r="AQ30" s="4"/>
      <c r="AR30" s="11"/>
      <c r="AS30" s="11"/>
      <c r="AT30" s="4"/>
      <c r="AU30" s="15"/>
      <c r="AV30" s="11"/>
      <c r="AW30" s="11"/>
      <c r="AX30" s="11"/>
      <c r="AY30" s="11"/>
      <c r="AZ30" s="11"/>
      <c r="BA30" s="11"/>
      <c r="BB30" s="11"/>
      <c r="BC30" s="11"/>
      <c r="BD30" s="4"/>
      <c r="BE30" s="5"/>
      <c r="BF30" s="10"/>
      <c r="BG30" s="10"/>
      <c r="BH30" s="10"/>
      <c r="BI30" s="11"/>
      <c r="BJ30" s="11"/>
      <c r="BK30" s="11"/>
    </row>
    <row r="31" ht="14.4" spans="2:63">
      <c r="B31" s="3"/>
      <c r="C31" s="4"/>
      <c r="D31" s="4"/>
      <c r="E31" s="4"/>
      <c r="F31" s="3"/>
      <c r="G31" s="4"/>
      <c r="H31" s="5"/>
      <c r="I31" s="4"/>
      <c r="J31" s="5"/>
      <c r="K31" s="3"/>
      <c r="L31" s="3"/>
      <c r="M31" s="3"/>
      <c r="N31" s="3"/>
      <c r="O31" s="3"/>
      <c r="P31" s="6"/>
      <c r="Q31" s="6"/>
      <c r="R31" s="7"/>
      <c r="S31" s="8"/>
      <c r="T31" s="9"/>
      <c r="U31" s="10"/>
      <c r="V31" s="7"/>
      <c r="W31" s="6"/>
      <c r="X31" s="10"/>
      <c r="Y31" s="10"/>
      <c r="Z31" s="11"/>
      <c r="AA31" s="10"/>
      <c r="AB31" s="5"/>
      <c r="AC31" s="5"/>
      <c r="AD31" s="10"/>
      <c r="AE31" s="12"/>
      <c r="AF31" s="10"/>
      <c r="AG31" s="10"/>
      <c r="AH31" s="13"/>
      <c r="AI31" s="10"/>
      <c r="AJ31" s="7"/>
      <c r="AK31" s="5"/>
      <c r="AL31" s="14"/>
      <c r="AM31" s="12"/>
      <c r="AN31" s="11"/>
      <c r="AO31" s="11"/>
      <c r="AP31" s="11"/>
      <c r="AQ31" s="4"/>
      <c r="AR31" s="11"/>
      <c r="AS31" s="11"/>
      <c r="AT31" s="4"/>
      <c r="AU31" s="15"/>
      <c r="AV31" s="11"/>
      <c r="AW31" s="11"/>
      <c r="AX31" s="11"/>
      <c r="AY31" s="11"/>
      <c r="AZ31" s="11"/>
      <c r="BA31" s="11"/>
      <c r="BB31" s="11"/>
      <c r="BC31" s="11"/>
      <c r="BD31" s="4"/>
      <c r="BE31" s="5"/>
      <c r="BF31" s="10"/>
      <c r="BG31" s="10"/>
      <c r="BH31" s="10"/>
      <c r="BI31" s="11"/>
      <c r="BJ31" s="11"/>
      <c r="BK31" s="11"/>
    </row>
    <row r="32" ht="14.4" spans="2:63">
      <c r="B32" s="3"/>
      <c r="C32" s="4"/>
      <c r="D32" s="4"/>
      <c r="E32" s="4"/>
      <c r="F32" s="3"/>
      <c r="G32" s="4"/>
      <c r="H32" s="5"/>
      <c r="I32" s="4"/>
      <c r="J32" s="5"/>
      <c r="K32" s="3"/>
      <c r="L32" s="3"/>
      <c r="M32" s="3"/>
      <c r="N32" s="3"/>
      <c r="O32" s="3"/>
      <c r="P32" s="6"/>
      <c r="Q32" s="6"/>
      <c r="R32" s="7"/>
      <c r="S32" s="8"/>
      <c r="T32" s="9"/>
      <c r="U32" s="10"/>
      <c r="V32" s="7"/>
      <c r="W32" s="10"/>
      <c r="X32" s="10"/>
      <c r="Y32" s="10"/>
      <c r="Z32" s="11"/>
      <c r="AA32" s="10"/>
      <c r="AB32" s="5"/>
      <c r="AC32" s="5"/>
      <c r="AD32" s="5"/>
      <c r="AE32" s="11"/>
      <c r="AF32" s="10"/>
      <c r="AG32" s="10"/>
      <c r="AH32" s="13"/>
      <c r="AI32" s="10"/>
      <c r="AJ32" s="7"/>
      <c r="AK32" s="5"/>
      <c r="AL32" s="14"/>
      <c r="AM32" s="11"/>
      <c r="AN32" s="11"/>
      <c r="AO32" s="11"/>
      <c r="AP32" s="11"/>
      <c r="AQ32" s="4"/>
      <c r="AR32" s="11"/>
      <c r="AS32" s="11"/>
      <c r="AT32" s="4"/>
      <c r="AU32" s="15"/>
      <c r="AV32" s="11"/>
      <c r="AW32" s="11"/>
      <c r="AX32" s="11"/>
      <c r="AY32" s="11"/>
      <c r="AZ32" s="11"/>
      <c r="BA32" s="11"/>
      <c r="BB32" s="11"/>
      <c r="BC32" s="11"/>
      <c r="BD32" s="4"/>
      <c r="BE32" s="5"/>
      <c r="BF32" s="10"/>
      <c r="BG32" s="10"/>
      <c r="BH32" s="10"/>
      <c r="BI32" s="11"/>
      <c r="BJ32" s="11"/>
      <c r="BK32" s="11"/>
    </row>
    <row r="33" ht="14.4" spans="2:63">
      <c r="B33" s="3"/>
      <c r="C33" s="4"/>
      <c r="D33" s="4"/>
      <c r="E33" s="4"/>
      <c r="F33" s="3"/>
      <c r="G33" s="4"/>
      <c r="H33" s="5"/>
      <c r="I33" s="4"/>
      <c r="J33" s="5"/>
      <c r="K33" s="3"/>
      <c r="L33" s="3"/>
      <c r="M33" s="3"/>
      <c r="N33" s="3"/>
      <c r="O33" s="3"/>
      <c r="P33" s="6"/>
      <c r="Q33" s="6"/>
      <c r="R33" s="7"/>
      <c r="S33" s="8"/>
      <c r="T33" s="9"/>
      <c r="U33" s="10"/>
      <c r="V33" s="7"/>
      <c r="W33" s="6"/>
      <c r="X33" s="10"/>
      <c r="Y33" s="10"/>
      <c r="Z33" s="11"/>
      <c r="AA33" s="10"/>
      <c r="AB33" s="5"/>
      <c r="AC33" s="5"/>
      <c r="AD33" s="5"/>
      <c r="AE33" s="11"/>
      <c r="AF33" s="10"/>
      <c r="AG33" s="10"/>
      <c r="AH33" s="13"/>
      <c r="AI33" s="10"/>
      <c r="AJ33" s="7"/>
      <c r="AK33" s="5"/>
      <c r="AL33" s="14"/>
      <c r="AM33" s="11"/>
      <c r="AN33" s="11"/>
      <c r="AO33" s="11"/>
      <c r="AP33" s="11"/>
      <c r="AQ33" s="4"/>
      <c r="AR33" s="11"/>
      <c r="AS33" s="11"/>
      <c r="AT33" s="4"/>
      <c r="AU33" s="15"/>
      <c r="AV33" s="11"/>
      <c r="AW33" s="11"/>
      <c r="AX33" s="11"/>
      <c r="AY33" s="11"/>
      <c r="AZ33" s="11"/>
      <c r="BA33" s="11"/>
      <c r="BB33" s="11"/>
      <c r="BC33" s="11"/>
      <c r="BD33" s="4"/>
      <c r="BE33" s="5"/>
      <c r="BF33" s="10"/>
      <c r="BG33" s="10"/>
      <c r="BH33" s="10"/>
      <c r="BI33" s="11"/>
      <c r="BJ33" s="11"/>
      <c r="BK33" s="11"/>
    </row>
    <row r="34" ht="14.4" spans="2:63">
      <c r="B34" s="3"/>
      <c r="C34" s="4"/>
      <c r="D34" s="4"/>
      <c r="E34" s="4"/>
      <c r="F34" s="3"/>
      <c r="G34" s="4"/>
      <c r="H34" s="5"/>
      <c r="I34" s="4"/>
      <c r="J34" s="5"/>
      <c r="K34" s="3"/>
      <c r="L34" s="3"/>
      <c r="M34" s="3"/>
      <c r="N34" s="3"/>
      <c r="O34" s="3"/>
      <c r="P34" s="6"/>
      <c r="Q34" s="6"/>
      <c r="R34" s="7"/>
      <c r="S34" s="8"/>
      <c r="T34" s="9"/>
      <c r="U34" s="10"/>
      <c r="V34" s="7"/>
      <c r="W34" s="10"/>
      <c r="X34" s="10"/>
      <c r="Y34" s="10"/>
      <c r="Z34" s="11"/>
      <c r="AA34" s="10"/>
      <c r="AB34" s="5"/>
      <c r="AC34" s="5"/>
      <c r="AD34" s="5"/>
      <c r="AE34" s="11"/>
      <c r="AF34" s="10"/>
      <c r="AG34" s="10"/>
      <c r="AH34" s="13"/>
      <c r="AI34" s="10"/>
      <c r="AJ34" s="7"/>
      <c r="AK34" s="5"/>
      <c r="AL34" s="14"/>
      <c r="AM34" s="11"/>
      <c r="AN34" s="11"/>
      <c r="AO34" s="11"/>
      <c r="AP34" s="11"/>
      <c r="AQ34" s="4"/>
      <c r="AR34" s="11"/>
      <c r="AS34" s="11"/>
      <c r="AT34" s="4"/>
      <c r="AU34" s="15"/>
      <c r="AV34" s="11"/>
      <c r="AW34" s="11"/>
      <c r="AX34" s="11"/>
      <c r="AY34" s="11"/>
      <c r="AZ34" s="11"/>
      <c r="BA34" s="11"/>
      <c r="BB34" s="11"/>
      <c r="BC34" s="11"/>
      <c r="BD34" s="4"/>
      <c r="BE34" s="5"/>
      <c r="BF34" s="10"/>
      <c r="BG34" s="10"/>
      <c r="BH34" s="10"/>
      <c r="BI34" s="11"/>
      <c r="BJ34" s="11"/>
      <c r="BK34" s="11"/>
    </row>
    <row r="35" ht="14.4" spans="2:63">
      <c r="B35" s="3"/>
      <c r="C35" s="4"/>
      <c r="D35" s="4"/>
      <c r="E35" s="4"/>
      <c r="F35" s="3"/>
      <c r="G35" s="4"/>
      <c r="H35" s="5"/>
      <c r="I35" s="4"/>
      <c r="J35" s="5"/>
      <c r="K35" s="3"/>
      <c r="L35" s="3"/>
      <c r="M35" s="3"/>
      <c r="N35" s="3"/>
      <c r="O35" s="3"/>
      <c r="P35" s="6"/>
      <c r="Q35" s="6"/>
      <c r="R35" s="7"/>
      <c r="S35" s="8"/>
      <c r="T35" s="9"/>
      <c r="U35" s="10"/>
      <c r="V35" s="10"/>
      <c r="W35" s="10"/>
      <c r="X35" s="10"/>
      <c r="Y35" s="10"/>
      <c r="Z35" s="11"/>
      <c r="AA35" s="10"/>
      <c r="AB35" s="5"/>
      <c r="AC35" s="5"/>
      <c r="AD35" s="5"/>
      <c r="AE35" s="5"/>
      <c r="AF35" s="5"/>
      <c r="AG35" s="5"/>
      <c r="AH35" s="13"/>
      <c r="AI35" s="10"/>
      <c r="AJ35" s="7"/>
      <c r="AK35" s="5"/>
      <c r="AL35" s="14"/>
      <c r="AM35" s="11"/>
      <c r="AN35" s="11"/>
      <c r="AO35" s="11"/>
      <c r="AP35" s="11"/>
      <c r="AQ35" s="4"/>
      <c r="AR35" s="11"/>
      <c r="AS35" s="11"/>
      <c r="AT35" s="4"/>
      <c r="AU35" s="15"/>
      <c r="AV35" s="11"/>
      <c r="AW35" s="11"/>
      <c r="AX35" s="11"/>
      <c r="AY35" s="11"/>
      <c r="AZ35" s="11"/>
      <c r="BA35" s="11"/>
      <c r="BB35" s="11"/>
      <c r="BC35" s="11"/>
      <c r="BD35" s="4"/>
      <c r="BE35" s="5"/>
      <c r="BF35" s="10"/>
      <c r="BG35" s="10"/>
      <c r="BH35" s="10"/>
      <c r="BI35" s="11"/>
      <c r="BJ35" s="11"/>
      <c r="BK35" s="11"/>
    </row>
    <row r="36" ht="14.4" spans="2:63">
      <c r="B36" s="3"/>
      <c r="C36" s="4"/>
      <c r="D36" s="4"/>
      <c r="E36" s="4"/>
      <c r="F36" s="3"/>
      <c r="G36" s="4"/>
      <c r="H36" s="5"/>
      <c r="I36" s="4"/>
      <c r="J36" s="5"/>
      <c r="K36" s="3"/>
      <c r="L36" s="3"/>
      <c r="M36" s="3"/>
      <c r="N36" s="3"/>
      <c r="O36" s="3"/>
      <c r="P36" s="6"/>
      <c r="Q36" s="6"/>
      <c r="R36" s="7"/>
      <c r="S36" s="8"/>
      <c r="T36" s="9"/>
      <c r="U36" s="10"/>
      <c r="V36" s="7"/>
      <c r="W36" s="6"/>
      <c r="X36" s="10"/>
      <c r="Y36" s="10"/>
      <c r="Z36" s="11"/>
      <c r="AA36" s="10"/>
      <c r="AB36" s="10"/>
      <c r="AC36" s="5"/>
      <c r="AD36" s="5"/>
      <c r="AE36" s="11"/>
      <c r="AF36" s="10"/>
      <c r="AG36" s="10"/>
      <c r="AH36" s="13"/>
      <c r="AI36" s="10"/>
      <c r="AJ36" s="7"/>
      <c r="AK36" s="5"/>
      <c r="AL36" s="14"/>
      <c r="AM36" s="11"/>
      <c r="AN36" s="11"/>
      <c r="AO36" s="11"/>
      <c r="AP36" s="11"/>
      <c r="AQ36" s="4"/>
      <c r="AR36" s="11"/>
      <c r="AS36" s="11"/>
      <c r="AT36" s="4"/>
      <c r="AU36" s="15"/>
      <c r="AV36" s="11"/>
      <c r="AW36" s="11"/>
      <c r="AX36" s="11"/>
      <c r="AY36" s="11"/>
      <c r="AZ36" s="11"/>
      <c r="BA36" s="11"/>
      <c r="BB36" s="11"/>
      <c r="BC36" s="11"/>
      <c r="BD36" s="4"/>
      <c r="BE36" s="5"/>
      <c r="BF36" s="10"/>
      <c r="BG36" s="10"/>
      <c r="BH36" s="10"/>
      <c r="BI36" s="11"/>
      <c r="BJ36" s="11"/>
      <c r="BK36" s="11"/>
    </row>
    <row r="37" ht="14.4" spans="2:63">
      <c r="B37" s="3"/>
      <c r="C37" s="4"/>
      <c r="D37" s="4"/>
      <c r="E37" s="4"/>
      <c r="F37" s="3"/>
      <c r="G37" s="4"/>
      <c r="H37" s="5"/>
      <c r="I37" s="4"/>
      <c r="J37" s="5"/>
      <c r="K37" s="3"/>
      <c r="L37" s="3"/>
      <c r="M37" s="3"/>
      <c r="N37" s="3"/>
      <c r="O37" s="3"/>
      <c r="P37" s="6"/>
      <c r="Q37" s="5"/>
      <c r="R37" s="7"/>
      <c r="S37" s="8"/>
      <c r="T37" s="9"/>
      <c r="U37" s="10"/>
      <c r="V37" s="10"/>
      <c r="W37" s="10"/>
      <c r="X37" s="10"/>
      <c r="Y37" s="10"/>
      <c r="Z37" s="11"/>
      <c r="AA37" s="10"/>
      <c r="AB37" s="5"/>
      <c r="AC37" s="7"/>
      <c r="AD37" s="5"/>
      <c r="AE37" s="5"/>
      <c r="AF37" s="10"/>
      <c r="AG37" s="5"/>
      <c r="AH37" s="13"/>
      <c r="AI37" s="5"/>
      <c r="AJ37" s="7"/>
      <c r="AK37" s="5"/>
      <c r="AL37" s="14"/>
      <c r="AM37" s="11"/>
      <c r="AN37" s="11"/>
      <c r="AO37" s="11"/>
      <c r="AP37" s="11"/>
      <c r="AQ37" s="4"/>
      <c r="AR37" s="11"/>
      <c r="AS37" s="11"/>
      <c r="AT37" s="4"/>
      <c r="AU37" s="15"/>
      <c r="AV37" s="11"/>
      <c r="AW37" s="11"/>
      <c r="AX37" s="11"/>
      <c r="AY37" s="11"/>
      <c r="AZ37" s="11"/>
      <c r="BA37" s="11"/>
      <c r="BB37" s="11"/>
      <c r="BC37" s="11"/>
      <c r="BD37" s="4"/>
      <c r="BE37" s="5"/>
      <c r="BF37" s="10"/>
      <c r="BG37" s="10"/>
      <c r="BH37" s="10"/>
      <c r="BI37" s="11"/>
      <c r="BJ37" s="5"/>
      <c r="BK37" s="5"/>
    </row>
    <row r="38" ht="14.4" spans="2:63">
      <c r="B38" s="3"/>
      <c r="C38" s="4"/>
      <c r="D38" s="4"/>
      <c r="E38" s="4"/>
      <c r="F38" s="3"/>
      <c r="G38" s="4"/>
      <c r="H38" s="5"/>
      <c r="I38" s="4"/>
      <c r="J38" s="5"/>
      <c r="K38" s="3"/>
      <c r="L38" s="3"/>
      <c r="M38" s="3"/>
      <c r="N38" s="3"/>
      <c r="O38" s="3"/>
      <c r="P38" s="6"/>
      <c r="Q38" s="6"/>
      <c r="R38" s="7"/>
      <c r="S38" s="8"/>
      <c r="T38" s="9"/>
      <c r="U38" s="10"/>
      <c r="V38" s="7"/>
      <c r="W38" s="6"/>
      <c r="X38" s="10"/>
      <c r="Y38" s="6"/>
      <c r="Z38" s="11"/>
      <c r="AA38" s="10"/>
      <c r="AB38" s="5"/>
      <c r="AC38" s="5"/>
      <c r="AD38" s="5"/>
      <c r="AE38" s="11"/>
      <c r="AF38" s="10"/>
      <c r="AG38" s="10"/>
      <c r="AH38" s="13"/>
      <c r="AI38" s="10"/>
      <c r="AJ38" s="7"/>
      <c r="AK38" s="5"/>
      <c r="AL38" s="14"/>
      <c r="AM38" s="11"/>
      <c r="AN38" s="11"/>
      <c r="AO38" s="11"/>
      <c r="AP38" s="11"/>
      <c r="AQ38" s="4"/>
      <c r="AR38" s="11"/>
      <c r="AS38" s="11"/>
      <c r="AT38" s="4"/>
      <c r="AU38" s="15"/>
      <c r="AV38" s="11"/>
      <c r="AW38" s="11"/>
      <c r="AX38" s="11"/>
      <c r="AY38" s="11"/>
      <c r="AZ38" s="11"/>
      <c r="BA38" s="11"/>
      <c r="BB38" s="11"/>
      <c r="BC38" s="11"/>
      <c r="BD38" s="4"/>
      <c r="BE38" s="5"/>
      <c r="BF38" s="10"/>
      <c r="BG38" s="10"/>
      <c r="BH38" s="10"/>
      <c r="BI38" s="11"/>
      <c r="BJ38" s="11"/>
      <c r="BK38" s="11"/>
    </row>
    <row r="39" ht="14.4" spans="2:63">
      <c r="B39" s="3"/>
      <c r="C39" s="4"/>
      <c r="D39" s="4"/>
      <c r="E39" s="4"/>
      <c r="F39" s="3"/>
      <c r="G39" s="4"/>
      <c r="H39" s="5"/>
      <c r="I39" s="4"/>
      <c r="J39" s="5"/>
      <c r="K39" s="3"/>
      <c r="L39" s="3"/>
      <c r="M39" s="3"/>
      <c r="N39" s="3"/>
      <c r="O39" s="3"/>
      <c r="P39" s="6"/>
      <c r="Q39" s="6"/>
      <c r="R39" s="7"/>
      <c r="S39" s="8"/>
      <c r="T39" s="9"/>
      <c r="U39" s="10"/>
      <c r="V39" s="7"/>
      <c r="W39" s="10"/>
      <c r="X39" s="10"/>
      <c r="Y39" s="10"/>
      <c r="Z39" s="11"/>
      <c r="AA39" s="10"/>
      <c r="AB39" s="5"/>
      <c r="AC39" s="5"/>
      <c r="AD39" s="5"/>
      <c r="AE39" s="11"/>
      <c r="AF39" s="10"/>
      <c r="AG39" s="10"/>
      <c r="AH39" s="13"/>
      <c r="AI39" s="10"/>
      <c r="AJ39" s="7"/>
      <c r="AK39" s="5"/>
      <c r="AL39" s="14"/>
      <c r="AM39" s="11"/>
      <c r="AN39" s="11"/>
      <c r="AO39" s="11"/>
      <c r="AP39" s="11"/>
      <c r="AQ39" s="4"/>
      <c r="AR39" s="11"/>
      <c r="AS39" s="11"/>
      <c r="AT39" s="4"/>
      <c r="AU39" s="15"/>
      <c r="AV39" s="11"/>
      <c r="AW39" s="11"/>
      <c r="AX39" s="11"/>
      <c r="AY39" s="11"/>
      <c r="AZ39" s="11"/>
      <c r="BA39" s="11"/>
      <c r="BB39" s="11"/>
      <c r="BC39" s="11"/>
      <c r="BD39" s="4"/>
      <c r="BE39" s="5"/>
      <c r="BF39" s="10"/>
      <c r="BG39" s="10"/>
      <c r="BH39" s="10"/>
      <c r="BI39" s="11"/>
      <c r="BJ39" s="11"/>
      <c r="BK39" s="11"/>
    </row>
    <row r="40" ht="14.4" spans="2:63">
      <c r="B40" s="3"/>
      <c r="C40" s="4"/>
      <c r="D40" s="4"/>
      <c r="E40" s="4"/>
      <c r="F40" s="3"/>
      <c r="G40" s="4"/>
      <c r="H40" s="5"/>
      <c r="I40" s="4"/>
      <c r="J40" s="5"/>
      <c r="K40" s="3"/>
      <c r="L40" s="3"/>
      <c r="M40" s="3"/>
      <c r="N40" s="3"/>
      <c r="O40" s="3"/>
      <c r="P40" s="6"/>
      <c r="Q40" s="6"/>
      <c r="R40" s="7"/>
      <c r="S40" s="8"/>
      <c r="T40" s="9"/>
      <c r="U40" s="10"/>
      <c r="V40" s="7"/>
      <c r="W40" s="10"/>
      <c r="X40" s="10"/>
      <c r="Y40" s="10"/>
      <c r="Z40" s="11"/>
      <c r="AA40" s="10"/>
      <c r="AB40" s="10"/>
      <c r="AC40" s="7"/>
      <c r="AD40" s="5"/>
      <c r="AE40" s="11"/>
      <c r="AF40" s="10"/>
      <c r="AG40" s="10"/>
      <c r="AH40" s="13"/>
      <c r="AI40" s="10"/>
      <c r="AJ40" s="7"/>
      <c r="AK40" s="5"/>
      <c r="AL40" s="14"/>
      <c r="AM40" s="11"/>
      <c r="AN40" s="11"/>
      <c r="AO40" s="11"/>
      <c r="AP40" s="11"/>
      <c r="AQ40" s="4"/>
      <c r="AR40" s="11"/>
      <c r="AS40" s="11"/>
      <c r="AT40" s="4"/>
      <c r="AU40" s="15"/>
      <c r="AV40" s="11"/>
      <c r="AW40" s="11"/>
      <c r="AX40" s="11"/>
      <c r="AY40" s="11"/>
      <c r="AZ40" s="11"/>
      <c r="BA40" s="11"/>
      <c r="BB40" s="11"/>
      <c r="BC40" s="11"/>
      <c r="BD40" s="4"/>
      <c r="BE40" s="5"/>
      <c r="BF40" s="10"/>
      <c r="BG40" s="10"/>
      <c r="BH40" s="10"/>
      <c r="BI40" s="11"/>
      <c r="BJ40" s="11"/>
      <c r="BK40" s="11"/>
    </row>
    <row r="41" ht="14.4" spans="2:63">
      <c r="B41" s="3"/>
      <c r="C41" s="4"/>
      <c r="D41" s="4"/>
      <c r="E41" s="4"/>
      <c r="F41" s="3"/>
      <c r="G41" s="4"/>
      <c r="H41" s="5"/>
      <c r="I41" s="4"/>
      <c r="J41" s="5"/>
      <c r="K41" s="3"/>
      <c r="L41" s="3"/>
      <c r="M41" s="3"/>
      <c r="N41" s="3"/>
      <c r="O41" s="3"/>
      <c r="P41" s="6"/>
      <c r="Q41" s="6"/>
      <c r="R41" s="7"/>
      <c r="S41" s="8"/>
      <c r="T41" s="9"/>
      <c r="U41" s="10"/>
      <c r="V41" s="7"/>
      <c r="W41" s="6"/>
      <c r="X41" s="10"/>
      <c r="Y41" s="10"/>
      <c r="Z41" s="11"/>
      <c r="AA41" s="10"/>
      <c r="AB41" s="5"/>
      <c r="AC41" s="5"/>
      <c r="AD41" s="5"/>
      <c r="AE41" s="11"/>
      <c r="AF41" s="10"/>
      <c r="AG41" s="10"/>
      <c r="AH41" s="13"/>
      <c r="AI41" s="10"/>
      <c r="AJ41" s="7"/>
      <c r="AK41" s="5"/>
      <c r="AL41" s="14"/>
      <c r="AM41" s="11"/>
      <c r="AN41" s="11"/>
      <c r="AO41" s="11"/>
      <c r="AP41" s="11"/>
      <c r="AQ41" s="4"/>
      <c r="AR41" s="11"/>
      <c r="AS41" s="11"/>
      <c r="AT41" s="4"/>
      <c r="AU41" s="15"/>
      <c r="AV41" s="11"/>
      <c r="AW41" s="11"/>
      <c r="AX41" s="11"/>
      <c r="AY41" s="11"/>
      <c r="AZ41" s="11"/>
      <c r="BA41" s="11"/>
      <c r="BB41" s="11"/>
      <c r="BC41" s="11"/>
      <c r="BD41" s="4"/>
      <c r="BE41" s="5"/>
      <c r="BF41" s="10"/>
      <c r="BG41" s="10"/>
      <c r="BH41" s="10"/>
      <c r="BI41" s="11"/>
      <c r="BJ41" s="11"/>
      <c r="BK41" s="11"/>
    </row>
    <row r="42" ht="14.4" spans="2:63">
      <c r="B42" s="3"/>
      <c r="C42" s="4"/>
      <c r="D42" s="4"/>
      <c r="E42" s="4"/>
      <c r="F42" s="3"/>
      <c r="G42" s="4"/>
      <c r="H42" s="5"/>
      <c r="I42" s="4"/>
      <c r="J42" s="5"/>
      <c r="K42" s="3"/>
      <c r="L42" s="3"/>
      <c r="M42" s="3"/>
      <c r="N42" s="3"/>
      <c r="O42" s="3"/>
      <c r="P42" s="6"/>
      <c r="Q42" s="6"/>
      <c r="R42" s="7"/>
      <c r="S42" s="8"/>
      <c r="T42" s="9"/>
      <c r="U42" s="10"/>
      <c r="V42" s="10"/>
      <c r="W42" s="6"/>
      <c r="X42" s="10"/>
      <c r="Y42" s="10"/>
      <c r="Z42" s="11"/>
      <c r="AA42" s="10"/>
      <c r="AB42" s="5"/>
      <c r="AC42" s="5"/>
      <c r="AD42" s="5"/>
      <c r="AE42" s="11"/>
      <c r="AF42" s="10"/>
      <c r="AG42" s="10"/>
      <c r="AH42" s="13"/>
      <c r="AI42" s="10"/>
      <c r="AJ42" s="7"/>
      <c r="AK42" s="5"/>
      <c r="AL42" s="14"/>
      <c r="AM42" s="11"/>
      <c r="AN42" s="11"/>
      <c r="AO42" s="11"/>
      <c r="AP42" s="11"/>
      <c r="AQ42" s="4"/>
      <c r="AR42" s="11"/>
      <c r="AS42" s="11"/>
      <c r="AT42" s="4"/>
      <c r="AU42" s="15"/>
      <c r="AV42" s="11"/>
      <c r="AW42" s="11"/>
      <c r="AX42" s="11"/>
      <c r="AY42" s="11"/>
      <c r="AZ42" s="11"/>
      <c r="BA42" s="11"/>
      <c r="BB42" s="11"/>
      <c r="BC42" s="11"/>
      <c r="BD42" s="4"/>
      <c r="BE42" s="5"/>
      <c r="BF42" s="10"/>
      <c r="BG42" s="10"/>
      <c r="BH42" s="10"/>
      <c r="BI42" s="11"/>
      <c r="BJ42" s="11"/>
      <c r="BK42" s="11"/>
    </row>
    <row r="43" ht="14.4" spans="2:63">
      <c r="B43" s="3"/>
      <c r="C43" s="4"/>
      <c r="D43" s="4"/>
      <c r="E43" s="4"/>
      <c r="F43" s="3"/>
      <c r="G43" s="4"/>
      <c r="H43" s="5"/>
      <c r="I43" s="4"/>
      <c r="J43" s="5"/>
      <c r="K43" s="3"/>
      <c r="L43" s="3"/>
      <c r="M43" s="3"/>
      <c r="N43" s="3"/>
      <c r="O43" s="3"/>
      <c r="P43" s="6"/>
      <c r="Q43" s="6"/>
      <c r="R43" s="7"/>
      <c r="S43" s="8"/>
      <c r="T43" s="9"/>
      <c r="U43" s="10"/>
      <c r="V43" s="10"/>
      <c r="W43" s="6"/>
      <c r="X43" s="10"/>
      <c r="Y43" s="10"/>
      <c r="Z43" s="11"/>
      <c r="AA43" s="10"/>
      <c r="AB43" s="5"/>
      <c r="AC43" s="5"/>
      <c r="AD43" s="5"/>
      <c r="AE43" s="11"/>
      <c r="AF43" s="10"/>
      <c r="AG43" s="10"/>
      <c r="AH43" s="13"/>
      <c r="AI43" s="10"/>
      <c r="AJ43" s="7"/>
      <c r="AK43" s="5"/>
      <c r="AL43" s="14"/>
      <c r="AM43" s="11"/>
      <c r="AN43" s="11"/>
      <c r="AO43" s="11"/>
      <c r="AP43" s="11"/>
      <c r="AQ43" s="4"/>
      <c r="AR43" s="11"/>
      <c r="AS43" s="11"/>
      <c r="AT43" s="4"/>
      <c r="AU43" s="15"/>
      <c r="AV43" s="11"/>
      <c r="AW43" s="11"/>
      <c r="AX43" s="11"/>
      <c r="AY43" s="11"/>
      <c r="AZ43" s="11"/>
      <c r="BA43" s="11"/>
      <c r="BB43" s="11"/>
      <c r="BC43" s="11"/>
      <c r="BD43" s="4"/>
      <c r="BE43" s="5"/>
      <c r="BF43" s="10"/>
      <c r="BG43" s="10"/>
      <c r="BH43" s="10"/>
      <c r="BI43" s="11"/>
      <c r="BJ43" s="11"/>
      <c r="BK43" s="11"/>
    </row>
    <row r="44" ht="14.4" spans="2:63">
      <c r="B44" s="3"/>
      <c r="C44" s="4"/>
      <c r="D44" s="4"/>
      <c r="E44" s="4"/>
      <c r="F44" s="3"/>
      <c r="G44" s="4"/>
      <c r="H44" s="5"/>
      <c r="I44" s="4"/>
      <c r="J44" s="5"/>
      <c r="K44" s="3"/>
      <c r="L44" s="3"/>
      <c r="M44" s="3"/>
      <c r="N44" s="3"/>
      <c r="O44" s="3"/>
      <c r="P44" s="6"/>
      <c r="Q44" s="6"/>
      <c r="R44" s="7"/>
      <c r="S44" s="8"/>
      <c r="T44" s="9"/>
      <c r="U44" s="10"/>
      <c r="V44" s="7"/>
      <c r="W44" s="10"/>
      <c r="X44" s="10"/>
      <c r="Y44" s="10"/>
      <c r="Z44" s="11"/>
      <c r="AA44" s="10"/>
      <c r="AB44" s="5"/>
      <c r="AC44" s="5"/>
      <c r="AD44" s="5"/>
      <c r="AE44" s="11"/>
      <c r="AF44" s="10"/>
      <c r="AG44" s="10"/>
      <c r="AH44" s="13"/>
      <c r="AI44" s="10"/>
      <c r="AJ44" s="7"/>
      <c r="AK44" s="5"/>
      <c r="AL44" s="14"/>
      <c r="AM44" s="11"/>
      <c r="AN44" s="11"/>
      <c r="AO44" s="11"/>
      <c r="AP44" s="11"/>
      <c r="AQ44" s="4"/>
      <c r="AR44" s="11"/>
      <c r="AS44" s="11"/>
      <c r="AT44" s="4"/>
      <c r="AU44" s="15"/>
      <c r="AV44" s="11"/>
      <c r="AW44" s="11"/>
      <c r="AX44" s="11"/>
      <c r="AY44" s="11"/>
      <c r="AZ44" s="11"/>
      <c r="BA44" s="11"/>
      <c r="BB44" s="11"/>
      <c r="BC44" s="11"/>
      <c r="BD44" s="4"/>
      <c r="BE44" s="5"/>
      <c r="BF44" s="10"/>
      <c r="BG44" s="10"/>
      <c r="BH44" s="10"/>
      <c r="BI44" s="11"/>
      <c r="BJ44" s="11"/>
      <c r="BK44" s="11"/>
    </row>
    <row r="45" ht="14.4" spans="2:63">
      <c r="B45" s="3"/>
      <c r="C45" s="4"/>
      <c r="D45" s="4"/>
      <c r="E45" s="4"/>
      <c r="F45" s="3"/>
      <c r="G45" s="4"/>
      <c r="H45" s="5"/>
      <c r="I45" s="4"/>
      <c r="J45" s="5"/>
      <c r="K45" s="3"/>
      <c r="L45" s="3"/>
      <c r="M45" s="3"/>
      <c r="N45" s="3"/>
      <c r="O45" s="3"/>
      <c r="P45" s="6"/>
      <c r="Q45" s="6"/>
      <c r="R45" s="7"/>
      <c r="S45" s="8"/>
      <c r="T45" s="9"/>
      <c r="U45" s="10"/>
      <c r="V45" s="7"/>
      <c r="W45" s="10"/>
      <c r="X45" s="10"/>
      <c r="Y45" s="10"/>
      <c r="Z45" s="11"/>
      <c r="AA45" s="10"/>
      <c r="AB45" s="5"/>
      <c r="AC45" s="5"/>
      <c r="AD45" s="5"/>
      <c r="AE45" s="11"/>
      <c r="AF45" s="10"/>
      <c r="AG45" s="10"/>
      <c r="AH45" s="13"/>
      <c r="AI45" s="10"/>
      <c r="AJ45" s="7"/>
      <c r="AK45" s="5"/>
      <c r="AL45" s="14"/>
      <c r="AM45" s="11"/>
      <c r="AN45" s="11"/>
      <c r="AO45" s="11"/>
      <c r="AP45" s="11"/>
      <c r="AQ45" s="4"/>
      <c r="AR45" s="11"/>
      <c r="AS45" s="11"/>
      <c r="AT45" s="4"/>
      <c r="AU45" s="15"/>
      <c r="AV45" s="11"/>
      <c r="AW45" s="11"/>
      <c r="AX45" s="11"/>
      <c r="AY45" s="11"/>
      <c r="AZ45" s="11"/>
      <c r="BA45" s="11"/>
      <c r="BB45" s="11"/>
      <c r="BC45" s="11"/>
      <c r="BD45" s="4"/>
      <c r="BE45" s="5"/>
      <c r="BF45" s="10"/>
      <c r="BG45" s="10"/>
      <c r="BH45" s="10"/>
      <c r="BI45" s="11"/>
      <c r="BJ45" s="11"/>
      <c r="BK45" s="11"/>
    </row>
    <row r="46" ht="14.4" spans="2:63">
      <c r="B46" s="3"/>
      <c r="C46" s="4"/>
      <c r="D46" s="4"/>
      <c r="E46" s="4"/>
      <c r="F46" s="3"/>
      <c r="G46" s="4"/>
      <c r="H46" s="5"/>
      <c r="I46" s="4"/>
      <c r="J46" s="5"/>
      <c r="K46" s="3"/>
      <c r="L46" s="3"/>
      <c r="M46" s="3"/>
      <c r="N46" s="3"/>
      <c r="O46" s="3"/>
      <c r="P46" s="6"/>
      <c r="Q46" s="6"/>
      <c r="R46" s="7"/>
      <c r="S46" s="8"/>
      <c r="T46" s="9"/>
      <c r="U46" s="10"/>
      <c r="V46" s="7"/>
      <c r="W46" s="10"/>
      <c r="X46" s="10"/>
      <c r="Y46" s="10"/>
      <c r="Z46" s="11"/>
      <c r="AA46" s="10"/>
      <c r="AB46" s="5"/>
      <c r="AC46" s="5"/>
      <c r="AD46" s="5"/>
      <c r="AE46" s="5"/>
      <c r="AF46" s="5"/>
      <c r="AG46" s="5"/>
      <c r="AH46" s="13"/>
      <c r="AI46" s="10"/>
      <c r="AJ46" s="7"/>
      <c r="AK46" s="5"/>
      <c r="AL46" s="14"/>
      <c r="AM46" s="11"/>
      <c r="AN46" s="11"/>
      <c r="AO46" s="11"/>
      <c r="AP46" s="11"/>
      <c r="AQ46" s="4"/>
      <c r="AR46" s="11"/>
      <c r="AS46" s="11"/>
      <c r="AT46" s="4"/>
      <c r="AU46" s="15"/>
      <c r="AV46" s="11"/>
      <c r="AW46" s="11"/>
      <c r="AX46" s="11"/>
      <c r="AY46" s="11"/>
      <c r="AZ46" s="11"/>
      <c r="BA46" s="11"/>
      <c r="BB46" s="11"/>
      <c r="BC46" s="11"/>
      <c r="BD46" s="4"/>
      <c r="BE46" s="5"/>
      <c r="BF46" s="10"/>
      <c r="BG46" s="10"/>
      <c r="BH46" s="10"/>
      <c r="BI46" s="11"/>
      <c r="BJ46" s="11"/>
      <c r="BK46" s="11"/>
    </row>
    <row r="47" ht="14.4" spans="2:63">
      <c r="B47" s="3"/>
      <c r="C47" s="4"/>
      <c r="D47" s="4"/>
      <c r="E47" s="4"/>
      <c r="F47" s="3"/>
      <c r="G47" s="4"/>
      <c r="H47" s="5"/>
      <c r="I47" s="4"/>
      <c r="J47" s="5"/>
      <c r="K47" s="3"/>
      <c r="L47" s="3"/>
      <c r="M47" s="3"/>
      <c r="N47" s="3"/>
      <c r="O47" s="3"/>
      <c r="P47" s="6"/>
      <c r="Q47" s="6"/>
      <c r="R47" s="7"/>
      <c r="S47" s="8"/>
      <c r="T47" s="9"/>
      <c r="U47" s="10"/>
      <c r="V47" s="7"/>
      <c r="W47" s="10"/>
      <c r="X47" s="10"/>
      <c r="Y47" s="10"/>
      <c r="Z47" s="11"/>
      <c r="AA47" s="10"/>
      <c r="AB47" s="10"/>
      <c r="AC47" s="7"/>
      <c r="AD47" s="5"/>
      <c r="AE47" s="11"/>
      <c r="AF47" s="10"/>
      <c r="AG47" s="10"/>
      <c r="AH47" s="13"/>
      <c r="AI47" s="10"/>
      <c r="AJ47" s="7"/>
      <c r="AK47" s="5"/>
      <c r="AL47" s="14"/>
      <c r="AM47" s="11"/>
      <c r="AN47" s="11"/>
      <c r="AO47" s="11"/>
      <c r="AP47" s="11"/>
      <c r="AQ47" s="4"/>
      <c r="AR47" s="11"/>
      <c r="AS47" s="11"/>
      <c r="AT47" s="4"/>
      <c r="AU47" s="15"/>
      <c r="AV47" s="11"/>
      <c r="AW47" s="11"/>
      <c r="AX47" s="11"/>
      <c r="AY47" s="11"/>
      <c r="AZ47" s="11"/>
      <c r="BA47" s="11"/>
      <c r="BB47" s="11"/>
      <c r="BC47" s="11"/>
      <c r="BD47" s="4"/>
      <c r="BE47" s="5"/>
      <c r="BF47" s="10"/>
      <c r="BG47" s="10"/>
      <c r="BH47" s="10"/>
      <c r="BI47" s="11"/>
      <c r="BJ47" s="11"/>
      <c r="BK47" s="11"/>
    </row>
    <row r="48" ht="14.4" spans="2:63">
      <c r="B48" s="3"/>
      <c r="C48" s="4"/>
      <c r="D48" s="4"/>
      <c r="E48" s="4"/>
      <c r="F48" s="3"/>
      <c r="G48" s="4"/>
      <c r="H48" s="5"/>
      <c r="I48" s="4"/>
      <c r="J48" s="5"/>
      <c r="K48" s="3"/>
      <c r="L48" s="3"/>
      <c r="M48" s="3"/>
      <c r="N48" s="3"/>
      <c r="O48" s="3"/>
      <c r="P48" s="6"/>
      <c r="Q48" s="6"/>
      <c r="R48" s="7"/>
      <c r="S48" s="8"/>
      <c r="T48" s="9"/>
      <c r="U48" s="10"/>
      <c r="V48" s="10"/>
      <c r="W48" s="6"/>
      <c r="X48" s="10"/>
      <c r="Y48" s="10"/>
      <c r="Z48" s="11"/>
      <c r="AA48" s="10"/>
      <c r="AB48" s="5"/>
      <c r="AC48" s="5"/>
      <c r="AD48" s="5"/>
      <c r="AE48" s="11"/>
      <c r="AF48" s="10"/>
      <c r="AG48" s="10"/>
      <c r="AH48" s="13"/>
      <c r="AI48" s="10"/>
      <c r="AJ48" s="7"/>
      <c r="AK48" s="5"/>
      <c r="AL48" s="14"/>
      <c r="AM48" s="11"/>
      <c r="AN48" s="11"/>
      <c r="AO48" s="11"/>
      <c r="AP48" s="11"/>
      <c r="AQ48" s="4"/>
      <c r="AR48" s="11"/>
      <c r="AS48" s="11"/>
      <c r="AT48" s="4"/>
      <c r="AU48" s="15"/>
      <c r="AV48" s="11"/>
      <c r="AW48" s="11"/>
      <c r="AX48" s="11"/>
      <c r="AY48" s="11"/>
      <c r="AZ48" s="11"/>
      <c r="BA48" s="11"/>
      <c r="BB48" s="11"/>
      <c r="BC48" s="11"/>
      <c r="BD48" s="4"/>
      <c r="BE48" s="5"/>
      <c r="BF48" s="10"/>
      <c r="BG48" s="10"/>
      <c r="BH48" s="10"/>
      <c r="BI48" s="11"/>
      <c r="BJ48" s="11"/>
      <c r="BK48" s="11"/>
    </row>
    <row r="49" ht="14.4" spans="2:63">
      <c r="B49" s="3"/>
      <c r="C49" s="4"/>
      <c r="D49" s="4"/>
      <c r="E49" s="4"/>
      <c r="F49" s="3"/>
      <c r="G49" s="4"/>
      <c r="H49" s="5"/>
      <c r="I49" s="4"/>
      <c r="J49" s="5"/>
      <c r="K49" s="3"/>
      <c r="L49" s="3"/>
      <c r="M49" s="3"/>
      <c r="N49" s="3"/>
      <c r="O49" s="3"/>
      <c r="P49" s="6"/>
      <c r="Q49" s="6"/>
      <c r="R49" s="7"/>
      <c r="S49" s="8"/>
      <c r="T49" s="9"/>
      <c r="U49" s="10"/>
      <c r="V49" s="7"/>
      <c r="W49" s="10"/>
      <c r="X49" s="10"/>
      <c r="Y49" s="10"/>
      <c r="Z49" s="11"/>
      <c r="AA49" s="10"/>
      <c r="AB49" s="5"/>
      <c r="AC49" s="5"/>
      <c r="AD49" s="5"/>
      <c r="AE49" s="11"/>
      <c r="AF49" s="10"/>
      <c r="AG49" s="10"/>
      <c r="AH49" s="13"/>
      <c r="AI49" s="10"/>
      <c r="AJ49" s="7"/>
      <c r="AK49" s="5"/>
      <c r="AL49" s="14"/>
      <c r="AM49" s="11"/>
      <c r="AN49" s="11"/>
      <c r="AO49" s="11"/>
      <c r="AP49" s="11"/>
      <c r="AQ49" s="4"/>
      <c r="AR49" s="11"/>
      <c r="AS49" s="11"/>
      <c r="AT49" s="4"/>
      <c r="AU49" s="15"/>
      <c r="AV49" s="11"/>
      <c r="AW49" s="11"/>
      <c r="AX49" s="11"/>
      <c r="AY49" s="11"/>
      <c r="AZ49" s="11"/>
      <c r="BA49" s="11"/>
      <c r="BB49" s="11"/>
      <c r="BC49" s="11"/>
      <c r="BD49" s="4"/>
      <c r="BE49" s="5"/>
      <c r="BF49" s="10"/>
      <c r="BG49" s="10"/>
      <c r="BH49" s="10"/>
      <c r="BI49" s="11"/>
      <c r="BJ49" s="11"/>
      <c r="BK49" s="11"/>
    </row>
    <row r="50" ht="14.4" spans="2:63">
      <c r="B50" s="3"/>
      <c r="C50" s="4"/>
      <c r="D50" s="4"/>
      <c r="E50" s="4"/>
      <c r="F50" s="3"/>
      <c r="G50" s="4"/>
      <c r="H50" s="5"/>
      <c r="I50" s="4"/>
      <c r="J50" s="5"/>
      <c r="K50" s="3"/>
      <c r="L50" s="3"/>
      <c r="M50" s="3"/>
      <c r="N50" s="3"/>
      <c r="O50" s="3"/>
      <c r="P50" s="6"/>
      <c r="Q50" s="6"/>
      <c r="R50" s="7"/>
      <c r="S50" s="8"/>
      <c r="T50" s="9"/>
      <c r="U50" s="10"/>
      <c r="V50" s="7"/>
      <c r="W50" s="10"/>
      <c r="X50" s="10"/>
      <c r="Y50" s="10"/>
      <c r="Z50" s="11"/>
      <c r="AA50" s="10"/>
      <c r="AB50" s="5"/>
      <c r="AC50" s="5"/>
      <c r="AD50" s="5"/>
      <c r="AE50" s="11"/>
      <c r="AF50" s="10"/>
      <c r="AG50" s="10"/>
      <c r="AH50" s="13"/>
      <c r="AI50" s="10"/>
      <c r="AJ50" s="7"/>
      <c r="AK50" s="5"/>
      <c r="AL50" s="14"/>
      <c r="AM50" s="11"/>
      <c r="AN50" s="11"/>
      <c r="AO50" s="11"/>
      <c r="AP50" s="11"/>
      <c r="AQ50" s="4"/>
      <c r="AR50" s="11"/>
      <c r="AS50" s="11"/>
      <c r="AT50" s="4"/>
      <c r="AU50" s="15"/>
      <c r="AV50" s="11"/>
      <c r="AW50" s="11"/>
      <c r="AX50" s="11"/>
      <c r="AY50" s="11"/>
      <c r="AZ50" s="11"/>
      <c r="BA50" s="11"/>
      <c r="BB50" s="11"/>
      <c r="BC50" s="11"/>
      <c r="BD50" s="4"/>
      <c r="BE50" s="5"/>
      <c r="BF50" s="10"/>
      <c r="BG50" s="10"/>
      <c r="BH50" s="10"/>
      <c r="BI50" s="11"/>
      <c r="BJ50" s="11"/>
      <c r="BK50" s="11"/>
    </row>
    <row r="51" ht="14.4" spans="2:63">
      <c r="B51" s="3"/>
      <c r="C51" s="4"/>
      <c r="D51" s="4"/>
      <c r="E51" s="4"/>
      <c r="F51" s="3"/>
      <c r="G51" s="4"/>
      <c r="H51" s="5"/>
      <c r="I51" s="4"/>
      <c r="J51" s="5"/>
      <c r="K51" s="3"/>
      <c r="L51" s="3"/>
      <c r="M51" s="3"/>
      <c r="N51" s="3"/>
      <c r="O51" s="3"/>
      <c r="P51" s="6"/>
      <c r="Q51" s="6"/>
      <c r="R51" s="7"/>
      <c r="S51" s="8"/>
      <c r="T51" s="9"/>
      <c r="U51" s="10"/>
      <c r="V51" s="10"/>
      <c r="W51" s="10"/>
      <c r="X51" s="10"/>
      <c r="Y51" s="10"/>
      <c r="Z51" s="11"/>
      <c r="AA51" s="10"/>
      <c r="AB51" s="5"/>
      <c r="AC51" s="5"/>
      <c r="AD51" s="5"/>
      <c r="AE51" s="11"/>
      <c r="AF51" s="5"/>
      <c r="AG51" s="10"/>
      <c r="AH51" s="13"/>
      <c r="AI51" s="10"/>
      <c r="AJ51" s="7"/>
      <c r="AK51" s="5"/>
      <c r="AL51" s="14"/>
      <c r="AM51" s="11"/>
      <c r="AN51" s="11"/>
      <c r="AO51" s="11"/>
      <c r="AP51" s="11"/>
      <c r="AQ51" s="4"/>
      <c r="AR51" s="11"/>
      <c r="AS51" s="11"/>
      <c r="AT51" s="4"/>
      <c r="AU51" s="15"/>
      <c r="AV51" s="11"/>
      <c r="AW51" s="11"/>
      <c r="AX51" s="11"/>
      <c r="AY51" s="11"/>
      <c r="AZ51" s="11"/>
      <c r="BA51" s="11"/>
      <c r="BB51" s="11"/>
      <c r="BC51" s="11"/>
      <c r="BD51" s="4"/>
      <c r="BE51" s="5"/>
      <c r="BF51" s="10"/>
      <c r="BG51" s="10"/>
      <c r="BH51" s="10"/>
      <c r="BI51" s="11"/>
      <c r="BJ51" s="11"/>
      <c r="BK51" s="11"/>
    </row>
    <row r="52" ht="14.4" spans="2:63">
      <c r="B52" s="3"/>
      <c r="C52" s="4"/>
      <c r="D52" s="4"/>
      <c r="E52" s="4"/>
      <c r="F52" s="3"/>
      <c r="G52" s="4"/>
      <c r="H52" s="5"/>
      <c r="I52" s="4"/>
      <c r="J52" s="5"/>
      <c r="K52" s="3"/>
      <c r="L52" s="3"/>
      <c r="M52" s="3"/>
      <c r="N52" s="3"/>
      <c r="O52" s="3"/>
      <c r="P52" s="6"/>
      <c r="Q52" s="6"/>
      <c r="R52" s="7"/>
      <c r="S52" s="8"/>
      <c r="T52" s="9"/>
      <c r="U52" s="10"/>
      <c r="V52" s="7"/>
      <c r="W52" s="10"/>
      <c r="X52" s="10"/>
      <c r="Y52" s="10"/>
      <c r="Z52" s="11"/>
      <c r="AA52" s="10"/>
      <c r="AB52" s="5"/>
      <c r="AC52" s="5"/>
      <c r="AD52" s="5"/>
      <c r="AE52" s="5"/>
      <c r="AF52" s="5"/>
      <c r="AG52" s="5"/>
      <c r="AH52" s="13"/>
      <c r="AI52" s="5"/>
      <c r="AJ52" s="7"/>
      <c r="AK52" s="5"/>
      <c r="AL52" s="14"/>
      <c r="AM52" s="11"/>
      <c r="AN52" s="11"/>
      <c r="AO52" s="11"/>
      <c r="AP52" s="11"/>
      <c r="AQ52" s="4"/>
      <c r="AR52" s="11"/>
      <c r="AS52" s="11"/>
      <c r="AT52" s="4"/>
      <c r="AU52" s="15"/>
      <c r="AV52" s="11"/>
      <c r="AW52" s="11"/>
      <c r="AX52" s="11"/>
      <c r="AY52" s="11"/>
      <c r="AZ52" s="11"/>
      <c r="BA52" s="11"/>
      <c r="BB52" s="11"/>
      <c r="BC52" s="11"/>
      <c r="BD52" s="4"/>
      <c r="BE52" s="5"/>
      <c r="BF52" s="10"/>
      <c r="BG52" s="10"/>
      <c r="BH52" s="5"/>
      <c r="BI52" s="11"/>
      <c r="BJ52" s="5"/>
      <c r="BK52" s="5"/>
    </row>
    <row r="53" ht="14.4" spans="2:63">
      <c r="B53" s="3"/>
      <c r="C53" s="4"/>
      <c r="D53" s="4"/>
      <c r="E53" s="4"/>
      <c r="F53" s="3"/>
      <c r="G53" s="4"/>
      <c r="H53" s="5"/>
      <c r="I53" s="4"/>
      <c r="J53" s="5"/>
      <c r="K53" s="3"/>
      <c r="L53" s="3"/>
      <c r="M53" s="3"/>
      <c r="N53" s="3"/>
      <c r="O53" s="3"/>
      <c r="P53" s="6"/>
      <c r="Q53" s="5"/>
      <c r="R53" s="7"/>
      <c r="S53" s="8"/>
      <c r="T53" s="9"/>
      <c r="U53" s="10"/>
      <c r="V53" s="10"/>
      <c r="W53" s="10"/>
      <c r="X53" s="10"/>
      <c r="Y53" s="10"/>
      <c r="Z53" s="11"/>
      <c r="AA53" s="10"/>
      <c r="AB53" s="5"/>
      <c r="AC53" s="5"/>
      <c r="AD53" s="5"/>
      <c r="AE53" s="5"/>
      <c r="AF53" s="5"/>
      <c r="AG53" s="5"/>
      <c r="AH53" s="13"/>
      <c r="AI53" s="5"/>
      <c r="AJ53" s="7"/>
      <c r="AK53" s="5"/>
      <c r="AL53" s="14"/>
      <c r="AM53" s="11"/>
      <c r="AN53" s="11"/>
      <c r="AO53" s="11"/>
      <c r="AP53" s="11"/>
      <c r="AQ53" s="4"/>
      <c r="AR53" s="11"/>
      <c r="AS53" s="11"/>
      <c r="AT53" s="4"/>
      <c r="AU53" s="15"/>
      <c r="AV53" s="11"/>
      <c r="AW53" s="11"/>
      <c r="AX53" s="11"/>
      <c r="AY53" s="11"/>
      <c r="AZ53" s="11"/>
      <c r="BA53" s="11"/>
      <c r="BB53" s="11"/>
      <c r="BC53" s="11"/>
      <c r="BD53" s="4"/>
      <c r="BE53" s="5"/>
      <c r="BF53" s="10"/>
      <c r="BG53" s="10"/>
      <c r="BH53" s="10"/>
      <c r="BI53" s="11"/>
      <c r="BJ53" s="5"/>
      <c r="BK53" s="5"/>
    </row>
    <row r="54" ht="14.4" spans="2:63">
      <c r="B54" s="3"/>
      <c r="C54" s="4"/>
      <c r="D54" s="4"/>
      <c r="E54" s="4"/>
      <c r="F54" s="3"/>
      <c r="G54" s="4"/>
      <c r="H54" s="5"/>
      <c r="I54" s="4"/>
      <c r="J54" s="5"/>
      <c r="K54" s="3"/>
      <c r="L54" s="3"/>
      <c r="M54" s="3"/>
      <c r="N54" s="3"/>
      <c r="O54" s="3"/>
      <c r="P54" s="6"/>
      <c r="Q54" s="5"/>
      <c r="R54" s="7"/>
      <c r="S54" s="8"/>
      <c r="T54" s="9"/>
      <c r="U54" s="10"/>
      <c r="V54" s="7"/>
      <c r="W54" s="10"/>
      <c r="X54" s="10"/>
      <c r="Y54" s="10"/>
      <c r="Z54" s="11"/>
      <c r="AA54" s="10"/>
      <c r="AB54" s="5"/>
      <c r="AC54" s="5"/>
      <c r="AD54" s="5"/>
      <c r="AE54" s="11"/>
      <c r="AF54" s="5"/>
      <c r="AG54" s="10"/>
      <c r="AH54" s="13"/>
      <c r="AI54" s="5"/>
      <c r="AJ54" s="7"/>
      <c r="AK54" s="5"/>
      <c r="AL54" s="14"/>
      <c r="AM54" s="11"/>
      <c r="AN54" s="11"/>
      <c r="AO54" s="11"/>
      <c r="AP54" s="11"/>
      <c r="AQ54" s="4"/>
      <c r="AR54" s="11"/>
      <c r="AS54" s="11"/>
      <c r="AT54" s="4"/>
      <c r="AU54" s="15"/>
      <c r="AV54" s="11"/>
      <c r="AW54" s="11"/>
      <c r="AX54" s="11"/>
      <c r="AY54" s="11"/>
      <c r="AZ54" s="11"/>
      <c r="BA54" s="11"/>
      <c r="BB54" s="11"/>
      <c r="BC54" s="11"/>
      <c r="BD54" s="4"/>
      <c r="BE54" s="5"/>
      <c r="BF54" s="10"/>
      <c r="BG54" s="10"/>
      <c r="BH54" s="10"/>
      <c r="BI54" s="11"/>
      <c r="BJ54" s="5"/>
      <c r="BK54" s="5"/>
    </row>
    <row r="55" ht="14.4" spans="2:63">
      <c r="B55" s="3"/>
      <c r="C55" s="4"/>
      <c r="D55" s="4"/>
      <c r="E55" s="4"/>
      <c r="F55" s="3"/>
      <c r="G55" s="4"/>
      <c r="H55" s="5"/>
      <c r="I55" s="4"/>
      <c r="J55" s="5"/>
      <c r="K55" s="3"/>
      <c r="L55" s="3"/>
      <c r="M55" s="3"/>
      <c r="N55" s="3"/>
      <c r="O55" s="3"/>
      <c r="P55" s="6"/>
      <c r="Q55" s="5"/>
      <c r="R55" s="7"/>
      <c r="S55" s="8"/>
      <c r="T55" s="9"/>
      <c r="U55" s="10"/>
      <c r="V55" s="10"/>
      <c r="W55" s="10"/>
      <c r="X55" s="10"/>
      <c r="Y55" s="10"/>
      <c r="Z55" s="11"/>
      <c r="AA55" s="10"/>
      <c r="AB55" s="5"/>
      <c r="AC55" s="5"/>
      <c r="AD55" s="5"/>
      <c r="AE55" s="11"/>
      <c r="AF55" s="5"/>
      <c r="AG55" s="10"/>
      <c r="AH55" s="13"/>
      <c r="AI55" s="5"/>
      <c r="AJ55" s="7"/>
      <c r="AK55" s="5"/>
      <c r="AL55" s="14"/>
      <c r="AM55" s="11"/>
      <c r="AN55" s="11"/>
      <c r="AO55" s="11"/>
      <c r="AP55" s="11"/>
      <c r="AQ55" s="4"/>
      <c r="AR55" s="11"/>
      <c r="AS55" s="11"/>
      <c r="AT55" s="4"/>
      <c r="AU55" s="15"/>
      <c r="AV55" s="11"/>
      <c r="AW55" s="11"/>
      <c r="AX55" s="11"/>
      <c r="AY55" s="11"/>
      <c r="AZ55" s="11"/>
      <c r="BA55" s="11"/>
      <c r="BB55" s="11"/>
      <c r="BC55" s="11"/>
      <c r="BD55" s="4"/>
      <c r="BE55" s="5"/>
      <c r="BF55" s="10"/>
      <c r="BG55" s="10"/>
      <c r="BH55" s="10"/>
      <c r="BI55" s="11"/>
      <c r="BJ55" s="5"/>
      <c r="BK55" s="5"/>
    </row>
    <row r="56" ht="14.4" spans="2:63">
      <c r="B56" s="3"/>
      <c r="C56" s="4"/>
      <c r="D56" s="4"/>
      <c r="E56" s="4"/>
      <c r="F56" s="3"/>
      <c r="G56" s="4"/>
      <c r="H56" s="5"/>
      <c r="I56" s="4"/>
      <c r="J56" s="5"/>
      <c r="K56" s="3"/>
      <c r="L56" s="3"/>
      <c r="M56" s="3"/>
      <c r="N56" s="3"/>
      <c r="O56" s="3"/>
      <c r="P56" s="6"/>
      <c r="Q56" s="6"/>
      <c r="R56" s="7"/>
      <c r="S56" s="8"/>
      <c r="T56" s="9"/>
      <c r="U56" s="10"/>
      <c r="V56" s="7"/>
      <c r="W56" s="10"/>
      <c r="X56" s="10"/>
      <c r="Y56" s="10"/>
      <c r="Z56" s="11"/>
      <c r="AA56" s="10"/>
      <c r="AB56" s="5"/>
      <c r="AC56" s="5"/>
      <c r="AD56" s="5"/>
      <c r="AE56" s="11"/>
      <c r="AF56" s="10"/>
      <c r="AG56" s="10"/>
      <c r="AH56" s="13"/>
      <c r="AI56" s="10"/>
      <c r="AJ56" s="7"/>
      <c r="AK56" s="5"/>
      <c r="AL56" s="14"/>
      <c r="AM56" s="11"/>
      <c r="AN56" s="11"/>
      <c r="AO56" s="11"/>
      <c r="AP56" s="11"/>
      <c r="AQ56" s="4"/>
      <c r="AR56" s="11"/>
      <c r="AS56" s="11"/>
      <c r="AT56" s="4"/>
      <c r="AU56" s="15"/>
      <c r="AV56" s="11"/>
      <c r="AW56" s="11"/>
      <c r="AX56" s="11"/>
      <c r="AY56" s="11"/>
      <c r="AZ56" s="11"/>
      <c r="BA56" s="11"/>
      <c r="BB56" s="11"/>
      <c r="BC56" s="11"/>
      <c r="BD56" s="4"/>
      <c r="BE56" s="5"/>
      <c r="BF56" s="10"/>
      <c r="BG56" s="10"/>
      <c r="BH56" s="10"/>
      <c r="BI56" s="11"/>
      <c r="BJ56" s="11"/>
      <c r="BK56" s="11"/>
    </row>
    <row r="57" ht="14.4" spans="2:63">
      <c r="B57" s="3"/>
      <c r="C57" s="4"/>
      <c r="D57" s="4"/>
      <c r="E57" s="4"/>
      <c r="F57" s="3"/>
      <c r="G57" s="4"/>
      <c r="H57" s="5"/>
      <c r="I57" s="4"/>
      <c r="J57" s="5"/>
      <c r="K57" s="3"/>
      <c r="L57" s="3"/>
      <c r="M57" s="3"/>
      <c r="N57" s="3"/>
      <c r="O57" s="3"/>
      <c r="P57" s="6"/>
      <c r="Q57" s="6"/>
      <c r="R57" s="7"/>
      <c r="S57" s="8"/>
      <c r="T57" s="9"/>
      <c r="U57" s="10"/>
      <c r="V57" s="10"/>
      <c r="W57" s="10"/>
      <c r="X57" s="10"/>
      <c r="Y57" s="10"/>
      <c r="Z57" s="11"/>
      <c r="AA57" s="10"/>
      <c r="AB57" s="5"/>
      <c r="AC57" s="5"/>
      <c r="AD57" s="5"/>
      <c r="AE57" s="5"/>
      <c r="AF57" s="5"/>
      <c r="AG57" s="5"/>
      <c r="AH57" s="13"/>
      <c r="AI57" s="5"/>
      <c r="AJ57" s="7"/>
      <c r="AK57" s="5"/>
      <c r="AL57" s="14"/>
      <c r="AM57" s="11"/>
      <c r="AN57" s="11"/>
      <c r="AO57" s="11"/>
      <c r="AP57" s="11"/>
      <c r="AQ57" s="4"/>
      <c r="AR57" s="11"/>
      <c r="AS57" s="11"/>
      <c r="AT57" s="4"/>
      <c r="AU57" s="15"/>
      <c r="AV57" s="11"/>
      <c r="AW57" s="11"/>
      <c r="AX57" s="11"/>
      <c r="AY57" s="11"/>
      <c r="AZ57" s="11"/>
      <c r="BA57" s="11"/>
      <c r="BB57" s="11"/>
      <c r="BC57" s="11"/>
      <c r="BD57" s="4"/>
      <c r="BE57" s="5"/>
      <c r="BF57" s="10"/>
      <c r="BG57" s="10"/>
      <c r="BH57" s="5"/>
      <c r="BI57" s="11"/>
      <c r="BJ57" s="5"/>
      <c r="BK57" s="5"/>
    </row>
    <row r="58" ht="14.4" spans="2:63">
      <c r="B58" s="3"/>
      <c r="C58" s="4"/>
      <c r="D58" s="4"/>
      <c r="E58" s="4"/>
      <c r="F58" s="3"/>
      <c r="G58" s="4"/>
      <c r="H58" s="5"/>
      <c r="I58" s="4"/>
      <c r="J58" s="5"/>
      <c r="K58" s="3"/>
      <c r="L58" s="3"/>
      <c r="M58" s="3"/>
      <c r="N58" s="3"/>
      <c r="O58" s="3"/>
      <c r="P58" s="6"/>
      <c r="Q58" s="6"/>
      <c r="R58" s="7"/>
      <c r="S58" s="8"/>
      <c r="T58" s="9"/>
      <c r="U58" s="10"/>
      <c r="V58" s="7"/>
      <c r="W58" s="10"/>
      <c r="X58" s="10"/>
      <c r="Y58" s="10"/>
      <c r="Z58" s="11"/>
      <c r="AA58" s="10"/>
      <c r="AB58" s="5"/>
      <c r="AC58" s="10"/>
      <c r="AD58" s="5"/>
      <c r="AE58" s="11"/>
      <c r="AF58" s="10"/>
      <c r="AG58" s="10"/>
      <c r="AH58" s="13"/>
      <c r="AI58" s="10"/>
      <c r="AJ58" s="7"/>
      <c r="AK58" s="5"/>
      <c r="AL58" s="14"/>
      <c r="AM58" s="11"/>
      <c r="AN58" s="11"/>
      <c r="AO58" s="11"/>
      <c r="AP58" s="11"/>
      <c r="AQ58" s="4"/>
      <c r="AR58" s="11"/>
      <c r="AS58" s="11"/>
      <c r="AT58" s="4"/>
      <c r="AU58" s="15"/>
      <c r="AV58" s="11"/>
      <c r="AW58" s="11"/>
      <c r="AX58" s="11"/>
      <c r="AY58" s="11"/>
      <c r="AZ58" s="11"/>
      <c r="BA58" s="11"/>
      <c r="BB58" s="11"/>
      <c r="BC58" s="11"/>
      <c r="BD58" s="4"/>
      <c r="BE58" s="5"/>
      <c r="BF58" s="10"/>
      <c r="BG58" s="10"/>
      <c r="BH58" s="10"/>
      <c r="BI58" s="11"/>
      <c r="BJ58" s="11"/>
      <c r="BK58" s="11"/>
    </row>
    <row r="59" ht="14.4" spans="2:63">
      <c r="B59" s="3"/>
      <c r="C59" s="4"/>
      <c r="D59" s="4"/>
      <c r="E59" s="4"/>
      <c r="F59" s="3"/>
      <c r="G59" s="4"/>
      <c r="H59" s="5"/>
      <c r="I59" s="4"/>
      <c r="J59" s="5"/>
      <c r="K59" s="3"/>
      <c r="L59" s="3"/>
      <c r="M59" s="3"/>
      <c r="N59" s="3"/>
      <c r="O59" s="3"/>
      <c r="P59" s="6"/>
      <c r="Q59" s="6"/>
      <c r="R59" s="7"/>
      <c r="S59" s="8"/>
      <c r="T59" s="9"/>
      <c r="U59" s="10"/>
      <c r="V59" s="10"/>
      <c r="W59" s="10"/>
      <c r="X59" s="10"/>
      <c r="Y59" s="10"/>
      <c r="Z59" s="11"/>
      <c r="AA59" s="10"/>
      <c r="AB59" s="5"/>
      <c r="AC59" s="5"/>
      <c r="AD59" s="5"/>
      <c r="AE59" s="5"/>
      <c r="AF59" s="5"/>
      <c r="AG59" s="5"/>
      <c r="AH59" s="13"/>
      <c r="AI59" s="5"/>
      <c r="AJ59" s="7"/>
      <c r="AK59" s="5"/>
      <c r="AL59" s="14"/>
      <c r="AM59" s="11"/>
      <c r="AN59" s="11"/>
      <c r="AO59" s="11"/>
      <c r="AP59" s="11"/>
      <c r="AQ59" s="4"/>
      <c r="AR59" s="11"/>
      <c r="AS59" s="11"/>
      <c r="AT59" s="4"/>
      <c r="AU59" s="15"/>
      <c r="AV59" s="11"/>
      <c r="AW59" s="11"/>
      <c r="AX59" s="11"/>
      <c r="AY59" s="11"/>
      <c r="AZ59" s="11"/>
      <c r="BA59" s="11"/>
      <c r="BB59" s="11"/>
      <c r="BC59" s="11"/>
      <c r="BD59" s="4"/>
      <c r="BE59" s="5"/>
      <c r="BF59" s="5"/>
      <c r="BG59" s="10"/>
      <c r="BH59" s="5"/>
      <c r="BI59" s="11"/>
      <c r="BJ59" s="5"/>
      <c r="BK59" s="5"/>
    </row>
    <row r="60" ht="14.4" spans="2:63">
      <c r="B60" s="3"/>
      <c r="C60" s="4"/>
      <c r="D60" s="4"/>
      <c r="E60" s="4"/>
      <c r="F60" s="3"/>
      <c r="G60" s="4"/>
      <c r="H60" s="5"/>
      <c r="I60" s="4"/>
      <c r="J60" s="5"/>
      <c r="K60" s="3"/>
      <c r="L60" s="3"/>
      <c r="M60" s="3"/>
      <c r="N60" s="3"/>
      <c r="O60" s="3"/>
      <c r="P60" s="6"/>
      <c r="Q60" s="5"/>
      <c r="R60" s="7"/>
      <c r="S60" s="8"/>
      <c r="T60" s="9"/>
      <c r="U60" s="10"/>
      <c r="V60" s="10"/>
      <c r="W60" s="10"/>
      <c r="X60" s="10"/>
      <c r="Y60" s="10"/>
      <c r="Z60" s="11"/>
      <c r="AA60" s="10"/>
      <c r="AB60" s="5"/>
      <c r="AC60" s="5"/>
      <c r="AD60" s="5"/>
      <c r="AE60" s="11"/>
      <c r="AF60" s="5"/>
      <c r="AG60" s="10"/>
      <c r="AH60" s="13"/>
      <c r="AI60" s="5"/>
      <c r="AJ60" s="7"/>
      <c r="AK60" s="5"/>
      <c r="AL60" s="14"/>
      <c r="AM60" s="11"/>
      <c r="AN60" s="11"/>
      <c r="AO60" s="11"/>
      <c r="AP60" s="11"/>
      <c r="AQ60" s="4"/>
      <c r="AR60" s="11"/>
      <c r="AS60" s="11"/>
      <c r="AT60" s="4"/>
      <c r="AU60" s="15"/>
      <c r="AV60" s="11"/>
      <c r="AW60" s="11"/>
      <c r="AX60" s="11"/>
      <c r="AY60" s="11"/>
      <c r="AZ60" s="11"/>
      <c r="BA60" s="11"/>
      <c r="BB60" s="11"/>
      <c r="BC60" s="11"/>
      <c r="BD60" s="4"/>
      <c r="BE60" s="5"/>
      <c r="BF60" s="10"/>
      <c r="BG60" s="10"/>
      <c r="BH60" s="10"/>
      <c r="BI60" s="11"/>
      <c r="BJ60" s="5"/>
      <c r="BK60" s="5"/>
    </row>
    <row r="61" ht="14.4" spans="2:63">
      <c r="B61" s="3"/>
      <c r="C61" s="4"/>
      <c r="D61" s="4"/>
      <c r="E61" s="4"/>
      <c r="F61" s="3"/>
      <c r="G61" s="4"/>
      <c r="H61" s="5"/>
      <c r="I61" s="4"/>
      <c r="J61" s="5"/>
      <c r="K61" s="3"/>
      <c r="L61" s="3"/>
      <c r="M61" s="3"/>
      <c r="N61" s="3"/>
      <c r="O61" s="3"/>
      <c r="P61" s="6"/>
      <c r="Q61" s="5"/>
      <c r="R61" s="7"/>
      <c r="S61" s="8"/>
      <c r="T61" s="9"/>
      <c r="U61" s="10"/>
      <c r="V61" s="7"/>
      <c r="W61" s="10"/>
      <c r="X61" s="10"/>
      <c r="Y61" s="10"/>
      <c r="Z61" s="11"/>
      <c r="AA61" s="10"/>
      <c r="AB61" s="5"/>
      <c r="AC61" s="5"/>
      <c r="AD61" s="5"/>
      <c r="AE61" s="5"/>
      <c r="AF61" s="5"/>
      <c r="AG61" s="5"/>
      <c r="AH61" s="13"/>
      <c r="AI61" s="5"/>
      <c r="AJ61" s="7"/>
      <c r="AK61" s="5"/>
      <c r="AL61" s="14"/>
      <c r="AM61" s="11"/>
      <c r="AN61" s="11"/>
      <c r="AO61" s="11"/>
      <c r="AP61" s="11"/>
      <c r="AQ61" s="4"/>
      <c r="AR61" s="11"/>
      <c r="AS61" s="11"/>
      <c r="AT61" s="4"/>
      <c r="AU61" s="15"/>
      <c r="AV61" s="11"/>
      <c r="AW61" s="11"/>
      <c r="AX61" s="11"/>
      <c r="AY61" s="11"/>
      <c r="AZ61" s="11"/>
      <c r="BA61" s="11"/>
      <c r="BB61" s="11"/>
      <c r="BC61" s="11"/>
      <c r="BD61" s="4"/>
      <c r="BE61" s="5"/>
      <c r="BF61" s="10"/>
      <c r="BG61" s="10"/>
      <c r="BH61" s="10"/>
      <c r="BI61" s="11"/>
      <c r="BJ61" s="5"/>
      <c r="BK61" s="5"/>
    </row>
    <row r="62" ht="14.4" spans="2:63">
      <c r="B62" s="3"/>
      <c r="C62" s="4"/>
      <c r="D62" s="4"/>
      <c r="E62" s="4"/>
      <c r="F62" s="3"/>
      <c r="G62" s="4"/>
      <c r="H62" s="4"/>
      <c r="I62" s="4"/>
      <c r="J62" s="4"/>
      <c r="K62" s="3"/>
      <c r="L62" s="3"/>
      <c r="M62" s="3"/>
      <c r="N62" s="3"/>
      <c r="O62" s="3"/>
      <c r="P62" s="6"/>
      <c r="Q62" s="5"/>
      <c r="R62" s="7"/>
      <c r="S62" s="8"/>
      <c r="T62" s="9"/>
      <c r="U62" s="10"/>
      <c r="V62" s="10"/>
      <c r="W62" s="10"/>
      <c r="X62" s="10"/>
      <c r="Y62" s="10"/>
      <c r="Z62" s="11"/>
      <c r="AA62" s="5"/>
      <c r="AB62" s="5"/>
      <c r="AC62" s="5"/>
      <c r="AD62" s="5"/>
      <c r="AE62" s="11"/>
      <c r="AF62" s="5"/>
      <c r="AG62" s="10"/>
      <c r="AH62" s="13"/>
      <c r="AI62" s="5"/>
      <c r="AJ62" s="7"/>
      <c r="AK62" s="5"/>
      <c r="AL62" s="14"/>
      <c r="AM62" s="11"/>
      <c r="AN62" s="11"/>
      <c r="AO62" s="11"/>
      <c r="AP62" s="5"/>
      <c r="AQ62" s="5"/>
      <c r="AR62" s="11"/>
      <c r="AS62" s="11"/>
      <c r="AT62" s="4"/>
      <c r="AU62" s="11"/>
      <c r="AV62" s="11"/>
      <c r="AW62" s="11"/>
      <c r="AX62" s="11"/>
      <c r="AY62" s="11"/>
      <c r="AZ62" s="11"/>
      <c r="BA62" s="11"/>
      <c r="BB62" s="11"/>
      <c r="BC62" s="11"/>
      <c r="BD62" s="4"/>
      <c r="BE62" s="5"/>
      <c r="BF62" s="10"/>
      <c r="BG62" s="10"/>
      <c r="BH62" s="10"/>
      <c r="BI62" s="11"/>
      <c r="BJ62" s="5"/>
      <c r="BK62" s="5"/>
    </row>
    <row r="63" ht="14.4" spans="2:63">
      <c r="B63" s="3"/>
      <c r="C63" s="4"/>
      <c r="D63" s="4"/>
      <c r="E63" s="4"/>
      <c r="F63" s="3"/>
      <c r="G63" s="4"/>
      <c r="H63" s="4"/>
      <c r="I63" s="4"/>
      <c r="J63" s="4"/>
      <c r="K63" s="3"/>
      <c r="L63" s="3"/>
      <c r="M63" s="3"/>
      <c r="N63" s="3"/>
      <c r="O63" s="3"/>
      <c r="P63" s="6"/>
      <c r="Q63" s="5"/>
      <c r="R63" s="7"/>
      <c r="S63" s="8"/>
      <c r="T63" s="9"/>
      <c r="U63" s="10"/>
      <c r="V63" s="10"/>
      <c r="W63" s="10"/>
      <c r="X63" s="10"/>
      <c r="Y63" s="10"/>
      <c r="Z63" s="11"/>
      <c r="AA63" s="10"/>
      <c r="AB63" s="5"/>
      <c r="AC63" s="5"/>
      <c r="AD63" s="5"/>
      <c r="AE63" s="5"/>
      <c r="AF63" s="5"/>
      <c r="AG63" s="5"/>
      <c r="AH63" s="13"/>
      <c r="AI63" s="5"/>
      <c r="AJ63" s="7"/>
      <c r="AK63" s="5"/>
      <c r="AL63" s="14"/>
      <c r="AM63" s="11"/>
      <c r="AN63" s="11"/>
      <c r="AO63" s="11"/>
      <c r="AP63" s="11"/>
      <c r="AQ63" s="4"/>
      <c r="AR63" s="11"/>
      <c r="AS63" s="11"/>
      <c r="AT63" s="4"/>
      <c r="AU63" s="15"/>
      <c r="AV63" s="11"/>
      <c r="AW63" s="11"/>
      <c r="AX63" s="11"/>
      <c r="AY63" s="11"/>
      <c r="AZ63" s="11"/>
      <c r="BA63" s="11"/>
      <c r="BB63" s="11"/>
      <c r="BC63" s="11"/>
      <c r="BD63" s="4"/>
      <c r="BE63" s="5"/>
      <c r="BF63" s="5"/>
      <c r="BG63" s="10"/>
      <c r="BH63" s="5"/>
      <c r="BI63" s="11"/>
      <c r="BJ63" s="5"/>
      <c r="BK63" s="5"/>
    </row>
    <row r="64" ht="14.4" spans="2:63">
      <c r="B64" s="3"/>
      <c r="C64" s="4"/>
      <c r="D64" s="4"/>
      <c r="E64" s="4"/>
      <c r="F64" s="3"/>
      <c r="G64" s="4"/>
      <c r="H64" s="4"/>
      <c r="I64" s="4"/>
      <c r="J64" s="4"/>
      <c r="K64" s="3"/>
      <c r="L64" s="3"/>
      <c r="M64" s="3"/>
      <c r="N64" s="3"/>
      <c r="O64" s="3"/>
      <c r="P64" s="6"/>
      <c r="Q64" s="5"/>
      <c r="R64" s="7"/>
      <c r="S64" s="8"/>
      <c r="T64" s="9"/>
      <c r="U64" s="10"/>
      <c r="V64" s="7"/>
      <c r="W64" s="10"/>
      <c r="X64" s="10"/>
      <c r="Y64" s="10"/>
      <c r="Z64" s="11"/>
      <c r="AA64" s="10"/>
      <c r="AB64" s="5"/>
      <c r="AC64" s="5"/>
      <c r="AD64" s="5"/>
      <c r="AE64" s="5"/>
      <c r="AF64" s="5"/>
      <c r="AG64" s="5"/>
      <c r="AH64" s="13"/>
      <c r="AI64" s="5"/>
      <c r="AJ64" s="7"/>
      <c r="AK64" s="5"/>
      <c r="AL64" s="14"/>
      <c r="AM64" s="11"/>
      <c r="AN64" s="11"/>
      <c r="AO64" s="11"/>
      <c r="AP64" s="11"/>
      <c r="AQ64" s="4"/>
      <c r="AR64" s="11"/>
      <c r="AS64" s="11"/>
      <c r="AT64" s="4"/>
      <c r="AU64" s="15"/>
      <c r="AV64" s="11"/>
      <c r="AW64" s="11"/>
      <c r="AX64" s="11"/>
      <c r="AY64" s="11"/>
      <c r="AZ64" s="11"/>
      <c r="BA64" s="11"/>
      <c r="BB64" s="11"/>
      <c r="BC64" s="11"/>
      <c r="BD64" s="4"/>
      <c r="BE64" s="5"/>
      <c r="BF64" s="10"/>
      <c r="BG64" s="10"/>
      <c r="BH64" s="10"/>
      <c r="BI64" s="11"/>
      <c r="BJ64" s="5"/>
      <c r="BK64" s="5"/>
    </row>
    <row r="65" ht="14.4" spans="2:63">
      <c r="B65" s="3"/>
      <c r="C65" s="4"/>
      <c r="D65" s="4"/>
      <c r="E65" s="4"/>
      <c r="F65" s="3"/>
      <c r="G65" s="4"/>
      <c r="H65" s="4"/>
      <c r="I65" s="4"/>
      <c r="J65" s="4"/>
      <c r="K65" s="3"/>
      <c r="L65" s="3"/>
      <c r="M65" s="3"/>
      <c r="N65" s="3"/>
      <c r="O65" s="3"/>
      <c r="P65" s="6"/>
      <c r="Q65" s="5"/>
      <c r="R65" s="7"/>
      <c r="S65" s="8"/>
      <c r="T65" s="9"/>
      <c r="U65" s="10"/>
      <c r="V65" s="7"/>
      <c r="W65" s="10"/>
      <c r="X65" s="10"/>
      <c r="Y65" s="10"/>
      <c r="Z65" s="11"/>
      <c r="AA65" s="10"/>
      <c r="AB65" s="5"/>
      <c r="AC65" s="5"/>
      <c r="AD65" s="5"/>
      <c r="AE65" s="5"/>
      <c r="AF65" s="5"/>
      <c r="AG65" s="5"/>
      <c r="AH65" s="13"/>
      <c r="AI65" s="5"/>
      <c r="AJ65" s="7"/>
      <c r="AK65" s="5"/>
      <c r="AL65" s="14"/>
      <c r="AM65" s="11"/>
      <c r="AN65" s="11"/>
      <c r="AO65" s="11"/>
      <c r="AP65" s="11"/>
      <c r="AQ65" s="4"/>
      <c r="AR65" s="11"/>
      <c r="AS65" s="11"/>
      <c r="AT65" s="4"/>
      <c r="AU65" s="15"/>
      <c r="AV65" s="11"/>
      <c r="AW65" s="11"/>
      <c r="AX65" s="11"/>
      <c r="AY65" s="11"/>
      <c r="AZ65" s="11"/>
      <c r="BA65" s="11"/>
      <c r="BB65" s="11"/>
      <c r="BC65" s="11"/>
      <c r="BD65" s="4"/>
      <c r="BE65" s="5"/>
      <c r="BF65" s="5"/>
      <c r="BG65" s="10"/>
      <c r="BH65" s="5"/>
      <c r="BI65" s="11"/>
      <c r="BJ65" s="5"/>
      <c r="BK65" s="5"/>
    </row>
    <row r="66" ht="14.4" spans="2:63">
      <c r="B66" s="3"/>
      <c r="C66" s="4"/>
      <c r="D66" s="4"/>
      <c r="E66" s="4"/>
      <c r="F66" s="3"/>
      <c r="G66" s="4"/>
      <c r="H66" s="4"/>
      <c r="I66" s="4"/>
      <c r="J66" s="4"/>
      <c r="K66" s="3"/>
      <c r="L66" s="3"/>
      <c r="M66" s="3"/>
      <c r="N66" s="3"/>
      <c r="O66" s="3"/>
      <c r="P66" s="6"/>
      <c r="Q66" s="5"/>
      <c r="R66" s="7"/>
      <c r="S66" s="8"/>
      <c r="T66" s="9"/>
      <c r="U66" s="10"/>
      <c r="V66" s="10"/>
      <c r="W66" s="10"/>
      <c r="X66" s="10"/>
      <c r="Y66" s="10"/>
      <c r="Z66" s="11"/>
      <c r="AA66" s="5"/>
      <c r="AB66" s="5"/>
      <c r="AC66" s="5"/>
      <c r="AD66" s="5"/>
      <c r="AE66" s="11"/>
      <c r="AF66" s="5"/>
      <c r="AG66" s="10"/>
      <c r="AH66" s="13"/>
      <c r="AI66" s="5"/>
      <c r="AJ66" s="7"/>
      <c r="AK66" s="5"/>
      <c r="AL66" s="14"/>
      <c r="AM66" s="11"/>
      <c r="AN66" s="11"/>
      <c r="AO66" s="11"/>
      <c r="AP66" s="5"/>
      <c r="AQ66" s="5"/>
      <c r="AR66" s="11"/>
      <c r="AS66" s="11"/>
      <c r="AT66" s="4"/>
      <c r="AU66" s="11"/>
      <c r="AV66" s="11"/>
      <c r="AW66" s="11"/>
      <c r="AX66" s="11"/>
      <c r="AY66" s="11"/>
      <c r="AZ66" s="11"/>
      <c r="BA66" s="11"/>
      <c r="BB66" s="11"/>
      <c r="BC66" s="11"/>
      <c r="BD66" s="4"/>
      <c r="BE66" s="5"/>
      <c r="BF66" s="5"/>
      <c r="BG66" s="10"/>
      <c r="BH66" s="10"/>
      <c r="BI66" s="11"/>
      <c r="BJ66" s="5"/>
      <c r="BK66" s="5"/>
    </row>
    <row r="67" ht="14.4" spans="2:63">
      <c r="B67" s="3"/>
      <c r="C67" s="4"/>
      <c r="D67" s="4"/>
      <c r="E67" s="4"/>
      <c r="F67" s="3"/>
      <c r="G67" s="4"/>
      <c r="H67" s="4"/>
      <c r="I67" s="4"/>
      <c r="J67" s="4"/>
      <c r="K67" s="3"/>
      <c r="L67" s="3"/>
      <c r="M67" s="3"/>
      <c r="N67" s="3"/>
      <c r="O67" s="3"/>
      <c r="P67" s="6"/>
      <c r="Q67" s="5"/>
      <c r="R67" s="7"/>
      <c r="S67" s="8"/>
      <c r="T67" s="9"/>
      <c r="U67" s="10"/>
      <c r="V67" s="7"/>
      <c r="W67" s="10"/>
      <c r="X67" s="10"/>
      <c r="Y67" s="10"/>
      <c r="Z67" s="11"/>
      <c r="AA67" s="10"/>
      <c r="AB67" s="5"/>
      <c r="AC67" s="5"/>
      <c r="AD67" s="5"/>
      <c r="AE67" s="5"/>
      <c r="AF67" s="5"/>
      <c r="AG67" s="5"/>
      <c r="AH67" s="13"/>
      <c r="AI67" s="5"/>
      <c r="AJ67" s="7"/>
      <c r="AK67" s="5"/>
      <c r="AL67" s="14"/>
      <c r="AM67" s="11"/>
      <c r="AN67" s="11"/>
      <c r="AO67" s="11"/>
      <c r="AP67" s="11"/>
      <c r="AQ67" s="4"/>
      <c r="AR67" s="11"/>
      <c r="AS67" s="11"/>
      <c r="AT67" s="4"/>
      <c r="AU67" s="15"/>
      <c r="AV67" s="11"/>
      <c r="AW67" s="11"/>
      <c r="AX67" s="11"/>
      <c r="AY67" s="11"/>
      <c r="AZ67" s="11"/>
      <c r="BA67" s="11"/>
      <c r="BB67" s="11"/>
      <c r="BC67" s="11"/>
      <c r="BD67" s="4"/>
      <c r="BE67" s="5"/>
      <c r="BF67" s="10"/>
      <c r="BG67" s="10"/>
      <c r="BH67" s="5"/>
      <c r="BI67" s="11"/>
      <c r="BJ67" s="5"/>
      <c r="BK67" s="5"/>
    </row>
    <row r="68" ht="14.4" spans="2:63">
      <c r="B68" s="3"/>
      <c r="C68" s="4"/>
      <c r="D68" s="4"/>
      <c r="E68" s="4"/>
      <c r="F68" s="3"/>
      <c r="G68" s="4"/>
      <c r="H68" s="4"/>
      <c r="I68" s="4"/>
      <c r="J68" s="4"/>
      <c r="K68" s="3"/>
      <c r="L68" s="3"/>
      <c r="M68" s="3"/>
      <c r="N68" s="3"/>
      <c r="O68" s="3"/>
      <c r="P68" s="6"/>
      <c r="Q68" s="6"/>
      <c r="R68" s="7"/>
      <c r="S68" s="8"/>
      <c r="T68" s="9"/>
      <c r="U68" s="10"/>
      <c r="V68" s="7"/>
      <c r="W68" s="6"/>
      <c r="X68" s="10"/>
      <c r="Y68" s="10"/>
      <c r="Z68" s="11"/>
      <c r="AA68" s="10"/>
      <c r="AB68" s="5"/>
      <c r="AC68" s="5"/>
      <c r="AD68" s="5"/>
      <c r="AE68" s="11"/>
      <c r="AF68" s="10"/>
      <c r="AG68" s="10"/>
      <c r="AH68" s="13"/>
      <c r="AI68" s="10"/>
      <c r="AJ68" s="7"/>
      <c r="AK68" s="5"/>
      <c r="AL68" s="14"/>
      <c r="AM68" s="11"/>
      <c r="AN68" s="11"/>
      <c r="AO68" s="11"/>
      <c r="AP68" s="11"/>
      <c r="AQ68" s="4"/>
      <c r="AR68" s="11"/>
      <c r="AS68" s="11"/>
      <c r="AT68" s="4"/>
      <c r="AU68" s="15"/>
      <c r="AV68" s="11"/>
      <c r="AW68" s="11"/>
      <c r="AX68" s="11"/>
      <c r="AY68" s="11"/>
      <c r="AZ68" s="11"/>
      <c r="BA68" s="11"/>
      <c r="BB68" s="11"/>
      <c r="BC68" s="11"/>
      <c r="BD68" s="4"/>
      <c r="BE68" s="5"/>
      <c r="BF68" s="10"/>
      <c r="BG68" s="10"/>
      <c r="BH68" s="10"/>
      <c r="BI68" s="11"/>
      <c r="BJ68" s="11"/>
      <c r="BK68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推广目标</vt:lpstr>
      <vt:lpstr>推广计划</vt:lpstr>
      <vt:lpstr>广告计划</vt:lpstr>
      <vt:lpstr>利润&amp;ROI测算</vt:lpstr>
      <vt:lpstr>账号&amp;备货规划</vt:lpstr>
      <vt:lpstr>ASIN 定投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2025-07-17T04:46:56Z</dcterms:created>
  <dcterms:modified xsi:type="dcterms:W3CDTF">2025-07-17T04:54:23Z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1098BAB9989D409E84D21F98AC86D509_13</vt:lpwstr>
  </property>
  <property fmtid="{D5CDD505-2E9C-101B-9397-08002B2CF9AE}" pid="3" name="KSOProductBuildVer">
    <vt:lpwstr>2052-12.1.0.21915</vt:lpwstr>
  </property>
</Properties>
</file>